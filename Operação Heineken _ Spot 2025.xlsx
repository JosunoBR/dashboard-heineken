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INEKEN" sheetId="1" r:id="rId5"/>
    <sheet state="visible" name="PEDÁGIO" sheetId="2" r:id="rId6"/>
    <sheet state="visible" name="CONTROLE DE OCORRENCIAS" sheetId="3" r:id="rId7"/>
    <sheet state="visible" name="RETIRADAS" sheetId="4" r:id="rId8"/>
    <sheet state="visible" name="CUSTO EXTRA" sheetId="5" r:id="rId9"/>
    <sheet state="visible" name="MONIT. HNK" sheetId="6" r:id="rId10"/>
    <sheet state="visible" name="AGREGADOS SPOT" sheetId="7" r:id="rId11"/>
    <sheet state="hidden" name="GUARARAPES" sheetId="8" r:id="rId12"/>
    <sheet state="visible" name="DASH" sheetId="9" r:id="rId13"/>
    <sheet state="hidden" name="DASH RETORNO" sheetId="10" r:id="rId14"/>
    <sheet state="visible" name="Apoio" sheetId="11" r:id="rId15"/>
    <sheet state="visible" name="DISP MARÇO" sheetId="12" r:id="rId16"/>
    <sheet state="visible" name="DISP" sheetId="13" r:id="rId17"/>
    <sheet state="visible" name="RETORNO TERCEIRO" sheetId="14" r:id="rId18"/>
    <sheet state="visible" name="Disponibilidade Guararapes" sheetId="15" r:id="rId19"/>
    <sheet state="visible" name="MONIT. GUAR." sheetId="16" r:id="rId20"/>
    <sheet state="visible" name="BD_OTM" sheetId="17" r:id="rId21"/>
  </sheets>
  <definedNames>
    <definedName hidden="1" localSheetId="0" name="_xlnm._FilterDatabase">HEINEKEN!$K$1:$K$1769</definedName>
    <definedName hidden="1" localSheetId="1" name="_xlnm._FilterDatabase">'PEDÁGIO'!$A$1:$AG$150</definedName>
    <definedName hidden="1" localSheetId="2" name="_xlnm._FilterDatabase">'CONTROLE DE OCORRENCIAS'!$A$1:$N$263</definedName>
    <definedName hidden="1" localSheetId="3" name="_xlnm._FilterDatabase">RETIRADAS!$C$1:$C$286</definedName>
    <definedName hidden="1" localSheetId="5" name="_xlnm._FilterDatabase">'MONIT. HNK'!$A$1:$N$10</definedName>
    <definedName hidden="1" localSheetId="16" name="_xlnm._FilterDatabase">BD_OTM!$A$1:$W$224</definedName>
    <definedName hidden="1" localSheetId="0" name="Z_CAF26CA6_31EB_4942_8AB2_EEF9EC24B909_.wvu.FilterData">HEINEKEN!$C$1:$C$692</definedName>
    <definedName hidden="1" localSheetId="0" name="Z_CE9AC887_50ED_4CBE_9D58_A44113F845B1_.wvu.FilterData">HEINEKEN!$S$1:$S$342</definedName>
  </definedNames>
  <calcPr/>
  <customWorkbookViews>
    <customWorkbookView activeSheetId="0" maximized="1" windowHeight="0" windowWidth="0" guid="{CAF26CA6-31EB-4942-8AB2-EEF9EC24B909}" name="Filtro 1"/>
    <customWorkbookView activeSheetId="0" maximized="1" windowHeight="0" windowWidth="0" guid="{CE9AC887-50ED-4CBE-9D58-A44113F845B1}" name="Filtro 2"/>
  </customWorkbookViews>
  <pivotCaches>
    <pivotCache cacheId="0" r:id="rId22"/>
    <pivotCache cacheId="1" r:id="rId2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tc={00293b17-611f-4198-8cb8-35593a1d8b1e}</author>
    <author>tc={03729617-61c9-4f65-8e31-2fdeacee83fc}</author>
    <author>tc={08c57a17-d92c-4938-a946-ab36f3979e62}</author>
    <author>tc={0a678c96-168d-4ada-824f-3e96f226fe5f}</author>
    <author>tc={0c6fb6c4-9d6c-4f22-8cf1-b109ff88eb25}</author>
    <author>tc={1017b8ae-d1d4-408f-9c70-430aaee79b17}</author>
    <author>tc={135e43e8-b53a-4239-8fb4-f87e55dc759a}</author>
    <author>tc={14a5d0df-74d8-4b44-8488-49a6f49f7052}</author>
    <author>tc={19361c8f-49cc-4f5f-9356-c67db84c3d6b}</author>
    <author>tc={19bbbaed-3349-43ba-b58b-e43e3a691124}</author>
    <author>tc={1b73511a-fbbd-470f-9e7f-5d89d7edb1f1}</author>
    <author>tc={1d4e638e-7ad7-4e8c-9cbc-c333dcb8cf0b}</author>
    <author>tc={1f0c0d47-2d82-4d54-9ae9-f9da71d2c55e}</author>
    <author>tc={1fbea795-c6b2-43a1-8d73-a485df88c77a}</author>
    <author>tc={2252cc0c-2e51-491c-b348-782aa681a9a9}</author>
    <author>tc={22bfe1e1-fcad-4f19-9d69-dee5ac9424b1}</author>
    <author>tc={2575f06c-34fc-4744-ae99-b3e26a04706c}</author>
    <author>tc={26a4398b-3759-4301-b3aa-cacda4eba540}</author>
    <author>tc={2d2af2c2-0bd1-439b-a77f-cab80d09bc13}</author>
    <author>tc={31773f49-d89e-405c-af8a-7817b1889b6b}</author>
    <author>tc={376a8d1d-1a66-46c0-b2de-e5490b947a6b}</author>
    <author>tc={38ded749-6e01-4e7b-b230-74b46a365751}</author>
    <author>tc={3a678569-a9d8-4a88-adf9-efab80225bc9}</author>
    <author>tc={3d77bb69-b970-422c-be23-735ef11d2efc}</author>
    <author>tc={40b0cfe1-7d45-4843-979d-28e6acf785e0}</author>
    <author>tc={43b3edf5-f893-4250-8688-578f8ef6ac08}</author>
    <author>tc={45792084-88c2-47a0-8851-bd753eac8eea}</author>
    <author>tc={4709d8ca-9508-4502-9884-828de386e32b}</author>
    <author>tc={492c2e59-4a87-4048-b2d1-6cf4ec6052b3}</author>
    <author>tc={4a5952bc-b5b9-450b-8541-3094194c8437}</author>
    <author>tc={4aefc926-931d-4ed2-9a18-2457f4fbd895}</author>
    <author>tc={4b914cce-bbfa-46d8-bc18-f3865b6dc0e3}</author>
    <author>tc={4de2f47c-4cc4-4316-90fc-c827efee1e2d}</author>
    <author>tc={4f864cee-ab27-4c2b-8665-76c4fd74dc89}</author>
    <author>tc={513fe529-32ac-4f41-8ff8-0effbb3b107b}</author>
    <author>tc={52142df5-21a1-46f5-a856-ad6f1918609a}</author>
    <author>tc={53c695d1-eed2-4b36-9bad-07d6345df939}</author>
    <author>tc={54159cdb-6328-44eb-9add-0e05c797a707}</author>
    <author>tc={55296444-4a23-4682-a917-d80b4e8fafa7}</author>
    <author>tc={5a14ecb2-3313-4c83-8800-52adcbb54ab9}</author>
    <author>tc={604620f7-f61e-4099-b6cf-cda6e081f43c}</author>
    <author>tc={623fe1e2-87f3-48e3-bd9e-92d87f27726e}</author>
    <author>tc={6298ef1e-f285-4424-a901-ab7fa9572a8c}</author>
    <author>tc={644724f5-1e75-4b83-af8b-4c069881db9d}</author>
    <author>tc={65401464-fa48-4363-914f-870997c85efc}</author>
    <author>tc={665be719-7fd1-43fb-8b91-3fbecb9d855f}</author>
    <author>tc={673f19a7-98be-40f7-bd9d-324e68be9baa}</author>
    <author>tc={6743aa76-8f7e-461f-b0d1-acd8aca0ad23}</author>
    <author>tc={6b1020cb-d819-418f-8e97-ba3c2c52aedf}</author>
    <author>tc={6da70e34-3fb0-4dd8-8317-e338fc2efeb8}</author>
    <author>tc={6e435d24-b913-46c6-8217-927b253c3857}</author>
    <author>tc={708e8fb9-5145-4898-b27f-dbb38f4d9ca6}</author>
    <author>tc={72e03f4d-924f-47a8-915a-2aa37a6f0836}</author>
    <author>tc={732e4480-c7f8-4bb5-9f85-4ec4998769c4}</author>
    <author>tc={73566603-1a31-4e5b-8788-af0e4842ac42}</author>
    <author>tc={747497d8-944f-4406-a6d5-5a358a8def66}</author>
    <author>tc={76a1dfa3-bade-4a52-9b03-1457366950bb}</author>
    <author>tc={7833cfa0-7d1c-4d96-b8c3-4640deefbfca}</author>
    <author>tc={79982b7e-03ea-4b6f-8b02-0e985ce46989}</author>
    <author>tc={7ef32803-45d0-486d-8a08-d3601450bc07}</author>
    <author>tc={81815edd-3044-46f9-8085-f2fd9d0a3df6}</author>
    <author>tc={830137e1-ee1e-4447-aa31-81b82b49ceb9}</author>
    <author>tc={867db366-a9e0-414e-ba8c-6c7fa0f0fca7}</author>
    <author>tc={88eba956-5e92-4d10-b718-405422b8caef}</author>
    <author>tc={8932f9f3-8b2f-4719-9a47-1f5f37717bfd}</author>
    <author>tc={8e1f5bb0-fca6-4efc-963a-6cfc7c47aa45}</author>
    <author>tc={90ce86b8-c581-435e-8bce-0e8a08fb7e17}</author>
    <author>tc={96bffece-a86e-4bee-8b5a-34840aabcd57}</author>
    <author>tc={9803db5d-4286-4bd2-980c-b6ec3c20cd31}</author>
    <author>tc={9cdae604-bbc6-4621-990e-eb3787e4eff7}</author>
    <author>tc={9fcc517b-c17e-4e50-9d65-bbb74fd8c742}</author>
    <author>tc={a19b8044-1e67-43fb-a6ee-79fd1ec2b508}</author>
    <author>tc={a42b9fdd-f014-4adc-b1e0-a94189518fd6}</author>
    <author>tc={a54a6f23-2a04-4d93-b9b4-bb6b93404c8e}</author>
    <author>tc={a9767cf6-6a83-4a45-b729-f6ed2ef4cc14}</author>
    <author>tc={aab4aedf-35c5-473b-90b9-5fb1ae1fc2e4}</author>
    <author>tc={ac8b65ce-4783-46ac-831e-22c2da894265}</author>
    <author>tc={b190609f-0149-470e-89d8-f75e0b267fb1}</author>
    <author>tc={b39abbfc-377e-463a-9e35-89042f511deb}</author>
    <author>tc={b3e920a6-c1f1-442f-8d09-4d9fc51a75c5}</author>
    <author>tc={b5abc67c-b2ed-4e69-89f3-827b1c4b2a70}</author>
    <author>tc={b9077d7f-c476-4127-b4af-bd9af9511156}</author>
    <author>tc={bc0d7580-020b-4f41-b574-ea56622ba565}</author>
    <author>tc={bf7c5825-429a-4acd-93de-a0bd2f156318}</author>
    <author>tc={c085f612-4f57-485f-b1fc-22126ebd3651}</author>
    <author>tc={c468ff44-cb40-4bfe-af64-a765dfb1b63a}</author>
    <author>tc={c5b1ed81-c535-4562-b2ef-13324375e8eb}</author>
    <author>tc={c6426146-459d-4eeb-a3dc-f9975ec7f4d9}</author>
    <author>tc={c90b2572-a243-4654-ae82-d75b4d0176d5}</author>
    <author>tc={c9a9206e-4dd0-4abb-af83-c3065979c491}</author>
    <author>tc={cb3521ae-2d0b-41a4-abc5-e9ab39bc2137}</author>
    <author>tc={ce73e690-b0f4-4990-82a7-6decc168fbe5}</author>
    <author>tc={cf33986f-fd18-43e4-a7ad-e3f7a0aba24d}</author>
    <author>tc={cf6552be-4dad-45a6-b8a5-2c61db5ad952}</author>
    <author>tc={cf6e5850-3c61-43b3-bdb1-db6d3ec16622}</author>
    <author>tc={d1281218-aa23-45db-8310-b0a290ba3fd4}</author>
    <author>tc={d1f6e1ed-68c4-47ba-a5ef-76254986cc28}</author>
    <author>tc={d2a33d3d-9314-4a06-b9cf-811f4b53af41}</author>
    <author>tc={d37f659a-bb65-42e6-af03-cfb4b84ae577}</author>
    <author>tc={d706df10-73b3-4e35-8fe9-05a31d2740e1}</author>
    <author>tc={d9f248d1-b0e0-4a0d-93f7-0caa97f9133c}</author>
    <author>tc={dd84d9cd-865f-490a-b79b-879a5c96a00d}</author>
    <author>tc={de3254a7-cc1e-4389-b0c6-ea7fd2502522}</author>
    <author>tc={df610272-f6e5-49dd-b2a4-fba10b9e5520}</author>
    <author>tc={e1e7ff67-9975-4c07-a52e-e70f366f7122}</author>
    <author>tc={e3aa9460-1578-43f8-ac47-7068c26d6251}</author>
    <author>tc={eb6162b0-ecf8-46bb-9863-160371fff9df}</author>
    <author>tc={ec49e4a5-88ba-4910-8b26-300d619fdef9}</author>
    <author>tc={ece7eb82-b649-46ff-beee-8ca6bd9eae21}</author>
    <author>tc={ef3a9112-c1a3-4b4d-8999-f31dbfcd35e9}</author>
    <author>tc={f2e10fe8-cd1f-4ec7-aa29-66a097196f7e}</author>
    <author>tc={f5130f21-3712-4cbc-8426-0bfc0fb279d6}</author>
    <author>tc={f53583e1-7a91-4223-9356-589a5047e4c0}</author>
    <author>tc={f7819253-166c-49d9-8f68-88e0111ec856}</author>
    <author>tc={f7874e31-1247-49fb-96cf-6800c6ada45c}</author>
    <author>tc={f8260078-fce2-4b56-b40d-659a5b9bcee9}</author>
    <author>tc={f8de446f-b733-4d31-b2ea-e9814dbb06cb}</author>
    <author>tc={fbf54f39-d02f-4c76-964c-1725038f0628}</author>
    <author>tc={fc8ac2f9-d2f9-41db-aca0-1a7bf3424af8}</author>
    <author>tc={fc9ea9e2-e1f9-48b7-9147-c9140cca3df6}</author>
    <author>tc={fd9b934d-572d-4b4b-b8a5-6768b0964acb}</author>
    <author>tc={fe7a13ff-4cc2-4cbd-890b-6ab95205dadb}</author>
  </authors>
  <commentList>
    <comment authorId="0" xr:uid="{00293b17-611f-4198-8cb8-35593a1d8b1e}" ref="P1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Itu R$ 182
Pedagio Jacarezinho R$ 73
Amarração 26/09 R$ 69
</t>
      </text>
    </comment>
    <comment authorId="1" xr:uid="{03729617-61c9-4f65-8e31-2fdeacee83fc}" ref="P1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R$ 230,00 TAXA DE DESCARGA
</t>
      </text>
    </comment>
    <comment authorId="2" xr:uid="{08c57a17-d92c-4938-a946-ab36f3979e62}" ref="P13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R$ 420
Pendente R$ 100
</t>
      </text>
    </comment>
    <comment authorId="3" xr:uid="{0a678c96-168d-4ada-824f-3e96f226fe5f}" ref="P14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Cta x Pg R$ 150
</t>
      </text>
    </comment>
    <comment authorId="4" xr:uid="{0c6fb6c4-9d6c-4f22-8cf1-b109ff88eb25}" ref="P14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R$ 348 - taxa de descarga 1772609
</t>
      </text>
    </comment>
    <comment authorId="5" xr:uid="{1017b8ae-d1d4-408f-9c70-430aaee79b17}" ref="P1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Frete R$ 200,00
</t>
      </text>
    </comment>
    <comment authorId="6" xr:uid="{135e43e8-b53a-4239-8fb4-f87e55dc759a}" ref="Y10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 ABERTA AS 09;30 QUANDO MOTORISTA INFORMOU.
</t>
      </text>
    </comment>
    <comment authorId="7" xr:uid="{14a5d0df-74d8-4b44-8488-49a6f49f7052}" ref="P13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SC x PR R$ 200
</t>
      </text>
    </comment>
    <comment authorId="8" xr:uid="{19361c8f-49cc-4f5f-9356-c67db84c3d6b}" ref="P1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R$ 200,00
Reply:
	R$ 468,00
</t>
      </text>
    </comment>
    <comment authorId="9" xr:uid="{19bbbaed-3349-43ba-b58b-e43e3a691124}" ref="P1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R$ 312,00
</t>
      </text>
    </comment>
    <comment authorId="10" xr:uid="{1b73511a-fbbd-470f-9e7f-5d89d7edb1f1}" ref="Y8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Marcação no cliente 25/11 08:00
</t>
      </text>
    </comment>
    <comment authorId="11" xr:uid="{1d4e638e-7ad7-4e8c-9cbc-c333dcb8cf0b}" ref="P1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  200
</t>
      </text>
    </comment>
    <comment authorId="12" xr:uid="{1f0c0d47-2d82-4d54-9ae9-f9da71d2c55e}" ref="P13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R$ 300
</t>
      </text>
    </comment>
    <comment authorId="13" xr:uid="{1fbea795-c6b2-43a1-8d73-a485df88c77a}" ref="P13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Cta x Pg R$ 250
</t>
      </text>
    </comment>
    <comment authorId="14" xr:uid="{2252cc0c-2e51-491c-b348-782aa681a9a9}" ref="R10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2192
</t>
      </text>
    </comment>
    <comment authorId="15" xr:uid="{22bfe1e1-fcad-4f19-9d69-dee5ac9424b1}" ref="P13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R$ 408
Diferença de frete Anc x Cta R$ 135
</t>
      </text>
    </comment>
    <comment authorId="16" xr:uid="{2575f06c-34fc-4744-ae99-b3e26a04706c}" ref="P1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R$ 323,00 TAXA DE DESCARGA
</t>
      </text>
    </comment>
    <comment authorId="17" xr:uid="{26a4398b-3759-4301-b3aa-cacda4eba540}" ref="R10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 514426
</t>
      </text>
    </comment>
    <comment authorId="18" xr:uid="{2d2af2c2-0bd1-439b-a77f-cab80d09bc13}" ref="P1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Itu x PG R$500
</t>
      </text>
    </comment>
    <comment authorId="19" xr:uid="{31773f49-d89e-405c-af8a-7817b1889b6b}" ref="R10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dacte 2220
</t>
      </text>
    </comment>
    <comment authorId="20" xr:uid="{376a8d1d-1a66-46c0-b2de-e5490b947a6b}" ref="P14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R$ 290,00 - EXAME MÉDICO
</t>
      </text>
    </comment>
    <comment authorId="21" xr:uid="{38ded749-6e01-4e7b-b230-74b46a365751}" ref="AC8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Aguardando ver se pagam a diaria, comentário na Y894
</t>
      </text>
    </comment>
    <comment authorId="22" xr:uid="{3a678569-a9d8-4a88-adf9-efab80225bc9}" ref="P14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R$ 290,00 - EXAME MÉDICO
</t>
      </text>
    </comment>
    <comment authorId="23" xr:uid="{3d77bb69-b970-422c-be23-735ef11d2efc}" ref="P1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R$ 598,00
</t>
      </text>
    </comment>
    <comment authorId="24" xr:uid="{40b0cfe1-7d45-4843-979d-28e6acf785e0}" ref="P1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R$ 1800
</t>
      </text>
    </comment>
    <comment authorId="25" xr:uid="{43b3edf5-f893-4250-8688-578f8ef6ac08}" ref="P1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R$ 475,00
</t>
      </text>
    </comment>
    <comment authorId="26" xr:uid="{45792084-88c2-47a0-8851-bd753eac8eea}" ref="P1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R$ 520,00
</t>
      </text>
    </comment>
    <comment authorId="27" xr:uid="{4709d8ca-9508-4502-9884-828de386e32b}" ref="R10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2187
</t>
      </text>
    </comment>
    <comment authorId="28" xr:uid="{492c2e59-4a87-4048-b2d1-6cf4ec6052b3}" ref="P1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Pendencias FEMSA R$ 404,00
</t>
      </text>
    </comment>
    <comment authorId="29" xr:uid="{4a5952bc-b5b9-450b-8541-3094194c8437}" ref="P1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500,00
</t>
      </text>
    </comment>
    <comment authorId="30" xr:uid="{4aefc926-931d-4ed2-9a18-2457f4fbd895}" ref="R10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516482
</t>
      </text>
    </comment>
    <comment authorId="31" xr:uid="{4b914cce-bbfa-46d8-bc18-f3865b6dc0e3}" ref="P1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Exame R$ 250
Deslocamento R$ 250
</t>
      </text>
    </comment>
    <comment authorId="32" xr:uid="{4de2f47c-4cc4-4316-90fc-c827efee1e2d}" ref="P1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R$ 500
</t>
      </text>
    </comment>
    <comment authorId="33" xr:uid="{4f864cee-ab27-4c2b-8665-76c4fd74dc89}" ref="P14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R$ 416
</t>
      </text>
    </comment>
    <comment authorId="34" xr:uid="{513fe529-32ac-4f41-8ff8-0effbb3b107b}" ref="AB8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 aberta na DT de ida, pois a de volta ñ estava integrada
</t>
      </text>
    </comment>
    <comment authorId="35" xr:uid="{52142df5-21a1-46f5-a856-ad6f1918609a}" ref="P1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R$ 312
</t>
      </text>
    </comment>
    <comment authorId="36" xr:uid="{53c695d1-eed2-4b36-9bad-07d6345df939}" ref="R10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2191
</t>
      </text>
    </comment>
    <comment authorId="37" xr:uid="{54159cdb-6328-44eb-9add-0e05c797a7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R$ 413
Deslocamento SC x PR R$ 150
</t>
      </text>
    </comment>
    <comment authorId="38" xr:uid="{55296444-4a23-4682-a917-d80b4e8fafa7}" ref="P1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PG X CTA R$ 250
DIFERENÇA DE FRETE ANC X CTA R$ 367
</t>
      </text>
    </comment>
    <comment authorId="39" xr:uid="{5a14ecb2-3313-4c83-8800-52adcbb54ab9}" ref="P14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R$ 1.800,00
</t>
      </text>
    </comment>
    <comment authorId="40" xr:uid="{604620f7-f61e-4099-b6cf-cda6e081f43c}" ref="P13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Anc x Cta R$ 367
</t>
      </text>
    </comment>
    <comment authorId="41" xr:uid="{623fe1e2-87f3-48e3-bd9e-92d87f27726e}" ref="P1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R$200,00 Deslocamento
R$250,00 Exame
</t>
      </text>
    </comment>
    <comment authorId="42" xr:uid="{6298ef1e-f285-4424-a901-ab7fa9572a8c}" ref="P1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Descarga R$ 520,00
Pedagio R$ 220,00
</t>
      </text>
    </comment>
    <comment authorId="43" xr:uid="{644724f5-1e75-4b83-af8b-4c069881db9d}" ref="P1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Acrescimo Pendencias FEMSA
R$ 1342,00
</t>
      </text>
    </comment>
    <comment authorId="44" xr:uid="{65401464-fa48-4363-914f-870997c85efc}" ref="P14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R$ 745
</t>
      </text>
    </comment>
    <comment authorId="45" xr:uid="{665be719-7fd1-43fb-8b91-3fbecb9d855f}" ref="P14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PG R$ 250
</t>
      </text>
    </comment>
    <comment authorId="46" xr:uid="{673f19a7-98be-40f7-bd9d-324e68be9baa}" ref="P1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420,00
Reply:
	Taxa de descarga 650,00
</t>
      </text>
    </comment>
    <comment authorId="47" xr:uid="{6743aa76-8f7e-461f-b0d1-acd8aca0ad23}" ref="P1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Cta x Pg R$ 250
Man.Rastreador R$ 130
</t>
      </text>
    </comment>
    <comment authorId="48" xr:uid="{6b1020cb-d819-418f-8e97-ba3c2c52aedf}" ref="P1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Pendencia FEMSA R$ 306,00
</t>
      </text>
    </comment>
    <comment authorId="49" xr:uid="{6da70e34-3fb0-4dd8-8317-e338fc2efeb8}" ref="P14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descarga R$ 494,00
</t>
      </text>
    </comment>
    <comment authorId="50" xr:uid="{6e435d24-b913-46c6-8217-927b253c3857}" ref="P1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R$ 350
Diferença de frete Anc x Cta / Cta x Anc R$ 667
</t>
      </text>
    </comment>
    <comment authorId="51" xr:uid="{708e8fb9-5145-4898-b27f-dbb38f4d9ca6}" ref="P1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Exame R$ 290
Deslocamento CTA x PG R$ 250
</t>
      </text>
    </comment>
    <comment authorId="52" xr:uid="{72e03f4d-924f-47a8-915a-2aa37a6f0836}" ref="P14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PENDENCIAS RESTANTES R$ 300
AMARRAÇÃO R$ 69
</t>
      </text>
    </comment>
    <comment authorId="53" xr:uid="{732e4480-c7f8-4bb5-9f85-4ec4998769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Itu x Pg R$ 431
</t>
      </text>
    </comment>
    <comment authorId="54" xr:uid="{73566603-1a31-4e5b-8788-af0e4842ac42}" ref="P14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R$ 300
</t>
      </text>
    </comment>
    <comment authorId="55" xr:uid="{747497d8-944f-4406-a6d5-5a358a8def66}" ref="P1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R$ 520
</t>
      </text>
    </comment>
    <comment authorId="56" xr:uid="{76a1dfa3-bade-4a52-9b03-1457366950bb}" ref="P1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R$65,00 descarga coca
</t>
      </text>
    </comment>
    <comment authorId="57" xr:uid="{7833cfa0-7d1c-4d96-b8c3-4640deefbfca}" ref="Y8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marcação no cliente 25/11/2024 06:20
</t>
      </text>
    </comment>
    <comment authorId="58" xr:uid="{79982b7e-03ea-4b6f-8b02-0e985ce46989}" ref="P1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Créscimos
R$ 494,00 - taxa de descarga
R$ 250,00 - deslocamento vazio
</t>
      </text>
    </comment>
    <comment authorId="59" xr:uid="{7ef32803-45d0-486d-8a08-d3601450bc07}" ref="P1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Descontar diferença na quinzena, recebeu como SPOT
</t>
      </text>
    </comment>
    <comment authorId="60" xr:uid="{81815edd-3044-46f9-8085-f2fd9d0a3df6}" ref="P1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R$200,00 Deslocamento
Reply:
	R$ 312,00 Taxa de descarga
</t>
      </text>
    </comment>
    <comment authorId="61" xr:uid="{830137e1-ee1e-4447-aa31-81b82b49ceb9}" ref="P1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950,00 deslocamento vazio
</t>
      </text>
    </comment>
    <comment authorId="62" xr:uid="{867db366-a9e0-414e-ba8c-6c7fa0f0fca7}" ref="P1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R$ 494,00
Reply:
	Amarração Coca R$ 69,00
</t>
      </text>
    </comment>
    <comment authorId="63" xr:uid="{88eba956-5e92-4d10-b718-405422b8caef}" ref="P13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Cta x xPG R$ 250
</t>
      </text>
    </comment>
    <comment authorId="64" xr:uid="{8932f9f3-8b2f-4719-9a47-1f5f37717bfd}" ref="AB8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 ABERTA NA DT DE IDA POIS A DE RETORNO AINDA NÃO ESTAVA INTEGRADA NO GALILEU
</t>
      </text>
    </comment>
    <comment authorId="65" xr:uid="{8e1f5bb0-fca6-4efc-963a-6cfc7c47aa45}" ref="P1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R$623
</t>
      </text>
    </comment>
    <comment authorId="66" xr:uid="{90ce86b8-c581-435e-8bce-0e8a08fb7e17}" ref="P1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SOS APN2H58 R$ 650
</t>
      </text>
    </comment>
    <comment authorId="67" xr:uid="{96bffece-a86e-4bee-8b5a-34840aabcd57}" ref="P13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SCx PR R$ 700
Diferença de frete Anc x Cta R$ 367
Amarração R$ 69
Diferença de frete Cta x Pg R$ 100
</t>
      </text>
    </comment>
    <comment authorId="68" xr:uid="{9803db5d-4286-4bd2-980c-b6ec3c20cd31}" ref="Y8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descarga transferida para AE Master, motorista se apresentou as 12:20
</t>
      </text>
    </comment>
    <comment authorId="69" xr:uid="{9cdae604-bbc6-4621-990e-eb3787e4eff7}" ref="P14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R$ 1500
</t>
      </text>
    </comment>
    <comment authorId="70" xr:uid="{9fcc517b-c17e-4e50-9d65-bbb74fd8c742}" ref="R10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2188
</t>
      </text>
    </comment>
    <comment authorId="71" xr:uid="{a19b8044-1e67-43fb-a6ee-79fd1ec2b508}" ref="P12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R$ 312
</t>
      </text>
    </comment>
    <comment authorId="72" xr:uid="{a42b9fdd-f014-4adc-b1e0-a94189518fd6}" ref="P1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Anc x Ara
R$ 452
</t>
      </text>
    </comment>
    <comment authorId="73" xr:uid="{a54a6f23-2a04-4d93-b9b4-bb6b93404c8e}" ref="P13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Anc x Cta R$ 367
</t>
      </text>
    </comment>
    <comment authorId="74" xr:uid="{a9767cf6-6a83-4a45-b729-f6ed2ef4cc14}" ref="P1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R$ 416,00
</t>
      </text>
    </comment>
    <comment authorId="75" xr:uid="{aab4aedf-35c5-473b-90b9-5fb1ae1fc2e4}" ref="P1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Cta x Pg R$ 250
</t>
      </text>
    </comment>
    <comment authorId="76" xr:uid="{ac8b65ce-4783-46ac-831e-22c2da894265}" ref="P1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Guarulhos x pg  R$1.971,70
</t>
      </text>
    </comment>
    <comment authorId="77" xr:uid="{b190609f-0149-470e-89d8-f75e0b267fb1}" ref="P13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Dedicado Jacarei R$ 800
Amarração 26/11 R$ 69
Diferença de frete Anc x CTA R$ 367
Diferença de frete CTA x PG R$ 100
</t>
      </text>
    </comment>
    <comment authorId="78" xr:uid="{b39abbfc-377e-463a-9e35-89042f511deb}" ref="Y8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apresentou no ae 24/12/2024 20:30
</t>
      </text>
    </comment>
    <comment authorId="79" xr:uid="{b3e920a6-c1f1-442f-8d09-4d9fc51a75c5}" ref="R10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2189
</t>
      </text>
    </comment>
    <comment authorId="80" xr:uid="{b5abc67c-b2ed-4e69-89f3-827b1c4b2a70}" ref="P1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R$ 500
</t>
      </text>
    </comment>
    <comment authorId="81" xr:uid="{b9077d7f-c476-4127-b4af-bd9af9511156}" ref="R10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513706
</t>
      </text>
    </comment>
    <comment authorId="82" xr:uid="{bc0d7580-020b-4f41-b574-ea56622ba565}" ref="P13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R$ 858,00
</t>
      </text>
    </comment>
    <comment authorId="83" xr:uid="{bf7c5825-429a-4acd-93de-a0bd2f156318}" ref="P1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R$ 340,00
</t>
      </text>
    </comment>
    <comment authorId="84" xr:uid="{c085f612-4f57-485f-b1fc-22126ebd3651}" ref="R10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2197
</t>
      </text>
    </comment>
    <comment authorId="85" xr:uid="{c468ff44-cb40-4bfe-af64-a765dfb1b63a}" ref="P1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Cta x Pg R$ 250
</t>
      </text>
    </comment>
    <comment authorId="86" xr:uid="{c5b1ed81-c535-4562-b2ef-13324375e8eb}" ref="P13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R$ 562
</t>
      </text>
    </comment>
    <comment authorId="87" xr:uid="{c6426146-459d-4eeb-a3dc-f9975ec7f4d9}" ref="P13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Itu x Pg R$ 431
</t>
      </text>
    </comment>
    <comment authorId="88" xr:uid="{c90b2572-a243-4654-ae82-d75b4d0176d5}" ref="P13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R$ 442
Deslocamento SC x PR R$ 325
</t>
      </text>
    </comment>
    <comment authorId="89" xr:uid="{c9a9206e-4dd0-4abb-af83-c3065979c491}" ref="P13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R$ 468
</t>
      </text>
    </comment>
    <comment authorId="90" xr:uid="{cb3521ae-2d0b-41a4-abc5-e9ab39bc2137}" ref="P1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Deslocamento+Pedagio R$200,00
Reply:
	Taxa de descarga R$ 700,00
Reply:
	Acrescimo feito por Jacarei R$ 400,00
</t>
      </text>
    </comment>
    <comment authorId="91" xr:uid="{ce73e690-b0f4-4990-82a7-6decc168fbe5}" ref="P1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R$ 250
Amarração R$ 69
</t>
      </text>
    </comment>
    <comment authorId="92" xr:uid="{cf33986f-fd18-43e4-a7ad-e3f7a0aba24d}" ref="P14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302
</t>
      </text>
    </comment>
    <comment authorId="93" xr:uid="{cf6552be-4dad-45a6-b8a5-2c61db5ad952}" ref="P1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R$ 430,00
Reply:
	TAXA DE DESCARAGA  R$ 450,00
</t>
      </text>
    </comment>
    <comment authorId="94" xr:uid="{cf6e5850-3c61-43b3-bdb1-db6d3ec16622}" ref="P1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R$ 200,00
Reply:
	Taxa de descarga R$ 468,00
</t>
      </text>
    </comment>
    <comment authorId="95" xr:uid="{d1281218-aa23-45db-8310-b0a290ba3fd4}" ref="P14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Anc x Cta R$ 367
</t>
      </text>
    </comment>
    <comment authorId="96" xr:uid="{d1f6e1ed-68c4-47ba-a5ef-76254986cc28}" ref="P14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R$ 1500
</t>
      </text>
    </comment>
    <comment authorId="97" xr:uid="{d2a33d3d-9314-4a06-b9cf-811f4b53af41}" ref="P14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Anc x Ara R$ 452
Amarração R$ 69
</t>
      </text>
    </comment>
    <comment authorId="98" xr:uid="{d37f659a-bb65-42e6-af03-cfb4b84ae577}" ref="P1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475,00 valor pendente deslocamento que a ketellyn havia combinado com o motorista
</t>
      </text>
    </comment>
    <comment authorId="99" xr:uid="{d706df10-73b3-4e35-8fe9-05a31d2740e1}" ref="P1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R$ 725,00
</t>
      </text>
    </comment>
    <comment authorId="100" xr:uid="{d9f248d1-b0e0-4a0d-93f7-0caa97f9133c}" ref="P13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CTA X ANC R$ 135
AMARRAÇÃO R$ 69
DIFERENÇA DE FRETE ANC X CTA R$ 367
DIFERENÇA DE FRETE PG X SC R$ 200
</t>
      </text>
    </comment>
    <comment authorId="101" xr:uid="{dd84d9cd-865f-490a-b79b-879a5c96a00d}" ref="P1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R$ 520,00
</t>
      </text>
    </comment>
    <comment authorId="102" xr:uid="{de3254a7-cc1e-4389-b0c6-ea7fd2502522}" ref="P13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R$ 442,00
</t>
      </text>
    </comment>
    <comment authorId="103" xr:uid="{df610272-f6e5-49dd-b2a4-fba10b9e5520}" ref="P14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R$ 300
</t>
      </text>
    </comment>
    <comment authorId="104" xr:uid="{e1e7ff67-9975-4c07-a52e-e70f366f7122}" ref="P13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Antonio Carlos x Ponta Grossa
R$ 600,00
</t>
      </text>
    </comment>
    <comment authorId="105" xr:uid="{e3aa9460-1578-43f8-ac47-7068c26d6251}" ref="R10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cte 2190
</t>
      </text>
    </comment>
    <comment authorId="106" xr:uid="{eb6162b0-ecf8-46bb-9863-160371fff9df}" ref="P13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2x Cta x PG R$ 500
</t>
      </text>
    </comment>
    <comment authorId="107" xr:uid="{ec49e4a5-88ba-4910-8b26-300d619fdef9}" ref="P1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DESCARAGA R$ 312,00
</t>
      </text>
    </comment>
    <comment authorId="108" xr:uid="{ece7eb82-b649-46ff-beee-8ca6bd9eae21}" ref="P14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R$ 1500
Reply:
	taxa de descarga 412
</t>
      </text>
    </comment>
    <comment authorId="109" xr:uid="{ef3a9112-c1a3-4b4d-8999-f31dbfcd35e9}" ref="P1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R$ 598,00
</t>
      </text>
    </comment>
    <comment authorId="110" xr:uid="{f2e10fe8-cd1f-4ec7-aa29-66a097196f7e}" ref="P1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DESCARAGA R$ 300,00
</t>
      </text>
    </comment>
    <comment authorId="111" xr:uid="{f5130f21-3712-4cbc-8426-0bfc0fb279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Diferença de frete retorno R$ 431
</t>
      </text>
    </comment>
    <comment authorId="112" xr:uid="{f53583e1-7a91-4223-9356-589a5047e4c0}" ref="P1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R$ 798,00
</t>
      </text>
    </comment>
    <comment authorId="113" xr:uid="{f7819253-166c-49d9-8f68-88e0111ec856}" ref="P1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Pendencias FEMSA R$ 324,00
</t>
      </text>
    </comment>
    <comment authorId="114" xr:uid="{f7874e31-1247-49fb-96cf-6800c6ada45c}" ref="P14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R$ 442
Deslocamento Passos R$ 200
</t>
      </text>
    </comment>
    <comment authorId="115" xr:uid="{f8260078-fce2-4b56-b40d-659a5b9bcee9}" ref="P1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descarga R$ 494
Diferença de frete Anc x Cta 
R$ 208
</t>
      </text>
    </comment>
    <comment authorId="116" xr:uid="{f8de446f-b733-4d31-b2ea-e9814dbb06cb}" ref="P1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R$200,00 Diferença Frete 
R$65,00 Amarração
</t>
      </text>
    </comment>
    <comment authorId="117" xr:uid="{fbf54f39-d02f-4c76-964c-1725038f0628}" ref="P1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R$200,00 deslocamento
Reply:
	R$ 500,00 Deslocamento sp x pg
</t>
      </text>
    </comment>
    <comment authorId="118" xr:uid="{fc8ac2f9-d2f9-41db-aca0-1a7bf3424af8}" ref="AB8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 aberta na DT de ida, pois a de volta ñ estava integrada
</t>
      </text>
    </comment>
    <comment authorId="119" xr:uid="{fc9ea9e2-e1f9-48b7-9147-c9140cca3df6}" ref="P13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R$ 250,00
</t>
      </text>
    </comment>
    <comment authorId="120" xr:uid="{fd9b934d-572d-4b4b-b8a5-6768b0964acb}" ref="C13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Agendado coleta no OTM para 23/12 as 20h
</t>
      </text>
    </comment>
    <comment authorId="121" xr:uid="{fe7a13ff-4cc2-4cbd-890b-6ab95205dadb}" ref="P1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Deslocamento vazio SP/PR R$ 700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tc={9f3a499a-47f0-4f5b-879b-1126f24afbf7}</author>
  </authors>
  <commentList>
    <comment authorId="0" xr:uid="{9f3a499a-47f0-4f5b-879b-1126f24afbf7}" ref="A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0004655649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tc={0562f2e5-a393-4134-8f05-233303065f78}</author>
    <author>tc={0930370d-a859-4633-80ea-e84a652f991d}</author>
    <author>tc={3a7e2465-2a8a-485d-b4de-9d235507a6c1}</author>
    <author>tc={7f6ebe3c-aa2d-4aed-9b3d-86c6d3211c6c}</author>
    <author>tc={83a94070-dcaf-42c2-9023-f969fa4c6b64}</author>
    <author>tc={a6ddb213-037b-471e-8966-ad2f9c7522a7}</author>
    <author>tc={aa6d5eac-8c35-47f3-9b7c-00fa6ad8d72d}</author>
    <author>tc={cf02ccfb-df20-4d05-8344-a4798cf462d8}</author>
    <author>tc={e368cdab-0a7d-4ecb-be3a-48e7d7b23ec7}</author>
    <author>tc={fae09d1d-61ea-47e5-b2d6-d073a561be5c}</author>
  </authors>
  <commentList>
    <comment authorId="0" xr:uid="{0562f2e5-a393-4134-8f05-233303065f78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de borracharia
</t>
      </text>
    </comment>
    <comment authorId="1" xr:uid="{0930370d-a859-4633-80ea-e84a652f991d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de borracharia
</t>
      </text>
    </comment>
    <comment authorId="2" xr:uid="{3a7e2465-2a8a-485d-b4de-9d235507a6c1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Borracharia
</t>
      </text>
    </comment>
    <comment authorId="3" xr:uid="{7f6ebe3c-aa2d-4aed-9b3d-86c6d3211c6c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de borracharia
</t>
      </text>
    </comment>
    <comment authorId="4" xr:uid="{83a94070-dcaf-42c2-9023-f969fa4c6b64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de borracharia
</t>
      </text>
    </comment>
    <comment authorId="5" xr:uid="{a6ddb213-037b-471e-8966-ad2f9c7522a7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de borracharia
</t>
      </text>
    </comment>
    <comment authorId="6" xr:uid="{aa6d5eac-8c35-47f3-9b7c-00fa6ad8d72d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de borracharia
</t>
      </text>
    </comment>
    <comment authorId="7" xr:uid="{cf02ccfb-df20-4d05-8344-a4798cf462d8}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de borracharia
</t>
      </text>
    </comment>
    <comment authorId="8" xr:uid="{e368cdab-0a7d-4ecb-be3a-48e7d7b23ec7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borracharia
</t>
      </text>
    </comment>
    <comment authorId="9" xr:uid="{fae09d1d-61ea-47e5-b2d6-d073a561be5c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Preventiva borracharia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3">
      <text>
        <t xml:space="preserve">VEICULO A54920 SEGUIU VIAGEM DEVIDO A MANUTENÇÃO A58480
	-Michel Brito</t>
      </text>
    </comment>
    <comment authorId="0" ref="D18">
      <text>
        <t xml:space="preserve">VEICULO A54920 SEGUIU VIAGEM DEVIDO A MANUTENÇÃO A58580
	-Michel Brito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33">
      <text>
        <t xml:space="preserve">Disponibilidade da Operação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36">
      <text>
        <t xml:space="preserve">Disponibilidade da Operação</t>
      </text>
    </comment>
  </commentList>
</comments>
</file>

<file path=xl/sharedStrings.xml><?xml version="1.0" encoding="utf-8"?>
<sst xmlns="http://schemas.openxmlformats.org/spreadsheetml/2006/main" count="34221" uniqueCount="4062">
  <si>
    <t>DT</t>
  </si>
  <si>
    <t>REMESSA</t>
  </si>
  <si>
    <t>DATA</t>
  </si>
  <si>
    <t xml:space="preserve">PL </t>
  </si>
  <si>
    <t>Peso</t>
  </si>
  <si>
    <t>Frete</t>
  </si>
  <si>
    <t>Canal</t>
  </si>
  <si>
    <t>Cliente</t>
  </si>
  <si>
    <t>CNPJ Destinatário</t>
  </si>
  <si>
    <t>Origem</t>
  </si>
  <si>
    <t>Cidade</t>
  </si>
  <si>
    <t>UF</t>
  </si>
  <si>
    <t>Frota / Placa</t>
  </si>
  <si>
    <t>Tarifa OTM</t>
  </si>
  <si>
    <t>Margem CF</t>
  </si>
  <si>
    <t>Valor CF</t>
  </si>
  <si>
    <t>OC</t>
  </si>
  <si>
    <t>Romaneio</t>
  </si>
  <si>
    <t>Status</t>
  </si>
  <si>
    <t>Monitoramento (SM)</t>
  </si>
  <si>
    <t>DT/Hora Chegada Coleta</t>
  </si>
  <si>
    <t>Saída Coleta</t>
  </si>
  <si>
    <t>Tempo de Permanência</t>
  </si>
  <si>
    <t>Agenda Descarga</t>
  </si>
  <si>
    <t>DT/ Hora Chegada no Cliente</t>
  </si>
  <si>
    <t>Data/Hora Descarga</t>
  </si>
  <si>
    <t>OC Galileu / Shipsy</t>
  </si>
  <si>
    <t>Motivo</t>
  </si>
  <si>
    <t>Valor</t>
  </si>
  <si>
    <t>Baixa Galileu / Shipsy</t>
  </si>
  <si>
    <t>Upload de cahotos</t>
  </si>
  <si>
    <t>TE01</t>
  </si>
  <si>
    <t>DTB</t>
  </si>
  <si>
    <t>COMPAR RIO BRANCO-AC</t>
  </si>
  <si>
    <t>04.928.297/0020-73</t>
  </si>
  <si>
    <t>PONTA GROSSA</t>
  </si>
  <si>
    <t>RIO BRANCO</t>
  </si>
  <si>
    <t>AC</t>
  </si>
  <si>
    <t>AWB3J16 / MFR2D98</t>
  </si>
  <si>
    <t>OK</t>
  </si>
  <si>
    <t>CARREGADO</t>
  </si>
  <si>
    <t>09/01/2024 08:33</t>
  </si>
  <si>
    <t>09/01 18:25</t>
  </si>
  <si>
    <t>TE02</t>
  </si>
  <si>
    <t>TRF</t>
  </si>
  <si>
    <t>CDA CURITIBA-PR</t>
  </si>
  <si>
    <t>50.221.019/0083-82</t>
  </si>
  <si>
    <t>CURITIBA</t>
  </si>
  <si>
    <t>PR</t>
  </si>
  <si>
    <t>A18000</t>
  </si>
  <si>
    <t>04/01/2024 6:41</t>
  </si>
  <si>
    <t>04/01 13:30</t>
  </si>
  <si>
    <t>-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</si>
  <si>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</si>
  <si>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05/01/2024 23:56</t>
  </si>
  <si>
    <t>05/01 23:56</t>
  </si>
  <si>
    <t>SPAL JOINVILLE-SC</t>
  </si>
  <si>
    <t>61.186.888/0175-92</t>
  </si>
  <si>
    <t>JOINVILLE</t>
  </si>
  <si>
    <t>SC</t>
  </si>
  <si>
    <t>09/01 08:57</t>
  </si>
  <si>
    <t>CDA BLUMENAU-SC</t>
  </si>
  <si>
    <t>50.221.019/0077-34</t>
  </si>
  <si>
    <t>BLUMENAU</t>
  </si>
  <si>
    <t>A54730</t>
  </si>
  <si>
    <t>04/01 09:18</t>
  </si>
  <si>
    <t>SPAL ANTÔNIO CARLOS-SC</t>
  </si>
  <si>
    <t>61.186.888/0176-73</t>
  </si>
  <si>
    <t>ANTONIO CARLOS</t>
  </si>
  <si>
    <t>A54920</t>
  </si>
  <si>
    <t>10/01 07:54</t>
  </si>
  <si>
    <t>10/01 11:35</t>
  </si>
  <si>
    <t>06/01 17:31</t>
  </si>
  <si>
    <t>09/01 10:25</t>
  </si>
  <si>
    <t>ASD</t>
  </si>
  <si>
    <t>ASUN GRAVATAÍ-RS</t>
  </si>
  <si>
    <t>92.091.891/0001-57</t>
  </si>
  <si>
    <t>GRAVATAÍ</t>
  </si>
  <si>
    <t>RS</t>
  </si>
  <si>
    <t>16/01 13:36</t>
  </si>
  <si>
    <t>19/01 12:18</t>
  </si>
  <si>
    <t>30/01 10:00</t>
  </si>
  <si>
    <t>30/01 16:00</t>
  </si>
  <si>
    <t>A55160</t>
  </si>
  <si>
    <t>21/01  16:14</t>
  </si>
  <si>
    <t>22/01 07:42</t>
  </si>
  <si>
    <t>SPAL ANTÔNIO CARLOS -SC</t>
  </si>
  <si>
    <t>24/01 15:45</t>
  </si>
  <si>
    <t>24/01 18:41</t>
  </si>
  <si>
    <t>24/01  22:33</t>
  </si>
  <si>
    <t>25/01 10:16</t>
  </si>
  <si>
    <t xml:space="preserve">DBK SÃO JOSÉ DO RIO PRETO-SP </t>
  </si>
  <si>
    <t>14.886.581/0001-15</t>
  </si>
  <si>
    <t>SÃO JOSÉ DO RIO PRETO</t>
  </si>
  <si>
    <t>SP</t>
  </si>
  <si>
    <t>28/01 16:06</t>
  </si>
  <si>
    <t>29/01 15:58</t>
  </si>
  <si>
    <t>29/01 19:33</t>
  </si>
  <si>
    <t>06/02 08:36</t>
  </si>
  <si>
    <t>7 dias</t>
  </si>
  <si>
    <t>DIÁRIA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</si>
  <si>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DBK SÃO JOSÉ DO RIO PRETO-SP</t>
    </r>
  </si>
  <si>
    <t>30/01 22:23</t>
  </si>
  <si>
    <t>31/01  00:08</t>
  </si>
  <si>
    <t>HNK SÃO JOSÉ-SC</t>
  </si>
  <si>
    <t>50.221.019/0076-53</t>
  </si>
  <si>
    <t>SÃO JOSÉ</t>
  </si>
  <si>
    <t xml:space="preserve">OK </t>
  </si>
  <si>
    <t>PR CAP.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</si>
  <si>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</si>
  <si>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TE02 PR</t>
  </si>
  <si>
    <t>LAGO AZUL MARÍLIA-SP</t>
  </si>
  <si>
    <t>58.844.424/0002-01</t>
  </si>
  <si>
    <t>MARÍLIA</t>
  </si>
  <si>
    <t>SP INT.</t>
  </si>
  <si>
    <t>A56430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</si>
  <si>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</si>
  <si>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05.254.957/0038-70</t>
  </si>
  <si>
    <t>A55650</t>
  </si>
  <si>
    <t>A57390</t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</si>
  <si>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HNK SÃO JOSÉ-SC</t>
    </r>
  </si>
  <si>
    <t>TE02 SC</t>
  </si>
  <si>
    <r>
      <rPr>
        <rFont val="Calibri"/>
        <b/>
        <color rgb="FFFF0000"/>
        <sz val="10.0"/>
      </rPr>
      <t>(RETORNO TE02</t>
    </r>
    <r>
      <rPr>
        <rFont val="Calibri"/>
        <color theme="1"/>
        <sz val="10.0"/>
      </rPr>
      <t>) HNK SÃO JOSÉ-SC</t>
    </r>
  </si>
  <si>
    <t>08/02 08H</t>
  </si>
  <si>
    <t>LAGO AZUL REGENTE FEIJÓ-SP</t>
  </si>
  <si>
    <t>58.844.424/0003-84</t>
  </si>
  <si>
    <t>REGENTE FEIJÓ</t>
  </si>
  <si>
    <t>ORDEM</t>
  </si>
  <si>
    <t>A56620</t>
  </si>
  <si>
    <t>FALTA DE VASILHAME TE02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</si>
  <si>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</si>
  <si>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CANCELADA</t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</si>
  <si>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HNK SÃO JOSÉ-SC</t>
    </r>
  </si>
  <si>
    <t>SPAL SÃO JOSÉ DO RIO PRETO-SP</t>
  </si>
  <si>
    <t>61.186.888/0146-58</t>
  </si>
  <si>
    <t>09/02 10H</t>
  </si>
  <si>
    <t>CDA ITU-SP</t>
  </si>
  <si>
    <t>50.221.019/0047-19</t>
  </si>
  <si>
    <t>ITU</t>
  </si>
  <si>
    <t>CDA CAÇAPAVA-SP</t>
  </si>
  <si>
    <t>50.221.019/0084-63</t>
  </si>
  <si>
    <t>CAÇAPAVA</t>
  </si>
  <si>
    <t>A55660</t>
  </si>
  <si>
    <t>A47130</t>
  </si>
  <si>
    <t>A56750</t>
  </si>
  <si>
    <t>A55640</t>
  </si>
  <si>
    <t>A57130</t>
  </si>
  <si>
    <r>
      <rPr>
        <rFont val="Calibri"/>
        <color theme="1"/>
        <sz val="10.0"/>
      </rPr>
      <t xml:space="preserve">LAGO AZUL MARÍLIA-SP </t>
    </r>
    <r>
      <rPr>
        <rFont val="Calibri"/>
        <b/>
        <color rgb="FFFF0000"/>
        <sz val="10.0"/>
      </rPr>
      <t>LUSITANA</t>
    </r>
  </si>
  <si>
    <t>A57860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</si>
  <si>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</si>
  <si>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A54980</t>
  </si>
  <si>
    <t>A56360</t>
  </si>
  <si>
    <t>A57380</t>
  </si>
  <si>
    <t>FALTA DE VASILHAMES TE02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</si>
  <si>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</si>
  <si>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IMPORTADORA E EXPORTADORA DE CEREAIS LAJEADO-RS</t>
  </si>
  <si>
    <t>91.156.471/0001-49</t>
  </si>
  <si>
    <t>LAJEADO</t>
  </si>
  <si>
    <t>12/02 06H</t>
  </si>
  <si>
    <t>A55620</t>
  </si>
  <si>
    <r>
      <rPr>
        <rFont val="Calibri"/>
        <b/>
        <color rgb="FFFF0000"/>
        <sz val="10.0"/>
      </rPr>
      <t>(RETORNO TE02</t>
    </r>
    <r>
      <rPr>
        <rFont val="Calibri"/>
        <color theme="1"/>
        <sz val="10.0"/>
      </rPr>
      <t>) HNK SÃO JOSÉ-SC</t>
    </r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</si>
  <si>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HNK SÃO JOSÉ-SC</t>
    </r>
  </si>
  <si>
    <t>A55630</t>
  </si>
  <si>
    <t>16/02 09H</t>
  </si>
  <si>
    <r>
      <rPr>
        <rFont val="Calibri"/>
        <color theme="1"/>
        <sz val="10.0"/>
      </rPr>
      <t xml:space="preserve">LAGO AZUL MARÍLIA-SP </t>
    </r>
    <r>
      <rPr>
        <rFont val="Calibri"/>
        <b/>
        <color rgb="FFFF0000"/>
        <sz val="10.0"/>
      </rPr>
      <t>LUSITANA</t>
    </r>
  </si>
  <si>
    <t>RETIRADA</t>
  </si>
  <si>
    <t>A56540</t>
  </si>
  <si>
    <t>16/02 10H</t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</si>
  <si>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HNK SÃO JOSÉ-SC</t>
    </r>
  </si>
  <si>
    <t>A55890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</si>
  <si>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DBK SÃO JOSÉ DO RIO PRETO-SP</t>
    </r>
  </si>
  <si>
    <r>
      <rPr>
        <rFont val="Calibri"/>
        <color theme="1"/>
        <sz val="10.0"/>
      </rPr>
      <t xml:space="preserve">DBK SÃO JOSÉ DO RIO PRETO-SP </t>
    </r>
    <r>
      <rPr>
        <rFont val="Calibri"/>
        <b/>
        <color rgb="FFFF0000"/>
        <sz val="10.0"/>
      </rPr>
      <t>LUSITANA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</si>
  <si>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DBK SÃO JOSÉ DO RIO PRETO-SP</t>
    </r>
  </si>
  <si>
    <t>A57700</t>
  </si>
  <si>
    <r>
      <rPr>
        <rFont val="Calibri"/>
        <color theme="1"/>
        <sz val="10.0"/>
      </rPr>
      <t xml:space="preserve">LAGO AZUL REGENTE FEIJÓ </t>
    </r>
    <r>
      <rPr>
        <rFont val="Calibri"/>
        <b/>
        <color rgb="FFFF0000"/>
        <sz val="10.0"/>
      </rPr>
      <t>LUSITANA</t>
    </r>
  </si>
  <si>
    <t>A57980</t>
  </si>
  <si>
    <r>
      <rPr>
        <rFont val="Calibri"/>
        <color theme="1"/>
        <sz val="10.0"/>
      </rPr>
      <t xml:space="preserve">LAGO AZUL REGENTE FEIJÓ </t>
    </r>
    <r>
      <rPr>
        <rFont val="Calibri"/>
        <b/>
        <color rgb="FFFF0000"/>
        <sz val="10.0"/>
      </rPr>
      <t>LUSITANA</t>
    </r>
  </si>
  <si>
    <t>A58170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</si>
  <si>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DBK SÃO JOSÉ DO RIO PRETO-SP </t>
    </r>
  </si>
  <si>
    <t>LAGO AZUL REGENTE FEIJÓ</t>
  </si>
  <si>
    <t>A56370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</si>
  <si>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</si>
  <si>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color theme="1"/>
        <sz val="10.0"/>
      </rPr>
      <t xml:space="preserve">HNK SÃO JOSÉ-SC </t>
    </r>
    <r>
      <rPr>
        <rFont val="Calibri"/>
        <b/>
        <color rgb="FFFF0000"/>
        <sz val="10.0"/>
      </rPr>
      <t>LUSITANA</t>
    </r>
  </si>
  <si>
    <t>A56060</t>
  </si>
  <si>
    <t>A57620</t>
  </si>
  <si>
    <t>ATACADAO S.A. MARINGÁ-PR</t>
  </si>
  <si>
    <t>75.315.333/0009-66</t>
  </si>
  <si>
    <t>MARINGÁ</t>
  </si>
  <si>
    <t>PR OUT.</t>
  </si>
  <si>
    <t>19/02 07H</t>
  </si>
  <si>
    <t>TAUSTE  SUPERMARCADO ITU-SP</t>
  </si>
  <si>
    <t>65.897.910/0013-06</t>
  </si>
  <si>
    <t>A53130</t>
  </si>
  <si>
    <t>A57780</t>
  </si>
  <si>
    <t>ANTÔNIO CARLOS</t>
  </si>
  <si>
    <t>MBG6624/MHC3229</t>
  </si>
  <si>
    <t>28/02 12H</t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</si>
  <si>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CDA CAÇAPAVA-SP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</si>
  <si>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DBK SÃO JOSÉ DO RIO PRETO-SP </t>
    </r>
  </si>
  <si>
    <t xml:space="preserve"> SPAL PORTO ALEGRE-RS</t>
  </si>
  <si>
    <t>61.186.888/0158-91</t>
  </si>
  <si>
    <t>PORTO ALEGRE</t>
  </si>
  <si>
    <t>28/02 01H</t>
  </si>
  <si>
    <t>01/03 02H</t>
  </si>
  <si>
    <t>28/02 07H</t>
  </si>
  <si>
    <t>27/02 07H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</si>
  <si>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ITU-SP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</si>
  <si>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</si>
  <si>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FRIGO TABOÃO DA SERRA-SP</t>
  </si>
  <si>
    <t>27.909.269/0001-41</t>
  </si>
  <si>
    <t>TABOÃO DA SERRA</t>
  </si>
  <si>
    <t>SPAL CASCAVEL-PR</t>
  </si>
  <si>
    <t>61.186.888/0144-96</t>
  </si>
  <si>
    <t>CASCAVEL</t>
  </si>
  <si>
    <t>SPAL CURITIBA-PR</t>
  </si>
  <si>
    <t>61.186.888/0143-05</t>
  </si>
  <si>
    <t>A53930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</si>
  <si>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</si>
  <si>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SENDAS MARINGÁ-PR</t>
  </si>
  <si>
    <t>06.057.223/0453-53</t>
  </si>
  <si>
    <t>BOM DIA COMERCIAL DE ALIMENTOS MARINGÁ-PR</t>
  </si>
  <si>
    <t>04.014.412/0001-31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</si>
  <si>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</si>
  <si>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</si>
  <si>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REFRESCOS BANDEIRANTES MORRINHOS-GO</t>
  </si>
  <si>
    <t>03.380.763/0016-80</t>
  </si>
  <si>
    <t>MORRINHOS</t>
  </si>
  <si>
    <t>GO</t>
  </si>
  <si>
    <t>BEH8I39/BDQ9E28</t>
  </si>
  <si>
    <t>A57320</t>
  </si>
  <si>
    <t>ROLDÃO INDAIATUBA-SP</t>
  </si>
  <si>
    <t>05.800.256/0050-85</t>
  </si>
  <si>
    <t>INDAIATUBA</t>
  </si>
  <si>
    <t>91.156.471/0014-63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</si>
  <si>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</si>
  <si>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REFRESCOS BANDEIRANTES MORRINHOS-GO</t>
    </r>
  </si>
  <si>
    <t>CDA SÃO JOSÉ-SC</t>
  </si>
  <si>
    <t>SPAL ARAUCÁRIA-PR</t>
  </si>
  <si>
    <t>61.186.888/0125-23</t>
  </si>
  <si>
    <t>ARAUCÁRIA</t>
  </si>
  <si>
    <t>A12530</t>
  </si>
  <si>
    <t>SPAL CAMBÉ-PR</t>
  </si>
  <si>
    <t>61.186.888/0132-52</t>
  </si>
  <si>
    <t>CAMBÉ</t>
  </si>
  <si>
    <t>ANC6678/AAY3052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</si>
  <si>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</si>
  <si>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</si>
  <si>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A56090</t>
  </si>
  <si>
    <r>
      <rPr>
        <rFont val="Calibri"/>
        <b/>
        <color rgb="FFFF0000"/>
        <sz val="10.0"/>
      </rPr>
      <t xml:space="preserve">(REVERSA) </t>
    </r>
    <r>
      <rPr>
        <rFont val="Calibri"/>
        <color theme="1"/>
        <sz val="10.0"/>
      </rPr>
      <t>ROLDÃO INDAIATUBA-SP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</si>
  <si>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DBK SÃO JOSÉ DO RIO PRETO-SP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</si>
  <si>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BLUMENAU-SC</t>
    </r>
  </si>
  <si>
    <t>A58810</t>
  </si>
  <si>
    <t>A58060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</si>
  <si>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BLUMENAU-SC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</si>
  <si>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</si>
  <si>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</si>
  <si>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</si>
  <si>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BLUMENAU-SC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</si>
  <si>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BLUMENAU-SC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</si>
  <si>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BLUMENAU-SC</t>
    </r>
  </si>
  <si>
    <r>
      <rPr>
        <rFont val="Calibri"/>
        <color theme="1"/>
        <sz val="10.0"/>
      </rPr>
      <t xml:space="preserve">HNK SÃO JOSÉ-SC </t>
    </r>
    <r>
      <rPr>
        <rFont val="Calibri"/>
        <b/>
        <i/>
        <color rgb="FFFF0000"/>
        <sz val="10.0"/>
      </rPr>
      <t>LUSITANA</t>
    </r>
  </si>
  <si>
    <t>A58840</t>
  </si>
  <si>
    <t>KOCH HIPERMERCADO TIJUCAS-SC</t>
  </si>
  <si>
    <t>02.831.172/0011-04</t>
  </si>
  <si>
    <t>TIJUCAS</t>
  </si>
  <si>
    <t xml:space="preserve">LAGO AZUL JUNDIAÍ-SP </t>
  </si>
  <si>
    <t>58.844.424/0001-12</t>
  </si>
  <si>
    <t>JUNDIAÍ</t>
  </si>
  <si>
    <t>CDA GUARULHOS-SP</t>
  </si>
  <si>
    <t>05.254.957/0028-06</t>
  </si>
  <si>
    <t>GUARULHOS</t>
  </si>
  <si>
    <t>A58500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</si>
  <si>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</si>
  <si>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 xml:space="preserve">(RETORNO TE02) </t>
    </r>
    <r>
      <rPr>
        <rFont val="Calibri"/>
        <b val="0"/>
        <color rgb="FF000000"/>
        <sz val="10.0"/>
      </rPr>
      <t>CDA CURITIBA-PR</t>
    </r>
  </si>
  <si>
    <t>ROLDÃO BARUERI-SP</t>
  </si>
  <si>
    <t>05.800.256/0020-60</t>
  </si>
  <si>
    <t>BARUERI</t>
  </si>
  <si>
    <t>A59120</t>
  </si>
  <si>
    <t>A59060</t>
  </si>
  <si>
    <t>A59080</t>
  </si>
  <si>
    <t>A18000/RT2011</t>
  </si>
  <si>
    <t>A59000</t>
  </si>
  <si>
    <t>A59090</t>
  </si>
  <si>
    <r>
      <rPr>
        <rFont val="Calibri"/>
        <b/>
        <color rgb="FFFF0000"/>
        <sz val="10.0"/>
      </rPr>
      <t xml:space="preserve">(RETORNO TE02) </t>
    </r>
    <r>
      <rPr>
        <rFont val="Calibri"/>
        <b val="0"/>
        <color rgb="FF000000"/>
        <sz val="10.0"/>
      </rPr>
      <t>CDA CURITIBA-PR</t>
    </r>
  </si>
  <si>
    <t>A47130/RT2011</t>
  </si>
  <si>
    <t>1314673 / 1315801</t>
  </si>
  <si>
    <t>5108327 / 5115971</t>
  </si>
  <si>
    <r>
      <rPr>
        <rFont val="Calibri"/>
        <color theme="1"/>
        <sz val="10.0"/>
      </rPr>
      <t xml:space="preserve">KOCH HIPERMERCADO TIJUCAS-SC </t>
    </r>
    <r>
      <rPr>
        <rFont val="Calibri"/>
        <b/>
        <color rgb="FFFF0000"/>
        <sz val="10.0"/>
      </rPr>
      <t>LUSITANA</t>
    </r>
  </si>
  <si>
    <t>A59050/LS0004</t>
  </si>
  <si>
    <t>1314660 / 1319835</t>
  </si>
  <si>
    <t>5108241/5139764-5197067</t>
  </si>
  <si>
    <t>A59050</t>
  </si>
  <si>
    <t>1314637/1320452</t>
  </si>
  <si>
    <t>5116458/5143292</t>
  </si>
  <si>
    <t>A58960</t>
  </si>
  <si>
    <t>AWB3J16/MFR2D98</t>
  </si>
  <si>
    <t>A59070</t>
  </si>
  <si>
    <t>A55160/C1340</t>
  </si>
  <si>
    <t>A59160</t>
  </si>
  <si>
    <t>A55620/CARGA 02</t>
  </si>
  <si>
    <t xml:space="preserve">SDB PORTO BELO-SC </t>
  </si>
  <si>
    <t>09.477.652/0057-40</t>
  </si>
  <si>
    <t>PORTO BELO</t>
  </si>
  <si>
    <t>A59030</t>
  </si>
  <si>
    <t>CBD OSASCO - SP</t>
  </si>
  <si>
    <t>47.508.411/0832-64</t>
  </si>
  <si>
    <t>OSASCO</t>
  </si>
  <si>
    <t>A59110</t>
  </si>
  <si>
    <t>SENDAS DESTRIBUIDORA ARUJÁ-SP</t>
  </si>
  <si>
    <t>06.057.223/0277-03</t>
  </si>
  <si>
    <t>ARUJÁ</t>
  </si>
  <si>
    <t>A59170</t>
  </si>
  <si>
    <t>A59190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</si>
  <si>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</si>
  <si>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</si>
  <si>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5144354 - 5152071</t>
  </si>
  <si>
    <t xml:space="preserve">- 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</si>
  <si>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BLUMENAU-SC</t>
    </r>
  </si>
  <si>
    <t>CBD SÃO PAULO-SP</t>
  </si>
  <si>
    <t>47.508.411/0078-35</t>
  </si>
  <si>
    <t>SÃO PAULO</t>
  </si>
  <si>
    <t>A58930</t>
  </si>
  <si>
    <t>A59330/A59090</t>
  </si>
  <si>
    <t>5139515/5144003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</si>
  <si>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</si>
  <si>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</si>
  <si>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</si>
  <si>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</si>
  <si>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</si>
  <si>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</si>
  <si>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WMS PINHAIS-PR</t>
  </si>
  <si>
    <t>93.209.765/0236-72</t>
  </si>
  <si>
    <t>PINHAIS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</si>
  <si>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</si>
  <si>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</si>
  <si>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CDA ITU-SP</t>
    </r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</si>
  <si>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CDA ITU-SP</t>
    </r>
  </si>
  <si>
    <t>ATACADÃO PORTO VELHO/RO</t>
  </si>
  <si>
    <t>75.315.333/0213-78</t>
  </si>
  <si>
    <t>PORTO VELHO</t>
  </si>
  <si>
    <t>RO</t>
  </si>
  <si>
    <t>EPO0J95/CCU1J13</t>
  </si>
  <si>
    <r>
      <rPr>
        <rFont val="Calibri"/>
        <b/>
        <color rgb="FFFF0000"/>
        <sz val="10.0"/>
      </rPr>
      <t>(RETORMO T02)</t>
    </r>
    <r>
      <rPr>
        <rFont val="Calibri"/>
        <color theme="1"/>
        <sz val="10.0"/>
      </rPr>
      <t xml:space="preserve"> LAGO AZUL REGENTE FEIJÓ-SP</t>
    </r>
  </si>
  <si>
    <r>
      <rPr>
        <rFont val="Calibri"/>
        <b/>
        <color rgb="FFFF0000"/>
        <sz val="10.0"/>
      </rPr>
      <t>(RETORMO T02)</t>
    </r>
    <r>
      <rPr>
        <rFont val="Calibri"/>
        <color theme="1"/>
        <sz val="10.0"/>
      </rPr>
      <t xml:space="preserve"> LAGO AZUL REGENTE FEIJÓ-SP</t>
    </r>
  </si>
  <si>
    <t xml:space="preserve">A58930 </t>
  </si>
  <si>
    <t>A58890</t>
  </si>
  <si>
    <t>HND7A89/CLK2A45</t>
  </si>
  <si>
    <t>A58630</t>
  </si>
  <si>
    <t>A59460</t>
  </si>
  <si>
    <r>
      <rPr>
        <rFont val="Calibri"/>
        <color theme="1"/>
        <sz val="10.0"/>
      </rPr>
      <t xml:space="preserve">KOCH HIPERMERCADO TIJUCAS-SC </t>
    </r>
    <r>
      <rPr>
        <rFont val="Calibri"/>
        <b/>
        <i/>
        <color rgb="FFFF0000"/>
        <sz val="10.0"/>
      </rPr>
      <t>LUSITANA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</si>
  <si>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</si>
  <si>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IJQ9I44/RQP4B30</t>
  </si>
  <si>
    <t>TENDA ATACADAO S.A</t>
  </si>
  <si>
    <t>01.157.555/0036-34</t>
  </si>
  <si>
    <t>SALTO</t>
  </si>
  <si>
    <t>A56600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</si>
  <si>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</si>
  <si>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</si>
  <si>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</si>
  <si>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color theme="1"/>
        <sz val="10.0"/>
      </rPr>
      <t xml:space="preserve">CBD OSASCO - SP </t>
    </r>
    <r>
      <rPr>
        <rFont val="Calibri"/>
        <b/>
        <i/>
        <color rgb="FFFF0000"/>
        <sz val="10.0"/>
      </rPr>
      <t>LUSITANA</t>
    </r>
  </si>
  <si>
    <t>5205828-5219055</t>
  </si>
  <si>
    <r>
      <rPr>
        <rFont val="Calibri"/>
        <color theme="1"/>
        <sz val="10.0"/>
      </rPr>
      <t xml:space="preserve">CBD OSASCO - SP </t>
    </r>
    <r>
      <rPr>
        <rFont val="Calibri"/>
        <b/>
        <i/>
        <color rgb="FFFF0000"/>
        <sz val="10.0"/>
      </rPr>
      <t>LUSITANA</t>
    </r>
  </si>
  <si>
    <t>A58990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</si>
  <si>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</si>
  <si>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A59340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</si>
  <si>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</si>
  <si>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</si>
  <si>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</si>
  <si>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</si>
  <si>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01.157.555/0052-54</t>
  </si>
  <si>
    <t>ITATIBA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</si>
  <si>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</si>
  <si>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</si>
  <si>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</si>
  <si>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</si>
  <si>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</si>
  <si>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</si>
  <si>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</si>
  <si>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</si>
  <si>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</si>
  <si>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t>A56060/A59060/A56620</t>
  </si>
  <si>
    <t>1344281/1352079</t>
  </si>
  <si>
    <t>5291356/5337875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</si>
  <si>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</si>
  <si>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t>A59880</t>
  </si>
  <si>
    <t>A59860</t>
  </si>
  <si>
    <t>A59830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</si>
  <si>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</si>
  <si>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</si>
  <si>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t>A55890/A57620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</si>
  <si>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</si>
  <si>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</si>
  <si>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DECLINADO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</si>
  <si>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</si>
  <si>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t>A59570</t>
  </si>
  <si>
    <t>A59500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</si>
  <si>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</si>
  <si>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t>50.221.019/0089-78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</si>
  <si>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</si>
  <si>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1352761</t>
    </r>
    <r>
      <rPr>
        <rFont val="Calibri"/>
        <color theme="1"/>
        <sz val="10.0"/>
      </rPr>
      <t>-1353614</t>
    </r>
  </si>
  <si>
    <r>
      <rPr>
        <rFont val="Calibri"/>
        <b/>
        <color rgb="FFFF0000"/>
        <sz val="10.0"/>
      </rPr>
      <t>5342791</t>
    </r>
    <r>
      <rPr>
        <rFont val="Calibri"/>
        <color theme="1"/>
        <sz val="10.0"/>
      </rPr>
      <t>-5345195</t>
    </r>
  </si>
  <si>
    <t>A18000 PULMÃO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</si>
  <si>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</si>
  <si>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</si>
  <si>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</si>
  <si>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</si>
  <si>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</si>
  <si>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</si>
  <si>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 xml:space="preserve">CDA GUARULHOS-SP  </t>
  </si>
  <si>
    <t>ATACADÃO SÃO PAULO/SP</t>
  </si>
  <si>
    <t>75.315.333/0111-43</t>
  </si>
  <si>
    <t xml:space="preserve">A55630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</si>
  <si>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</si>
  <si>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</si>
  <si>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 ANGELONI &amp; CIA</t>
  </si>
  <si>
    <t>83.646.984/0069-06</t>
  </si>
  <si>
    <t>A18000/ATR6838</t>
  </si>
  <si>
    <t>1362409/ 1364003</t>
  </si>
  <si>
    <t>5413060/ 5423296</t>
  </si>
  <si>
    <t>A59600</t>
  </si>
  <si>
    <t>EPO0B21/STH3J29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</si>
  <si>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</si>
  <si>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t>IRMÃOS MUFFATO SÃO JOSE DOS PINHAIS-PR</t>
  </si>
  <si>
    <t>76.430.438/0101-34</t>
  </si>
  <si>
    <t xml:space="preserve">SÃO JOSE DOS PINHAIS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</si>
  <si>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</si>
  <si>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AM/PM COMESTÍVEIS LTDA</t>
  </si>
  <si>
    <t>40.299.810/0030-40</t>
  </si>
  <si>
    <t>SÃO JOSE DOS PINHAIS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</si>
  <si>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</si>
  <si>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</si>
  <si>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A60510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</si>
  <si>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</si>
  <si>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A59530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</si>
  <si>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CURITIBA-PR </t>
    </r>
  </si>
  <si>
    <t>A60690</t>
  </si>
  <si>
    <t>A60620</t>
  </si>
  <si>
    <t>MATÃO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</si>
  <si>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</si>
  <si>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</si>
  <si>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A60740</t>
  </si>
  <si>
    <t>A60560</t>
  </si>
  <si>
    <t>A60750</t>
  </si>
  <si>
    <t>A60780</t>
  </si>
  <si>
    <t>A60430</t>
  </si>
  <si>
    <t xml:space="preserve">A56620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</si>
  <si>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</si>
  <si>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ATACADAO S.A. PINHAIS-PR</t>
  </si>
  <si>
    <t>75.315.333/0177-70</t>
  </si>
  <si>
    <t xml:space="preserve">CENCOSUD BRASIL SÃO PAULO-SP </t>
  </si>
  <si>
    <t>39.346.861/0350-38</t>
  </si>
  <si>
    <t>A55390</t>
  </si>
  <si>
    <t>A60950</t>
  </si>
  <si>
    <t>1392513/1397468</t>
  </si>
  <si>
    <t>5554351/5578847</t>
  </si>
  <si>
    <t>ASUN GRAVATAI-RS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</si>
  <si>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</si>
  <si>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A61100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</si>
  <si>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</si>
  <si>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</si>
  <si>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A61010</t>
  </si>
  <si>
    <t>A61020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</si>
  <si>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</si>
  <si>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</si>
  <si>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</si>
  <si>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1402360/1403514</t>
  </si>
  <si>
    <t>5612613/5618731</t>
  </si>
  <si>
    <t>A60570</t>
  </si>
  <si>
    <t xml:space="preserve">47.508.411/2627-89 </t>
  </si>
  <si>
    <t xml:space="preserve">A60720 </t>
  </si>
  <si>
    <t>1403439/1407983</t>
  </si>
  <si>
    <t>5618212/5640531</t>
  </si>
  <si>
    <t>A61140</t>
  </si>
  <si>
    <t>19/09/2024</t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</si>
  <si>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CDA ITU-SP</t>
    </r>
  </si>
  <si>
    <t>ART7A06/SEL7A06</t>
  </si>
  <si>
    <t>1412423/1421963</t>
  </si>
  <si>
    <t>5662464/5706890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</si>
  <si>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</si>
  <si>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A61430</t>
  </si>
  <si>
    <t xml:space="preserve">A61140 </t>
  </si>
  <si>
    <t xml:space="preserve">A61400 </t>
  </si>
  <si>
    <t>26/09/2024</t>
  </si>
  <si>
    <t>SENDAS DESTRIBUIDORA FOZ DE IGUAÇU/PR</t>
  </si>
  <si>
    <t>06.057.223/0547-78</t>
  </si>
  <si>
    <r>
      <rPr>
        <rFont val="Calibri"/>
        <color rgb="FF000000"/>
        <sz val="10.0"/>
      </rPr>
      <t>FOZ DE IGUAÇU</t>
    </r>
  </si>
  <si>
    <t>A61380</t>
  </si>
  <si>
    <t>MOBEL MORETTO - ITAPETININGA/SP</t>
  </si>
  <si>
    <t>03.305.905/0001-68</t>
  </si>
  <si>
    <r>
      <rPr>
        <rFont val="Calibri"/>
        <color rgb="FF000000"/>
        <sz val="10.0"/>
      </rPr>
      <t>ITAPETININGA</t>
    </r>
  </si>
  <si>
    <t>30/09/2024</t>
  </si>
  <si>
    <t>A61170</t>
  </si>
  <si>
    <t xml:space="preserve">DIA BRASIL SOCIEDADE </t>
  </si>
  <si>
    <t>03.476.811/0211-59</t>
  </si>
  <si>
    <t>A61510</t>
  </si>
  <si>
    <t>A60720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</si>
  <si>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</si>
  <si>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</si>
  <si>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28/09/2024</t>
  </si>
  <si>
    <t>A58890/A55660</t>
  </si>
  <si>
    <t>1417018/ 1428598</t>
  </si>
  <si>
    <t>5685193 / 5738670 / 5751786</t>
  </si>
  <si>
    <t>IRMÃOS MUFFATO FOZ DE IGUAÇU/PR</t>
  </si>
  <si>
    <t>76.430.438/0086-60</t>
  </si>
  <si>
    <t>FOZ DE IGUAÇU</t>
  </si>
  <si>
    <t xml:space="preserve">A61450 </t>
  </si>
  <si>
    <t>JAD ZOGNHEIB &amp; CIA BAURU/SP</t>
  </si>
  <si>
    <t>BAURU</t>
  </si>
  <si>
    <t>27/09/2024</t>
  </si>
  <si>
    <t>A61060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</si>
  <si>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</si>
  <si>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</si>
  <si>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A61400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</si>
  <si>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</si>
  <si>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</si>
  <si>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</si>
  <si>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</si>
  <si>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</si>
  <si>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16/10/2024</t>
  </si>
  <si>
    <t>A61980</t>
  </si>
  <si>
    <t>14/10/2024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</si>
  <si>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</si>
  <si>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17/10/2024</t>
  </si>
  <si>
    <t>COMERCIAL SALOMAO LTDA BOTUCATU/SP</t>
  </si>
  <si>
    <t>45.517.083/0001-29</t>
  </si>
  <si>
    <t>BOTUCATU</t>
  </si>
  <si>
    <t>SUPERMERCADOS JAU SERVE LTDA JAÚ/SP</t>
  </si>
  <si>
    <t>03.640.467/0011-66</t>
  </si>
  <si>
    <t>JAÚ</t>
  </si>
  <si>
    <t>19/10/2024</t>
  </si>
  <si>
    <t>A60790</t>
  </si>
  <si>
    <t>22/10/2024</t>
  </si>
  <si>
    <t>21/10/2024</t>
  </si>
  <si>
    <t>23/10/2024</t>
  </si>
  <si>
    <r>
      <rPr>
        <rFont val="Calibri"/>
        <color rgb="FF000000"/>
        <sz val="10.0"/>
      </rPr>
      <t>ITAPETININGA</t>
    </r>
  </si>
  <si>
    <t>A62010</t>
  </si>
  <si>
    <t>26/10/2024</t>
  </si>
  <si>
    <t>28/10/2024</t>
  </si>
  <si>
    <r>
      <rPr>
        <rFont val="Calibri"/>
        <color rgb="FF000000"/>
        <sz val="10.0"/>
      </rPr>
      <t>ITAPETININGA</t>
    </r>
  </si>
  <si>
    <t>24/10/2024</t>
  </si>
  <si>
    <r>
      <rPr>
        <rFont val="Calibri"/>
        <color rgb="FF000000"/>
        <sz val="10.0"/>
      </rPr>
      <t>ITAPETININGA</t>
    </r>
  </si>
  <si>
    <t>29/10/2024</t>
  </si>
  <si>
    <t>30/10/2024</t>
  </si>
  <si>
    <t xml:space="preserve"> A61450</t>
  </si>
  <si>
    <t>31/10/2024</t>
  </si>
  <si>
    <t>25/10/2024</t>
  </si>
  <si>
    <t>A62300</t>
  </si>
  <si>
    <t>A62420</t>
  </si>
  <si>
    <t>31/10/2024 11:00</t>
  </si>
  <si>
    <t>DESCARTE PALETE</t>
  </si>
  <si>
    <t>A62440</t>
  </si>
  <si>
    <r>
      <rPr>
        <rFont val="Calibri"/>
        <color rgb="FFFF0000"/>
        <sz val="10.0"/>
      </rPr>
      <t xml:space="preserve">734229 </t>
    </r>
    <r>
      <rPr>
        <rFont val="Calibri"/>
        <color theme="1"/>
        <sz val="10.0"/>
      </rPr>
      <t>/ 733273</t>
    </r>
  </si>
  <si>
    <t>DIARIA / DESCARTE PALETE</t>
  </si>
  <si>
    <t>A62490</t>
  </si>
  <si>
    <t xml:space="preserve">A61380 </t>
  </si>
  <si>
    <t>A61270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</si>
  <si>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</si>
  <si>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DIARIA</t>
  </si>
  <si>
    <t>47.508.411/0581-54</t>
  </si>
  <si>
    <t>A61710</t>
  </si>
  <si>
    <t>13/11/2024 06:00</t>
  </si>
  <si>
    <t>13/11/2024 21:00</t>
  </si>
  <si>
    <t>14/11/2024 06:00</t>
  </si>
  <si>
    <t>14/11/2024 10:00</t>
  </si>
  <si>
    <t>14/11/2024 22:00</t>
  </si>
  <si>
    <t>14/11/2024 13:00</t>
  </si>
  <si>
    <t>15/11/2024 01:00</t>
  </si>
  <si>
    <t>20/11/2024</t>
  </si>
  <si>
    <t xml:space="preserve">A62780 </t>
  </si>
  <si>
    <t>21/11/2024 08:30</t>
  </si>
  <si>
    <t>22/11/2024 10:40</t>
  </si>
  <si>
    <t>747307/ 759955</t>
  </si>
  <si>
    <t>SEM PREVISÃO NA DESCARGA CLIENTE</t>
  </si>
  <si>
    <t>19/11/2024</t>
  </si>
  <si>
    <t>20/11/2024 07:00</t>
  </si>
  <si>
    <t>20/11/2024 20:00</t>
  </si>
  <si>
    <t>746417/ 746772</t>
  </si>
  <si>
    <t>SEM PREVISÃO DESCARGA CLIENTE/ SEM SALDO RETORNO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</si>
  <si>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</si>
  <si>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SEM VASILHAME</t>
  </si>
  <si>
    <t>SEM RETORNO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</si>
  <si>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</si>
  <si>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22/11/2024 14:00</t>
  </si>
  <si>
    <t>23/11/2024 10:00</t>
  </si>
  <si>
    <t>SEM PREVISÃO DESCARGA FABRICA</t>
  </si>
  <si>
    <t>21/11/2024</t>
  </si>
  <si>
    <t>A62620</t>
  </si>
  <si>
    <t>23/11/2024  22:00</t>
  </si>
  <si>
    <t>25/11/2024 10:50</t>
  </si>
  <si>
    <r>
      <rPr>
        <rFont val="Calibri"/>
        <color rgb="FFFF0000"/>
        <sz val="10.0"/>
      </rPr>
      <t xml:space="preserve"> (RETORNO TE02)</t>
    </r>
    <r>
      <rPr>
        <rFont val="Calibri"/>
        <color theme="1"/>
        <sz val="10.0"/>
      </rPr>
      <t xml:space="preserve"> CDA GUARULHOS-SP</t>
    </r>
  </si>
  <si>
    <t>A62620 RETORNO</t>
  </si>
  <si>
    <t>26/11/2024 08:00</t>
  </si>
  <si>
    <t>28/11/2024 17:30</t>
  </si>
  <si>
    <t xml:space="preserve">SEM PREVISÃO DE DESCARGA </t>
  </si>
  <si>
    <t>22/11/2024  11:00</t>
  </si>
  <si>
    <t>22/11/2023 16:05</t>
  </si>
  <si>
    <t>748042/749553</t>
  </si>
  <si>
    <t>23/11/2024</t>
  </si>
  <si>
    <t>A62890</t>
  </si>
  <si>
    <t>25/11/2024 15:55</t>
  </si>
  <si>
    <t>25/11/2024 18:50</t>
  </si>
  <si>
    <t>SEM PREVISAO DESCARGA FÁBRICA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</si>
  <si>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</si>
  <si>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A62890 RETORNO</t>
  </si>
  <si>
    <t>27/11/2024 11:50</t>
  </si>
  <si>
    <t>27/11/2024 22:20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</si>
  <si>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</si>
  <si>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22/11/2024</t>
  </si>
  <si>
    <t>25/11/2024 08:45</t>
  </si>
  <si>
    <t>25/11/2024 19:35</t>
  </si>
  <si>
    <t>SEM AGENDA SPAL</t>
  </si>
  <si>
    <t>28/11/2024</t>
  </si>
  <si>
    <t>CASA AVENIDA COMERCIO E IMPORTAÇÃO CANDIDO MOTA SP</t>
  </si>
  <si>
    <t>44.358.067/0037-89</t>
  </si>
  <si>
    <t xml:space="preserve">CANDIDO MOTA </t>
  </si>
  <si>
    <t>29/11/2024 06:00</t>
  </si>
  <si>
    <t>755575/760765</t>
  </si>
  <si>
    <t>PERDA DE AGENDA - ATRASO FÁBRICA/ TAXA DE DESCARGA</t>
  </si>
  <si>
    <t>A62940</t>
  </si>
  <si>
    <t>25/11/2024 10:35</t>
  </si>
  <si>
    <t>25/11/2024 16:55</t>
  </si>
  <si>
    <t>SEM PREVISÃO DE DESCARGA CLIENTE</t>
  </si>
  <si>
    <t xml:space="preserve">A62900 </t>
  </si>
  <si>
    <t>24/11/2024 09:00</t>
  </si>
  <si>
    <t>25/11/2024 09:40</t>
  </si>
  <si>
    <t>26/11/2024</t>
  </si>
  <si>
    <t xml:space="preserve">A62930 </t>
  </si>
  <si>
    <t>27/11/2024 10:30</t>
  </si>
  <si>
    <t>27/11/2024 15:00</t>
  </si>
  <si>
    <t>27/11/2024</t>
  </si>
  <si>
    <t>A63120</t>
  </si>
  <si>
    <t>27/11/2024 18:30</t>
  </si>
  <si>
    <t>756953/757265</t>
  </si>
  <si>
    <t>AVARIA/SEM PREVISAO DESCARGA FÁBRICA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</si>
  <si>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</si>
  <si>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A63120 RETORNO</t>
  </si>
  <si>
    <t>29/11/2024</t>
  </si>
  <si>
    <t>AYY5D91</t>
  </si>
  <si>
    <t>28/11/2024 00:00</t>
  </si>
  <si>
    <t>AVARIA DESCARTE</t>
  </si>
  <si>
    <t>AYZ6C77</t>
  </si>
  <si>
    <t>30/11/2024</t>
  </si>
  <si>
    <r>
      <rPr>
        <rFont val="Calibri"/>
        <color rgb="FF000000"/>
        <sz val="10.0"/>
      </rPr>
      <t>ITAPETININGA</t>
    </r>
  </si>
  <si>
    <t xml:space="preserve">A63080 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</si>
  <si>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MOBEL MORETTO - ITAPETININGA/SP</t>
    </r>
  </si>
  <si>
    <r>
      <rPr>
        <rFont val="Calibri"/>
        <color rgb="FF000000"/>
        <sz val="10.0"/>
      </rPr>
      <t>ITAPETININGA</t>
    </r>
  </si>
  <si>
    <t>A63080  RETORNO</t>
  </si>
  <si>
    <t>IRMAOS MUFFATO S.A</t>
  </si>
  <si>
    <t>FOZ DO IGUAÇU</t>
  </si>
  <si>
    <t>755372/756598</t>
  </si>
  <si>
    <t>PERDA DE AGENDA/ TAXA DE DESCARGA</t>
  </si>
  <si>
    <t xml:space="preserve">A62940 </t>
  </si>
  <si>
    <t xml:space="preserve">A63180 </t>
  </si>
  <si>
    <t xml:space="preserve">A62920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</si>
  <si>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</si>
  <si>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47.508.411/0106-23</t>
  </si>
  <si>
    <t>A60340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</si>
  <si>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</si>
  <si>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A63080 RETORNO</t>
  </si>
  <si>
    <t xml:space="preserve">A61710 </t>
  </si>
  <si>
    <t>761703/762649/768166</t>
  </si>
  <si>
    <t>SEM PREVISAO DESCARGA CLIENTE/ DEV ATIVOS PALLET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</si>
  <si>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</si>
  <si>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.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</si>
  <si>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</si>
  <si>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 xml:space="preserve"> A60560 RETORNO</t>
  </si>
  <si>
    <t>14/12/2024</t>
  </si>
  <si>
    <t>A63400</t>
  </si>
  <si>
    <t>16/12/2024 08:50</t>
  </si>
  <si>
    <t>16/12/2024 14:40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</si>
  <si>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</si>
  <si>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A61710 RETORNO</t>
  </si>
  <si>
    <t>13/12/2024 19:00</t>
  </si>
  <si>
    <t>SÃO JOSÉ DOS PINHAIS</t>
  </si>
  <si>
    <t>13/12/2024 06:15</t>
  </si>
  <si>
    <t>13/12/2024 16:35</t>
  </si>
  <si>
    <t>765522 /765576/ 765583</t>
  </si>
  <si>
    <t>TAXA DE DESCARGA /DESC. PALLET/ AVARIA</t>
  </si>
  <si>
    <t>A63380</t>
  </si>
  <si>
    <r>
      <rPr>
        <rFont val="Calibri"/>
        <color rgb="FF000000"/>
        <sz val="10.0"/>
      </rPr>
      <t>ITAPETININGA</t>
    </r>
  </si>
  <si>
    <t xml:space="preserve">A60560 </t>
  </si>
  <si>
    <t>13/12/2024 11:40</t>
  </si>
  <si>
    <t>14/12/2024 15:30</t>
  </si>
  <si>
    <t>15/12/2024 12:00</t>
  </si>
  <si>
    <t>SEM PREVISAO DESCARGA CLIENTE</t>
  </si>
  <si>
    <t xml:space="preserve">A61510 </t>
  </si>
  <si>
    <t>14/12/2024 13:20</t>
  </si>
  <si>
    <t>14/12/2024 16:30</t>
  </si>
  <si>
    <t>FALTA DE VASILHAME TOTAL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</si>
  <si>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</si>
  <si>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A61510 SEM VASILHAME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</si>
  <si>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</si>
  <si>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A60560 RETORNO</t>
  </si>
  <si>
    <t>17/12/2024 08:15</t>
  </si>
  <si>
    <t>18/12/2024 09:05</t>
  </si>
  <si>
    <t>13/12/2024</t>
  </si>
  <si>
    <r>
      <rPr>
        <rFont val="Calibri"/>
        <color rgb="FF000000"/>
        <sz val="10.0"/>
      </rPr>
      <t>ITAPETININGA</t>
    </r>
  </si>
  <si>
    <t>16/12/2024 10:20</t>
  </si>
  <si>
    <t>16/12/2024 16:10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</si>
  <si>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MOBEL MORETTO - ITAPETININGA/SP</t>
    </r>
  </si>
  <si>
    <r>
      <rPr>
        <rFont val="Calibri"/>
        <color rgb="FF000000"/>
        <sz val="10.0"/>
      </rPr>
      <t>ITAPETININGA</t>
    </r>
  </si>
  <si>
    <t>17/12/2024 08:00</t>
  </si>
  <si>
    <t>18/12/2024 13:20</t>
  </si>
  <si>
    <t>16/12/2024</t>
  </si>
  <si>
    <t>A63320</t>
  </si>
  <si>
    <t>18/12/2024 13:10</t>
  </si>
  <si>
    <t>18/12/2024 21:30</t>
  </si>
  <si>
    <t>A63330</t>
  </si>
  <si>
    <t>17/12/2024 15:00</t>
  </si>
  <si>
    <t>18/12/2024  02:30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</si>
  <si>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</si>
  <si>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A63320 RETORNO</t>
  </si>
  <si>
    <t>R$ 1,795.00</t>
  </si>
  <si>
    <t>19/12/2024 17:40</t>
  </si>
  <si>
    <t>26/12/2024 21:05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</si>
  <si>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</si>
  <si>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A63330 RETORNO</t>
  </si>
  <si>
    <t>19/12/2024 13:55</t>
  </si>
  <si>
    <t>20/12/2024 06:00</t>
  </si>
  <si>
    <t>18/12/2024</t>
  </si>
  <si>
    <t xml:space="preserve">A62440 </t>
  </si>
  <si>
    <t>20/12/2024 06:20</t>
  </si>
  <si>
    <t>20/12/2024 11:10</t>
  </si>
  <si>
    <t>R$ 1,325.00</t>
  </si>
  <si>
    <t>19/12/2024 14:40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</si>
  <si>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</si>
  <si>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20/12/2024 20:30</t>
  </si>
  <si>
    <t>23/12/2024 22:00</t>
  </si>
  <si>
    <t>17/12/2024</t>
  </si>
  <si>
    <t xml:space="preserve">A63410 </t>
  </si>
  <si>
    <t>17/12/2024 09:00</t>
  </si>
  <si>
    <t>19/12/2024 18:10</t>
  </si>
  <si>
    <t>20/12/2024 02:10</t>
  </si>
  <si>
    <t>SEM VASILHAME RET.</t>
  </si>
  <si>
    <t>20/12/2024 08:10</t>
  </si>
  <si>
    <t>20/12/2024 14:10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</si>
  <si>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</si>
  <si>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A63410 SEM VASILHAME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</si>
  <si>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</si>
  <si>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23/12/2024 09:10</t>
  </si>
  <si>
    <t>23/12/2024 17:20</t>
  </si>
  <si>
    <t>19/12/2024</t>
  </si>
  <si>
    <t>20/12/2024 16:30</t>
  </si>
  <si>
    <t>20/12/2024 21:10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</si>
  <si>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</si>
  <si>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A62920 RETORNO</t>
  </si>
  <si>
    <t>21/12/2024 16:40</t>
  </si>
  <si>
    <t>23/12/2024 00:40</t>
  </si>
  <si>
    <t>20/12/2024</t>
  </si>
  <si>
    <t>A63500</t>
  </si>
  <si>
    <t>23/12/2024 13:00</t>
  </si>
  <si>
    <t>23/12/2024 20:10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</si>
  <si>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</si>
  <si>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A63500 RETORNO</t>
  </si>
  <si>
    <t>24/12/2024 20:30</t>
  </si>
  <si>
    <t>26/12/2024 10:00</t>
  </si>
  <si>
    <t>27/12/2024 21:20</t>
  </si>
  <si>
    <t>21/12/2024</t>
  </si>
  <si>
    <t>A63530</t>
  </si>
  <si>
    <t>21/12/2024 10:30</t>
  </si>
  <si>
    <t>21/12/2024 14:55</t>
  </si>
  <si>
    <t>23/12/2024 08:00</t>
  </si>
  <si>
    <t>23/12/2024 15:35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</si>
  <si>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</si>
  <si>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A63530 RETORNO</t>
  </si>
  <si>
    <t>24/12/2024 10:25</t>
  </si>
  <si>
    <t>26/12/2024 08:25</t>
  </si>
  <si>
    <t>20/12/2024 12:40</t>
  </si>
  <si>
    <t>20/12/2024 14:50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</si>
  <si>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</si>
  <si>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20/12/2024 18:00</t>
  </si>
  <si>
    <t>22/12/2024 15:00</t>
  </si>
  <si>
    <t>20/12/2024 09:10</t>
  </si>
  <si>
    <t>20/12/2024 12:30</t>
  </si>
  <si>
    <t>A63470</t>
  </si>
  <si>
    <t>21/12/2024 14:45</t>
  </si>
  <si>
    <t>23/12/2024 06:30</t>
  </si>
  <si>
    <t>23/12/2024 09:35</t>
  </si>
  <si>
    <t>23/12/2024</t>
  </si>
  <si>
    <r>
      <rPr>
        <rFont val="Calibri"/>
        <color rgb="FF000000"/>
        <sz val="10.0"/>
      </rPr>
      <t>ITAPETININGA</t>
    </r>
  </si>
  <si>
    <t>27/12/2024 06:00</t>
  </si>
  <si>
    <t>27/12/2024 10:00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</si>
  <si>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MOBEL MORETTO - ITAPETININGA/SP</t>
    </r>
  </si>
  <si>
    <r>
      <rPr>
        <rFont val="Calibri"/>
        <color rgb="FF000000"/>
        <sz val="10.0"/>
      </rPr>
      <t>ITAPETININGA</t>
    </r>
  </si>
  <si>
    <t>27/12/2024 18:00</t>
  </si>
  <si>
    <t>30/12/2024 11:00</t>
  </si>
  <si>
    <t>777369 ( na DT de ida )/778171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</si>
  <si>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</si>
  <si>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A62440 RETORNO</t>
  </si>
  <si>
    <t>21/12/2024 11:40</t>
  </si>
  <si>
    <t>23/12/2024 05:30</t>
  </si>
  <si>
    <t>772670/776211</t>
  </si>
  <si>
    <t>26/12/2024</t>
  </si>
  <si>
    <t>27/12/2024 08:50</t>
  </si>
  <si>
    <t>27/12/2024 15:30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</si>
  <si>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</si>
  <si>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 xml:space="preserve">28/12/2024 10:05 </t>
  </si>
  <si>
    <t>29/12/2024 01:30</t>
  </si>
  <si>
    <t>777383 ( na DT de ida)</t>
  </si>
  <si>
    <r>
      <rPr>
        <rFont val="Calibri"/>
        <color rgb="FF000000"/>
        <sz val="10.0"/>
      </rPr>
      <t>ITAPETININGA</t>
    </r>
  </si>
  <si>
    <t xml:space="preserve">A60950 </t>
  </si>
  <si>
    <t>27/12/2024 16:00</t>
  </si>
  <si>
    <t>28/12/2024 9:00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</si>
  <si>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MOBEL MORETTO - ITAPETININGA/SP</t>
    </r>
  </si>
  <si>
    <r>
      <rPr>
        <rFont val="Calibri"/>
        <color rgb="FF000000"/>
        <sz val="10.0"/>
      </rPr>
      <t>ITAPETININGA</t>
    </r>
  </si>
  <si>
    <t>A60950 RETORNO</t>
  </si>
  <si>
    <t>30/12/2024  09:15</t>
  </si>
  <si>
    <t>27/12/2024 19:00</t>
  </si>
  <si>
    <t>27/12/2024</t>
  </si>
  <si>
    <t>28/12/2024 08:30</t>
  </si>
  <si>
    <t>28/12/2024 11:10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</si>
  <si>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</si>
  <si>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A63470 RETORNO</t>
  </si>
  <si>
    <t>29/12/2024 10:00</t>
  </si>
  <si>
    <t>30/12/2024 05:40</t>
  </si>
  <si>
    <t>28/12/2024 08:00</t>
  </si>
  <si>
    <t>28/12/2024 11:30</t>
  </si>
  <si>
    <t>A63440</t>
  </si>
  <si>
    <t>30/12 06:00</t>
  </si>
  <si>
    <t>30/12/2024 08:00</t>
  </si>
  <si>
    <t>30/12/2024 12:35</t>
  </si>
  <si>
    <t>A63430</t>
  </si>
  <si>
    <t>30/12/2024 12:15</t>
  </si>
  <si>
    <t>DESCARTE DE PALLET</t>
  </si>
  <si>
    <t>784002/785072</t>
  </si>
  <si>
    <t>PEDAGIO/ RET VAZIO</t>
  </si>
  <si>
    <t xml:space="preserve">        A62740        </t>
  </si>
  <si>
    <t>PEDAGIO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</si>
  <si>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</si>
  <si>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A61710 SEM VASILHAME</t>
  </si>
  <si>
    <t>30/12/2024</t>
  </si>
  <si>
    <t>A62920</t>
  </si>
  <si>
    <t>780613/ 780626</t>
  </si>
  <si>
    <t>AVARIA/ DEV ATIVOS</t>
  </si>
  <si>
    <t>28/12/2024</t>
  </si>
  <si>
    <t>SDB COMERCIO DE ALIMENTOS SÃO LEOPOLDO-RS</t>
  </si>
  <si>
    <t>09.477.652/0143-08</t>
  </si>
  <si>
    <t>SÃO LEOPOLDO</t>
  </si>
  <si>
    <t>778057/791639</t>
  </si>
  <si>
    <t>AGENDA FUTURA/ DESCARTE DE PALLET</t>
  </si>
  <si>
    <t xml:space="preserve">A63440 </t>
  </si>
  <si>
    <t>A61130</t>
  </si>
  <si>
    <t>784025/784301</t>
  </si>
  <si>
    <t>PEDAGIO/ SEM PREVISAO DESCARGA CLIENTE</t>
  </si>
  <si>
    <t>A63590</t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</si>
  <si>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</si>
  <si>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A63440 SEM VASILHAME</t>
  </si>
  <si>
    <t>A62760</t>
  </si>
  <si>
    <t>784911/786088</t>
  </si>
  <si>
    <t>PEDAGIO/ DIARIA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</si>
  <si>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</si>
  <si>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A61510 RETORNO</t>
  </si>
  <si>
    <t>14/01/2025 13:00</t>
  </si>
  <si>
    <t>787236/ 788422</t>
  </si>
  <si>
    <t>SEM PREVISAO DESCARGA FÁBRICA / PEDAGIO</t>
  </si>
  <si>
    <t xml:space="preserve">A63500 </t>
  </si>
  <si>
    <t xml:space="preserve">A61130 </t>
  </si>
  <si>
    <t>15/01/2025 11:00</t>
  </si>
  <si>
    <t>786467/786473/789644/789629</t>
  </si>
  <si>
    <t>PEDAGIO/ FALTA DE AGENDA/AVARIA/DESC. PALLET</t>
  </si>
  <si>
    <t>13/01/2025</t>
  </si>
  <si>
    <t>15/01/2025 09:40</t>
  </si>
  <si>
    <t>15/01/2025 11:15</t>
  </si>
  <si>
    <t xml:space="preserve">A63590 </t>
  </si>
  <si>
    <t>785785/786425</t>
  </si>
  <si>
    <t>15/01/2025 10:00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</si>
  <si>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</si>
  <si>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A63590 SEM VASILHAME</t>
  </si>
  <si>
    <t>786103/786433/789565/789560</t>
  </si>
  <si>
    <t>13/01 05:00</t>
  </si>
  <si>
    <t>13/01/2025 00:00</t>
  </si>
  <si>
    <t>13/01/2025 10:20</t>
  </si>
  <si>
    <t>787568/ 787810/787829</t>
  </si>
  <si>
    <t>PEDAGIO/ AVARIA/ DESCARTE PALLET</t>
  </si>
  <si>
    <t xml:space="preserve">A63650 </t>
  </si>
  <si>
    <t>15/01/2025 10:15</t>
  </si>
  <si>
    <t>15/01/2025 13:00</t>
  </si>
  <si>
    <t>13/01/2025 7:00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</si>
  <si>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</si>
  <si>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A63710/ A63770 RETORNO</t>
  </si>
  <si>
    <t>23/01/2025 21:30</t>
  </si>
  <si>
    <t>26/01/2025 16:35</t>
  </si>
  <si>
    <t>796353/ 800515</t>
  </si>
  <si>
    <t>SEM PREVISAO DESCARGA  FABRICA/ PEDAGIO</t>
  </si>
  <si>
    <t>A63610/A63710</t>
  </si>
  <si>
    <t>16/01/2025 21:00</t>
  </si>
  <si>
    <t>17/01/2025 02:10</t>
  </si>
  <si>
    <t>15/01/2025</t>
  </si>
  <si>
    <t>A63640</t>
  </si>
  <si>
    <t>17/01 05:00</t>
  </si>
  <si>
    <t>17/01/2025  12:00</t>
  </si>
  <si>
    <t>18/01/2025 01:00</t>
  </si>
  <si>
    <t>791609/795472</t>
  </si>
  <si>
    <t>AGENDA QUEIMADA/PEDAGIO</t>
  </si>
  <si>
    <t>18/01/2025</t>
  </si>
  <si>
    <t>18/01/2025 18:15</t>
  </si>
  <si>
    <t>18/01/2025 21:30</t>
  </si>
  <si>
    <t>21/01 02:00</t>
  </si>
  <si>
    <t>21/01/2025 02:00</t>
  </si>
  <si>
    <t>21/01/2025 20:40</t>
  </si>
  <si>
    <t>793961/795479</t>
  </si>
  <si>
    <t>SEM PREVISAO DESCARGA CLIENTE/ PEDAGIO</t>
  </si>
  <si>
    <t>22/01/2025</t>
  </si>
  <si>
    <t>SHIBATA COM. ATAC. DE MERCADORIAS EM GERAL LTDA</t>
  </si>
  <si>
    <t>09.358.143/0003-06</t>
  </si>
  <si>
    <t xml:space="preserve">MOGI DAS CRUZES </t>
  </si>
  <si>
    <t>22/01/2025 08:55</t>
  </si>
  <si>
    <t>22/01/2025 11:10</t>
  </si>
  <si>
    <t>24/01 07:00</t>
  </si>
  <si>
    <t>23/01/2025 12:00</t>
  </si>
  <si>
    <t>23/01/2025 16:30</t>
  </si>
  <si>
    <t xml:space="preserve">TAXA DE DESCARGA/ </t>
  </si>
  <si>
    <t>23/01/2025</t>
  </si>
  <si>
    <t>A63800</t>
  </si>
  <si>
    <t>27/01/2025 11:35</t>
  </si>
  <si>
    <t>27/01/2025 14:35</t>
  </si>
  <si>
    <t>23/01/2025 09:10</t>
  </si>
  <si>
    <t>27/01/2025 15:25</t>
  </si>
  <si>
    <t>27/01/2025 18:25</t>
  </si>
  <si>
    <t>RET VAZIO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</si>
  <si>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</si>
  <si>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A63640 SEM VASILHAME</t>
  </si>
  <si>
    <t>28/01/2025</t>
  </si>
  <si>
    <t>DISTRIBUIDORA DE BEBIDAS GRACIOLI  IGREJINHA-RS</t>
  </si>
  <si>
    <t>00.443.241/0001-05</t>
  </si>
  <si>
    <t>IGREJINHA</t>
  </si>
  <si>
    <t>VESPASIANO CORREIA</t>
  </si>
  <si>
    <t>IOZ9E30</t>
  </si>
  <si>
    <t>31/01/2025 08:25</t>
  </si>
  <si>
    <t>31/01/2025  11:25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</si>
  <si>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DISTRIBUIDORA DE BEBIDAS GRACIOLI  IGREJINHA-RS</t>
    </r>
  </si>
  <si>
    <t xml:space="preserve">VESPASIANO </t>
  </si>
  <si>
    <t>IOZ9E30 RETORNO</t>
  </si>
  <si>
    <t>27/01/2025</t>
  </si>
  <si>
    <t xml:space="preserve">A63820 </t>
  </si>
  <si>
    <t>27/01/2025 17:45</t>
  </si>
  <si>
    <t>27/01/2025 00:00</t>
  </si>
  <si>
    <t>28/01/2025 21:10</t>
  </si>
  <si>
    <t>29/01/2025 11:10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</si>
  <si>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</si>
  <si>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A63820 RETORNO</t>
  </si>
  <si>
    <t>30/01/2025 23:00</t>
  </si>
  <si>
    <t>31/01/2025 18:35</t>
  </si>
  <si>
    <t>SEM PREVISAO DESCARGA FABRICA</t>
  </si>
  <si>
    <t>24/01/2025</t>
  </si>
  <si>
    <t>DIA BRASIL SOCIEDADE LIMITADA OSASCO</t>
  </si>
  <si>
    <t>24/01/2025 09:00</t>
  </si>
  <si>
    <t>24/01/2025 13:50</t>
  </si>
  <si>
    <t>27/01 06:00</t>
  </si>
  <si>
    <t>27/01/2025  06:00</t>
  </si>
  <si>
    <t>27/01/2025 15:45</t>
  </si>
  <si>
    <t>30/01/2025</t>
  </si>
  <si>
    <t>O VANTAJÃO SANTA FÉ DISTRIBUIDORA DE PRODUTOS ALIMENTÍCIOS LTDA</t>
  </si>
  <si>
    <t>05.700.405/0010-47</t>
  </si>
  <si>
    <t>FARROUPILHA</t>
  </si>
  <si>
    <t>HZE2F70</t>
  </si>
  <si>
    <t>30/01 07:00</t>
  </si>
  <si>
    <t>31/01/2025 10:30</t>
  </si>
  <si>
    <t>31/01/2025 12:30</t>
  </si>
  <si>
    <t>802215/802217</t>
  </si>
  <si>
    <t>DEV. ATIVOS - PALLETS/ TAXA DE DESCARGA</t>
  </si>
  <si>
    <t>25/01/2025</t>
  </si>
  <si>
    <t>A63680</t>
  </si>
  <si>
    <t>25/01/2025 11:40</t>
  </si>
  <si>
    <t>28/01 06:00</t>
  </si>
  <si>
    <t>28/01/2025 16:10</t>
  </si>
  <si>
    <t>28/01/2025 20:40</t>
  </si>
  <si>
    <t>799196/799466/800019</t>
  </si>
  <si>
    <t>VEICULO COM DEFEITO/PERDA DE AGENDA/DESC. PALLT</t>
  </si>
  <si>
    <t>IQW4G94</t>
  </si>
  <si>
    <t>29/01 07:00</t>
  </si>
  <si>
    <t>30/01/2025 10:25</t>
  </si>
  <si>
    <t>30/01/2025 16:20</t>
  </si>
  <si>
    <t>801605/ 801657</t>
  </si>
  <si>
    <t>A63910</t>
  </si>
  <si>
    <t>29/01/2025</t>
  </si>
  <si>
    <t>29/01/2025 13:40</t>
  </si>
  <si>
    <t>29/01 17:30</t>
  </si>
  <si>
    <t>A62500</t>
  </si>
  <si>
    <t>29/01/2025 13:30</t>
  </si>
  <si>
    <t>31/01/2025</t>
  </si>
  <si>
    <t>SDB COMERCIO DE ALIMENTOS LTDA</t>
  </si>
  <si>
    <t>A63860</t>
  </si>
  <si>
    <t>804426/ 804428</t>
  </si>
  <si>
    <t>DESCARTE PALLET/ AVARIA</t>
  </si>
  <si>
    <t>29/01/2025 14:00</t>
  </si>
  <si>
    <t>29/01 18:30</t>
  </si>
  <si>
    <t>802752/ PEDAGIO</t>
  </si>
  <si>
    <t>DESCART. PALLET/PEDAGIO</t>
  </si>
  <si>
    <t>A63850</t>
  </si>
  <si>
    <t>803369/805381/805423</t>
  </si>
  <si>
    <t>PERDA DE AGENDA/ DESCARTE/ TAXA DE DESCARGA</t>
  </si>
  <si>
    <t>IRMÃOS CANCELLI LTDA</t>
  </si>
  <si>
    <t>82.939.307/0005-40</t>
  </si>
  <si>
    <t>JOAÇABA</t>
  </si>
  <si>
    <t>A58340</t>
  </si>
  <si>
    <t>31/01/2025 18:00</t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</si>
  <si>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>IRMÃOS CANCELLI LTDA</t>
    </r>
  </si>
  <si>
    <t>A58340 RETORNO</t>
  </si>
  <si>
    <t>30/01/2025 16:00</t>
  </si>
  <si>
    <t>31/01/2025 02:50</t>
  </si>
  <si>
    <t>808465/820437</t>
  </si>
  <si>
    <t>A63820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</si>
  <si>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O VANTAJÃO SANTA FÉ DISTRIBUIDORA </t>
    </r>
  </si>
  <si>
    <t>A63650</t>
  </si>
  <si>
    <t>809381/809470/809488</t>
  </si>
  <si>
    <t>DESCARTE DE PALLET/ TAXA DESCARGA/AVARIA</t>
  </si>
  <si>
    <t>47.508.411/0116-03</t>
  </si>
  <si>
    <t xml:space="preserve">A61060 </t>
  </si>
  <si>
    <t>809552/809554</t>
  </si>
  <si>
    <t>AVARIA/ TAXA DE DESCARGA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</si>
  <si>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O VANTAJÃO SANTA FÉ DISTRIBUIDORA </t>
    </r>
  </si>
  <si>
    <t>A63690 / A56540</t>
  </si>
  <si>
    <t>16/02/2025 23:00</t>
  </si>
  <si>
    <t>17/02/2025 08:30</t>
  </si>
  <si>
    <t xml:space="preserve">A60000 </t>
  </si>
  <si>
    <t>13/02/2025 10:00</t>
  </si>
  <si>
    <t>A63950</t>
  </si>
  <si>
    <t xml:space="preserve">A64010  </t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</si>
  <si>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 xml:space="preserve"> CDA CURITIBA-PR</t>
    </r>
  </si>
  <si>
    <t>A64010  RETORNO</t>
  </si>
  <si>
    <t>13/02/2025 10:50</t>
  </si>
  <si>
    <t>15/02/2025 09:52</t>
  </si>
  <si>
    <t>13/02/2025 07:00</t>
  </si>
  <si>
    <t>13/02/2025 10:30</t>
  </si>
  <si>
    <t>13/02/2025 20:00</t>
  </si>
  <si>
    <t>14/02/2025 01:00</t>
  </si>
  <si>
    <t>14/02/2025 08:55</t>
  </si>
  <si>
    <t>13/02/2025</t>
  </si>
  <si>
    <t xml:space="preserve">A64030 </t>
  </si>
  <si>
    <t>13/02/2025 11:30</t>
  </si>
  <si>
    <t>13/02/2025 16:00</t>
  </si>
  <si>
    <t>14/02/2025 22:35</t>
  </si>
  <si>
    <t>15/02/2025 05:30</t>
  </si>
  <si>
    <t>19/02/2025</t>
  </si>
  <si>
    <t xml:space="preserve">A55160 </t>
  </si>
  <si>
    <t>19/02/2025 11:10</t>
  </si>
  <si>
    <t>19/02/2025 19:15</t>
  </si>
  <si>
    <t>21/02/2025 13:00</t>
  </si>
  <si>
    <t>21/02/2025 18:45</t>
  </si>
  <si>
    <t>19/02/2025 12:00</t>
  </si>
  <si>
    <t>19/02/2025 19:20</t>
  </si>
  <si>
    <t>21/02/2025 12:00</t>
  </si>
  <si>
    <t>21/02/2025 18:40</t>
  </si>
  <si>
    <t>17/02/2025</t>
  </si>
  <si>
    <t>17/02/2025 13:40</t>
  </si>
  <si>
    <t>17/02/2025 16:20</t>
  </si>
  <si>
    <t>18/02/2025 12:00</t>
  </si>
  <si>
    <t>18/02/2025 18:00</t>
  </si>
  <si>
    <r>
      <rPr>
        <rFont val="Calibri"/>
        <b/>
        <color rgb="FFFF0000"/>
        <sz val="10.0"/>
      </rPr>
      <t xml:space="preserve">RETORNO TE02 </t>
    </r>
    <r>
      <rPr>
        <rFont val="Calibri"/>
        <b/>
        <color theme="1"/>
        <sz val="10.0"/>
      </rPr>
      <t xml:space="preserve"> </t>
    </r>
    <r>
      <rPr>
        <rFont val="Calibri"/>
        <b val="0"/>
        <color theme="1"/>
        <sz val="10.0"/>
      </rPr>
      <t>CDA CURITIBA-PR</t>
    </r>
  </si>
  <si>
    <t>19/02/2025 10:35</t>
  </si>
  <si>
    <t>20/02/2025 11:10</t>
  </si>
  <si>
    <t>17/02/2025 15:40</t>
  </si>
  <si>
    <t>17/02/2025 20:30</t>
  </si>
  <si>
    <t>18/02/2025 10:00</t>
  </si>
  <si>
    <t>18/02/2025 14:40</t>
  </si>
  <si>
    <t>17/02/2025 19:15</t>
  </si>
  <si>
    <t>18/02/2025 00:58</t>
  </si>
  <si>
    <t>19/02/2025 00:00</t>
  </si>
  <si>
    <t>19/02/2025 02:57</t>
  </si>
  <si>
    <t>17/02/2025 20:00</t>
  </si>
  <si>
    <t>18/02/2025 01:40</t>
  </si>
  <si>
    <t>19/02/2025 17:25</t>
  </si>
  <si>
    <t>19/02/2025 21:30</t>
  </si>
  <si>
    <t>24/02/2025</t>
  </si>
  <si>
    <t>24/02/2025 09:35</t>
  </si>
  <si>
    <t>24/02/2025  15:00</t>
  </si>
  <si>
    <t>26/02/2025 07:00</t>
  </si>
  <si>
    <t>26/01/2025 09:40</t>
  </si>
  <si>
    <t>26/02/2025 17:10</t>
  </si>
  <si>
    <t>18/02/2025</t>
  </si>
  <si>
    <t>17/02/2025 17:52</t>
  </si>
  <si>
    <t>18/02/2025 23:20</t>
  </si>
  <si>
    <t>20/02/2025 14:49</t>
  </si>
  <si>
    <t>20/02/2025 15:44</t>
  </si>
  <si>
    <t>24/02/2025 16:30</t>
  </si>
  <si>
    <t>25/02/2025 01:20</t>
  </si>
  <si>
    <t>26/02/2025 11:50</t>
  </si>
  <si>
    <t>26/02/2025 14:45</t>
  </si>
  <si>
    <t>A63660</t>
  </si>
  <si>
    <t>24/02/2025 16:00</t>
  </si>
  <si>
    <t>25/02/2025 00:00</t>
  </si>
  <si>
    <t>26/02/2025 12:20</t>
  </si>
  <si>
    <t>27/02/2025 09:45</t>
  </si>
  <si>
    <t>DIARIA DE DESCARGA</t>
  </si>
  <si>
    <t>A63010</t>
  </si>
  <si>
    <t>24/02/2025 17:00</t>
  </si>
  <si>
    <t>24/02/2025 23:40</t>
  </si>
  <si>
    <t>26/02/2025 09:50</t>
  </si>
  <si>
    <t>26/02/2025 13:50</t>
  </si>
  <si>
    <t xml:space="preserve">A59460 </t>
  </si>
  <si>
    <t>26/02/2025 13:35</t>
  </si>
  <si>
    <t>26/02/2025 20:15</t>
  </si>
  <si>
    <t>821386/821538</t>
  </si>
  <si>
    <t>RESTRIÇÃO RODOVIA - PERDA DE AGENDA</t>
  </si>
  <si>
    <t>A64170</t>
  </si>
  <si>
    <t>19/02/2025 09:28</t>
  </si>
  <si>
    <t>19/02/2025 16:00</t>
  </si>
  <si>
    <t>21/02/2025 05:00</t>
  </si>
  <si>
    <t>21/02/2025 10:00</t>
  </si>
  <si>
    <t>817540/817428</t>
  </si>
  <si>
    <t>DESCR. PALLET/AVARIA</t>
  </si>
  <si>
    <t>22/02/2025</t>
  </si>
  <si>
    <t>22/02/2025 17:45</t>
  </si>
  <si>
    <t>23/02/2025 10:55</t>
  </si>
  <si>
    <t>25/02/2025 07:00</t>
  </si>
  <si>
    <t>25/02/2025 14:35</t>
  </si>
  <si>
    <t>26/02/2025 21:30</t>
  </si>
  <si>
    <t>RESTRIÇÃO RODOVIA</t>
  </si>
  <si>
    <t>22/02/2025 18:35</t>
  </si>
  <si>
    <t>22/02/2025 23:55</t>
  </si>
  <si>
    <t>26/02/2025 16:20</t>
  </si>
  <si>
    <t>26/02/2025 19:00</t>
  </si>
  <si>
    <t>20/02/2025</t>
  </si>
  <si>
    <t>19/02/2025 10:20</t>
  </si>
  <si>
    <t>20/02/2025 15:10</t>
  </si>
  <si>
    <t>21/01/2025 07:00</t>
  </si>
  <si>
    <t>21/02/2025 23:13</t>
  </si>
  <si>
    <t>817719/ 818137/818142</t>
  </si>
  <si>
    <t>SEM PREVISAO DESCARGA CLIENTE/ AVARIA/TAXA</t>
  </si>
  <si>
    <t>20/02/2025 21:55</t>
  </si>
  <si>
    <t>21/02/2025 09:55</t>
  </si>
  <si>
    <t>21/02/2025 20:20</t>
  </si>
  <si>
    <t>817418/ 817831/817826</t>
  </si>
  <si>
    <t>PERDA DE AGENDA - ATRASO NA FABRICA/ AVARIA/TAXA</t>
  </si>
  <si>
    <t>20/02/2025 18:15</t>
  </si>
  <si>
    <t>21/02/2025 07:00</t>
  </si>
  <si>
    <t>22/02/2025 09:31</t>
  </si>
  <si>
    <t>22/02/2025 10:51</t>
  </si>
  <si>
    <t>21/02/2025</t>
  </si>
  <si>
    <t>22/02/2025 05:00</t>
  </si>
  <si>
    <t>24/02/2025 07:00</t>
  </si>
  <si>
    <t>24/02/2025 13:30</t>
  </si>
  <si>
    <t>819524/819521</t>
  </si>
  <si>
    <t>TAXA DE DESCARGA / AVARIA</t>
  </si>
  <si>
    <t xml:space="preserve">A63680 </t>
  </si>
  <si>
    <t>21/02/2025 18:10</t>
  </si>
  <si>
    <t>22/02/2025 07:20</t>
  </si>
  <si>
    <t>25/02/2025 07:55</t>
  </si>
  <si>
    <t>819307/820233</t>
  </si>
  <si>
    <t>SEM PREVISAO DESCARGA CLIENTE/ TAXA DE DESCARGA</t>
  </si>
  <si>
    <t>20/02/2025 12:30</t>
  </si>
  <si>
    <t>20/02/2025 19:15</t>
  </si>
  <si>
    <t>22/02/2025 09:40</t>
  </si>
  <si>
    <t>22/02/2025 14:00</t>
  </si>
  <si>
    <t>AVARIA - FALTA MATERIAL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</si>
  <si>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</si>
  <si>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23/02/2025 17:45</t>
  </si>
  <si>
    <t>24/02/2025 08:50</t>
  </si>
  <si>
    <t>A64220</t>
  </si>
  <si>
    <t>21/02/2025 12:20</t>
  </si>
  <si>
    <t>21/02/2025 23:00</t>
  </si>
  <si>
    <t>25/02/2025 /ordem</t>
  </si>
  <si>
    <t>25/02/2025 22:40</t>
  </si>
  <si>
    <t>TAXA DE DESCARGA</t>
  </si>
  <si>
    <t>25/02/2025</t>
  </si>
  <si>
    <t>25/02/2025 10:50</t>
  </si>
  <si>
    <t>25/02/2025 16:00</t>
  </si>
  <si>
    <t>27/02/2025 16:45</t>
  </si>
  <si>
    <t>26/02/2025 17:40</t>
  </si>
  <si>
    <t>25/02/2025 23:50</t>
  </si>
  <si>
    <t>26/02/2025 20:20</t>
  </si>
  <si>
    <t>27/02/2025 11:50</t>
  </si>
  <si>
    <t>26/02/2025</t>
  </si>
  <si>
    <t>26/02/2025 17:50</t>
  </si>
  <si>
    <t>28/02/2025 06:00</t>
  </si>
  <si>
    <t>28/02/2025 16:00</t>
  </si>
  <si>
    <t>26/02/2025 10:40</t>
  </si>
  <si>
    <t>26/02/2025 18:00</t>
  </si>
  <si>
    <t>27/02/2025 19:48</t>
  </si>
  <si>
    <t>824101 - 827342</t>
  </si>
  <si>
    <t>SEM PREVISAO DESCARGA CLIENTE - DESCARTE PALLETS</t>
  </si>
  <si>
    <t>A62740</t>
  </si>
  <si>
    <t>26/02/2025 11:55</t>
  </si>
  <si>
    <t>28/02/2025 07:50</t>
  </si>
  <si>
    <t xml:space="preserve">27/02/2025 </t>
  </si>
  <si>
    <t>27/02/2025 09:55</t>
  </si>
  <si>
    <t>27/02/2025 16:17</t>
  </si>
  <si>
    <r>
      <rPr>
        <rFont val="Calibri"/>
        <b/>
        <color rgb="FFFF0000"/>
        <sz val="10.0"/>
      </rPr>
      <t>RETORNO TE02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LAGO AZUL JUNDIAI-SP</t>
    </r>
  </si>
  <si>
    <t>A63680 RETORNO</t>
  </si>
  <si>
    <t>27/02/2025 11:00</t>
  </si>
  <si>
    <t>28/02/2025 05:00</t>
  </si>
  <si>
    <r>
      <rPr>
        <rFont val="Calibri"/>
        <color rgb="FFFF0000"/>
        <sz val="10.0"/>
      </rPr>
      <t xml:space="preserve">RETORNO TE02 </t>
    </r>
    <r>
      <rPr>
        <rFont val="Calibri"/>
        <color theme="1"/>
        <sz val="10.0"/>
      </rPr>
      <t>IRMÃOS CANCELLI LTDA</t>
    </r>
  </si>
  <si>
    <t>13/03/2025 12:00</t>
  </si>
  <si>
    <t>DEV ATIVOS - VASILHAME</t>
  </si>
  <si>
    <t>WMB SUPERMERCADOS DO BRASIL LTDA</t>
  </si>
  <si>
    <t>00.063.960/0588-75</t>
  </si>
  <si>
    <t>A64310</t>
  </si>
  <si>
    <t>27/02/2025 21:00</t>
  </si>
  <si>
    <t>28/02/2025 05:15</t>
  </si>
  <si>
    <t>28/02/2025 07:00</t>
  </si>
  <si>
    <t>28/02/2025 09:05</t>
  </si>
  <si>
    <t>28/02/2025 14:50</t>
  </si>
  <si>
    <t>PERDA DE AGENDA - ATRASO FABRICA</t>
  </si>
  <si>
    <r>
      <rPr>
        <rFont val="Calibri"/>
        <color rgb="FFFF0000"/>
        <sz val="10.0"/>
      </rPr>
      <t xml:space="preserve">RETORNO DEV. AVARIA </t>
    </r>
    <r>
      <rPr>
        <rFont val="Calibri"/>
        <color theme="1"/>
        <sz val="10.0"/>
      </rPr>
      <t>ATACADAO S.A. PINHAIS-PR</t>
    </r>
  </si>
  <si>
    <t>DIVERGENCIA DE PREÇO</t>
  </si>
  <si>
    <t>ATACADÃO S.A</t>
  </si>
  <si>
    <t>75.315.333/0001-09</t>
  </si>
  <si>
    <t>828603/831620</t>
  </si>
  <si>
    <t>VEICULO COM DEFEITO - PRBL. MECANICOS / TAXA DE DESCARGA</t>
  </si>
  <si>
    <t>A62480</t>
  </si>
  <si>
    <t>829812/ 829925/831477</t>
  </si>
  <si>
    <t>SEM PREVISAO DESCARGA CLIENTE / AVARIA</t>
  </si>
  <si>
    <t>ADERNAMENTO</t>
  </si>
  <si>
    <t>A64030</t>
  </si>
  <si>
    <t>829264/829269</t>
  </si>
  <si>
    <t>TAXA DE DESCARGA/DESCARTE PALLETS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</si>
  <si>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</si>
  <si>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A64310 RETORNO</t>
  </si>
  <si>
    <t>14/03/2025 05:40</t>
  </si>
  <si>
    <t>830707/831508/831670</t>
  </si>
  <si>
    <t>PERDA DE AGENDA - ATRASO TP / TAXA DE DESCARGA/ AVARIA</t>
  </si>
  <si>
    <t>13/03/2025 15:55</t>
  </si>
  <si>
    <t>14/03/2025 07:59</t>
  </si>
  <si>
    <t>14/03/2025 20:54</t>
  </si>
  <si>
    <t>15/03/2025 04:30</t>
  </si>
  <si>
    <t>13/03/2025 21:54</t>
  </si>
  <si>
    <t>14/03/2025 03:00</t>
  </si>
  <si>
    <t>SEM PREVISÃO DESCARGA CLIENTE</t>
  </si>
  <si>
    <t>15/03/2025</t>
  </si>
  <si>
    <t>15/03/2025 09:37</t>
  </si>
  <si>
    <t>15/03/2025 16:00</t>
  </si>
  <si>
    <t>17/03/2025 15:20</t>
  </si>
  <si>
    <t>17/03/2025 20:15</t>
  </si>
  <si>
    <t>SEM PREVISAO DESCARGA CLIENTE (CANCELADA)</t>
  </si>
  <si>
    <t>A64410</t>
  </si>
  <si>
    <t>15/03/2025 9:40</t>
  </si>
  <si>
    <t>15/03/2025 15:05</t>
  </si>
  <si>
    <t>17/03/2025 13:45</t>
  </si>
  <si>
    <t>17/03/2025 17:50</t>
  </si>
  <si>
    <t>14/03/2025 01:12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</si>
  <si>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</si>
  <si>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04.176.513/0011-80</t>
  </si>
  <si>
    <t>A64170 RETORNO</t>
  </si>
  <si>
    <t>14/03/2025 00:00</t>
  </si>
  <si>
    <t>14/03/2025 17:15</t>
  </si>
  <si>
    <t>15/03/2025 08:00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</si>
  <si>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</si>
  <si>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A64410 RETORNO</t>
  </si>
  <si>
    <t>17/03/2025 17:30</t>
  </si>
  <si>
    <t>18/03/2025 15:35</t>
  </si>
  <si>
    <t>19/03/2025 23:27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</si>
  <si>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</si>
  <si>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A63950/A64220 RETORNO</t>
  </si>
  <si>
    <t>17/03/2025 16:00</t>
  </si>
  <si>
    <t>17/03/2025 18:34</t>
  </si>
  <si>
    <t>19/03/2025 13:30</t>
  </si>
  <si>
    <t>20/03/2025 08:00</t>
  </si>
  <si>
    <t>15/03/2025 09:06</t>
  </si>
  <si>
    <t>15/03/2025 16:47</t>
  </si>
  <si>
    <t>18/03/2025 07:00</t>
  </si>
  <si>
    <t>18/03/2025 10:05</t>
  </si>
  <si>
    <t>13/03/2025</t>
  </si>
  <si>
    <t>13/03/2025 09:55</t>
  </si>
  <si>
    <t>13/03/2025 13:50</t>
  </si>
  <si>
    <t>14/03/2025 07:00</t>
  </si>
  <si>
    <t>14/03/2025 14:00</t>
  </si>
  <si>
    <t>834212/834213</t>
  </si>
  <si>
    <t>TAXA DE DESCARGA/ AVARIA</t>
  </si>
  <si>
    <t>15/03/2025 08:10</t>
  </si>
  <si>
    <t>15/03/2025 13:14</t>
  </si>
  <si>
    <t>18/03/2025 11:00</t>
  </si>
  <si>
    <t>18/03/2025 08:40</t>
  </si>
  <si>
    <t>18/03/2025 18:40</t>
  </si>
  <si>
    <t>17/03/2025</t>
  </si>
  <si>
    <t>17/03/2025 12:58</t>
  </si>
  <si>
    <t>17/03/2025 18:33</t>
  </si>
  <si>
    <t>19/03/20258 13:54</t>
  </si>
  <si>
    <t>20/03/2025 00:30</t>
  </si>
  <si>
    <t>18/03/2025</t>
  </si>
  <si>
    <t>18/03/2025 07:30</t>
  </si>
  <si>
    <t>18/03/2025 13:15</t>
  </si>
  <si>
    <t>19/03/2025 17:40</t>
  </si>
  <si>
    <r>
      <rPr>
        <rFont val="Calibri"/>
        <b/>
        <color rgb="FFFF0000"/>
        <sz val="10.0"/>
      </rPr>
      <t>RETORNO DE DEVOLUÇÃO</t>
    </r>
    <r>
      <rPr>
        <rFont val="Calibri"/>
        <color theme="1"/>
        <sz val="10.0"/>
      </rPr>
      <t xml:space="preserve"> CBD OSASCO - SP</t>
    </r>
  </si>
  <si>
    <t>A64220 DEVOLUÇÃO</t>
  </si>
  <si>
    <t>17/03/2025 18:35</t>
  </si>
  <si>
    <t>17/03/2025 13:05</t>
  </si>
  <si>
    <t>14/03/2025</t>
  </si>
  <si>
    <t>14/03/2025 06:50</t>
  </si>
  <si>
    <t>14/03/2025 12:10</t>
  </si>
  <si>
    <t>18/03/2025 00:51</t>
  </si>
  <si>
    <t>18/03/2025 11:45</t>
  </si>
  <si>
    <r>
      <rPr>
        <rFont val="Calibri"/>
        <b/>
        <color rgb="FFFF0000"/>
        <sz val="10.0"/>
      </rPr>
      <t>RETORNO TE02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LAGO AZUL JUNDIAI-SP</t>
    </r>
  </si>
  <si>
    <t>18/03/2025 23:35</t>
  </si>
  <si>
    <t>20/03/2025 05:00</t>
  </si>
  <si>
    <t>20/03/2025</t>
  </si>
  <si>
    <t>A64570</t>
  </si>
  <si>
    <t>20/03/2025 16:15</t>
  </si>
  <si>
    <t>20/03/2025 20:15</t>
  </si>
  <si>
    <t>24/03/2025 12:15</t>
  </si>
  <si>
    <t>25/03/2025 03:10</t>
  </si>
  <si>
    <t>19/03/2025</t>
  </si>
  <si>
    <t>19/03/2025 23:43</t>
  </si>
  <si>
    <t>20/03/2025 07:10</t>
  </si>
  <si>
    <t>21/03/2025 11:44</t>
  </si>
  <si>
    <t>21/03/2025 23:00</t>
  </si>
  <si>
    <t>20/03/2025 09:45</t>
  </si>
  <si>
    <t>20/03/2025 15:10</t>
  </si>
  <si>
    <t>24/03/2025 10:55</t>
  </si>
  <si>
    <t>24/03/2025 15:40</t>
  </si>
  <si>
    <t>19/03/2025 22:00</t>
  </si>
  <si>
    <t>20/03/2025 07:00</t>
  </si>
  <si>
    <t>21/03/2025 16:50</t>
  </si>
  <si>
    <t>22/03/2025 06:50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</si>
  <si>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</si>
  <si>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22/03/2025 06:00</t>
  </si>
  <si>
    <t>23/03/2025 21:50</t>
  </si>
  <si>
    <t>24/03/2025 03:05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</si>
  <si>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</si>
  <si>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A63950 RETORNO</t>
  </si>
  <si>
    <t>24/03/2025 15:00</t>
  </si>
  <si>
    <t>25/03/2025 10:35</t>
  </si>
  <si>
    <t>28/03/2025 14:00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</si>
  <si>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</si>
  <si>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21/03/2025 21:00</t>
  </si>
  <si>
    <t>22/03/2025 14:25</t>
  </si>
  <si>
    <t>22/03/2025 18:30</t>
  </si>
  <si>
    <t>HEINEKEN ITU - SP</t>
  </si>
  <si>
    <t>20/03/2025 12:00</t>
  </si>
  <si>
    <t>AGENDAR OTM</t>
  </si>
  <si>
    <t>24/03/2025 13:00</t>
  </si>
  <si>
    <t>24/03/2025 15:45</t>
  </si>
  <si>
    <t>24/03/2025</t>
  </si>
  <si>
    <t>24/03/202514:40</t>
  </si>
  <si>
    <t>25/03/2025 22:05</t>
  </si>
  <si>
    <t>25/03/2025 17:05</t>
  </si>
  <si>
    <t>25/03/2025 23:50</t>
  </si>
  <si>
    <t>24/03/2025  03:35</t>
  </si>
  <si>
    <t>24/03/2025 08:30</t>
  </si>
  <si>
    <t>25/03/2025 14:20</t>
  </si>
  <si>
    <t>25/03/2025 18:55</t>
  </si>
  <si>
    <t>22/03/2025</t>
  </si>
  <si>
    <t>22/03/2025 08:30</t>
  </si>
  <si>
    <t>22/03/2025 11:55</t>
  </si>
  <si>
    <t>25/03/2025</t>
  </si>
  <si>
    <t>24/03/2025 07:00</t>
  </si>
  <si>
    <t>25/03/2025 05:00</t>
  </si>
  <si>
    <t>26/03/2025</t>
  </si>
  <si>
    <t>26/03/2025 07:00</t>
  </si>
  <si>
    <t>26/03/2025 11:20</t>
  </si>
  <si>
    <t>27/03/2025 15:00</t>
  </si>
  <si>
    <t>28/03/2025 03:20</t>
  </si>
  <si>
    <t>25/03/2025 11:20</t>
  </si>
  <si>
    <t>25/03/2025 18:30</t>
  </si>
  <si>
    <t>26/03/2025 15:30</t>
  </si>
  <si>
    <t>26/03/2025 16:41</t>
  </si>
  <si>
    <t>25/03/2025 07:30</t>
  </si>
  <si>
    <t>25/03/2025 12:25</t>
  </si>
  <si>
    <t>26/03/2025 11:50</t>
  </si>
  <si>
    <t>26/03/2025 23:30</t>
  </si>
  <si>
    <t>29/03/2025</t>
  </si>
  <si>
    <t>MUNDIALMIX COMÉRCIO DE ALIMENTOS LTDA - PALHOÇA</t>
  </si>
  <si>
    <t>82.956.160/0043-22</t>
  </si>
  <si>
    <t>PALHOÇA</t>
  </si>
  <si>
    <t>29/03/2025 00:00</t>
  </si>
  <si>
    <t>29/03/2025 08:50</t>
  </si>
  <si>
    <t>31/03/2025 08:00</t>
  </si>
  <si>
    <t>31/03/2025 11:15</t>
  </si>
  <si>
    <t>846319/851765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</si>
  <si>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</si>
  <si>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A64570 RETORNO</t>
  </si>
  <si>
    <t>24/03/2025 23:55</t>
  </si>
  <si>
    <t>26/03/2025 20:03</t>
  </si>
  <si>
    <t>28/03/2025 09:30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</si>
  <si>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</si>
  <si>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SEM PREVISÃO DESCARGA FÁBRICA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</si>
  <si>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</si>
  <si>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SEM PREVISÃO PARA DESCARGA</t>
  </si>
  <si>
    <t>IRMÃOS MUFFATO S.A.</t>
  </si>
  <si>
    <t>76.430.438/0125-01</t>
  </si>
  <si>
    <t>29/03/2025 07:45</t>
  </si>
  <si>
    <t>29/03/2025 10:30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</si>
  <si>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</si>
  <si>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 xml:space="preserve">SEM PREVISAO DESCARGA CLIENTE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</si>
  <si>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</si>
  <si>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SEM PREVISÃO DESCARGA FÁBRICA(aberto dt de ida)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</si>
  <si>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</si>
  <si>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FALTA DE VASILHAME RETORNO VAZIO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</si>
  <si>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</si>
  <si>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A64030 SEM VASILHAME</t>
  </si>
  <si>
    <t>853639/853643</t>
  </si>
  <si>
    <t>14/04/2025</t>
  </si>
  <si>
    <t>A64950</t>
  </si>
  <si>
    <t>14/04/2025 13:15</t>
  </si>
  <si>
    <t>14/04/2025 19:30</t>
  </si>
  <si>
    <t>17/04/2025 10:10</t>
  </si>
  <si>
    <t>17/04/2025 12:30</t>
  </si>
  <si>
    <t>15/04/2025</t>
  </si>
  <si>
    <t>CARREFOUR COMERCIO E INDÚSTRIA PINHAIS-PR</t>
  </si>
  <si>
    <t>45.543.915/0989-98</t>
  </si>
  <si>
    <t>15/04/2025 10:35</t>
  </si>
  <si>
    <t>15/04/2025 17:30</t>
  </si>
  <si>
    <t>16/04/2025 09:00</t>
  </si>
  <si>
    <t>16/04/2025 06:40</t>
  </si>
  <si>
    <t>16/04/2025 14:40</t>
  </si>
  <si>
    <t>15/04/2025 09:00</t>
  </si>
  <si>
    <t>15/04/2025 13:20</t>
  </si>
  <si>
    <t>16/04/2025 12:15</t>
  </si>
  <si>
    <t>16/04/2025 15:00</t>
  </si>
  <si>
    <t>15/04/2025 00:00</t>
  </si>
  <si>
    <t>16/04/2025 20:40</t>
  </si>
  <si>
    <t>17/04/2025 11:30</t>
  </si>
  <si>
    <t xml:space="preserve">A62300 </t>
  </si>
  <si>
    <t>15/04/2025 16:35</t>
  </si>
  <si>
    <t>16/04/2025 00:10</t>
  </si>
  <si>
    <t>17/04/2025 16:17</t>
  </si>
  <si>
    <t>22/04/2025 16:35</t>
  </si>
  <si>
    <t>18/04/2025</t>
  </si>
  <si>
    <t>DBK DISTRIBUIDORA DE BEBIDAS - ARAÇATUBA</t>
  </si>
  <si>
    <t>14.886.581/0002-04</t>
  </si>
  <si>
    <t>ARAÇATUBA</t>
  </si>
  <si>
    <t>18/04/2025 07:30</t>
  </si>
  <si>
    <t>18/04/2025 14:50</t>
  </si>
  <si>
    <t>22/04/2025 08:00</t>
  </si>
  <si>
    <t>22/04/2025 17:40</t>
  </si>
  <si>
    <t>16/04/2025</t>
  </si>
  <si>
    <t>A64900</t>
  </si>
  <si>
    <t>16/04/2025 08:30</t>
  </si>
  <si>
    <t>16/04/2025 17:00</t>
  </si>
  <si>
    <t>22/04/2025 06:30</t>
  </si>
  <si>
    <t>22/04/2025 15:25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</si>
  <si>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- DBK DISTRIBUIDORA ARAÇATUBA</t>
    </r>
  </si>
  <si>
    <t>A64900 RETORNO</t>
  </si>
  <si>
    <t>22/04/2025 15:00</t>
  </si>
  <si>
    <t>23/04/2025 13:30</t>
  </si>
  <si>
    <t>24/04/2025 10:00</t>
  </si>
  <si>
    <t>14/04/2025 10:25</t>
  </si>
  <si>
    <t>14/04/2025 17:35</t>
  </si>
  <si>
    <t>15/04/2025 22:50</t>
  </si>
  <si>
    <t>16/04/2025 13:15</t>
  </si>
  <si>
    <t>SEM PREVISÃO DESCARGA FABRICA ABERTO DE DT IDA ATE INTEG.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</si>
  <si>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</si>
  <si>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16/04/2025 12:30</t>
  </si>
  <si>
    <t>17/04/2025 17:20</t>
  </si>
  <si>
    <t>18/04/2025 06:20</t>
  </si>
  <si>
    <t>19/04/2025</t>
  </si>
  <si>
    <t>19/04/2025 12:00</t>
  </si>
  <si>
    <t>19/04/2025 18:33</t>
  </si>
  <si>
    <t>22/04/2025 08:30</t>
  </si>
  <si>
    <t>22/04/2025 18:45</t>
  </si>
  <si>
    <t>19/04/2025 13:00</t>
  </si>
  <si>
    <t>19/04/2025  20:50</t>
  </si>
  <si>
    <t>21/04/2025 22:00</t>
  </si>
  <si>
    <t>22/04/2025 11:20</t>
  </si>
  <si>
    <t>22/04/2025</t>
  </si>
  <si>
    <t>22/04/2025  01:00</t>
  </si>
  <si>
    <t>22/04/2025 04:30</t>
  </si>
  <si>
    <t>23/04/2025 13:35</t>
  </si>
  <si>
    <t>23/04/2025 14:35</t>
  </si>
  <si>
    <t>24/05/2025</t>
  </si>
  <si>
    <t>24/04/2025 12:30</t>
  </si>
  <si>
    <t>24/04/2025 17:00</t>
  </si>
  <si>
    <t>25/04/2025 13:35</t>
  </si>
  <si>
    <t>25/04/2025 14:30</t>
  </si>
  <si>
    <t>GCA - DISTRIBUIDORA COMERCIAL DE ALIMENTOS LTDA</t>
  </si>
  <si>
    <t>77.698.017/0010-80</t>
  </si>
  <si>
    <t>24/04/2025 06:30</t>
  </si>
  <si>
    <t>24/04/2025 16:00</t>
  </si>
  <si>
    <t>25/04/2025 07:00</t>
  </si>
  <si>
    <t>25/04/2025 10:30</t>
  </si>
  <si>
    <t>AGEIMADA QUEIMADA (CANCELADA)</t>
  </si>
  <si>
    <t>24/04/2025 17:55</t>
  </si>
  <si>
    <t>28/04/2025 07:00</t>
  </si>
  <si>
    <t>29/04/2025 10:00</t>
  </si>
  <si>
    <t>AGEIMADA QUEIMADA</t>
  </si>
  <si>
    <t>PASSARELA CENTER LTDA</t>
  </si>
  <si>
    <t>03.107.202/0024-11</t>
  </si>
  <si>
    <t>ESTRELA</t>
  </si>
  <si>
    <t>HZE2F70 / JAE0J13</t>
  </si>
  <si>
    <t>24/04/2025 21:15</t>
  </si>
  <si>
    <t>25/04/2025 05:20</t>
  </si>
  <si>
    <t>25/04/2025 17:07</t>
  </si>
  <si>
    <t>26/04/2025 11:20</t>
  </si>
  <si>
    <t>863690/863945/863944</t>
  </si>
  <si>
    <t>AGEIMADA QUEIMADA/TAXA DESCARGA/ DEV. ATIVOS PALLET</t>
  </si>
  <si>
    <t>28/04/2025</t>
  </si>
  <si>
    <t>BOM DIA COMERCIAL DE ALIMENTOS E LOGISTICA LTDA</t>
  </si>
  <si>
    <t>28/04/2025 09:30</t>
  </si>
  <si>
    <t>28/04/2025 14:00</t>
  </si>
  <si>
    <t>29/04/2025 07:00</t>
  </si>
  <si>
    <t>29/04/2025 11:07</t>
  </si>
  <si>
    <t>29/04/2025 17:40</t>
  </si>
  <si>
    <t>865564/865985</t>
  </si>
  <si>
    <t>AGEIMADA QUEIMADA (CANCELADA) / TAXA DE DESCARGA</t>
  </si>
  <si>
    <t>29/04/2025</t>
  </si>
  <si>
    <t>29/04/2025 10:45</t>
  </si>
  <si>
    <t>30/04/2025 07:00</t>
  </si>
  <si>
    <t>30/04/2025 09:20</t>
  </si>
  <si>
    <t>30/04/2025 16:35</t>
  </si>
  <si>
    <t>26/04/2025</t>
  </si>
  <si>
    <t>26/04/2025 13:47</t>
  </si>
  <si>
    <t>26/04/2025 20:15</t>
  </si>
  <si>
    <t>28/04/2025 7:00</t>
  </si>
  <si>
    <t>28/04/2025 10:50</t>
  </si>
  <si>
    <t>TAXA DESCARGA</t>
  </si>
  <si>
    <t>30/04/2025</t>
  </si>
  <si>
    <t>A65270</t>
  </si>
  <si>
    <t>30/04/2025 07:56</t>
  </si>
  <si>
    <t>30/04/2025 16:20</t>
  </si>
  <si>
    <t>868281/868282/ 869144</t>
  </si>
  <si>
    <t>DEMORA NA ENTREGA DOC(CANC)/ SEM PREVISAO DESC. CLIENTE/ TX DESC</t>
  </si>
  <si>
    <t>30/04/2025 14:25</t>
  </si>
  <si>
    <t>30/04/2025 18:10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</si>
  <si>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- PASSARELA CENTER LTDA</t>
    </r>
  </si>
  <si>
    <t>INA3H80</t>
  </si>
  <si>
    <t>26/04/2025 11:00</t>
  </si>
  <si>
    <t>28/04/2025 15:22</t>
  </si>
  <si>
    <t>28/04/2025 23:17</t>
  </si>
  <si>
    <t>ATACADÃO S.A - MARINGÁ</t>
  </si>
  <si>
    <t>30/04/2025 09:30</t>
  </si>
  <si>
    <t>30/04/2025 15:10</t>
  </si>
  <si>
    <t>30/04/2025 15:25</t>
  </si>
  <si>
    <t>30/04/2025 18:50</t>
  </si>
  <si>
    <t>SEM PREVISÃO DESCARGA CLIENTE (CANCELADA)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</si>
  <si>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</si>
  <si>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A64630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</si>
  <si>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</si>
  <si>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A64220 RETORNO</t>
  </si>
  <si>
    <t>13/05/2025</t>
  </si>
  <si>
    <t>A65530</t>
  </si>
  <si>
    <t>13/05/2025 18:50</t>
  </si>
  <si>
    <t>14/05/2025 07:00</t>
  </si>
  <si>
    <t>15/05/2025 12:06</t>
  </si>
  <si>
    <t>16/05/2025 03:30</t>
  </si>
  <si>
    <t>A65460</t>
  </si>
  <si>
    <t>13/05/2025 07:00</t>
  </si>
  <si>
    <t>13/05/2025 11:30</t>
  </si>
  <si>
    <t>874478/875344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</si>
  <si>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</si>
  <si>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13/05/2025 10:39</t>
  </si>
  <si>
    <t xml:space="preserve">SEM PREVISÃO DESCARGA CLIENTE </t>
  </si>
  <si>
    <t>19/05/2025 08:42</t>
  </si>
  <si>
    <t>19/05/2025 11:29</t>
  </si>
  <si>
    <t>14/05/2025</t>
  </si>
  <si>
    <t>14/05/2025 16:15</t>
  </si>
  <si>
    <t>15/05/2025 00:04</t>
  </si>
  <si>
    <t>15/05/2025 21:45</t>
  </si>
  <si>
    <t>16/05/2025 04:18</t>
  </si>
  <si>
    <t>14/05/2025 12:00</t>
  </si>
  <si>
    <t>14/05/2025 15:15</t>
  </si>
  <si>
    <r>
      <rPr>
        <rFont val="Calibri"/>
        <color rgb="FF00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</si>
  <si>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A63800 RETORNO</t>
  </si>
  <si>
    <t>16/05/2025 04:19</t>
  </si>
  <si>
    <t>16/05/2025 04:49</t>
  </si>
  <si>
    <t>19/05/2025 10:00</t>
  </si>
  <si>
    <t>21/05/2025 01:42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</si>
  <si>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</si>
  <si>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14/05/2025 14:40</t>
  </si>
  <si>
    <t>15/05/2025  11:10</t>
  </si>
  <si>
    <t>17/05/2025 21:33</t>
  </si>
  <si>
    <t>19/05/2025</t>
  </si>
  <si>
    <t>A65620</t>
  </si>
  <si>
    <t>19/05/2025 12:44</t>
  </si>
  <si>
    <t>19/05/2025 20:11</t>
  </si>
  <si>
    <t>20/05/2025 22:54</t>
  </si>
  <si>
    <t>21/05/2025 05:03</t>
  </si>
  <si>
    <t>19/05/2025 13:00</t>
  </si>
  <si>
    <t>19/05/2025  20:57</t>
  </si>
  <si>
    <t>20/05/2025 21:31</t>
  </si>
  <si>
    <t>21/05/2025 05:58</t>
  </si>
  <si>
    <t>17/05/2025</t>
  </si>
  <si>
    <t>17/05/2025 23:05</t>
  </si>
  <si>
    <t>17/05/2025 23:55</t>
  </si>
  <si>
    <t>19/05/2025 19:13</t>
  </si>
  <si>
    <t>19/05/2025 22:37</t>
  </si>
  <si>
    <t>Pedágio</t>
  </si>
  <si>
    <t>18/05/2025 03:51</t>
  </si>
  <si>
    <t>19/05/2025 12:41</t>
  </si>
  <si>
    <t>19/05/2025 14:28</t>
  </si>
  <si>
    <t>14/05/2025 11:30</t>
  </si>
  <si>
    <t>14/05/2025 15:30</t>
  </si>
  <si>
    <t>15/05/2025 13:13</t>
  </si>
  <si>
    <t>15/05/2025 18:25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</si>
  <si>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</si>
  <si>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A64030 RETORNO</t>
  </si>
  <si>
    <t>15/05/2025 17:40</t>
  </si>
  <si>
    <t>16/05/2025 12:00</t>
  </si>
  <si>
    <t>17/05/2025 23:45</t>
  </si>
  <si>
    <t>A64600</t>
  </si>
  <si>
    <t>14/05/2025 13:30</t>
  </si>
  <si>
    <t>14/05/2025 22:22</t>
  </si>
  <si>
    <t>15/05/2025 16:05</t>
  </si>
  <si>
    <t>16/05/2025 02:00</t>
  </si>
  <si>
    <t>A65160</t>
  </si>
  <si>
    <t>14/05/2025 18:15</t>
  </si>
  <si>
    <t>15/05/2025 01:42</t>
  </si>
  <si>
    <t>15/05/2025 22:55</t>
  </si>
  <si>
    <t>15/05/2025 23:15</t>
  </si>
  <si>
    <t>14/05/2025 18:47</t>
  </si>
  <si>
    <t>15/05/2025 02:13</t>
  </si>
  <si>
    <t>15/05/2025 21:00</t>
  </si>
  <si>
    <t>16/05/2025 10:50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</si>
  <si>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</si>
  <si>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A65160 RETORNO</t>
  </si>
  <si>
    <t>15/05/2025 22:50</t>
  </si>
  <si>
    <t>16/05/2025 18:28</t>
  </si>
  <si>
    <t>17/05/2025 21:23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</si>
  <si>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</si>
  <si>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16/05/2025 11:20</t>
  </si>
  <si>
    <t>16/05/2025 21:23</t>
  </si>
  <si>
    <t>19/05/2025 11:10</t>
  </si>
  <si>
    <t>20/05/2025</t>
  </si>
  <si>
    <t>20/05/2025 15:30</t>
  </si>
  <si>
    <t>21/05/2025 02:18</t>
  </si>
  <si>
    <t>21/05/2025 09:00</t>
  </si>
  <si>
    <t>21/05/2025 21:35</t>
  </si>
  <si>
    <t>22/05/2025 18:15</t>
  </si>
  <si>
    <t>879637/880264/885447</t>
  </si>
  <si>
    <t>Perda de agenda atraso fabrica/taxa de descarga</t>
  </si>
  <si>
    <t>20/05/2025 11:53</t>
  </si>
  <si>
    <t>20/05/2025 20:10</t>
  </si>
  <si>
    <t>22/05/2025 11:46</t>
  </si>
  <si>
    <t xml:space="preserve">22/05/25 17:17 </t>
  </si>
  <si>
    <t>21/05/2025</t>
  </si>
  <si>
    <t>A64300</t>
  </si>
  <si>
    <t>21/05/2025 16:56</t>
  </si>
  <si>
    <t>22/05/2025 10:30</t>
  </si>
  <si>
    <t>26/05/2025 06:21</t>
  </si>
  <si>
    <t>26/05/2025 14:10</t>
  </si>
  <si>
    <t>pedágio</t>
  </si>
  <si>
    <t>21/05/2025 21:52</t>
  </si>
  <si>
    <t>22/05/2025 08:30</t>
  </si>
  <si>
    <t>23/05/2025 10:26</t>
  </si>
  <si>
    <t>23/05/2025 14:00</t>
  </si>
  <si>
    <t>21/05/2025 16:00</t>
  </si>
  <si>
    <t>22/05/2025 9:24</t>
  </si>
  <si>
    <t>22/05/2025 9:00</t>
  </si>
  <si>
    <t>23/05/2025 10:40</t>
  </si>
  <si>
    <t>26/05/2025 15:37</t>
  </si>
  <si>
    <t>Perda de agenda atraso fabrica</t>
  </si>
  <si>
    <t>21/05/2025 01:44</t>
  </si>
  <si>
    <t>21/05/2025 08:47</t>
  </si>
  <si>
    <t>21/05/2025 13:24</t>
  </si>
  <si>
    <t>22/05/2025 14:22</t>
  </si>
  <si>
    <t>21/05/2025 20:53</t>
  </si>
  <si>
    <t>22/05/2025 01:25</t>
  </si>
  <si>
    <t>23/05/2025 18:34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</si>
  <si>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</si>
  <si>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23/05/2025 18:38</t>
  </si>
  <si>
    <t>23/05/2025 19:41</t>
  </si>
  <si>
    <t>24/05/2025 16:30</t>
  </si>
  <si>
    <t>26/05/2025 13:05</t>
  </si>
  <si>
    <t>SEM PREVISAO DE DESCARGA</t>
  </si>
  <si>
    <t>22/05/2025</t>
  </si>
  <si>
    <t>A65780</t>
  </si>
  <si>
    <t>22/05/2025 14:00</t>
  </si>
  <si>
    <t>22/05/2025 21:01</t>
  </si>
  <si>
    <t>26/05/2025 06:20</t>
  </si>
  <si>
    <t>26/05/2025 12:04</t>
  </si>
  <si>
    <r>
      <rPr>
        <rFont val="Calibri"/>
        <b/>
        <color rgb="FFFF0000"/>
        <sz val="10.0"/>
      </rPr>
      <t>RETORNO TE02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 xml:space="preserve">CDA GUARULHOS-SP </t>
    </r>
  </si>
  <si>
    <t>R$3,898.00</t>
  </si>
  <si>
    <t>26/05/2025 14:09</t>
  </si>
  <si>
    <t>28/05/2025 10:26</t>
  </si>
  <si>
    <t>31/05/2025 14:57</t>
  </si>
  <si>
    <t>23/05/2025</t>
  </si>
  <si>
    <t>23/05/2025 9:30</t>
  </si>
  <si>
    <t>23/05/2025 12:30</t>
  </si>
  <si>
    <t>26/05/2025 07:22</t>
  </si>
  <si>
    <t>26/05/2025 13:00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</si>
  <si>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</si>
  <si>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26/05/2025 13:10</t>
  </si>
  <si>
    <t>26/05/2025 14:08</t>
  </si>
  <si>
    <t>27/05/2025 08:00</t>
  </si>
  <si>
    <t>883666/884391</t>
  </si>
  <si>
    <t>Excesso de veículo na fabrica/DIVERGENCIA DE VALORES</t>
  </si>
  <si>
    <t>A65790</t>
  </si>
  <si>
    <t>22/05/2025 16:14</t>
  </si>
  <si>
    <t>22/05/2025 23:26</t>
  </si>
  <si>
    <t>26/05/2025 11:00</t>
  </si>
  <si>
    <t>24/05/2025 16:17</t>
  </si>
  <si>
    <t>26/05/2025 09:57</t>
  </si>
  <si>
    <t>24/05/2025 08:26</t>
  </si>
  <si>
    <t>24/05/2025 12:42</t>
  </si>
  <si>
    <t>26/05/2025 7:20</t>
  </si>
  <si>
    <t>28/05/2025 21:07</t>
  </si>
  <si>
    <t>29/05/2025 9:30</t>
  </si>
  <si>
    <t>885178/885436</t>
  </si>
  <si>
    <t>PERDA DE AGENDA/TAXA DE DESCARGA</t>
  </si>
  <si>
    <t>23/05/2025 11;30</t>
  </si>
  <si>
    <t>23/05/2025 15:00</t>
  </si>
  <si>
    <t>26/05/2025 13:43</t>
  </si>
  <si>
    <t>26/05/2025</t>
  </si>
  <si>
    <t>26/05/2025 13:11</t>
  </si>
  <si>
    <t>26/05/2025 16:43</t>
  </si>
  <si>
    <t>27/05/2025 18:10</t>
  </si>
  <si>
    <t>28/05/2025 12:40</t>
  </si>
  <si>
    <t>26/05/2025 14:35</t>
  </si>
  <si>
    <t>26/05/2025 19:19</t>
  </si>
  <si>
    <t>28/05/2025 16:25</t>
  </si>
  <si>
    <t>29/05/2025 12:11</t>
  </si>
  <si>
    <t>885341/886346</t>
  </si>
  <si>
    <t>EXCESSO DE VEICULOS NO CLIENTE/PEDAGIO</t>
  </si>
  <si>
    <t>27/05/2025</t>
  </si>
  <si>
    <t>27/05/2025 08:32</t>
  </si>
  <si>
    <t>27/05/2025 11:34</t>
  </si>
  <si>
    <t>28/05/2025 08:07</t>
  </si>
  <si>
    <t>28/05/2025 13:24</t>
  </si>
  <si>
    <t>31/05/2025</t>
  </si>
  <si>
    <t xml:space="preserve">A65540 </t>
  </si>
  <si>
    <t>31/05/2025 17:02</t>
  </si>
  <si>
    <t>31/05/2025 20:32</t>
  </si>
  <si>
    <t>887404/888370</t>
  </si>
  <si>
    <t>DESCARTE DE PALLETS/TAXA DE DESCARGA</t>
  </si>
  <si>
    <t>11483185/11502853</t>
  </si>
  <si>
    <t xml:space="preserve">A65690/A65690 </t>
  </si>
  <si>
    <t>1607107/1610553</t>
  </si>
  <si>
    <t>6751804/6773047</t>
  </si>
  <si>
    <t>30/05/2025 16:11</t>
  </si>
  <si>
    <t>30/05/2025 21:55</t>
  </si>
  <si>
    <t>887537/888933/890786</t>
  </si>
  <si>
    <t>DIVERGENCIA DE PEDIDO/DIARIA DE DESCARGA</t>
  </si>
  <si>
    <t>IRMÃOS MUFFATO MARINGÁ/PR</t>
  </si>
  <si>
    <t>76.430.438/0065-36</t>
  </si>
  <si>
    <t>A62100</t>
  </si>
  <si>
    <t>30/05/2025 18:44</t>
  </si>
  <si>
    <t>31/05/2025 10:03</t>
  </si>
  <si>
    <t>887103/888002/890546</t>
  </si>
  <si>
    <t>CUSTOS DIAIRIAS INTERNAS HNK/EXCESSO DE VEICULOS/TX DESCARGA</t>
  </si>
  <si>
    <t>13/06/2025</t>
  </si>
  <si>
    <t>764.304.380/110-25</t>
  </si>
  <si>
    <t>13/06/2025 15:00</t>
  </si>
  <si>
    <t>13/06/2025 20:30</t>
  </si>
  <si>
    <t>17/06/2025 06:00</t>
  </si>
  <si>
    <t>16/06/2025 18:05</t>
  </si>
  <si>
    <t>17/06/2025 8:55</t>
  </si>
  <si>
    <t>FALTA DE AGENDA/TAXA DE DESCARGA</t>
  </si>
  <si>
    <t>27/06/2025</t>
  </si>
  <si>
    <t>A66130</t>
  </si>
  <si>
    <t>27/06/2025 07:00</t>
  </si>
  <si>
    <t>27/06/2025 09:30</t>
  </si>
  <si>
    <t>28/06/2025 19:10</t>
  </si>
  <si>
    <t>30/06/2025 12:00</t>
  </si>
  <si>
    <t>SEM PREVISÃO DE DESCARGA (CANCELADA)</t>
  </si>
  <si>
    <t>A59270</t>
  </si>
  <si>
    <t>27/06/2025 14:00</t>
  </si>
  <si>
    <t>27/06/2025 18:00</t>
  </si>
  <si>
    <t>30/06/2025 06:15</t>
  </si>
  <si>
    <t>30/06/2025 12:45</t>
  </si>
  <si>
    <t>27/06/2025 10:30</t>
  </si>
  <si>
    <t>27/06/2025 13:00</t>
  </si>
  <si>
    <t>28/06/2025 07:53</t>
  </si>
  <si>
    <t>28/06/2025 09:25</t>
  </si>
  <si>
    <t>A65890</t>
  </si>
  <si>
    <t>27/06/2025 12:20</t>
  </si>
  <si>
    <t>28/06/2025 12:30</t>
  </si>
  <si>
    <t>28/06/2025 14:30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</si>
  <si>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- DBK DISTRIBUIDORA ARAÇATUBA</t>
    </r>
  </si>
  <si>
    <t>A66130 / RETORNO</t>
  </si>
  <si>
    <t>30/06/2025 11:30</t>
  </si>
  <si>
    <t>30/06/2025 23:09</t>
  </si>
  <si>
    <t>24/06/2025</t>
  </si>
  <si>
    <t>24/06/2025 17:56</t>
  </si>
  <si>
    <t>24/06/2025 23:02</t>
  </si>
  <si>
    <t>25/06/2025 12:12</t>
  </si>
  <si>
    <t>25/06/2025 13:45</t>
  </si>
  <si>
    <t>26/06/2026</t>
  </si>
  <si>
    <t>25/06/2025 18:30</t>
  </si>
  <si>
    <t>25/06/2025 22:30</t>
  </si>
  <si>
    <t>26/06/2025 11:55</t>
  </si>
  <si>
    <t>26/06/2025 13:37</t>
  </si>
  <si>
    <t>28/06/2025</t>
  </si>
  <si>
    <t>28/06/2025 10:25</t>
  </si>
  <si>
    <t>28/06/2025 11:40</t>
  </si>
  <si>
    <t>30/06/2025 06:00</t>
  </si>
  <si>
    <t>29/06/2025 17:53</t>
  </si>
  <si>
    <t>30/06/2025 16:31</t>
  </si>
  <si>
    <t>903925/904232</t>
  </si>
  <si>
    <t>SEM PREVISÃO DE DESCARGA/ TAXA DESCARGA</t>
  </si>
  <si>
    <t>A65880</t>
  </si>
  <si>
    <t>28/06/2025 13:50</t>
  </si>
  <si>
    <t>29/06/2025 00:00</t>
  </si>
  <si>
    <t>29/06/2025 19:20</t>
  </si>
  <si>
    <t>30/06/2025 12:25</t>
  </si>
  <si>
    <t>903924/904228</t>
  </si>
  <si>
    <t>SEM PREVISÃO DE DESCARGA (CANCELADA)/ TAXA DE DESCARGA</t>
  </si>
  <si>
    <t>A65020</t>
  </si>
  <si>
    <t>28/06/2025 08:40</t>
  </si>
  <si>
    <t>28/06/2025 11:20</t>
  </si>
  <si>
    <t>30/06/2025 09:00</t>
  </si>
  <si>
    <t>30/06/2025 08:00</t>
  </si>
  <si>
    <t>903873 / 906240</t>
  </si>
  <si>
    <t>FALTA DE AGENDA/ SENHA / TAXA DE DESCARGA</t>
  </si>
  <si>
    <t>76.430.438/0152-84</t>
  </si>
  <si>
    <t>CASTRO</t>
  </si>
  <si>
    <t>A65360</t>
  </si>
  <si>
    <t>28/06/2025 14:00</t>
  </si>
  <si>
    <t>29/06/2025 06:00</t>
  </si>
  <si>
    <t>30/06/2025</t>
  </si>
  <si>
    <t>30/06/2025 08:15</t>
  </si>
  <si>
    <t>30/06/2025 17:00</t>
  </si>
  <si>
    <t>903892/904301</t>
  </si>
  <si>
    <t>SEM PREVISÃO DE DESCARGA/ TAXA DE DESCARGA</t>
  </si>
  <si>
    <t>A65540</t>
  </si>
  <si>
    <t>29/06/2025 07:45</t>
  </si>
  <si>
    <t>29/06/2025 12:00</t>
  </si>
  <si>
    <t>DESCARTE DE PALLETS</t>
  </si>
  <si>
    <t>29/06/2025</t>
  </si>
  <si>
    <t>30/06/2025 10:10</t>
  </si>
  <si>
    <t>904937/904682</t>
  </si>
  <si>
    <t xml:space="preserve">SEM PREVISÃO DE DESCARGA/PEDÁGIO </t>
  </si>
  <si>
    <t>COMERCIAL CAFFARI - PELOTAS</t>
  </si>
  <si>
    <t>92.016.757/0063-94</t>
  </si>
  <si>
    <t>PELOTAS</t>
  </si>
  <si>
    <t>30/06/2025 15:00</t>
  </si>
  <si>
    <t>30/06/2025 17:30</t>
  </si>
  <si>
    <t>905335/ 907780/907782</t>
  </si>
  <si>
    <t>PERDA DE AGENDA/ TAXA DE DESCARGA/ DEV. ATIVOS - PALLETS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</si>
  <si>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- DBK DISTRIBUIDORA ARAÇATUBA</t>
    </r>
  </si>
  <si>
    <t>SEM PREVISÃO DE DESCARGA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</si>
  <si>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COMERCIAL CAFFARI - PELOTAS (dev. ativos)</t>
    </r>
  </si>
  <si>
    <t>14/07/2025</t>
  </si>
  <si>
    <t>A66530</t>
  </si>
  <si>
    <t>14/07/2025 16:30</t>
  </si>
  <si>
    <t>14/07/2025 22:45</t>
  </si>
  <si>
    <t>15/07/2025 10:20</t>
  </si>
  <si>
    <t>15/07/2025 20:20</t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</si>
  <si>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</si>
  <si>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t>A66530 RETORNO</t>
  </si>
  <si>
    <t>15/07/2025 19:30</t>
  </si>
  <si>
    <t>16/07/2025 06:35</t>
  </si>
  <si>
    <t>17/07/2025 00:30</t>
  </si>
  <si>
    <t>14/08/2025</t>
  </si>
  <si>
    <t>14/08/2025 15:30</t>
  </si>
  <si>
    <t>14/08/2025 18:50</t>
  </si>
  <si>
    <t>15/08/2025 22:30</t>
  </si>
  <si>
    <t>16/08/2025 06:00</t>
  </si>
  <si>
    <t>A66190</t>
  </si>
  <si>
    <t>14/08/2025 10:20</t>
  </si>
  <si>
    <t>14/08/2025 13:40</t>
  </si>
  <si>
    <t>A66840</t>
  </si>
  <si>
    <t>14/08/2025 08:20</t>
  </si>
  <si>
    <t>14/08/2025 13:20</t>
  </si>
  <si>
    <t>15/08/2025 12:40</t>
  </si>
  <si>
    <t>15/08/2025 16:30</t>
  </si>
  <si>
    <t>31/07/2025</t>
  </si>
  <si>
    <t>IRMÃOS MUFFATO CAMBÉ-PR</t>
  </si>
  <si>
    <t>76.430.438/0046-73</t>
  </si>
  <si>
    <t>31/07/2025 14:30</t>
  </si>
  <si>
    <t>31/07/2025 17: 30</t>
  </si>
  <si>
    <t>25634 / 32161</t>
  </si>
  <si>
    <t>AGENDA QUEIMADA / TAXA DE DESCARGA</t>
  </si>
  <si>
    <t>31/07/2026</t>
  </si>
  <si>
    <t>A66490</t>
  </si>
  <si>
    <t>31/07/2025 11:30</t>
  </si>
  <si>
    <t>31/07/2025 15:00</t>
  </si>
  <si>
    <t>25552 / 31205 / 33739</t>
  </si>
  <si>
    <t>AGENDA QUEIMADA / TAXA DE DESCARGA / PEDAGIO</t>
  </si>
  <si>
    <t>15/08/2025</t>
  </si>
  <si>
    <t>A66250</t>
  </si>
  <si>
    <t>15/08/2025 10:30</t>
  </si>
  <si>
    <t>15/08/2025 15:25</t>
  </si>
  <si>
    <t>18/08/2025 10:20</t>
  </si>
  <si>
    <t>18/08/2025 22:00</t>
  </si>
  <si>
    <t>15/08/2025 16:40</t>
  </si>
  <si>
    <t>18/08/2025 16:30</t>
  </si>
  <si>
    <t>19/08/2025 03:30</t>
  </si>
  <si>
    <t xml:space="preserve">38270 / 62481 </t>
  </si>
  <si>
    <t>FALTA DE VASILHAME / PEDAGIO</t>
  </si>
  <si>
    <t>23/08/2025</t>
  </si>
  <si>
    <t>AM/PM COMESTÍVEIS LTDA.</t>
  </si>
  <si>
    <t>IUQ0B97</t>
  </si>
  <si>
    <t>23/08/2025 13:00</t>
  </si>
  <si>
    <t>23/08/2025 16:25</t>
  </si>
  <si>
    <t>25/08 06:00</t>
  </si>
  <si>
    <t>25/08/2025 06:00</t>
  </si>
  <si>
    <t>25/08/2025 11:30</t>
  </si>
  <si>
    <t xml:space="preserve">42944 / 43546 / 62509 / 122535 </t>
  </si>
  <si>
    <t>DEVOLUÇÃO DE PALLETS / TAXA DE DESCARGA /  PEDAGIO / AVARIA</t>
  </si>
  <si>
    <t>22/08/2025</t>
  </si>
  <si>
    <t>22/08/2025 11:00</t>
  </si>
  <si>
    <t>22/08/2025 15:00</t>
  </si>
  <si>
    <t>25/08 08:00</t>
  </si>
  <si>
    <t>25/08/2025 08:15</t>
  </si>
  <si>
    <t>25/08/2025 13:30</t>
  </si>
  <si>
    <t xml:space="preserve">43093 / 62533 </t>
  </si>
  <si>
    <t>TAXA DE DESCARGA / PEDAGIO</t>
  </si>
  <si>
    <t>SPAL INDUSTRIA BRASILEIRA DE BEBIDAS S.A.</t>
  </si>
  <si>
    <t>A64930</t>
  </si>
  <si>
    <t>22/08/2025 16:30</t>
  </si>
  <si>
    <t>23/08 11:00</t>
  </si>
  <si>
    <t>22/08/2025 19:30</t>
  </si>
  <si>
    <t>23/08/2025 11:00</t>
  </si>
  <si>
    <t>TAUSTE SUPERMERCADOS LTDA.</t>
  </si>
  <si>
    <t>AWD1B98</t>
  </si>
  <si>
    <t>26/08 07:00</t>
  </si>
  <si>
    <t>26/08/2025 05:00</t>
  </si>
  <si>
    <t>27/08/2025 08:00</t>
  </si>
  <si>
    <t>44451 / 46561</t>
  </si>
  <si>
    <t>EXCESSO DE VEICULOS NO CLIENTE / TAXA DE DESCARGA</t>
  </si>
  <si>
    <t>DBK DISTRIBUIDORA DE BEBIDAS LTDA.</t>
  </si>
  <si>
    <t>EPB9B81</t>
  </si>
  <si>
    <t>23/08/2025 14:00</t>
  </si>
  <si>
    <t>23/08/2025 15:00</t>
  </si>
  <si>
    <t>26/08/2025 09:00</t>
  </si>
  <si>
    <t>26/08/2025 13:00</t>
  </si>
  <si>
    <t>26/08/2025 13:10</t>
  </si>
  <si>
    <t>27/08/2025 17:25</t>
  </si>
  <si>
    <t>28/08/2025 22:30</t>
  </si>
  <si>
    <t>48415 / 62810</t>
  </si>
  <si>
    <t>EXCESSO DE VEICULOS NA FABRICA / PEDAGIO</t>
  </si>
  <si>
    <t>26/08/2025</t>
  </si>
  <si>
    <r>
      <rPr>
        <rFont val="Calibri"/>
        <b/>
        <color rgb="FFFF0000"/>
        <sz val="10.0"/>
      </rPr>
      <t>DEV ATIVOS</t>
    </r>
    <r>
      <rPr>
        <rFont val="Calibri"/>
        <color theme="1"/>
        <sz val="10.0"/>
      </rPr>
      <t xml:space="preserve"> AM/PM COMESTÍVEIS LTDA.</t>
    </r>
  </si>
  <si>
    <t>25/08/2025 11:00</t>
  </si>
  <si>
    <t>25/08/2025 13:00</t>
  </si>
  <si>
    <t>27/08/2025 13:00</t>
  </si>
  <si>
    <t>27/08/2025 12:45</t>
  </si>
  <si>
    <t>29/08/2025 13:15</t>
  </si>
  <si>
    <t xml:space="preserve">48318 / 62863 </t>
  </si>
  <si>
    <t>29/08/2025</t>
  </si>
  <si>
    <t>MUNDIALMIX COMÉRCIO DE ALIMENTOS LTDA.</t>
  </si>
  <si>
    <t>29/08/2025 15:00</t>
  </si>
  <si>
    <t>29/08/2025 22:20</t>
  </si>
  <si>
    <t xml:space="preserve">54666 / 56849 / 62897 </t>
  </si>
  <si>
    <t>EXCESSO DE VEICULOS NO CLIENTE / TAXA DE DESCARGA /  PEDAGIO</t>
  </si>
  <si>
    <t>TENDA ATACADO LTDA.</t>
  </si>
  <si>
    <t>01.157.555/0011-86</t>
  </si>
  <si>
    <t>LXL6I93</t>
  </si>
  <si>
    <t>29/08/2025 22:10</t>
  </si>
  <si>
    <t>30/08/2025 10:00</t>
  </si>
  <si>
    <t xml:space="preserve">59219 / 62918 </t>
  </si>
  <si>
    <r>
      <rPr>
        <rFont val="Calibri"/>
        <color rgb="FF000000"/>
        <sz val="10.0"/>
      </rPr>
      <t xml:space="preserve">TAXA DE DESCARGA / </t>
    </r>
    <r>
      <rPr>
        <rFont val="Calibri"/>
        <color rgb="FF000000"/>
        <sz val="10.0"/>
      </rPr>
      <t>PEDAGIO</t>
    </r>
  </si>
  <si>
    <t>NJQ6C66</t>
  </si>
  <si>
    <t>29/08/2025 18:45</t>
  </si>
  <si>
    <t>30/08/2025 08:15</t>
  </si>
  <si>
    <t xml:space="preserve">60505 / 62989 </t>
  </si>
  <si>
    <r>
      <rPr>
        <rFont val="Calibri"/>
        <color rgb="FF000000"/>
        <sz val="10.0"/>
      </rPr>
      <t xml:space="preserve">TAXA DE DESCARGA / </t>
    </r>
    <r>
      <rPr>
        <rFont val="Calibri"/>
        <color rgb="FF000000"/>
        <sz val="10.0"/>
      </rPr>
      <t>PEDAGIO</t>
    </r>
  </si>
  <si>
    <t>29/08/2025 17:35</t>
  </si>
  <si>
    <t>30/08/2025 08:00</t>
  </si>
  <si>
    <t xml:space="preserve">59244 / 63005 </t>
  </si>
  <si>
    <r>
      <rPr>
        <rFont val="Calibri"/>
        <color rgb="FF000000"/>
        <sz val="10.0"/>
      </rPr>
      <t xml:space="preserve">TAXA DE DESCARGA / </t>
    </r>
    <r>
      <rPr>
        <rFont val="Calibri"/>
        <color rgb="FF000000"/>
        <sz val="10.0"/>
      </rPr>
      <t>PEDAGIO</t>
    </r>
  </si>
  <si>
    <t>30/08/2025</t>
  </si>
  <si>
    <t>QIJ9F78</t>
  </si>
  <si>
    <t>30/08/2025 09:00</t>
  </si>
  <si>
    <t>30/08/2025 16:20</t>
  </si>
  <si>
    <t xml:space="preserve">59290 / 63039 </t>
  </si>
  <si>
    <r>
      <rPr>
        <rFont val="Calibri"/>
        <color rgb="FF000000"/>
        <sz val="10.0"/>
      </rPr>
      <t xml:space="preserve">TAXA DE DESCARGA / </t>
    </r>
    <r>
      <rPr>
        <rFont val="Calibri"/>
        <color rgb="FF000000"/>
        <sz val="10.0"/>
      </rPr>
      <t>PEDAGIO</t>
    </r>
  </si>
  <si>
    <t>AEW3F21</t>
  </si>
  <si>
    <t>30/08/2025 17:45</t>
  </si>
  <si>
    <t>31/08/2025 07:00</t>
  </si>
  <si>
    <r>
      <rPr>
        <rFont val="Calibri"/>
        <color rgb="FFFF0000"/>
        <sz val="10.0"/>
      </rPr>
      <t xml:space="preserve">TAXA DE DESCARGA / </t>
    </r>
    <r>
      <rPr>
        <rFont val="Calibri"/>
        <color rgb="FFFF0000"/>
        <sz val="10.0"/>
      </rPr>
      <t>PEDAGIO</t>
    </r>
  </si>
  <si>
    <t>SINISTRO</t>
  </si>
  <si>
    <r>
      <rPr>
        <rFont val="Calibri"/>
        <color rgb="FF00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</si>
  <si>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FALTA DE VEÍCULO</t>
  </si>
  <si>
    <t>MFI1G76</t>
  </si>
  <si>
    <r>
      <rPr>
        <rFont val="Calibri"/>
        <color rgb="FF00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</si>
  <si>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KYT7A91</t>
  </si>
  <si>
    <t xml:space="preserve">71613 / 103950 </t>
  </si>
  <si>
    <r>
      <rPr>
        <rFont val="Calibri"/>
        <color rgb="FF000000"/>
        <sz val="10.0"/>
      </rPr>
      <t>FALTA DE VASILHAME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PEDAGIO</t>
    </r>
  </si>
  <si>
    <r>
      <rPr>
        <rFont val="Calibri"/>
        <color rgb="FF00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</si>
  <si>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RETORNO VAZIO</t>
  </si>
  <si>
    <t xml:space="preserve">77193 / 104017 </t>
  </si>
  <si>
    <r>
      <rPr>
        <rFont val="Calibri"/>
        <color rgb="FF000000"/>
        <sz val="10.0"/>
      </rPr>
      <t>TAXA DE DESCARGA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PEDAGIO</t>
    </r>
  </si>
  <si>
    <r>
      <rPr>
        <rFont val="Calibri"/>
        <color rgb="FF000000"/>
        <sz val="10.0"/>
      </rPr>
      <t>TAXA DE DESCARGA</t>
    </r>
    <r>
      <rPr>
        <rFont val="Calibri"/>
        <color rgb="FFFF0000"/>
        <sz val="10.0"/>
      </rPr>
      <t xml:space="preserve"> </t>
    </r>
  </si>
  <si>
    <t>16/009/2025 08:50</t>
  </si>
  <si>
    <t xml:space="preserve">76257 / 104031 </t>
  </si>
  <si>
    <t>EXCESSO DE VEÍCULO / PEDAGIO</t>
  </si>
  <si>
    <r>
      <rPr>
        <rFont val="Calibri"/>
        <b/>
        <color rgb="FFFF0000"/>
        <sz val="10.0"/>
      </rPr>
      <t xml:space="preserve">RETORNO TE02 </t>
    </r>
    <r>
      <rPr>
        <rFont val="Calibri"/>
        <b/>
        <color theme="1"/>
        <sz val="10.0"/>
      </rPr>
      <t xml:space="preserve"> </t>
    </r>
    <r>
      <rPr>
        <rFont val="Calibri"/>
        <b val="0"/>
        <color theme="1"/>
        <sz val="10.0"/>
      </rPr>
      <t>CDA CURITIBA-PR</t>
    </r>
  </si>
  <si>
    <t>50.221.019/0097-88</t>
  </si>
  <si>
    <t>02.864.417/0051-97</t>
  </si>
  <si>
    <t xml:space="preserve">81701 / 83972 / 121027 </t>
  </si>
  <si>
    <r>
      <rPr>
        <rFont val="Calibri"/>
        <color rgb="FF000000"/>
        <sz val="10.0"/>
      </rPr>
      <t>EXECESSO DE VEICULOS NO CLEINTE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FALTA DE VASILHAME/ PEDAGIO</t>
    </r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</si>
  <si>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</si>
  <si>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 xml:space="preserve">83260 / 121066 </t>
  </si>
  <si>
    <r>
      <rPr>
        <rFont val="Calibri"/>
        <color rgb="FF000000"/>
        <sz val="10.0"/>
      </rPr>
      <t>EXCESSO DE VEICULOS NO CLIENTE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PEDAGIO</t>
    </r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</si>
  <si>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</si>
  <si>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81723 / 84008 / 126123</t>
  </si>
  <si>
    <r>
      <rPr>
        <rFont val="Calibri"/>
        <color rgb="FF000000"/>
        <sz val="10.0"/>
      </rPr>
      <t>EXCESSO DE VEICULOS NO CLIENTE / FALTA DE VASILHAME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PEDAGIO</t>
    </r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</si>
  <si>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</si>
  <si>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 xml:space="preserve">81707 / 126163 </t>
  </si>
  <si>
    <t>APN2H58</t>
  </si>
  <si>
    <t>81763 / 126173</t>
  </si>
  <si>
    <t>RLI4I24</t>
  </si>
  <si>
    <t>FALTA DE VASILHAME</t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</si>
  <si>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</si>
  <si>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MIS0H20</t>
  </si>
  <si>
    <t xml:space="preserve">81717 / 126214 </t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</si>
  <si>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HEINEKEN ITU - SP</t>
    </r>
  </si>
  <si>
    <t xml:space="preserve">83325 / 126233 </t>
  </si>
  <si>
    <r>
      <rPr>
        <rFont val="Calibri"/>
        <color rgb="FF000000"/>
        <sz val="10.0"/>
      </rPr>
      <t>EXCESSO DE VEICULOS NO CLIENTE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PEDAGIO</t>
    </r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</si>
  <si>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HEINEKEN ITU - SP</t>
    </r>
  </si>
  <si>
    <t xml:space="preserve">88160 / 126243 </t>
  </si>
  <si>
    <r>
      <rPr>
        <rFont val="Calibri"/>
        <color rgb="FF000000"/>
        <sz val="10.0"/>
      </rPr>
      <t>EXCESSO DE VEICULOS NA FABRICA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PEDAGIO</t>
    </r>
  </si>
  <si>
    <t>83243 / 84028</t>
  </si>
  <si>
    <t>EXCESSO DE VEICULOS NO CLIENTE / FALTA DE VASILHAME</t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</si>
  <si>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</si>
  <si>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ALC0D80</t>
  </si>
  <si>
    <t>BRUXELAS COMÉRCIO DE ALIMENTOS LTDA.</t>
  </si>
  <si>
    <t>07.306.828/0005-45</t>
  </si>
  <si>
    <t>QJM9J40</t>
  </si>
  <si>
    <t>85205 / 89605 / 128612</t>
  </si>
  <si>
    <r>
      <rPr>
        <rFont val="Calibri"/>
        <color rgb="FF000000"/>
        <sz val="10.0"/>
      </rPr>
      <t>TAXA DE DESCARGA / DESCARTE DE PALLETS</t>
    </r>
    <r>
      <rPr>
        <rFont val="Calibri"/>
        <color rgb="FFFF0000"/>
        <sz val="10.0"/>
      </rPr>
      <t xml:space="preserve"> </t>
    </r>
    <r>
      <rPr>
        <rFont val="Calibri"/>
        <color rgb="FF000000"/>
        <sz val="10.0"/>
      </rPr>
      <t>/ PEDAGIO</t>
    </r>
  </si>
  <si>
    <t xml:space="preserve">85518 / 86894 / 95408 </t>
  </si>
  <si>
    <t>DIARIAS / TAXA DE DESCARGA / DESCARET PALLET</t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</si>
  <si>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</si>
  <si>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rgb="FF000000"/>
        <sz val="10.0"/>
      </rPr>
      <t xml:space="preserve"> CDA GUARULHOS-SP </t>
    </r>
  </si>
  <si>
    <t>BOM DIA COMERCIAL DE ALIMENTOS E LOGISTICA LTDA.</t>
  </si>
  <si>
    <t>JAD ZOGHEIB &amp; CIA LTDA.</t>
  </si>
  <si>
    <t>53.045.266/0003-89</t>
  </si>
  <si>
    <t>DESCARTE PALLETS</t>
  </si>
  <si>
    <t>EWJ9I55</t>
  </si>
  <si>
    <t>ATJ1E14</t>
  </si>
  <si>
    <t xml:space="preserve">91878 / 285343 </t>
  </si>
  <si>
    <r>
      <rPr>
        <rFont val="Calibri"/>
        <color rgb="FF000000"/>
        <sz val="10.0"/>
      </rPr>
      <t>TAXA DE DESCARGA</t>
    </r>
    <r>
      <rPr>
        <rFont val="Calibri"/>
        <color rgb="FF000000"/>
        <sz val="10.0"/>
      </rPr>
      <t xml:space="preserve"> / PEDAGIO</t>
    </r>
  </si>
  <si>
    <t>SENDAS DISTRIBUIDORA S.A.</t>
  </si>
  <si>
    <t>06.057.223/0274-52</t>
  </si>
  <si>
    <t>OBH3I84</t>
  </si>
  <si>
    <t>29/09/2025 22;30</t>
  </si>
  <si>
    <t xml:space="preserve">95612 / 101060  / 285371 </t>
  </si>
  <si>
    <r>
      <rPr>
        <rFont val="Calibri"/>
        <color rgb="FF000000"/>
        <sz val="10.0"/>
      </rPr>
      <t xml:space="preserve">EXCESSO DE VEICULOS NO CLIENTE/ TAXA DE DESCARGA / </t>
    </r>
    <r>
      <rPr>
        <rFont val="Calibri"/>
        <color rgb="FF000000"/>
        <sz val="10.0"/>
      </rPr>
      <t>PEDAGIO</t>
    </r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</si>
  <si>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>DBK DISTRIBUIDORA DE BEBIDAS - ARAÇATUBA</t>
    </r>
  </si>
  <si>
    <t>76.430.438/0089-03</t>
  </si>
  <si>
    <t>IUD0B73</t>
  </si>
  <si>
    <t xml:space="preserve">99398 / 285394 </t>
  </si>
  <si>
    <r>
      <rPr>
        <rFont val="Calibri"/>
        <color rgb="FF000000"/>
        <sz val="10.0"/>
      </rPr>
      <t>TAXA DE DESCARGA /</t>
    </r>
    <r>
      <rPr>
        <rFont val="Calibri"/>
        <color rgb="FF000000"/>
        <sz val="10.0"/>
      </rPr>
      <t xml:space="preserve"> PEDAGIO</t>
    </r>
  </si>
  <si>
    <t>SUPERMERCADOS IRMÃOS LOPES S.A.</t>
  </si>
  <si>
    <t>45.827.425/0001-07</t>
  </si>
  <si>
    <t xml:space="preserve">105218 / 105470 / 105514 / 285490 </t>
  </si>
  <si>
    <r>
      <rPr>
        <rFont val="Calibri"/>
        <color rgb="FF000000"/>
        <sz val="10.0"/>
      </rPr>
      <t xml:space="preserve">AVARIA / TAXA DE DESCARGA / ESTADIAS INTERNAS HNK / </t>
    </r>
    <r>
      <rPr>
        <rFont val="Calibri"/>
        <color rgb="FF000000"/>
        <sz val="10.0"/>
      </rPr>
      <t>PEDAGIO</t>
    </r>
  </si>
  <si>
    <r>
      <rPr>
        <rFont val="Calibri"/>
        <b/>
        <color rgb="FFFF0000"/>
        <sz val="10.0"/>
      </rPr>
      <t xml:space="preserve">RETORNO AVARIA </t>
    </r>
    <r>
      <rPr>
        <rFont val="Calibri"/>
        <color theme="1"/>
        <sz val="10.0"/>
      </rPr>
      <t>SUPERMERCADOS IRMÃOS LOPES S.A.</t>
    </r>
  </si>
  <si>
    <t xml:space="preserve">EXCESSO DE VEICULOS NA FABRICA 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</si>
  <si>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</si>
  <si>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ATQ3B32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</si>
  <si>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</si>
  <si>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EXCESSO DE VEICULOS NA FABRICA</t>
  </si>
  <si>
    <t>LAGO AZUL COMÉRCIO E REPRESENTAÇÕES LTDA.</t>
  </si>
  <si>
    <t>REJENTE FEIJÓ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</si>
  <si>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</si>
  <si>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</si>
  <si>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</si>
  <si>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</si>
  <si>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122827 / 161946</t>
  </si>
  <si>
    <t>SINISTRO / EXCESSO DE VEICULOS NA FABRICA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</si>
  <si>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</si>
  <si>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SOS</t>
  </si>
  <si>
    <t>MJG3I40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</si>
  <si>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</si>
  <si>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MEN5G01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</si>
  <si>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</si>
  <si>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</si>
  <si>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14/10/2025 16;50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</si>
  <si>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</si>
  <si>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color theme="1"/>
        <sz val="10.0"/>
      </rPr>
      <t xml:space="preserve">FALTA DE VASILHAME / </t>
    </r>
    <r>
      <rPr>
        <rFont val="Calibri"/>
        <color rgb="FFFF0000"/>
        <sz val="10.0"/>
      </rPr>
      <t>PEDAGIO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</si>
  <si>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</si>
  <si>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138896 / 139925</t>
  </si>
  <si>
    <r>
      <rPr>
        <rFont val="Calibri"/>
        <color theme="1"/>
        <sz val="10.0"/>
      </rPr>
      <t xml:space="preserve">EXCESSO DE VEICULOS NO CLIENTE / FALTA DE VASILHAME / </t>
    </r>
    <r>
      <rPr>
        <rFont val="Calibri"/>
        <color rgb="FFFF0000"/>
        <sz val="10.0"/>
      </rPr>
      <t>PEDAGIO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</si>
  <si>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</si>
  <si>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</si>
  <si>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color theme="1"/>
        <sz val="10.0"/>
      </rPr>
      <t xml:space="preserve">FALTA DE VASILHAME / </t>
    </r>
    <r>
      <rPr>
        <rFont val="Calibri"/>
        <color rgb="FFFF0000"/>
        <sz val="10.0"/>
      </rPr>
      <t>PEDAGIO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</si>
  <si>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</si>
  <si>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WMB SUPERMERCADOS DO BRASIL LTDA.</t>
  </si>
  <si>
    <t>00.063.960/0585-22</t>
  </si>
  <si>
    <t>FLORIANÓPOLIS</t>
  </si>
  <si>
    <t xml:space="preserve">141070 / 143146 </t>
  </si>
  <si>
    <r>
      <rPr>
        <rFont val="Calibri"/>
        <color theme="1"/>
        <sz val="10.0"/>
      </rPr>
      <t xml:space="preserve">DEVLUÇÃO PALLETS / DESCARTE DE PALLETS / </t>
    </r>
    <r>
      <rPr>
        <rFont val="Calibri"/>
        <color rgb="FFFF0000"/>
        <sz val="10.0"/>
      </rPr>
      <t>PEDAGIO</t>
    </r>
  </si>
  <si>
    <r>
      <rPr>
        <rFont val="Calibri"/>
        <color theme="1"/>
        <sz val="10.0"/>
      </rPr>
      <t xml:space="preserve">DESCARTE DE PALLETS / </t>
    </r>
    <r>
      <rPr>
        <rFont val="Calibri"/>
        <color rgb="FFFF0000"/>
        <sz val="10.0"/>
      </rPr>
      <t>PEDAGIO</t>
    </r>
  </si>
  <si>
    <r>
      <rPr>
        <rFont val="Calibri"/>
        <color theme="1"/>
        <sz val="10.0"/>
      </rPr>
      <t xml:space="preserve">FALTA DE VASILHAME / </t>
    </r>
    <r>
      <rPr>
        <rFont val="Calibri"/>
        <color rgb="FFFF0000"/>
        <sz val="10.0"/>
      </rPr>
      <t>PEDAGIO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</si>
  <si>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</si>
  <si>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color theme="1"/>
        <sz val="10.0"/>
      </rPr>
      <t xml:space="preserve">FALTA DE VASILHAME / </t>
    </r>
    <r>
      <rPr>
        <rFont val="Calibri"/>
        <color rgb="FFFF0000"/>
        <sz val="10.0"/>
      </rPr>
      <t>PEDAGIO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</si>
  <si>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</si>
  <si>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EXCESSO DE VEICULOS NO CLIENTE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</si>
  <si>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</si>
  <si>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color theme="1"/>
        <sz val="10.0"/>
      </rPr>
      <t xml:space="preserve">FALTA DE VASILHAME / </t>
    </r>
    <r>
      <rPr>
        <rFont val="Calibri"/>
        <color rgb="FFFF0000"/>
        <sz val="10.0"/>
      </rPr>
      <t>PEDAGIO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</si>
  <si>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</si>
  <si>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color theme="1"/>
        <sz val="10.0"/>
      </rPr>
      <t xml:space="preserve">FALTA DE VASILHAME / </t>
    </r>
    <r>
      <rPr>
        <rFont val="Calibri"/>
        <color rgb="FFFF0000"/>
        <sz val="10.0"/>
      </rPr>
      <t>PEDAGIO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</si>
  <si>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</si>
  <si>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MEN5G01 / ATU6287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</si>
  <si>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</si>
  <si>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KYT7A91 / ATU6457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</si>
  <si>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</si>
  <si>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</si>
  <si>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</si>
  <si>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</si>
  <si>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</si>
  <si>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28/10/0202 23:30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</si>
  <si>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</si>
  <si>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AIZ0B18</t>
  </si>
  <si>
    <t>HSS8I08</t>
  </si>
  <si>
    <t>KYT7A91 / ATU6298</t>
  </si>
  <si>
    <t>AVARIA</t>
  </si>
  <si>
    <t>EMU6F61</t>
  </si>
  <si>
    <t xml:space="preserve">HNK BR BEBIDAS </t>
  </si>
  <si>
    <t>02.864.417/0054-30</t>
  </si>
  <si>
    <t>PASSOS</t>
  </si>
  <si>
    <t>RIBEIRÃO PRETO</t>
  </si>
  <si>
    <t>EXCESSO DE VEICULOS NO CLIENTE / PEDAGIO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</si>
  <si>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</si>
  <si>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</si>
  <si>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IRMÃOS MUFFATO</t>
  </si>
  <si>
    <t>76.430.438/0036-00</t>
  </si>
  <si>
    <t>PRESIDENTE PRUDENTE</t>
  </si>
  <si>
    <t>198580 / 206338 / 206422</t>
  </si>
  <si>
    <t>EXCESSO DE VEICULOS NO CLIENTE / TAXA DE DESCARGA / DESCARTE DE PALLETS</t>
  </si>
  <si>
    <t>EJZ5C62</t>
  </si>
  <si>
    <t xml:space="preserve">195730 / 198667 / 198833 </t>
  </si>
  <si>
    <t>EXCESSO DE VEICULOS NO CLIENTE/DESCARTE DE PALLETS/TAXA DE DESCARGA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</si>
  <si>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</si>
  <si>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</si>
  <si>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IZH5B58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</si>
  <si>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</si>
  <si>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208928 / 209374 / 209518</t>
  </si>
  <si>
    <t>TAXA DE DESCARGA / DESCARTE DE PALLETS / AVARIA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</si>
  <si>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</si>
  <si>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 xml:space="preserve">SUPERMERCADO BAHAMAS </t>
  </si>
  <si>
    <t>17.745.613/0056-24</t>
  </si>
  <si>
    <t>UBERLANDIA</t>
  </si>
  <si>
    <t>MG</t>
  </si>
  <si>
    <t>ATJ9F67</t>
  </si>
  <si>
    <t xml:space="preserve">212136 / 212677 / 213686 / 215249 </t>
  </si>
  <si>
    <t xml:space="preserve">EXC.VEIC / FALTA DE AGENDA / AVARIA / DESC.PALLETS / PEDAGIO </t>
  </si>
  <si>
    <t xml:space="preserve">216237 / 258234 </t>
  </si>
  <si>
    <t>EXCESSO DE VEICULOS NO CLIENTE / TAXA DE DESCARGA / PEDAGIO</t>
  </si>
  <si>
    <t>SENDAS DISTRIBUIDORA S.A</t>
  </si>
  <si>
    <t>06.057.223/0496-93</t>
  </si>
  <si>
    <t>223714 / 238611 / 254152 / 278383</t>
  </si>
  <si>
    <t>AVARIA / TAXA DE DESCARGA / DESCARTE DE PALLETS / ESTADIAS</t>
  </si>
  <si>
    <t>RET.AVARIA SENDAS DISTRIBUIDORA S.A</t>
  </si>
  <si>
    <t>IUD0B73 / APF0H61</t>
  </si>
  <si>
    <t>MULTI FORMATO DISTRIBUIDORA SOCIEDA DE ANONIMA</t>
  </si>
  <si>
    <t>10.319.375/0015-78</t>
  </si>
  <si>
    <t>CONTAGEM</t>
  </si>
  <si>
    <t xml:space="preserve">TAXA DE DESCARGA / PEDAGIO </t>
  </si>
  <si>
    <t>COMÉRCIO DE BEBIDAS MARRA LTDA.</t>
  </si>
  <si>
    <t>18.518.795/0001-90</t>
  </si>
  <si>
    <t>PATROCINIO</t>
  </si>
  <si>
    <t xml:space="preserve">EXXCESSO DE VEICULOS NO CLIENTE / PEDAGIO </t>
  </si>
  <si>
    <t>25/11/2025 14;20</t>
  </si>
  <si>
    <t>DIJ1E09</t>
  </si>
  <si>
    <t>HNK BEBIDAS LTDA</t>
  </si>
  <si>
    <t>50.221.019/0004-89</t>
  </si>
  <si>
    <t>EMBU DAS ARTES</t>
  </si>
  <si>
    <t xml:space="preserve">EXCESSO DE VEICULOS NO CLIENTE / PEDAGIO </t>
  </si>
  <si>
    <t>02.864.417/0048-91</t>
  </si>
  <si>
    <r>
      <rPr>
        <rFont val="Calibri"/>
        <color rgb="FFFF0000"/>
        <sz val="10.0"/>
      </rPr>
      <t>RET TE02</t>
    </r>
    <r>
      <rPr>
        <rFont val="Calibri"/>
        <color theme="1"/>
        <sz val="10.0"/>
      </rPr>
      <t xml:space="preserve"> CDA GUARULHOS-SP</t>
    </r>
  </si>
  <si>
    <t xml:space="preserve">PEDAGIO </t>
  </si>
  <si>
    <t>233273 / 234583 / 238975</t>
  </si>
  <si>
    <t>EXCESSO DE VEICULOS NO CLIENTE / SEM PEDIDO / DESC.PALLET</t>
  </si>
  <si>
    <t xml:space="preserve">238353 / 238498 </t>
  </si>
  <si>
    <t xml:space="preserve"> IZH5B58</t>
  </si>
  <si>
    <t xml:space="preserve">244222 / 244249 / 259098 </t>
  </si>
  <si>
    <t xml:space="preserve">VEÍCULO COM DEFEITO / PERDA DE AGENDA / TX.DESC. / PEDAGIO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</si>
  <si>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</si>
  <si>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 xml:space="preserve">244196 / 247111 / 247131 </t>
  </si>
  <si>
    <t>EXCESSO DE VEICULOS NO CLIENTE / TX.DESCARGA / AVARIA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</si>
  <si>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</si>
  <si>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ATD9I98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</si>
  <si>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</si>
  <si>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BCN2F46</t>
  </si>
  <si>
    <t xml:space="preserve">EXCESSO DE VEÍCULO NO CLIENTE / PEDAGIO </t>
  </si>
  <si>
    <t>PEDAGIO / EXCESSO DE VEICULOS NO CLIENTE</t>
  </si>
  <si>
    <t>02.864.417/0045-49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</si>
  <si>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</si>
  <si>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t>EXCESSO DE VEÍCULO NO CLIENTE</t>
  </si>
  <si>
    <t>BWK8H22</t>
  </si>
  <si>
    <t>11/112/202517:00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</si>
  <si>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</si>
  <si>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265927 / 265737</t>
  </si>
  <si>
    <t>VEICULO COM DEFEITO</t>
  </si>
  <si>
    <t>DPE-7386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</si>
  <si>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</si>
  <si>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color rgb="FFFF0000"/>
        <sz val="10.0"/>
      </rPr>
      <t>RET TE02</t>
    </r>
    <r>
      <rPr>
        <rFont val="Calibri"/>
        <color theme="1"/>
        <sz val="10.0"/>
      </rPr>
      <t xml:space="preserve"> CDA GUARULHOS-SP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</si>
  <si>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</si>
  <si>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EMU6F61 / BBA8428</t>
  </si>
  <si>
    <r>
      <rPr>
        <rFont val="Calibri"/>
        <color rgb="FFFF0000"/>
        <sz val="10.0"/>
      </rPr>
      <t>RET TE02</t>
    </r>
    <r>
      <rPr>
        <rFont val="Calibri"/>
        <color theme="1"/>
        <sz val="10.0"/>
      </rPr>
      <t xml:space="preserve"> CDA GUARULHOS-SP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</si>
  <si>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</si>
  <si>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MJG3I40 / ASX3D86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</si>
  <si>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</si>
  <si>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AWR0D17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</si>
  <si>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</si>
  <si>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MIK3A89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</si>
  <si>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</si>
  <si>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JAF9H05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</si>
  <si>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</si>
  <si>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</si>
  <si>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SDB COMERCIO DE ALIMENTOS LTDA.</t>
  </si>
  <si>
    <t xml:space="preserve">314576 / 329269 </t>
  </si>
  <si>
    <t>AVARIA / TX DESCARGA</t>
  </si>
  <si>
    <t>HEH4E80</t>
  </si>
  <si>
    <r>
      <rPr>
        <rFont val="Calibri"/>
        <b/>
        <color rgb="FFFF0000"/>
        <sz val="10.0"/>
      </rPr>
      <t>RET TE02</t>
    </r>
    <r>
      <rPr>
        <rFont val="Calibri"/>
        <color theme="1"/>
        <sz val="10.0"/>
      </rPr>
      <t xml:space="preserve"> CDA GUARULHOS-SP</t>
    </r>
  </si>
  <si>
    <t>DVT4J10</t>
  </si>
  <si>
    <t xml:space="preserve">322770 / 344102 / 330076 / 341210 </t>
  </si>
  <si>
    <t>VEÍCULO COM DEFEITO / PERDA AGENDA / EXCESSO DE VEICULOS NO CLIENTE / TX. DESC.</t>
  </si>
  <si>
    <t>VEÍCULO COM DEFEITO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</si>
  <si>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</si>
  <si>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EXCESSO DE VEICULOS NA FÁBRICA</t>
  </si>
  <si>
    <t>02.864.417/0049-72</t>
  </si>
  <si>
    <t>SEU9E39</t>
  </si>
  <si>
    <t>MEE6J56</t>
  </si>
  <si>
    <t xml:space="preserve">327229 / 338916 </t>
  </si>
  <si>
    <t xml:space="preserve">OQZ0649 </t>
  </si>
  <si>
    <t xml:space="preserve">327176 / 338924 </t>
  </si>
  <si>
    <t>FRV1D12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</si>
  <si>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</si>
  <si>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t>ORGANIZAÇÃO VERDEMAR LTDA</t>
  </si>
  <si>
    <t>65.124.307/0006-54</t>
  </si>
  <si>
    <t>NOVA LIMA</t>
  </si>
  <si>
    <t xml:space="preserve">336648 / 337034 / 341436 </t>
  </si>
  <si>
    <t>TAXA DE DESCARGA / AVARIA / DESC.PALLETS</t>
  </si>
  <si>
    <t>CASA RENA S.A</t>
  </si>
  <si>
    <t>21.253.729/0001-40</t>
  </si>
  <si>
    <t>ITAUNA</t>
  </si>
  <si>
    <t>OQZ0649</t>
  </si>
  <si>
    <t xml:space="preserve">336664 / 346881 </t>
  </si>
  <si>
    <t>TAXA DE DESCARGA / DESCARTE DE PALLETS</t>
  </si>
  <si>
    <t>SUPERMERCADOS BH COMÉRCIO DE ALIMENTOS S.A.</t>
  </si>
  <si>
    <t>04.641.376/0280-65</t>
  </si>
  <si>
    <t xml:space="preserve">340212 / 341399 / 341413 </t>
  </si>
  <si>
    <t>EXCESSO DE VEICULOS NO CLIENTE / TX. DESCARGA / DESC.PALLET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</si>
  <si>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</si>
  <si>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CLH5188</t>
  </si>
  <si>
    <t xml:space="preserve">344582 / 347719 / 360715 </t>
  </si>
  <si>
    <t>EXCESSO DE VEICULOS NO CLIENTE / TAXA DE DESCARGA / DESC.PALLETS</t>
  </si>
  <si>
    <r>
      <rPr>
        <rFont val="Calibri"/>
        <b/>
        <color rgb="FFFF0000"/>
        <sz val="10.0"/>
      </rPr>
      <t xml:space="preserve">DEV PALLETS </t>
    </r>
    <r>
      <rPr>
        <rFont val="Calibri"/>
        <b val="0"/>
        <color rgb="FF000000"/>
        <sz val="10.0"/>
      </rPr>
      <t>SUPERMERCADOS BH COMÉRCIO DE ALIMENTOS S.A.</t>
    </r>
  </si>
  <si>
    <t>50.221.019/0094-35</t>
  </si>
  <si>
    <t xml:space="preserve">355687 / 356484 / 357419 </t>
  </si>
  <si>
    <t>AVARIA / DESCARTE DE PALLETS / TAXA DE DESCARGA</t>
  </si>
  <si>
    <t xml:space="preserve">357027 / 359165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</si>
  <si>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BEBIDAS LTDA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</si>
  <si>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BEBIDAS LTDA</t>
    </r>
  </si>
  <si>
    <t xml:space="preserve">358425 / 361110 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</si>
  <si>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BEBIDAS LTDA</t>
    </r>
  </si>
  <si>
    <t>EWJ0E55</t>
  </si>
  <si>
    <t>358431 / 361155 / 365287</t>
  </si>
  <si>
    <t>EXCESSO DE VEICULOS NO CLIENTE / ADERNAMENTO / FALTA DE VASILHAME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</si>
  <si>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BEBIDAS LTDA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</si>
  <si>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- DBK DISTRIBUIDORA ARAÇATUBA</t>
    </r>
  </si>
  <si>
    <t>SUPERMERCADO BAHAMAS S/A</t>
  </si>
  <si>
    <t>17.745.613/0051-10</t>
  </si>
  <si>
    <t>UBERLÂNDIA</t>
  </si>
  <si>
    <t xml:space="preserve">359566  / 358457 </t>
  </si>
  <si>
    <t>SHC6I28</t>
  </si>
  <si>
    <t>359591 / 358461  / 360834 / 386359</t>
  </si>
  <si>
    <t>TAXA DE DESCARGA / EXCESSO DE VEICULOS NO CLIENTE / AVARIA / DESCARTE PALLET</t>
  </si>
  <si>
    <t>RUM9A55</t>
  </si>
  <si>
    <t>MULTICOM ATACADO E VAREJO LTDA.</t>
  </si>
  <si>
    <t>28.548.486/0017-83</t>
  </si>
  <si>
    <t>RIBEIRÃO DAS NEVES</t>
  </si>
  <si>
    <t>SHC6I31</t>
  </si>
  <si>
    <t xml:space="preserve">363263 / 363748 </t>
  </si>
  <si>
    <t>AVARIA / TAXA DE DESCARGA</t>
  </si>
  <si>
    <t xml:space="preserve">368289 / 375583 </t>
  </si>
  <si>
    <t>VEICULO COM DEFEITO / EXCESSO DE VEICULOS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</si>
  <si>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</si>
  <si>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</t>
    </r>
  </si>
  <si>
    <t>DISTRIBUIDORA DE BEBIDAS MARRA CENTRO OESTE LTDA.</t>
  </si>
  <si>
    <t>34.436.354/0001-03</t>
  </si>
  <si>
    <t>FORMIGA</t>
  </si>
  <si>
    <t xml:space="preserve">369706 / 370425 / 370436 </t>
  </si>
  <si>
    <t>EXCESSO DE VEICULOS NO CLIENTE / TX DESCARGA / DESC.PALLET</t>
  </si>
  <si>
    <t>10.319.375/0001-72</t>
  </si>
  <si>
    <t xml:space="preserve">370592 / 375442 </t>
  </si>
  <si>
    <t>EXCESSO DE VEICULOS NO CLIENTE / PERDA DE AGENDA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</si>
  <si>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DISTRIBUIDORA DE BEBIDAS MARRA CENTRO OESTE LTDA.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</si>
  <si>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DISTRIBUIDORA DE BEBIDAS MARRA CENTRO OESTE LTDA.</t>
    </r>
  </si>
  <si>
    <t xml:space="preserve">370627 / 375479 / 389341  / 389464 </t>
  </si>
  <si>
    <t>EXCESSO DE VEICULOS NO CLIENTE / TAXA DE DESCARGA / AVARIA</t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</si>
  <si>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 xml:space="preserve">LAGO AZUL JUNDIAÍ-SP </t>
    </r>
  </si>
  <si>
    <t>MAGAZINE LUIZA S/A</t>
  </si>
  <si>
    <t>47.960.950/0588-04</t>
  </si>
  <si>
    <t>377872 / 383444 / 392895</t>
  </si>
  <si>
    <t>EXCESSO DE VEICULOS NO CLIENTE / AVARIA / TAXA DE DESCARGA</t>
  </si>
  <si>
    <t>374565 / 375521 / 381660</t>
  </si>
  <si>
    <t xml:space="preserve">374573 / 376429 / 382078 </t>
  </si>
  <si>
    <t xml:space="preserve">376051 / 379371 / 382670 </t>
  </si>
  <si>
    <t>PERDA AGENDA FABRICA / AVARIA / TAXA DE DESCARGA</t>
  </si>
  <si>
    <r>
      <rPr>
        <rFont val="Calibri"/>
        <b/>
        <color rgb="FFFF0000"/>
        <sz val="10.0"/>
      </rPr>
      <t>RETORNO AVARIA</t>
    </r>
    <r>
      <rPr>
        <rFont val="Calibri"/>
        <color theme="1"/>
        <sz val="10.0"/>
      </rPr>
      <t xml:space="preserve"> MULTI FORMATO DISTRIBUIDORA SOCIEDA DE ANONIMA</t>
    </r>
  </si>
  <si>
    <t>DEVOLUÇÃO PALLET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</si>
  <si>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DISTRIBUIDORA DE BEBIDAS MARRA CENTRO OESTE LTDA.</t>
    </r>
  </si>
  <si>
    <t>COMERCIAL DAHANA LTDA.</t>
  </si>
  <si>
    <t>00.070.509/0028-20</t>
  </si>
  <si>
    <t xml:space="preserve">386311 / 389355 </t>
  </si>
  <si>
    <t xml:space="preserve">386640 / 389361 </t>
  </si>
  <si>
    <t>18.518.795/0004-32</t>
  </si>
  <si>
    <t>PATOS DE MINAS</t>
  </si>
  <si>
    <t>81940'6</t>
  </si>
  <si>
    <t>TROPICAL DISTRIBUIDORA DE BEBIDAS L TDA.</t>
  </si>
  <si>
    <t>07.520.458/0001-10</t>
  </si>
  <si>
    <t>OURO PRETO</t>
  </si>
  <si>
    <t>AJW3E65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</si>
  <si>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</si>
  <si>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DISTRIBUIDORA DE BEBIDAS MARRA CENTRO OESTE LTDA.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</si>
  <si>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</si>
  <si>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RETORNO TE02 HEINEKEN ITU - SP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</si>
  <si>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</si>
  <si>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00.063.960/0131-89</t>
  </si>
  <si>
    <t>Nº Ocorrencia</t>
  </si>
  <si>
    <t>ROTA</t>
  </si>
  <si>
    <t>COD. AGREGADO</t>
  </si>
  <si>
    <t>PLACA</t>
  </si>
  <si>
    <t>DATA EMBARQUE</t>
  </si>
  <si>
    <t>INICIO VIAGEM</t>
  </si>
  <si>
    <t>TERMINO VIAGEM</t>
  </si>
  <si>
    <t>VALOR ROTA A RECEBER</t>
  </si>
  <si>
    <t>STATUS VALIDAÇÃO HNK</t>
  </si>
  <si>
    <t>OBS</t>
  </si>
  <si>
    <t>Ação Ritmo</t>
  </si>
  <si>
    <t>PONTA GROSSA X GUARULHOS</t>
  </si>
  <si>
    <t xml:space="preserve">AMP9049 </t>
  </si>
  <si>
    <t>R$ 219,00</t>
  </si>
  <si>
    <t>FINALIZADA SEM DEV</t>
  </si>
  <si>
    <t>CUSTO SAP LANÇ</t>
  </si>
  <si>
    <t>Aguarda Demonst. Crédito</t>
  </si>
  <si>
    <t xml:space="preserve">ALC0D80 </t>
  </si>
  <si>
    <t xml:space="preserve">JZU1A40 </t>
  </si>
  <si>
    <t>GHC4E75</t>
  </si>
  <si>
    <t>248,86</t>
  </si>
  <si>
    <t>BCJ0C22</t>
  </si>
  <si>
    <t>AZP0H53</t>
  </si>
  <si>
    <t>RET. VAZIO</t>
  </si>
  <si>
    <t>PONTA GROSSA X CURIITBA</t>
  </si>
  <si>
    <t xml:space="preserve">DPB1I84 </t>
  </si>
  <si>
    <t>R$ 52,20</t>
  </si>
  <si>
    <t>MPP1639</t>
  </si>
  <si>
    <t>EFW3B74</t>
  </si>
  <si>
    <t>DTE2491</t>
  </si>
  <si>
    <t>RET. VAZIO/ CUSTO SAP LANÇ</t>
  </si>
  <si>
    <t>PONTA GROSSA X TIJUCAS</t>
  </si>
  <si>
    <t>ASP6I28</t>
  </si>
  <si>
    <t>R$ 177,00</t>
  </si>
  <si>
    <t>R$ 174.39</t>
  </si>
  <si>
    <t>ETU2H73</t>
  </si>
  <si>
    <t>FUC4F49</t>
  </si>
  <si>
    <t>NÃO</t>
  </si>
  <si>
    <t>N TEM</t>
  </si>
  <si>
    <t>Finalizado</t>
  </si>
  <si>
    <t>HORARIOS NAO CONSTAM</t>
  </si>
  <si>
    <t>A63610</t>
  </si>
  <si>
    <t>AXN1D92</t>
  </si>
  <si>
    <t>GUARULHOS X PONTA GROSSA</t>
  </si>
  <si>
    <t>A63770</t>
  </si>
  <si>
    <t>MLL6E83</t>
  </si>
  <si>
    <t>21/01/2025</t>
  </si>
  <si>
    <t>PONTA GROSSA X SÃO PAULO</t>
  </si>
  <si>
    <t>15/01/2025 21:30</t>
  </si>
  <si>
    <t>PONTA GROSSA X OSASCO</t>
  </si>
  <si>
    <t>15/01/2025 23:20</t>
  </si>
  <si>
    <t>PONTA GROSSA X MOGI DAS CRUZES</t>
  </si>
  <si>
    <t xml:space="preserve">MEA5F57 </t>
  </si>
  <si>
    <t>R$ 600.00</t>
  </si>
  <si>
    <t>27/01/2025 06:00</t>
  </si>
  <si>
    <t>IGREJINHA X VESPASIANO CORREIA</t>
  </si>
  <si>
    <t>31/01/2025 11:25</t>
  </si>
  <si>
    <t xml:space="preserve">R$ 143.00 </t>
  </si>
  <si>
    <t>VESPASIANO CORREIA X IGREJINHA</t>
  </si>
  <si>
    <t xml:space="preserve">31/01/2025 </t>
  </si>
  <si>
    <t>R$ 60,50</t>
  </si>
  <si>
    <t>PONTA GROSSA X PORTO BELO</t>
  </si>
  <si>
    <t xml:space="preserve">29/01/2025 </t>
  </si>
  <si>
    <t>IGREJINHA X JOAÇABA</t>
  </si>
  <si>
    <t>IEU5D15</t>
  </si>
  <si>
    <t>JOAÇABA X IGREJINHA</t>
  </si>
  <si>
    <t>GBN9E05</t>
  </si>
  <si>
    <t>R$ 145,80</t>
  </si>
  <si>
    <t>PONTA GROSSA X JUNDIAI</t>
  </si>
  <si>
    <t xml:space="preserve">RLI4I24 </t>
  </si>
  <si>
    <t>R$ 496,80</t>
  </si>
  <si>
    <t>CUSTO SAP</t>
  </si>
  <si>
    <t>A63940</t>
  </si>
  <si>
    <t xml:space="preserve">AYP3B37	</t>
  </si>
  <si>
    <t>NAO</t>
  </si>
  <si>
    <t>VEICULO SEM TAG/ AUDINEI</t>
  </si>
  <si>
    <t>ATF7H89</t>
  </si>
  <si>
    <t>MGF4H86</t>
  </si>
  <si>
    <t>AET2E84 / AOO8H10</t>
  </si>
  <si>
    <t>R$ 236.13</t>
  </si>
  <si>
    <t>AOO8H10</t>
  </si>
  <si>
    <t>PONTA GROSSA X SÃO JOSÉ DOS PINHAIS</t>
  </si>
  <si>
    <t>BAN2A60</t>
  </si>
  <si>
    <t>SEM EXTRATO / DAVID</t>
  </si>
  <si>
    <t>R$ 100,91</t>
  </si>
  <si>
    <t>NUF0C80</t>
  </si>
  <si>
    <t xml:space="preserve">SEM EXTRATO </t>
  </si>
  <si>
    <t>PONTA GROSSA X CURITIBA</t>
  </si>
  <si>
    <t>CURITIBA X PONTA GROSSA</t>
  </si>
  <si>
    <t>19/02/2025 13:00</t>
  </si>
  <si>
    <t>R$ 49.59</t>
  </si>
  <si>
    <t>R$ 459,20</t>
  </si>
  <si>
    <t>ILI8C72</t>
  </si>
  <si>
    <t>R$ 248.86</t>
  </si>
  <si>
    <t>TICKETS</t>
  </si>
  <si>
    <t>PONTA GROSSA X PINHAIS</t>
  </si>
  <si>
    <t>PONTA GROSSA X JAU</t>
  </si>
  <si>
    <t>JLQ7H51</t>
  </si>
  <si>
    <t>R$ 327.40</t>
  </si>
  <si>
    <t>SEM EXTRATO NA TAG REPOM</t>
  </si>
  <si>
    <t>PONTA GROSSA X BARUERI</t>
  </si>
  <si>
    <t xml:space="preserve">EVU7C10 </t>
  </si>
  <si>
    <t xml:space="preserve">24/02/2025 </t>
  </si>
  <si>
    <t>R$ 261,65</t>
  </si>
  <si>
    <t>PONTA GROSSA X MARILIA</t>
  </si>
  <si>
    <t>GVQ2B17</t>
  </si>
  <si>
    <t>R$ 358,36</t>
  </si>
  <si>
    <t>R$ 367,50</t>
  </si>
  <si>
    <t>R$ 415.90</t>
  </si>
  <si>
    <t>R$ 558,07</t>
  </si>
  <si>
    <t>28/02/2025 08:00</t>
  </si>
  <si>
    <t>CVN3I94</t>
  </si>
  <si>
    <t>R$ 228.69</t>
  </si>
  <si>
    <t>R$ 258,13</t>
  </si>
  <si>
    <t>R$174.53</t>
  </si>
  <si>
    <t>R$ 298.30</t>
  </si>
  <si>
    <t xml:space="preserve">25/03/2025 </t>
  </si>
  <si>
    <t>26/03/2025 20:06</t>
  </si>
  <si>
    <t>R$ 289.09</t>
  </si>
  <si>
    <t>PONTA GROSSA X PALHOÇA</t>
  </si>
  <si>
    <t xml:space="preserve">29/03/2025 </t>
  </si>
  <si>
    <t>31/03/2025 07:00</t>
  </si>
  <si>
    <t>R$ 198.17</t>
  </si>
  <si>
    <t>PONTA GROSSA X ITU</t>
  </si>
  <si>
    <t>ILZ1B64</t>
  </si>
  <si>
    <t>17/04/2025 10:00</t>
  </si>
  <si>
    <t>R$ 331.36</t>
  </si>
  <si>
    <t>A64420</t>
  </si>
  <si>
    <t>17/04/2025 20:40</t>
  </si>
  <si>
    <t>R$ 358,57</t>
  </si>
  <si>
    <t>PONTA GROSSA X ARAÇATUBA</t>
  </si>
  <si>
    <t>MIO0D70</t>
  </si>
  <si>
    <t>R$ 625,63</t>
  </si>
  <si>
    <t>ARAÇATUBA X PONTA GROSSA</t>
  </si>
  <si>
    <t>R$ 561.48</t>
  </si>
  <si>
    <t>BCP9H00</t>
  </si>
  <si>
    <t>R$ 528.95</t>
  </si>
  <si>
    <t>ITU X PONTA GROSSA</t>
  </si>
  <si>
    <t>R$ 505.95</t>
  </si>
  <si>
    <t>PONTA GROSSA X CANDIDO MOTA</t>
  </si>
  <si>
    <t>QJK5J00</t>
  </si>
  <si>
    <t>R$ 599.38</t>
  </si>
  <si>
    <t>R$ 527.73</t>
  </si>
  <si>
    <t>AXS2A52</t>
  </si>
  <si>
    <t>R$ 306.78</t>
  </si>
  <si>
    <t>MEK4B39</t>
  </si>
  <si>
    <t>R$ 313,94</t>
  </si>
  <si>
    <t xml:space="preserve">18/05/2025 </t>
  </si>
  <si>
    <t>R$ 276.27</t>
  </si>
  <si>
    <t>GXS8G38</t>
  </si>
  <si>
    <t>R$ 313.94</t>
  </si>
  <si>
    <t>NOVO</t>
  </si>
  <si>
    <t>Acompanhar</t>
  </si>
  <si>
    <t>R$ 230.66</t>
  </si>
  <si>
    <t>CUTO SAP LANÇADO</t>
  </si>
  <si>
    <t>MGN6G66</t>
  </si>
  <si>
    <t>26/06/2025</t>
  </si>
  <si>
    <t>26/06/2025 14:00</t>
  </si>
  <si>
    <t xml:space="preserve">27/06/2025 </t>
  </si>
  <si>
    <t>R$ 596.45</t>
  </si>
  <si>
    <t>RLJ5B74</t>
  </si>
  <si>
    <t>28/06/2025 08:00</t>
  </si>
  <si>
    <t>ATR5484</t>
  </si>
  <si>
    <t>R$ 534.70</t>
  </si>
  <si>
    <t>28/06/2025 19:00</t>
  </si>
  <si>
    <t>R$ 494.72</t>
  </si>
  <si>
    <t>30/06/2025 00:00</t>
  </si>
  <si>
    <t>R$ 365.83</t>
  </si>
  <si>
    <t>PONTA GROSSA X MARINGÁ</t>
  </si>
  <si>
    <t>A46380</t>
  </si>
  <si>
    <t>MFY4I74</t>
  </si>
  <si>
    <t xml:space="preserve">28/06/2025 </t>
  </si>
  <si>
    <t>29/06/2025 21:00</t>
  </si>
  <si>
    <t>R$ 218.88</t>
  </si>
  <si>
    <t>PONYT GROSSA X CANDIDO MOTA</t>
  </si>
  <si>
    <t>ABZ5A09</t>
  </si>
  <si>
    <t>CUSTO SAP LANÇADA</t>
  </si>
  <si>
    <t>CUSTO LANÇADA SAP</t>
  </si>
  <si>
    <t>TAS0H43</t>
  </si>
  <si>
    <t xml:space="preserve">14/07/2025 </t>
  </si>
  <si>
    <t xml:space="preserve">15/07/2025 </t>
  </si>
  <si>
    <t>PONTA GROSSA X CAMBE</t>
  </si>
  <si>
    <t>ATI8J32</t>
  </si>
  <si>
    <t>R$ 145.92</t>
  </si>
  <si>
    <t>R$ 323.41</t>
  </si>
  <si>
    <t>R$ 218.19</t>
  </si>
  <si>
    <t>CONCLUIDO</t>
  </si>
  <si>
    <t>N° Custo SAP - 797551</t>
  </si>
  <si>
    <t>N° Custo SAP - 797336</t>
  </si>
  <si>
    <t>QJC9I92</t>
  </si>
  <si>
    <t>R$ 172.59</t>
  </si>
  <si>
    <t>N° Custo SAP - 797514</t>
  </si>
  <si>
    <t>DEMONSTRATIVO ENVIADO</t>
  </si>
  <si>
    <t>19:08/2025 03:30</t>
  </si>
  <si>
    <t>AG PGTO PEDAGIO</t>
  </si>
  <si>
    <t>ÍUQ0B97</t>
  </si>
  <si>
    <t>25/08/2025 13:000</t>
  </si>
  <si>
    <t>PONTA GROSSA X MARINGA</t>
  </si>
  <si>
    <t>N Custo SAP - 813938 - Ocorrencia criado com o novo CNPJ</t>
  </si>
  <si>
    <t>AQS4D91</t>
  </si>
  <si>
    <t>N° Custo SAP - 797976</t>
  </si>
  <si>
    <t>N° Custo SAP - 797668</t>
  </si>
  <si>
    <t>SÃO JOSÉ DOS PINHAIS X PONTA GROSSA</t>
  </si>
  <si>
    <t>25/08/2025</t>
  </si>
  <si>
    <t>N° Custo SAP - 797460</t>
  </si>
  <si>
    <t>N° Custo SAP - 797596</t>
  </si>
  <si>
    <t>N° Custo SAP - 797633</t>
  </si>
  <si>
    <t>N° Custo SAP - 797625</t>
  </si>
  <si>
    <t>N° Custo SAP - 797652</t>
  </si>
  <si>
    <t>N° Custo SAP - 797696</t>
  </si>
  <si>
    <t>N° Custo SAP - 798893</t>
  </si>
  <si>
    <t>N° Custo SAP - 798892</t>
  </si>
  <si>
    <t>N° Custo SAP - 798910</t>
  </si>
  <si>
    <t>N° Custo SAP - 798898</t>
  </si>
  <si>
    <t>N° Custo SAP - 798817</t>
  </si>
  <si>
    <t>N° Custo SAP - 798816</t>
  </si>
  <si>
    <t>N Custo SAP - 812304</t>
  </si>
  <si>
    <t>N Custo SAP - 812303</t>
  </si>
  <si>
    <t>N Custo SAP - 812302</t>
  </si>
  <si>
    <t>N Custo SAP - 812228</t>
  </si>
  <si>
    <t>DEMOSNTRATIVO RECEBIDO</t>
  </si>
  <si>
    <t>N Custo SAP - 818931</t>
  </si>
  <si>
    <t>N Custo SAP - 818930</t>
  </si>
  <si>
    <t>N Custo SAP - 818863</t>
  </si>
  <si>
    <t>R$ 145,92</t>
  </si>
  <si>
    <t>N Custo SAP - 818862</t>
  </si>
  <si>
    <t>N Custo SAP - 843663</t>
  </si>
  <si>
    <t>PONTA GROSSA X CAMBÉ</t>
  </si>
  <si>
    <t>N Custo SAP - 843020</t>
  </si>
  <si>
    <t>N Custo SAP - 843013</t>
  </si>
  <si>
    <t>N Custo SAP - 843659</t>
  </si>
  <si>
    <t>N Custo SAP - 843017</t>
  </si>
  <si>
    <t>N Custo SAP - 843656</t>
  </si>
  <si>
    <t>N Custo SAP - 843653</t>
  </si>
  <si>
    <t>N Custo SAP - 843018</t>
  </si>
  <si>
    <t>N Custo SAP - 850566</t>
  </si>
  <si>
    <t>PONTA GROSSA X REGENTE FEIJÓ</t>
  </si>
  <si>
    <t>N Custo SAP - 850575</t>
  </si>
  <si>
    <t>R$ 525,82</t>
  </si>
  <si>
    <t>N Custo SAP - 850569</t>
  </si>
  <si>
    <t>N Custo SAP - 850571</t>
  </si>
  <si>
    <t>N Custo SAP - 850580</t>
  </si>
  <si>
    <t>PONTA GROSSA X SÃO JOSÉ</t>
  </si>
  <si>
    <t>N Custo SAP - 850578</t>
  </si>
  <si>
    <t>N Custo SAP - 850564</t>
  </si>
  <si>
    <t>Tipo de Ocorrencia</t>
  </si>
  <si>
    <t>CTE</t>
  </si>
  <si>
    <t>ROMANEIO</t>
  </si>
  <si>
    <t>CÓD. AGREGADO</t>
  </si>
  <si>
    <t>VALOR A RECEBER (CLIENTE)</t>
  </si>
  <si>
    <t>CUSTO MOTORISTA</t>
  </si>
  <si>
    <t>OBSERVAÇÃO</t>
  </si>
  <si>
    <t>13/11/2024</t>
  </si>
  <si>
    <t>DIÁRIA DE DESCARGA</t>
  </si>
  <si>
    <t>Não Gerou descarregou no dia</t>
  </si>
  <si>
    <t>14/11/2024</t>
  </si>
  <si>
    <t>MIZ9F60</t>
  </si>
  <si>
    <t>Finalizada aberta OC 762729, que foi validada</t>
  </si>
  <si>
    <t>ASO5I06</t>
  </si>
  <si>
    <t>aberto outra e validado OC 759955</t>
  </si>
  <si>
    <t>Não Gerou descarregou no dia Fabrica P.Grossa</t>
  </si>
  <si>
    <t>JZU1A40</t>
  </si>
  <si>
    <t>R$ 3.640,00</t>
  </si>
  <si>
    <t>Validado Gerado demonstrativo crédito</t>
  </si>
  <si>
    <t>25/11/2024</t>
  </si>
  <si>
    <t>JUNDIAI X PONTA GROSSA</t>
  </si>
  <si>
    <t>R$ 1.600,00</t>
  </si>
  <si>
    <t xml:space="preserve">A62620 </t>
  </si>
  <si>
    <t>AWG4F46</t>
  </si>
  <si>
    <t>Comprov. anexos, MOT. NÃO apres. quando chamado para descarga</t>
  </si>
  <si>
    <t>FALTA DE AGENDA</t>
  </si>
  <si>
    <t/>
  </si>
  <si>
    <t>ACS4B05</t>
  </si>
  <si>
    <t>CANCELADO</t>
  </si>
  <si>
    <t xml:space="preserve"> </t>
  </si>
  <si>
    <t>MARILIA X PONTA  GROSSA</t>
  </si>
  <si>
    <t>CVN3A01</t>
  </si>
  <si>
    <t xml:space="preserve">CANCELADO POR CAMILA </t>
  </si>
  <si>
    <t>PERDA DE AGENDA</t>
  </si>
  <si>
    <t>Fin. por Marcos, OC aberta antes chegada no cliente</t>
  </si>
  <si>
    <t>R$ 3.200,00</t>
  </si>
  <si>
    <t>Validado HNK  já recebido Demonstrativo de crédito</t>
  </si>
  <si>
    <t>PONTA GROSSA X FOZ DO IGUAÇU</t>
  </si>
  <si>
    <t>Descarregou no cliente - Não gerou diária descarga</t>
  </si>
  <si>
    <t>R$ 208,00</t>
  </si>
  <si>
    <t>ALO5I04</t>
  </si>
  <si>
    <t>AG. VALIDAÇÃO DA ORIGEM P/ DIRECIONAR O DEBITO</t>
  </si>
  <si>
    <t>ITAPETININGA X PONTA GROSSA</t>
  </si>
  <si>
    <t>A63080</t>
  </si>
  <si>
    <t>CUE4E05</t>
  </si>
  <si>
    <t>R$ 800,00</t>
  </si>
  <si>
    <t>CANCELADA PELA FÁBRICA</t>
  </si>
  <si>
    <t>R$  500.00</t>
  </si>
  <si>
    <t>R$ 352,00</t>
  </si>
  <si>
    <t>CANCELADO PELA FÁBRICA</t>
  </si>
  <si>
    <t>Não validaram a diária reaberto OC 768166 e Validado HNK</t>
  </si>
  <si>
    <t>Mot. foi chamado, mas não compareceu, não podendo então validar a diária</t>
  </si>
  <si>
    <t>PONTA GROSSA X PORTO VELHO</t>
  </si>
  <si>
    <r>
      <rPr>
        <rFont val="Calibri"/>
        <color theme="1"/>
      </rPr>
      <t xml:space="preserve">AUTORIZADO VIA HNK </t>
    </r>
    <r>
      <rPr>
        <rFont val="Calibri"/>
        <b/>
        <color theme="1"/>
      </rPr>
      <t>DESCARTE</t>
    </r>
    <r>
      <rPr>
        <rFont val="Calibri"/>
        <color theme="1"/>
      </rPr>
      <t xml:space="preserve"> E FINALIZADO OC.</t>
    </r>
  </si>
  <si>
    <r>
      <rPr>
        <rFont val="Calibri"/>
        <color theme="1"/>
      </rPr>
      <t xml:space="preserve">AUTORIZADO VIA HNK </t>
    </r>
    <r>
      <rPr>
        <rFont val="Calibri"/>
        <b/>
        <color theme="1"/>
      </rPr>
      <t>DESCARTE</t>
    </r>
    <r>
      <rPr>
        <rFont val="Calibri"/>
        <color theme="1"/>
      </rPr>
      <t xml:space="preserve"> E FINALIZADO OC.</t>
    </r>
  </si>
  <si>
    <t>DEV. ATIVOS  - PALLET</t>
  </si>
  <si>
    <t xml:space="preserve">OC. aberta p/ fins de quitação saldo  pois o canht. pallet nao foi assinado </t>
  </si>
  <si>
    <t>R$ 1.601,60</t>
  </si>
  <si>
    <t xml:space="preserve">DBC8790	</t>
  </si>
  <si>
    <t>R$ 390,00</t>
  </si>
  <si>
    <t>DESCARTE PALLET</t>
  </si>
  <si>
    <t>Ocorrência incorreta - Finalizado HNK não anexado NF de pallets</t>
  </si>
  <si>
    <r>
      <rPr>
        <rFont val="Calibri"/>
        <color theme="1"/>
      </rPr>
      <t xml:space="preserve">AUTORIZADO VIA HNK </t>
    </r>
    <r>
      <rPr>
        <rFont val="Calibri"/>
        <b/>
        <color theme="1"/>
      </rPr>
      <t>DESCARTE</t>
    </r>
    <r>
      <rPr>
        <rFont val="Calibri"/>
        <color theme="1"/>
      </rPr>
      <t xml:space="preserve"> E FINALIZADO OC.</t>
    </r>
  </si>
  <si>
    <t>Ocorrência incorreta - Finalizado HNK - Anexado NF incorreta</t>
  </si>
  <si>
    <t>BAIXADA PELA GEOVANA, MAS SEM TRAT. NA OC</t>
  </si>
  <si>
    <t>PONTA GROSSA X GARULHOS</t>
  </si>
  <si>
    <t>Não Gerou</t>
  </si>
  <si>
    <t>NZU2538</t>
  </si>
  <si>
    <t>R$ 3.920, 00</t>
  </si>
  <si>
    <t>Compr. Anexado - Não Validou Estadia</t>
  </si>
  <si>
    <t>EUX8A96</t>
  </si>
  <si>
    <t>R$ 4.000,00</t>
  </si>
  <si>
    <t>A63410</t>
  </si>
  <si>
    <t>R$ 3.920,00</t>
  </si>
  <si>
    <t xml:space="preserve">23/12/2024 </t>
  </si>
  <si>
    <t>Nao validou</t>
  </si>
  <si>
    <t>MFI7B86</t>
  </si>
  <si>
    <t>CPJ2F67</t>
  </si>
  <si>
    <t>Cancelado por Camila</t>
  </si>
  <si>
    <t>Descarte autorizado por Geovana</t>
  </si>
  <si>
    <t>R$ 520,00</t>
  </si>
  <si>
    <t>validado diaria na DT DE RETORNO</t>
  </si>
  <si>
    <t>AGENDA FUTURA</t>
  </si>
  <si>
    <t>PONTA GROSSA X SÃO LEOPOLDO</t>
  </si>
  <si>
    <t>Nao validada, só são pagas a partir da data de agendamento origem</t>
  </si>
  <si>
    <t>EVO2A67</t>
  </si>
  <si>
    <t>Descarte autorizado por MARCELO</t>
  </si>
  <si>
    <t>AMP9049</t>
  </si>
  <si>
    <t xml:space="preserve">ATJ1E14 </t>
  </si>
  <si>
    <t xml:space="preserve">GHC4E75 </t>
  </si>
  <si>
    <t>13/01/2024</t>
  </si>
  <si>
    <t>Descarte autorizado</t>
  </si>
  <si>
    <t>17/01/2025</t>
  </si>
  <si>
    <t>R$ 280.00</t>
  </si>
  <si>
    <t>Não gerou diária</t>
  </si>
  <si>
    <t>R$ 420.00</t>
  </si>
  <si>
    <t>Descarte aut. por Geovana</t>
  </si>
  <si>
    <t>AG RET. NO E-MAIL SOBRE OS PALLETS</t>
  </si>
  <si>
    <t>IGREJINHA X FARROUPILHA</t>
  </si>
  <si>
    <t>R$ 520.00</t>
  </si>
  <si>
    <t>Não gerou</t>
  </si>
  <si>
    <t>R$ 400.00</t>
  </si>
  <si>
    <t>Descarte aut. por Marcelo</t>
  </si>
  <si>
    <t xml:space="preserve"> GBN9E05</t>
  </si>
  <si>
    <t>Descarte aut. Geovana</t>
  </si>
  <si>
    <t>Autorizado por Geovana</t>
  </si>
  <si>
    <t>R$ 156.00</t>
  </si>
  <si>
    <t>NÃO VALIDARAM</t>
  </si>
  <si>
    <t>Descarte aut. Marcelo</t>
  </si>
  <si>
    <t>R$ 310.00</t>
  </si>
  <si>
    <t>BAP2G10</t>
  </si>
  <si>
    <t>R$ 405.00</t>
  </si>
  <si>
    <t>R$ 208.00</t>
  </si>
  <si>
    <t>A64010</t>
  </si>
  <si>
    <t>PEJ0C51</t>
  </si>
  <si>
    <t>R$ 1.600</t>
  </si>
  <si>
    <t>ATX0A70</t>
  </si>
  <si>
    <t>Descart. aut. Geovana</t>
  </si>
  <si>
    <t xml:space="preserve">Descart. aut. MARCOS </t>
  </si>
  <si>
    <t>FINALIZADO COM DEV</t>
  </si>
  <si>
    <t>custo devolução trnp. 1.560</t>
  </si>
  <si>
    <t>R$ 52,00</t>
  </si>
  <si>
    <t>Desct. autorizado</t>
  </si>
  <si>
    <t>R$ 690,91</t>
  </si>
  <si>
    <t>NÃO GEROU</t>
  </si>
  <si>
    <t>27/02/2025</t>
  </si>
  <si>
    <t xml:space="preserve">AZP0H53 </t>
  </si>
  <si>
    <t>R$ 909.09</t>
  </si>
  <si>
    <t>CANHOTOS ANEXADOS</t>
  </si>
  <si>
    <t>28/02/2025</t>
  </si>
  <si>
    <t xml:space="preserve">A64170 </t>
  </si>
  <si>
    <t xml:space="preserve">NJQ6C66 </t>
  </si>
  <si>
    <t xml:space="preserve">APN2H58 </t>
  </si>
  <si>
    <t>PINHAIS X PONTA GROSSA</t>
  </si>
  <si>
    <t>AGG7742</t>
  </si>
  <si>
    <t>R$ 3.200</t>
  </si>
  <si>
    <t>R$ 2.000</t>
  </si>
  <si>
    <t>ACN3I64</t>
  </si>
  <si>
    <t>DESCARTE AUTORIZADO POR GEOVANA</t>
  </si>
  <si>
    <t>DEV. ATIVOS VASILHAME</t>
  </si>
  <si>
    <t>R$ 6.363,64</t>
  </si>
  <si>
    <t>PONTA GROSSA X SÃO JOSE DOS PINHAIS PR</t>
  </si>
  <si>
    <t>R$ 350,00</t>
  </si>
  <si>
    <t>AZV0533</t>
  </si>
  <si>
    <t>R$ 1.500</t>
  </si>
  <si>
    <t>R$ 2727.27</t>
  </si>
  <si>
    <t>Dev. realizada com êxito</t>
  </si>
  <si>
    <t>RETRABALHO</t>
  </si>
  <si>
    <t>tratando estadias na oc 832415</t>
  </si>
  <si>
    <t>R$ 52.00</t>
  </si>
  <si>
    <t>PONTA GROSSA X SAO PAULO</t>
  </si>
  <si>
    <t>r$ 502.27</t>
  </si>
  <si>
    <t>R$ 2.727,27</t>
  </si>
  <si>
    <t>CUSTOS ESTADIAS INTERNO HNK</t>
  </si>
  <si>
    <t>R$ 3.636,36</t>
  </si>
  <si>
    <t>R$ 1000.00</t>
  </si>
  <si>
    <t>R$ 1818.18</t>
  </si>
  <si>
    <t>MOT. CHEGOU 22:30 SÓ AVISOU NO OUTRO DIA AS 09:30 ( NÃO VALIDA)</t>
  </si>
  <si>
    <t xml:space="preserve"> R$ 590.91</t>
  </si>
  <si>
    <t>AYZ5B53</t>
  </si>
  <si>
    <t>R$ 500.00</t>
  </si>
  <si>
    <t>R$ 627.27</t>
  </si>
  <si>
    <t>R$ 800</t>
  </si>
  <si>
    <t>31/03/2025</t>
  </si>
  <si>
    <t>R$ 502.27</t>
  </si>
  <si>
    <t>R$ 598.00</t>
  </si>
  <si>
    <t>AG UPLOAD TRNSP</t>
  </si>
  <si>
    <t>NECESSITA CARIMBO DO CLIENTE</t>
  </si>
  <si>
    <t>R$2.727.27</t>
  </si>
  <si>
    <t>R$ 1500.00</t>
  </si>
  <si>
    <t>R$ 1.818.18</t>
  </si>
  <si>
    <t>R$ 1000,00</t>
  </si>
  <si>
    <t>R$ 4.429.55</t>
  </si>
  <si>
    <t>OC ABERTA DT DE IDA/ RETORNO N INTEGRA 11344828/DIARIA VALIDADA</t>
  </si>
  <si>
    <t>R$ 1.000</t>
  </si>
  <si>
    <t>FINALIZADA COM DEV</t>
  </si>
  <si>
    <t>R$ 195,25</t>
  </si>
  <si>
    <t>Sap 750054</t>
  </si>
  <si>
    <t>17/04/2025</t>
  </si>
  <si>
    <t>primeria oc 858965 dt ida, acompanhar ambas</t>
  </si>
  <si>
    <t>25/04/2025</t>
  </si>
  <si>
    <t>AGENDA QUEIMADA</t>
  </si>
  <si>
    <t>R$ 2.400</t>
  </si>
  <si>
    <t>IGREJINHA X ESTRELA</t>
  </si>
  <si>
    <t xml:space="preserve">HZE2F70 </t>
  </si>
  <si>
    <t>R$2,054.00</t>
  </si>
  <si>
    <t>DT disponb. OTM , valor de frete ja repassado, ira pegar espelho na fábrica</t>
  </si>
  <si>
    <t>R$ 450.00</t>
  </si>
  <si>
    <t>Recorrendo valor pago incorretamente</t>
  </si>
  <si>
    <t>R$ 44,00</t>
  </si>
  <si>
    <t>cobrar Tamira</t>
  </si>
  <si>
    <t>R$ 40.00</t>
  </si>
  <si>
    <t>ALP7B30</t>
  </si>
  <si>
    <t>R$ 120.00</t>
  </si>
  <si>
    <t>R$ 1.818,18</t>
  </si>
  <si>
    <t>R$ 500,00</t>
  </si>
  <si>
    <t>AG. PGTO ESTADIAS</t>
  </si>
  <si>
    <t xml:space="preserve">A64220 </t>
  </si>
  <si>
    <t>DVS9D71</t>
  </si>
  <si>
    <t>R$ 416,00</t>
  </si>
  <si>
    <t>R$ 416.00</t>
  </si>
  <si>
    <t>R4 472.73</t>
  </si>
  <si>
    <t>16/05/2025</t>
  </si>
  <si>
    <t xml:space="preserve">MIS0H20 </t>
  </si>
  <si>
    <t>R$ 1.000.00</t>
  </si>
  <si>
    <t>FINALIZADA SEM DEV.</t>
  </si>
  <si>
    <t>MLN3A76</t>
  </si>
  <si>
    <t>15/05/2025</t>
  </si>
  <si>
    <t>ABRIR OC QUANDO O VEICULO ESTIVER NO CLIENTE</t>
  </si>
  <si>
    <t>AG FINALIZAR VIAGEM</t>
  </si>
  <si>
    <t>ABERTA UMA NOVA OCORRENCIA OC 888857</t>
  </si>
  <si>
    <t>MBP5D79</t>
  </si>
  <si>
    <t>AG PGTO ESTADIAS</t>
  </si>
  <si>
    <t>R$ 4.545,45</t>
  </si>
  <si>
    <t>BAX3J70</t>
  </si>
  <si>
    <t>R$ 738.64</t>
  </si>
  <si>
    <t>R$ 144.00</t>
  </si>
  <si>
    <t>SAP 764835</t>
  </si>
  <si>
    <t>SEGUIR COM O DESCARTE CONSCIENTE</t>
  </si>
  <si>
    <t>28/05/2025</t>
  </si>
  <si>
    <t xml:space="preserve">Cobrar estadias </t>
  </si>
  <si>
    <t>ABRIR OC COM O VEICULO NO CLIENTE</t>
  </si>
  <si>
    <t>R$2.727,27</t>
  </si>
  <si>
    <t>R$ 1.500.00</t>
  </si>
  <si>
    <t>2905/2025</t>
  </si>
  <si>
    <t>29/05/2025</t>
  </si>
  <si>
    <t>R$ 650.00</t>
  </si>
  <si>
    <t>AG PG TX DESCARGA</t>
  </si>
  <si>
    <t>SAP 764879</t>
  </si>
  <si>
    <t>ATD0G84</t>
  </si>
  <si>
    <t>R$ 800.00</t>
  </si>
  <si>
    <t>HQG6D12</t>
  </si>
  <si>
    <t>DESCARTE REALIZADO (MARCELO)</t>
  </si>
  <si>
    <t>DIVERGENCIA DE PEDIDO</t>
  </si>
  <si>
    <t>A65690</t>
  </si>
  <si>
    <t>IPK4C72</t>
  </si>
  <si>
    <t>DESCARGA PROG.</t>
  </si>
  <si>
    <t>AUTORIZADO RETORNO DA CARGA, AG 06/06</t>
  </si>
  <si>
    <t>FINALIZADO SEM DEV</t>
  </si>
  <si>
    <t>SEM UPLOAD DENTRO DO PRAZO</t>
  </si>
  <si>
    <t>R$ 265.91</t>
  </si>
  <si>
    <t>ABERTURA TARDIA</t>
  </si>
  <si>
    <t>AUTORIZADO PG 01 ESTADIA</t>
  </si>
  <si>
    <t>AGENDA PARA 06/06/2025 09:00</t>
  </si>
  <si>
    <t>17/06/2025</t>
  </si>
  <si>
    <t>PONTA GROSSA x CANDIDO MOTA</t>
  </si>
  <si>
    <t>CUSTO LANÇADO</t>
  </si>
  <si>
    <t>R$ 4.800.00</t>
  </si>
  <si>
    <t>R$ 2.500.00</t>
  </si>
  <si>
    <t>PONTA GROSSA X CASTRO</t>
  </si>
  <si>
    <t>MKK1H34</t>
  </si>
  <si>
    <t>AG. PGTO TAXA DESCARGA</t>
  </si>
  <si>
    <t>SEM UPLOAD DENTRO DA DATA</t>
  </si>
  <si>
    <t>PERDA DE AGENDA - TRANSPORTADOR</t>
  </si>
  <si>
    <t>IGREJINHA X PELOTAS</t>
  </si>
  <si>
    <t>AG.FINALIZAR VIAGEM</t>
  </si>
  <si>
    <t>ANEXAR CANHOTO</t>
  </si>
  <si>
    <t>R$ 472.73</t>
  </si>
  <si>
    <t>R$ 390.00</t>
  </si>
  <si>
    <t>21/07/2025</t>
  </si>
  <si>
    <t>R$ 78.00</t>
  </si>
  <si>
    <t>A66420</t>
  </si>
  <si>
    <t>R$ 325.00</t>
  </si>
  <si>
    <t>R$ 1337.73</t>
  </si>
  <si>
    <t>N° Custo SAP - 798208</t>
  </si>
  <si>
    <t>26/08/2026</t>
  </si>
  <si>
    <t>R$ 494.00</t>
  </si>
  <si>
    <t>AG PGTO TX DESCARGA</t>
  </si>
  <si>
    <t>R$464.00</t>
  </si>
  <si>
    <t>N° Custo SAP - 797413</t>
  </si>
  <si>
    <t>N° Custo SAP - 797412</t>
  </si>
  <si>
    <t>N° Custo SAP - 797411</t>
  </si>
  <si>
    <t>N Custo SAP - 806610</t>
  </si>
  <si>
    <t>N Custo SAP - 812732</t>
  </si>
  <si>
    <t>N Custo SAP - 806349</t>
  </si>
  <si>
    <t>N° Custo SAP - 800082</t>
  </si>
  <si>
    <t>N Custo SAP - 806010</t>
  </si>
  <si>
    <t>N° Custo SAP - 800081</t>
  </si>
  <si>
    <t>N Custo SAP - 806009</t>
  </si>
  <si>
    <t>CONCLUIDA SEM DEV</t>
  </si>
  <si>
    <t>N Custo SAP - 812675</t>
  </si>
  <si>
    <t>N Custo SAP - 806008</t>
  </si>
  <si>
    <t>N° Custo SAP - 795418</t>
  </si>
  <si>
    <t>SEM DEV</t>
  </si>
  <si>
    <t>N° Custo SAP - 799288</t>
  </si>
  <si>
    <t>AG PG ESTADIAS</t>
  </si>
  <si>
    <t>N Custo SAP - 805874</t>
  </si>
  <si>
    <t>LIBERADO</t>
  </si>
  <si>
    <t>N° Custo SAP - 795380</t>
  </si>
  <si>
    <t>EM PROCESSO</t>
  </si>
  <si>
    <t>PONTA GROSSA X BAURU</t>
  </si>
  <si>
    <t>N° Custo SAP - 795447</t>
  </si>
  <si>
    <t>N Custo SAP - 805628</t>
  </si>
  <si>
    <t>N° Custo SAP - 797674</t>
  </si>
  <si>
    <t>R$ 817,05</t>
  </si>
  <si>
    <t>N° Custo SAP - 796153</t>
  </si>
  <si>
    <t>N° Custo SAP - 789569</t>
  </si>
  <si>
    <t>SINISTRO EM PROCESSO</t>
  </si>
  <si>
    <t>AG 16/10 06:00</t>
  </si>
  <si>
    <t>N Custo SAP - 820295</t>
  </si>
  <si>
    <t>SEM DEVOLUTIVA</t>
  </si>
  <si>
    <t>27/10 6H</t>
  </si>
  <si>
    <t>27/10 06h</t>
  </si>
  <si>
    <t>N Custo SAP - 804599</t>
  </si>
  <si>
    <t>N Custo SAP - 804675</t>
  </si>
  <si>
    <t>N Custo SAP - 804566</t>
  </si>
  <si>
    <t>PONTA GROSSA X FLORIANOPOLIS</t>
  </si>
  <si>
    <t>N Custo SAP - 804349</t>
  </si>
  <si>
    <t>N Custo SAP - 804141</t>
  </si>
  <si>
    <t>IUQ0B79</t>
  </si>
  <si>
    <t>N Custo SAP - 804143</t>
  </si>
  <si>
    <t>N Custo SAP - 804134</t>
  </si>
  <si>
    <t>N Custo SAP - 811666</t>
  </si>
  <si>
    <t>N Custo SAP - 811107</t>
  </si>
  <si>
    <t>N Custo SAP - 811233</t>
  </si>
  <si>
    <t>N Custo SAP - 811100</t>
  </si>
  <si>
    <t>N Custo SAP - 810887</t>
  </si>
  <si>
    <t>PONTA GROSSA X PRESIDENTE PRUDENTE</t>
  </si>
  <si>
    <t>N Custo SAP - 825364</t>
  </si>
  <si>
    <t>N Custo SAP - 817610</t>
  </si>
  <si>
    <t>N Custo SAP - 825287</t>
  </si>
  <si>
    <t>N Custo SAP - 827660</t>
  </si>
  <si>
    <t>N Custo SAP - 828108</t>
  </si>
  <si>
    <t>N Custo SAP - 828087</t>
  </si>
  <si>
    <t>N Custo SAP - 829379</t>
  </si>
  <si>
    <t>N Custo SAP - 840170</t>
  </si>
  <si>
    <t>N Custo SAP - 839326</t>
  </si>
  <si>
    <t>N Custo SAP - 845094</t>
  </si>
  <si>
    <t>N Custo SAP - 845891</t>
  </si>
  <si>
    <t>N Custo SAP - 845892</t>
  </si>
  <si>
    <t>N Custo SAP - 840248</t>
  </si>
  <si>
    <t>PASSOS X CONTAGEM</t>
  </si>
  <si>
    <t>N Custo SAP - 825023</t>
  </si>
  <si>
    <t>PASSOS X EMBU DAS ARTES</t>
  </si>
  <si>
    <t>AG PG RET VAZIO</t>
  </si>
  <si>
    <t>PASSOS X RIBEIRÃO PRETO</t>
  </si>
  <si>
    <t>EMÚ6F61</t>
  </si>
  <si>
    <t>N Custo SAP - 840278</t>
  </si>
  <si>
    <t>Frota</t>
  </si>
  <si>
    <t>OC Galileu</t>
  </si>
  <si>
    <t>Baixa Galileu</t>
  </si>
  <si>
    <t>MODALIDADE RETORNO</t>
  </si>
  <si>
    <t>DESTINO</t>
  </si>
  <si>
    <t>DATA/HORA CARREGAMENTO</t>
  </si>
  <si>
    <t>TEMPO DE ESPERA</t>
  </si>
  <si>
    <t>FRETE DE RETORNO</t>
  </si>
  <si>
    <t>KM ROTA</t>
  </si>
  <si>
    <t>R$/KM</t>
  </si>
  <si>
    <t>15/11/2024 06:00</t>
  </si>
  <si>
    <t>16/11/2024</t>
  </si>
  <si>
    <t>33,43</t>
  </si>
  <si>
    <t>53.045.266/0001-17</t>
  </si>
  <si>
    <t>19/11/2024 11:00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</si>
  <si>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</si>
  <si>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t>18/11/2024</t>
  </si>
  <si>
    <t>CM Leonardo SP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</si>
  <si>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</si>
  <si>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</si>
  <si>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28/11/2024 06:00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</si>
  <si>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</si>
  <si>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16/01/2025</t>
  </si>
  <si>
    <t>CARREFOUR PINHAIS-PR</t>
  </si>
  <si>
    <t>14/01/2025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</si>
  <si>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</si>
  <si>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20/01/2025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</si>
  <si>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</si>
  <si>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T01</t>
  </si>
  <si>
    <t>22/01 10:00</t>
  </si>
  <si>
    <t>24/01 03:00</t>
  </si>
  <si>
    <t>ATACADAO S.A</t>
  </si>
  <si>
    <t>75.315.333/0242-02</t>
  </si>
  <si>
    <t>VIAMÃO</t>
  </si>
  <si>
    <t>14/02/2025</t>
  </si>
  <si>
    <t>15/02/2025</t>
  </si>
  <si>
    <t>17/02 07:30</t>
  </si>
  <si>
    <t>0,00%</t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</si>
  <si>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>IRMÃOS CANCELLI LTDA</t>
    </r>
  </si>
  <si>
    <t>KM</t>
  </si>
  <si>
    <r>
      <rPr>
        <rFont val="Calibri"/>
        <b/>
        <color rgb="FFFF0000"/>
        <sz val="10.0"/>
      </rPr>
      <t xml:space="preserve">RETORNO TE02 </t>
    </r>
    <r>
      <rPr>
        <rFont val="Calibri"/>
        <b/>
        <color theme="1"/>
        <sz val="10.0"/>
      </rPr>
      <t xml:space="preserve"> </t>
    </r>
    <r>
      <rPr>
        <rFont val="Calibri"/>
        <b val="0"/>
        <color theme="1"/>
        <sz val="10.0"/>
      </rPr>
      <t>CDA CURITIBA-PR</t>
    </r>
  </si>
  <si>
    <r>
      <rPr>
        <rFont val="Calibri"/>
        <b/>
        <color rgb="FFFF0000"/>
        <sz val="10.0"/>
      </rPr>
      <t xml:space="preserve">RETORNO TE02 </t>
    </r>
    <r>
      <rPr>
        <rFont val="Calibri"/>
        <b/>
        <color theme="1"/>
        <sz val="10.0"/>
      </rPr>
      <t xml:space="preserve"> </t>
    </r>
    <r>
      <rPr>
        <rFont val="Calibri"/>
        <b val="0"/>
        <color theme="1"/>
        <sz val="10.0"/>
      </rPr>
      <t>CDA CURITIBA-PR</t>
    </r>
  </si>
  <si>
    <t>PROGRAMADO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</si>
  <si>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</si>
  <si>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</si>
  <si>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</si>
  <si>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</si>
  <si>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</si>
  <si>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</si>
  <si>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</si>
  <si>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t>20/03/2025 09:00</t>
  </si>
  <si>
    <t>21/03/2025</t>
  </si>
  <si>
    <r>
      <rPr>
        <rFont val="Calibri"/>
        <b/>
        <color rgb="FFFF0000"/>
        <sz val="10.0"/>
      </rPr>
      <t>RETORNO TE02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LAGO AZUL MARÍLIA-SP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</si>
  <si>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REGENTE FEIJÓ-SP</t>
    </r>
  </si>
  <si>
    <t>CDA ITU - SP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</si>
  <si>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- DBK DISTRIBUIDORA ARAÇATUBA</t>
    </r>
  </si>
  <si>
    <t>27/03/2025</t>
  </si>
  <si>
    <t>28/03/2025 10:00</t>
  </si>
  <si>
    <t>28/03/2025</t>
  </si>
  <si>
    <r>
      <rPr>
        <rFont val="Calibri"/>
        <color rgb="FF000000"/>
      </rPr>
      <t>ITAPETININGA</t>
    </r>
  </si>
  <si>
    <t>CASA AVENIDA COMERCIO E IMPORTACAO LTDA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</si>
  <si>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</si>
  <si>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</si>
  <si>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</si>
  <si>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- DBK DISTRIBUIDORA ARAÇATUBA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</si>
  <si>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</si>
  <si>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</si>
  <si>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</si>
  <si>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</si>
  <si>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</si>
  <si>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CDA GUARULHOS-SP </t>
    </r>
  </si>
  <si>
    <t>24/04/2025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</si>
  <si>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</si>
  <si>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</si>
  <si>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</si>
  <si>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AGENDAMENTO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</si>
  <si>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</si>
  <si>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t xml:space="preserve">AGENDAMENTO </t>
  </si>
  <si>
    <t>23/04/2025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</si>
  <si>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</si>
  <si>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</si>
  <si>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29/04/2025 13:00</t>
  </si>
  <si>
    <t>30/04/2025 08:00</t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</si>
  <si>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</si>
  <si>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</si>
  <si>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t>AGENDAMENTO GP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</si>
  <si>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</si>
  <si>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</si>
  <si>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</si>
  <si>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</si>
  <si>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</si>
  <si>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</si>
  <si>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</si>
  <si>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</si>
  <si>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(RETORNO TE02)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</si>
  <si>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000000"/>
        <sz val="10.0"/>
      </rPr>
      <t>RETORNO TE02</t>
    </r>
    <r>
      <rPr>
        <rFont val="Calibri"/>
        <b/>
        <color rgb="FF000000"/>
        <sz val="10.0"/>
      </rPr>
      <t xml:space="preserve"> CDA GUARULHOS-SP </t>
    </r>
  </si>
  <si>
    <r>
      <rPr>
        <rFont val="Calibri"/>
        <b/>
        <color rgb="FF000000"/>
        <sz val="10.0"/>
      </rPr>
      <t>RETORNO TE02</t>
    </r>
    <r>
      <rPr>
        <rFont val="Calibri"/>
        <b/>
        <color rgb="FF000000"/>
        <sz val="10.0"/>
      </rPr>
      <t xml:space="preserve"> CDA GUARULHOS-SP </t>
    </r>
  </si>
  <si>
    <r>
      <rPr>
        <rFont val="Calibri"/>
        <b/>
        <color rgb="FF000000"/>
        <sz val="10.0"/>
      </rPr>
      <t>RETORNO TE02</t>
    </r>
    <r>
      <rPr>
        <rFont val="Calibri"/>
        <b/>
        <color rgb="FF000000"/>
        <sz val="10.0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</si>
  <si>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LAGO AZUL JUNDIAI-SP</t>
    </r>
  </si>
  <si>
    <r>
      <rPr>
        <rFont val="Calibri"/>
        <color rgb="FF000000"/>
        <sz val="10.0"/>
      </rPr>
      <t>ITAPETININGA</t>
    </r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</si>
  <si>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MOBEL MORETTO - ITAPETININGA/SP</t>
    </r>
  </si>
  <si>
    <r>
      <rPr>
        <rFont val="Calibri"/>
        <color rgb="FF000000"/>
        <sz val="10.0"/>
      </rPr>
      <t>ITAPETININGA</t>
    </r>
  </si>
  <si>
    <t>R$5.337.00</t>
  </si>
  <si>
    <t>R$4.574,40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</si>
  <si>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HKN SÃO JOSÉ-SC</t>
    </r>
  </si>
  <si>
    <t>R$3.049,60</t>
  </si>
  <si>
    <t>R$2.335.80</t>
  </si>
  <si>
    <r>
      <rPr>
        <rFont val="Calibri"/>
        <b/>
        <color rgb="FFFF0000"/>
        <sz val="10.0"/>
      </rPr>
      <t xml:space="preserve">RETORNO TE02 </t>
    </r>
    <r>
      <rPr>
        <rFont val="Calibri"/>
        <b/>
        <color theme="1"/>
        <sz val="10.0"/>
      </rPr>
      <t xml:space="preserve"> </t>
    </r>
    <r>
      <rPr>
        <rFont val="Calibri"/>
        <b val="0"/>
        <color theme="1"/>
        <sz val="10.0"/>
      </rPr>
      <t>CDA CURITIBA-PR</t>
    </r>
  </si>
  <si>
    <t>R$1.557.20</t>
  </si>
  <si>
    <t>16/06/2025</t>
  </si>
  <si>
    <t>BRUXELAS CAMBÉ-PR</t>
  </si>
  <si>
    <t>07.306.828/0007-07</t>
  </si>
  <si>
    <t>14/06/2025</t>
  </si>
  <si>
    <r>
      <rPr>
        <rFont val="Calibri"/>
        <color rgb="FFFF0000"/>
        <sz val="10.0"/>
      </rPr>
      <t>RETORNO TE02</t>
    </r>
    <r>
      <rPr>
        <rFont val="Calibri"/>
        <color theme="1"/>
        <sz val="10.0"/>
      </rPr>
      <t xml:space="preserve"> HKN SÃO JOSÉ-SC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</si>
  <si>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- DBK DISTRIBUIDORA ARAÇATUBA</t>
    </r>
  </si>
  <si>
    <t>21/06/2025</t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</si>
  <si>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 xml:space="preserve"> CDA CURITIBA-PR</t>
    </r>
  </si>
  <si>
    <t>RECUSADA FALTA ATIVOS</t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</si>
  <si>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</si>
  <si>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t>*</t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</si>
  <si>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</si>
  <si>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rgb="FFFF0000"/>
        <sz val="10.0"/>
      </rPr>
      <t xml:space="preserve"> </t>
    </r>
    <r>
      <rPr>
        <rFont val="Calibri"/>
        <color theme="1"/>
        <sz val="10.0"/>
      </rPr>
      <t xml:space="preserve"> CDA CURITIBA-PR</t>
    </r>
  </si>
  <si>
    <t>15/07/2025</t>
  </si>
  <si>
    <t>50.221.019/0083-83</t>
  </si>
  <si>
    <t>TE03</t>
  </si>
  <si>
    <t>50.221.019/0083-84</t>
  </si>
  <si>
    <t>TE04</t>
  </si>
  <si>
    <t>50.221.019/0083-85</t>
  </si>
  <si>
    <t>15/07/2025 08:30</t>
  </si>
  <si>
    <t>16/07/2025</t>
  </si>
  <si>
    <r>
      <rPr>
        <rFont val="Calibri"/>
        <b/>
        <color rgb="FFFF0000"/>
        <sz val="10.0"/>
      </rPr>
      <t xml:space="preserve">(RETORNO TE02) </t>
    </r>
    <r>
      <rPr>
        <rFont val="Calibri"/>
        <color theme="1"/>
        <sz val="10.0"/>
      </rPr>
      <t>HNK SÃO JOSÉ-SC</t>
    </r>
  </si>
  <si>
    <t>18/07/2025</t>
  </si>
  <si>
    <r>
      <rPr>
        <rFont val="Calibri"/>
        <color rgb="FFFF0000"/>
      </rPr>
      <t>RETORNO TE02</t>
    </r>
    <r>
      <rPr>
        <rFont val="Calibri"/>
        <color theme="1"/>
      </rPr>
      <t xml:space="preserve"> LAGO AZUL JUNDIAÍ-SP </t>
    </r>
  </si>
  <si>
    <t>19/07/2025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</si>
  <si>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LAGO AZUL JUNDIAÍ-SP 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</si>
  <si>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</si>
  <si>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</si>
  <si>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</si>
  <si>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</si>
  <si>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t>18/08/2025</t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</si>
  <si>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</si>
  <si>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</si>
  <si>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</si>
  <si>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</si>
  <si>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</si>
  <si>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rgb="FFFF0000"/>
      </rPr>
      <t xml:space="preserve"> </t>
    </r>
    <r>
      <rPr>
        <rFont val="Calibri"/>
        <color theme="1"/>
      </rPr>
      <t xml:space="preserve"> CDA CURITIBA-PR</t>
    </r>
  </si>
  <si>
    <t>19/08/2025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</si>
  <si>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</si>
  <si>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 xml:space="preserve">CDA GUARULHOS-SP </t>
    </r>
  </si>
  <si>
    <t>27/08</t>
  </si>
  <si>
    <t>SHIBATA COMERCIAL ATACADISTADE MERCADORIAS EM GERAL LTDA.</t>
  </si>
  <si>
    <t>27/08 13:00</t>
  </si>
  <si>
    <t>REFRESCOS BANDEIRANTES ITUMBIARA-GO</t>
  </si>
  <si>
    <t>ITUMBIARA-GO</t>
  </si>
  <si>
    <t>HNK CONTAGEM-MG</t>
  </si>
  <si>
    <t>HNK BLUMENAU-SC</t>
  </si>
  <si>
    <t>01.157.555/0022-39</t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</si>
  <si>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>DBK DISTRIBUIDORA DE BEBIDAS - ARAÇATUBA</t>
    </r>
  </si>
  <si>
    <r>
      <rPr>
        <rFont val="Calibri"/>
        <b/>
        <color rgb="FFFF0000"/>
        <sz val="10.0"/>
      </rPr>
      <t xml:space="preserve">RETORNO TE02 </t>
    </r>
    <r>
      <rPr>
        <rFont val="Calibri"/>
        <color theme="1"/>
        <sz val="10.0"/>
      </rPr>
      <t>DBK DISTRIBUIDORA DE BEBIDAS - ARAÇATUBA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</si>
  <si>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</si>
  <si>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MARILIA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</si>
  <si>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</si>
  <si>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</si>
  <si>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</si>
  <si>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GUARULHOS-SP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</si>
  <si>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</si>
  <si>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</si>
  <si>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</si>
  <si>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HNK SÃO JOSÉ-SC</t>
    </r>
  </si>
  <si>
    <t>76.430.438/0105-68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</si>
  <si>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</si>
  <si>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HNK SÃO JOSÉ-SC</t>
    </r>
  </si>
  <si>
    <t>ESTADIAS DE COLETA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</si>
  <si>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HNK SÃO JOSÉ-SC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</si>
  <si>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</si>
  <si>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t>LAGO AZUL COMÉRCIO EREPRESENTAÇÕES LTDA.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</si>
  <si>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HEINEKEN ITU - SP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</si>
  <si>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</si>
  <si>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</si>
  <si>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t>34.436.354/0002-86</t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</si>
  <si>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</si>
  <si>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</si>
  <si>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</si>
  <si>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</si>
  <si>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</si>
  <si>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MARÍLIA-SP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</si>
  <si>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HEINEKEN ITU - SP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</si>
  <si>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</si>
  <si>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</si>
  <si>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LAGO AZUL JUNDIAÍ-SP 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</si>
  <si>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</si>
  <si>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</si>
  <si>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TROPICAL DISTRIBUIDORA DE BEBIDAS L TDA.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</si>
  <si>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</si>
  <si>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TROPICAL DISTRIBUIDORA DE BEBIDAS L TDA.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</si>
  <si>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</si>
  <si>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</rPr>
      <t>RETORNO TE02</t>
    </r>
    <r>
      <rPr>
        <rFont val="Calibri"/>
        <color theme="1"/>
      </rPr>
      <t xml:space="preserve"> CDA CURITIBA-PR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</si>
  <si>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</si>
  <si>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r>
      <rPr>
        <rFont val="Calibri"/>
        <b/>
        <color rgb="FFFF0000"/>
        <sz val="10.0"/>
      </rPr>
      <t>RETORNO TE02</t>
    </r>
    <r>
      <rPr>
        <rFont val="Calibri"/>
        <color theme="1"/>
        <sz val="10.0"/>
      </rPr>
      <t xml:space="preserve"> HNK SÃO JOSÉ-SC</t>
    </r>
  </si>
  <si>
    <t>AGREGADO</t>
  </si>
  <si>
    <t>DÍG</t>
  </si>
  <si>
    <t>CLIENTE</t>
  </si>
  <si>
    <t>TIPO DE OCORRENCIA</t>
  </si>
  <si>
    <t>VALOR A PAGAR (MOTORISTA)</t>
  </si>
  <si>
    <t>SENHA</t>
  </si>
  <si>
    <t>VALIDAÇÃO</t>
  </si>
  <si>
    <t>Status Ritmo</t>
  </si>
  <si>
    <t>AWC1157</t>
  </si>
  <si>
    <t>KEINEKEN</t>
  </si>
  <si>
    <t>DIARIA DESCARGA</t>
  </si>
  <si>
    <t>MARILIA X PONTA GROSSA</t>
  </si>
  <si>
    <t>APROVADO</t>
  </si>
  <si>
    <t>Pago</t>
  </si>
  <si>
    <t>DIARIA CARREGAMENTO</t>
  </si>
  <si>
    <t>HEINEKEN</t>
  </si>
  <si>
    <t>ESTADIA DESCARGA</t>
  </si>
  <si>
    <t>PONTA GROSSA X TIJUCAS SC</t>
  </si>
  <si>
    <t>R$  6.363,64</t>
  </si>
  <si>
    <t>R$ 1.000,00</t>
  </si>
  <si>
    <t>Não pagar</t>
  </si>
  <si>
    <t>R$ 909,09</t>
  </si>
  <si>
    <t>RECUSADA</t>
  </si>
  <si>
    <t>R$ 1.500,00</t>
  </si>
  <si>
    <t>R$ 1.820,00</t>
  </si>
  <si>
    <t>R$ 2.000.00</t>
  </si>
  <si>
    <t>PENDENTE</t>
  </si>
  <si>
    <t>Env. pgt</t>
  </si>
  <si>
    <t>APROVADO GL</t>
  </si>
  <si>
    <t>R$ 195.25</t>
  </si>
  <si>
    <t>20/08/2025</t>
  </si>
  <si>
    <t>PAGO</t>
  </si>
  <si>
    <t>PONTA GROSSA X SJP</t>
  </si>
  <si>
    <t>R$ 1.337.73</t>
  </si>
  <si>
    <t xml:space="preserve">                                       </t>
  </si>
  <si>
    <t>PLACA CAVALO</t>
  </si>
  <si>
    <t>PLACA DA CARRETA</t>
  </si>
  <si>
    <t>MOTORISTA</t>
  </si>
  <si>
    <t>LOCALIZAÇÃO</t>
  </si>
  <si>
    <t>ORIGEM</t>
  </si>
  <si>
    <t>CIDADE DESTINO</t>
  </si>
  <si>
    <t>VEÍCULO ESTÁ? CARREGADO/VAZIO</t>
  </si>
  <si>
    <t>STATUS</t>
  </si>
  <si>
    <t>ASF9J60</t>
  </si>
  <si>
    <t>CLAUDINEI</t>
  </si>
  <si>
    <t>MARINGA</t>
  </si>
  <si>
    <t>ATR6534</t>
  </si>
  <si>
    <t>JOAO</t>
  </si>
  <si>
    <t>INDISPONÍVEL</t>
  </si>
  <si>
    <t>DESAGREGAÇÃO</t>
  </si>
  <si>
    <t>AUR6B22</t>
  </si>
  <si>
    <t>EMERSON</t>
  </si>
  <si>
    <t>VAZIO PR/SC/RS</t>
  </si>
  <si>
    <t>DISPONÍVEL</t>
  </si>
  <si>
    <t>AWO2238</t>
  </si>
  <si>
    <t>MANUTENÇÃO CAVALO</t>
  </si>
  <si>
    <t>BAA1452</t>
  </si>
  <si>
    <t>LAURO</t>
  </si>
  <si>
    <t xml:space="preserve">ANE6H54 </t>
  </si>
  <si>
    <t>AUR6B01</t>
  </si>
  <si>
    <t>PATRICK</t>
  </si>
  <si>
    <t>BBK8794</t>
  </si>
  <si>
    <t>SERGIO</t>
  </si>
  <si>
    <t xml:space="preserve">CURITIBA </t>
  </si>
  <si>
    <t>EM TRÂNSITO</t>
  </si>
  <si>
    <t>TROCA DE OPERAÇÃO</t>
  </si>
  <si>
    <t>A66590</t>
  </si>
  <si>
    <t>ATD4J25</t>
  </si>
  <si>
    <t>SET7F10</t>
  </si>
  <si>
    <t>PATRICIA</t>
  </si>
  <si>
    <t>PROGRAMADO TERCEIRO</t>
  </si>
  <si>
    <t>A66620</t>
  </si>
  <si>
    <t>APF2J30</t>
  </si>
  <si>
    <t>MATHEUS</t>
  </si>
  <si>
    <t>PROBLEMAS PESSOAIS</t>
  </si>
  <si>
    <t xml:space="preserve">  </t>
  </si>
  <si>
    <t>FROTA</t>
  </si>
  <si>
    <t>CAVALO</t>
  </si>
  <si>
    <t>CODIGO SR</t>
  </si>
  <si>
    <t>CARRETA</t>
  </si>
  <si>
    <t xml:space="preserve">MEDIDA </t>
  </si>
  <si>
    <t>TAG</t>
  </si>
  <si>
    <t>CPF</t>
  </si>
  <si>
    <t>TELEFONE</t>
  </si>
  <si>
    <t>TECNOLOGIA</t>
  </si>
  <si>
    <t>BAT2820</t>
  </si>
  <si>
    <t>C7315</t>
  </si>
  <si>
    <t>AZV7123</t>
  </si>
  <si>
    <t>HAMILTON DE LIMA</t>
  </si>
  <si>
    <t>614.498.579-49</t>
  </si>
  <si>
    <t>DESAGREGOU</t>
  </si>
  <si>
    <t>C7143</t>
  </si>
  <si>
    <t>SEM PARAR</t>
  </si>
  <si>
    <t>JULIANO DE LIMA SCHRAMM</t>
  </si>
  <si>
    <t>780.037.840-34</t>
  </si>
  <si>
    <t>LC1937</t>
  </si>
  <si>
    <t>ENG0375</t>
  </si>
  <si>
    <t>TAGGY repom</t>
  </si>
  <si>
    <t>AUGUSTO CESAR DA ROSA</t>
  </si>
  <si>
    <t>301.899.738-70</t>
  </si>
  <si>
    <t>C7314</t>
  </si>
  <si>
    <t>FERNANDO PEDRAO FORTES</t>
  </si>
  <si>
    <t>000.417.630-84</t>
  </si>
  <si>
    <t>A60000</t>
  </si>
  <si>
    <t>LC1907</t>
  </si>
  <si>
    <t>EAU9974</t>
  </si>
  <si>
    <r>
      <rPr>
        <rFont val="Calibri"/>
        <color rgb="FF000000"/>
        <sz val="10.0"/>
      </rPr>
      <t xml:space="preserve">DAVID SAVARIS BARROS </t>
    </r>
    <r>
      <rPr>
        <rFont val="Calibri"/>
        <color rgb="FF000000"/>
        <sz val="10.0"/>
      </rPr>
      <t>(ASA DELTA)</t>
    </r>
  </si>
  <si>
    <t>087.190.329-60</t>
  </si>
  <si>
    <t>A60290</t>
  </si>
  <si>
    <t>AVV0D80</t>
  </si>
  <si>
    <t>C7153</t>
  </si>
  <si>
    <t>AWO2852</t>
  </si>
  <si>
    <t>LUIZ CARLOS DA SILVA</t>
  </si>
  <si>
    <t>774.763.609-15</t>
  </si>
  <si>
    <t>LC1936</t>
  </si>
  <si>
    <t>EOA0241</t>
  </si>
  <si>
    <t>JHONATAN FELIPE DE OLIVEIRA CASSOL</t>
  </si>
  <si>
    <t>087.607.979-67</t>
  </si>
  <si>
    <t>IZX7E98</t>
  </si>
  <si>
    <t>C7316</t>
  </si>
  <si>
    <t>BAA1371</t>
  </si>
  <si>
    <t>DAVID FELIPE SOARES</t>
  </si>
  <si>
    <t>118.858.229-10</t>
  </si>
  <si>
    <t>RT1741</t>
  </si>
  <si>
    <t xml:space="preserve">BBK8796        </t>
  </si>
  <si>
    <t>MIGUEL DE OLIVEIRA</t>
  </si>
  <si>
    <t>000.583.139-31</t>
  </si>
  <si>
    <t>AUTOTRAC</t>
  </si>
  <si>
    <t>C1230</t>
  </si>
  <si>
    <t xml:space="preserve">ATR6829 </t>
  </si>
  <si>
    <t xml:space="preserve">RICARDO DE OLIVEIRA </t>
  </si>
  <si>
    <t>263.057.568-30</t>
  </si>
  <si>
    <t>C7356</t>
  </si>
  <si>
    <t>CLAUDINEI GONÇALVES MATTOS</t>
  </si>
  <si>
    <t>986.852.529-20</t>
  </si>
  <si>
    <t>ATIVO</t>
  </si>
  <si>
    <t>C921</t>
  </si>
  <si>
    <t>APH0J19</t>
  </si>
  <si>
    <t>GUELBER PIRES COSTA</t>
  </si>
  <si>
    <t>690.220.032-72</t>
  </si>
  <si>
    <t>RT1612</t>
  </si>
  <si>
    <t>CLAUDIO DE SOUZA SANTOS</t>
  </si>
  <si>
    <t>687.750.839-49</t>
  </si>
  <si>
    <t>RT1619</t>
  </si>
  <si>
    <t>ANTONIO LOPES RIBEIRO</t>
  </si>
  <si>
    <t>765.717.265-72</t>
  </si>
  <si>
    <t>A63880</t>
  </si>
  <si>
    <t>FPU4H61</t>
  </si>
  <si>
    <t>LC2014</t>
  </si>
  <si>
    <t>QXY6B68</t>
  </si>
  <si>
    <t>FABIO CORREA GOIVINHO</t>
  </si>
  <si>
    <t>072.287.259-30</t>
  </si>
  <si>
    <t xml:space="preserve">A63910   </t>
  </si>
  <si>
    <t>C7131</t>
  </si>
  <si>
    <t>AWI3960</t>
  </si>
  <si>
    <t>AYP3B37</t>
  </si>
  <si>
    <t>C910</t>
  </si>
  <si>
    <t>APF2943</t>
  </si>
  <si>
    <t>AUDINEI NATALINO VICENTE</t>
  </si>
  <si>
    <t>953.675.009-00</t>
  </si>
  <si>
    <t>41997757508 /  41999775084</t>
  </si>
  <si>
    <t xml:space="preserve">A63930   </t>
  </si>
  <si>
    <t>BCY5G45</t>
  </si>
  <si>
    <t>C2306</t>
  </si>
  <si>
    <t xml:space="preserve">ZULMAR WERLICE </t>
  </si>
  <si>
    <t>946.942.069-15</t>
  </si>
  <si>
    <t xml:space="preserve">A63950    </t>
  </si>
  <si>
    <t>DILERMANO DE ASSIS BENTO</t>
  </si>
  <si>
    <t>082.554.639-76</t>
  </si>
  <si>
    <t>C7326</t>
  </si>
  <si>
    <t>BAA1454</t>
  </si>
  <si>
    <t xml:space="preserve">NELSON DE OLIVEIRA </t>
  </si>
  <si>
    <t>255.091.609-34</t>
  </si>
  <si>
    <t>C1300</t>
  </si>
  <si>
    <t xml:space="preserve"> JOAO PAULO CARVALHO DA SILVA</t>
  </si>
  <si>
    <t xml:space="preserve"> 030.635.709-74</t>
  </si>
  <si>
    <t xml:space="preserve">A64140 </t>
  </si>
  <si>
    <t>IMM1A42</t>
  </si>
  <si>
    <t>LC2015</t>
  </si>
  <si>
    <t>QXY6B65</t>
  </si>
  <si>
    <t>RUBENS ALEXANDRE NOGUEIRA</t>
  </si>
  <si>
    <t>873.007.539-49</t>
  </si>
  <si>
    <t xml:space="preserve">A64170  </t>
  </si>
  <si>
    <t>C1480</t>
  </si>
  <si>
    <t>ATU6287</t>
  </si>
  <si>
    <t>A64190</t>
  </si>
  <si>
    <t>FRU4A49</t>
  </si>
  <si>
    <t>C923</t>
  </si>
  <si>
    <t>APH1C65</t>
  </si>
  <si>
    <t>MOVE MAIS</t>
  </si>
  <si>
    <t>GEYSON MIGUEL KOTACHO SANTOS</t>
  </si>
  <si>
    <t>036.464.499-00</t>
  </si>
  <si>
    <t>ERINALDO COSTA DA FONSECA</t>
  </si>
  <si>
    <t>297.805.108-69</t>
  </si>
  <si>
    <t>C1450</t>
  </si>
  <si>
    <t>ATU6298</t>
  </si>
  <si>
    <t xml:space="preserve">	SERGIO LICHESKI</t>
  </si>
  <si>
    <t>511.925.009-20</t>
  </si>
  <si>
    <t>42 9800-7945</t>
  </si>
  <si>
    <t>TROCA DE OP.</t>
  </si>
  <si>
    <t>RT1739</t>
  </si>
  <si>
    <t>CARLOS ELPIDIO CASTELI BARROS COSTA</t>
  </si>
  <si>
    <t>082.080.099-62</t>
  </si>
  <si>
    <t>S/MOTORISTA</t>
  </si>
  <si>
    <t>MANUTENÇÃO</t>
  </si>
  <si>
    <t>EMERSON GUIMARAES SILVA</t>
  </si>
  <si>
    <t>049.405.269-41</t>
  </si>
  <si>
    <t>APF3078</t>
  </si>
  <si>
    <t>JEAN CARLOS DE BASTOS PINHEIRO</t>
  </si>
  <si>
    <t>075.316.209-10</t>
  </si>
  <si>
    <t>EDERSON COMINESI</t>
  </si>
  <si>
    <t>044.471.759-59</t>
  </si>
  <si>
    <t>42 9982-5250</t>
  </si>
  <si>
    <t>C938</t>
  </si>
  <si>
    <t>APH0J24</t>
  </si>
  <si>
    <t>LEOCADIO JOSE FERREIRA DE MORAES</t>
  </si>
  <si>
    <t>244.827.499-15</t>
  </si>
  <si>
    <t>41 99286-2383</t>
  </si>
  <si>
    <t>A66090</t>
  </si>
  <si>
    <t>AMF8J97</t>
  </si>
  <si>
    <t>LUIS EDUARDO LAYNES</t>
  </si>
  <si>
    <t>092.481.469-10</t>
  </si>
  <si>
    <t>42 998709960</t>
  </si>
  <si>
    <t>REPOM</t>
  </si>
  <si>
    <t>RODRIGO MISAEL VELOSO</t>
  </si>
  <si>
    <t>066.130.969-03</t>
  </si>
  <si>
    <t>C7324</t>
  </si>
  <si>
    <t>LAURO HENRIQUE GABRIEL RAPOSO</t>
  </si>
  <si>
    <t>022.207.139-70</t>
  </si>
  <si>
    <t>41 99595-8045</t>
  </si>
  <si>
    <t>PATRICK DALVAN COSTA DA SILVA</t>
  </si>
  <si>
    <t>015.842.620-79</t>
  </si>
  <si>
    <t>51 98976-8864</t>
  </si>
  <si>
    <t>SERGIO LUIZ RIBEIRO</t>
  </si>
  <si>
    <t>005.815.499-02</t>
  </si>
  <si>
    <t>41 99611-4421</t>
  </si>
  <si>
    <t>PATRICIA MICHELE PIRES QUADRA</t>
  </si>
  <si>
    <t>800.791.199-56</t>
  </si>
  <si>
    <t>42 99858-7733</t>
  </si>
  <si>
    <t>C914</t>
  </si>
  <si>
    <t>MATHEUS CAMARGO</t>
  </si>
  <si>
    <t>006.884.889-78</t>
  </si>
  <si>
    <t>42 99967-3244</t>
  </si>
  <si>
    <t>NF</t>
  </si>
  <si>
    <t>CLiente</t>
  </si>
  <si>
    <t>Destino</t>
  </si>
  <si>
    <t>TARIFA</t>
  </si>
  <si>
    <t>FRETE</t>
  </si>
  <si>
    <t>CF</t>
  </si>
  <si>
    <t>SM</t>
  </si>
  <si>
    <t>HSA</t>
  </si>
  <si>
    <t>VOTUPORANGA</t>
  </si>
  <si>
    <t>A59510</t>
  </si>
  <si>
    <t>MESTRE MARCENEIRO</t>
  </si>
  <si>
    <t>GMAD</t>
  </si>
  <si>
    <t>RAMUTH &amp; RAMUTH LTDA</t>
  </si>
  <si>
    <t>SÃO JOSÉ DOS CAMPOS</t>
  </si>
  <si>
    <t>F.M.L MIOTTO INDUSTRIA E COMERCIO DE MOVEIS LTDA</t>
  </si>
  <si>
    <t>ESTRELA DO OESTE</t>
  </si>
  <si>
    <t>STALO-BAURU MOBILIARIO ESCOLAR LTDA</t>
  </si>
  <si>
    <t>MM COMERCIAL DE MADEIRAS, FERRAGENS E MAQUINAS LTDA</t>
  </si>
  <si>
    <t>MAUA</t>
  </si>
  <si>
    <t>RIMAD COMERCIAL LTDA</t>
  </si>
  <si>
    <t>LEME</t>
  </si>
  <si>
    <t>MESTRE MARCENEIRO LTDA</t>
  </si>
  <si>
    <t>CAMPINAS</t>
  </si>
  <si>
    <t>A58480</t>
  </si>
  <si>
    <t>SÃO JOSE DOS CAMPOS</t>
  </si>
  <si>
    <t>A58580</t>
  </si>
  <si>
    <t>MADEIREIRA MARJAM LTDA</t>
  </si>
  <si>
    <t>DIADEMA</t>
  </si>
  <si>
    <t>IMCAL - INDUSTRIA DE MOVEIS CANEIRA LTDA</t>
  </si>
  <si>
    <t>JACI</t>
  </si>
  <si>
    <t>CASA DO MARCENEIRO BAMA COMERCIAL LTDA</t>
  </si>
  <si>
    <t>HSA COMERCIO DE PAINEIS LTDA</t>
  </si>
  <si>
    <t>JUNDIAI</t>
  </si>
  <si>
    <t>CASA MM COMERCIAL LTDA</t>
  </si>
  <si>
    <t>OURINHOS</t>
  </si>
  <si>
    <t>MM COMERCIAL DE MADEIRAS E FERRAGEN S LTDA</t>
  </si>
  <si>
    <t>264679 80</t>
  </si>
  <si>
    <t>TABOAO MADEIRAS COMERCIAL LTDA</t>
  </si>
  <si>
    <t>TABOAO DA SERRA</t>
  </si>
  <si>
    <t>JR MADEIRAS COMERCIAL LTDA</t>
  </si>
  <si>
    <t>CASA GIACOMO DE FERRAGENS LTDA</t>
  </si>
  <si>
    <t>ITAQUAQUECETUBA</t>
  </si>
  <si>
    <t>A60050</t>
  </si>
  <si>
    <t>COMERCIO DE MADEIRAS GONZAGA LTDA</t>
  </si>
  <si>
    <t>A60060</t>
  </si>
  <si>
    <t>266476 / 7</t>
  </si>
  <si>
    <t>LEBENSZTAJN &amp; CIA LTDA</t>
  </si>
  <si>
    <t>SANTOS</t>
  </si>
  <si>
    <t>JKV MADEIRAS E FERRAGENS COMERCIAL LTDA</t>
  </si>
  <si>
    <t>ATIBAIA</t>
  </si>
  <si>
    <t>A60220</t>
  </si>
  <si>
    <t>MADEIRANIT COMERCIO E INDUSTRIA DE MADEIRAS LTDA</t>
  </si>
  <si>
    <t>S H MACIEL LOPES EIRELI</t>
  </si>
  <si>
    <t>ITARARE</t>
  </si>
  <si>
    <t>LUIS RICARDO ALTOE &amp; CIA LTDA</t>
  </si>
  <si>
    <t>Avulso/Deslocamento A60050 Gilberto</t>
  </si>
  <si>
    <t>Avulso/Deslocamento A60060 Luiz</t>
  </si>
  <si>
    <t>AVULSO/DESLOCAMENTO A60220 EVERALDO</t>
  </si>
  <si>
    <t>13/07 Reembolso ASO A60220 R$200,00</t>
  </si>
  <si>
    <t>Carregamento &amp; Faturamento | Dia</t>
  </si>
  <si>
    <t>Carregamentos:</t>
  </si>
  <si>
    <t xml:space="preserve">Faturamento: </t>
  </si>
  <si>
    <t>Car Load:</t>
  </si>
  <si>
    <t>Média % CF</t>
  </si>
  <si>
    <t>Status de Carregamento</t>
  </si>
  <si>
    <t>TOTAL DE OFERTAS</t>
  </si>
  <si>
    <t>Faturamento DIA</t>
  </si>
  <si>
    <t>Carregamento/ Dia</t>
  </si>
  <si>
    <t>%CF</t>
  </si>
  <si>
    <t>Aceite de Carga</t>
  </si>
  <si>
    <t>SUM de R$ 2.336,24</t>
  </si>
  <si>
    <t>COUNTA de R$ 2.336,24</t>
  </si>
  <si>
    <t>Total</t>
  </si>
  <si>
    <t>Status Aceite</t>
  </si>
  <si>
    <t>COUNTA of Status Aceite</t>
  </si>
  <si>
    <t>Status da Oferta</t>
  </si>
  <si>
    <t>DISPONIBILIDADE</t>
  </si>
  <si>
    <t>Média</t>
  </si>
  <si>
    <t>Aceite</t>
  </si>
  <si>
    <t>Incapaz de Cumprir os Prazos de Coleta</t>
  </si>
  <si>
    <t>Recusa</t>
  </si>
  <si>
    <t>Problema de Capacidade de Caminhão</t>
  </si>
  <si>
    <t>AGUARDANDO DESCARGA</t>
  </si>
  <si>
    <t>Problema de Tipo de Caminhão</t>
  </si>
  <si>
    <t>AGUARDANDO DESCARGA TERCEIRO</t>
  </si>
  <si>
    <t>Tempo Excedido</t>
  </si>
  <si>
    <t>Valor de Frete Incorreto / Tarifa Desatualizada</t>
  </si>
  <si>
    <t>PREVENTIVA</t>
  </si>
  <si>
    <t>RETORNO PALLET</t>
  </si>
  <si>
    <t>DASH RETORNO</t>
  </si>
  <si>
    <t>MANUTENÇÃO RASTREADOR RITMO</t>
  </si>
  <si>
    <t>RETORNO TERCEIRO</t>
  </si>
  <si>
    <t>Carregamento/ Retorno</t>
  </si>
  <si>
    <t>R$/KM POR ORIGEM</t>
  </si>
  <si>
    <t>PREVENTIVA CARRETA</t>
  </si>
  <si>
    <t>VAZIO GO</t>
  </si>
  <si>
    <t>COUNTA de TE02</t>
  </si>
  <si>
    <t>MEDIAN de R$ 5,83</t>
  </si>
  <si>
    <t>VAZIO MG</t>
  </si>
  <si>
    <t>VAZIO MT</t>
  </si>
  <si>
    <t>AGUARDANDO DOCUMENTAÇÃO</t>
  </si>
  <si>
    <t>VAZIO SP</t>
  </si>
  <si>
    <t>TROCA MOTORISTA</t>
  </si>
  <si>
    <t>Total geral</t>
  </si>
  <si>
    <t>R$/KM MODALIDADE RETORNO</t>
  </si>
  <si>
    <t>COUNTA de PR CAP.</t>
  </si>
  <si>
    <t>MEDIAN de 0</t>
  </si>
  <si>
    <t>DESLOCAMENTO</t>
  </si>
  <si>
    <t>RITMO</t>
  </si>
  <si>
    <t>VAZIO</t>
  </si>
  <si>
    <t>Destino do Retorno</t>
  </si>
  <si>
    <t>COUNTA de PONTA GROSSA</t>
  </si>
  <si>
    <t>Status de cargas</t>
  </si>
  <si>
    <t>COUNTA de CARREGADO</t>
  </si>
  <si>
    <t>PINDAMONHANGABA</t>
  </si>
  <si>
    <t>COUNTA of TE02</t>
  </si>
  <si>
    <t>SUM de R$ 1.500,00</t>
  </si>
  <si>
    <t>D+</t>
  </si>
  <si>
    <t>MS</t>
  </si>
  <si>
    <t>MT</t>
  </si>
  <si>
    <t>CANAL</t>
  </si>
  <si>
    <t>RETORNO PENDENTE</t>
  </si>
  <si>
    <t>AGREGADO SP</t>
  </si>
  <si>
    <t>TERCEIRO</t>
  </si>
  <si>
    <t>Meta 95%</t>
  </si>
  <si>
    <t>INSTRUÇÕES DE PREENCHIMENTO</t>
  </si>
  <si>
    <r>
      <rPr>
        <rFont val="Trebuchet MS"/>
        <b/>
        <color theme="0"/>
        <sz val="10.0"/>
      </rPr>
      <t>Disponíve</t>
    </r>
    <r>
      <rPr>
        <rFont val="Trebuchet MS"/>
        <b/>
        <color theme="0"/>
        <sz val="10.0"/>
      </rPr>
      <t xml:space="preserve">l: </t>
    </r>
    <r>
      <rPr>
        <rFont val="Trebuchet MS"/>
        <b/>
        <color theme="0"/>
        <sz val="10.0"/>
      </rPr>
      <t>D</t>
    </r>
  </si>
  <si>
    <r>
      <rPr>
        <rFont val="Trebuchet MS"/>
        <b/>
        <color theme="0"/>
        <sz val="10.0"/>
      </rPr>
      <t>Problemas Pessoais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PP</t>
    </r>
  </si>
  <si>
    <r>
      <rPr>
        <rFont val="Trebuchet MS"/>
        <b/>
        <color theme="0"/>
        <sz val="10.0"/>
      </rPr>
      <t>S/ Documentação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SD</t>
    </r>
  </si>
  <si>
    <r>
      <rPr>
        <rFont val="Trebuchet MS"/>
        <b/>
        <color theme="0"/>
        <sz val="10.0"/>
      </rPr>
      <t>Viagem Terceiro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VT</t>
    </r>
  </si>
  <si>
    <r>
      <rPr>
        <rFont val="Trebuchet MS"/>
        <b/>
        <color theme="0"/>
        <sz val="10.0"/>
      </rPr>
      <t>Sinalizou Desagregação: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DS</t>
    </r>
  </si>
  <si>
    <r>
      <rPr>
        <rFont val="Trebuchet MS"/>
        <b/>
        <color theme="0"/>
        <sz val="10.0"/>
      </rPr>
      <t>Trânsito: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T</t>
    </r>
    <r>
      <rPr>
        <rFont val="Trebuchet MS"/>
        <b/>
        <color theme="0"/>
        <sz val="10.0"/>
      </rPr>
      <t xml:space="preserve"> (carregado)</t>
    </r>
  </si>
  <si>
    <r>
      <rPr>
        <rFont val="Trebuchet MS"/>
        <b/>
        <color theme="0"/>
        <sz val="10.0"/>
      </rPr>
      <t>Manutenção: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PC</t>
    </r>
  </si>
  <si>
    <r>
      <rPr>
        <rFont val="Trebuchet MS"/>
        <b/>
        <color theme="0"/>
        <sz val="10.0"/>
      </rPr>
      <t>S/ Motorista: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SM</t>
    </r>
  </si>
  <si>
    <r>
      <rPr>
        <rFont val="Trebuchet MS"/>
        <b/>
        <color theme="0"/>
        <sz val="10.0"/>
      </rPr>
      <t>Encostado:</t>
    </r>
    <r>
      <rPr>
        <rFont val="Trebuchet MS"/>
        <b/>
        <color theme="0"/>
        <sz val="10.0"/>
      </rPr>
      <t xml:space="preserve"> E(</t>
    </r>
    <r>
      <rPr>
        <rFont val="Trebuchet MS"/>
        <b/>
        <color theme="0"/>
        <sz val="9.0"/>
      </rPr>
      <t>somente desengatado</t>
    </r>
    <r>
      <rPr>
        <rFont val="Trebuchet MS"/>
        <b/>
        <color theme="0"/>
        <sz val="10.0"/>
      </rPr>
      <t>)</t>
    </r>
  </si>
  <si>
    <r>
      <rPr>
        <rFont val="Trebuchet MS"/>
        <b/>
        <color theme="0"/>
        <sz val="10.0"/>
      </rPr>
      <t>Desagregação|Troca de Fluxo: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OO</t>
    </r>
  </si>
  <si>
    <t>Sinistrado: S</t>
  </si>
  <si>
    <r>
      <rPr>
        <rFont val="Trebuchet MS"/>
        <b/>
        <color theme="0"/>
        <sz val="10.0"/>
      </rPr>
      <t>Manutenção Carreta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PV</t>
    </r>
  </si>
  <si>
    <r>
      <rPr>
        <rFont val="Trebuchet MS"/>
        <b/>
        <color theme="0"/>
        <sz val="10.0"/>
      </rPr>
      <t>Folga/Férias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F</t>
    </r>
  </si>
  <si>
    <r>
      <rPr>
        <rFont val="Trebuchet MS"/>
        <b/>
        <color theme="0"/>
        <sz val="10.0"/>
      </rPr>
      <t>Recusa de Carga: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RC</t>
    </r>
  </si>
  <si>
    <t>REF</t>
  </si>
  <si>
    <t>CÓD</t>
  </si>
  <si>
    <t>Dias Disponíveis</t>
  </si>
  <si>
    <t>Dias Insdisponíveis</t>
  </si>
  <si>
    <t>"OO"</t>
  </si>
  <si>
    <t>PRODUTIVIDADE EM DIAS</t>
  </si>
  <si>
    <t>Total de dias no mês</t>
  </si>
  <si>
    <t>Disponibilidade do Ativo</t>
  </si>
  <si>
    <t>Produtividade da Operação</t>
  </si>
  <si>
    <t>INDISPONIBILIDADE DE ATIVOS</t>
  </si>
  <si>
    <t>PP</t>
  </si>
  <si>
    <t>PC</t>
  </si>
  <si>
    <t>F</t>
  </si>
  <si>
    <t>SD</t>
  </si>
  <si>
    <t>PV</t>
  </si>
  <si>
    <t>RC</t>
  </si>
  <si>
    <t>S</t>
  </si>
  <si>
    <t>E</t>
  </si>
  <si>
    <t>CLAUDINEI GONCALVES MATTOS</t>
  </si>
  <si>
    <t>VT</t>
  </si>
  <si>
    <t>T</t>
  </si>
  <si>
    <t>D</t>
  </si>
  <si>
    <t>SERGIO LICHESKI</t>
  </si>
  <si>
    <t>QHH0874</t>
  </si>
  <si>
    <t>CLEVERTON LUIZ SANTOS</t>
  </si>
  <si>
    <t>OTAVIO PAULO DOS SANTOS</t>
  </si>
  <si>
    <t>RLK2J93</t>
  </si>
  <si>
    <t>QHB7A24</t>
  </si>
  <si>
    <t>MDJ8F78</t>
  </si>
  <si>
    <t>FABRICIO CAETANO GARCIA</t>
  </si>
  <si>
    <t>KVN1C55</t>
  </si>
  <si>
    <t>MDJ3986</t>
  </si>
  <si>
    <t>EDEMIR RICARDO EIDAM</t>
  </si>
  <si>
    <t>AQE2861</t>
  </si>
  <si>
    <t>AZR9H15</t>
  </si>
  <si>
    <t>OSMAR CORREIA</t>
  </si>
  <si>
    <t>DS</t>
  </si>
  <si>
    <t>OO</t>
  </si>
  <si>
    <t>EVERTON LUIZ SALES DOS SANTOS</t>
  </si>
  <si>
    <t>EMERSON LUIS CELLARIUS</t>
  </si>
  <si>
    <t>IZP5F20</t>
  </si>
  <si>
    <t>MICHEL DE SOUZA</t>
  </si>
  <si>
    <t>EVO8G22</t>
  </si>
  <si>
    <t>MARKE SCHIFTER</t>
  </si>
  <si>
    <t>MEI2020</t>
  </si>
  <si>
    <t>NILO LUIZ MANARIN</t>
  </si>
  <si>
    <t>IKQ2E54</t>
  </si>
  <si>
    <t>VALDIR ADAO</t>
  </si>
  <si>
    <t>DPF3B18</t>
  </si>
  <si>
    <t>CLEBER MARONI</t>
  </si>
  <si>
    <t>A58510</t>
  </si>
  <si>
    <t>EVO3A49</t>
  </si>
  <si>
    <t>EDNO</t>
  </si>
  <si>
    <t>Disponibilidade por dia</t>
  </si>
  <si>
    <t>Indisponibilidade por dia</t>
  </si>
  <si>
    <t>Total de Ativos no dia</t>
  </si>
  <si>
    <t>Disponibilidade por dia em %</t>
  </si>
  <si>
    <r>
      <rPr>
        <rFont val="Trebuchet MS"/>
        <b/>
        <color theme="0"/>
        <sz val="10.0"/>
      </rPr>
      <t>Disponíve</t>
    </r>
    <r>
      <rPr>
        <rFont val="Trebuchet MS"/>
        <b/>
        <color theme="0"/>
        <sz val="10.0"/>
      </rPr>
      <t xml:space="preserve">l: </t>
    </r>
    <r>
      <rPr>
        <rFont val="Trebuchet MS"/>
        <b/>
        <color theme="0"/>
        <sz val="10.0"/>
      </rPr>
      <t>D</t>
    </r>
  </si>
  <si>
    <r>
      <rPr>
        <rFont val="Trebuchet MS"/>
        <b/>
        <color theme="0"/>
        <sz val="10.0"/>
      </rPr>
      <t>Problemas Pessoais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PP</t>
    </r>
  </si>
  <si>
    <r>
      <rPr>
        <rFont val="Trebuchet MS"/>
        <b/>
        <color theme="0"/>
        <sz val="10.0"/>
      </rPr>
      <t>S/ Documentação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SD</t>
    </r>
  </si>
  <si>
    <r>
      <rPr>
        <rFont val="Trebuchet MS"/>
        <b/>
        <color theme="0"/>
        <sz val="10.0"/>
      </rPr>
      <t>Viagem Terceiro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VT</t>
    </r>
  </si>
  <si>
    <r>
      <rPr>
        <rFont val="Trebuchet MS"/>
        <b/>
        <color theme="0"/>
        <sz val="10.0"/>
      </rPr>
      <t>Sinalizou Desagregação: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DS</t>
    </r>
  </si>
  <si>
    <r>
      <rPr>
        <rFont val="Trebuchet MS"/>
        <b/>
        <color theme="0"/>
        <sz val="10.0"/>
      </rPr>
      <t>Trânsito: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T</t>
    </r>
    <r>
      <rPr>
        <rFont val="Trebuchet MS"/>
        <b/>
        <color theme="0"/>
        <sz val="10.0"/>
      </rPr>
      <t xml:space="preserve"> (carregado)</t>
    </r>
  </si>
  <si>
    <r>
      <rPr>
        <rFont val="Trebuchet MS"/>
        <b/>
        <color theme="0"/>
        <sz val="10.0"/>
      </rPr>
      <t>Manutenção: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PC</t>
    </r>
  </si>
  <si>
    <r>
      <rPr>
        <rFont val="Trebuchet MS"/>
        <b/>
        <color theme="0"/>
        <sz val="10.0"/>
      </rPr>
      <t>S/ Motorista: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SM</t>
    </r>
  </si>
  <si>
    <r>
      <rPr>
        <rFont val="Trebuchet MS"/>
        <b/>
        <color theme="0"/>
        <sz val="10.0"/>
      </rPr>
      <t>Encostado:</t>
    </r>
    <r>
      <rPr>
        <rFont val="Trebuchet MS"/>
        <b/>
        <color theme="0"/>
        <sz val="10.0"/>
      </rPr>
      <t xml:space="preserve"> E(</t>
    </r>
    <r>
      <rPr>
        <rFont val="Trebuchet MS"/>
        <b/>
        <color theme="0"/>
        <sz val="9.0"/>
      </rPr>
      <t>somente desengatado</t>
    </r>
    <r>
      <rPr>
        <rFont val="Trebuchet MS"/>
        <b/>
        <color theme="0"/>
        <sz val="10.0"/>
      </rPr>
      <t>)</t>
    </r>
  </si>
  <si>
    <r>
      <rPr>
        <rFont val="Trebuchet MS"/>
        <b/>
        <color theme="0"/>
        <sz val="10.0"/>
      </rPr>
      <t>Desagregação|Troca de Fluxo: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OO</t>
    </r>
  </si>
  <si>
    <r>
      <rPr>
        <rFont val="Trebuchet MS"/>
        <b/>
        <color theme="0"/>
        <sz val="10.0"/>
      </rPr>
      <t>Manutenção Carreta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PV</t>
    </r>
  </si>
  <si>
    <r>
      <rPr>
        <rFont val="Trebuchet MS"/>
        <b/>
        <color theme="0"/>
        <sz val="10.0"/>
      </rPr>
      <t>Folga/Férias</t>
    </r>
    <r>
      <rPr>
        <rFont val="Trebuchet MS"/>
        <b/>
        <color theme="0"/>
        <sz val="10.0"/>
      </rPr>
      <t xml:space="preserve">: </t>
    </r>
    <r>
      <rPr>
        <rFont val="Trebuchet MS"/>
        <b/>
        <color theme="0"/>
        <sz val="10.0"/>
      </rPr>
      <t>F</t>
    </r>
  </si>
  <si>
    <r>
      <rPr>
        <rFont val="Trebuchet MS"/>
        <b/>
        <color theme="0"/>
        <sz val="10.0"/>
      </rPr>
      <t>Recusa de Carga:</t>
    </r>
    <r>
      <rPr>
        <rFont val="Trebuchet MS"/>
        <b/>
        <color theme="0"/>
        <sz val="10.0"/>
      </rPr>
      <t xml:space="preserve"> </t>
    </r>
    <r>
      <rPr>
        <rFont val="Trebuchet MS"/>
        <b/>
        <color theme="0"/>
        <sz val="10.0"/>
      </rPr>
      <t>RC</t>
    </r>
  </si>
  <si>
    <t>WELLINGTON</t>
  </si>
  <si>
    <t>SILVIO</t>
  </si>
  <si>
    <t>EVU7C10</t>
  </si>
  <si>
    <t>MARCIO</t>
  </si>
  <si>
    <t>AKE1I66</t>
  </si>
  <si>
    <t>AOZ6A05</t>
  </si>
  <si>
    <t>JACIR</t>
  </si>
  <si>
    <t>OGU3G26</t>
  </si>
  <si>
    <t>ANDRÉ</t>
  </si>
  <si>
    <t>DONIZETE</t>
  </si>
  <si>
    <t>MHR9H37</t>
  </si>
  <si>
    <t>FABIANO</t>
  </si>
  <si>
    <t>E-MAIL</t>
  </si>
  <si>
    <t>EMPRESA</t>
  </si>
  <si>
    <t>PRODUTO</t>
  </si>
  <si>
    <t>FRETE EMPRESA</t>
  </si>
  <si>
    <t>FRETE AGREGADO</t>
  </si>
  <si>
    <t>FEVEREIRO</t>
  </si>
  <si>
    <t>POUSO ALEGRE/MG</t>
  </si>
  <si>
    <t>LAGES/SC</t>
  </si>
  <si>
    <t>CARSTEN</t>
  </si>
  <si>
    <t>GARRAFA</t>
  </si>
  <si>
    <t>R$ 8.316,00</t>
  </si>
  <si>
    <t>PASSO FUNDO/RS</t>
  </si>
  <si>
    <t>CAMBÉ/PR</t>
  </si>
  <si>
    <t>CANOAS/RS</t>
  </si>
  <si>
    <t>IMBITUVA/PR</t>
  </si>
  <si>
    <t>R$ 4.500,00</t>
  </si>
  <si>
    <t>MONTENEGRO/RS</t>
  </si>
  <si>
    <t>PONTA GROSSA/PR</t>
  </si>
  <si>
    <t>RTC LOGÍSTICA</t>
  </si>
  <si>
    <t>MDF</t>
  </si>
  <si>
    <t>R$ 4.562,53</t>
  </si>
  <si>
    <t>BENTO GONÇALVES/RS</t>
  </si>
  <si>
    <t>CURITIBA/PR</t>
  </si>
  <si>
    <t>AGUDOS/SP</t>
  </si>
  <si>
    <t>TRANSNIL</t>
  </si>
  <si>
    <t>CERVEJA</t>
  </si>
  <si>
    <t>GUARULHOS/SP</t>
  </si>
  <si>
    <t>JMF TRANSPORTES</t>
  </si>
  <si>
    <t>R$ 4.655,79</t>
  </si>
  <si>
    <t>R$ 3.500,00</t>
  </si>
  <si>
    <t>CAMPO MOURÃO/PR</t>
  </si>
  <si>
    <t>PINHAIS/PR</t>
  </si>
  <si>
    <t>ANDERLE</t>
  </si>
  <si>
    <t>ÓLEO VEGETAL</t>
  </si>
  <si>
    <t>JUNDIAÍ/SP</t>
  </si>
  <si>
    <t>MASTER CARGO</t>
  </si>
  <si>
    <t>PEÇAS</t>
  </si>
  <si>
    <t>JACUTINGA/MG</t>
  </si>
  <si>
    <t>SANTA MARIA/RS</t>
  </si>
  <si>
    <t>PAPEL</t>
  </si>
  <si>
    <t>ROLÂNDIA/PR</t>
  </si>
  <si>
    <t>POPOV TRANSP.</t>
  </si>
  <si>
    <t>FARINHA</t>
  </si>
  <si>
    <t>JALOTO</t>
  </si>
  <si>
    <t>TAPEJARA/RS</t>
  </si>
  <si>
    <t>HOFFMANN</t>
  </si>
  <si>
    <t>FORRO POLIPROPILENO</t>
  </si>
  <si>
    <t>ITUPORANGA/SC</t>
  </si>
  <si>
    <t>LOG TECH</t>
  </si>
  <si>
    <t>FERTILIZANTE</t>
  </si>
  <si>
    <t>TEREJOROGE</t>
  </si>
  <si>
    <t>IGREJUNHA/RS</t>
  </si>
  <si>
    <t>ITAJAÍ/SC</t>
  </si>
  <si>
    <t>COOPERCARGA</t>
  </si>
  <si>
    <t>RTM TRASNPORTE</t>
  </si>
  <si>
    <t>POLITÍLENO</t>
  </si>
  <si>
    <t>BLUMENAU/SC</t>
  </si>
  <si>
    <t>TDM</t>
  </si>
  <si>
    <t>JAGUARIUNA/SP</t>
  </si>
  <si>
    <t>SAPUCAIA DO SUL/RS</t>
  </si>
  <si>
    <t>CONRADO TRANSPORTES</t>
  </si>
  <si>
    <t>REFRIGERANTE</t>
  </si>
  <si>
    <t>SUMARÉ/SP</t>
  </si>
  <si>
    <t>MARINGÁ/PR</t>
  </si>
  <si>
    <t>3M DO BRASIL LTDA</t>
  </si>
  <si>
    <t>IÇARA/SC</t>
  </si>
  <si>
    <t>LEALES LOG TRANSPORTES</t>
  </si>
  <si>
    <t>UNILEVER</t>
  </si>
  <si>
    <t>SÃO PAULO/SP</t>
  </si>
  <si>
    <t>PARANAGUÁ</t>
  </si>
  <si>
    <t>LONDRINA/PR</t>
  </si>
  <si>
    <t>Traspotadora Eduardo Justus Olegario LTDA</t>
  </si>
  <si>
    <t>DRYWALL</t>
  </si>
  <si>
    <t>JOINVILLE/SC</t>
  </si>
  <si>
    <t xml:space="preserve">SÃO JOSE/SC </t>
  </si>
  <si>
    <t xml:space="preserve">ROTTA RECICLAVEIS </t>
  </si>
  <si>
    <t xml:space="preserve">GARRAFA PET </t>
  </si>
  <si>
    <t>TUBARÃO/SC</t>
  </si>
  <si>
    <t>SÃO JOSÉ DOS PINHAIS/PR</t>
  </si>
  <si>
    <t>PALLET</t>
  </si>
  <si>
    <t>TIJUCAS/SC</t>
  </si>
  <si>
    <t xml:space="preserve">IRATI/PR </t>
  </si>
  <si>
    <t>Industria de papel são João Batista</t>
  </si>
  <si>
    <t xml:space="preserve">PAPEL VELHO </t>
  </si>
  <si>
    <t>BRAGANÇA PAULISTA/SP</t>
  </si>
  <si>
    <t>MORRETES</t>
  </si>
  <si>
    <t>Papelão</t>
  </si>
  <si>
    <t>Sucapel</t>
  </si>
  <si>
    <t>DISPONÍVEIS</t>
  </si>
  <si>
    <t>INDISPONÍVEIS</t>
  </si>
  <si>
    <t>I</t>
  </si>
  <si>
    <t>A59590</t>
  </si>
  <si>
    <t>QTDE PLACAS</t>
  </si>
  <si>
    <t>Observação</t>
  </si>
  <si>
    <t>PROG. HNK</t>
  </si>
  <si>
    <t>BALSA NOVA</t>
  </si>
  <si>
    <t>ARAUCARIA</t>
  </si>
  <si>
    <t>CAÇADOR</t>
  </si>
  <si>
    <t>05/07 Sem demanda na Guararapes</t>
  </si>
  <si>
    <t>09/07 Sem demanda na Guararapes</t>
  </si>
  <si>
    <t>19/07 Sem demanda na Guararapes</t>
  </si>
  <si>
    <t>PK</t>
  </si>
  <si>
    <t>Remessa</t>
  </si>
  <si>
    <t>Indicador</t>
  </si>
  <si>
    <t>DEL LINK</t>
  </si>
  <si>
    <t>Channel Type</t>
  </si>
  <si>
    <t>Freight Cost</t>
  </si>
  <si>
    <t>ID do Local de Origem</t>
  </si>
  <si>
    <t>Nome do Local de Origem</t>
  </si>
  <si>
    <t>Cidade de Origem</t>
  </si>
  <si>
    <t>ID do Local de Destino</t>
  </si>
  <si>
    <t>Nome do Local de Destino</t>
  </si>
  <si>
    <t>Cidade de Destino</t>
  </si>
  <si>
    <t>Sent At</t>
  </si>
  <si>
    <t>Destination Postal Code</t>
  </si>
  <si>
    <t>Responder em</t>
  </si>
  <si>
    <t>Peso Bruto Total</t>
  </si>
  <si>
    <t>Total ERU</t>
  </si>
  <si>
    <t>Data da Coleta</t>
  </si>
  <si>
    <t>Data de Entrega</t>
  </si>
  <si>
    <t>Domínio</t>
  </si>
  <si>
    <t>G</t>
  </si>
  <si>
    <t>DISTRIBUTOR</t>
  </si>
  <si>
    <t>7601.97</t>
  </si>
  <si>
    <t>MODIFIED</t>
  </si>
  <si>
    <t>0187-ECP</t>
  </si>
  <si>
    <t>FB PONTA GROSSA PR</t>
  </si>
  <si>
    <t>CC0243-ECP</t>
  </si>
  <si>
    <t>HNK BR INDUSTRIA DE BEBIDAS LTDA.</t>
  </si>
  <si>
    <t>07034-000</t>
  </si>
  <si>
    <t>31625.36</t>
  </si>
  <si>
    <t>HTM</t>
  </si>
  <si>
    <t>31922.80</t>
  </si>
  <si>
    <t>7487.65</t>
  </si>
  <si>
    <t>CC0252-ECP</t>
  </si>
  <si>
    <t>PRAIA GRANDE</t>
  </si>
  <si>
    <t>11720-090</t>
  </si>
  <si>
    <t>7411.44</t>
  </si>
  <si>
    <t>CC0241-ECP</t>
  </si>
  <si>
    <t>06816-550</t>
  </si>
  <si>
    <t>4132.78</t>
  </si>
  <si>
    <t>CC0253-ECP</t>
  </si>
  <si>
    <t>89066-100</t>
  </si>
  <si>
    <t>NOT APPLICABLE</t>
  </si>
  <si>
    <t>30237.54</t>
  </si>
  <si>
    <t>5064.17</t>
  </si>
  <si>
    <t>3157.14</t>
  </si>
  <si>
    <t>218066-ECP</t>
  </si>
  <si>
    <t>SPAL INDÚSTRIA BRASILEIRA DE BEBIDAS S/A</t>
  </si>
  <si>
    <t>89206-600</t>
  </si>
  <si>
    <t>32647.47</t>
  </si>
  <si>
    <t>14758.00</t>
  </si>
  <si>
    <t>218032-ECP</t>
  </si>
  <si>
    <t>REFRESCOS BANDEIRANTES INDÚSTR COMÉRCIO LTDA.</t>
  </si>
  <si>
    <t>RIALMA</t>
  </si>
  <si>
    <t>76310-000</t>
  </si>
  <si>
    <t>32553.56</t>
  </si>
  <si>
    <t>23400.00</t>
  </si>
  <si>
    <t>217900-ECP</t>
  </si>
  <si>
    <t>PAIVA &amp; DE SOUZA PAIVA LTDA.</t>
  </si>
  <si>
    <t>JUÍNA</t>
  </si>
  <si>
    <t>78320-000</t>
  </si>
  <si>
    <t>34930.84</t>
  </si>
  <si>
    <t>17026.80</t>
  </si>
  <si>
    <t>218091-ECP</t>
  </si>
  <si>
    <t>REFRESCOS BANDEIRANTES INDÚSTRIA E COMÉRCIO LTDA.</t>
  </si>
  <si>
    <t>PORANGATU</t>
  </si>
  <si>
    <t>76550-000</t>
  </si>
  <si>
    <t>6900.00</t>
  </si>
  <si>
    <t>218058-ECP</t>
  </si>
  <si>
    <t>SPAL INDUSTRIA BRASILEIRA DE BEBIDAS S/A</t>
  </si>
  <si>
    <t>89052-010</t>
  </si>
  <si>
    <t>4445.42</t>
  </si>
  <si>
    <t>2392754-ECP</t>
  </si>
  <si>
    <t>88180-000</t>
  </si>
  <si>
    <t>4405.34</t>
  </si>
  <si>
    <t>217821-ECP</t>
  </si>
  <si>
    <t>SPAL INDÚSTRIA BRASILEIRA DE BEBIDAS S.A.</t>
  </si>
  <si>
    <t>84030-000</t>
  </si>
  <si>
    <t>10514.45</t>
  </si>
  <si>
    <t>207627-ECP</t>
  </si>
  <si>
    <t>DISTRIBUIDORA DE BEBIDAS VALES DO RIO COURA LTDA.</t>
  </si>
  <si>
    <t>SÃO PEDRO DA ALDEIA</t>
  </si>
  <si>
    <t>28945-010</t>
  </si>
  <si>
    <t>9180.00</t>
  </si>
  <si>
    <t>221756-ECP</t>
  </si>
  <si>
    <t>SERRANA DISTRIBUIDORA DE BEBIDAS LT DA.</t>
  </si>
  <si>
    <t>BARRA DO PIRAÍ</t>
  </si>
  <si>
    <t>27165-000</t>
  </si>
  <si>
    <t>10796.88</t>
  </si>
  <si>
    <t>217909-ECP</t>
  </si>
  <si>
    <t>REFRESCOS BANDEIRANTES INDÚSTRIA</t>
  </si>
  <si>
    <t>75650-000</t>
  </si>
  <si>
    <t>1225.06</t>
  </si>
  <si>
    <t>2407.60</t>
  </si>
  <si>
    <t>CC0240-ECP</t>
  </si>
  <si>
    <t>81690-400</t>
  </si>
  <si>
    <t>8770.59</t>
  </si>
  <si>
    <t>CC0248-ECP</t>
  </si>
  <si>
    <t>12286-160</t>
  </si>
  <si>
    <t>30613.67</t>
  </si>
  <si>
    <t>3664.68</t>
  </si>
  <si>
    <t>CC0249-ECP</t>
  </si>
  <si>
    <t>ITAJAÍ</t>
  </si>
  <si>
    <t>88311-600</t>
  </si>
  <si>
    <t>10200.00</t>
  </si>
  <si>
    <t>207603-ECP</t>
  </si>
  <si>
    <t>DISTRIBUIDORA DE BEBIDAS VALES DO RIOO COURA LTDA.</t>
  </si>
  <si>
    <t>SÃO GONÇALO</t>
  </si>
  <si>
    <t>24415-560</t>
  </si>
  <si>
    <t>20824.00</t>
  </si>
  <si>
    <t>34058.08</t>
  </si>
  <si>
    <t>5130.00</t>
  </si>
  <si>
    <t>211561-ECP</t>
  </si>
  <si>
    <t>15077-000</t>
  </si>
  <si>
    <t>31489.64</t>
  </si>
  <si>
    <t>11400.00</t>
  </si>
  <si>
    <t>22800.00</t>
  </si>
  <si>
    <t>KEY ACCOUNT</t>
  </si>
  <si>
    <t>15900.00</t>
  </si>
  <si>
    <t>202094-ECP</t>
  </si>
  <si>
    <t>CEREAIS BRAMIL LTDA.</t>
  </si>
  <si>
    <t>TRÊS RIOS</t>
  </si>
  <si>
    <t>25805-250</t>
  </si>
  <si>
    <t>24297.46</t>
  </si>
  <si>
    <t>5700.00</t>
  </si>
  <si>
    <t>CC0056-ECP</t>
  </si>
  <si>
    <t>13312-900</t>
  </si>
  <si>
    <t>32850.80</t>
  </si>
  <si>
    <t>17940.00</t>
  </si>
  <si>
    <t>14011.30</t>
  </si>
  <si>
    <t>14335.80</t>
  </si>
  <si>
    <t>30049.44</t>
  </si>
  <si>
    <t>10771.65</t>
  </si>
  <si>
    <t>CC0244-ECP</t>
  </si>
  <si>
    <t>32040-027</t>
  </si>
  <si>
    <t>33228.36</t>
  </si>
  <si>
    <t>8489.59</t>
  </si>
  <si>
    <t>8253.44</t>
  </si>
  <si>
    <t>CC0149-ECP</t>
  </si>
  <si>
    <t>HNK BR INDÚSTRIA DE BEBIDAS LTDA.</t>
  </si>
  <si>
    <t>CACHOEIRINHA</t>
  </si>
  <si>
    <t>94930-230</t>
  </si>
  <si>
    <t>31680.13</t>
  </si>
  <si>
    <t>25887.65</t>
  </si>
  <si>
    <t>30186.99</t>
  </si>
  <si>
    <t>5049.00</t>
  </si>
  <si>
    <t>2147702-ECP</t>
  </si>
  <si>
    <t>87070-060</t>
  </si>
  <si>
    <t>10000.00</t>
  </si>
  <si>
    <t>CC0245-ECP</t>
  </si>
  <si>
    <t>SUMARÉ</t>
  </si>
  <si>
    <t>13175-575</t>
  </si>
  <si>
    <t>31081.76</t>
  </si>
  <si>
    <t>33430.80</t>
  </si>
  <si>
    <t>12114.60</t>
  </si>
  <si>
    <t>11759.34</t>
  </si>
  <si>
    <t>TIMED OUT</t>
  </si>
  <si>
    <t>212696-ECP</t>
  </si>
  <si>
    <t>KETEK ATACADISTA DE ALIMENTOS LTDA.</t>
  </si>
  <si>
    <t>VOLTA REDONDA</t>
  </si>
  <si>
    <t>27251-240</t>
  </si>
  <si>
    <t>27887.54</t>
  </si>
  <si>
    <t>1733.47</t>
  </si>
  <si>
    <t>27905.89</t>
  </si>
  <si>
    <t>4550.82</t>
  </si>
  <si>
    <t>217808-ECP</t>
  </si>
  <si>
    <t>86185-700</t>
  </si>
  <si>
    <t>6242.26</t>
  </si>
  <si>
    <t>11989.95</t>
  </si>
  <si>
    <t>204561-ECP</t>
  </si>
  <si>
    <t>COMPANHIA ZAFFARI COMÉRCIO E INDÚSTRIA</t>
  </si>
  <si>
    <t>91040-620</t>
  </si>
  <si>
    <t>26374.92</t>
  </si>
  <si>
    <t>2629.78</t>
  </si>
  <si>
    <t>214870-ECP</t>
  </si>
  <si>
    <t>LÍDER DISTRIBUIDORA DE BEBIDAS LTDA.</t>
  </si>
  <si>
    <t>83215-000</t>
  </si>
  <si>
    <t>31900.03</t>
  </si>
  <si>
    <t>8980.00</t>
  </si>
  <si>
    <t>205125-ECP</t>
  </si>
  <si>
    <t>IMPORTADORA E EXPORTADORA DE CEREAIS S.A.</t>
  </si>
  <si>
    <t>95901-150</t>
  </si>
  <si>
    <t>24523.81</t>
  </si>
  <si>
    <t>24549.00</t>
  </si>
  <si>
    <t>217751-ECP</t>
  </si>
  <si>
    <t>DBA DISTRIBUIDORA DE BEBIDAS AMAZÔN LTDA.</t>
  </si>
  <si>
    <t>VILHENA</t>
  </si>
  <si>
    <t>76987-568</t>
  </si>
  <si>
    <t>32339.36</t>
  </si>
  <si>
    <t>6406.28</t>
  </si>
  <si>
    <t>25565.41</t>
  </si>
  <si>
    <t>12976.89</t>
  </si>
  <si>
    <t>21211.38</t>
  </si>
  <si>
    <t>216690-ECP</t>
  </si>
  <si>
    <t>SUPERMERCADOS CASAGRANDE LTDA.</t>
  </si>
  <si>
    <t>LINHARES</t>
  </si>
  <si>
    <t>29903-515</t>
  </si>
  <si>
    <t>24275.00</t>
  </si>
  <si>
    <t>31029.56</t>
  </si>
  <si>
    <t>5288.98</t>
  </si>
  <si>
    <t>11690.18</t>
  </si>
  <si>
    <t>CC0247-ECP</t>
  </si>
  <si>
    <t>38405-236</t>
  </si>
  <si>
    <t>13890.24</t>
  </si>
  <si>
    <t>217691-ECP</t>
  </si>
  <si>
    <t>URUAÇU</t>
  </si>
  <si>
    <t>76400-000</t>
  </si>
  <si>
    <t>24279.57</t>
  </si>
  <si>
    <t>217985-ECP</t>
  </si>
  <si>
    <t>DISTRIBUIDORA DE BEBIDAS CANAR</t>
  </si>
  <si>
    <t>CANARANA</t>
  </si>
  <si>
    <t>78640-000</t>
  </si>
  <si>
    <t>7008.21</t>
  </si>
  <si>
    <t>218577-ECP</t>
  </si>
  <si>
    <t>FRIGO DISTRIBUIDORA DE ALIMENTOS E BEBIDAS EIRELI.</t>
  </si>
  <si>
    <t>06790-240</t>
  </si>
  <si>
    <t>29337.51</t>
  </si>
  <si>
    <t>23770.20</t>
  </si>
  <si>
    <t>217519-ECP</t>
  </si>
  <si>
    <t>REFRIGERANTES GUARANTÁ LTDA.</t>
  </si>
  <si>
    <t>GUARANTÃ DO NORTE</t>
  </si>
  <si>
    <t>78520-000</t>
  </si>
  <si>
    <t>5729.50</t>
  </si>
  <si>
    <t>217075-ECP</t>
  </si>
  <si>
    <t>16058-510</t>
  </si>
  <si>
    <t>8471.42</t>
  </si>
  <si>
    <t>217755-ECP</t>
  </si>
  <si>
    <t>CAMPO GRANDE</t>
  </si>
  <si>
    <t>79079-005</t>
  </si>
  <si>
    <t>5500.00</t>
  </si>
  <si>
    <t>12604.04</t>
  </si>
  <si>
    <t>217541-ECP</t>
  </si>
  <si>
    <t>BRASAL REFRIGERANTES S.A.</t>
  </si>
  <si>
    <t>FORMOSA</t>
  </si>
  <si>
    <t>73813-010</t>
  </si>
  <si>
    <t>13200.00</t>
  </si>
  <si>
    <t>217521-ECP</t>
  </si>
  <si>
    <t>CATALÃO</t>
  </si>
  <si>
    <t>75709-010</t>
  </si>
  <si>
    <t>21305.62</t>
  </si>
  <si>
    <t>18918.60</t>
  </si>
  <si>
    <t>5950.00</t>
  </si>
  <si>
    <t>2837.21</t>
  </si>
  <si>
    <t>204141-ECP</t>
  </si>
  <si>
    <t>WMS SUPERMERCADOS DO BRASIL LTDA.</t>
  </si>
  <si>
    <t>83324-410</t>
  </si>
  <si>
    <t>19820.88</t>
  </si>
  <si>
    <t>21742.56</t>
  </si>
  <si>
    <t>8301.52</t>
  </si>
  <si>
    <t>19110.00</t>
  </si>
  <si>
    <t>30403.28</t>
  </si>
  <si>
    <t>9203.69</t>
  </si>
  <si>
    <t>204248-ECP</t>
  </si>
  <si>
    <t>ASUN COMÉRCIO DE GENEROS ALIMENTICI OS LTDA.</t>
  </si>
  <si>
    <t>94045-410</t>
  </si>
  <si>
    <t>24744.80</t>
  </si>
  <si>
    <t>7436.84</t>
  </si>
  <si>
    <t>223526-ECP</t>
  </si>
  <si>
    <t>SEARA ALIMENTOS LTDA.</t>
  </si>
  <si>
    <t>05275-000</t>
  </si>
  <si>
    <t>34378.40</t>
  </si>
  <si>
    <t>12882.24</t>
  </si>
  <si>
    <t>0.00</t>
  </si>
  <si>
    <t>8352.00</t>
  </si>
  <si>
    <t>217757-ECP</t>
  </si>
  <si>
    <t>ITAPORÃ</t>
  </si>
  <si>
    <t>79890-000</t>
  </si>
  <si>
    <t>2747.37</t>
  </si>
  <si>
    <t>204065-ECP</t>
  </si>
  <si>
    <t>CONDOR SUPER CENTER LTDA.</t>
  </si>
  <si>
    <t>81930-165</t>
  </si>
  <si>
    <t>7143.22</t>
  </si>
  <si>
    <t>32429.84</t>
  </si>
  <si>
    <t>7981.39</t>
  </si>
  <si>
    <t>11439.85</t>
  </si>
  <si>
    <t>7818.56</t>
  </si>
  <si>
    <t>2319112-ECP</t>
  </si>
  <si>
    <t>REDE KRILL SUPERMERCADOS LTDA.</t>
  </si>
  <si>
    <t>11726-500</t>
  </si>
  <si>
    <t>23982.80</t>
  </si>
  <si>
    <t>32898.00</t>
  </si>
  <si>
    <t>225380-ECP</t>
  </si>
  <si>
    <t>COMPAR COMPANHIA PARAENSE DE REFRIGERANTES</t>
  </si>
  <si>
    <t>69920-190</t>
  </si>
  <si>
    <t>33069.26</t>
  </si>
  <si>
    <t>14702.13</t>
  </si>
  <si>
    <t>210013-ECP</t>
  </si>
  <si>
    <t>32150-245</t>
  </si>
  <si>
    <t>30859.20</t>
  </si>
  <si>
    <t>7831.26</t>
  </si>
  <si>
    <t>209247-ECP</t>
  </si>
  <si>
    <t>WMB SUPERCADOS DO BRASIL LTDA.</t>
  </si>
  <si>
    <t>CAJAMAR</t>
  </si>
  <si>
    <t>07776-700</t>
  </si>
  <si>
    <t>32711.12</t>
  </si>
  <si>
    <t>12797.30</t>
  </si>
  <si>
    <t>220494-ECP</t>
  </si>
  <si>
    <t>COMPANHIA BRASILEIRA DE DISTRIBUIÇÃO</t>
  </si>
  <si>
    <t>DUQUE DE CAXIAS</t>
  </si>
  <si>
    <t>25225-015</t>
  </si>
  <si>
    <t>27011.60</t>
  </si>
  <si>
    <t>7690.89</t>
  </si>
  <si>
    <t>2020885-ECP</t>
  </si>
  <si>
    <t>11095-900</t>
  </si>
  <si>
    <t>14944.80</t>
  </si>
  <si>
    <t>202266-ECP</t>
  </si>
  <si>
    <t>GOIÂNIA</t>
  </si>
  <si>
    <t>74573-320</t>
  </si>
  <si>
    <t>30534.94</t>
  </si>
  <si>
    <t>10748.40</t>
  </si>
  <si>
    <t>8721.41</t>
  </si>
  <si>
    <t>16492.00</t>
  </si>
  <si>
    <t>224335-ECP</t>
  </si>
  <si>
    <t>38706-735</t>
  </si>
  <si>
    <t>33140.80</t>
  </si>
  <si>
    <t>30067.20</t>
  </si>
  <si>
    <t>225005-ECP</t>
  </si>
  <si>
    <t>76809-080</t>
  </si>
  <si>
    <t>28138.28</t>
  </si>
  <si>
    <t>30858.02</t>
  </si>
  <si>
    <t>13048.12</t>
  </si>
  <si>
    <t>210519-ECP</t>
  </si>
  <si>
    <t>COMERCIAL ZARAGOZA IMPORTAÇÃO E EXP ORTAÇÃO LIMITADA</t>
  </si>
  <si>
    <t>RESENDE</t>
  </si>
  <si>
    <t>27535-320</t>
  </si>
  <si>
    <t>24206.22</t>
  </si>
  <si>
    <t>7767.75</t>
  </si>
  <si>
    <t>201665-ECP</t>
  </si>
  <si>
    <t>01138-000</t>
  </si>
  <si>
    <t>25632.09</t>
  </si>
  <si>
    <t>7932.88</t>
  </si>
  <si>
    <t>216812-ECP</t>
  </si>
  <si>
    <t>07243-580</t>
  </si>
  <si>
    <t>6500.00</t>
  </si>
  <si>
    <t>6125.87</t>
  </si>
  <si>
    <t>221387-ECP</t>
  </si>
  <si>
    <t>19575-000</t>
  </si>
  <si>
    <t>5324.00</t>
  </si>
  <si>
    <t>9583.54</t>
  </si>
  <si>
    <t>2360557-ECP</t>
  </si>
  <si>
    <t>GUARATINGUETÁ</t>
  </si>
  <si>
    <t>12522-450</t>
  </si>
  <si>
    <t>5988.19</t>
  </si>
  <si>
    <t>10351.54</t>
  </si>
  <si>
    <t>32704.58</t>
  </si>
  <si>
    <t>6858.89</t>
  </si>
  <si>
    <t>WITHDRAWN</t>
  </si>
  <si>
    <t>200565-ECP</t>
  </si>
  <si>
    <t>CARREFOUR COMÉRCIO E INDÚSTRIA LTDA.</t>
  </si>
  <si>
    <t>ITAPEVI</t>
  </si>
  <si>
    <t>06696-000</t>
  </si>
  <si>
    <t>5800.80</t>
  </si>
  <si>
    <t>32468.80</t>
  </si>
  <si>
    <t>4797.22</t>
  </si>
  <si>
    <t>217066-ECP</t>
  </si>
  <si>
    <t>GCA - DISTRIBUIDORA COMERCIAL DE ALIMENTOS LTDA.</t>
  </si>
  <si>
    <t>87103-070</t>
  </si>
  <si>
    <t>CC0246-ECP</t>
  </si>
  <si>
    <t>88113-848</t>
  </si>
  <si>
    <t>2644.70</t>
  </si>
  <si>
    <t>223396-ECP</t>
  </si>
  <si>
    <t>83704-530</t>
  </si>
  <si>
    <t>31534.72</t>
  </si>
  <si>
    <t>9834.77</t>
  </si>
  <si>
    <t>224425-ECP</t>
  </si>
  <si>
    <t>IRMAOS BOA LTDA.</t>
  </si>
  <si>
    <t>13213-087</t>
  </si>
  <si>
    <t>32471.63</t>
  </si>
  <si>
    <t>34980.06</t>
  </si>
  <si>
    <t>4317.76</t>
  </si>
  <si>
    <t>220681-ECP</t>
  </si>
  <si>
    <t>LONDRINA</t>
  </si>
  <si>
    <t>86072-000</t>
  </si>
  <si>
    <t>31532.48</t>
  </si>
  <si>
    <t>25638.60</t>
  </si>
  <si>
    <t>217744-ECP</t>
  </si>
  <si>
    <t>DBA DISTRIBUIDORA DE BEBIDAS</t>
  </si>
  <si>
    <t>CACOAL</t>
  </si>
  <si>
    <t>76967-621</t>
  </si>
  <si>
    <t>9126.43</t>
  </si>
  <si>
    <t>29805.82</t>
  </si>
  <si>
    <t>8199.63</t>
  </si>
  <si>
    <t>TENDER CONFIRMED</t>
  </si>
  <si>
    <t>218013-ECP</t>
  </si>
  <si>
    <t>SENDAS DISTRIBUIDORA S/A</t>
  </si>
  <si>
    <t>07414-780</t>
  </si>
  <si>
    <t>36489.94</t>
  </si>
  <si>
    <t>221016-ECP</t>
  </si>
  <si>
    <t>S A SATURNINO &amp; CIA LTDA.</t>
  </si>
  <si>
    <t>EPITACIOLÂNDIA</t>
  </si>
  <si>
    <t>69934-000</t>
  </si>
  <si>
    <t>31980.38</t>
  </si>
  <si>
    <t>8160.00</t>
  </si>
  <si>
    <t>2095595-ECP</t>
  </si>
  <si>
    <t>DISTRIB. MODESTO DE BEBIDAS LTDA.</t>
  </si>
  <si>
    <t>APARECIDA DO TABOADO</t>
  </si>
  <si>
    <t>79570-000</t>
  </si>
  <si>
    <t>32609.87</t>
  </si>
  <si>
    <t>11847.00</t>
  </si>
  <si>
    <t>4400.00</t>
  </si>
  <si>
    <t>221005-ECP</t>
  </si>
  <si>
    <t>17512-090</t>
  </si>
  <si>
    <t>13560.00</t>
  </si>
  <si>
    <t>218095-ECP</t>
  </si>
  <si>
    <t>J B PEREIRA DISTRIBUIDORA EIRE</t>
  </si>
  <si>
    <t>ALTO ARAGUAIA</t>
  </si>
  <si>
    <t>78780-000</t>
  </si>
  <si>
    <t>34557.88</t>
  </si>
  <si>
    <t>32346.80</t>
  </si>
  <si>
    <t>9018.00</t>
  </si>
  <si>
    <t>32745.40</t>
  </si>
  <si>
    <t>31021.86</t>
  </si>
  <si>
    <t>4524.37</t>
  </si>
  <si>
    <t>31755.60</t>
  </si>
  <si>
    <t>31946.06</t>
  </si>
  <si>
    <t>Y</t>
  </si>
  <si>
    <t>10930.15</t>
  </si>
  <si>
    <t>217855-ECP</t>
  </si>
  <si>
    <t>SCHMID E FILHOS LTDA.</t>
  </si>
  <si>
    <t>JATAÍ</t>
  </si>
  <si>
    <t>75801-873</t>
  </si>
  <si>
    <t>32157.07</t>
  </si>
  <si>
    <t>33895.00</t>
  </si>
  <si>
    <t>5702.90</t>
  </si>
  <si>
    <t>31219.69</t>
  </si>
  <si>
    <t>30278.50</t>
  </si>
  <si>
    <t>2250161-ECP</t>
  </si>
  <si>
    <t>KOCH HIPERMERCADO S.A.</t>
  </si>
  <si>
    <t>88200-000</t>
  </si>
  <si>
    <t>6085.80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</si>
</sst>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0">
    <numFmt numFmtId="164" formatCode="[$R$]#,##0.00"/>
    <numFmt numFmtId="165" formatCode="[$R$ -416]#,##0.00"/>
    <numFmt numFmtId="166" formatCode="dd/MM/yyyy HH:mm:ss"/>
    <numFmt numFmtId="167" formatCode="dd/mm/yyyy"/>
    <numFmt numFmtId="168" formatCode="dd/mm hh:mm"/>
    <numFmt numFmtId="169" formatCode="dd/mm/yyyy hh:mm:ss"/>
    <numFmt numFmtId="170" formatCode="hh:mm"/>
    <numFmt numFmtId="171" formatCode="dd/MM/yyyy"/>
    <numFmt numFmtId="172" formatCode="mm/dd/yyyy"/>
    <numFmt numFmtId="173" formatCode="mm/dd/yyyy h:mm"/>
    <numFmt numFmtId="174" formatCode="m/d/yyyy h:mm"/>
    <numFmt numFmtId="175" formatCode="mm/dd h:mm"/>
    <numFmt numFmtId="176" formatCode="m/d/yyyy h:mm:ss"/>
    <numFmt numFmtId="177" formatCode="dd/mm/yyyy hh:mm"/>
    <numFmt numFmtId="178" formatCode="d/m/yyyy"/>
    <numFmt numFmtId="179" formatCode="d/m/yyyy hh:mm"/>
    <numFmt numFmtId="180" formatCode="d/m"/>
    <numFmt numFmtId="181" formatCode="d/m hh:mm"/>
    <numFmt numFmtId="182" formatCode="d/m/yy hh:mm"/>
    <numFmt numFmtId="183" formatCode="#,##0.00;(#,##0.00)"/>
    <numFmt numFmtId="184" formatCode="_(&quot;$&quot;* #,##0.00_);_(&quot;$&quot;* \(#,##0.00\);_(&quot;$&quot;* &quot;-&quot;??_);_(@_)"/>
    <numFmt numFmtId="185" formatCode="mm/dd/yyyy h:mm:ss"/>
    <numFmt numFmtId="186" formatCode="&quot;$&quot;#,##0.00"/>
    <numFmt numFmtId="187" formatCode="m/d/yyyy"/>
    <numFmt numFmtId="188" formatCode="dd/mm"/>
    <numFmt numFmtId="189" formatCode="[$R$ -416]#,##0"/>
    <numFmt numFmtId="190" formatCode="dd&quot;/&quot;mm"/>
    <numFmt numFmtId="191" formatCode="_-&quot;R$&quot;\ * #,##0.00_-;\-&quot;R$&quot;\ * #,##0.00_-;_-&quot;R$&quot;\ * &quot;-&quot;??_-;_-@"/>
    <numFmt numFmtId="192" formatCode="yyyy.m"/>
    <numFmt numFmtId="193" formatCode="yyyy.mm"/>
  </numFmts>
  <fonts count="72">
    <font>
      <sz val="10.0"/>
      <color rgb="FF000000"/>
      <name val="Arial"/>
      <scheme val="minor"/>
    </font>
    <font>
      <sz val="10.0"/>
      <color rgb="FFFFFFFF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b/>
      <sz val="10.0"/>
      <color rgb="FF000000"/>
      <name val="Calibri"/>
    </font>
    <font>
      <b/>
      <sz val="10.0"/>
      <color rgb="FF3C3C3C"/>
      <name val="Calibri"/>
    </font>
    <font>
      <b/>
      <sz val="10.0"/>
      <color rgb="FF343434"/>
      <name val="Calibri"/>
    </font>
    <font>
      <sz val="10.0"/>
      <color rgb="FF3C3C3C"/>
      <name val="Calibri"/>
    </font>
    <font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b/>
      <color rgb="FFFF0000"/>
      <name val="Calibri"/>
    </font>
    <font>
      <color rgb="FFFF0000"/>
      <name val="Arial"/>
    </font>
    <font>
      <b/>
      <color theme="1"/>
      <name val="Calibri"/>
    </font>
    <font>
      <color theme="1"/>
      <name val="Arial"/>
    </font>
    <font>
      <sz val="10.0"/>
      <color rgb="FFFF0000"/>
      <name val="Calibri"/>
    </font>
    <font>
      <sz val="9.0"/>
      <color theme="1"/>
      <name val="Arial"/>
    </font>
    <font>
      <color theme="1"/>
      <name val="Arial"/>
      <scheme val="minor"/>
    </font>
    <font>
      <sz val="9.0"/>
      <color rgb="FF343434"/>
      <name val="Arial"/>
    </font>
    <font>
      <sz val="8.0"/>
      <color theme="1"/>
      <name val="Arial"/>
      <scheme val="minor"/>
    </font>
    <font>
      <b/>
      <color rgb="FFFFFFFF"/>
      <name val="Calibri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  <font>
      <color rgb="FFFF0000"/>
      <name val="Calibri"/>
    </font>
    <font>
      <color rgb="FF434343"/>
      <name val="Calibri"/>
    </font>
    <font>
      <b/>
      <sz val="11.0"/>
      <color theme="1"/>
      <name val="Calibri"/>
    </font>
    <font>
      <b/>
      <sz val="9.0"/>
      <color rgb="FFFFFFFF"/>
      <name val="Calibri"/>
    </font>
    <font>
      <sz val="9.0"/>
      <color theme="1"/>
      <name val="Calibri"/>
    </font>
    <font>
      <color rgb="FF000000"/>
      <name val="Docs-Calibri"/>
    </font>
    <font>
      <sz val="9.0"/>
      <color rgb="FF3C3C3C"/>
      <name val="Arial"/>
    </font>
    <font>
      <b/>
      <sz val="10.0"/>
      <color rgb="FF434343"/>
      <name val="Calibri"/>
    </font>
    <font>
      <i/>
      <sz val="10.0"/>
      <color theme="1"/>
      <name val="Calibri"/>
    </font>
    <font>
      <b/>
      <i/>
      <sz val="10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12.0"/>
      <color rgb="FFFFFFFF"/>
      <name val="Calibri"/>
    </font>
    <font>
      <b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1F1F1F"/>
      <name val="Arial"/>
    </font>
    <font>
      <b/>
      <sz val="10.0"/>
      <color theme="1"/>
      <name val="Arial"/>
    </font>
    <font>
      <sz val="10.0"/>
      <color rgb="FF1F1F1F"/>
      <name val="Calibri"/>
    </font>
    <font>
      <sz val="12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b/>
      <color rgb="FF006100"/>
      <name val="Trebuchet MS"/>
    </font>
    <font>
      <b/>
      <i/>
      <sz val="14.0"/>
      <color rgb="FFFFFFFF"/>
      <name val="Trebuchet MS"/>
    </font>
    <font>
      <b/>
      <color rgb="FFFFFFFF"/>
      <name val="Trebuchet MS"/>
    </font>
    <font>
      <b/>
      <sz val="11.0"/>
      <color rgb="FFFFFFFF"/>
      <name val="Calibri"/>
    </font>
    <font/>
    <font>
      <sz val="11.0"/>
      <color rgb="FFFFFFFF"/>
      <name val="Calibri"/>
    </font>
    <font>
      <color theme="1"/>
      <name val="Trebuchet MS"/>
    </font>
    <font>
      <sz val="8.0"/>
      <color rgb="FF333333"/>
      <name val="Arial"/>
    </font>
    <font>
      <color rgb="FF000000"/>
      <name val="Trebuchet MS"/>
    </font>
    <font>
      <b/>
      <color theme="1"/>
      <name val="Trebuchet MS"/>
    </font>
    <font>
      <b/>
      <i/>
      <color theme="1"/>
      <name val="Trebuchet MS"/>
    </font>
    <font>
      <i/>
      <color theme="1"/>
      <name val="Trebuchet MS"/>
    </font>
    <font>
      <color rgb="FFFFFFFF"/>
      <name val="Trebuchet MS"/>
    </font>
    <font>
      <color rgb="FF006100"/>
      <name val="Trebuchet MS"/>
    </font>
    <font>
      <color rgb="FF9C6500"/>
      <name val="Trebuchet MS"/>
    </font>
    <font>
      <color rgb="FF9C0006"/>
      <name val="Trebuchet MS"/>
    </font>
    <font>
      <sz val="11.0"/>
      <color theme="1"/>
      <name val="Arial"/>
    </font>
    <font>
      <b/>
      <sz val="12.0"/>
      <color theme="1"/>
      <name val="Calibri"/>
    </font>
    <font>
      <sz val="12.0"/>
      <color rgb="FF000000"/>
      <name val="Calibri"/>
    </font>
    <font>
      <i/>
      <color theme="1"/>
      <name val="Calibri"/>
    </font>
    <font>
      <b/>
      <sz val="13.0"/>
      <color rgb="FF000000"/>
      <name val="Calibri"/>
    </font>
    <font>
      <sz val="11.0"/>
      <color rgb="FF3C3C3C"/>
      <name val="Calibri"/>
    </font>
  </fonts>
  <fills count="47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B2C1CF"/>
        <bgColor rgb="FFB2C1C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ECECEB"/>
        <bgColor rgb="FFECECEB"/>
      </patternFill>
    </fill>
    <fill>
      <patternFill patternType="solid">
        <fgColor rgb="FFFF9900"/>
        <bgColor rgb="FFFF9900"/>
      </patternFill>
    </fill>
    <fill>
      <patternFill patternType="solid">
        <fgColor rgb="FF4E9B4E"/>
        <bgColor rgb="FF4E9B4E"/>
      </patternFill>
    </fill>
    <fill>
      <patternFill patternType="solid">
        <fgColor rgb="FF44546A"/>
        <bgColor rgb="FF44546A"/>
      </patternFill>
    </fill>
    <fill>
      <patternFill patternType="solid">
        <fgColor rgb="FFF4CCCC"/>
        <bgColor rgb="FFF4CCCC"/>
      </patternFill>
    </fill>
    <fill>
      <patternFill patternType="solid">
        <fgColor rgb="FFFF6D01"/>
        <bgColor rgb="FFFF6D01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4F0FA"/>
        <bgColor rgb="FFE4F0FA"/>
      </patternFill>
    </fill>
    <fill>
      <patternFill patternType="solid">
        <fgColor rgb="FFB7E1CD"/>
        <bgColor rgb="FFB7E1CD"/>
      </patternFill>
    </fill>
    <fill>
      <patternFill patternType="solid">
        <fgColor rgb="FFC6E0B4"/>
        <bgColor rgb="FFC6E0B4"/>
      </patternFill>
    </fill>
    <fill>
      <patternFill patternType="solid">
        <fgColor rgb="FFEBF1DE"/>
        <bgColor rgb="FFEBF1DE"/>
      </patternFill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00B050"/>
        <bgColor rgb="FF00B050"/>
      </patternFill>
    </fill>
    <fill>
      <patternFill patternType="solid">
        <fgColor rgb="FF600000"/>
        <bgColor rgb="FF6000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CFE2F3"/>
        <bgColor rgb="FFCFE2F3"/>
      </patternFill>
    </fill>
    <fill>
      <patternFill patternType="solid">
        <fgColor rgb="FFC6EFCE"/>
        <bgColor rgb="FFC6EFCE"/>
      </patternFill>
    </fill>
    <fill>
      <patternFill patternType="solid">
        <fgColor rgb="FF1F3864"/>
        <bgColor rgb="FF1F3864"/>
      </patternFill>
    </fill>
    <fill>
      <patternFill patternType="solid">
        <fgColor rgb="FF002060"/>
        <bgColor rgb="FF00206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203764"/>
        <bgColor rgb="FF203764"/>
      </patternFill>
    </fill>
    <fill>
      <patternFill patternType="solid">
        <fgColor rgb="FF93C47D"/>
        <bgColor rgb="FF93C47D"/>
      </patternFill>
    </fill>
  </fills>
  <borders count="4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dotted">
        <color rgb="FF808080"/>
      </right>
      <top style="dotted">
        <color rgb="FF808080"/>
      </top>
    </border>
    <border>
      <left style="dotted">
        <color rgb="FF808080"/>
      </left>
      <right style="dotted">
        <color rgb="FF808080"/>
      </right>
      <top style="dotted">
        <color rgb="FF80808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</border>
    <border>
      <right style="thin">
        <color rgb="FF9BC2E6"/>
      </right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right style="thin">
        <color rgb="FF9BC2E6"/>
      </right>
      <bottom style="thin">
        <color rgb="FF9BC2E6"/>
      </bottom>
    </border>
    <border>
      <right style="thin">
        <color rgb="FF9BC2E6"/>
      </right>
      <bottom style="thin">
        <color rgb="FF9BC2E6"/>
      </bottom>
    </border>
    <border>
      <bottom style="thin">
        <color rgb="FFBFBFBF"/>
      </bottom>
    </border>
    <border>
      <bottom style="medium">
        <color rgb="FFD8D8D8"/>
      </bottom>
    </border>
    <border>
      <right style="medium">
        <color rgb="FFD8D8D8"/>
      </right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right style="thin">
        <color rgb="FFBFBFBF"/>
      </right>
      <bottom style="thin">
        <color rgb="FFBFBFBF"/>
      </bottom>
    </border>
    <border>
      <right style="thin">
        <color rgb="FFDCDCDC"/>
      </right>
      <bottom style="thin">
        <color rgb="FFDCDCDC"/>
      </bottom>
    </border>
    <border>
      <right style="thin">
        <color rgb="FFBFBFBF"/>
      </right>
      <bottom style="thin">
        <color rgb="FFDCDCDC"/>
      </bottom>
    </border>
    <border>
      <right style="thin">
        <color rgb="FF000000"/>
      </right>
    </border>
    <border>
      <right style="thin">
        <color rgb="FFD8D8D8"/>
      </right>
    </border>
    <border>
      <right style="thin">
        <color rgb="FFD8D8D8"/>
      </right>
      <bottom style="medium">
        <color rgb="FFD8D8D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DCDCDC"/>
      </right>
      <top style="thin">
        <color rgb="FFDCDCDC"/>
      </top>
      <bottom style="thin">
        <color rgb="FFDCDCDC"/>
      </bottom>
    </border>
    <border>
      <right style="thin">
        <color rgb="FFBFBFBF"/>
      </right>
      <top style="thin">
        <color rgb="FFDCDCDC"/>
      </top>
      <bottom style="thin">
        <color rgb="FFDCDCDC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164" xfId="0" applyAlignment="1" applyBorder="1" applyFont="1" applyNumberFormat="1">
      <alignment horizontal="center" shrinkToFit="0" vertical="bottom" wrapText="1"/>
    </xf>
    <xf borderId="1" fillId="2" fontId="2" numFmtId="10" xfId="0" applyAlignment="1" applyBorder="1" applyFont="1" applyNumberFormat="1">
      <alignment horizontal="center" shrinkToFit="0" vertical="bottom" wrapText="1"/>
    </xf>
    <xf borderId="1" fillId="2" fontId="2" numFmtId="165" xfId="0" applyAlignment="1" applyBorder="1" applyFont="1" applyNumberFormat="1">
      <alignment horizontal="center" shrinkToFit="0" vertical="bottom" wrapText="1"/>
    </xf>
    <xf borderId="1" fillId="2" fontId="2" numFmtId="0" xfId="0" applyAlignment="1" applyBorder="1" applyFont="1">
      <alignment horizontal="center" vertical="bottom"/>
    </xf>
    <xf borderId="0" fillId="2" fontId="3" numFmtId="0" xfId="0" applyAlignment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3" fontId="4" numFmtId="166" xfId="0" applyAlignment="1" applyBorder="1" applyFont="1" applyNumberFormat="1">
      <alignment horizontal="center" vertical="bottom"/>
    </xf>
    <xf borderId="2" fillId="4" fontId="4" numFmtId="167" xfId="0" applyAlignment="1" applyBorder="1" applyFill="1" applyFont="1" applyNumberFormat="1">
      <alignment horizontal="center" readingOrder="0" vertical="bottom"/>
    </xf>
    <xf borderId="2" fillId="3" fontId="4" numFmtId="0" xfId="0" applyAlignment="1" applyBorder="1" applyFont="1">
      <alignment horizontal="center" vertical="bottom"/>
    </xf>
    <xf borderId="2" fillId="3" fontId="4" numFmtId="3" xfId="0" applyAlignment="1" applyBorder="1" applyFont="1" applyNumberFormat="1">
      <alignment horizontal="center" vertical="bottom"/>
    </xf>
    <xf borderId="2" fillId="3" fontId="5" numFmtId="0" xfId="0" applyAlignment="1" applyBorder="1" applyFont="1">
      <alignment horizontal="center" vertical="bottom"/>
    </xf>
    <xf borderId="2" fillId="3" fontId="4" numFmtId="165" xfId="0" applyAlignment="1" applyBorder="1" applyFont="1" applyNumberFormat="1">
      <alignment horizontal="center" vertical="bottom"/>
    </xf>
    <xf borderId="2" fillId="3" fontId="5" numFmtId="164" xfId="0" applyAlignment="1" applyBorder="1" applyFont="1" applyNumberFormat="1">
      <alignment horizontal="center" vertical="bottom"/>
    </xf>
    <xf borderId="2" fillId="3" fontId="5" numFmtId="10" xfId="0" applyAlignment="1" applyBorder="1" applyFont="1" applyNumberFormat="1">
      <alignment horizontal="center" vertical="bottom"/>
    </xf>
    <xf borderId="2" fillId="3" fontId="5" numFmtId="165" xfId="0" applyAlignment="1" applyBorder="1" applyFont="1" applyNumberFormat="1">
      <alignment horizontal="center" vertical="bottom"/>
    </xf>
    <xf borderId="2" fillId="5" fontId="4" numFmtId="0" xfId="0" applyAlignment="1" applyBorder="1" applyFill="1" applyFont="1">
      <alignment horizontal="center" vertical="bottom"/>
    </xf>
    <xf borderId="2" fillId="3" fontId="4" numFmtId="49" xfId="0" applyAlignment="1" applyBorder="1" applyFont="1" applyNumberFormat="1">
      <alignment horizontal="center" readingOrder="0" vertical="bottom"/>
    </xf>
    <xf borderId="2" fillId="3" fontId="4" numFmtId="49" xfId="0" applyAlignment="1" applyBorder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2" fillId="5" fontId="4" numFmtId="10" xfId="0" applyAlignment="1" applyBorder="1" applyFont="1" applyNumberFormat="1">
      <alignment horizontal="center" vertical="bottom"/>
    </xf>
    <xf borderId="2" fillId="3" fontId="4" numFmtId="164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4" numFmtId="3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4" numFmtId="165" xfId="0" applyAlignment="1" applyBorder="1" applyFont="1" applyNumberFormat="1">
      <alignment horizontal="center" vertical="bottom"/>
    </xf>
    <xf borderId="3" fillId="3" fontId="4" numFmtId="0" xfId="0" applyAlignment="1" applyBorder="1" applyFont="1">
      <alignment horizontal="center" vertical="bottom"/>
    </xf>
    <xf borderId="1" fillId="3" fontId="4" numFmtId="164" xfId="0" applyAlignment="1" applyBorder="1" applyFont="1" applyNumberForma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5" fontId="4" numFmtId="10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3" fillId="3" fontId="4" numFmtId="168" xfId="0" applyAlignment="1" applyBorder="1" applyFont="1" applyNumberFormat="1">
      <alignment horizontal="center" vertical="bottom"/>
    </xf>
    <xf borderId="4" fillId="3" fontId="3" numFmtId="0" xfId="0" applyAlignment="1" applyBorder="1" applyFont="1">
      <alignment horizontal="center" vertical="bottom"/>
    </xf>
    <xf borderId="4" fillId="3" fontId="4" numFmtId="166" xfId="0" applyAlignment="1" applyBorder="1" applyFont="1" applyNumberFormat="1">
      <alignment horizontal="center" vertical="bottom"/>
    </xf>
    <xf borderId="3" fillId="3" fontId="4" numFmtId="3" xfId="0" applyAlignment="1" applyBorder="1" applyFont="1" applyNumberFormat="1">
      <alignment horizontal="center" vertical="bottom"/>
    </xf>
    <xf borderId="3" fillId="3" fontId="3" numFmtId="0" xfId="0" applyAlignment="1" applyBorder="1" applyFont="1">
      <alignment horizontal="center" vertical="bottom"/>
    </xf>
    <xf borderId="3" fillId="3" fontId="4" numFmtId="165" xfId="0" applyAlignment="1" applyBorder="1" applyFont="1" applyNumberFormat="1">
      <alignment horizontal="center" vertical="bottom"/>
    </xf>
    <xf borderId="3" fillId="3" fontId="4" numFmtId="164" xfId="0" applyAlignment="1" applyBorder="1" applyFont="1" applyNumberFormat="1">
      <alignment horizontal="center" vertical="bottom"/>
    </xf>
    <xf borderId="3" fillId="5" fontId="4" numFmtId="10" xfId="0" applyAlignment="1" applyBorder="1" applyFont="1" applyNumberFormat="1">
      <alignment horizontal="center" vertical="bottom"/>
    </xf>
    <xf borderId="3" fillId="5" fontId="4" numFmtId="0" xfId="0" applyAlignment="1" applyBorder="1" applyFont="1">
      <alignment horizontal="center" vertical="bottom"/>
    </xf>
    <xf borderId="4" fillId="3" fontId="4" numFmtId="169" xfId="0" applyAlignment="1" applyBorder="1" applyFont="1" applyNumberFormat="1">
      <alignment horizontal="center" vertical="bottom"/>
    </xf>
    <xf borderId="3" fillId="3" fontId="4" numFmtId="170" xfId="0" applyAlignment="1" applyBorder="1" applyFont="1" applyNumberFormat="1">
      <alignment horizontal="center" vertical="bottom"/>
    </xf>
    <xf borderId="4" fillId="3" fontId="4" numFmtId="170" xfId="0" applyAlignment="1" applyBorder="1" applyFont="1" applyNumberFormat="1">
      <alignment horizontal="center" vertical="bottom"/>
    </xf>
    <xf borderId="3" fillId="6" fontId="2" numFmtId="0" xfId="0" applyAlignment="1" applyBorder="1" applyFill="1" applyFont="1">
      <alignment horizontal="center" vertical="bottom"/>
    </xf>
    <xf borderId="4" fillId="3" fontId="5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3" fontId="5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/>
    </xf>
    <xf borderId="2" fillId="3" fontId="4" numFmtId="169" xfId="0" applyAlignment="1" applyBorder="1" applyFont="1" applyNumberFormat="1">
      <alignment horizontal="center" vertical="bottom"/>
    </xf>
    <xf borderId="4" fillId="3" fontId="4" numFmtId="164" xfId="0" applyAlignment="1" applyBorder="1" applyFont="1" applyNumberFormat="1">
      <alignment horizontal="center" vertical="bottom"/>
    </xf>
    <xf borderId="4" fillId="3" fontId="4" numFmtId="165" xfId="0" applyAlignment="1" applyBorder="1" applyFont="1" applyNumberFormat="1">
      <alignment horizontal="center" vertical="bottom"/>
    </xf>
    <xf borderId="0" fillId="5" fontId="4" numFmtId="10" xfId="0" applyAlignment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/>
    </xf>
    <xf borderId="2" fillId="3" fontId="4" numFmtId="168" xfId="0" applyAlignment="1" applyBorder="1" applyFont="1" applyNumberFormat="1">
      <alignment horizontal="center" vertical="bottom"/>
    </xf>
    <xf borderId="2" fillId="7" fontId="3" numFmtId="0" xfId="0" applyAlignment="1" applyBorder="1" applyFill="1" applyFont="1">
      <alignment horizontal="center" vertical="bottom"/>
    </xf>
    <xf borderId="1" fillId="8" fontId="4" numFmtId="0" xfId="0" applyAlignment="1" applyBorder="1" applyFill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6" fontId="4" numFmtId="166" xfId="0" applyAlignment="1" applyBorder="1" applyFont="1" applyNumberFormat="1">
      <alignment horizontal="center" vertical="bottom"/>
    </xf>
    <xf borderId="2" fillId="6" fontId="4" numFmtId="0" xfId="0" applyAlignment="1" applyBorder="1" applyFont="1">
      <alignment horizontal="center" vertical="bottom"/>
    </xf>
    <xf borderId="2" fillId="6" fontId="4" numFmtId="3" xfId="0" applyAlignment="1" applyBorder="1" applyFont="1" applyNumberFormat="1">
      <alignment horizontal="center" vertical="bottom"/>
    </xf>
    <xf borderId="3" fillId="6" fontId="4" numFmtId="0" xfId="0" applyAlignment="1" applyBorder="1" applyFont="1">
      <alignment horizontal="center" vertical="bottom"/>
    </xf>
    <xf borderId="3" fillId="6" fontId="4" numFmtId="165" xfId="0" applyAlignment="1" applyBorder="1" applyFont="1" applyNumberFormat="1">
      <alignment horizontal="center" vertical="bottom"/>
    </xf>
    <xf borderId="1" fillId="6" fontId="4" numFmtId="165" xfId="0" applyAlignment="1" applyBorder="1" applyFont="1" applyNumberFormat="1">
      <alignment horizontal="center" vertical="bottom"/>
    </xf>
    <xf borderId="3" fillId="6" fontId="4" numFmtId="164" xfId="0" applyAlignment="1" applyBorder="1" applyFont="1" applyNumberFormat="1">
      <alignment horizontal="center" vertical="bottom"/>
    </xf>
    <xf borderId="2" fillId="6" fontId="5" numFmtId="10" xfId="0" applyAlignment="1" applyBorder="1" applyFont="1" applyNumberFormat="1">
      <alignment horizontal="center" vertical="bottom"/>
    </xf>
    <xf borderId="2" fillId="6" fontId="4" numFmtId="165" xfId="0" applyAlignment="1" applyBorder="1" applyFont="1" applyNumberFormat="1">
      <alignment horizontal="center" vertical="bottom"/>
    </xf>
    <xf borderId="2" fillId="9" fontId="4" numFmtId="0" xfId="0" applyAlignment="1" applyBorder="1" applyFill="1" applyFont="1">
      <alignment horizontal="center"/>
    </xf>
    <xf borderId="0" fillId="6" fontId="4" numFmtId="0" xfId="0" applyAlignment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2" fillId="3" fontId="4" numFmtId="10" xfId="0" applyAlignment="1" applyBorder="1" applyFont="1" applyNumberFormat="1">
      <alignment horizontal="center" vertical="bottom"/>
    </xf>
    <xf borderId="3" fillId="3" fontId="5" numFmtId="0" xfId="0" applyAlignment="1" applyBorder="1" applyFont="1">
      <alignment horizontal="center"/>
    </xf>
    <xf borderId="2" fillId="9" fontId="4" numFmtId="168" xfId="0" applyAlignment="1" applyBorder="1" applyFont="1" applyNumberFormat="1">
      <alignment horizontal="center"/>
    </xf>
    <xf borderId="2" fillId="10" fontId="4" numFmtId="0" xfId="0" applyAlignment="1" applyBorder="1" applyFill="1" applyFont="1">
      <alignment horizontal="center" vertical="bottom"/>
    </xf>
    <xf borderId="0" fillId="10" fontId="4" numFmtId="0" xfId="0" applyAlignment="1" applyFont="1">
      <alignment horizontal="center" vertical="bottom"/>
    </xf>
    <xf borderId="1" fillId="3" fontId="5" numFmtId="10" xfId="0" applyAlignment="1" applyBorder="1" applyFont="1" applyNumberFormat="1">
      <alignment horizontal="center" vertical="bottom"/>
    </xf>
    <xf borderId="0" fillId="3" fontId="4" numFmtId="168" xfId="0" applyAlignment="1" applyFont="1" applyNumberFormat="1">
      <alignment horizontal="center" vertical="bottom"/>
    </xf>
    <xf borderId="2" fillId="3" fontId="4" numFmtId="0" xfId="0" applyAlignment="1" applyBorder="1" applyFont="1">
      <alignment horizontal="center"/>
    </xf>
    <xf borderId="2" fillId="3" fontId="4" numFmtId="171" xfId="0" applyAlignment="1" applyBorder="1" applyFont="1" applyNumberFormat="1">
      <alignment horizontal="center" vertical="bottom"/>
    </xf>
    <xf borderId="2" fillId="3" fontId="4" numFmtId="167" xfId="0" applyAlignment="1" applyBorder="1" applyFont="1" applyNumberFormat="1">
      <alignment horizontal="center" vertical="bottom"/>
    </xf>
    <xf borderId="2" fillId="3" fontId="4" numFmtId="167" xfId="0" applyAlignment="1" applyBorder="1" applyFont="1" applyNumberFormat="1">
      <alignment horizontal="center" readingOrder="0" vertical="bottom"/>
    </xf>
    <xf borderId="2" fillId="3" fontId="4" numFmtId="0" xfId="0" applyAlignment="1" applyBorder="1" applyFont="1">
      <alignment horizontal="center" readingOrder="0" vertical="bottom"/>
    </xf>
    <xf borderId="3" fillId="3" fontId="4" numFmtId="0" xfId="0" applyAlignment="1" applyBorder="1" applyFont="1">
      <alignment horizontal="center" readingOrder="0" vertical="bottom"/>
    </xf>
    <xf borderId="2" fillId="11" fontId="3" numFmtId="0" xfId="0" applyAlignment="1" applyBorder="1" applyFill="1" applyFont="1">
      <alignment horizontal="center" vertical="bottom"/>
    </xf>
    <xf borderId="3" fillId="3" fontId="4" numFmtId="167" xfId="0" applyAlignment="1" applyBorder="1" applyFont="1" applyNumberFormat="1">
      <alignment horizontal="center" vertical="bottom"/>
    </xf>
    <xf borderId="3" fillId="3" fontId="4" numFmtId="164" xfId="0" applyAlignment="1" applyBorder="1" applyFont="1" applyNumberFormat="1">
      <alignment horizontal="center" readingOrder="0" vertical="bottom"/>
    </xf>
    <xf borderId="3" fillId="3" fontId="4" numFmtId="165" xfId="0" applyAlignment="1" applyBorder="1" applyFont="1" applyNumberFormat="1">
      <alignment horizontal="center" readingOrder="0" vertical="bottom"/>
    </xf>
    <xf borderId="2" fillId="5" fontId="4" numFmtId="0" xfId="0" applyAlignment="1" applyBorder="1" applyFont="1">
      <alignment horizontal="center" readingOrder="0" vertical="bottom"/>
    </xf>
    <xf borderId="1" fillId="3" fontId="4" numFmtId="3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vertical="bottom"/>
    </xf>
    <xf borderId="1" fillId="3" fontId="4" numFmtId="165" xfId="0" applyAlignment="1" applyBorder="1" applyFont="1" applyNumberFormat="1">
      <alignment horizontal="center" readingOrder="0" vertical="bottom"/>
    </xf>
    <xf borderId="3" fillId="3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2" fillId="3" fontId="4" numFmtId="165" xfId="0" applyAlignment="1" applyBorder="1" applyFont="1" applyNumberFormat="1">
      <alignment horizontal="center" readingOrder="0" vertical="bottom"/>
    </xf>
    <xf borderId="2" fillId="3" fontId="4" numFmtId="172" xfId="0" applyAlignment="1" applyBorder="1" applyFont="1" applyNumberFormat="1">
      <alignment horizontal="center" readingOrder="0" vertical="bottom"/>
    </xf>
    <xf borderId="3" fillId="0" fontId="4" numFmtId="0" xfId="0" applyAlignment="1" applyBorder="1" applyFont="1">
      <alignment horizontal="center" vertical="bottom"/>
    </xf>
    <xf borderId="2" fillId="11" fontId="3" numFmtId="0" xfId="0" applyAlignment="1" applyBorder="1" applyFont="1">
      <alignment horizontal="center" vertical="bottom"/>
    </xf>
    <xf borderId="2" fillId="11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3" fillId="6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 vertical="bottom"/>
    </xf>
    <xf borderId="2" fillId="3" fontId="6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3" fontId="4" numFmtId="3" xfId="0" applyAlignment="1" applyBorder="1" applyFont="1" applyNumberFormat="1">
      <alignment horizontal="center" readingOrder="0" vertical="bottom"/>
    </xf>
    <xf borderId="3" fillId="3" fontId="5" numFmtId="0" xfId="0" applyAlignment="1" applyBorder="1" applyFont="1">
      <alignment horizontal="center" readingOrder="0"/>
    </xf>
    <xf borderId="2" fillId="3" fontId="4" numFmtId="173" xfId="0" applyAlignment="1" applyBorder="1" applyFont="1" applyNumberFormat="1">
      <alignment horizontal="center" readingOrder="0" vertical="bottom"/>
    </xf>
    <xf borderId="2" fillId="3" fontId="4" numFmtId="174" xfId="0" applyAlignment="1" applyBorder="1" applyFont="1" applyNumberForma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3" fillId="11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readingOrder="0"/>
    </xf>
    <xf borderId="3" fillId="3" fontId="3" numFmtId="165" xfId="0" applyAlignment="1" applyBorder="1" applyFont="1" applyNumberFormat="1">
      <alignment horizontal="center" readingOrder="0" vertical="bottom"/>
    </xf>
    <xf borderId="3" fillId="3" fontId="6" numFmtId="165" xfId="0" applyAlignment="1" applyBorder="1" applyFont="1" applyNumberFormat="1">
      <alignment horizontal="center" readingOrder="0" vertical="bottom"/>
    </xf>
    <xf borderId="2" fillId="3" fontId="5" numFmtId="0" xfId="0" applyAlignment="1" applyBorder="1" applyFont="1">
      <alignment horizontal="center" readingOrder="0" shrinkToFit="0" wrapText="0"/>
    </xf>
    <xf borderId="2" fillId="3" fontId="7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readingOrder="0" vertical="bottom"/>
    </xf>
    <xf borderId="2" fillId="3" fontId="7" numFmtId="0" xfId="0" applyAlignment="1" applyBorder="1" applyFont="1">
      <alignment horizontal="center" readingOrder="0" shrinkToFit="0" wrapText="0"/>
    </xf>
    <xf borderId="3" fillId="3" fontId="5" numFmtId="164" xfId="0" applyAlignment="1" applyBorder="1" applyFont="1" applyNumberFormat="1">
      <alignment horizontal="center" readingOrder="0"/>
    </xf>
    <xf borderId="3" fillId="8" fontId="4" numFmtId="0" xfId="0" applyAlignment="1" applyBorder="1" applyFont="1">
      <alignment horizontal="center" readingOrder="0" vertical="bottom"/>
    </xf>
    <xf borderId="2" fillId="3" fontId="8" numFmtId="0" xfId="0" applyAlignment="1" applyBorder="1" applyFont="1">
      <alignment horizontal="center" readingOrder="0" shrinkToFit="0" wrapText="0"/>
    </xf>
    <xf borderId="2" fillId="3" fontId="9" numFmtId="0" xfId="0" applyAlignment="1" applyBorder="1" applyFont="1">
      <alignment horizontal="center" readingOrder="0" shrinkToFit="0" wrapText="0"/>
    </xf>
    <xf borderId="2" fillId="3" fontId="5" numFmtId="10" xfId="0" applyAlignment="1" applyBorder="1" applyFont="1" applyNumberFormat="1">
      <alignment horizontal="center" readingOrder="0" vertical="bottom"/>
    </xf>
    <xf borderId="3" fillId="6" fontId="4" numFmtId="0" xfId="0" applyAlignment="1" applyBorder="1" applyFont="1">
      <alignment horizontal="center" readingOrder="0" vertical="bottom"/>
    </xf>
    <xf borderId="2" fillId="3" fontId="4" numFmtId="164" xfId="0" applyAlignment="1" applyBorder="1" applyFont="1" applyNumberFormat="1">
      <alignment horizontal="center" readingOrder="0" vertical="bottom"/>
    </xf>
    <xf borderId="3" fillId="5" fontId="4" numFmtId="0" xfId="0" applyAlignment="1" applyBorder="1" applyFont="1">
      <alignment horizontal="center" readingOrder="0" vertical="bottom"/>
    </xf>
    <xf borderId="2" fillId="0" fontId="4" numFmtId="10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3" fillId="0" fontId="4" numFmtId="164" xfId="0" applyAlignment="1" applyBorder="1" applyFont="1" applyNumberFormat="1">
      <alignment horizontal="center" readingOrder="0" vertical="bottom"/>
    </xf>
    <xf borderId="3" fillId="0" fontId="4" numFmtId="165" xfId="0" applyAlignment="1" applyBorder="1" applyFont="1" applyNumberForma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3" fontId="4" numFmtId="164" xfId="0" applyAlignment="1" applyBorder="1" applyFont="1" applyNumberFormat="1">
      <alignment horizontal="center" readingOrder="0" vertical="bottom"/>
    </xf>
    <xf borderId="2" fillId="6" fontId="4" numFmtId="0" xfId="0" applyAlignment="1" applyBorder="1" applyFont="1">
      <alignment horizontal="center" readingOrder="0" vertical="bottom"/>
    </xf>
    <xf borderId="2" fillId="3" fontId="4" numFmtId="175" xfId="0" applyAlignment="1" applyBorder="1" applyFont="1" applyNumberFormat="1">
      <alignment horizontal="center" readingOrder="0" vertical="bottom"/>
    </xf>
    <xf borderId="3" fillId="3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/>
    </xf>
    <xf borderId="2" fillId="3" fontId="4" numFmtId="176" xfId="0" applyAlignment="1" applyBorder="1" applyFont="1" applyNumberFormat="1">
      <alignment horizontal="center" readingOrder="0" vertical="bottom"/>
    </xf>
    <xf borderId="3" fillId="3" fontId="3" numFmtId="0" xfId="0" applyAlignment="1" applyBorder="1" applyFont="1">
      <alignment horizontal="center" readingOrder="0" vertical="bottom"/>
    </xf>
    <xf borderId="2" fillId="3" fontId="10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/>
    </xf>
    <xf borderId="2" fillId="5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2" fillId="0" fontId="6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vertical="bottom"/>
    </xf>
    <xf borderId="2" fillId="0" fontId="4" numFmtId="173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5" fillId="3" fontId="4" numFmtId="0" xfId="0" applyAlignment="1" applyBorder="1" applyFont="1">
      <alignment horizontal="center" readingOrder="0" vertical="bottom"/>
    </xf>
    <xf borderId="3" fillId="3" fontId="11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horizontal="center" readingOrder="0" vertical="bottom"/>
    </xf>
    <xf borderId="1" fillId="3" fontId="11" numFmtId="165" xfId="0" applyAlignment="1" applyBorder="1" applyFont="1" applyNumberFormat="1">
      <alignment horizontal="center" readingOrder="0" vertical="bottom"/>
    </xf>
    <xf borderId="2" fillId="6" fontId="11" numFmtId="0" xfId="0" applyAlignment="1" applyBorder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3" fillId="0" fontId="11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vertical="bottom"/>
    </xf>
    <xf borderId="1" fillId="3" fontId="11" numFmtId="165" xfId="0" applyAlignment="1" applyBorder="1" applyFont="1" applyNumberFormat="1">
      <alignment horizontal="center" vertical="bottom"/>
    </xf>
    <xf borderId="3" fillId="3" fontId="11" numFmtId="164" xfId="0" applyAlignment="1" applyBorder="1" applyFont="1" applyNumberFormat="1">
      <alignment horizontal="center" vertical="bottom"/>
    </xf>
    <xf borderId="3" fillId="3" fontId="4" numFmtId="164" xfId="0" applyAlignment="1" applyBorder="1" applyFont="1" applyNumberFormat="1">
      <alignment horizontal="center" readingOrder="0" vertical="bottom"/>
    </xf>
    <xf borderId="2" fillId="3" fontId="4" numFmtId="164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horizontal="center" readingOrder="0"/>
    </xf>
    <xf borderId="2" fillId="3" fontId="11" numFmtId="0" xfId="0" applyAlignment="1" applyBorder="1" applyFont="1">
      <alignment horizontal="center" readingOrder="0" vertical="bottom"/>
    </xf>
    <xf borderId="0" fillId="3" fontId="4" numFmtId="173" xfId="0" applyAlignment="1" applyFont="1" applyNumberFormat="1">
      <alignment horizontal="center" readingOrder="0" vertical="bottom"/>
    </xf>
    <xf borderId="2" fillId="0" fontId="12" numFmtId="0" xfId="0" applyAlignment="1" applyBorder="1" applyFont="1">
      <alignment horizontal="center" readingOrder="0"/>
    </xf>
    <xf borderId="2" fillId="3" fontId="5" numFmtId="165" xfId="0" applyAlignment="1" applyBorder="1" applyFont="1" applyNumberFormat="1">
      <alignment horizontal="center" readingOrder="0" vertical="bottom"/>
    </xf>
    <xf borderId="2" fillId="3" fontId="5" numFmtId="164" xfId="0" applyAlignment="1" applyBorder="1" applyFont="1" applyNumberFormat="1">
      <alignment horizontal="center" readingOrder="0" vertical="bottom"/>
    </xf>
    <xf borderId="2" fillId="0" fontId="11" numFmtId="0" xfId="0" applyAlignment="1" applyBorder="1" applyFont="1">
      <alignment horizontal="center" readingOrder="0"/>
    </xf>
    <xf borderId="0" fillId="3" fontId="5" numFmtId="0" xfId="0" applyAlignment="1" applyFont="1">
      <alignment horizontal="center" vertical="bottom"/>
    </xf>
    <xf borderId="1" fillId="3" fontId="5" numFmtId="165" xfId="0" applyAlignment="1" applyBorder="1" applyFont="1" applyNumberFormat="1">
      <alignment horizontal="center" readingOrder="0" vertical="bottom"/>
    </xf>
    <xf borderId="2" fillId="3" fontId="7" numFmtId="0" xfId="0" applyAlignment="1" applyBorder="1" applyFont="1">
      <alignment horizontal="center" vertical="bottom"/>
    </xf>
    <xf borderId="0" fillId="3" fontId="7" numFmtId="0" xfId="0" applyAlignment="1" applyFont="1">
      <alignment horizontal="center" vertical="bottom"/>
    </xf>
    <xf borderId="2" fillId="3" fontId="13" numFmtId="0" xfId="0" applyAlignment="1" applyBorder="1" applyFont="1">
      <alignment horizontal="center" readingOrder="0" shrinkToFit="0" wrapText="0"/>
    </xf>
    <xf borderId="2" fillId="3" fontId="11" numFmtId="10" xfId="0" applyAlignment="1" applyBorder="1" applyFont="1" applyNumberFormat="1">
      <alignment horizontal="center" vertical="bottom"/>
    </xf>
    <xf borderId="2" fillId="3" fontId="14" numFmtId="0" xfId="0" applyAlignment="1" applyBorder="1" applyFont="1">
      <alignment horizontal="center" vertical="bottom"/>
    </xf>
    <xf borderId="2" fillId="3" fontId="14" numFmtId="0" xfId="0" applyAlignment="1" applyBorder="1" applyFont="1">
      <alignment horizontal="center" vertical="bottom"/>
    </xf>
    <xf borderId="2" fillId="3" fontId="15" numFmtId="0" xfId="0" applyAlignment="1" applyBorder="1" applyFont="1">
      <alignment horizontal="center" vertical="bottom"/>
    </xf>
    <xf borderId="2" fillId="3" fontId="16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3" fillId="3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vertical="bottom"/>
    </xf>
    <xf borderId="2" fillId="3" fontId="11" numFmtId="164" xfId="0" applyAlignment="1" applyBorder="1" applyFont="1" applyNumberFormat="1">
      <alignment horizontal="center" vertical="bottom"/>
    </xf>
    <xf borderId="2" fillId="3" fontId="17" numFmtId="0" xfId="0" applyAlignment="1" applyBorder="1" applyFont="1">
      <alignment readingOrder="0" vertical="bottom"/>
    </xf>
    <xf borderId="2" fillId="3" fontId="17" numFmtId="0" xfId="0" applyAlignment="1" applyBorder="1" applyFont="1">
      <alignment vertical="bottom"/>
    </xf>
    <xf borderId="0" fillId="3" fontId="17" numFmtId="0" xfId="0" applyAlignment="1" applyFont="1">
      <alignment vertical="bottom"/>
    </xf>
    <xf borderId="3" fillId="3" fontId="11" numFmtId="165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shrinkToFit="0" wrapText="0"/>
    </xf>
    <xf borderId="2" fillId="5" fontId="4" numFmtId="0" xfId="0" applyAlignment="1" applyBorder="1" applyFont="1">
      <alignment horizontal="center" vertical="bottom"/>
    </xf>
    <xf borderId="2" fillId="3" fontId="11" numFmtId="173" xfId="0" applyAlignment="1" applyBorder="1" applyFont="1" applyNumberFormat="1">
      <alignment horizontal="center" vertical="bottom"/>
    </xf>
    <xf borderId="2" fillId="3" fontId="4" numFmtId="173" xfId="0" applyAlignment="1" applyBorder="1" applyFont="1" applyNumberFormat="1">
      <alignment horizontal="center" vertical="bottom"/>
    </xf>
    <xf borderId="2" fillId="3" fontId="4" numFmtId="20" xfId="0" applyAlignment="1" applyBorder="1" applyFont="1" applyNumberFormat="1">
      <alignment horizontal="center" readingOrder="0" vertical="bottom"/>
    </xf>
    <xf borderId="2" fillId="3" fontId="18" numFmtId="0" xfId="0" applyAlignment="1" applyBorder="1" applyFont="1">
      <alignment horizontal="center" readingOrder="0" vertical="bottom"/>
    </xf>
    <xf borderId="2" fillId="0" fontId="11" numFmtId="0" xfId="0" applyAlignment="1" applyBorder="1" applyFont="1">
      <alignment horizontal="center" vertical="bottom"/>
    </xf>
    <xf borderId="2" fillId="3" fontId="11" numFmtId="165" xfId="0" applyAlignment="1" applyBorder="1" applyFont="1" applyNumberFormat="1">
      <alignment horizontal="center" vertical="bottom"/>
    </xf>
    <xf borderId="2" fillId="3" fontId="11" numFmtId="164" xfId="0" applyAlignment="1" applyBorder="1" applyFont="1" applyNumberFormat="1">
      <alignment horizontal="center" readingOrder="0" vertical="bottom"/>
    </xf>
    <xf borderId="3" fillId="3" fontId="11" numFmtId="164" xfId="0" applyAlignment="1" applyBorder="1" applyFont="1" applyNumberFormat="1">
      <alignment horizontal="center" readingOrder="0" vertical="bottom"/>
    </xf>
    <xf borderId="2" fillId="3" fontId="19" numFmtId="0" xfId="0" applyAlignment="1" applyBorder="1" applyFont="1">
      <alignment horizontal="center" readingOrder="0"/>
    </xf>
    <xf borderId="2" fillId="8" fontId="18" numFmtId="0" xfId="0" applyAlignment="1" applyBorder="1" applyFont="1">
      <alignment horizontal="center" readingOrder="0" vertical="bottom"/>
    </xf>
    <xf borderId="2" fillId="3" fontId="4" numFmtId="177" xfId="0" applyAlignment="1" applyBorder="1" applyFont="1" applyNumberFormat="1">
      <alignment horizontal="center" readingOrder="0" vertical="bottom"/>
    </xf>
    <xf borderId="0" fillId="0" fontId="4" numFmtId="0" xfId="0" applyFont="1"/>
    <xf borderId="2" fillId="11" fontId="4" numFmtId="0" xfId="0" applyAlignment="1" applyBorder="1" applyFont="1">
      <alignment horizontal="center" readingOrder="0" vertical="bottom"/>
    </xf>
    <xf borderId="2" fillId="12" fontId="4" numFmtId="0" xfId="0" applyAlignment="1" applyBorder="1" applyFill="1" applyFont="1">
      <alignment horizontal="center" readingOrder="0" vertical="bottom"/>
    </xf>
    <xf borderId="2" fillId="3" fontId="16" numFmtId="0" xfId="0" applyAlignment="1" applyBorder="1" applyFont="1">
      <alignment horizontal="center" readingOrder="0" vertical="bottom"/>
    </xf>
    <xf borderId="2" fillId="3" fontId="16" numFmtId="0" xfId="0" applyAlignment="1" applyBorder="1" applyFont="1">
      <alignment horizontal="center" vertical="bottom"/>
    </xf>
    <xf borderId="2" fillId="11" fontId="5" numFmtId="0" xfId="0" applyAlignment="1" applyBorder="1" applyFont="1">
      <alignment horizontal="center" readingOrder="0" vertical="bottom"/>
    </xf>
    <xf borderId="2" fillId="3" fontId="4" numFmtId="178" xfId="0" applyAlignment="1" applyBorder="1" applyFont="1" applyNumberFormat="1">
      <alignment horizontal="center" readingOrder="0" vertical="bottom"/>
    </xf>
    <xf borderId="2" fillId="8" fontId="4" numFmtId="179" xfId="0" applyAlignment="1" applyBorder="1" applyFont="1" applyNumberFormat="1">
      <alignment horizontal="center" readingOrder="0" vertical="bottom"/>
    </xf>
    <xf borderId="2" fillId="6" fontId="17" numFmtId="0" xfId="0" applyAlignment="1" applyBorder="1" applyFont="1">
      <alignment vertical="bottom"/>
    </xf>
    <xf borderId="2" fillId="3" fontId="4" numFmtId="180" xfId="0" applyAlignment="1" applyBorder="1" applyFont="1" applyNumberFormat="1">
      <alignment horizontal="center" readingOrder="0" vertical="bottom"/>
    </xf>
    <xf borderId="2" fillId="3" fontId="4" numFmtId="179" xfId="0" applyAlignment="1" applyBorder="1" applyFont="1" applyNumberFormat="1">
      <alignment horizontal="center" readingOrder="0" vertical="bottom"/>
    </xf>
    <xf borderId="2" fillId="3" fontId="11" numFmtId="0" xfId="0" applyAlignment="1" applyBorder="1" applyFont="1">
      <alignment horizontal="center" vertical="bottom"/>
    </xf>
    <xf borderId="3" fillId="3" fontId="11" numFmtId="164" xfId="0" applyAlignment="1" applyBorder="1" applyFont="1" applyNumberFormat="1">
      <alignment horizontal="center" readingOrder="0" vertical="bottom"/>
    </xf>
    <xf borderId="3" fillId="0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vertical="bottom"/>
    </xf>
    <xf borderId="0" fillId="3" fontId="20" numFmtId="0" xfId="0" applyFont="1"/>
    <xf borderId="3" fillId="0" fontId="11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readingOrder="0" vertical="bottom"/>
    </xf>
    <xf borderId="2" fillId="11" fontId="4" numFmtId="164" xfId="0" applyAlignment="1" applyBorder="1" applyFont="1" applyNumberFormat="1">
      <alignment horizontal="center" readingOrder="0" vertical="bottom"/>
    </xf>
    <xf borderId="2" fillId="11" fontId="4" numFmtId="10" xfId="0" applyAlignment="1" applyBorder="1" applyFont="1" applyNumberFormat="1">
      <alignment horizontal="center" vertical="bottom"/>
    </xf>
    <xf borderId="2" fillId="11" fontId="4" numFmtId="165" xfId="0" applyAlignment="1" applyBorder="1" applyFont="1" applyNumberFormat="1">
      <alignment horizontal="center" readingOrder="0" vertical="bottom"/>
    </xf>
    <xf borderId="3" fillId="0" fontId="11" numFmtId="0" xfId="0" applyAlignment="1" applyBorder="1" applyFont="1">
      <alignment horizontal="center" readingOrder="0" vertical="bottom"/>
    </xf>
    <xf borderId="2" fillId="3" fontId="4" numFmtId="181" xfId="0" applyAlignment="1" applyBorder="1" applyFont="1" applyNumberFormat="1">
      <alignment horizontal="center" readingOrder="0" vertical="bottom"/>
    </xf>
    <xf borderId="2" fillId="8" fontId="4" numFmtId="0" xfId="0" applyAlignment="1" applyBorder="1" applyFont="1">
      <alignment horizontal="center" readingOrder="0" vertical="bottom"/>
    </xf>
    <xf borderId="2" fillId="8" fontId="4" numFmtId="0" xfId="0" applyAlignment="1" applyBorder="1" applyFont="1">
      <alignment horizontal="center" vertical="bottom"/>
    </xf>
    <xf borderId="2" fillId="13" fontId="4" numFmtId="0" xfId="0" applyAlignment="1" applyBorder="1" applyFill="1" applyFont="1">
      <alignment horizontal="center" vertical="bottom"/>
    </xf>
    <xf borderId="2" fillId="3" fontId="4" numFmtId="168" xfId="0" applyAlignment="1" applyBorder="1" applyFont="1" applyNumberFormat="1">
      <alignment horizontal="center" readingOrder="0" vertical="bottom"/>
    </xf>
    <xf borderId="2" fillId="3" fontId="4" numFmtId="182" xfId="0" applyAlignment="1" applyBorder="1" applyFont="1" applyNumberFormat="1">
      <alignment horizontal="center" readingOrder="0" vertical="bottom"/>
    </xf>
    <xf borderId="3" fillId="3" fontId="11" numFmtId="165" xfId="0" applyAlignment="1" applyBorder="1" applyFont="1" applyNumberFormat="1">
      <alignment horizontal="center" readingOrder="0" vertical="bottom"/>
    </xf>
    <xf borderId="2" fillId="6" fontId="4" numFmtId="165" xfId="0" applyAlignment="1" applyBorder="1" applyFont="1" applyNumberFormat="1">
      <alignment horizontal="center" readingOrder="0" vertical="bottom"/>
    </xf>
    <xf borderId="1" fillId="6" fontId="4" numFmtId="165" xfId="0" applyAlignment="1" applyBorder="1" applyFont="1" applyNumberFormat="1">
      <alignment horizontal="center" readingOrder="0" vertical="bottom"/>
    </xf>
    <xf borderId="1" fillId="6" fontId="4" numFmtId="0" xfId="0" applyAlignment="1" applyBorder="1" applyFont="1">
      <alignment horizontal="center" vertical="bottom"/>
    </xf>
    <xf borderId="1" fillId="6" fontId="11" numFmtId="165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0" fillId="14" fontId="21" numFmtId="0" xfId="0" applyAlignment="1" applyFill="1" applyFont="1">
      <alignment readingOrder="0" shrinkToFit="0" wrapText="0"/>
    </xf>
    <xf borderId="2" fillId="0" fontId="22" numFmtId="0" xfId="0" applyAlignment="1" applyBorder="1" applyFont="1">
      <alignment horizontal="center" readingOrder="0"/>
    </xf>
    <xf borderId="2" fillId="5" fontId="22" numFmtId="0" xfId="0" applyAlignment="1" applyBorder="1" applyFont="1">
      <alignment horizontal="center" readingOrder="0"/>
    </xf>
    <xf borderId="2" fillId="0" fontId="20" numFmtId="0" xfId="0" applyBorder="1" applyFont="1"/>
    <xf borderId="2" fillId="0" fontId="20" numFmtId="0" xfId="0" applyBorder="1" applyFont="1"/>
    <xf borderId="0" fillId="0" fontId="22" numFmtId="0" xfId="0" applyAlignment="1" applyFont="1">
      <alignment horizontal="center" readingOrder="0"/>
    </xf>
    <xf borderId="2" fillId="15" fontId="4" numFmtId="0" xfId="0" applyAlignment="1" applyBorder="1" applyFill="1" applyFon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4" numFmtId="166" xfId="0" applyAlignment="1" applyFont="1" applyNumberForma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0" fillId="3" fontId="4" numFmtId="164" xfId="0" applyAlignment="1" applyFont="1" applyNumberFormat="1">
      <alignment horizontal="center" vertical="bottom"/>
    </xf>
    <xf borderId="0" fillId="3" fontId="4" numFmtId="10" xfId="0" applyAlignment="1" applyFont="1" applyNumberFormat="1">
      <alignment horizontal="center" vertical="bottom"/>
    </xf>
    <xf borderId="6" fillId="16" fontId="23" numFmtId="0" xfId="0" applyAlignment="1" applyBorder="1" applyFill="1" applyFont="1">
      <alignment horizontal="center" readingOrder="0" vertical="center"/>
    </xf>
    <xf borderId="6" fillId="16" fontId="23" numFmtId="0" xfId="0" applyAlignment="1" applyBorder="1" applyFont="1">
      <alignment horizontal="center" readingOrder="0" shrinkToFit="0" vertical="center" wrapText="1"/>
    </xf>
    <xf borderId="7" fillId="16" fontId="23" numFmtId="0" xfId="0" applyAlignment="1" applyBorder="1" applyFont="1">
      <alignment horizontal="center" readingOrder="0" vertical="center"/>
    </xf>
    <xf borderId="6" fillId="16" fontId="23" numFmtId="164" xfId="0" applyAlignment="1" applyBorder="1" applyFont="1" applyNumberForma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/>
    </xf>
    <xf borderId="8" fillId="3" fontId="11" numFmtId="0" xfId="0" applyAlignment="1" applyBorder="1" applyFont="1">
      <alignment horizontal="center" readingOrder="0" vertical="bottom"/>
    </xf>
    <xf borderId="8" fillId="0" fontId="11" numFmtId="183" xfId="0" applyAlignment="1" applyBorder="1" applyFont="1" applyNumberFormat="1">
      <alignment horizontal="center" readingOrder="0"/>
    </xf>
    <xf borderId="9" fillId="0" fontId="11" numFmtId="183" xfId="0" applyAlignment="1" applyBorder="1" applyFont="1" applyNumberFormat="1">
      <alignment horizontal="center" readingOrder="0"/>
    </xf>
    <xf borderId="8" fillId="0" fontId="11" numFmtId="172" xfId="0" applyAlignment="1" applyBorder="1" applyFont="1" applyNumberFormat="1">
      <alignment horizontal="center" readingOrder="0"/>
    </xf>
    <xf borderId="8" fillId="3" fontId="24" numFmtId="21" xfId="0" applyAlignment="1" applyBorder="1" applyFont="1" applyNumberFormat="1">
      <alignment horizontal="center" readingOrder="0" vertical="bottom"/>
    </xf>
    <xf borderId="8" fillId="3" fontId="4" numFmtId="173" xfId="0" applyAlignment="1" applyBorder="1" applyFont="1" applyNumberFormat="1">
      <alignment horizontal="center" readingOrder="0" vertical="bottom"/>
    </xf>
    <xf borderId="10" fillId="0" fontId="11" numFmtId="164" xfId="0" applyAlignment="1" applyBorder="1" applyFont="1" applyNumberFormat="1">
      <alignment horizontal="center" readingOrder="0"/>
    </xf>
    <xf borderId="8" fillId="0" fontId="11" numFmtId="0" xfId="0" applyAlignment="1" applyBorder="1" applyFont="1">
      <alignment readingOrder="0"/>
    </xf>
    <xf borderId="8" fillId="0" fontId="12" numFmtId="0" xfId="0" applyAlignment="1" applyBorder="1" applyFont="1">
      <alignment readingOrder="0"/>
    </xf>
    <xf borderId="8" fillId="0" fontId="11" numFmtId="164" xfId="0" applyAlignment="1" applyBorder="1" applyFont="1" applyNumberFormat="1">
      <alignment horizontal="center" readingOrder="0"/>
    </xf>
    <xf borderId="11" fillId="0" fontId="25" numFmtId="0" xfId="0" applyAlignment="1" applyBorder="1" applyFont="1">
      <alignment readingOrder="0"/>
    </xf>
    <xf borderId="11" fillId="3" fontId="4" numFmtId="173" xfId="0" applyAlignment="1" applyBorder="1" applyFont="1" applyNumberFormat="1">
      <alignment horizontal="center" readingOrder="0" vertical="bottom"/>
    </xf>
    <xf borderId="8" fillId="0" fontId="11" numFmtId="184" xfId="0" applyAlignment="1" applyBorder="1" applyFont="1" applyNumberFormat="1">
      <alignment horizontal="center" readingOrder="0"/>
    </xf>
    <xf borderId="8" fillId="0" fontId="26" numFmtId="185" xfId="0" applyAlignment="1" applyBorder="1" applyFont="1" applyNumberFormat="1">
      <alignment horizontal="center" readingOrder="0" vertical="bottom"/>
    </xf>
    <xf borderId="8" fillId="0" fontId="26" numFmtId="21" xfId="0" applyAlignment="1" applyBorder="1" applyFont="1" applyNumberFormat="1">
      <alignment horizontal="center" readingOrder="0" vertical="bottom"/>
    </xf>
    <xf borderId="9" fillId="0" fontId="11" numFmtId="0" xfId="0" applyAlignment="1" applyBorder="1" applyFont="1">
      <alignment horizontal="center" readingOrder="0"/>
    </xf>
    <xf borderId="8" fillId="3" fontId="4" numFmtId="0" xfId="0" applyAlignment="1" applyBorder="1" applyFont="1">
      <alignment horizontal="center" readingOrder="0" vertical="bottom"/>
    </xf>
    <xf borderId="9" fillId="0" fontId="11" numFmtId="164" xfId="0" applyAlignment="1" applyBorder="1" applyFont="1" applyNumberFormat="1">
      <alignment horizontal="center" readingOrder="0"/>
    </xf>
    <xf borderId="11" fillId="0" fontId="11" numFmtId="0" xfId="0" applyAlignment="1" applyBorder="1" applyFont="1">
      <alignment horizontal="center" readingOrder="0"/>
    </xf>
    <xf borderId="8" fillId="0" fontId="11" numFmtId="186" xfId="0" applyAlignment="1" applyBorder="1" applyFont="1" applyNumberFormat="1">
      <alignment horizontal="center" readingOrder="0"/>
    </xf>
    <xf borderId="8" fillId="0" fontId="27" numFmtId="0" xfId="0" applyAlignment="1" applyBorder="1" applyFont="1">
      <alignment readingOrder="0"/>
    </xf>
    <xf borderId="8" fillId="0" fontId="25" numFmtId="0" xfId="0" applyAlignment="1" applyBorder="1" applyFont="1">
      <alignment readingOrder="0"/>
    </xf>
    <xf borderId="8" fillId="0" fontId="11" numFmtId="20" xfId="0" applyAlignment="1" applyBorder="1" applyFont="1" applyNumberFormat="1">
      <alignment horizontal="center" readingOrder="0"/>
    </xf>
    <xf borderId="11" fillId="0" fontId="12" numFmtId="0" xfId="0" applyAlignment="1" applyBorder="1" applyFont="1">
      <alignment readingOrder="0"/>
    </xf>
    <xf borderId="8" fillId="0" fontId="28" numFmtId="0" xfId="0" applyAlignment="1" applyBorder="1" applyFont="1">
      <alignment readingOrder="0"/>
    </xf>
    <xf borderId="11" fillId="0" fontId="11" numFmtId="164" xfId="0" applyAlignment="1" applyBorder="1" applyFont="1" applyNumberFormat="1">
      <alignment horizontal="center" readingOrder="0"/>
    </xf>
    <xf borderId="11" fillId="0" fontId="11" numFmtId="173" xfId="0" applyAlignment="1" applyBorder="1" applyFont="1" applyNumberFormat="1">
      <alignment horizontal="center" readingOrder="0"/>
    </xf>
    <xf borderId="11" fillId="0" fontId="27" numFmtId="0" xfId="0" applyAlignment="1" applyBorder="1" applyFont="1">
      <alignment horizontal="center" readingOrder="0"/>
    </xf>
    <xf borderId="11" fillId="0" fontId="11" numFmtId="0" xfId="0" applyAlignment="1" applyBorder="1" applyFont="1">
      <alignment readingOrder="0"/>
    </xf>
    <xf borderId="11" fillId="0" fontId="11" numFmtId="186" xfId="0" applyAlignment="1" applyBorder="1" applyFont="1" applyNumberFormat="1">
      <alignment horizontal="center" readingOrder="0"/>
    </xf>
    <xf borderId="11" fillId="0" fontId="27" numFmtId="0" xfId="0" applyAlignment="1" applyBorder="1" applyFont="1">
      <alignment readingOrder="0"/>
    </xf>
    <xf borderId="8" fillId="0" fontId="27" numFmtId="0" xfId="0" applyAlignment="1" applyBorder="1" applyFont="1">
      <alignment horizontal="center" readingOrder="0"/>
    </xf>
    <xf borderId="11" fillId="0" fontId="11" numFmtId="173" xfId="0" applyAlignment="1" applyBorder="1" applyFont="1" applyNumberFormat="1">
      <alignment readingOrder="0"/>
    </xf>
    <xf borderId="8" fillId="0" fontId="11" numFmtId="173" xfId="0" applyAlignment="1" applyBorder="1" applyFont="1" applyNumberFormat="1">
      <alignment horizontal="center" readingOrder="0"/>
    </xf>
    <xf borderId="8" fillId="0" fontId="11" numFmtId="173" xfId="0" applyAlignment="1" applyBorder="1" applyFont="1" applyNumberFormat="1">
      <alignment readingOrder="0"/>
    </xf>
    <xf borderId="8" fillId="0" fontId="11" numFmtId="186" xfId="0" applyAlignment="1" applyBorder="1" applyFont="1" applyNumberFormat="1">
      <alignment readingOrder="0"/>
    </xf>
    <xf borderId="10" fillId="3" fontId="11" numFmtId="0" xfId="0" applyAlignment="1" applyBorder="1" applyFont="1">
      <alignment horizontal="center" readingOrder="0" vertical="bottom"/>
    </xf>
    <xf borderId="8" fillId="3" fontId="5" numFmtId="0" xfId="0" applyAlignment="1" applyBorder="1" applyFont="1">
      <alignment horizontal="center" readingOrder="0" shrinkToFit="0" wrapText="0"/>
    </xf>
    <xf borderId="8" fillId="3" fontId="5" numFmtId="0" xfId="0" applyAlignment="1" applyBorder="1" applyFont="1">
      <alignment horizontal="center" readingOrder="0" vertical="bottom"/>
    </xf>
    <xf borderId="11" fillId="0" fontId="29" numFmtId="0" xfId="0" applyAlignment="1" applyBorder="1" applyFont="1">
      <alignment readingOrder="0"/>
    </xf>
    <xf borderId="9" fillId="0" fontId="11" numFmtId="0" xfId="0" applyAlignment="1" applyBorder="1" applyFont="1">
      <alignment horizontal="center"/>
    </xf>
    <xf borderId="8" fillId="0" fontId="11" numFmtId="186" xfId="0" applyBorder="1" applyFont="1" applyNumberFormat="1"/>
    <xf borderId="8" fillId="0" fontId="11" numFmtId="0" xfId="0" applyBorder="1" applyFont="1"/>
    <xf borderId="8" fillId="0" fontId="28" numFmtId="0" xfId="0" applyBorder="1" applyFont="1"/>
    <xf borderId="8" fillId="0" fontId="11" numFmtId="187" xfId="0" applyAlignment="1" applyBorder="1" applyFont="1" applyNumberFormat="1">
      <alignment horizontal="center" readingOrder="0"/>
    </xf>
    <xf borderId="8" fillId="0" fontId="11" numFmtId="21" xfId="0" applyAlignment="1" applyBorder="1" applyFont="1" applyNumberFormat="1">
      <alignment horizontal="center" readingOrder="0"/>
    </xf>
    <xf borderId="8" fillId="0" fontId="11" numFmtId="0" xfId="0" applyAlignment="1" applyBorder="1" applyFont="1">
      <alignment horizontal="center"/>
    </xf>
    <xf borderId="8" fillId="0" fontId="11" numFmtId="0" xfId="0" applyBorder="1" applyFont="1"/>
    <xf borderId="8" fillId="3" fontId="17" numFmtId="0" xfId="0" applyAlignment="1" applyBorder="1" applyFont="1">
      <alignment horizontal="center" readingOrder="0" vertical="bottom"/>
    </xf>
    <xf borderId="8" fillId="0" fontId="11" numFmtId="167" xfId="0" applyAlignment="1" applyBorder="1" applyFont="1" applyNumberFormat="1">
      <alignment horizontal="center" readingOrder="0"/>
    </xf>
    <xf borderId="8" fillId="0" fontId="11" numFmtId="170" xfId="0" applyAlignment="1" applyBorder="1" applyFont="1" applyNumberFormat="1">
      <alignment horizontal="center" readingOrder="0"/>
    </xf>
    <xf borderId="8" fillId="0" fontId="11" numFmtId="177" xfId="0" applyAlignment="1" applyBorder="1" applyFont="1" applyNumberFormat="1">
      <alignment horizontal="center" readingOrder="0"/>
    </xf>
    <xf borderId="8" fillId="0" fontId="11" numFmtId="188" xfId="0" applyAlignment="1" applyBorder="1" applyFont="1" applyNumberFormat="1">
      <alignment horizontal="center" readingOrder="0"/>
    </xf>
    <xf borderId="11" fillId="0" fontId="11" numFmtId="0" xfId="0" applyAlignment="1" applyBorder="1" applyFont="1">
      <alignment horizontal="center"/>
    </xf>
    <xf borderId="8" fillId="3" fontId="11" numFmtId="0" xfId="0" applyAlignment="1" applyBorder="1" applyFont="1">
      <alignment horizontal="center" vertical="bottom"/>
    </xf>
    <xf borderId="8" fillId="0" fontId="11" numFmtId="164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1" numFmtId="164" xfId="0" applyAlignment="1" applyFont="1" applyNumberFormat="1">
      <alignment horizontal="center"/>
    </xf>
    <xf borderId="8" fillId="6" fontId="11" numFmtId="0" xfId="0" applyAlignment="1" applyBorder="1" applyFont="1">
      <alignment horizontal="center" vertical="bottom"/>
    </xf>
    <xf borderId="8" fillId="3" fontId="16" numFmtId="0" xfId="0" applyAlignment="1" applyBorder="1" applyFont="1">
      <alignment horizontal="center" vertical="bottom"/>
    </xf>
    <xf borderId="3" fillId="3" fontId="16" numFmtId="0" xfId="0" applyAlignment="1" applyBorder="1" applyFont="1">
      <alignment horizontal="center" vertical="bottom"/>
    </xf>
    <xf borderId="3" fillId="3" fontId="11" numFmtId="0" xfId="0" applyAlignment="1" applyBorder="1" applyFont="1">
      <alignment horizontal="center" vertical="bottom"/>
    </xf>
    <xf borderId="3" fillId="3" fontId="17" numFmtId="0" xfId="0" applyAlignment="1" applyBorder="1" applyFont="1">
      <alignment horizontal="center" vertical="bottom"/>
    </xf>
    <xf borderId="2" fillId="3" fontId="16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2" fillId="0" fontId="16" numFmtId="0" xfId="0" applyAlignment="1" applyBorder="1" applyFont="1">
      <alignment horizontal="center" vertical="bottom"/>
    </xf>
    <xf borderId="7" fillId="17" fontId="23" numFmtId="0" xfId="0" applyAlignment="1" applyBorder="1" applyFill="1" applyFont="1">
      <alignment horizontal="center" readingOrder="0" vertical="center"/>
    </xf>
    <xf borderId="6" fillId="17" fontId="23" numFmtId="0" xfId="0" applyAlignment="1" applyBorder="1" applyFont="1">
      <alignment horizontal="center" readingOrder="0" vertical="center"/>
    </xf>
    <xf borderId="6" fillId="17" fontId="23" numFmtId="0" xfId="0" applyAlignment="1" applyBorder="1" applyFont="1">
      <alignment horizontal="center" readingOrder="0" shrinkToFit="0" vertical="center" wrapText="1"/>
    </xf>
    <xf borderId="6" fillId="17" fontId="23" numFmtId="164" xfId="0" applyAlignment="1" applyBorder="1" applyFont="1" applyNumberFormat="1">
      <alignment horizontal="center" readingOrder="0" shrinkToFit="0" vertical="center" wrapText="1"/>
    </xf>
    <xf borderId="6" fillId="17" fontId="30" numFmtId="164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8" fillId="0" fontId="31" numFmtId="0" xfId="0" applyAlignment="1" applyBorder="1" applyFont="1">
      <alignment readingOrder="0"/>
    </xf>
    <xf quotePrefix="1" borderId="8" fillId="0" fontId="11" numFmtId="0" xfId="0" applyAlignment="1" applyBorder="1" applyFont="1">
      <alignment horizontal="center" readingOrder="0"/>
    </xf>
    <xf borderId="8" fillId="3" fontId="25" numFmtId="0" xfId="0" applyAlignment="1" applyBorder="1" applyFont="1">
      <alignment horizontal="center" readingOrder="0"/>
    </xf>
    <xf borderId="0" fillId="3" fontId="32" numFmtId="0" xfId="0" applyAlignment="1" applyFont="1">
      <alignment horizontal="center" readingOrder="0"/>
    </xf>
    <xf borderId="8" fillId="0" fontId="11" numFmtId="172" xfId="0" applyAlignment="1" applyBorder="1" applyFont="1" applyNumberFormat="1">
      <alignment readingOrder="0"/>
    </xf>
    <xf borderId="9" fillId="0" fontId="11" numFmtId="0" xfId="0" applyAlignment="1" applyBorder="1" applyFont="1">
      <alignment horizontal="left" readingOrder="0"/>
    </xf>
    <xf borderId="11" fillId="0" fontId="11" numFmtId="172" xfId="0" applyAlignment="1" applyBorder="1" applyFont="1" applyNumberFormat="1">
      <alignment readingOrder="0"/>
    </xf>
    <xf borderId="11" fillId="8" fontId="11" numFmtId="0" xfId="0" applyAlignment="1" applyBorder="1" applyFont="1">
      <alignment horizontal="center" readingOrder="0"/>
    </xf>
    <xf borderId="11" fillId="0" fontId="11" numFmtId="0" xfId="0" applyBorder="1" applyFont="1"/>
    <xf borderId="9" fillId="0" fontId="11" numFmtId="0" xfId="0" applyBorder="1" applyFont="1"/>
    <xf borderId="10" fillId="0" fontId="11" numFmtId="0" xfId="0" applyAlignment="1" applyBorder="1" applyFont="1">
      <alignment readingOrder="0"/>
    </xf>
    <xf borderId="8" fillId="0" fontId="11" numFmtId="187" xfId="0" applyAlignment="1" applyBorder="1" applyFont="1" applyNumberFormat="1">
      <alignment readingOrder="0"/>
    </xf>
    <xf borderId="8" fillId="3" fontId="32" numFmtId="0" xfId="0" applyAlignment="1" applyBorder="1" applyFont="1">
      <alignment horizontal="center" readingOrder="0"/>
    </xf>
    <xf borderId="11" fillId="0" fontId="11" numFmtId="187" xfId="0" applyAlignment="1" applyBorder="1" applyFont="1" applyNumberFormat="1">
      <alignment readingOrder="0"/>
    </xf>
    <xf borderId="8" fillId="3" fontId="4" numFmtId="0" xfId="0" applyAlignment="1" applyBorder="1" applyFont="1">
      <alignment horizontal="center" readingOrder="0"/>
    </xf>
    <xf borderId="11" fillId="3" fontId="4" numFmtId="0" xfId="0" applyAlignment="1" applyBorder="1" applyFont="1">
      <alignment horizontal="center" readingOrder="0"/>
    </xf>
    <xf borderId="11" fillId="0" fontId="11" numFmtId="186" xfId="0" applyAlignment="1" applyBorder="1" applyFont="1" applyNumberFormat="1">
      <alignment readingOrder="0"/>
    </xf>
    <xf borderId="9" fillId="0" fontId="11" numFmtId="0" xfId="0" applyAlignment="1" applyBorder="1" applyFont="1">
      <alignment readingOrder="0"/>
    </xf>
    <xf borderId="8" fillId="0" fontId="11" numFmtId="164" xfId="0" applyAlignment="1" applyBorder="1" applyFont="1" applyNumberFormat="1">
      <alignment readingOrder="0"/>
    </xf>
    <xf borderId="8" fillId="0" fontId="11" numFmtId="164" xfId="0" applyBorder="1" applyFont="1" applyNumberFormat="1"/>
    <xf quotePrefix="1" borderId="9" fillId="0" fontId="11" numFmtId="0" xfId="0" applyAlignment="1" applyBorder="1" applyFont="1">
      <alignment readingOrder="0"/>
    </xf>
    <xf borderId="12" fillId="0" fontId="11" numFmtId="0" xfId="0" applyAlignment="1" applyBorder="1" applyFont="1">
      <alignment readingOrder="0"/>
    </xf>
    <xf borderId="12" fillId="0" fontId="11" numFmtId="0" xfId="0" applyBorder="1" applyFont="1"/>
    <xf borderId="8" fillId="0" fontId="11" numFmtId="0" xfId="0" applyAlignment="1" applyBorder="1" applyFont="1">
      <alignment vertical="bottom"/>
    </xf>
    <xf borderId="8" fillId="0" fontId="11" numFmtId="0" xfId="0" applyAlignment="1" applyBorder="1" applyFont="1">
      <alignment horizontal="center" vertical="bottom"/>
    </xf>
    <xf borderId="8" fillId="0" fontId="17" numFmtId="0" xfId="0" applyAlignment="1" applyBorder="1" applyFont="1">
      <alignment vertical="bottom"/>
    </xf>
    <xf borderId="8" fillId="0" fontId="17" numFmtId="0" xfId="0" applyAlignment="1" applyBorder="1" applyFont="1">
      <alignment vertical="bottom"/>
    </xf>
    <xf borderId="8" fillId="0" fontId="11" numFmtId="0" xfId="0" applyAlignment="1" applyBorder="1" applyFont="1">
      <alignment readingOrder="0" vertical="bottom"/>
    </xf>
    <xf borderId="12" fillId="0" fontId="17" numFmtId="0" xfId="0" applyAlignment="1" applyBorder="1" applyFont="1">
      <alignment readingOrder="0" vertical="bottom"/>
    </xf>
    <xf borderId="11" fillId="0" fontId="12" numFmtId="0" xfId="0" applyAlignment="1" applyBorder="1" applyFont="1">
      <alignment readingOrder="0" vertical="bottom"/>
    </xf>
    <xf borderId="0" fillId="0" fontId="17" numFmtId="0" xfId="0" applyAlignment="1" applyFont="1">
      <alignment vertical="bottom"/>
    </xf>
    <xf borderId="12" fillId="3" fontId="11" numFmtId="0" xfId="0" applyAlignment="1" applyBorder="1" applyFont="1">
      <alignment readingOrder="0"/>
    </xf>
    <xf borderId="8" fillId="0" fontId="11" numFmtId="0" xfId="0" applyAlignment="1" applyBorder="1" applyFont="1">
      <alignment horizontal="center"/>
    </xf>
    <xf borderId="12" fillId="18" fontId="11" numFmtId="0" xfId="0" applyAlignment="1" applyBorder="1" applyFill="1" applyFont="1">
      <alignment readingOrder="0"/>
    </xf>
    <xf borderId="8" fillId="0" fontId="11" numFmtId="164" xfId="0" applyAlignment="1" applyBorder="1" applyFont="1" applyNumberFormat="1">
      <alignment readingOrder="0"/>
    </xf>
    <xf borderId="8" fillId="3" fontId="11" numFmtId="0" xfId="0" applyAlignment="1" applyBorder="1" applyFont="1">
      <alignment horizontal="center" readingOrder="0"/>
    </xf>
    <xf borderId="8" fillId="3" fontId="11" numFmtId="0" xfId="0" applyAlignment="1" applyBorder="1" applyFont="1">
      <alignment readingOrder="0"/>
    </xf>
    <xf borderId="8" fillId="0" fontId="11" numFmtId="164" xfId="0" applyBorder="1" applyFont="1" applyNumberFormat="1"/>
    <xf borderId="11" fillId="0" fontId="11" numFmtId="0" xfId="0" applyAlignment="1" applyBorder="1" applyFont="1">
      <alignment horizontal="center"/>
    </xf>
    <xf borderId="11" fillId="0" fontId="11" numFmtId="164" xfId="0" applyAlignment="1" applyBorder="1" applyFont="1" applyNumberFormat="1">
      <alignment readingOrder="0"/>
    </xf>
    <xf borderId="11" fillId="0" fontId="11" numFmtId="164" xfId="0" applyAlignment="1" applyBorder="1" applyFont="1" applyNumberFormat="1">
      <alignment readingOrder="0"/>
    </xf>
    <xf borderId="13" fillId="0" fontId="11" numFmtId="0" xfId="0" applyBorder="1" applyFont="1"/>
    <xf borderId="13" fillId="0" fontId="11" numFmtId="0" xfId="0" applyAlignment="1" applyBorder="1" applyFont="1">
      <alignment readingOrder="0"/>
    </xf>
    <xf borderId="0" fillId="3" fontId="11" numFmtId="0" xfId="0" applyFont="1"/>
    <xf borderId="11" fillId="0" fontId="11" numFmtId="164" xfId="0" applyBorder="1" applyFont="1" applyNumberFormat="1"/>
    <xf borderId="11" fillId="0" fontId="11" numFmtId="164" xfId="0" applyBorder="1" applyFont="1" applyNumberFormat="1"/>
    <xf borderId="11" fillId="0" fontId="11" numFmtId="167" xfId="0" applyAlignment="1" applyBorder="1" applyFont="1" applyNumberFormat="1">
      <alignment readingOrder="0"/>
    </xf>
    <xf borderId="11" fillId="3" fontId="11" numFmtId="0" xfId="0" applyAlignment="1" applyBorder="1" applyFont="1">
      <alignment horizontal="center" readingOrder="0"/>
    </xf>
    <xf borderId="0" fillId="0" fontId="11" numFmtId="164" xfId="0" applyFont="1" applyNumberFormat="1"/>
    <xf borderId="0" fillId="0" fontId="11" numFmtId="164" xfId="0" applyFont="1" applyNumberFormat="1"/>
    <xf borderId="1" fillId="2" fontId="1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164" xfId="0" applyAlignment="1" applyBorder="1" applyFont="1" applyNumberFormat="1">
      <alignment horizontal="center" shrinkToFit="0" vertical="bottom" wrapText="1"/>
    </xf>
    <xf borderId="1" fillId="19" fontId="2" numFmtId="10" xfId="0" applyAlignment="1" applyBorder="1" applyFill="1" applyFont="1" applyNumberFormat="1">
      <alignment horizontal="center" shrinkToFit="0" vertical="bottom" wrapText="1"/>
    </xf>
    <xf borderId="1" fillId="2" fontId="2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2" fillId="3" fontId="3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2" fillId="3" fontId="4" numFmtId="172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3" fillId="3" fontId="4" numFmtId="164" xfId="0" applyAlignment="1" applyBorder="1" applyFont="1" applyNumberFormat="1">
      <alignment horizontal="center" vertical="bottom"/>
    </xf>
    <xf borderId="3" fillId="6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vertical="bottom"/>
    </xf>
    <xf borderId="2" fillId="3" fontId="4" numFmtId="165" xfId="0" applyAlignment="1" applyBorder="1" applyFont="1" applyNumberFormat="1">
      <alignment vertical="bottom"/>
    </xf>
    <xf borderId="3" fillId="3" fontId="4" numFmtId="0" xfId="0" applyAlignment="1" applyBorder="1" applyFont="1">
      <alignment vertical="bottom"/>
    </xf>
    <xf borderId="0" fillId="3" fontId="8" numFmtId="0" xfId="0" applyAlignment="1" applyFont="1">
      <alignment horizontal="center" readingOrder="0" shrinkToFit="0" wrapText="0"/>
    </xf>
    <xf borderId="2" fillId="3" fontId="4" numFmtId="187" xfId="0" applyAlignment="1" applyBorder="1" applyFont="1" applyNumberFormat="1">
      <alignment horizontal="center" readingOrder="0" vertical="bottom"/>
    </xf>
    <xf borderId="2" fillId="13" fontId="4" numFmtId="0" xfId="0" applyAlignment="1" applyBorder="1" applyFont="1">
      <alignment horizontal="center" readingOrder="0" vertical="bottom"/>
    </xf>
    <xf borderId="3" fillId="8" fontId="4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left" readingOrder="0" shrinkToFit="0" wrapText="0"/>
    </xf>
    <xf borderId="0" fillId="3" fontId="5" numFmtId="172" xfId="0" applyAlignment="1" applyFont="1" applyNumberFormat="1">
      <alignment horizontal="center" readingOrder="0"/>
    </xf>
    <xf borderId="1" fillId="3" fontId="4" numFmtId="165" xfId="0" applyAlignment="1" applyBorder="1" applyFont="1" applyNumberFormat="1">
      <alignment horizontal="left" vertical="bottom"/>
    </xf>
    <xf borderId="2" fillId="3" fontId="5" numFmtId="164" xfId="0" applyAlignment="1" applyBorder="1" applyFont="1" applyNumberFormat="1">
      <alignment horizontal="center" readingOrder="0"/>
    </xf>
    <xf borderId="0" fillId="3" fontId="9" numFmtId="0" xfId="0" applyAlignment="1" applyFont="1">
      <alignment horizontal="center" readingOrder="0" shrinkToFit="0" wrapText="0"/>
    </xf>
    <xf borderId="3" fillId="8" fontId="4" numFmtId="0" xfId="0" applyAlignment="1" applyBorder="1" applyFont="1">
      <alignment horizontal="center" vertical="bottom"/>
    </xf>
    <xf borderId="1" fillId="3" fontId="4" numFmtId="165" xfId="0" applyAlignment="1" applyBorder="1" applyFont="1" applyNumberFormat="1">
      <alignment horizontal="left" readingOrder="0" vertical="bottom"/>
    </xf>
    <xf borderId="2" fillId="3" fontId="4" numFmtId="165" xfId="0" applyAlignment="1" applyBorder="1" applyFont="1" applyNumberFormat="1">
      <alignment horizontal="left" vertical="bottom"/>
    </xf>
    <xf borderId="3" fillId="0" fontId="4" numFmtId="164" xfId="0" applyAlignment="1" applyBorder="1" applyFont="1" applyNumberFormat="1">
      <alignment horizontal="center" readingOrder="0" vertical="bottom"/>
    </xf>
    <xf borderId="3" fillId="3" fontId="4" numFmtId="0" xfId="0" applyAlignment="1" applyBorder="1" applyFont="1">
      <alignment horizontal="left" readingOrder="0" vertical="bottom"/>
    </xf>
    <xf borderId="2" fillId="3" fontId="4" numFmtId="164" xfId="0" applyAlignment="1" applyBorder="1" applyFont="1" applyNumberFormat="1">
      <alignment horizontal="center" vertical="bottom"/>
    </xf>
    <xf borderId="3" fillId="3" fontId="17" numFmtId="0" xfId="0" applyAlignment="1" applyBorder="1" applyFont="1">
      <alignment vertical="bottom"/>
    </xf>
    <xf borderId="2" fillId="3" fontId="17" numFmtId="10" xfId="0" applyAlignment="1" applyBorder="1" applyFont="1" applyNumberFormat="1">
      <alignment vertical="bottom"/>
    </xf>
    <xf borderId="3" fillId="3" fontId="17" numFmtId="165" xfId="0" applyAlignment="1" applyBorder="1" applyFont="1" applyNumberFormat="1">
      <alignment vertical="bottom"/>
    </xf>
    <xf borderId="2" fillId="3" fontId="17" numFmtId="0" xfId="0" applyAlignment="1" applyBorder="1" applyFont="1">
      <alignment vertical="bottom"/>
    </xf>
    <xf borderId="0" fillId="3" fontId="17" numFmtId="0" xfId="0" applyAlignment="1" applyFont="1">
      <alignment vertical="bottom"/>
    </xf>
    <xf borderId="0" fillId="3" fontId="5" numFmtId="0" xfId="0" applyAlignment="1" applyFont="1">
      <alignment readingOrder="0" shrinkToFit="0" wrapText="0"/>
    </xf>
    <xf borderId="3" fillId="13" fontId="4" numFmtId="0" xfId="0" applyAlignment="1" applyBorder="1" applyFont="1">
      <alignment horizontal="center" readingOrder="0" vertical="bottom"/>
    </xf>
    <xf borderId="2" fillId="3" fontId="10" numFmtId="0" xfId="0" applyAlignment="1" applyBorder="1" applyFont="1">
      <alignment readingOrder="0" shrinkToFit="0" wrapText="0"/>
    </xf>
    <xf borderId="0" fillId="3" fontId="8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2" fillId="0" fontId="25" numFmtId="0" xfId="0" applyAlignment="1" applyBorder="1" applyFont="1">
      <alignment readingOrder="0"/>
    </xf>
    <xf borderId="3" fillId="20" fontId="4" numFmtId="0" xfId="0" applyAlignment="1" applyBorder="1" applyFill="1" applyFont="1">
      <alignment horizontal="center" readingOrder="0" vertical="bottom"/>
    </xf>
    <xf borderId="2" fillId="21" fontId="4" numFmtId="0" xfId="0" applyAlignment="1" applyBorder="1" applyFill="1" applyFont="1">
      <alignment horizontal="center" readingOrder="0" vertical="bottom"/>
    </xf>
    <xf borderId="2" fillId="3" fontId="4" numFmtId="167" xfId="0" applyAlignment="1" applyBorder="1" applyFont="1" applyNumberFormat="1">
      <alignment horizontal="center" readingOrder="0" vertical="bottom"/>
    </xf>
    <xf borderId="2" fillId="22" fontId="4" numFmtId="0" xfId="0" applyAlignment="1" applyBorder="1" applyFill="1" applyFont="1">
      <alignment horizontal="center" readingOrder="0" vertical="bottom"/>
    </xf>
    <xf borderId="3" fillId="23" fontId="4" numFmtId="0" xfId="0" applyAlignment="1" applyBorder="1" applyFill="1" applyFont="1">
      <alignment horizontal="center" readingOrder="0" vertical="bottom"/>
    </xf>
    <xf borderId="3" fillId="24" fontId="4" numFmtId="0" xfId="0" applyAlignment="1" applyBorder="1" applyFill="1" applyFont="1">
      <alignment horizontal="center" readingOrder="0" vertical="bottom"/>
    </xf>
    <xf borderId="2" fillId="0" fontId="4" numFmtId="0" xfId="0" applyBorder="1" applyFont="1"/>
    <xf borderId="2" fillId="24" fontId="4" numFmtId="0" xfId="0" applyAlignment="1" applyBorder="1" applyFont="1">
      <alignment horizontal="center" readingOrder="0" vertical="bottom"/>
    </xf>
    <xf borderId="3" fillId="3" fontId="7" numFmtId="0" xfId="0" applyAlignment="1" applyBorder="1" applyFont="1">
      <alignment horizontal="center" readingOrder="0" vertical="bottom"/>
    </xf>
    <xf borderId="3" fillId="3" fontId="7" numFmtId="0" xfId="0" applyAlignment="1" applyBorder="1" applyFon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2" fillId="3" fontId="7" numFmtId="164" xfId="0" applyAlignment="1" applyBorder="1" applyFont="1" applyNumberFormat="1">
      <alignment horizontal="center" readingOrder="0" vertical="bottom"/>
    </xf>
    <xf borderId="2" fillId="3" fontId="7" numFmtId="10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3" fillId="3" fontId="7" numFmtId="165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horizontal="center" readingOrder="0" vertical="bottom"/>
    </xf>
    <xf borderId="3" fillId="3" fontId="11" numFmtId="0" xfId="0" applyAlignment="1" applyBorder="1" applyFont="1">
      <alignment horizontal="center" vertical="bottom"/>
    </xf>
    <xf borderId="3" fillId="3" fontId="11" numFmtId="3" xfId="0" applyAlignment="1" applyBorder="1" applyFont="1" applyNumberFormat="1">
      <alignment horizontal="center" vertical="bottom"/>
    </xf>
    <xf borderId="0" fillId="25" fontId="33" numFmtId="0" xfId="0" applyAlignment="1" applyFill="1" applyFont="1">
      <alignment readingOrder="0" shrinkToFit="0" wrapText="0"/>
    </xf>
    <xf borderId="2" fillId="3" fontId="17" numFmtId="0" xfId="0" applyAlignment="1" applyBorder="1" applyFont="1">
      <alignment vertical="bottom"/>
    </xf>
    <xf borderId="0" fillId="3" fontId="4" numFmtId="0" xfId="0" applyAlignment="1" applyFont="1">
      <alignment horizontal="center" readingOrder="0" vertical="bottom"/>
    </xf>
    <xf borderId="2" fillId="3" fontId="4" numFmtId="167" xfId="0" applyAlignment="1" applyBorder="1" applyFont="1" applyNumberFormat="1">
      <alignment horizontal="center" vertical="bottom"/>
    </xf>
    <xf borderId="2" fillId="6" fontId="2" numFmtId="0" xfId="0" applyAlignment="1" applyBorder="1" applyFont="1">
      <alignment horizontal="center" vertical="bottom"/>
    </xf>
    <xf borderId="2" fillId="3" fontId="4" numFmtId="170" xfId="0" applyAlignment="1" applyBorder="1" applyFont="1" applyNumberFormat="1">
      <alignment horizontal="center" vertical="bottom"/>
    </xf>
    <xf borderId="2" fillId="6" fontId="2" numFmtId="0" xfId="0" applyAlignment="1" applyBorder="1" applyFont="1">
      <alignment horizontal="center" shrinkToFit="0" vertical="bottom" wrapText="0"/>
    </xf>
    <xf borderId="8" fillId="3" fontId="4" numFmtId="0" xfId="0" applyAlignment="1" applyBorder="1" applyFont="1">
      <alignment horizontal="center" vertical="bottom"/>
    </xf>
    <xf borderId="0" fillId="3" fontId="4" numFmtId="165" xfId="0" applyAlignment="1" applyFont="1" applyNumberFormat="1">
      <alignment horizontal="center" readingOrder="0" vertical="bottom"/>
    </xf>
    <xf borderId="0" fillId="3" fontId="4" numFmtId="164" xfId="0" applyAlignment="1" applyFont="1" applyNumberFormat="1">
      <alignment horizontal="center" readingOrder="0" vertical="bottom"/>
    </xf>
    <xf borderId="2" fillId="8" fontId="3" numFmtId="0" xfId="0" applyAlignment="1" applyBorder="1" applyFont="1">
      <alignment horizontal="center" readingOrder="0" vertical="bottom"/>
    </xf>
    <xf borderId="2" fillId="26" fontId="11" numFmtId="167" xfId="0" applyAlignment="1" applyBorder="1" applyFill="1" applyFont="1" applyNumberFormat="1">
      <alignment horizontal="center" readingOrder="0" vertical="bottom"/>
    </xf>
    <xf borderId="2" fillId="8" fontId="11" numFmtId="0" xfId="0" applyAlignment="1" applyBorder="1" applyFont="1">
      <alignment horizontal="center" vertical="bottom"/>
    </xf>
    <xf borderId="2" fillId="26" fontId="11" numFmtId="167" xfId="0" applyAlignment="1" applyBorder="1" applyFont="1" applyNumberFormat="1">
      <alignment horizontal="center" vertical="bottom"/>
    </xf>
    <xf borderId="2" fillId="3" fontId="17" numFmtId="165" xfId="0" applyAlignment="1" applyBorder="1" applyFont="1" applyNumberFormat="1">
      <alignment vertical="bottom"/>
    </xf>
    <xf borderId="0" fillId="3" fontId="33" numFmtId="0" xfId="0" applyAlignment="1" applyFont="1">
      <alignment readingOrder="0" shrinkToFit="0" wrapText="0"/>
    </xf>
    <xf borderId="2" fillId="8" fontId="17" numFmtId="0" xfId="0" applyAlignment="1" applyBorder="1" applyFont="1">
      <alignment vertical="bottom"/>
    </xf>
    <xf borderId="2" fillId="6" fontId="11" numFmtId="0" xfId="0" applyAlignment="1" applyBorder="1" applyFont="1">
      <alignment horizontal="center" vertical="bottom"/>
    </xf>
    <xf borderId="2" fillId="3" fontId="11" numFmtId="179" xfId="0" applyAlignment="1" applyBorder="1" applyFont="1" applyNumberFormat="1">
      <alignment horizontal="center" vertical="bottom"/>
    </xf>
    <xf borderId="2" fillId="8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readingOrder="0" vertical="bottom"/>
    </xf>
    <xf borderId="7" fillId="17" fontId="2" numFmtId="0" xfId="0" applyAlignment="1" applyBorder="1" applyFont="1">
      <alignment horizontal="center" readingOrder="0"/>
    </xf>
    <xf borderId="6" fillId="17" fontId="2" numFmtId="0" xfId="0" applyAlignment="1" applyBorder="1" applyFont="1">
      <alignment horizontal="center" readingOrder="0"/>
    </xf>
    <xf borderId="6" fillId="17" fontId="2" numFmtId="186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 shrinkToFit="0" wrapText="0"/>
    </xf>
    <xf borderId="2" fillId="0" fontId="18" numFmtId="0" xfId="0" applyAlignment="1" applyBorder="1" applyFont="1">
      <alignment horizontal="center" readingOrder="0" shrinkToFit="0" wrapText="0"/>
    </xf>
    <xf borderId="2" fillId="27" fontId="5" numFmtId="0" xfId="0" applyAlignment="1" applyBorder="1" applyFill="1" applyFont="1">
      <alignment horizontal="center" readingOrder="0" shrinkToFit="0" wrapText="0"/>
    </xf>
    <xf borderId="2" fillId="28" fontId="7" numFmtId="186" xfId="0" applyAlignment="1" applyBorder="1" applyFill="1" applyFont="1" applyNumberFormat="1">
      <alignment horizontal="center" readingOrder="0" shrinkToFit="0" wrapText="0"/>
    </xf>
    <xf borderId="2" fillId="28" fontId="7" numFmtId="0" xfId="0" applyAlignment="1" applyBorder="1" applyFont="1">
      <alignment horizontal="center" readingOrder="0" shrinkToFit="0" wrapText="0"/>
    </xf>
    <xf borderId="2" fillId="27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2" fillId="28" fontId="7" numFmtId="186" xfId="0" applyAlignment="1" applyBorder="1" applyFont="1" applyNumberFormat="1">
      <alignment horizontal="center" shrinkToFit="0" wrapText="0"/>
    </xf>
    <xf borderId="2" fillId="0" fontId="5" numFmtId="172" xfId="0" applyAlignment="1" applyBorder="1" applyFont="1" applyNumberFormat="1">
      <alignment horizontal="center" readingOrder="0" shrinkToFit="0" wrapText="0"/>
    </xf>
    <xf borderId="14" fillId="0" fontId="4" numFmtId="0" xfId="0" applyAlignment="1" applyBorder="1" applyFont="1">
      <alignment horizontal="center" readingOrder="0"/>
    </xf>
    <xf borderId="14" fillId="3" fontId="5" numFmtId="0" xfId="0" applyAlignment="1" applyBorder="1" applyFont="1">
      <alignment horizontal="center" readingOrder="0"/>
    </xf>
    <xf borderId="14" fillId="23" fontId="25" numFmtId="0" xfId="0" applyAlignment="1" applyBorder="1" applyFont="1">
      <alignment horizontal="center" readingOrder="0"/>
    </xf>
    <xf borderId="14" fillId="27" fontId="5" numFmtId="0" xfId="0" applyAlignment="1" applyBorder="1" applyFont="1">
      <alignment horizontal="center" shrinkToFit="0" wrapText="0"/>
    </xf>
    <xf borderId="2" fillId="0" fontId="4" numFmtId="172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172" xfId="0" applyAlignment="1" applyBorder="1" applyFont="1" applyNumberFormat="1">
      <alignment horizontal="center" readingOrder="0"/>
    </xf>
    <xf borderId="4" fillId="27" fontId="5" numFmtId="0" xfId="0" applyAlignment="1" applyBorder="1" applyFont="1">
      <alignment horizontal="center" shrinkToFit="0" wrapText="0"/>
    </xf>
    <xf borderId="4" fillId="28" fontId="7" numFmtId="186" xfId="0" applyAlignment="1" applyBorder="1" applyFont="1" applyNumberFormat="1">
      <alignment horizontal="center" readingOrder="0" shrinkToFit="0" wrapText="0"/>
    </xf>
    <xf borderId="4" fillId="28" fontId="7" numFmtId="0" xfId="0" applyAlignment="1" applyBorder="1" applyFont="1">
      <alignment horizontal="center" readingOrder="0" shrinkToFit="0" wrapText="0"/>
    </xf>
    <xf borderId="4" fillId="27" fontId="5" numFmtId="0" xfId="0" applyAlignment="1" applyBorder="1" applyFont="1">
      <alignment horizontal="center" readingOrder="0" shrinkToFit="0" wrapText="0"/>
    </xf>
    <xf borderId="2" fillId="27" fontId="4" numFmtId="0" xfId="0" applyAlignment="1" applyBorder="1" applyFont="1">
      <alignment horizontal="center"/>
    </xf>
    <xf borderId="2" fillId="27" fontId="17" numFmtId="0" xfId="0" applyAlignment="1" applyBorder="1" applyFont="1">
      <alignment vertical="bottom"/>
    </xf>
    <xf borderId="2" fillId="0" fontId="17" numFmtId="0" xfId="0" applyAlignment="1" applyBorder="1" applyFont="1">
      <alignment readingOrder="0" vertical="bottom"/>
    </xf>
    <xf borderId="2" fillId="28" fontId="17" numFmtId="0" xfId="0" applyAlignment="1" applyBorder="1" applyFont="1">
      <alignment vertical="bottom"/>
    </xf>
    <xf borderId="2" fillId="3" fontId="4" numFmtId="0" xfId="0" applyAlignment="1" applyBorder="1" applyFont="1">
      <alignment horizontal="center"/>
    </xf>
    <xf borderId="2" fillId="3" fontId="7" numFmtId="186" xfId="0" applyAlignment="1" applyBorder="1" applyFont="1" applyNumberFormat="1">
      <alignment horizontal="center" readingOrder="0" shrinkToFit="0" wrapText="0"/>
    </xf>
    <xf borderId="0" fillId="3" fontId="4" numFmtId="0" xfId="0" applyAlignment="1" applyFont="1">
      <alignment horizontal="center"/>
    </xf>
    <xf borderId="0" fillId="0" fontId="4" numFmtId="186" xfId="0" applyAlignment="1" applyFont="1" applyNumberFormat="1">
      <alignment horizontal="center"/>
    </xf>
    <xf borderId="15" fillId="29" fontId="2" numFmtId="0" xfId="0" applyAlignment="1" applyBorder="1" applyFill="1" applyFont="1">
      <alignment horizontal="left" readingOrder="0" vertical="bottom"/>
    </xf>
    <xf borderId="16" fillId="26" fontId="34" numFmtId="0" xfId="0" applyAlignment="1" applyBorder="1" applyFont="1">
      <alignment horizontal="left" vertical="bottom"/>
    </xf>
    <xf borderId="16" fillId="30" fontId="2" numFmtId="0" xfId="0" applyAlignment="1" applyBorder="1" applyFill="1" applyFont="1">
      <alignment horizontal="left" readingOrder="0" vertical="bottom"/>
    </xf>
    <xf borderId="16" fillId="30" fontId="2" numFmtId="170" xfId="0" applyAlignment="1" applyBorder="1" applyFont="1" applyNumberFormat="1">
      <alignment horizontal="left" vertical="bottom"/>
    </xf>
    <xf borderId="16" fillId="30" fontId="2" numFmtId="0" xfId="0" applyAlignment="1" applyBorder="1" applyFont="1">
      <alignment horizontal="left" vertical="bottom"/>
    </xf>
    <xf borderId="16" fillId="31" fontId="2" numFmtId="0" xfId="0" applyAlignment="1" applyBorder="1" applyFill="1" applyFont="1">
      <alignment horizontal="left" vertical="bottom"/>
    </xf>
    <xf borderId="16" fillId="32" fontId="2" numFmtId="0" xfId="0" applyAlignment="1" applyBorder="1" applyFill="1" applyFont="1">
      <alignment horizontal="left" readingOrder="0" vertical="bottom"/>
    </xf>
    <xf borderId="0" fillId="29" fontId="2" numFmtId="0" xfId="0" applyAlignment="1" applyFont="1">
      <alignment horizontal="left" readingOrder="0" vertical="bottom"/>
    </xf>
    <xf borderId="0" fillId="0" fontId="4" numFmtId="0" xfId="0" applyAlignment="1" applyFont="1">
      <alignment horizontal="left"/>
    </xf>
    <xf borderId="2" fillId="3" fontId="3" numFmtId="0" xfId="0" applyAlignment="1" applyBorder="1" applyFont="1">
      <alignment horizontal="left" readingOrder="0" vertical="bottom"/>
    </xf>
    <xf borderId="2" fillId="3" fontId="4" numFmtId="0" xfId="0" applyAlignment="1" applyBorder="1" applyFont="1">
      <alignment horizontal="left" readingOrder="0" vertical="bottom"/>
    </xf>
    <xf borderId="2" fillId="3" fontId="35" numFmtId="0" xfId="0" applyAlignment="1" applyBorder="1" applyFont="1">
      <alignment horizontal="left" readingOrder="0" vertical="bottom"/>
    </xf>
    <xf borderId="2" fillId="3" fontId="36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2" fillId="3" fontId="4" numFmtId="0" xfId="0" applyAlignment="1" applyBorder="1" applyFont="1">
      <alignment horizontal="left" readingOrder="0"/>
    </xf>
    <xf borderId="2" fillId="3" fontId="5" numFmtId="0" xfId="0" applyAlignment="1" applyBorder="1" applyFont="1">
      <alignment horizontal="left" readingOrder="0" vertical="bottom"/>
    </xf>
    <xf borderId="0" fillId="3" fontId="4" numFmtId="0" xfId="0" applyAlignment="1" applyFont="1">
      <alignment horizontal="left" vertical="bottom"/>
    </xf>
    <xf borderId="2" fillId="3" fontId="3" numFmtId="0" xfId="0" applyAlignment="1" applyBorder="1" applyFont="1">
      <alignment horizontal="left" readingOrder="0"/>
    </xf>
    <xf borderId="0" fillId="3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2" fillId="12" fontId="7" numFmtId="0" xfId="0" applyAlignment="1" applyBorder="1" applyFont="1">
      <alignment horizontal="left" readingOrder="0" shrinkToFit="0" vertical="center" wrapText="0"/>
    </xf>
    <xf borderId="2" fillId="12" fontId="5" numFmtId="0" xfId="0" applyAlignment="1" applyBorder="1" applyFont="1">
      <alignment horizontal="left" readingOrder="0" shrinkToFit="0" vertical="center" wrapText="0"/>
    </xf>
    <xf borderId="2" fillId="12" fontId="5" numFmtId="0" xfId="0" applyAlignment="1" applyBorder="1" applyFont="1">
      <alignment horizontal="left" readingOrder="0" shrinkToFit="0" vertical="center" wrapText="0"/>
    </xf>
    <xf borderId="0" fillId="12" fontId="5" numFmtId="0" xfId="0" applyAlignment="1" applyFont="1">
      <alignment horizontal="left" readingOrder="0" shrinkToFit="0" vertical="center" wrapText="0"/>
    </xf>
    <xf borderId="0" fillId="12" fontId="5" numFmtId="0" xfId="0" applyAlignment="1" applyFont="1">
      <alignment horizontal="left" readingOrder="0" shrinkToFit="0" vertical="center" wrapText="0"/>
    </xf>
    <xf borderId="2" fillId="6" fontId="5" numFmtId="0" xfId="0" applyAlignment="1" applyBorder="1" applyFont="1">
      <alignment horizontal="left" readingOrder="0" shrinkToFit="0" vertical="center" wrapText="0"/>
    </xf>
    <xf borderId="0" fillId="0" fontId="18" numFmtId="0" xfId="0" applyAlignment="1" applyFont="1">
      <alignment horizontal="left"/>
    </xf>
    <xf borderId="2" fillId="33" fontId="5" numFmtId="0" xfId="0" applyAlignment="1" applyBorder="1" applyFill="1" applyFont="1">
      <alignment horizontal="left" readingOrder="0" shrinkToFit="0" vertical="center" wrapText="0"/>
    </xf>
    <xf borderId="2" fillId="33" fontId="5" numFmtId="0" xfId="0" applyAlignment="1" applyBorder="1" applyFont="1">
      <alignment horizontal="left" readingOrder="0" shrinkToFit="0" vertical="center" wrapText="0"/>
    </xf>
    <xf borderId="2" fillId="12" fontId="37" numFmtId="0" xfId="0" applyAlignment="1" applyBorder="1" applyFont="1">
      <alignment horizontal="left" readingOrder="0" shrinkToFit="0" vertical="center" wrapText="0"/>
    </xf>
    <xf borderId="2" fillId="6" fontId="38" numFmtId="0" xfId="0" applyAlignment="1" applyBorder="1" applyFont="1">
      <alignment horizontal="left" readingOrder="0" shrinkToFit="0" vertical="center" wrapText="0"/>
    </xf>
    <xf borderId="2" fillId="12" fontId="38" numFmtId="0" xfId="0" applyAlignment="1" applyBorder="1" applyFont="1">
      <alignment horizontal="left" readingOrder="0" shrinkToFit="0" vertical="center" wrapText="0"/>
    </xf>
    <xf borderId="2" fillId="12" fontId="38" numFmtId="0" xfId="0" applyAlignment="1" applyBorder="1" applyFont="1">
      <alignment horizontal="left" readingOrder="0" shrinkToFit="0" vertical="center" wrapText="0"/>
    </xf>
    <xf borderId="2" fillId="33" fontId="38" numFmtId="0" xfId="0" applyAlignment="1" applyBorder="1" applyFont="1">
      <alignment horizontal="left" readingOrder="0" shrinkToFit="0" vertical="center" wrapText="0"/>
    </xf>
    <xf borderId="2" fillId="5" fontId="38" numFmtId="0" xfId="0" applyAlignment="1" applyBorder="1" applyFont="1">
      <alignment horizontal="left" readingOrder="0" shrinkToFit="0" vertical="center" wrapText="0"/>
    </xf>
    <xf borderId="2" fillId="12" fontId="37" numFmtId="0" xfId="0" applyAlignment="1" applyBorder="1" applyFont="1">
      <alignment horizontal="left" readingOrder="0" shrinkToFit="0" textRotation="0" vertical="center" wrapText="0"/>
    </xf>
    <xf borderId="2" fillId="6" fontId="38" numFmtId="0" xfId="0" applyAlignment="1" applyBorder="1" applyFont="1">
      <alignment horizontal="left" readingOrder="0" shrinkToFit="0" textRotation="0" vertical="center" wrapText="0"/>
    </xf>
    <xf borderId="2" fillId="12" fontId="38" numFmtId="0" xfId="0" applyAlignment="1" applyBorder="1" applyFont="1">
      <alignment horizontal="left" readingOrder="0" shrinkToFit="0" textRotation="0" vertical="center" wrapText="0"/>
    </xf>
    <xf borderId="2" fillId="12" fontId="38" numFmtId="0" xfId="0" applyAlignment="1" applyBorder="1" applyFont="1">
      <alignment horizontal="left" readingOrder="0" shrinkToFit="0" textRotation="0" vertical="center" wrapText="0"/>
    </xf>
    <xf borderId="0" fillId="0" fontId="4" numFmtId="0" xfId="0" applyAlignment="1" applyFont="1">
      <alignment horizontal="left" shrinkToFit="0" textRotation="0" vertical="center" wrapText="0"/>
    </xf>
    <xf borderId="2" fillId="6" fontId="37" numFmtId="0" xfId="0" applyAlignment="1" applyBorder="1" applyFont="1">
      <alignment horizontal="left" readingOrder="0" shrinkToFit="0" textRotation="0" vertical="center" wrapText="0"/>
    </xf>
    <xf borderId="2" fillId="12" fontId="37" numFmtId="0" xfId="0" applyAlignment="1" applyBorder="1" applyFont="1">
      <alignment readingOrder="0" shrinkToFit="0" vertical="center" wrapText="0"/>
    </xf>
    <xf borderId="2" fillId="12" fontId="38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horizontal="left" shrinkToFit="0" textRotation="0" vertical="center" wrapText="0"/>
    </xf>
    <xf borderId="0" fillId="0" fontId="5" numFmtId="0" xfId="0" applyAlignment="1" applyFont="1">
      <alignment horizontal="left" shrinkToFit="0" textRotation="0" vertical="center" wrapText="0"/>
    </xf>
    <xf borderId="2" fillId="6" fontId="3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horizontal="left" shrinkToFit="0" textRotation="0" vertical="center" wrapText="0"/>
    </xf>
    <xf borderId="2" fillId="12" fontId="37" numFmtId="0" xfId="0" applyAlignment="1" applyBorder="1" applyFont="1">
      <alignment readingOrder="0" shrinkToFit="0" vertical="center" wrapText="0"/>
    </xf>
    <xf borderId="2" fillId="6" fontId="38" numFmtId="0" xfId="0" applyAlignment="1" applyBorder="1" applyFont="1">
      <alignment readingOrder="0" shrinkToFit="0" vertical="center" wrapText="0"/>
    </xf>
    <xf borderId="1" fillId="2" fontId="39" numFmtId="0" xfId="0" applyAlignment="1" applyBorder="1" applyFont="1">
      <alignment horizontal="center" shrinkToFit="0" vertical="bottom" wrapText="1"/>
    </xf>
    <xf borderId="1" fillId="2" fontId="39" numFmtId="165" xfId="0" applyAlignment="1" applyBorder="1" applyFont="1" applyNumberFormat="1">
      <alignment horizontal="center" shrinkToFit="0" vertical="bottom" wrapText="1"/>
    </xf>
    <xf borderId="0" fillId="3" fontId="40" numFmtId="0" xfId="0" applyAlignment="1" applyFont="1">
      <alignment vertical="bottom"/>
    </xf>
    <xf borderId="0" fillId="0" fontId="41" numFmtId="0" xfId="0" applyAlignment="1" applyFont="1">
      <alignment horizontal="center"/>
    </xf>
    <xf borderId="0" fillId="0" fontId="41" numFmtId="167" xfId="0" applyAlignment="1" applyFont="1" applyNumberFormat="1">
      <alignment horizontal="center"/>
    </xf>
    <xf borderId="0" fillId="0" fontId="41" numFmtId="165" xfId="0" applyAlignment="1" applyFont="1" applyNumberFormat="1">
      <alignment horizontal="center"/>
    </xf>
    <xf borderId="0" fillId="0" fontId="41" numFmtId="10" xfId="0" applyAlignment="1" applyFont="1" applyNumberFormat="1">
      <alignment horizontal="center"/>
    </xf>
    <xf borderId="0" fillId="3" fontId="41" numFmtId="0" xfId="0" applyAlignment="1" applyFont="1">
      <alignment horizontal="center"/>
    </xf>
    <xf borderId="0" fillId="3" fontId="42" numFmtId="0" xfId="0" applyAlignment="1" applyFont="1">
      <alignment horizontal="center"/>
    </xf>
    <xf borderId="0" fillId="0" fontId="42" numFmtId="0" xfId="0" applyAlignment="1" applyFont="1">
      <alignment horizontal="center"/>
    </xf>
    <xf borderId="0" fillId="0" fontId="42" numFmtId="0" xfId="0" applyFont="1"/>
    <xf borderId="0" fillId="3" fontId="42" numFmtId="165" xfId="0" applyAlignment="1" applyFont="1" applyNumberFormat="1">
      <alignment horizontal="center"/>
    </xf>
    <xf borderId="0" fillId="0" fontId="41" numFmtId="0" xfId="0" applyFont="1"/>
    <xf borderId="0" fillId="3" fontId="43" numFmtId="0" xfId="0" applyAlignment="1" applyFont="1">
      <alignment horizontal="center"/>
    </xf>
    <xf borderId="0" fillId="0" fontId="17" numFmtId="165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3" fontId="24" numFmtId="165" xfId="0" applyAlignment="1" applyFont="1" applyNumberFormat="1">
      <alignment horizontal="center"/>
    </xf>
    <xf borderId="0" fillId="0" fontId="17" numFmtId="0" xfId="0" applyFont="1"/>
    <xf borderId="0" fillId="3" fontId="24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4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3" fontId="45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46" numFmtId="0" xfId="0" applyAlignment="1" applyFont="1">
      <alignment horizontal="center"/>
    </xf>
    <xf borderId="0" fillId="0" fontId="46" numFmtId="0" xfId="0" applyFont="1"/>
    <xf borderId="0" fillId="34" fontId="17" numFmtId="0" xfId="0" applyFill="1" applyFont="1"/>
    <xf borderId="0" fillId="3" fontId="47" numFmtId="0" xfId="0" applyFont="1"/>
    <xf borderId="0" fillId="3" fontId="17" numFmtId="0" xfId="0" applyFont="1"/>
    <xf borderId="0" fillId="3" fontId="48" numFmtId="0" xfId="0" applyFont="1"/>
    <xf borderId="0" fillId="3" fontId="48" numFmtId="0" xfId="0" applyAlignment="1" applyFont="1">
      <alignment horizontal="left"/>
    </xf>
    <xf borderId="0" fillId="3" fontId="48" numFmtId="165" xfId="0" applyAlignment="1" applyFont="1" applyNumberFormat="1">
      <alignment horizontal="left"/>
    </xf>
    <xf borderId="0" fillId="3" fontId="40" numFmtId="0" xfId="0" applyFont="1"/>
    <xf borderId="0" fillId="3" fontId="40" numFmtId="0" xfId="0" applyAlignment="1" applyFont="1">
      <alignment horizontal="left"/>
    </xf>
    <xf borderId="0" fillId="3" fontId="48" numFmtId="10" xfId="0" applyAlignment="1" applyFont="1" applyNumberFormat="1">
      <alignment horizontal="left"/>
    </xf>
    <xf borderId="2" fillId="34" fontId="17" numFmtId="0" xfId="0" applyBorder="1" applyFont="1"/>
    <xf borderId="0" fillId="0" fontId="17" numFmtId="10" xfId="0" applyFont="1" applyNumberFormat="1"/>
    <xf borderId="0" fillId="0" fontId="20" numFmtId="0" xfId="0" applyFont="1"/>
    <xf borderId="17" fillId="35" fontId="39" numFmtId="0" xfId="0" applyAlignment="1" applyBorder="1" applyFill="1" applyFont="1">
      <alignment horizontal="center" vertical="bottom"/>
    </xf>
    <xf borderId="18" fillId="0" fontId="17" numFmtId="0" xfId="0" applyAlignment="1" applyBorder="1" applyFont="1">
      <alignment vertical="bottom"/>
    </xf>
    <xf borderId="19" fillId="35" fontId="39" numFmtId="0" xfId="0" applyAlignment="1" applyBorder="1" applyFont="1">
      <alignment horizontal="center" vertical="bottom"/>
    </xf>
    <xf borderId="0" fillId="0" fontId="17" numFmtId="165" xfId="0" applyFont="1" applyNumberFormat="1"/>
    <xf borderId="20" fillId="36" fontId="17" numFmtId="0" xfId="0" applyAlignment="1" applyBorder="1" applyFill="1" applyFont="1">
      <alignment vertical="bottom"/>
    </xf>
    <xf borderId="21" fillId="36" fontId="17" numFmtId="0" xfId="0" applyAlignment="1" applyBorder="1" applyFont="1">
      <alignment vertical="bottom"/>
    </xf>
    <xf borderId="20" fillId="0" fontId="49" numFmtId="0" xfId="0" applyAlignment="1" applyBorder="1" applyFont="1">
      <alignment horizontal="center" vertical="bottom"/>
    </xf>
    <xf borderId="21" fillId="0" fontId="49" numFmtId="0" xfId="0" applyAlignment="1" applyBorder="1" applyFont="1">
      <alignment horizontal="center" vertical="bottom"/>
    </xf>
    <xf borderId="21" fillId="36" fontId="49" numFmtId="0" xfId="0" applyAlignment="1" applyBorder="1" applyFont="1">
      <alignment horizontal="center" vertical="bottom"/>
    </xf>
    <xf borderId="20" fillId="36" fontId="49" numFmtId="0" xfId="0" applyAlignment="1" applyBorder="1" applyFont="1">
      <alignment horizontal="center" vertical="bottom"/>
    </xf>
    <xf borderId="0" fillId="37" fontId="40" numFmtId="0" xfId="0" applyFill="1" applyFont="1"/>
    <xf borderId="0" fillId="37" fontId="17" numFmtId="0" xfId="0" applyFont="1"/>
    <xf borderId="0" fillId="37" fontId="17" numFmtId="165" xfId="0" applyFont="1" applyNumberFormat="1"/>
    <xf borderId="0" fillId="0" fontId="17" numFmtId="3" xfId="0" applyFont="1" applyNumberFormat="1"/>
    <xf borderId="0" fillId="0" fontId="17" numFmtId="0" xfId="0" applyAlignment="1" applyFont="1">
      <alignment vertical="bottom"/>
    </xf>
    <xf borderId="0" fillId="37" fontId="17" numFmtId="10" xfId="0" applyFont="1" applyNumberFormat="1"/>
    <xf borderId="0" fillId="3" fontId="17" numFmtId="10" xfId="0" applyFont="1" applyNumberFormat="1"/>
    <xf borderId="0" fillId="3" fontId="24" numFmtId="0" xfId="0" applyFont="1"/>
    <xf borderId="0" fillId="3" fontId="17" numFmtId="165" xfId="0" applyFont="1" applyNumberFormat="1"/>
    <xf borderId="0" fillId="0" fontId="20" numFmtId="165" xfId="0" applyFont="1" applyNumberFormat="1"/>
    <xf borderId="0" fillId="0" fontId="17" numFmtId="189" xfId="0" applyFont="1" applyNumberFormat="1"/>
    <xf borderId="0" fillId="0" fontId="12" numFmtId="0" xfId="0" applyAlignment="1" applyFont="1">
      <alignment vertical="bottom"/>
    </xf>
    <xf borderId="0" fillId="38" fontId="12" numFmtId="0" xfId="0" applyAlignment="1" applyFill="1" applyFont="1">
      <alignment vertical="bottom"/>
    </xf>
    <xf borderId="0" fillId="38" fontId="50" numFmtId="0" xfId="0" applyAlignment="1" applyFont="1">
      <alignment horizontal="center" vertical="bottom"/>
    </xf>
    <xf borderId="0" fillId="39" fontId="51" numFmtId="0" xfId="0" applyAlignment="1" applyFill="1" applyFont="1">
      <alignment horizontal="center" vertical="bottom"/>
    </xf>
    <xf borderId="0" fillId="3" fontId="12" numFmtId="0" xfId="0" applyAlignment="1" applyFont="1">
      <alignment vertical="bottom"/>
    </xf>
    <xf borderId="0" fillId="39" fontId="52" numFmtId="0" xfId="0" applyAlignment="1" applyFont="1">
      <alignment shrinkToFit="0" wrapText="0"/>
    </xf>
    <xf borderId="0" fillId="39" fontId="12" numFmtId="0" xfId="0" applyFont="1"/>
    <xf borderId="0" fillId="0" fontId="12" numFmtId="2" xfId="0" applyAlignment="1" applyFont="1" applyNumberFormat="1">
      <alignment vertical="bottom"/>
    </xf>
    <xf borderId="22" fillId="0" fontId="12" numFmtId="0" xfId="0" applyAlignment="1" applyBorder="1" applyFont="1">
      <alignment vertical="bottom"/>
    </xf>
    <xf borderId="23" fillId="0" fontId="12" numFmtId="0" xfId="0" applyAlignment="1" applyBorder="1" applyFont="1">
      <alignment vertical="bottom"/>
    </xf>
    <xf borderId="16" fillId="39" fontId="52" numFmtId="0" xfId="0" applyAlignment="1" applyBorder="1" applyFont="1">
      <alignment horizontal="center" shrinkToFit="0" wrapText="1"/>
    </xf>
    <xf borderId="16" fillId="39" fontId="52" numFmtId="190" xfId="0" applyAlignment="1" applyBorder="1" applyFont="1" applyNumberFormat="1">
      <alignment horizontal="center" shrinkToFit="0" wrapText="1"/>
    </xf>
    <xf borderId="24" fillId="0" fontId="12" numFmtId="0" xfId="0" applyAlignment="1" applyBorder="1" applyFont="1">
      <alignment vertical="bottom"/>
    </xf>
    <xf borderId="25" fillId="40" fontId="53" numFmtId="191" xfId="0" applyAlignment="1" applyBorder="1" applyFill="1" applyFont="1" applyNumberFormat="1">
      <alignment horizontal="center" vertical="bottom"/>
    </xf>
    <xf borderId="25" fillId="0" fontId="54" numFmtId="0" xfId="0" applyBorder="1" applyFont="1"/>
    <xf borderId="26" fillId="0" fontId="54" numFmtId="0" xfId="0" applyBorder="1" applyFont="1"/>
    <xf borderId="27" fillId="0" fontId="54" numFmtId="0" xfId="0" applyBorder="1" applyFont="1"/>
    <xf borderId="26" fillId="40" fontId="55" numFmtId="0" xfId="0" applyAlignment="1" applyBorder="1" applyFont="1">
      <alignment horizontal="center" vertical="bottom"/>
    </xf>
    <xf borderId="27" fillId="0" fontId="56" numFmtId="0" xfId="0" applyAlignment="1" applyBorder="1" applyFont="1">
      <alignment horizontal="center" vertical="bottom"/>
    </xf>
    <xf borderId="28" fillId="3" fontId="57" numFmtId="0" xfId="0" applyAlignment="1" applyBorder="1" applyFont="1">
      <alignment horizontal="center" vertical="bottom"/>
    </xf>
    <xf borderId="29" fillId="3" fontId="57" numFmtId="0" xfId="0" applyAlignment="1" applyBorder="1" applyFont="1">
      <alignment horizontal="center" vertical="bottom"/>
    </xf>
    <xf borderId="27" fillId="38" fontId="58" numFmtId="0" xfId="0" applyAlignment="1" applyBorder="1" applyFont="1">
      <alignment horizontal="center" vertical="bottom"/>
    </xf>
    <xf borderId="27" fillId="41" fontId="58" numFmtId="0" xfId="0" applyAlignment="1" applyBorder="1" applyFill="1" applyFont="1">
      <alignment horizontal="center" vertical="bottom"/>
    </xf>
    <xf borderId="27" fillId="3" fontId="56" numFmtId="0" xfId="0" applyAlignment="1" applyBorder="1" applyFont="1">
      <alignment horizontal="center"/>
    </xf>
    <xf borderId="27" fillId="0" fontId="56" numFmtId="0" xfId="0" applyAlignment="1" applyBorder="1" applyFont="1">
      <alignment horizontal="center"/>
    </xf>
    <xf borderId="27" fillId="31" fontId="59" numFmtId="9" xfId="0" applyAlignment="1" applyBorder="1" applyFont="1" applyNumberFormat="1">
      <alignment horizontal="center"/>
    </xf>
    <xf borderId="26" fillId="0" fontId="12" numFmtId="0" xfId="0" applyAlignment="1" applyBorder="1" applyFont="1">
      <alignment horizontal="center" vertical="bottom"/>
    </xf>
    <xf borderId="27" fillId="42" fontId="58" numFmtId="0" xfId="0" applyAlignment="1" applyBorder="1" applyFill="1" applyFont="1">
      <alignment horizontal="center" vertical="bottom"/>
    </xf>
    <xf borderId="27" fillId="0" fontId="12" numFmtId="0" xfId="0" applyAlignment="1" applyBorder="1" applyFont="1">
      <alignment vertical="bottom"/>
    </xf>
    <xf borderId="27" fillId="3" fontId="12" numFmtId="0" xfId="0" applyAlignment="1" applyBorder="1" applyFont="1">
      <alignment vertical="bottom"/>
    </xf>
    <xf borderId="27" fillId="0" fontId="12" numFmtId="0" xfId="0" applyBorder="1" applyFont="1"/>
    <xf borderId="27" fillId="3" fontId="12" numFmtId="0" xfId="0" applyBorder="1" applyFont="1"/>
    <xf borderId="30" fillId="0" fontId="12" numFmtId="0" xfId="0" applyAlignment="1" applyBorder="1" applyFont="1">
      <alignment vertical="bottom"/>
    </xf>
    <xf borderId="3" fillId="0" fontId="60" numFmtId="0" xfId="0" applyAlignment="1" applyBorder="1" applyFont="1">
      <alignment vertical="bottom"/>
    </xf>
    <xf borderId="3" fillId="0" fontId="61" numFmtId="0" xfId="0" applyAlignment="1" applyBorder="1" applyFont="1">
      <alignment horizontal="center" vertical="bottom"/>
    </xf>
    <xf borderId="30" fillId="43" fontId="59" numFmtId="0" xfId="0" applyAlignment="1" applyBorder="1" applyFill="1" applyFont="1">
      <alignment horizontal="center"/>
    </xf>
    <xf borderId="30" fillId="44" fontId="52" numFmtId="10" xfId="0" applyAlignment="1" applyBorder="1" applyFill="1" applyFont="1" applyNumberFormat="1">
      <alignment horizontal="center"/>
    </xf>
    <xf borderId="30" fillId="31" fontId="59" numFmtId="10" xfId="0" applyAlignment="1" applyBorder="1" applyFont="1" applyNumberFormat="1">
      <alignment horizontal="center"/>
    </xf>
    <xf borderId="31" fillId="0" fontId="12" numFmtId="0" xfId="0" applyAlignment="1" applyBorder="1" applyFont="1">
      <alignment horizontal="center"/>
    </xf>
    <xf borderId="30" fillId="0" fontId="54" numFmtId="0" xfId="0" applyBorder="1" applyFont="1"/>
    <xf borderId="31" fillId="0" fontId="54" numFmtId="0" xfId="0" applyBorder="1" applyFont="1"/>
    <xf borderId="3" fillId="43" fontId="59" numFmtId="0" xfId="0" applyAlignment="1" applyBorder="1" applyFont="1">
      <alignment vertical="bottom"/>
    </xf>
    <xf borderId="3" fillId="31" fontId="59" numFmtId="9" xfId="0" applyAlignment="1" applyBorder="1" applyFont="1" applyNumberFormat="1">
      <alignment horizontal="center" vertical="bottom"/>
    </xf>
    <xf borderId="3" fillId="43" fontId="59" numFmtId="0" xfId="0" applyAlignment="1" applyBorder="1" applyFont="1">
      <alignment horizontal="center"/>
    </xf>
    <xf borderId="3" fillId="0" fontId="54" numFmtId="0" xfId="0" applyBorder="1" applyFont="1"/>
    <xf borderId="32" fillId="0" fontId="54" numFmtId="0" xfId="0" applyBorder="1" applyFont="1"/>
    <xf borderId="0" fillId="0" fontId="62" numFmtId="0" xfId="0" applyAlignment="1" applyFont="1">
      <alignment horizontal="right" vertical="bottom"/>
    </xf>
    <xf borderId="33" fillId="38" fontId="63" numFmtId="0" xfId="0" applyAlignment="1" applyBorder="1" applyFont="1">
      <alignment horizontal="center" vertical="bottom"/>
    </xf>
    <xf borderId="34" fillId="38" fontId="63" numFmtId="0" xfId="0" applyAlignment="1" applyBorder="1" applyFont="1">
      <alignment horizontal="center" vertical="bottom"/>
    </xf>
    <xf borderId="33" fillId="42" fontId="64" numFmtId="0" xfId="0" applyAlignment="1" applyBorder="1" applyFont="1">
      <alignment horizontal="center" vertical="bottom"/>
    </xf>
    <xf borderId="34" fillId="42" fontId="64" numFmtId="0" xfId="0" applyAlignment="1" applyBorder="1" applyFont="1">
      <alignment horizontal="center" vertical="bottom"/>
    </xf>
    <xf borderId="35" fillId="41" fontId="65" numFmtId="0" xfId="0" applyAlignment="1" applyBorder="1" applyFont="1">
      <alignment horizontal="center" vertical="bottom"/>
    </xf>
    <xf borderId="27" fillId="38" fontId="63" numFmtId="0" xfId="0" applyAlignment="1" applyBorder="1" applyFont="1">
      <alignment horizontal="center" vertical="bottom"/>
    </xf>
    <xf borderId="27" fillId="41" fontId="65" numFmtId="0" xfId="0" applyAlignment="1" applyBorder="1" applyFont="1">
      <alignment horizontal="center" vertical="bottom"/>
    </xf>
    <xf borderId="36" fillId="3" fontId="57" numFmtId="0" xfId="0" applyAlignment="1" applyBorder="1" applyFont="1">
      <alignment horizontal="center" vertical="bottom"/>
    </xf>
    <xf borderId="37" fillId="3" fontId="57" numFmtId="0" xfId="0" applyAlignment="1" applyBorder="1" applyFont="1">
      <alignment horizontal="center" vertical="bottom"/>
    </xf>
    <xf borderId="34" fillId="42" fontId="58" numFmtId="0" xfId="0" applyAlignment="1" applyBorder="1" applyFont="1">
      <alignment horizontal="center" vertical="bottom"/>
    </xf>
    <xf borderId="34" fillId="26" fontId="17" numFmtId="0" xfId="0" applyAlignment="1" applyBorder="1" applyFont="1">
      <alignment vertical="bottom"/>
    </xf>
    <xf borderId="34" fillId="3" fontId="56" numFmtId="0" xfId="0" applyAlignment="1" applyBorder="1" applyFont="1">
      <alignment horizontal="center" vertical="bottom"/>
    </xf>
    <xf borderId="34" fillId="0" fontId="56" numFmtId="0" xfId="0" applyAlignment="1" applyBorder="1" applyFont="1">
      <alignment horizontal="center" vertical="bottom"/>
    </xf>
    <xf borderId="34" fillId="0" fontId="56" numFmtId="9" xfId="0" applyAlignment="1" applyBorder="1" applyFont="1" applyNumberFormat="1">
      <alignment horizontal="center" vertical="bottom"/>
    </xf>
    <xf borderId="34" fillId="31" fontId="59" numFmtId="9" xfId="0" applyAlignment="1" applyBorder="1" applyFont="1" applyNumberFormat="1">
      <alignment horizontal="center" vertical="bottom"/>
    </xf>
    <xf borderId="24" fillId="0" fontId="17" numFmtId="0" xfId="0" applyAlignment="1" applyBorder="1" applyFont="1">
      <alignment vertical="bottom"/>
    </xf>
    <xf borderId="38" fillId="0" fontId="12" numFmtId="0" xfId="0" applyAlignment="1" applyBorder="1" applyFont="1">
      <alignment horizontal="center" vertical="bottom"/>
    </xf>
    <xf borderId="2" fillId="45" fontId="53" numFmtId="0" xfId="0" applyAlignment="1" applyBorder="1" applyFill="1" applyFont="1">
      <alignment horizontal="center" vertical="center"/>
    </xf>
    <xf borderId="1" fillId="45" fontId="53" numFmtId="0" xfId="0" applyAlignment="1" applyBorder="1" applyFont="1">
      <alignment horizontal="center" vertical="center"/>
    </xf>
    <xf borderId="1" fillId="45" fontId="53" numFmtId="171" xfId="0" applyAlignment="1" applyBorder="1" applyFont="1" applyNumberFormat="1">
      <alignment horizontal="center" vertical="center"/>
    </xf>
    <xf borderId="1" fillId="45" fontId="53" numFmtId="170" xfId="0" applyAlignment="1" applyBorder="1" applyFont="1" applyNumberFormat="1">
      <alignment horizontal="center" vertical="center"/>
    </xf>
    <xf borderId="1" fillId="45" fontId="53" numFmtId="3" xfId="0" applyAlignment="1" applyBorder="1" applyFont="1" applyNumberFormat="1">
      <alignment horizontal="center" vertical="center"/>
    </xf>
    <xf borderId="1" fillId="45" fontId="53" numFmtId="165" xfId="0" applyAlignment="1" applyBorder="1" applyFont="1" applyNumberFormat="1">
      <alignment horizontal="center" vertical="center"/>
    </xf>
    <xf borderId="2" fillId="45" fontId="53" numFmtId="165" xfId="0" applyAlignment="1" applyBorder="1" applyFont="1" applyNumberFormat="1">
      <alignment horizontal="center" vertical="center"/>
    </xf>
    <xf borderId="0" fillId="0" fontId="66" numFmtId="0" xfId="0" applyAlignment="1" applyFont="1">
      <alignment vertical="center"/>
    </xf>
    <xf borderId="0" fillId="0" fontId="66" numFmtId="165" xfId="0" applyAlignment="1" applyFont="1" applyNumberFormat="1">
      <alignment vertical="center"/>
    </xf>
    <xf borderId="0" fillId="0" fontId="66" numFmtId="10" xfId="0" applyAlignment="1" applyFont="1" applyNumberFormat="1">
      <alignment vertical="center"/>
    </xf>
    <xf borderId="3" fillId="3" fontId="66" numFmtId="0" xfId="0" applyAlignment="1" applyBorder="1" applyFont="1">
      <alignment vertical="center"/>
    </xf>
    <xf borderId="2" fillId="3" fontId="12" numFmtId="0" xfId="0" applyAlignment="1" applyBorder="1" applyFont="1">
      <alignment horizontal="center" vertical="center"/>
    </xf>
    <xf borderId="2" fillId="3" fontId="66" numFmtId="0" xfId="0" applyAlignment="1" applyBorder="1" applyFont="1">
      <alignment vertical="center"/>
    </xf>
    <xf borderId="0" fillId="3" fontId="66" numFmtId="0" xfId="0" applyAlignment="1" applyFont="1">
      <alignment vertical="center"/>
    </xf>
    <xf borderId="4" fillId="3" fontId="67" numFmtId="0" xfId="0" applyAlignment="1" applyBorder="1" applyFont="1">
      <alignment horizontal="center" vertical="bottom"/>
    </xf>
    <xf borderId="4" fillId="3" fontId="49" numFmtId="171" xfId="0" applyAlignment="1" applyBorder="1" applyFont="1" applyNumberFormat="1">
      <alignment horizontal="center" vertical="bottom"/>
    </xf>
    <xf borderId="3" fillId="3" fontId="49" numFmtId="170" xfId="0" applyAlignment="1" applyBorder="1" applyFont="1" applyNumberFormat="1">
      <alignment horizontal="center" vertical="bottom"/>
    </xf>
    <xf borderId="3" fillId="3" fontId="49" numFmtId="0" xfId="0" applyAlignment="1" applyBorder="1" applyFont="1">
      <alignment horizontal="center" vertical="bottom"/>
    </xf>
    <xf borderId="3" fillId="3" fontId="49" numFmtId="3" xfId="0" applyAlignment="1" applyBorder="1" applyFont="1" applyNumberFormat="1">
      <alignment horizontal="center" vertical="bottom"/>
    </xf>
    <xf borderId="2" fillId="3" fontId="49" numFmtId="0" xfId="0" applyAlignment="1" applyBorder="1" applyFont="1">
      <alignment horizontal="center" vertical="bottom"/>
    </xf>
    <xf borderId="0" fillId="3" fontId="49" numFmtId="0" xfId="0" applyAlignment="1" applyFont="1">
      <alignment horizontal="center" vertical="bottom"/>
    </xf>
    <xf borderId="1" fillId="3" fontId="49" numFmtId="0" xfId="0" applyAlignment="1" applyBorder="1" applyFont="1">
      <alignment horizontal="center" vertical="bottom"/>
    </xf>
    <xf borderId="3" fillId="3" fontId="49" numFmtId="165" xfId="0" applyAlignment="1" applyBorder="1" applyFont="1" applyNumberFormat="1">
      <alignment horizontal="center" vertical="bottom"/>
    </xf>
    <xf borderId="2" fillId="3" fontId="68" numFmtId="10" xfId="0" applyAlignment="1" applyBorder="1" applyFont="1" applyNumberFormat="1">
      <alignment horizontal="center" vertical="bottom"/>
    </xf>
    <xf borderId="4" fillId="3" fontId="49" numFmtId="0" xfId="0" applyAlignment="1" applyBorder="1" applyFont="1">
      <alignment horizontal="center" vertical="bottom"/>
    </xf>
    <xf borderId="3" fillId="3" fontId="17" numFmtId="0" xfId="0" applyAlignment="1" applyBorder="1" applyFont="1">
      <alignment horizontal="center" vertical="bottom"/>
    </xf>
    <xf borderId="3" fillId="3" fontId="17" numFmtId="0" xfId="0" applyAlignment="1" applyBorder="1" applyFont="1">
      <alignment vertical="bottom"/>
    </xf>
    <xf borderId="3" fillId="3" fontId="12" numFmtId="0" xfId="0" applyAlignment="1" applyBorder="1" applyFont="1">
      <alignment horizontal="center" vertical="bottom"/>
    </xf>
    <xf borderId="3" fillId="3" fontId="12" numFmtId="0" xfId="0" applyAlignment="1" applyBorder="1" applyFont="1">
      <alignment vertical="bottom"/>
    </xf>
    <xf borderId="39" fillId="45" fontId="53" numFmtId="170" xfId="0" applyAlignment="1" applyBorder="1" applyFont="1" applyNumberFormat="1">
      <alignment horizontal="center" vertical="center"/>
    </xf>
    <xf borderId="39" fillId="0" fontId="54" numFmtId="0" xfId="0" applyBorder="1" applyFont="1"/>
    <xf borderId="1" fillId="0" fontId="54" numFmtId="0" xfId="0" applyBorder="1" applyFont="1"/>
    <xf borderId="2" fillId="3" fontId="17" numFmtId="188" xfId="0" applyAlignment="1" applyBorder="1" applyFont="1" applyNumberFormat="1">
      <alignment horizontal="center" vertical="bottom"/>
    </xf>
    <xf borderId="2" fillId="3" fontId="67" numFmtId="0" xfId="0" applyAlignment="1" applyBorder="1" applyFont="1">
      <alignment horizontal="center" vertical="bottom"/>
    </xf>
    <xf borderId="2" fillId="3" fontId="49" numFmtId="165" xfId="0" applyAlignment="1" applyBorder="1" applyFont="1" applyNumberFormat="1">
      <alignment horizontal="center" vertical="bottom"/>
    </xf>
    <xf borderId="2" fillId="13" fontId="49" numFmtId="3" xfId="0" applyAlignment="1" applyBorder="1" applyFont="1" applyNumberFormat="1">
      <alignment horizontal="center" vertical="bottom"/>
    </xf>
    <xf borderId="2" fillId="13" fontId="49" numFmtId="0" xfId="0" applyAlignment="1" applyBorder="1" applyFont="1">
      <alignment horizontal="center" vertical="bottom"/>
    </xf>
    <xf borderId="2" fillId="3" fontId="49" numFmtId="3" xfId="0" applyAlignment="1" applyBorder="1" applyFont="1" applyNumberFormat="1">
      <alignment horizontal="center" vertical="bottom"/>
    </xf>
    <xf borderId="2" fillId="3" fontId="17" numFmtId="0" xfId="0" applyAlignment="1" applyBorder="1" applyFont="1">
      <alignment horizontal="center" vertical="bottom"/>
    </xf>
    <xf borderId="2" fillId="3" fontId="49" numFmtId="171" xfId="0" applyAlignment="1" applyBorder="1" applyFont="1" applyNumberFormat="1">
      <alignment horizontal="center" vertical="bottom"/>
    </xf>
    <xf borderId="2" fillId="3" fontId="49" numFmtId="170" xfId="0" applyAlignment="1" applyBorder="1" applyFont="1" applyNumberFormat="1">
      <alignment horizontal="center" vertical="bottom"/>
    </xf>
    <xf borderId="2" fillId="3" fontId="17" numFmtId="165" xfId="0" applyAlignment="1" applyBorder="1" applyFont="1" applyNumberFormat="1">
      <alignment horizontal="center" vertical="bottom"/>
    </xf>
    <xf borderId="0" fillId="3" fontId="17" numFmtId="165" xfId="0" applyAlignment="1" applyFont="1" applyNumberFormat="1">
      <alignment vertical="bottom"/>
    </xf>
    <xf borderId="0" fillId="3" fontId="17" numFmtId="10" xfId="0" applyAlignment="1" applyFont="1" applyNumberFormat="1">
      <alignment vertical="bottom"/>
    </xf>
    <xf borderId="0" fillId="3" fontId="17" numFmtId="0" xfId="0" applyAlignment="1" applyFont="1">
      <alignment horizontal="center" vertical="bottom"/>
    </xf>
    <xf borderId="0" fillId="2" fontId="23" numFmtId="0" xfId="0" applyAlignment="1" applyFont="1">
      <alignment horizontal="center" vertical="bottom"/>
    </xf>
    <xf borderId="27" fillId="2" fontId="23" numFmtId="0" xfId="0" applyAlignment="1" applyBorder="1" applyFont="1">
      <alignment horizontal="center" vertical="bottom"/>
    </xf>
    <xf borderId="27" fillId="3" fontId="11" numFmtId="0" xfId="0" applyAlignment="1" applyBorder="1" applyFont="1">
      <alignment horizontal="center" vertical="bottom"/>
    </xf>
    <xf borderId="35" fillId="0" fontId="17" numFmtId="0" xfId="0" applyAlignment="1" applyBorder="1" applyFont="1">
      <alignment horizontal="center" vertical="bottom"/>
    </xf>
    <xf borderId="27" fillId="3" fontId="17" numFmtId="0" xfId="0" applyAlignment="1" applyBorder="1" applyFont="1">
      <alignment horizontal="center" vertical="bottom"/>
    </xf>
    <xf borderId="27" fillId="0" fontId="17" numFmtId="0" xfId="0" applyAlignment="1" applyBorder="1" applyFont="1">
      <alignment horizontal="center" vertical="bottom"/>
    </xf>
    <xf borderId="0" fillId="0" fontId="17" numFmtId="10" xfId="0" applyAlignment="1" applyFont="1" applyNumberFormat="1">
      <alignment horizontal="center"/>
    </xf>
    <xf borderId="0" fillId="3" fontId="11" numFmtId="0" xfId="0" applyAlignment="1" applyFont="1">
      <alignment horizontal="center" vertical="bottom"/>
    </xf>
    <xf borderId="0" fillId="3" fontId="27" numFmtId="0" xfId="0" applyAlignment="1" applyFont="1">
      <alignment horizontal="center" vertical="bottom"/>
    </xf>
    <xf borderId="35" fillId="0" fontId="40" numFmtId="0" xfId="0" applyAlignment="1" applyBorder="1" applyFont="1">
      <alignment horizontal="center" vertical="bottom"/>
    </xf>
    <xf borderId="16" fillId="3" fontId="17" numFmtId="0" xfId="0" applyAlignment="1" applyBorder="1" applyFont="1">
      <alignment horizontal="center" vertical="bottom"/>
    </xf>
    <xf borderId="0" fillId="3" fontId="13" numFmtId="0" xfId="0" applyFont="1"/>
    <xf borderId="0" fillId="0" fontId="40" numFmtId="0" xfId="0" applyAlignment="1" applyFont="1">
      <alignment horizontal="center"/>
    </xf>
    <xf borderId="35" fillId="29" fontId="23" numFmtId="0" xfId="0" applyAlignment="1" applyBorder="1" applyFont="1">
      <alignment horizontal="center" vertical="bottom"/>
    </xf>
    <xf borderId="27" fillId="29" fontId="23" numFmtId="0" xfId="0" applyAlignment="1" applyBorder="1" applyFont="1">
      <alignment horizontal="center" vertical="bottom"/>
    </xf>
    <xf borderId="27" fillId="30" fontId="23" numFmtId="170" xfId="0" applyAlignment="1" applyBorder="1" applyFont="1" applyNumberFormat="1">
      <alignment horizontal="center" vertical="bottom"/>
    </xf>
    <xf borderId="27" fillId="30" fontId="23" numFmtId="0" xfId="0" applyAlignment="1" applyBorder="1" applyFont="1">
      <alignment horizontal="center" vertical="bottom"/>
    </xf>
    <xf borderId="27" fillId="31" fontId="23" numFmtId="0" xfId="0" applyAlignment="1" applyBorder="1" applyFont="1">
      <alignment horizontal="center" vertical="bottom"/>
    </xf>
    <xf borderId="27" fillId="32" fontId="39" numFmtId="0" xfId="0" applyAlignment="1" applyBorder="1" applyFont="1">
      <alignment horizontal="center" vertical="bottom"/>
    </xf>
    <xf borderId="27" fillId="29" fontId="39" numFmtId="0" xfId="0" applyAlignment="1" applyBorder="1" applyFont="1">
      <alignment horizontal="center" vertical="bottom"/>
    </xf>
    <xf borderId="35" fillId="0" fontId="16" numFmtId="0" xfId="0" applyAlignment="1" applyBorder="1" applyFont="1">
      <alignment horizontal="center" vertical="bottom"/>
    </xf>
    <xf borderId="27" fillId="0" fontId="11" numFmtId="0" xfId="0" applyAlignment="1" applyBorder="1" applyFont="1">
      <alignment horizontal="center" vertical="bottom"/>
    </xf>
    <xf borderId="27" fillId="0" fontId="69" numFmtId="0" xfId="0" applyAlignment="1" applyBorder="1" applyFont="1">
      <alignment horizontal="center" vertical="bottom"/>
    </xf>
    <xf borderId="0" fillId="0" fontId="11" numFmtId="0" xfId="0" applyFont="1"/>
    <xf borderId="0" fillId="0" fontId="11" numFmtId="0" xfId="0" applyAlignment="1" applyFont="1">
      <alignment horizontal="center" vertical="bottom"/>
    </xf>
    <xf borderId="0" fillId="0" fontId="16" numFmtId="0" xfId="0" applyAlignment="1" applyFont="1">
      <alignment horizontal="center"/>
    </xf>
    <xf borderId="0" fillId="0" fontId="3" numFmtId="0" xfId="0" applyAlignment="1" applyFont="1">
      <alignment horizontal="center"/>
    </xf>
    <xf borderId="27" fillId="0" fontId="35" numFmtId="0" xfId="0" applyAlignment="1" applyBorder="1" applyFont="1">
      <alignment horizontal="center" vertical="bottom"/>
    </xf>
    <xf borderId="0" fillId="0" fontId="4" numFmtId="0" xfId="0" applyFont="1"/>
    <xf borderId="0" fillId="0" fontId="17" numFmtId="188" xfId="0" applyFont="1" applyNumberFormat="1"/>
    <xf borderId="0" fillId="0" fontId="40" numFmtId="0" xfId="0" applyFont="1"/>
    <xf borderId="0" fillId="46" fontId="70" numFmtId="0" xfId="0" applyAlignment="1" applyFill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6" numFmtId="0" xfId="0" applyAlignment="1" applyFont="1">
      <alignment horizontal="right" shrinkToFit="0" vertical="bottom" wrapText="0"/>
    </xf>
    <xf borderId="0" fillId="0" fontId="26" numFmtId="177" xfId="0" applyAlignment="1" applyFont="1" applyNumberFormat="1">
      <alignment horizontal="right" shrinkToFit="0" vertical="bottom" wrapText="0"/>
    </xf>
    <xf borderId="0" fillId="0" fontId="26" numFmtId="192" xfId="0" applyAlignment="1" applyFont="1" applyNumberFormat="1">
      <alignment shrinkToFit="0" vertical="bottom" wrapText="0"/>
    </xf>
    <xf borderId="0" fillId="0" fontId="71" numFmtId="0" xfId="0" applyAlignment="1" applyFont="1">
      <alignment shrinkToFit="0" vertical="bottom" wrapText="0"/>
    </xf>
    <xf borderId="0" fillId="0" fontId="26" numFmtId="193" xfId="0" applyAlignment="1" applyFont="1" applyNumberFormat="1">
      <alignment shrinkToFit="0" vertical="bottom" wrapText="0"/>
    </xf>
  </cellXfs>
  <cellStyles count="1">
    <cellStyle xfId="0" name="Normal" builtinId="0"/>
  </cellStyles>
  <dxfs count="12"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4" pivot="0" name="AGREGADOS SPOT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1786600496277916"/>
          <c:y val="0.17028985507246383"/>
          <c:w val="0.9696650124069478"/>
          <c:h val="0.7195094760312152"/>
        </c:manualLayout>
      </c:layout>
      <c:barChart>
        <c:barDir val="col"/>
        <c:ser>
          <c:idx val="0"/>
          <c:order val="0"/>
          <c:spPr>
            <a:solidFill>
              <a:srgbClr val="20124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6D0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Apoio!$F$40:$F$45</c:f>
            </c:strRef>
          </c:cat>
          <c:val>
            <c:numRef>
              <c:f>Apoio!$G$40:$G$45</c:f>
              <c:numCache/>
            </c:numRef>
          </c:val>
        </c:ser>
        <c:axId val="746140095"/>
        <c:axId val="539015623"/>
      </c:barChart>
      <c:catAx>
        <c:axId val="74614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39015623"/>
      </c:catAx>
      <c:valAx>
        <c:axId val="53901562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chemeClr val="lt1"/>
                </a:solidFill>
                <a:latin typeface="+mn-lt"/>
              </a:defRPr>
            </a:pPr>
          </a:p>
        </c:txPr>
        <c:crossAx val="7461400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Status de Aceite/ Recusa _ SPOT &amp; Dedicado</a:t>
            </a:r>
          </a:p>
        </c:rich>
      </c:tx>
      <c:overlay val="0"/>
    </c:title>
    <c:plotArea>
      <c:layout>
        <c:manualLayout>
          <c:xMode val="edge"/>
          <c:yMode val="edge"/>
          <c:x val="0.02057273632271486"/>
          <c:y val="0.18498018215550685"/>
          <c:w val="0.9276180531509693"/>
          <c:h val="0.6972680047225503"/>
        </c:manualLayout>
      </c:layout>
      <c:barChart>
        <c:barDir val="col"/>
        <c:ser>
          <c:idx val="0"/>
          <c:order val="0"/>
          <c:tx>
            <c:strRef>
              <c:f>Apoio!$O$3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38761D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Apoio!$N$4:$N$5</c:f>
            </c:strRef>
          </c:cat>
          <c:val>
            <c:numRef>
              <c:f>Apoio!$O$4:$O$5</c:f>
              <c:numCache/>
            </c:numRef>
          </c:val>
        </c:ser>
        <c:axId val="325970042"/>
        <c:axId val="82120690"/>
      </c:barChart>
      <c:catAx>
        <c:axId val="325970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120690"/>
      </c:catAx>
      <c:valAx>
        <c:axId val="8212069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3259700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Destinos de carregamento</a:t>
            </a:r>
          </a:p>
        </c:rich>
      </c:tx>
      <c:overlay val="0"/>
    </c:title>
    <c:plotArea>
      <c:layout>
        <c:manualLayout>
          <c:xMode val="edge"/>
          <c:yMode val="edge"/>
          <c:x val="0.04221609747651544"/>
          <c:y val="0.15648496240601503"/>
          <c:w val="0.9347715350323181"/>
          <c:h val="0.657896308496995"/>
        </c:manualLayout>
      </c:layout>
      <c:barChart>
        <c:barDir val="col"/>
        <c:ser>
          <c:idx val="0"/>
          <c:order val="0"/>
          <c:tx>
            <c:strRef>
              <c:f>Apoio!$G$53</c:f>
            </c:strRef>
          </c:tx>
          <c:spPr>
            <a:solidFill>
              <a:srgbClr val="20124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FF6D01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Apoio!$F$54:$F$60</c:f>
            </c:strRef>
          </c:cat>
          <c:val>
            <c:numRef>
              <c:f>Apoio!$G$54:$G$60</c:f>
              <c:numCache/>
            </c:numRef>
          </c:val>
        </c:ser>
        <c:axId val="1736727573"/>
        <c:axId val="1380431470"/>
      </c:barChart>
      <c:catAx>
        <c:axId val="1736727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380431470"/>
      </c:catAx>
      <c:valAx>
        <c:axId val="138043147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17367275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Disponibilidade Veículo</a:t>
            </a:r>
          </a:p>
        </c:rich>
      </c:tx>
      <c:overlay val="0"/>
    </c:title>
    <c:plotArea>
      <c:layout>
        <c:manualLayout>
          <c:xMode val="edge"/>
          <c:yMode val="edge"/>
          <c:x val="0.13817871093749998"/>
          <c:y val="0.15958121827411167"/>
          <c:w val="0.7787855747767858"/>
          <c:h val="0.7230964467005075"/>
        </c:manualLayout>
      </c:layout>
      <c:barChart>
        <c:barDir val="bar"/>
        <c:ser>
          <c:idx val="0"/>
          <c:order val="0"/>
          <c:tx>
            <c:strRef>
              <c:f>Apoio!$V$3</c:f>
            </c:strRef>
          </c:tx>
          <c:cat>
            <c:strRef>
              <c:f>Apoio!$U$4:$U$5</c:f>
            </c:strRef>
          </c:cat>
          <c:val>
            <c:numRef>
              <c:f>Apoio!$V$4:$V$5</c:f>
              <c:numCache/>
            </c:numRef>
          </c:val>
        </c:ser>
        <c:axId val="1693272701"/>
        <c:axId val="1755918323"/>
      </c:barChart>
      <c:catAx>
        <c:axId val="16932727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5918323"/>
      </c:catAx>
      <c:valAx>
        <c:axId val="1755918323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693272701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3C3C3C"/>
                </a:solidFill>
                <a:latin typeface="+mn-lt"/>
              </a:defRPr>
            </a:pPr>
            <a:r>
              <a:rPr b="1" i="0">
                <a:solidFill>
                  <a:srgbClr val="3C3C3C"/>
                </a:solidFill>
                <a:latin typeface="+mn-lt"/>
              </a:rPr>
              <a:t>Disponibilidade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Apoio!$A$28:$A$31</c:f>
            </c:strRef>
          </c:cat>
          <c:val>
            <c:numRef>
              <c:f>Apoio!$B$28:$B$31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Status de Reports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Apoio!$B$40</c:f>
            </c:strRef>
          </c:tx>
          <c:cat>
            <c:strRef>
              <c:f>Apoio!$A$41:$A$47</c:f>
            </c:strRef>
          </c:cat>
          <c:val>
            <c:numRef>
              <c:f>Apoio!$B$41:$B$47</c:f>
              <c:numCache/>
            </c:numRef>
          </c:val>
        </c:ser>
        <c:axId val="1442883057"/>
        <c:axId val="511806877"/>
      </c:barChart>
      <c:catAx>
        <c:axId val="14428830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 Narrow"/>
              </a:defRPr>
            </a:pPr>
          </a:p>
        </c:txPr>
        <c:crossAx val="511806877"/>
      </c:catAx>
      <c:valAx>
        <c:axId val="51180687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44288305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Recusas _ Motivo</a:t>
            </a:r>
          </a:p>
        </c:rich>
      </c:tx>
      <c:overlay val="0"/>
    </c:title>
    <c:plotArea>
      <c:layout>
        <c:manualLayout>
          <c:xMode val="edge"/>
          <c:yMode val="edge"/>
          <c:x val="0.020318021201413426"/>
          <c:y val="0.15648496240601503"/>
          <c:w val="0.9566696113074203"/>
          <c:h val="0.6733082706766919"/>
        </c:manualLayout>
      </c:layout>
      <c:barChart>
        <c:barDir val="col"/>
        <c:ser>
          <c:idx val="0"/>
          <c:order val="0"/>
          <c:tx>
            <c:strRef>
              <c:f>Apoio!$R$2:$R$3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38761D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Apoio!$Q$4:$Q$8</c:f>
            </c:strRef>
          </c:cat>
          <c:val>
            <c:numRef>
              <c:f>Apoio!$R$4:$R$8</c:f>
              <c:numCache/>
            </c:numRef>
          </c:val>
        </c:ser>
        <c:axId val="1683805642"/>
        <c:axId val="1741959194"/>
      </c:barChart>
      <c:catAx>
        <c:axId val="1683805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1959194"/>
      </c:catAx>
      <c:valAx>
        <c:axId val="174195919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16838056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0139593908629414"/>
          <c:y val="0.0525641025641026"/>
          <c:w val="0.9216985247461928"/>
          <c:h val="0.8784254807692307"/>
        </c:manualLayout>
      </c:layout>
      <c:barChart>
        <c:barDir val="col"/>
        <c:ser>
          <c:idx val="0"/>
          <c:order val="0"/>
          <c:tx>
            <c:strRef>
              <c:f>Apoio!$U$14</c:f>
            </c:strRef>
          </c:tx>
          <c:cat>
            <c:strRef>
              <c:f>Apoio!$S$15:$S$34</c:f>
            </c:strRef>
          </c:cat>
          <c:val>
            <c:numRef>
              <c:f>Apoio!$U$15:$U$34</c:f>
              <c:numCache/>
            </c:numRef>
          </c:val>
        </c:ser>
        <c:axId val="1459590677"/>
        <c:axId val="1231995660"/>
      </c:barChart>
      <c:catAx>
        <c:axId val="1459590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31995660"/>
      </c:catAx>
      <c:valAx>
        <c:axId val="12319956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59590677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Faturamento/Motorista</a:t>
            </a:r>
          </a:p>
        </c:rich>
      </c:tx>
      <c:overlay val="0"/>
    </c:title>
    <c:plotArea>
      <c:layout>
        <c:manualLayout>
          <c:xMode val="edge"/>
          <c:yMode val="edge"/>
          <c:x val="0.14723032069970846"/>
          <c:y val="0.09722222222222222"/>
          <c:w val="0.7145930411236535"/>
          <c:h val="0.9027777777777778"/>
        </c:manualLayout>
      </c:layout>
      <c:barChart>
        <c:barDir val="bar"/>
        <c:ser>
          <c:idx val="0"/>
          <c:order val="0"/>
          <c:tx>
            <c:strRef>
              <c:f>Apoio!$G$68</c:f>
            </c:strRef>
          </c:tx>
          <c:spPr>
            <a:solidFill>
              <a:srgbClr val="0C343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Apoio!$F$69:$F$93</c:f>
            </c:strRef>
          </c:cat>
          <c:val>
            <c:numRef>
              <c:f>Apoio!$G$69:$G$93</c:f>
              <c:numCache/>
            </c:numRef>
          </c:val>
        </c:ser>
        <c:axId val="344604475"/>
        <c:axId val="768764354"/>
      </c:barChart>
      <c:catAx>
        <c:axId val="3446044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 Narrow"/>
              </a:defRPr>
            </a:pPr>
          </a:p>
        </c:txPr>
        <c:crossAx val="768764354"/>
      </c:catAx>
      <c:valAx>
        <c:axId val="768764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chemeClr val="lt1"/>
                </a:solidFill>
                <a:latin typeface="Roboto"/>
              </a:defRPr>
            </a:pPr>
          </a:p>
        </c:txPr>
        <c:crossAx val="34460447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Modalidade Retorno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Apoio!$K$13</c:f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Apoio!$J$14:$J$20</c:f>
            </c:strRef>
          </c:cat>
          <c:val>
            <c:numRef>
              <c:f>Apoio!$K$14:$K$20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Destino do Retorno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Apoio!$O$35</c:f>
            </c:strRef>
          </c:tx>
          <c:dPt>
            <c:idx val="0"/>
            <c:explosion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chemeClr val="accent3"/>
              </a:solidFill>
            </c:spPr>
          </c:dPt>
          <c:dPt>
            <c:idx val="2"/>
            <c:spPr>
              <a:solidFill>
                <a:srgbClr val="CC0000"/>
              </a:solidFill>
            </c:spPr>
          </c:dPt>
          <c:dPt>
            <c:idx val="3"/>
            <c:explosion val="0"/>
            <c:spPr>
              <a:solidFill>
                <a:srgbClr val="0000FF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explosion val="0"/>
            <c:spPr>
              <a:solidFill>
                <a:srgbClr val="1F4E78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Apoio!$N$36:$N$43</c:f>
            </c:strRef>
          </c:cat>
          <c:val>
            <c:numRef>
              <c:f>Apoio!$O$36:$O$43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R$/Km por Origem</a:t>
            </a:r>
          </a:p>
        </c:rich>
      </c:tx>
      <c:overlay val="0"/>
    </c:title>
    <c:plotArea>
      <c:layout>
        <c:manualLayout>
          <c:xMode val="edge"/>
          <c:yMode val="edge"/>
          <c:x val="0.04083333333333333"/>
          <c:y val="0.09102564102564102"/>
          <c:w val="0.9282500000000002"/>
          <c:h val="0.8104568387587255"/>
        </c:manualLayout>
      </c:layout>
      <c:barChart>
        <c:barDir val="col"/>
        <c:ser>
          <c:idx val="0"/>
          <c:order val="0"/>
          <c:tx>
            <c:strRef>
              <c:f>Apoio!$P$13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Apoio!$N$14:$N$19</c:f>
            </c:strRef>
          </c:cat>
          <c:val>
            <c:numRef>
              <c:f>Apoio!$P$14:$P$19</c:f>
              <c:numCache/>
            </c:numRef>
          </c:val>
        </c:ser>
        <c:axId val="1829526215"/>
        <c:axId val="21425932"/>
      </c:barChart>
      <c:catAx>
        <c:axId val="1829526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1425932"/>
      </c:catAx>
      <c:valAx>
        <c:axId val="214259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chemeClr val="lt1"/>
                </a:solidFill>
                <a:latin typeface="+mn-lt"/>
              </a:defRPr>
            </a:pPr>
          </a:p>
        </c:txPr>
        <c:crossAx val="182952621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R$/Km por Modalidade</a:t>
            </a:r>
          </a:p>
        </c:rich>
      </c:tx>
      <c:overlay val="0"/>
    </c:title>
    <c:plotArea>
      <c:layout>
        <c:manualLayout>
          <c:xMode val="edge"/>
          <c:yMode val="edge"/>
          <c:x val="0.04083333333333333"/>
          <c:y val="0.06617250673854451"/>
          <c:w val="0.9282500000000001"/>
          <c:h val="0.835309973045822"/>
        </c:manualLayout>
      </c:layout>
      <c:barChart>
        <c:barDir val="col"/>
        <c:ser>
          <c:idx val="0"/>
          <c:order val="0"/>
          <c:tx>
            <c:strRef>
              <c:f>Apoio!$P$23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Apoio!$N$24:$N$27</c:f>
            </c:strRef>
          </c:cat>
          <c:val>
            <c:numRef>
              <c:f>Apoio!$P$24:$P$27</c:f>
              <c:numCache/>
            </c:numRef>
          </c:val>
        </c:ser>
        <c:axId val="1586797368"/>
        <c:axId val="1066137263"/>
      </c:barChart>
      <c:catAx>
        <c:axId val="1586797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066137263"/>
      </c:catAx>
      <c:valAx>
        <c:axId val="10661372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chemeClr val="lt1"/>
                </a:solidFill>
                <a:latin typeface="+mn-lt"/>
              </a:defRPr>
            </a:pPr>
          </a:p>
        </c:txPr>
        <c:crossAx val="15867973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Média tempo de espera (h)</a:t>
            </a:r>
          </a:p>
        </c:rich>
      </c:tx>
      <c:overlay val="0"/>
    </c:title>
    <c:plotArea>
      <c:layout>
        <c:manualLayout>
          <c:xMode val="edge"/>
          <c:yMode val="edge"/>
          <c:x val="0.04083333333333333"/>
          <c:y val="0.06617250673854451"/>
          <c:w val="0.9282500000000001"/>
          <c:h val="0.835309973045822"/>
        </c:manualLayout>
      </c:layout>
      <c:barChart>
        <c:barDir val="col"/>
        <c:ser>
          <c:idx val="0"/>
          <c:order val="0"/>
          <c:tx>
            <c:strRef>
              <c:f>Apoio!$L$23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Apoio!$J$24:$J$27</c:f>
            </c:strRef>
          </c:cat>
          <c:val>
            <c:numRef>
              <c:f>Apoio!$L$24:$L$27</c:f>
              <c:numCache/>
            </c:numRef>
          </c:val>
        </c:ser>
        <c:axId val="36603794"/>
        <c:axId val="1408528102"/>
      </c:barChart>
      <c:catAx>
        <c:axId val="36603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08528102"/>
      </c:catAx>
      <c:valAx>
        <c:axId val="140852810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chemeClr val="lt1"/>
                </a:solidFill>
                <a:latin typeface="+mn-lt"/>
              </a:defRPr>
            </a:pPr>
          </a:p>
        </c:txPr>
        <c:crossAx val="366037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47</xdr:row>
      <xdr:rowOff>142875</xdr:rowOff>
    </xdr:from>
    <xdr:ext cx="7610475" cy="2847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381000</xdr:colOff>
      <xdr:row>98</xdr:row>
      <xdr:rowOff>190500</xdr:rowOff>
    </xdr:from>
    <xdr:ext cx="7248525" cy="25050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95250</xdr:colOff>
      <xdr:row>47</xdr:row>
      <xdr:rowOff>142875</xdr:rowOff>
    </xdr:from>
    <xdr:ext cx="6943725" cy="2847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84</xdr:row>
      <xdr:rowOff>76200</xdr:rowOff>
    </xdr:from>
    <xdr:ext cx="7677150" cy="25050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57150</xdr:colOff>
      <xdr:row>0</xdr:row>
      <xdr:rowOff>66675</xdr:rowOff>
    </xdr:from>
    <xdr:ext cx="5010150" cy="44577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590550</xdr:colOff>
      <xdr:row>0</xdr:row>
      <xdr:rowOff>66675</xdr:rowOff>
    </xdr:from>
    <xdr:ext cx="6219825" cy="44577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381000</xdr:colOff>
      <xdr:row>84</xdr:row>
      <xdr:rowOff>76200</xdr:rowOff>
    </xdr:from>
    <xdr:ext cx="7248525" cy="28479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57150</xdr:colOff>
      <xdr:row>31</xdr:row>
      <xdr:rowOff>28575</xdr:rowOff>
    </xdr:from>
    <xdr:ext cx="14497050" cy="28479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11</xdr:col>
      <xdr:colOff>704850</xdr:colOff>
      <xdr:row>0</xdr:row>
      <xdr:rowOff>66675</xdr:rowOff>
    </xdr:from>
    <xdr:ext cx="3267075" cy="44577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7610475" cy="32670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</xdr:colOff>
      <xdr:row>0</xdr:row>
      <xdr:rowOff>66675</xdr:rowOff>
    </xdr:from>
    <xdr:ext cx="7343775" cy="32670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16</xdr:row>
      <xdr:rowOff>142875</xdr:rowOff>
    </xdr:from>
    <xdr:ext cx="7610475" cy="37147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9525</xdr:colOff>
      <xdr:row>16</xdr:row>
      <xdr:rowOff>142875</xdr:rowOff>
    </xdr:from>
    <xdr:ext cx="7343775" cy="371475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57150</xdr:colOff>
      <xdr:row>35</xdr:row>
      <xdr:rowOff>57150</xdr:rowOff>
    </xdr:from>
    <xdr:ext cx="7610475" cy="36480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tellyn Dombroski" id="{3815dd20-2e1f-4b38-85c1-75b212f2543f}" providerId="google-sheets"/>
  <x18tc:person displayName="Anonymous" id="{e679462e-42b0-4709-9295-66e07f82992a}" providerId="google-sheets"/>
  <x18tc:person displayName="Carlos Steiner" id="{10e26c89-0f7e-4c89-ac9f-aa4799011696}" providerId="google-sheets"/>
  <x18tc:person displayName="Ritmo Ponta Grossa" id="{bd1e55c3-3473-4fa3-9268-b213b41f1e3b}" providerId="google-sheets"/>
  <x18tc:person displayName="Camila Rosa" id="{e56059e6-f6ba-4fc8-8896-ca87d8a9aa08}" providerId="google-sheets"/>
  <x18tc:person displayName="Michel Brito" id="{197be102-13af-451f-b7c7-f8af53ca47e5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224" sheet="BD_OTM"/>
  </cacheSource>
  <cacheFields>
    <cacheField name="Status Aceite" numFmtId="0">
      <sharedItems>
        <s v="Aceite"/>
        <s v="Recusa"/>
      </sharedItems>
    </cacheField>
    <cacheField name="Status da Oferta" numFmtId="0">
      <sharedItems>
        <s v="Aceite"/>
        <s v="Valor de Frete Incorreto / Tarifa Desatualizada"/>
        <s v="Problema de Capacidade de Caminhão"/>
        <s v="Incapaz de Cumprir os Prazos de Coleta"/>
        <s v="Problema de Tipo de Caminhão"/>
        <s v="Tempo Excedido"/>
      </sharedItems>
    </cacheField>
    <cacheField name="PK" numFmtId="0">
      <sharedItems containsSemiMixedTypes="0" containsString="0" containsNumber="1" containsInteger="1">
        <n v="5.0509384E7"/>
        <n v="5.047635E7"/>
        <n v="5.0477397E7"/>
        <n v="5.0632181E7"/>
        <n v="5.0632182E7"/>
        <n v="5.0505859E7"/>
        <n v="5.0498532E7"/>
        <n v="5.0578995E7"/>
        <n v="5.0578994E7"/>
        <n v="5.0441574E7"/>
        <n v="5.0651067E7"/>
        <n v="5.0643426E7"/>
        <n v="5.066371E7"/>
        <n v="5.0648716E7"/>
        <n v="5.0641803E7"/>
        <n v="5.0643431E7"/>
        <n v="5.0653512E7"/>
        <n v="5.0647854E7"/>
        <n v="5.0653509E7"/>
        <n v="5.0643427E7"/>
        <n v="5.0653514E7"/>
        <n v="5.0652723E7"/>
        <n v="5.065351E7"/>
        <n v="5.0655157E7"/>
        <n v="5.0643424E7"/>
        <n v="5.064507E7"/>
        <n v="5.0649173E7"/>
        <n v="5.0649175E7"/>
        <n v="5.0649174E7"/>
        <n v="5.1144209E7"/>
        <n v="5.0585533E7"/>
        <n v="5.0585534E7"/>
        <n v="5.0650616E7"/>
        <n v="5.0650617E7"/>
        <n v="5.0641804E7"/>
        <n v="5.0651068E7"/>
        <n v="5.0646239E7"/>
        <n v="5.0649181E7"/>
        <n v="5.0677006E7"/>
        <n v="5.0677012E7"/>
        <n v="5.0677009E7"/>
        <n v="5.0677008E7"/>
        <n v="5.0677005E7"/>
        <n v="5.0677007E7"/>
        <n v="5.0677002E7"/>
        <n v="5.0677003E7"/>
        <n v="5.0677004E7"/>
        <n v="5.0677011E7"/>
        <n v="5.0677013E7"/>
        <n v="5.067701E7"/>
        <n v="5.0772643E7"/>
        <n v="5.0755221E7"/>
        <n v="5.0825099E7"/>
        <n v="5.0825101E7"/>
        <n v="5.0825097E7"/>
        <n v="5.0825102E7"/>
        <n v="5.0823643E7"/>
        <n v="5.08251E7"/>
        <n v="5.0825107E7"/>
        <n v="5.0825111E7"/>
        <n v="5.0825095E7"/>
        <n v="5.0823645E7"/>
        <n v="5.0825112E7"/>
        <n v="5.0825091E7"/>
        <n v="5.0823644E7"/>
        <n v="5.0825113E7"/>
        <n v="5.0825096E7"/>
        <n v="5.0825109E7"/>
        <n v="5.0823647E7"/>
        <n v="5.0825104E7"/>
        <n v="5.0825098E7"/>
        <n v="5.0823646E7"/>
        <n v="5.0822395E7"/>
        <n v="5.1476027E7"/>
        <n v="5.0652732E7"/>
        <n v="5.0655156E7"/>
        <n v="5.0647852E7"/>
        <n v="5.066525E7"/>
        <n v="5.0665249E7"/>
        <n v="5.0665253E7"/>
        <n v="5.0817764E7"/>
        <n v="5.0817765E7"/>
        <n v="5.0846968E7"/>
        <n v="5.0927977E7"/>
        <n v="5.0928352E7"/>
        <n v="5.0971703E7"/>
        <n v="5.0971704E7"/>
        <n v="5.0976835E7"/>
        <n v="5.1009436E7"/>
        <n v="5.1511995E7"/>
        <n v="5.0768171E7"/>
        <n v="5.075522E7"/>
        <n v="5.0838131E7"/>
        <n v="5.1461147E7"/>
        <n v="5.1511996E7"/>
        <n v="5.1167316E7"/>
        <n v="5.1197832E7"/>
        <n v="5.1511994E7"/>
        <n v="5.0828912E7"/>
        <n v="5.1322887E7"/>
        <n v="5.1322888E7"/>
        <n v="5.1322885E7"/>
        <n v="5.1673677E7"/>
        <n v="5.1288714E7"/>
        <n v="5.1338451E7"/>
        <n v="5.133845E7"/>
        <n v="5.1322891E7"/>
        <n v="5.1108832E7"/>
        <n v="5.110883E7"/>
        <n v="5.1362086E7"/>
        <n v="5.1775767E7"/>
        <n v="5.1451116E7"/>
        <n v="5.1775772E7"/>
        <n v="5.1775768E7"/>
        <n v="5.1102202E7"/>
        <n v="5.1170176E7"/>
        <n v="5.1322889E7"/>
        <n v="5.1175285E7"/>
        <n v="5.1159301E7"/>
        <n v="5.1159262E7"/>
        <n v="5.1322886E7"/>
        <n v="5.132289E7"/>
        <n v="5.1197831E7"/>
        <n v="5.1191493E7"/>
        <n v="5.1292644E7"/>
        <n v="5.1292645E7"/>
        <n v="5.1338449E7"/>
        <n v="5.1346813E7"/>
        <n v="5.1674841E7"/>
        <n v="5.1160223E7"/>
        <n v="5.1282092E7"/>
        <n v="5.1294657E7"/>
        <n v="5.1288136E7"/>
        <n v="5.1322884E7"/>
        <n v="5.1320273E7"/>
        <n v="5.1292646E7"/>
        <n v="5.1680443E7"/>
        <n v="5.1675268E7"/>
        <n v="5.2239792E7"/>
        <n v="5.2239793E7"/>
        <n v="5.1853511E7"/>
        <n v="5.1776739E7"/>
        <n v="5.1794718E7"/>
        <n v="5.2849439E7"/>
        <n v="5.208233E7"/>
        <n v="5.2092589E7"/>
        <n v="5.2330404E7"/>
        <n v="5.2297686E7"/>
        <n v="5.2330406E7"/>
        <n v="5.2887691E7"/>
        <n v="5.233041E7"/>
        <n v="5.2331506E7"/>
        <n v="5.2331507E7"/>
        <n v="5.2522357E7"/>
        <n v="5.208362E7"/>
        <n v="5.2111924E7"/>
        <n v="5.2330401E7"/>
        <n v="5.2330416E7"/>
        <n v="5.2330405E7"/>
        <n v="5.2308606E7"/>
        <n v="5.2330402E7"/>
        <n v="5.2445441E7"/>
        <n v="5.2442018E7"/>
        <n v="5.2500527E7"/>
        <n v="5.2534676E7"/>
        <n v="5.2853947E7"/>
        <n v="5.23304E7"/>
        <n v="5.2330415E7"/>
        <n v="5.2330403E7"/>
        <n v="5.308838E7"/>
        <n v="5.2225491E7"/>
        <n v="5.2220321E7"/>
        <n v="5.2225484E7"/>
        <n v="5.2225489E7"/>
        <n v="5.3093375E7"/>
        <n v="5.3093376E7"/>
        <n v="5.2235348E7"/>
        <n v="5.3093374E7"/>
        <n v="5.2235347E7"/>
        <n v="5.2220229E7"/>
        <n v="5.3104909E7"/>
        <n v="5.2290197E7"/>
        <n v="5.3182147E7"/>
        <n v="5.2332574E7"/>
        <n v="5.3093377E7"/>
        <n v="5.233797E7"/>
        <n v="5.2445429E7"/>
        <n v="5.317163E7"/>
        <n v="5.2700874E7"/>
        <n v="5.2710496E7"/>
        <n v="5.2710503E7"/>
        <n v="5.2515529E7"/>
        <n v="5.2432971E7"/>
        <n v="5.2700879E7"/>
        <n v="5.3155261E7"/>
        <n v="5.289506E7"/>
        <n v="5.2899369E7"/>
        <n v="5.289608E7"/>
        <n v="5.3120629E7"/>
        <n v="5.312063E7"/>
        <n v="5.3120628E7"/>
        <n v="5.3120627E7"/>
        <n v="5.2636534E7"/>
        <n v="5.2636908E7"/>
        <n v="5.2699639E7"/>
        <n v="5.2699635E7"/>
        <n v="5.2823548E7"/>
        <n v="5.3155259E7"/>
        <n v="5.3088264E7"/>
        <n v="5.2735002E7"/>
        <n v="5.2909744E7"/>
        <n v="5.2889521E7"/>
        <n v="5.2925405E7"/>
        <n v="5.3155971E7"/>
        <n v="5.3120161E7"/>
        <n v="5.3075547E7"/>
        <n v="5.3075548E7"/>
        <n v="5.3152046E7"/>
        <n v="5.315349E7"/>
        <n v="5.3160953E7"/>
        <n v="5.3160954E7"/>
        <n v="5.3153391E7"/>
        <n v="5.3164891E7"/>
      </sharedItems>
    </cacheField>
    <cacheField name="Remessa" numFmtId="0">
      <sharedItems containsSemiMixedTypes="0" containsString="0" containsNumber="1" containsInteger="1">
        <n v="1.000597509E9"/>
        <n v="1.000597903E9"/>
        <n v="1.000598006E9"/>
        <n v="1.000599667E9"/>
        <n v="1.00059969E9"/>
        <n v="1.000604254E9"/>
        <n v="1.000604328E9"/>
        <n v="1.00060442E9"/>
        <n v="1.000604449E9"/>
        <n v="1.000602997E9"/>
        <n v="1.000606688E9"/>
        <n v="1.00060671E9"/>
        <n v="1.000606717E9"/>
        <n v="1.000606835E9"/>
        <n v="1.000606863E9"/>
        <n v="1.000606933E9"/>
        <n v="1.000606714E9"/>
        <n v="1.000606724E9"/>
        <n v="1.000606734E9"/>
        <n v="1.000606745E9"/>
        <n v="1.000606747E9"/>
        <n v="1.000606754E9"/>
        <n v="1.00060677E9"/>
        <n v="1.000606778E9"/>
        <n v="1.00060693E9"/>
        <n v="1.000607158E9"/>
        <n v="1.000607175E9"/>
        <n v="1.000607233E9"/>
        <n v="1.000607291E9"/>
        <n v="1.000604457E9"/>
        <n v="1.000605415E9"/>
        <n v="1.000605416E9"/>
        <n v="1.000606695E9"/>
        <n v="1.000606774E9"/>
        <n v="1.00060689E9"/>
        <n v="1.000606901E9"/>
        <n v="1.000606958E9"/>
        <n v="1.000607109E9"/>
        <n v="1.000607486E9"/>
        <n v="1.000607487E9"/>
        <n v="1.000607493E9"/>
        <n v="1.000607495E9"/>
        <n v="1.000607499E9"/>
        <n v="1.000607501E9"/>
        <n v="1.000607502E9"/>
        <n v="1.000607504E9"/>
        <n v="1.000607508E9"/>
        <n v="1.000607512E9"/>
        <n v="1.000607513E9"/>
        <n v="1.000607516E9"/>
        <n v="1.000608525E9"/>
        <n v="1.00060888E9"/>
        <n v="1.000610566E9"/>
        <n v="1.00061057E9"/>
        <n v="1.000610573E9"/>
        <n v="1.000610574E9"/>
        <n v="1.000610577E9"/>
        <n v="1.000610579E9"/>
        <n v="1.00061058E9"/>
        <n v="1.000610581E9"/>
        <n v="1.000610586E9"/>
        <n v="1.000610588E9"/>
        <n v="1.00061059E9"/>
        <n v="1.000610598E9"/>
        <n v="1.0006106E9"/>
        <n v="1.00061062E9"/>
        <n v="1.000610622E9"/>
        <n v="1.000610628E9"/>
        <n v="1.000610636E9"/>
        <n v="1.000610641E9"/>
        <n v="1.000610643E9"/>
        <n v="1.000610655E9"/>
        <n v="1.000610745E9"/>
        <n v="1.000606691E9"/>
        <n v="1.000606692E9"/>
        <n v="1.000606696E9"/>
        <n v="1.00060676E9"/>
        <n v="1.000607099E9"/>
        <n v="1.000607296E9"/>
        <n v="1.000607311E9"/>
        <n v="1.000610591E9"/>
        <n v="1.000610654E9"/>
        <n v="1.000610928E9"/>
        <n v="1.000612319E9"/>
        <n v="1.00061232E9"/>
        <n v="1.00061326E9"/>
        <n v="1.000613289E9"/>
        <n v="1.000613612E9"/>
        <n v="1.000613944E9"/>
        <n v="1.000607102E9"/>
        <n v="1.000608609E9"/>
        <n v="1.000608823E9"/>
        <n v="1.000610971E9"/>
        <n v="1.000612196E9"/>
        <n v="1.000613272E9"/>
        <n v="1.000616472E9"/>
        <n v="1.00061741E9"/>
        <n v="1.000621559E9"/>
        <n v="1.000610602E9"/>
        <n v="1.000612279E9"/>
        <n v="1.000612295E9"/>
        <n v="1.000612301E9"/>
        <n v="1.000613952E9"/>
        <n v="1.000619008E9"/>
        <n v="1.000619857E9"/>
        <n v="1.000619859E9"/>
        <n v="1.000613394E9"/>
        <n v="1.000615452E9"/>
        <n v="1.000615552E9"/>
        <n v="1.000620251E9"/>
        <n v="1.000621344E9"/>
        <n v="1.000621549E9"/>
        <n v="1.000624385E9"/>
        <n v="1.00062624E9"/>
        <n v="1.000615336E9"/>
        <n v="1.000616425E9"/>
        <n v="1.00061652E9"/>
        <n v="1.000616538E9"/>
        <n v="1.000616581E9"/>
        <n v="1.000616626E9"/>
        <n v="1.000616641E9"/>
        <n v="1.000616813E9"/>
        <n v="1.000617415E9"/>
        <n v="1.000617436E9"/>
        <n v="1.000619012E9"/>
        <n v="1.000619013E9"/>
        <n v="1.000619856E9"/>
        <n v="1.00061986E9"/>
        <n v="1.000626251E9"/>
        <n v="1.000616801E9"/>
        <n v="1.00061877E9"/>
        <n v="1.000618856E9"/>
        <n v="1.000618896E9"/>
        <n v="1.00061892E9"/>
        <n v="1.000618993E9"/>
        <n v="1.00061901E9"/>
        <n v="1.000626243E9"/>
        <n v="1.00062626E9"/>
        <n v="1.000621402E9"/>
        <n v="1.000621444E9"/>
        <n v="1.000629651E9"/>
        <n v="1.000627979E9"/>
        <n v="1.000628054E9"/>
        <n v="1.000636934E9"/>
        <n v="1.000633184E9"/>
        <n v="1.000633208E9"/>
        <n v="1.000636832E9"/>
        <n v="1.00063689E9"/>
        <n v="1.000636914E9"/>
        <n v="1.000637042E9"/>
        <n v="1.000637181E9"/>
        <n v="1.000637413E9"/>
        <n v="1.000637419E9"/>
        <n v="1.000640169E9"/>
        <n v="1.000633104E9"/>
        <n v="1.00063311E9"/>
        <n v="1.00063686E9"/>
        <n v="1.000636871E9"/>
        <n v="1.000636903E9"/>
        <n v="1.00063693E9"/>
        <n v="1.000636947E9"/>
        <n v="1.000638864E9"/>
        <n v="1.000638879E9"/>
        <n v="1.000640324E9"/>
        <n v="1.000640539E9"/>
        <n v="1.000643767E9"/>
        <n v="1.000635094E9"/>
        <n v="1.000635107E9"/>
        <n v="1.000635159E9"/>
        <n v="1.000635186E9"/>
        <n v="1.000635622E9"/>
        <n v="1.000635624E9"/>
        <n v="1.000635628E9"/>
        <n v="1.000635646E9"/>
        <n v="1.000635657E9"/>
        <n v="1.000635658E9"/>
        <n v="1.000635662E9"/>
        <n v="1.000635677E9"/>
        <n v="1.000635693E9"/>
        <n v="1.000635718E9"/>
        <n v="1.000635724E9"/>
        <n v="1.000636299E9"/>
        <n v="1.000636939E9"/>
        <n v="1.000637426E9"/>
        <n v="1.000637442E9"/>
        <n v="1.000637464E9"/>
        <n v="1.000638688E9"/>
        <n v="1.000642138E9"/>
        <n v="1.000643227E9"/>
        <n v="1.00064331E9"/>
        <n v="1.000643315E9"/>
        <n v="1.000638657E9"/>
        <n v="1.000638801E9"/>
        <n v="1.000643222E9"/>
        <n v="1.000643262E9"/>
        <n v="1.000646406E9"/>
        <n v="1.000646438E9"/>
        <n v="1.000646698E9"/>
        <n v="1.000646927E9"/>
        <n v="1.000646969E9"/>
        <n v="1.000646981E9"/>
        <n v="1.000646985E9"/>
        <n v="1.000642039E9"/>
        <n v="1.000642058E9"/>
        <n v="1.000643462E9"/>
        <n v="1.000643469E9"/>
        <n v="1.000645487E9"/>
        <n v="1.000647066E9"/>
        <n v="1.000648364E9"/>
        <n v="1.000643854E9"/>
        <n v="1.000646444E9"/>
        <n v="1.0006466E9"/>
        <n v="1.000646928E9"/>
        <n v="1.000649903E9"/>
        <n v="1.000648375E9"/>
        <n v="1.000648422E9"/>
        <n v="1.000648444E9"/>
        <n v="1.000649769E9"/>
        <n v="1.000649571E9"/>
        <n v="1.000649612E9"/>
        <n v="1.000649613E9"/>
        <n v="1.000649819E9"/>
        <n v="1.00064983E9"/>
      </sharedItems>
    </cacheField>
    <cacheField name="Indicador" numFmtId="0">
      <sharedItems>
        <s v="G"/>
        <s v="Y"/>
      </sharedItems>
    </cacheField>
    <cacheField name="DEL LINK" numFmtId="0">
      <sharedItems containsString="0" containsBlank="1" containsNumber="1" containsInteger="1">
        <m/>
        <n v="4.503341395E9"/>
        <n v="4.503346253E9"/>
        <n v="3895293.0"/>
        <n v="3897020.0"/>
        <n v="3895277.0"/>
        <n v="3893529.0"/>
        <n v="3894955.0"/>
        <n v="3893513.0"/>
        <n v="3895331.0"/>
        <n v="3893616.0"/>
        <n v="3893515.0"/>
        <n v="3893615.0"/>
        <n v="3893517.0"/>
        <n v="4.503346289E9"/>
        <n v="4.503346297E9"/>
        <n v="3897342.0"/>
        <n v="3897409.0"/>
        <n v="3897926.0"/>
        <n v="3898036.0"/>
        <n v="3897724.0"/>
        <n v="3897892.0"/>
        <n v="3897903.0"/>
        <n v="3898018.0"/>
        <n v="3897977.0"/>
        <n v="3897703.0"/>
        <n v="3898002.0"/>
        <n v="3897734.0"/>
        <n v="3897920.0"/>
        <n v="3897887.0"/>
        <n v="3898156.0"/>
        <n v="3898472.0"/>
        <n v="3898467.0"/>
        <n v="3898146.0"/>
        <n v="3893619.0"/>
        <n v="3898062.0"/>
        <n v="3898487.0"/>
        <n v="3898168.0"/>
        <n v="3898130.0"/>
        <n v="3893626.0"/>
        <n v="3898294.0"/>
        <n v="3898598.0"/>
        <n v="3893613.0"/>
        <n v="3898506.0"/>
        <n v="3898045.0"/>
        <n v="3898585.0"/>
        <n v="3893584.0"/>
        <n v="3898103.0"/>
        <n v="3898648.0"/>
        <n v="3893607.0"/>
        <n v="4.503348153E9"/>
        <n v="3894983.0"/>
        <n v="3893621.0"/>
        <n v="3893602.0"/>
        <n v="3894963.0"/>
        <n v="4.50334802E9"/>
        <n v="4.503348027E9"/>
        <n v="4.503348019E9"/>
        <n v="3895406.0"/>
        <n v="3896188.0"/>
        <n v="3896214.0"/>
        <n v="3896195.0"/>
        <n v="4.503348044E9"/>
        <n v="3900251.0"/>
        <n v="3896291.0"/>
        <n v="3897672.0"/>
        <n v="3901067.0"/>
        <n v="3897673.0"/>
        <n v="3891908.0"/>
        <n v="3897295.0"/>
        <n v="3894910.0"/>
        <n v="4.503350987E9"/>
        <n v="3902304.0"/>
        <n v="3901568.0"/>
        <n v="3908566.0"/>
        <n v="3902351.0"/>
        <n v="3902350.0"/>
        <n v="3897657.0"/>
        <n v="3895314.0"/>
        <n v="3897720.0"/>
        <n v="3897721.0"/>
        <n v="3895309.0"/>
        <n v="4.503349859E9"/>
        <n v="3901557.0"/>
        <n v="3895297.0"/>
        <n v="3896223.0"/>
        <n v="3908567.0"/>
        <n v="3901372.0"/>
        <n v="4.503356196E9"/>
        <n v="3914080.0"/>
        <n v="3914095.0"/>
        <n v="3894019.0"/>
        <n v="3902715.0"/>
        <n v="4.503355608E9"/>
        <n v="4.503355541E9"/>
        <n v="4.50335632E9"/>
        <n v="3916510.0"/>
        <n v="3916513.0"/>
        <n v="3894020.0"/>
        <n v="3916296.0"/>
        <n v="3917715.0"/>
        <n v="4.503356822E9"/>
        <n v="3911106.0"/>
        <n v="3893824.0"/>
        <n v="3895316.0"/>
        <n v="3916141.0"/>
        <n v="4.50335775E9"/>
        <n v="3901614.0"/>
        <n v="4.503356961E9"/>
        <n v="3915173.0"/>
        <n v="3902688.0"/>
        <n v="4.503357951E9"/>
        <n v="3899719.0"/>
        <n v="3917716.0"/>
      </sharedItems>
    </cacheField>
    <cacheField name="Channel Type" numFmtId="0">
      <sharedItems>
        <s v="DISTRIBUTOR"/>
        <s v="KEY ACCOUNT"/>
      </sharedItems>
    </cacheField>
    <cacheField name="Freight Cost">
      <sharedItems containsDate="1" containsMixedTypes="1">
        <s v="7601.97"/>
        <s v="7487.65"/>
        <s v="7411.44"/>
        <s v="4132.78"/>
        <d v="3123-11-01T00:00:00Z"/>
        <s v="5064.17"/>
        <s v="3157.14"/>
        <s v="14758.00"/>
        <s v="23400.00"/>
        <s v="17026.80"/>
        <s v="6900.00"/>
        <s v="4445.42"/>
        <s v="4405.34"/>
        <s v="10514.45"/>
        <s v="9180.00"/>
        <s v="10796.88"/>
        <s v="1225.06"/>
        <s v="2407.60"/>
        <s v="8770.59"/>
        <s v="3664.68"/>
        <s v="10200.00"/>
        <s v="20824.00"/>
        <s v="5130.00"/>
        <s v="11400.00"/>
        <s v="22800.00"/>
        <s v="15900.00"/>
        <s v="5700.00"/>
        <s v="17940.00"/>
        <s v="14011.30"/>
        <s v="14335.80"/>
        <s v="10771.65"/>
        <s v="8489.59"/>
        <s v="8253.44"/>
        <s v="5049.00"/>
        <s v="10000.00"/>
        <s v="12114.60"/>
        <s v="11759.34"/>
        <s v="1733.47"/>
        <s v="4550.82"/>
        <s v="6242.26"/>
        <s v="11989.95"/>
        <s v="2629.78"/>
        <s v="8980.00"/>
        <s v="24549.00"/>
        <s v="6406.28"/>
        <s v="12976.89"/>
        <s v="21211.38"/>
        <d v="5270-06-01T00:00:00Z"/>
        <s v="5288.98"/>
        <s v="11690.18"/>
        <s v="13890.24"/>
        <s v="24279.57"/>
        <s v="7008.21"/>
        <s v="23770.20"/>
        <s v="5729.50"/>
        <s v="8471.42"/>
        <s v="5500.00"/>
        <s v="12604.04"/>
        <s v="13200.00"/>
        <s v="18918.60"/>
        <s v="5950.00"/>
        <s v="2837.21"/>
        <s v="8301.52"/>
        <s v="19110.00"/>
        <d v="3194-10-01T00:00:00Z"/>
        <s v="9203.69"/>
        <s v="7436.84"/>
        <s v="12882.24"/>
        <s v="8352.00"/>
        <s v="2747.37"/>
        <s v="7143.22"/>
        <s v="7981.39"/>
        <s v="11439.85"/>
        <s v="7818.56"/>
        <s v="32898.00"/>
        <s v="14702.13"/>
        <s v="7831.26"/>
        <s v="12797.30"/>
        <s v="7690.89"/>
        <s v="14944.80"/>
        <s v="10748.40"/>
        <s v="8721.41"/>
        <s v="16492.00"/>
        <s v="30067.20"/>
        <d v="4735-05-01T00:00:00Z"/>
        <s v="13048.12"/>
        <s v="7767.75"/>
        <s v="7932.88"/>
        <s v="6500.00"/>
        <s v="6125.87"/>
        <s v="5324.00"/>
        <s v="9583.54"/>
        <s v="5988.19"/>
        <s v="10351.54"/>
        <s v="6858.89"/>
        <s v="5800.80"/>
        <s v="4797.22"/>
        <d v="6155-03-01T00:00:00Z"/>
        <s v="2644.70"/>
        <s v="9834.77"/>
        <d v="7628-02-01T00:00:00Z"/>
        <s v="4317.76"/>
        <s v="25638.60"/>
        <s v="9126.43"/>
        <s v="8199.63"/>
        <s v="36489.94"/>
        <s v="8160.00"/>
        <s v="11847.00"/>
        <s v="4400.00"/>
        <s v="13560.00"/>
        <s v="9018.00"/>
        <s v="4524.37"/>
        <s v="10930.15"/>
        <s v="5702.90"/>
        <d v="5930-12-01T00:00:00Z"/>
        <s v="6085.80"/>
      </sharedItems>
    </cacheField>
    <cacheField name="status da oferta2" numFmtId="0">
      <sharedItems>
        <s v="MODIFIED"/>
        <s v="NOT APPLICABLE"/>
        <s v="TIMED OUT"/>
        <s v="WITHDRAWN"/>
        <s v="TENDER CONFIRMED"/>
      </sharedItems>
    </cacheField>
    <cacheField name="ID do Local de Origem" numFmtId="0">
      <sharedItems>
        <s v="0187-ECP"/>
      </sharedItems>
    </cacheField>
    <cacheField name="Nome do Local de Origem" numFmtId="0">
      <sharedItems>
        <s v="FB PONTA GROSSA PR"/>
      </sharedItems>
    </cacheField>
    <cacheField name="Cidade de Origem" numFmtId="0">
      <sharedItems>
        <s v="PONTA GROSSA"/>
      </sharedItems>
    </cacheField>
    <cacheField name="ID do Local de Destino" numFmtId="0">
      <sharedItems>
        <s v="CC0243-ECP"/>
        <s v="CC0252-ECP"/>
        <s v="CC0241-ECP"/>
        <s v="CC0253-ECP"/>
        <s v="218066-ECP"/>
        <s v="218032-ECP"/>
        <s v="217900-ECP"/>
        <s v="218091-ECP"/>
        <s v="218058-ECP"/>
        <s v="2392754-ECP"/>
        <s v="217821-ECP"/>
        <s v="207627-ECP"/>
        <s v="221756-ECP"/>
        <s v="217909-ECP"/>
        <s v="CC0240-ECP"/>
        <s v="CC0248-ECP"/>
        <s v="CC0249-ECP"/>
        <s v="207603-ECP"/>
        <s v="211561-ECP"/>
        <s v="202094-ECP"/>
        <s v="CC0056-ECP"/>
        <s v="CC0244-ECP"/>
        <s v="CC0149-ECP"/>
        <s v="2147702-ECP"/>
        <s v="CC0245-ECP"/>
        <s v="212696-ECP"/>
        <s v="217808-ECP"/>
        <s v="204561-ECP"/>
        <s v="214870-ECP"/>
        <s v="205125-ECP"/>
        <s v="217751-ECP"/>
        <s v="216690-ECP"/>
        <s v="CC0247-ECP"/>
        <s v="217691-ECP"/>
        <s v="217985-ECP"/>
        <s v="218577-ECP"/>
        <s v="217519-ECP"/>
        <s v="217075-ECP"/>
        <s v="217755-ECP"/>
        <s v="217541-ECP"/>
        <s v="217521-ECP"/>
        <s v="204141-ECP"/>
        <s v="204248-ECP"/>
        <s v="223526-ECP"/>
        <s v="217757-ECP"/>
        <s v="204065-ECP"/>
        <s v="2319112-ECP"/>
        <s v="225380-ECP"/>
        <s v="210013-ECP"/>
        <s v="209247-ECP"/>
        <s v="220494-ECP"/>
        <s v="2020885-ECP"/>
        <s v="202266-ECP"/>
        <s v="224335-ECP"/>
        <s v="225005-ECP"/>
        <s v="210519-ECP"/>
        <s v="201665-ECP"/>
        <s v="216812-ECP"/>
        <s v="221387-ECP"/>
        <s v="2360557-ECP"/>
        <s v="200565-ECP"/>
        <s v="217066-ECP"/>
        <s v="CC0246-ECP"/>
        <s v="223396-ECP"/>
        <s v="224425-ECP"/>
        <s v="220681-ECP"/>
        <s v="217744-ECP"/>
        <s v="218013-ECP"/>
        <s v="221016-ECP"/>
        <s v="2095595-ECP"/>
        <s v="221005-ECP"/>
        <s v="218095-ECP"/>
        <s v="217855-ECP"/>
        <s v="2250161-ECP"/>
      </sharedItems>
    </cacheField>
    <cacheField name="Nome do Local de Destino" numFmtId="0">
      <sharedItems>
        <s v="HNK BR INDUSTRIA DE BEBIDAS LTDA."/>
        <s v="SPAL INDÚSTRIA BRASILEIRA DE BEBIDAS S/A"/>
        <s v="REFRESCOS BANDEIRANTES INDÚSTR COMÉRCIO LTDA."/>
        <s v="PAIVA &amp; DE SOUZA PAIVA LTDA."/>
        <s v="REFRESCOS BANDEIRANTES INDÚSTRIA E COMÉRCIO LTDA."/>
        <s v="SPAL INDUSTRIA BRASILEIRA DE BEBIDAS S/A"/>
        <s v="SPAL INDÚSTRIA BRASILEIRA DE BEBIDAS S.A."/>
        <s v="DISTRIBUIDORA DE BEBIDAS VALES DO RIO COURA LTDA."/>
        <s v="SERRANA DISTRIBUIDORA DE BEBIDAS LT DA."/>
        <s v="REFRESCOS BANDEIRANTES INDÚSTRIA"/>
        <s v="DISTRIBUIDORA DE BEBIDAS VALES DO RIOO COURA LTDA."/>
        <s v="DBK DISTRIBUIDORA DE BEBIDAS LTDA."/>
        <s v="CEREAIS BRAMIL LTDA."/>
        <s v="HNK BR INDÚSTRIA DE BEBIDAS LTDA."/>
        <s v="BOM DIA COMERCIAL DE ALIMENTOS E LOGISTICA LTDA."/>
        <s v="KETEK ATACADISTA DE ALIMENTOS LTDA."/>
        <s v="COMPANHIA ZAFFARI COMÉRCIO E INDÚSTRIA"/>
        <s v="LÍDER DISTRIBUIDORA DE BEBIDAS LTDA."/>
        <s v="IMPORTADORA E EXPORTADORA DE CEREAIS S.A."/>
        <s v="DBA DISTRIBUIDORA DE BEBIDAS AMAZÔN LTDA."/>
        <s v="SUPERMERCADOS CASAGRANDE LTDA."/>
        <s v="DISTRIBUIDORA DE BEBIDAS CANAR"/>
        <s v="FRIGO DISTRIBUIDORA DE ALIMENTOS E BEBIDAS EIRELI."/>
        <s v="REFRIGERANTES GUARANTÁ LTDA."/>
        <s v="BRASAL REFRIGERANTES S.A."/>
        <s v="WMS SUPERMERCADOS DO BRASIL LTDA."/>
        <s v="ASUN COMÉRCIO DE GENEROS ALIMENTICI OS LTDA."/>
        <s v="SEARA ALIMENTOS LTDA."/>
        <s v="CONDOR SUPER CENTER LTDA."/>
        <s v="REDE KRILL SUPERMERCADOS LTDA."/>
        <s v="COMPAR COMPANHIA PARAENSE DE REFRIGERANTES"/>
        <s v="MULTI FORMATO DISTRIBUIDORA SOCIEDA DE ANONIMA"/>
        <s v="WMB SUPERCADOS DO BRASIL LTDA."/>
        <s v="COMPANHIA BRASILEIRA DE DISTRIBUIÇÃO"/>
        <s v="COMÉRCIO DE BEBIDAS MARRA LTDA."/>
        <s v="COMERCIAL ZARAGOZA IMPORTAÇÃO E EXP ORTAÇÃO LIMITADA"/>
        <s v="WMB SUPERMERCADOS DO BRASIL LTDA."/>
        <s v="TENDA ATACADO LTDA."/>
        <s v="LAGO AZUL COMÉRCIO E REPRESENTAÇÕES LTDA."/>
        <s v="CARREFOUR COMÉRCIO E INDÚSTRIA LTDA."/>
        <s v="GCA - DISTRIBUIDORA COMERCIAL DE ALIMENTOS LTDA."/>
        <s v="MAGAZINE LUIZA S/A"/>
        <s v="IRMAOS BOA LTDA."/>
        <s v="DBA DISTRIBUIDORA DE BEBIDAS"/>
        <s v="SENDAS DISTRIBUIDORA S/A"/>
        <s v="S A SATURNINO &amp; CIA LTDA."/>
        <s v="DISTRIB. MODESTO DE BEBIDAS LTDA."/>
        <s v="LAGO AZUL COMÉRCIO EREPRESENTAÇÕES LTDA."/>
        <s v="J B PEREIRA DISTRIBUIDORA EIRE"/>
        <s v="SCHMID E FILHOS LTDA."/>
        <s v="KOCH HIPERMERCADO S.A."/>
      </sharedItems>
    </cacheField>
    <cacheField name="Cidade de Destino" numFmtId="0">
      <sharedItems>
        <s v="GUARULHOS"/>
        <s v="PRAIA GRANDE"/>
        <s v="EMBU DAS ARTES"/>
        <s v="BLUMENAU"/>
        <s v="JOINVILLE"/>
        <s v="RIALMA"/>
        <s v="JUÍNA"/>
        <s v="PORANGATU"/>
        <s v="ANTÔNIO CARLOS"/>
        <s v="PONTA GROSSA"/>
        <s v="SÃO PEDRO DA ALDEIA"/>
        <s v="BARRA DO PIRAÍ"/>
        <s v="MORRINHOS"/>
        <s v="CURITIBA"/>
        <s v="CAÇAPAVA"/>
        <s v="ITAJAÍ"/>
        <s v="SÃO GONÇALO"/>
        <s v="SÃO JOSÉ DO RIO PRETO"/>
        <s v="TRÊS RIOS"/>
        <s v="ITU"/>
        <s v="CONTAGEM"/>
        <s v="CACHOEIRINHA"/>
        <s v="MARINGÁ"/>
        <s v="SUMARÉ"/>
        <s v="VOLTA REDONDA"/>
        <s v="CAMBÉ"/>
        <s v="PORTO ALEGRE"/>
        <s v="PARANAGUÁ"/>
        <s v="LAJEADO"/>
        <s v="VILHENA"/>
        <s v="LINHARES"/>
        <s v="UBERLÂNDIA"/>
        <s v="URUAÇU"/>
        <s v="CANARANA"/>
        <s v="TABOÃO DA SERRA"/>
        <s v="GUARANTÃ DO NORTE"/>
        <s v="ARAÇATUBA"/>
        <s v="CAMPO GRANDE"/>
        <s v="FORMOSA"/>
        <s v="CATALÃO"/>
        <s v="PINHAIS"/>
        <s v="GRAVATAÍ"/>
        <s v="SÃO PAULO"/>
        <s v="ITAPORÃ"/>
        <s v="RIO BRANCO"/>
        <s v="CAJAMAR"/>
        <s v="DUQUE DE CAXIAS"/>
        <s v="SANTOS"/>
        <s v="GOIÂNIA"/>
        <s v="PATOS DE MINAS"/>
        <s v="PORTO VELHO"/>
        <s v="RESENDE"/>
        <s v="REGENTE FEIJÓ"/>
        <s v="GUARATINGUETÁ"/>
        <s v="ITAPEVI"/>
        <s v="SÃO JOSÉ"/>
        <s v="ARAUCÁRIA"/>
        <s v="JUNDIAÍ"/>
        <s v="LONDRINA"/>
        <s v="CACOAL"/>
        <s v="ARUJÁ"/>
        <s v="EPITACIOLÂNDIA"/>
        <s v="APARECIDA DO TABOADO"/>
        <s v="MARÍLIA"/>
        <s v="ALTO ARAGUAIA"/>
        <s v="JATAÍ"/>
        <s v="TIJUCAS"/>
      </sharedItems>
    </cacheField>
    <cacheField name="Sent At" numFmtId="177">
      <sharedItems containsSemiMixedTypes="0" containsDate="1" containsString="0">
        <d v="2024-01-02T18:11:00Z"/>
        <d v="2024-01-02T13:48:00Z"/>
        <d v="2024-01-02T13:59:00Z"/>
        <d v="2024-01-03T13:07:00Z"/>
        <d v="2024-01-02T17:41:00Z"/>
        <d v="2024-01-02T16:56:00Z"/>
        <d v="2024-01-03T08:45:00Z"/>
        <d v="2024-01-02T10:01:00Z"/>
        <d v="2024-01-03T14:37:00Z"/>
        <d v="2024-01-03T14:05:00Z"/>
        <d v="2024-01-03T16:06:00Z"/>
        <d v="2024-01-03T14:26:00Z"/>
        <d v="2024-01-03T14:00:00Z"/>
        <d v="2024-01-03T14:51:00Z"/>
        <d v="2024-01-03T14:23:00Z"/>
        <d v="2024-01-03T14:46:00Z"/>
        <d v="2024-01-03T15:03:00Z"/>
        <d v="2024-01-03T14:12:00Z"/>
        <d v="2024-01-03T14:28:00Z"/>
        <d v="2024-01-08T12:30:00Z"/>
        <d v="2024-01-03T09:16:00Z"/>
        <d v="2024-01-03T14:35:00Z"/>
        <d v="2024-01-03T14:17:00Z"/>
        <d v="2024-01-03T17:51:00Z"/>
        <d v="2024-01-04T10:38:00Z"/>
        <d v="2024-01-04T09:18:00Z"/>
        <d v="2024-01-04T15:43:00Z"/>
        <d v="2024-01-04T15:32:00Z"/>
        <d v="2024-01-04T15:23:00Z"/>
        <d v="2024-01-10T11:06:00Z"/>
        <d v="2024-01-03T16:20:00Z"/>
        <d v="2024-01-04T14:48:00Z"/>
        <d v="2024-01-04T18:26:00Z"/>
        <d v="2024-01-05T10:08:00Z"/>
        <d v="2024-01-05T10:11:00Z"/>
        <d v="2024-01-05T14:23:00Z"/>
        <d v="2024-01-05T14:51:00Z"/>
        <d v="2024-01-05T20:46:00Z"/>
        <d v="2024-01-10T14:51:00Z"/>
        <d v="2024-01-04T10:11:00Z"/>
        <d v="2024-01-04T17:15:00Z"/>
        <d v="2024-01-10T09:54:00Z"/>
        <d v="2024-01-08T14:31:00Z"/>
        <d v="2024-01-08T17:46:00Z"/>
        <d v="2024-01-04T16:11:00Z"/>
        <d v="2024-01-09T12:18:00Z"/>
        <d v="2024-01-11T13:58:00Z"/>
        <d v="2024-01-09T09:31:00Z"/>
        <d v="2024-01-09T13:54:00Z"/>
        <d v="2024-01-08T09:44:00Z"/>
        <d v="2024-01-09T16:59:00Z"/>
        <d v="2024-01-12T08:56:00Z"/>
        <d v="2024-01-10T09:13:00Z"/>
        <d v="2024-01-08T09:10:00Z"/>
        <d v="2024-01-08T14:45:00Z"/>
        <d v="2024-01-08T15:12:00Z"/>
        <d v="2024-01-08T13:57:00Z"/>
        <d v="2024-01-08T17:00:00Z"/>
        <d v="2024-01-09T09:46:00Z"/>
        <d v="2024-01-09T14:47:00Z"/>
        <d v="2024-01-11T14:06:00Z"/>
        <d v="2024-01-08T14:02:00Z"/>
        <d v="2024-01-09T09:03:00Z"/>
        <d v="2024-01-09T09:52:00Z"/>
        <d v="2024-01-09T09:28:00Z"/>
        <d v="2024-01-09T12:03:00Z"/>
        <d v="2024-01-11T14:43:00Z"/>
        <d v="2024-01-11T14:08:00Z"/>
        <d v="2024-01-16T10:02:00Z"/>
        <d v="2024-01-12T16:14:00Z"/>
        <d v="2024-01-12T09:01:00Z"/>
        <d v="2024-01-12T10:28:00Z"/>
        <d v="2024-01-19T10:56:00Z"/>
        <d v="2024-01-15T13:55:00Z"/>
        <d v="2024-01-15T14:45:00Z"/>
        <d v="2024-01-16T17:26:00Z"/>
        <d v="2024-01-16T14:02:00Z"/>
        <d v="2024-01-19T13:49:00Z"/>
        <d v="2024-01-16T17:35:00Z"/>
        <d v="2024-01-17T16:02:00Z"/>
        <d v="2024-01-15T14:02:00Z"/>
        <d v="2024-01-15T16:20:00Z"/>
        <d v="2024-01-16T15:02:00Z"/>
        <d v="2024-01-17T09:59:00Z"/>
        <d v="2024-01-17T09:46:00Z"/>
        <d v="2024-01-17T13:57:00Z"/>
        <d v="2024-01-17T17:39:00Z"/>
        <d v="2024-01-19T11:13:00Z"/>
        <d v="2024-01-22T09:43:00Z"/>
        <d v="2024-01-16T09:11:00Z"/>
        <d v="2024-01-16T08:54:00Z"/>
        <d v="2024-01-22T10:00:00Z"/>
        <d v="2024-01-16T09:49:00Z"/>
        <d v="2024-01-22T10:38:00Z"/>
        <d v="2024-01-16T13:23:00Z"/>
        <d v="2024-01-22T17:03:00Z"/>
        <d v="2024-01-16T17:43:00Z"/>
        <d v="2024-01-16T18:14:00Z"/>
        <d v="2024-01-22T15:36:00Z"/>
        <d v="2024-01-18T14:14:00Z"/>
        <d v="2024-01-18T15:08:00Z"/>
        <d v="2024-01-17T15:14:00Z"/>
        <d v="2024-01-17T09:10:00Z"/>
        <d v="2024-01-22T14:12:00Z"/>
        <d v="2024-01-19T14:30:00Z"/>
        <d v="2024-01-19T14:53:00Z"/>
        <d v="2024-01-19T14:34:00Z"/>
        <d v="2024-01-22T11:35:00Z"/>
        <d v="2024-01-18T09:31:00Z"/>
        <d v="2024-01-18T09:32:00Z"/>
        <d v="2024-01-18T14:09:00Z"/>
        <d v="2024-01-19T09:18:00Z"/>
        <d v="2024-01-18T18:18:00Z"/>
        <d v="2024-01-19T15:57:00Z"/>
        <d v="2024-01-19T14:02:00Z"/>
        <d v="2024-01-19T18:01:00Z"/>
        <d v="2024-01-22T14:15:00Z"/>
        <d v="2024-01-22T11:34:00Z"/>
        <d v="2024-01-22T09:00:00Z"/>
        <d v="2024-01-22T13:55:00Z"/>
        <d v="2024-01-22T14:03:00Z"/>
        <d v="2024-01-22T14:41:00Z"/>
        <d v="2024-01-22T14:59:00Z"/>
      </sharedItems>
    </cacheField>
    <cacheField name="Destination Postal Code" numFmtId="0">
      <sharedItems>
        <s v="07034-000"/>
        <s v="11720-090"/>
        <s v="06816-550"/>
        <s v="89066-100"/>
        <s v="89206-600"/>
        <s v="76310-000"/>
        <s v="78320-000"/>
        <s v="76550-000"/>
        <s v="89052-010"/>
        <s v="88180-000"/>
        <s v="84030-000"/>
        <s v="28945-010"/>
        <s v="27165-000"/>
        <s v="75650-000"/>
        <s v="81690-400"/>
        <s v="12286-160"/>
        <s v="88311-600"/>
        <s v="24415-560"/>
        <s v="15077-000"/>
        <s v="25805-250"/>
        <s v="13312-900"/>
        <s v="32040-027"/>
        <s v="94930-230"/>
        <s v="87070-060"/>
        <s v="13175-575"/>
        <s v="27251-240"/>
        <s v="86185-700"/>
        <s v="91040-620"/>
        <s v="83215-000"/>
        <s v="95901-150"/>
        <s v="76987-568"/>
        <s v="29903-515"/>
        <s v="38405-236"/>
        <s v="76400-000"/>
        <s v="78640-000"/>
        <s v="06790-240"/>
        <s v="78520-000"/>
        <s v="16058-510"/>
        <s v="79079-005"/>
        <s v="73813-010"/>
        <s v="75709-010"/>
        <s v="83324-410"/>
        <s v="94045-410"/>
        <s v="05275-000"/>
        <s v="79890-000"/>
        <s v="81930-165"/>
        <s v="11726-500"/>
        <s v="69920-190"/>
        <s v="32150-245"/>
        <s v="07776-700"/>
        <s v="25225-015"/>
        <s v="11095-900"/>
        <s v="74573-320"/>
        <s v="38706-735"/>
        <s v="76809-080"/>
        <s v="27535-320"/>
        <s v="01138-000"/>
        <s v="07243-580"/>
        <s v="19575-000"/>
        <s v="12522-450"/>
        <s v="06696-000"/>
        <s v="87103-070"/>
        <s v="88113-848"/>
        <s v="83704-530"/>
        <s v="13213-087"/>
        <s v="86072-000"/>
        <s v="76967-621"/>
        <s v="07414-780"/>
        <s v="69934-000"/>
        <s v="79570-000"/>
        <s v="17512-090"/>
        <s v="78780-000"/>
        <s v="75801-873"/>
        <s v="88200-000"/>
      </sharedItems>
    </cacheField>
    <cacheField name="Responder em" numFmtId="177">
      <sharedItems containsSemiMixedTypes="0" containsDate="1" containsString="0">
        <d v="2024-01-02T19:11:00Z"/>
        <d v="2024-01-02T14:48:00Z"/>
        <d v="2024-01-02T14:59:00Z"/>
        <d v="2024-01-03T14:07:00Z"/>
        <d v="2024-01-02T18:41:00Z"/>
        <d v="2024-01-02T17:56:00Z"/>
        <d v="2024-01-03T09:45:00Z"/>
        <d v="2024-01-02T11:01:00Z"/>
        <d v="2024-01-03T15:37:00Z"/>
        <d v="2024-01-03T15:05:00Z"/>
        <d v="2024-01-03T17:06:00Z"/>
        <d v="2024-01-03T15:26:00Z"/>
        <d v="2024-01-03T15:00:00Z"/>
        <d v="2024-01-03T15:51:00Z"/>
        <d v="2024-01-03T15:23:00Z"/>
        <d v="2024-01-03T15:46:00Z"/>
        <d v="2024-01-03T16:03:00Z"/>
        <d v="2024-01-03T15:12:00Z"/>
        <d v="2024-01-03T15:28:00Z"/>
        <d v="2024-01-08T13:30:00Z"/>
        <d v="2024-01-03T10:16:00Z"/>
        <d v="2024-01-03T15:35:00Z"/>
        <d v="2024-01-03T15:17:00Z"/>
        <d v="2024-01-03T18:51:00Z"/>
        <d v="2024-01-04T11:38:00Z"/>
        <d v="2024-01-04T10:18:00Z"/>
        <d v="2024-01-04T16:43:00Z"/>
        <d v="2024-01-04T16:32:00Z"/>
        <d v="2024-01-04T16:23:00Z"/>
        <d v="2024-01-10T12:06:00Z"/>
        <d v="2024-01-03T17:20:00Z"/>
        <d v="2024-01-04T15:48:00Z"/>
        <d v="2024-01-04T19:26:00Z"/>
        <d v="2024-01-05T11:08:00Z"/>
        <d v="2024-01-05T11:11:00Z"/>
        <d v="2024-01-05T15:23:00Z"/>
        <d v="2024-01-05T15:51:00Z"/>
        <d v="2024-01-05T21:46:00Z"/>
        <d v="2024-01-10T15:51:00Z"/>
        <d v="2024-01-04T11:11:00Z"/>
        <d v="2024-01-04T18:15:00Z"/>
        <d v="2024-01-10T10:54:00Z"/>
        <d v="2024-01-08T15:31:00Z"/>
        <d v="2024-01-08T18:46:00Z"/>
        <d v="2024-01-04T17:11:00Z"/>
        <d v="2024-01-09T13:18:00Z"/>
        <d v="2024-01-11T14:58:00Z"/>
        <d v="2024-01-09T10:31:00Z"/>
        <d v="2024-01-09T14:54:00Z"/>
        <d v="2024-01-08T10:44:00Z"/>
        <d v="2024-01-09T17:59:00Z"/>
        <d v="2024-01-12T09:56:00Z"/>
        <d v="2024-01-10T10:13:00Z"/>
        <d v="2024-01-08T10:10:00Z"/>
        <d v="2024-01-08T15:45:00Z"/>
        <d v="2024-01-08T16:12:00Z"/>
        <d v="2024-01-08T14:57:00Z"/>
        <d v="2024-01-08T18:00:00Z"/>
        <d v="2024-01-09T10:46:00Z"/>
        <d v="2024-01-09T15:47:00Z"/>
        <d v="2024-01-11T15:06:00Z"/>
        <d v="2024-01-08T15:02:00Z"/>
        <d v="2024-01-09T10:03:00Z"/>
        <d v="2024-01-09T10:52:00Z"/>
        <d v="2024-01-09T10:28:00Z"/>
        <d v="2024-01-09T13:03:00Z"/>
        <d v="2024-01-11T15:43:00Z"/>
        <d v="2024-01-11T15:08:00Z"/>
        <d v="2024-01-16T11:02:00Z"/>
        <d v="2024-01-12T17:14:00Z"/>
        <d v="2024-01-12T10:01:00Z"/>
        <d v="2024-01-12T11:28:00Z"/>
        <d v="2024-01-19T11:56:00Z"/>
        <d v="2024-01-15T14:55:00Z"/>
        <d v="2024-01-15T15:45:00Z"/>
        <d v="2024-01-16T18:26:00Z"/>
        <d v="2024-01-16T15:02:00Z"/>
        <d v="2024-01-19T14:49:00Z"/>
        <d v="2024-01-16T18:35:00Z"/>
        <d v="2024-01-17T17:02:00Z"/>
        <d v="2024-01-15T15:02:00Z"/>
        <d v="2024-01-15T17:20:00Z"/>
        <d v="2024-01-16T16:02:00Z"/>
        <d v="2024-01-17T10:59:00Z"/>
        <d v="2024-01-17T10:46:00Z"/>
        <d v="2024-01-17T14:57:00Z"/>
        <d v="2024-01-17T18:39:00Z"/>
        <d v="2024-01-19T12:13:00Z"/>
        <d v="2024-01-22T10:43:00Z"/>
        <d v="2024-01-16T10:11:00Z"/>
        <d v="2024-01-16T09:54:00Z"/>
        <d v="2024-01-22T11:00:00Z"/>
        <d v="2024-01-16T10:49:00Z"/>
        <d v="2024-01-22T11:38:00Z"/>
        <d v="2024-01-16T14:23:00Z"/>
        <d v="2024-01-22T18:03:00Z"/>
        <d v="2024-01-16T18:43:00Z"/>
        <d v="2024-01-16T19:14:00Z"/>
        <d v="2024-01-22T16:36:00Z"/>
        <d v="2024-01-18T15:14:00Z"/>
        <d v="2024-01-18T16:08:00Z"/>
        <d v="2024-01-17T16:14:00Z"/>
        <d v="2024-01-17T10:10:00Z"/>
        <d v="2024-01-22T15:12:00Z"/>
        <d v="2024-01-19T15:30:00Z"/>
        <d v="2024-01-19T15:53:00Z"/>
        <d v="2024-01-19T15:34:00Z"/>
        <d v="2024-01-22T12:35:00Z"/>
        <d v="2024-01-18T10:31:00Z"/>
        <d v="2024-01-18T10:32:00Z"/>
        <d v="2024-01-18T15:09:00Z"/>
        <d v="2024-01-19T10:18:00Z"/>
        <d v="2024-01-22T10:42:00Z"/>
        <d v="2024-01-18T19:18:00Z"/>
        <d v="2024-01-19T16:57:00Z"/>
        <d v="2024-01-19T15:02:00Z"/>
        <d v="2024-01-19T19:01:00Z"/>
        <d v="2024-01-22T15:15:00Z"/>
        <d v="2024-01-22T12:34:00Z"/>
        <d v="2024-01-22T10:00:00Z"/>
        <d v="2024-01-22T14:55:00Z"/>
        <d v="2024-01-22T15:03:00Z"/>
        <d v="2024-01-22T15:41:00Z"/>
        <d v="2024-01-22T15:59:00Z"/>
      </sharedItems>
    </cacheField>
    <cacheField name="Peso Bruto Total" numFmtId="0">
      <sharedItems>
        <s v="31625.36"/>
        <s v="31922.80"/>
        <s v="30237.54"/>
        <s v="32647.47"/>
        <s v="32553.56"/>
        <s v="34930.84"/>
        <s v="30613.67"/>
        <s v="34058.08"/>
        <s v="31489.64"/>
        <s v="24297.46"/>
        <s v="32850.80"/>
        <s v="30049.44"/>
        <s v="33228.36"/>
        <s v="31680.13"/>
        <s v="25887.65"/>
        <s v="30186.99"/>
        <s v="31081.76"/>
        <s v="33430.80"/>
        <s v="27887.54"/>
        <s v="27905.89"/>
        <s v="26374.92"/>
        <s v="31900.03"/>
        <s v="24523.81"/>
        <s v="32339.36"/>
        <s v="25565.41"/>
        <s v="24275.00"/>
        <s v="31029.56"/>
        <s v="29337.51"/>
        <s v="21305.62"/>
        <s v="19820.88"/>
        <s v="21742.56"/>
        <s v="30403.28"/>
        <s v="24744.80"/>
        <s v="34378.40"/>
        <s v="0.00"/>
        <s v="32429.84"/>
        <s v="23982.80"/>
        <s v="33069.26"/>
        <s v="30859.20"/>
        <s v="32711.12"/>
        <s v="27011.60"/>
        <s v="30534.94"/>
        <s v="33140.80"/>
        <s v="28138.28"/>
        <s v="30858.02"/>
        <s v="24206.22"/>
        <s v="25632.09"/>
        <s v="32704.58"/>
        <s v="32468.80"/>
        <s v="31534.72"/>
        <s v="32471.63"/>
        <s v="34980.06"/>
        <s v="31532.48"/>
        <s v="29805.82"/>
        <s v="31980.38"/>
        <s v="32609.87"/>
        <s v="34557.88"/>
        <s v="32346.80"/>
        <s v="32745.40"/>
        <s v="31021.86"/>
        <s v="31755.60"/>
        <s v="31946.06"/>
        <s v="32157.07"/>
        <s v="33895.00"/>
        <s v="31219.69"/>
        <s v="30278.50"/>
      </sharedItems>
    </cacheField>
    <cacheField name="Total ERU" numFmtId="0">
      <sharedItems containsSemiMixedTypes="0" containsString="0" containsNumber="1" containsInteger="1">
        <n v="26.0"/>
        <n v="28.0"/>
        <n v="20.0"/>
        <n v="24.0"/>
        <n v="23.0"/>
        <n v="22.0"/>
        <n v="27.0"/>
        <n v="18.0"/>
        <n v="0.0"/>
        <n v="19.0"/>
        <n v="21.0"/>
        <n v="25.0"/>
      </sharedItems>
    </cacheField>
    <cacheField name="Data da Coleta" numFmtId="177">
      <sharedItems containsSemiMixedTypes="0" containsDate="1" containsString="0">
        <d v="2024-01-02T00:00:00Z"/>
        <d v="2024-01-03T00:00:00Z"/>
        <d v="2024-01-04T00:00:00Z"/>
        <d v="2024-01-05T00:00:00Z"/>
        <d v="2024-01-06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8T00:00:00Z"/>
        <d v="2024-01-19T00:00:00Z"/>
        <d v="2024-01-20T00:00:00Z"/>
        <d v="2024-01-22T00:00:00Z"/>
        <d v="2024-01-23T00:00:00Z"/>
        <d v="2024-01-24T00:00:00Z"/>
        <d v="2024-01-25T00:00:00Z"/>
        <d v="2024-01-26T00:00:00Z"/>
        <d v="2024-01-27T00:00:00Z"/>
      </sharedItems>
    </cacheField>
    <cacheField name="Data de Entrega" numFmtId="177">
      <sharedItems containsSemiMixedTypes="0" containsDate="1" containsString="0">
        <d v="2024-01-02T11:49:00Z"/>
        <d v="2024-01-02T11:24:00Z"/>
        <d v="2024-01-03T09:59:00Z"/>
        <d v="2024-01-04T06:06:00Z"/>
        <d v="2024-01-05T05:54:00Z"/>
        <d v="2024-01-06T07:14:00Z"/>
        <d v="2024-01-06T19:08:00Z"/>
        <d v="2024-01-06T11:22:00Z"/>
        <d v="2024-01-05T04:48:00Z"/>
        <d v="2024-01-06T23:27:00Z"/>
        <d v="2024-01-06T18:27:00Z"/>
        <d v="2024-01-07T07:14:00Z"/>
        <d v="2024-01-06T04:48:00Z"/>
        <d v="2024-01-06T13:29:00Z"/>
        <d v="2024-01-08T19:42:00Z"/>
        <d v="2024-01-08T06:40:00Z"/>
        <d v="2024-01-08T21:16:00Z"/>
        <d v="2024-01-08T05:54:00Z"/>
        <d v="2024-01-09T07:14:00Z"/>
        <d v="2024-01-08T13:40:00Z"/>
        <d v="2024-01-08T13:29:00Z"/>
        <d v="2024-01-08T21:43:00Z"/>
        <d v="2024-01-08T09:27:00Z"/>
        <d v="2024-01-08T23:27:00Z"/>
        <d v="2024-01-08T23:29:00Z"/>
        <d v="2024-01-09T18:27:00Z"/>
        <d v="2024-01-09T23:27:00Z"/>
        <d v="2024-01-06T14:56:00Z"/>
        <d v="2024-01-09T07:28:00Z"/>
        <d v="2024-01-09T11:24:00Z"/>
        <d v="2024-01-10T07:14:00Z"/>
        <d v="2024-01-09T18:20:00Z"/>
        <d v="2024-01-10T13:29:00Z"/>
        <d v="2024-01-10T04:48:00Z"/>
        <d v="2024-01-10T09:27:00Z"/>
        <d v="2024-01-11T07:14:00Z"/>
        <d v="2024-01-10T15:08:00Z"/>
        <d v="2024-01-11T04:55:00Z"/>
        <d v="2024-01-10T14:16:00Z"/>
        <d v="2024-01-11T21:30:00Z"/>
        <d v="2024-01-16T13:40:00Z"/>
        <d v="2024-01-10T23:27:00Z"/>
        <d v="2024-01-11T21:16:00Z"/>
        <d v="2024-01-12T09:12:00Z"/>
        <d v="2024-01-11T13:40:00Z"/>
        <d v="2024-01-12T19:20:00Z"/>
        <d v="2024-01-13T07:14:00Z"/>
        <d v="2024-01-13T19:08:00Z"/>
        <d v="2024-01-12T11:06:00Z"/>
        <d v="2024-01-16T14:56:00Z"/>
        <d v="2024-01-17T12:35:00Z"/>
        <d v="2024-01-15T08:37:00Z"/>
        <d v="2024-01-13T09:27:00Z"/>
        <d v="2024-01-13T14:16:00Z"/>
        <d v="2024-01-14T05:33:00Z"/>
        <d v="2024-01-13T22:25:00Z"/>
        <d v="2024-01-13T13:40:00Z"/>
        <d v="2024-01-13T19:20:00Z"/>
        <d v="2024-01-14T07:14:00Z"/>
        <d v="2024-01-13T11:06:00Z"/>
        <d v="2024-01-13T03:48:00Z"/>
        <d v="2024-01-14T06:06:00Z"/>
        <d v="2024-01-15T14:56:00Z"/>
        <d v="2024-01-15T14:16:00Z"/>
        <d v="2024-01-15T13:40:00Z"/>
        <d v="2024-01-15T11:19:00Z"/>
        <d v="2024-01-15T12:35:00Z"/>
        <d v="2024-01-16T07:14:00Z"/>
        <d v="2024-01-15T18:27:00Z"/>
        <d v="2024-01-16T16:34:00Z"/>
        <d v="2024-01-16T03:44:00Z"/>
        <d v="2024-01-16T11:24:00Z"/>
        <d v="2024-01-18T13:40:00Z"/>
        <d v="2024-01-19T07:14:00Z"/>
        <d v="2024-01-18T11:33:00Z"/>
        <d v="2024-01-21T17:31:00Z"/>
        <d v="2024-01-19T05:54:00Z"/>
        <d v="2024-01-19T23:28:00Z"/>
        <d v="2024-01-19T11:18:00Z"/>
        <d v="2024-01-19T19:58:00Z"/>
        <d v="2024-01-22T11:33:00Z"/>
        <d v="2024-01-20T01:49:00Z"/>
        <d v="2024-01-19T21:16:00Z"/>
        <d v="2024-01-19T22:37:00Z"/>
        <d v="2024-01-22T13:53:00Z"/>
        <d v="2024-01-21T11:22:00Z"/>
        <d v="2024-01-20T19:58:00Z"/>
        <d v="2024-01-20T07:28:00Z"/>
        <d v="2024-01-20T09:27:00Z"/>
        <d v="2024-01-20T06:06:00Z"/>
        <d v="2024-01-20T17:37:00Z"/>
        <d v="2024-01-20T11:29:00Z"/>
        <d v="2024-01-22T23:28:00Z"/>
        <d v="2024-01-22T12:07:00Z"/>
        <d v="2024-01-22T13:40:00Z"/>
        <d v="2024-01-22T06:43:00Z"/>
        <d v="2024-01-22T05:54:00Z"/>
        <d v="2024-01-22T23:29:00Z"/>
        <d v="2024-01-22T09:53:00Z"/>
        <d v="2024-01-22T09:27:00Z"/>
        <d v="2024-01-22T09:59:00Z"/>
        <d v="2024-01-23T07:14:00Z"/>
        <d v="2024-01-22T07:30:00Z"/>
        <d v="2024-01-22T08:19:00Z"/>
        <d v="2024-01-22T03:30:00Z"/>
        <d v="2024-01-22T08:37:00Z"/>
        <d v="2024-01-23T11:17:00Z"/>
        <d v="2024-01-25T13:53:00Z"/>
        <d v="2024-01-23T03:30:00Z"/>
        <d v="2024-01-23T06:41:00Z"/>
        <d v="2024-01-25T06:50:00Z"/>
        <d v="2024-01-24T07:14:00Z"/>
        <d v="2024-01-23T19:20:00Z"/>
        <d v="2024-01-23T12:18:00Z"/>
        <d v="2024-01-26T17:50:00Z"/>
        <d v="2024-01-25T17:34:00Z"/>
        <d v="2024-01-24T13:40:00Z"/>
        <d v="2024-01-25T07:14:00Z"/>
        <d v="2024-01-24T09:00:00Z"/>
        <d v="2024-01-25T00:17:00Z"/>
        <d v="2024-01-25T23:29:00Z"/>
        <d v="2024-01-25T22:37:00Z"/>
        <d v="2024-01-25T06:06:00Z"/>
        <d v="2024-01-25T07:30:00Z"/>
        <d v="2024-01-26T19:08:00Z"/>
        <d v="2024-01-26T19:53:00Z"/>
        <d v="2024-01-26T09:27:00Z"/>
        <d v="2024-01-26T06:06:00Z"/>
        <d v="2024-01-27T14:56:00Z"/>
        <d v="2024-01-27T07:34:00Z"/>
        <d v="2024-01-27T13:40:00Z"/>
        <d v="2024-01-28T07:14:00Z"/>
      </sharedItems>
    </cacheField>
    <cacheField name="Domínio" numFmtId="0">
      <sharedItems>
        <s v="HTM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7:S143" sheet="HEINEKEN"/>
  </cacheSource>
  <cacheFields>
    <cacheField name="TE02" numFmtId="0">
      <sharedItems>
        <s v="TE02"/>
        <s v="TE01"/>
      </sharedItems>
    </cacheField>
    <cacheField name="TRF" numFmtId="0">
      <sharedItems>
        <s v="TRF"/>
        <s v="DTB"/>
        <s v="ASD"/>
      </sharedItems>
    </cacheField>
    <cacheField name="HNK SÃO JOSÉ-SC" numFmtId="0">
      <sharedItems>
        <s v="CDA CURITIBA-PR"/>
        <s v="(RETORNO TE02) CDA CURITIBA-PR"/>
        <s v="LAGO AZUL MARÍLIA-SP"/>
        <s v="HNK SÃO JOSÉ-SC"/>
        <s v="(RETORNO TE02) HNK SÃO JOSÉ-SC"/>
        <s v="SPAL JOINVILLE-SC"/>
        <s v="LAGO AZUL REGENTE FEIJÓ-SP"/>
        <s v="SPAL SÃO JOSÉ DO RIO PRETO-SP"/>
        <s v="CDA ITU-SP"/>
        <s v="CDA CAÇAPAVA-SP"/>
        <s v="LAGO AZUL MARÍLIA-SP LUSITANA"/>
        <s v="IMPORTADORA E EXPORTADORA DE CEREAIS LAJEADO-RS"/>
        <s v="SPAL ANTÔNIO CARLOS -SC"/>
        <s v="DBK SÃO JOSÉ DO RIO PRETO-SP "/>
        <s v="(RETORNO TE02) DBK SÃO JOSÉ DO RIO PRETO-SP"/>
        <s v="DBK SÃO JOSÉ DO RIO PRETO-SP LUSITANA"/>
        <s v="LAGO AZUL REGENTE FEIJÓ LUSITANA"/>
        <s v="(RETORNO TE02) DBK SÃO JOSÉ DO RIO PRETO-SP "/>
        <s v="LAGO AZUL REGENTE FEIJÓ"/>
        <s v="HNK SÃO JOSÉ-SC LUSITANA"/>
        <s v="ATACADAO S.A. MARINGÁ-PR"/>
        <s v="TAUSTE  SUPERMARCADO ITU-SP"/>
        <s v="SPAL ANTÔNIO CARLOS-SC"/>
        <s v="(RETORNO TE02) CDA CAÇAPAVA-SP"/>
        <s v=" SPAL PORTO ALEGRE-RS"/>
        <s v="ASUN GRAVATAÍ-RS"/>
        <s v="(RETORNO TE02) CDA ITU-SP"/>
        <s v="FRIGO TABOÃO DA SERRA-SP"/>
        <s v="SPAL CASCAVEL-PR"/>
        <s v="SPAL CURITIBA-PR"/>
        <s v="SENDAS MARINGÁ-PR"/>
        <s v="BOM DIA COMERCIAL DE ALIMENTOS MARINGÁ-PR"/>
      </sharedItems>
    </cacheField>
    <cacheField name="50.221.019/0076-53" numFmtId="0">
      <sharedItems>
        <s v="50.221.019/0083-82"/>
        <s v="58.844.424/0002-01"/>
        <s v="05.254.957/0038-70"/>
        <s v="50.221.019/0076-53"/>
        <s v="61.186.888/0175-92"/>
        <s v="58.844.424/0003-84"/>
        <s v="61.186.888/0146-58"/>
        <s v="50.221.019/0047-19"/>
        <s v="50.221.019/0084-63"/>
        <s v="91.156.471/0001-49"/>
        <s v="61.186.888/0176-73"/>
        <s v="14.886.581/0001-15"/>
        <s v="75.315.333/0009-66"/>
        <s v="65.897.910/0013-06"/>
        <s v="61.186.888/0158-91"/>
        <s v="92.091.891/0001-57"/>
        <s v="27.909.269/0001-41"/>
        <s v="61.186.888/0144-96"/>
        <s v="61.186.888/0143-05"/>
        <s v="06.057.223/0453-53"/>
        <s v="04.014.412/0001-31"/>
      </sharedItems>
    </cacheField>
    <cacheField name="PONTA GROSSA" numFmtId="0">
      <sharedItems>
        <s v="PONTA GROSSA"/>
        <s v="CURITIBA"/>
        <s v="SÃO JOSÉ"/>
        <s v="SÃO JOSÉ DO RIO PRETO"/>
        <s v="CAÇAPAVA"/>
        <s v="ITU"/>
      </sharedItems>
    </cacheField>
    <cacheField name="SÃO JOSÉ" numFmtId="165">
      <sharedItems>
        <s v="CURITIBA"/>
        <s v="PONTA GROSSA"/>
        <s v="MARÍLIA"/>
        <s v="SÃO JOSÉ"/>
        <s v="JOINVILLE"/>
        <s v="REGENTE FEIJÓ"/>
        <s v="SÃO JOSÉ DO RIO PRETO"/>
        <s v="ITU"/>
        <s v="CAÇAPAVA"/>
        <s v="LAJEADO"/>
        <s v="ANTONIO CARLOS"/>
        <s v="MARINGÁ"/>
        <s v="ANTÔNIO CARLOS"/>
        <s v="PORTO ALEGRE"/>
        <s v="GRAVATAÍ"/>
        <s v="TABOÃO DA SERRA"/>
        <s v="CASCAVEL"/>
      </sharedItems>
    </cacheField>
    <cacheField name="SC" numFmtId="165">
      <sharedItems>
        <s v="PR CAP."/>
        <s v="TE02 PR"/>
        <s v="SP INT."/>
        <s v="SC"/>
        <s v="TE02 SC"/>
        <s v="-"/>
        <s v="SP"/>
        <s v="RS"/>
        <s v="TE02"/>
        <s v="PR OUT."/>
      </sharedItems>
    </cacheField>
    <cacheField name="A55160" numFmtId="0">
      <sharedItems containsBlank="1">
        <s v="A54730"/>
        <s v="A56430"/>
        <s v="A55650"/>
        <s v="A57390"/>
        <s v="A56620"/>
        <m/>
        <s v="A55160"/>
        <s v="A54920"/>
        <s v="A55660"/>
        <s v="A47130"/>
        <s v="A56750"/>
        <s v="A55640"/>
        <s v="A57130"/>
        <s v="A57860"/>
        <s v="A54980"/>
        <s v="A56360"/>
        <s v="A57380"/>
        <s v="A55620"/>
        <s v="A55630"/>
        <s v="A56540"/>
        <s v="A55890"/>
        <s v="A57700"/>
        <s v="A57980"/>
        <s v="A58170"/>
        <s v="A56370"/>
        <s v="A56060"/>
        <s v="A57620"/>
        <s v="A53130"/>
        <s v="A57780"/>
        <s v="MBG6624/MHC3229"/>
        <s v="A53930"/>
      </sharedItems>
    </cacheField>
    <cacheField name="R$5,305.00" numFmtId="164">
      <sharedItems containsSemiMixedTypes="0" containsString="0" containsNumber="1">
        <n v="2336.24"/>
        <n v="1557.5"/>
        <n v="4325.0"/>
        <n v="4717.8"/>
        <n v="3145.2"/>
        <n v="3157.14"/>
        <n v="5004.48"/>
        <n v="1446.19"/>
        <n v="3183.0"/>
        <n v="5991.0"/>
        <n v="5174.0"/>
        <n v="7880.37"/>
        <n v="5053.0"/>
        <n v="2169.28"/>
        <n v="2340.76"/>
        <n v="6808.0"/>
        <n v="4324.0"/>
        <n v="2883.2"/>
        <n v="3031.8"/>
        <n v="4445.42"/>
        <n v="4900.0"/>
        <n v="6085.8"/>
        <n v="4057.2"/>
        <n v="2173.57"/>
        <n v="5930.61"/>
        <n v="7981.39"/>
        <n v="5922.6"/>
        <n v="3948.4"/>
        <n v="4551.98"/>
        <n v="4179.55"/>
        <n v="5446.0"/>
        <n v="7148.53"/>
        <n v="9203.69"/>
        <n v="8801.69"/>
        <n v="3104.4"/>
        <n v="6290.0"/>
        <n v="4404.76"/>
      </sharedItems>
    </cacheField>
    <cacheField name="56.55%" numFmtId="10">
      <sharedItems containsString="0" containsBlank="1" containsNumber="1">
        <n v="0.6420573228777866"/>
        <n v="0.449438202247191"/>
        <n v="0.6936416184971098"/>
        <n v="0.6358896095637797"/>
        <n v="0.5723006486074018"/>
        <n v="0.7601816834223379"/>
        <n v="0.6993733614681247"/>
        <m/>
        <n v="0.5655042412818096"/>
        <n v="0.7511266900350526"/>
        <n v="0.7730962504831852"/>
        <n v="0.6979367720043602"/>
        <n v="0.5937067088858105"/>
        <n v="0.6914736686826966"/>
        <n v="0.640817512260975"/>
        <n v="0.8078730904817861"/>
        <n v="0.6938020351526365"/>
        <n v="0.6243063263041065"/>
        <n v="0.5937067088858103"/>
        <n v="0.6748518700145318"/>
        <n v="0.5710391770944765"/>
        <n v="0.7394262052647146"/>
        <n v="0.6901088991842912"/>
        <n v="0.7493286015729906"/>
        <n v="0.5065342923715935"/>
        <n v="0.9497517981967379"/>
        <n v="0.549211551896098"/>
        <n v="0.8998024933527091"/>
        <n v="0.8972257778947494"/>
        <n v="0.7344840249724568"/>
        <n v="0.7693889512948816"/>
        <n v="0.5975864028449459"/>
        <n v="0.5680727223976304"/>
        <n v="0.5564387917329093"/>
        <n v="0.6344879745494184"/>
        <n v="0.7803892765332354"/>
        <n v="0.5675678130022975"/>
        <n v="0.4840304524301786"/>
      </sharedItems>
    </cacheField>
    <cacheField name="R$ 3,000.00" numFmtId="165">
      <sharedItems containsString="0" containsBlank="1" containsNumber="1" containsInteger="1">
        <n v="1500.0"/>
        <n v="700.0"/>
        <n v="3000.0"/>
        <n v="1800.0"/>
        <n v="2400.0"/>
        <n v="3500.0"/>
        <m/>
        <n v="4500.0"/>
        <n v="4000.0"/>
        <n v="5500.0"/>
        <n v="3750.0"/>
        <n v="2500.0"/>
        <n v="5000.0"/>
        <n v="4250.0"/>
      </sharedItems>
    </cacheField>
    <cacheField name="OK" numFmtId="0">
      <sharedItems containsBlank="1">
        <s v="OK"/>
        <m/>
      </sharedItems>
    </cacheField>
    <cacheField name="1265449">
      <sharedItems containsBlank="1" containsMixedTypes="1" containsNumber="1" containsInteger="1">
        <n v="1265383.0"/>
        <n v="1265532.0"/>
        <n v="1267501.0"/>
        <n v="1267506.0"/>
        <n v="1268167.0"/>
        <n v="1266780.0"/>
        <n v="1266592.0"/>
        <n v="1267748.0"/>
        <n v="1267768.0"/>
        <n v="1268842.0"/>
        <n v="1268845.0"/>
        <n v="1268348.0"/>
        <s v="-"/>
        <n v="1267587.0"/>
        <n v="1268851.0"/>
        <n v="1268490.0"/>
        <n v="1268453.0"/>
        <n v="1271867.0"/>
        <n v="1271562.0"/>
        <n v="1268471.0"/>
        <n v="1268567.0"/>
        <n v="1272225.0"/>
        <n v="1272209.0"/>
        <m/>
        <n v="1272472.0"/>
        <n v="1269536.0"/>
        <n v="1269601.0"/>
        <n v="1269588.0"/>
        <n v="1269747.0"/>
        <n v="1269589.0"/>
        <n v="1269549.0"/>
        <n v="1270148.0"/>
        <n v="1270300.0"/>
        <n v="1272207.0"/>
        <n v="1272862.0"/>
        <n v="1269436.0"/>
        <n v="1272834.0"/>
        <n v="1272898.0"/>
        <n v="1272851.0"/>
        <n v="1273043.0"/>
        <n v="1269582.0"/>
        <n v="1273331.0"/>
        <n v="1271896.0"/>
        <n v="1273801.0"/>
        <n v="1272216.0"/>
        <n v="1273799.0"/>
        <n v="1271781.0"/>
        <n v="1271554.0"/>
        <n v="1273588.0"/>
        <n v="1273833.0"/>
        <n v="1274244.0"/>
        <n v="1273678.0"/>
        <n v="1274558.0"/>
        <n v="1275874.0"/>
        <n v="1277194.0"/>
        <n v="1273063.0"/>
        <n v="1275900.0"/>
        <n v="1275083.0"/>
        <n v="1276625.0"/>
        <n v="1275065.0"/>
        <n v="1277119.0"/>
        <n v="1277146.0"/>
        <n v="1277159.0"/>
        <n v="1274541.0"/>
        <n v="1274549.0"/>
        <n v="1276833.0"/>
        <n v="1277721.0"/>
        <n v="1277150.0"/>
        <n v="1276485.0"/>
        <n v="1279923.0"/>
        <n v="1279218.0"/>
        <n v="1276198.0"/>
        <n v="1277919.0"/>
        <n v="1277910.0"/>
        <n v="1279413.0"/>
        <n v="1280035.0"/>
        <n v="1279527.0"/>
        <n v="1279163.0"/>
        <n v="1280862.0"/>
        <n v="1280671.0"/>
        <n v="1280054.0"/>
        <n v="1278564.0"/>
        <n v="1277929.0"/>
        <n v="1282368.0"/>
        <n v="1281457.0"/>
        <n v="1281959.0"/>
        <n v="1283090.0"/>
        <n v="1283088.0"/>
        <n v="1284042.0"/>
        <n v="1284543.0"/>
        <n v="1284456.0"/>
        <n v="1284603.0"/>
        <n v="1285216.0"/>
        <n v="1285199.0"/>
        <n v="1285214.0"/>
        <n v="1285840.0"/>
        <n v="1285439.0"/>
        <n v="1286532.0"/>
        <n v="1286838.0"/>
        <n v="1288719.0"/>
        <n v="1286527.0"/>
        <n v="1286694.0"/>
        <n v="1287855.0"/>
        <n v="1286495.0"/>
        <n v="1289952.0"/>
        <n v="1288549.0"/>
      </sharedItems>
    </cacheField>
    <cacheField name="CARREGADO" numFmtId="10">
      <sharedItems>
        <s v="CARREGADO"/>
        <s v="CANCELADA"/>
        <s v="RETIRAD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poio" cacheId="0" dataCaption="" rowGrandTotals="0" compact="0" compactData="0">
  <location ref="N3:O5" firstHeaderRow="0" firstDataRow="1" firstDataCol="0"/>
  <pivotFields>
    <pivotField name="Status Aceite" axis="axisRow" dataField="1" compact="0" outline="0" multipleItemSelectionAllowed="1" showAll="0" sortType="ascending">
      <items>
        <item x="0"/>
        <item x="1"/>
        <item t="default"/>
      </items>
    </pivotField>
    <pivotField name="Status da Ofert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Remes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Indicador" compact="0" outline="0" multipleItemSelectionAllowed="1" showAll="0">
      <items>
        <item x="0"/>
        <item x="1"/>
        <item t="default"/>
      </items>
    </pivotField>
    <pivotField name="DEL 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Channel Type" compact="0" outline="0" multipleItemSelectionAllowed="1" showAll="0">
      <items>
        <item x="0"/>
        <item x="1"/>
        <item t="default"/>
      </items>
    </pivotField>
    <pivotField name="Freigh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status da oferta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D do Local de Origem" compact="0" outline="0" multipleItemSelectionAllowed="1" showAll="0">
      <items>
        <item x="0"/>
        <item t="default"/>
      </items>
    </pivotField>
    <pivotField name="Nome do Local de Origem" compact="0" outline="0" multipleItemSelectionAllowed="1" showAll="0">
      <items>
        <item x="0"/>
        <item t="default"/>
      </items>
    </pivotField>
    <pivotField name="Cidade de Origem" compact="0" outline="0" multipleItemSelectionAllowed="1" showAll="0">
      <items>
        <item x="0"/>
        <item t="default"/>
      </items>
    </pivotField>
    <pivotField name="ID do Local de Des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Nome do Local de Des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idade de Des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Sent At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Destination 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esponder em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Peso Bruto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Total ER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a da Coleta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ata de Entrega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Domínio" compact="0" outline="0" multipleItemSelectionAllowed="1" showAll="0">
      <items>
        <item x="0"/>
        <item t="default"/>
      </items>
    </pivotField>
  </pivotFields>
  <rowFields>
    <field x="0"/>
  </rowFields>
  <dataFields>
    <dataField name="COUNTA of Status Aceite" fld="0" subtotal="count" baseField="0"/>
  </dataFields>
</pivotTableDefinition>
</file>

<file path=xl/pivotTables/pivotTable2.xml><?xml version="1.0" encoding="utf-8"?>
<pivotTableDefinition xmlns="http://schemas.openxmlformats.org/spreadsheetml/2006/main" name="Apoio 2" cacheId="0" dataCaption="" rowGrandTotals="0" compact="0" compactData="0">
  <location ref="Q3:R8" firstHeaderRow="0" firstDataRow="1" firstDataCol="0" rowPageCount="1" colPageCount="1"/>
  <pivotFields>
    <pivotField name="Status Aceite" axis="axisPage" dataField="1" compact="0" outline="0" multipleItemSelectionAllowed="1" showAll="0">
      <items>
        <item h="1" x="0"/>
        <item x="1"/>
        <item t="default"/>
      </items>
    </pivotField>
    <pivotField name="Status da Oferta" axis="axisRow" compact="0" outline="0" multipleItemSelectionAllowed="1" showAll="0" sortType="ascending">
      <items>
        <item x="0"/>
        <item x="3"/>
        <item x="2"/>
        <item x="4"/>
        <item x="5"/>
        <item x="1"/>
        <item t="default"/>
      </items>
    </pivotField>
    <pivotField name="P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Remes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Indicador" compact="0" outline="0" multipleItemSelectionAllowed="1" showAll="0">
      <items>
        <item x="0"/>
        <item x="1"/>
        <item t="default"/>
      </items>
    </pivotField>
    <pivotField name="DEL 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Channel Type" compact="0" outline="0" multipleItemSelectionAllowed="1" showAll="0">
      <items>
        <item x="0"/>
        <item x="1"/>
        <item t="default"/>
      </items>
    </pivotField>
    <pivotField name="Freigh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status da oferta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D do Local de Origem" compact="0" outline="0" multipleItemSelectionAllowed="1" showAll="0">
      <items>
        <item x="0"/>
        <item t="default"/>
      </items>
    </pivotField>
    <pivotField name="Nome do Local de Origem" compact="0" outline="0" multipleItemSelectionAllowed="1" showAll="0">
      <items>
        <item x="0"/>
        <item t="default"/>
      </items>
    </pivotField>
    <pivotField name="Cidade de Origem" compact="0" outline="0" multipleItemSelectionAllowed="1" showAll="0">
      <items>
        <item x="0"/>
        <item t="default"/>
      </items>
    </pivotField>
    <pivotField name="ID do Local de Des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Nome do Local de Des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idade de Des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Sent At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Destination 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esponder em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Peso Bruto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Total ER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a da Coleta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ata de Entrega" compact="0" numFmtId="17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Domínio" compact="0" outline="0" multipleItemSelectionAllowed="1" showAll="0">
      <items>
        <item x="0"/>
        <item t="default"/>
      </items>
    </pivotField>
  </pivotFields>
  <rowFields>
    <field x="1"/>
  </rowFields>
  <pageFields>
    <pageField fld="0"/>
  </pageFields>
  <dataFields>
    <dataField name="COUNTA of Status Aceite" fld="0" subtotal="count" baseField="0"/>
  </dataFields>
</pivotTableDefinition>
</file>

<file path=xl/pivotTables/pivotTable3.xml><?xml version="1.0" encoding="utf-8"?>
<pivotTableDefinition xmlns="http://schemas.openxmlformats.org/spreadsheetml/2006/main" name="Apoio 3" cacheId="1" dataCaption="" compact="0" compactData="0">
  <location ref="F53:H60" firstHeaderRow="0" firstDataRow="2" firstDataCol="0" rowPageCount="1" colPageCount="1"/>
  <pivotFields>
    <pivotField name="TE02" dataField="1" compact="0" outline="0" multipleItemSelectionAllowed="1" showAll="0">
      <items>
        <item x="0"/>
        <item x="1"/>
        <item t="default"/>
      </items>
    </pivotField>
    <pivotField name="TRF" compact="0" outline="0" multipleItemSelectionAllowed="1" showAll="0">
      <items>
        <item x="0"/>
        <item x="1"/>
        <item x="2"/>
        <item t="default"/>
      </items>
    </pivotField>
    <pivotField name="HNK SÃO JOSÉ-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50.221.019/0076-5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ONTA GROSS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ÃO JOSÉ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C" axis="axisRow" compact="0" numFmtId="165" outline="0" multipleItemSelectionAllowed="1" showAll="0" sortType="ascending">
      <items>
        <item h="1" x="5"/>
        <item x="0"/>
        <item x="9"/>
        <item x="7"/>
        <item x="3"/>
        <item x="6"/>
        <item h="1" x="2"/>
        <item x="8"/>
        <item h="1" x="1"/>
        <item h="1" x="4"/>
        <item t="default"/>
      </items>
    </pivotField>
    <pivotField name="A5516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$5,305.00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56.55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$ 3,000.0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K" compact="0" outline="0" multipleItemSelectionAllowed="1" showAll="0">
      <items>
        <item x="0"/>
        <item x="1"/>
        <item t="default"/>
      </items>
    </pivotField>
    <pivotField name="126544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CARREGADO" axis="axisPage" compact="0" numFmtId="10" outline="0" multipleItemSelectionAllowed="1" showAll="0">
      <items>
        <item x="0"/>
        <item h="1" x="1"/>
        <item h="1" x="2"/>
        <item t="default"/>
      </items>
    </pivotField>
  </pivotFields>
  <rowFields>
    <field x="6"/>
  </rowFields>
  <colFields>
    <field x="-2"/>
  </colFields>
  <pageFields>
    <pageField fld="13"/>
  </pageFields>
  <dataFields>
    <dataField name="COUNTA of TE02" fld="0" subtotal="count" baseField="0"/>
    <dataField name="COUNTA of TE02" fld="0" subtotal="count" baseField="0"/>
  </dataFields>
</pivotTableDefinition>
</file>

<file path=xl/tables/table1.xml><?xml version="1.0" encoding="utf-8"?>
<table xmlns="http://schemas.openxmlformats.org/spreadsheetml/2006/main" ref="A1:K40" displayName="Table1" name="Table1" id="1">
  <tableColumns count="11">
    <tableColumn name="FROTA" id="1"/>
    <tableColumn name="CAVALO" id="2"/>
    <tableColumn name="CODIGO SR" id="3"/>
    <tableColumn name="CARRETA" id="4"/>
    <tableColumn name="MEDIDA " id="5"/>
    <tableColumn name="TAG" id="6"/>
    <tableColumn name="MOTORISTA" id="7"/>
    <tableColumn name="CPF" id="8"/>
    <tableColumn name="TELEFONE" id="9"/>
    <tableColumn name="STATUS" id="10"/>
    <tableColumn name="TECNOLOGIA" id="11"/>
  </tableColumns>
  <tableStyleInfo name="AGREGADOS SP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370" dT="2025-12-10T23:24:50.00" personId="{bd1e55c3-3473-4fa3-9268-b213b41f1e3b}" id="{e1e7ff67-9975-4c07-a52e-e70f366f7122}" done="1">
    <x18tc:text xml:space="preserve">Deslocamento vazio Antonio Carlos x Ponta Grossa
R$ 600,00</x18tc:text>
  </x18tc:threadedComment>
  <x18tc:threadedComment ref="P1317" dT="2025-11-19T20:17:54.00" personId="{bd1e55c3-3473-4fa3-9268-b213b41f1e3b}" id="{bc0d7580-020b-4f41-b574-ea56622ba565}" done="0">
    <x18tc:text xml:space="preserve">TAXA DE DESCARGA R$ 858,00</x18tc:text>
  </x18tc:threadedComment>
  <x18tc:threadedComment ref="P1375" dT="2025-12-17T17:43:42.00" personId="{10e26c89-0f7e-4c89-ac9f-aa4799011696}" id="{c6426146-459d-4eeb-a3dc-f9975ec7f4d9}" done="0">
    <x18tc:text xml:space="preserve">Diferença de frete Itu x Pg R$ 431</x18tc:text>
  </x18tc:threadedComment>
  <x18tc:threadedComment ref="R1025" dT="2025-03-18T19:52:01.00" personId="{e56059e6-f6ba-4fc8-8896-ca87d8a9aa08}" id="{2252cc0c-2e51-491c-b348-782aa681a9a9}" done="0">
    <x18tc:text xml:space="preserve">CTE 2192</x18tc:text>
  </x18tc:threadedComment>
  <x18tc:threadedComment ref="P1364" dT="2025-12-09T13:38:19.00" personId="{10e26c89-0f7e-4c89-ac9f-aa4799011696}" id="{fc9ea9e2-e1f9-48b7-9147-c9140cca3df6}" done="0">
    <x18tc:text xml:space="preserve">Deslocamento R$ 250,00</x18tc:text>
  </x18tc:threadedComment>
  <x18tc:threadedComment ref="P1404" dT="2025-12-29T12:47:16.00" personId="{10e26c89-0f7e-4c89-ac9f-aa4799011696}" id="{73566603-1a31-4e5b-8788-af0e4842ac42}" done="0">
    <x18tc:text xml:space="preserve">Diferença de frete R$ 300</x18tc:text>
  </x18tc:threadedComment>
  <x18tc:threadedComment ref="P1261" dT="2025-10-24T18:07:45.00" personId="{10e26c89-0f7e-4c89-ac9f-aa4799011696}" id="{c468ff44-cb40-4bfe-af64-a765dfb1b63a}" done="0">
    <x18tc:text xml:space="preserve">Deslocamento vazio Cta x Pg R$ 250</x18tc:text>
  </x18tc:threadedComment>
  <x18tc:threadedComment ref="P1125" dT="2025-05-23T18:09:06.00" personId="{3815dd20-2e1f-4b38-85c1-75b212f2543f}" id="{ac8b65ce-4783-46ac-831e-22c2da894265}" done="0">
    <x18tc:text xml:space="preserve">Deslocamento vazio Guarulhos x pg  R$1.971,70</x18tc:text>
  </x18tc:threadedComment>
  <x18tc:threadedComment ref="P1206" dT="2025-09-24T18:15:42.00" personId="{10e26c89-0f7e-4c89-ac9f-aa4799011696}" id="{6b1020cb-d819-418f-8e97-ba3c2c52aedf}" done="0">
    <x18tc:text xml:space="preserve">Pendencia FEMSA R$ 306,00</x18tc:text>
  </x18tc:threadedComment>
  <x18tc:threadedComment ref="P1409" dT="2026-01-14T14:36:08.00" personId="{10e26c89-0f7e-4c89-ac9f-aa4799011696}" id="{6da70e34-3fb0-4dd8-8317-e338fc2efeb8}" done="0">
    <x18tc:text xml:space="preserve">Taxa descarga R$ 494,00</x18tc:text>
  </x18tc:threadedComment>
  <x18tc:threadedComment ref="P1216" dT="2025-09-25T13:57:39.00" personId="{10e26c89-0f7e-4c89-ac9f-aa4799011696}" id="{ef3a9112-c1a3-4b4d-8999-f31dbfcd35e9}" done="0">
    <x18tc:text xml:space="preserve">Taxa de Descarga R$ 598,00</x18tc:text>
  </x18tc:threadedComment>
  <x18tc:threadedComment ref="P1212" dT="2025-09-23T15:08:49.00" personId="{10e26c89-0f7e-4c89-ac9f-aa4799011696}" id="{4b914cce-bbfa-46d8-bc18-f3865b6dc0e3}" done="0">
    <x18tc:text xml:space="preserve">Exame R$ 250
Deslocamento R$ 250</x18tc:text>
  </x18tc:threadedComment>
  <x18tc:threadedComment ref="Y809" dT="2024-11-25T12:32:54.00" personId="{e679462e-42b0-4709-9295-66e07f82992a}" id="{1b73511a-fbbd-470f-9e7f-5d89d7edb1f1}" done="0">
    <x18tc:text xml:space="preserve">Marcação no cliente 25/11 08:00</x18tc:text>
  </x18tc:threadedComment>
  <x18tc:threadedComment ref="AC818" dT="2024-11-26T19:35:16.00" personId="{e679462e-42b0-4709-9295-66e07f82992a}" id="{38ded749-6e01-4e7b-b230-74b46a365751}" done="0">
    <x18tc:text xml:space="preserve">Aguardando ver se pagam a diaria, comentário na Y894</x18tc:text>
  </x18tc:threadedComment>
  <x18tc:threadedComment ref="Y818" dT="2024-11-25T12:36:51.00" personId="{e679462e-42b0-4709-9295-66e07f82992a}" id="{7833cfa0-7d1c-4d96-b8c3-4640deefbfca}" done="0">
    <x18tc:text xml:space="preserve">marcação no cliente 25/11/2024 06:20</x18tc:text>
  </x18tc:threadedComment>
  <x18tc:threadedComment ref="P1342" dT="2025-12-03T12:47:52.00" personId="{10e26c89-0f7e-4c89-ac9f-aa4799011696}" id="{de3254a7-cc1e-4389-b0c6-ea7fd2502522}" done="0">
    <x18tc:text xml:space="preserve">Taxa de descarga R$ 442,00</x18tc:text>
  </x18tc:threadedComment>
  <x18tc:threadedComment ref="R1015" dT="2025-03-15T20:05:52.00" personId="{197be102-13af-451f-b7c7-f8af53ca47e5}" id="{b3e920a6-c1f1-442f-8d09-4d9fc51a75c5}" done="0">
    <x18tc:text xml:space="preserve">cte 2189</x18tc:text>
  </x18tc:threadedComment>
  <x18tc:threadedComment ref="P1164" dT="2025-08-25T17:34:36.00" personId="{10e26c89-0f7e-4c89-ac9f-aa4799011696}" id="{f2e10fe8-cd1f-4ec7-aa29-66a097196f7e}" done="0">
    <x18tc:text xml:space="preserve">TAXA DE DESCARAGA R$ 300,00</x18tc:text>
  </x18tc:threadedComment>
  <x18tc:threadedComment ref="P1127" dT="2025-05-23T20:15:07.00" personId="{3815dd20-2e1f-4b38-85c1-75b212f2543f}" id="{673f19a7-98be-40f7-bd9d-324e68be9baa}" done="0">
    <x18tc:text xml:space="preserve">Deslocamento 420,00</x18tc:text>
  </x18tc:threadedComment>
  <x18tc:threadedComment ref="P1127" dT="2025-05-26T14:48:42.00" personId="{3815dd20-2e1f-4b38-85c1-75b212f2543f}" id="{2abe6b56-182a-46e3-b302-66c36995f023}" parentId="{673f19a7-98be-40f7-bd9d-324e68be9baa}">
    <x18tc:text xml:space="preserve">Taxa de descarga 650,00</x18tc:text>
  </x18tc:threadedComment>
  <x18tc:threadedComment ref="P1395" dT="2026-01-08T14:36:36.00" personId="{10e26c89-0f7e-4c89-ac9f-aa4799011696}" id="{d9f248d1-b0e0-4a0d-93f7-0caa97f9133c}" done="0">
    <x18tc:text xml:space="preserve">DIFERENÇA DE FRETE CTA X ANC R$ 135
AMARRAÇÃO R$ 69
DIFERENÇA DE FRETE ANC X CTA R$ 367
DIFERENÇA DE FRETE PG X SC R$ 200</x18tc:text>
  </x18tc:threadedComment>
  <x18tc:threadedComment ref="P1303" dT="2025-11-17T17:43:38.00" personId="{10e26c89-0f7e-4c89-ac9f-aa4799011696}" id="{08c57a17-d92c-4938-a946-ab36f3979e62}" done="0">
    <x18tc:text xml:space="preserve">Taxa de descarga R$ 420
Pendente R$ 100</x18tc:text>
  </x18tc:threadedComment>
  <x18tc:threadedComment ref="P1334" dT="2025-12-03T18:09:40.00" personId="{10e26c89-0f7e-4c89-ac9f-aa4799011696}" id="{90ce86b8-c581-435e-8bce-0e8a08fb7e17}" done="0">
    <x18tc:text xml:space="preserve">SOS APN2H58 R$ 650</x18tc:text>
  </x18tc:threadedComment>
  <x18tc:threadedComment ref="P1312" dT="2025-11-19T22:26:17.00" personId="{bd1e55c3-3473-4fa3-9268-b213b41f1e3b}" id="{d706df10-73b3-4e35-8fe9-05a31d2740e1}" done="0">
    <x18tc:text xml:space="preserve">TAXA DE DESCARGA R$ 725,00</x18tc:text>
  </x18tc:threadedComment>
  <x18tc:threadedComment ref="P1116" dT="2025-05-19T20:33:44.00" personId="{197be102-13af-451f-b7c7-f8af53ca47e5}" id="{fbf54f39-d02f-4c76-964c-1725038f0628}" done="0">
    <x18tc:text xml:space="preserve">R$200,00 deslocamento</x18tc:text>
  </x18tc:threadedComment>
  <x18tc:threadedComment ref="P1116" dT="2025-05-23T20:52:02.00" personId="{3815dd20-2e1f-4b38-85c1-75b212f2543f}" id="{1a64a854-350e-4ef6-a5b8-1a9252e9152e}" parentId="{fbf54f39-d02f-4c76-964c-1725038f0628}">
    <x18tc:text xml:space="preserve">R$ 500,00 Deslocamento sp x pg</x18tc:text>
  </x18tc:threadedComment>
  <x18tc:threadedComment ref="P1260" dT="2025-10-30T17:15:59.00" personId="{10e26c89-0f7e-4c89-ac9f-aa4799011696}" id="{aab4aedf-35c5-473b-90b9-5fb1ae1fc2e4}" done="0">
    <x18tc:text xml:space="preserve">Deslocamento vazio Cta x Pg R$ 250</x18tc:text>
  </x18tc:threadedComment>
  <x18tc:threadedComment ref="Y1017" dT="2025-03-13T20:59:09.00" personId="{e56059e6-f6ba-4fc8-8896-ca87d8a9aa08}" id="{135e43e8-b53a-4239-8fb4-f87e55dc759a}" done="0">
    <x18tc:text xml:space="preserve">OC ABERTA AS 09;30 QUANDO MOTORISTA INFORMOU.</x18tc:text>
  </x18tc:threadedComment>
  <x18tc:threadedComment ref="P1197" dT="2025-09-18T18:43:09.00" personId="{10e26c89-0f7e-4c89-ac9f-aa4799011696}" id="{492c2e59-4a87-4048-b2d1-6cf4ec6052b3}" done="0">
    <x18tc:text xml:space="preserve">Pendencias FEMSA R$ 404,00</x18tc:text>
  </x18tc:threadedComment>
  <x18tc:threadedComment ref="P1326" dT="2025-12-16T19:06:28.00" personId="{10e26c89-0f7e-4c89-ac9f-aa4799011696}" id="{eb6162b0-ecf8-46bb-9863-160371fff9df}" done="0">
    <x18tc:text xml:space="preserve">Deslocamento 2x Cta x PG R$ 500</x18tc:text>
  </x18tc:threadedComment>
  <x18tc:threadedComment ref="P1217" dT="2025-09-30T14:11:47.00" personId="{bd1e55c3-3473-4fa3-9268-b213b41f1e3b}" id="{2575f06c-34fc-4744-ae99-b3e26a04706c}" done="0">
    <x18tc:text xml:space="preserve">R$ 323,00 TAXA DE DESCARGA</x18tc:text>
  </x18tc:threadedComment>
  <x18tc:threadedComment ref="P1248" dT="2025-10-22T15:25:35.00" personId="{10e26c89-0f7e-4c89-ac9f-aa4799011696}" id="{6e435d24-b913-46c6-8217-927b253c3857}" done="0">
    <x18tc:text xml:space="preserve">Deslocamento R$ 350
Diferença de frete Anc x Cta / Cta x Anc R$ 667</x18tc:text>
  </x18tc:threadedComment>
  <x18tc:threadedComment ref="P1336" dT="2025-12-01T20:21:33.00" personId="{10e26c89-0f7e-4c89-ac9f-aa4799011696}" id="{4de2f47c-4cc4-4316-90fc-c827efee1e2d}" done="0">
    <x18tc:text xml:space="preserve">Taxa de Descarga R$ 500</x18tc:text>
  </x18tc:threadedComment>
  <x18tc:threadedComment ref="P1129" dT="2025-05-23T18:20:56.00" personId="{3815dd20-2e1f-4b38-85c1-75b212f2543f}" id="{4a5952bc-b5b9-450b-8541-3094194c8437}" done="0">
    <x18tc:text xml:space="preserve">deslocamento vazio 500,00</x18tc:text>
  </x18tc:threadedComment>
  <x18tc:threadedComment ref="P1160" dT="2025-07-30T19:07:57.00" personId="{10e26c89-0f7e-4c89-ac9f-aa4799011696}" id="{cf6552be-4dad-45a6-b8a5-2c61db5ad952}" done="0">
    <x18tc:text xml:space="preserve">Deslocamento R$ 430,00</x18tc:text>
  </x18tc:threadedComment>
  <x18tc:threadedComment ref="P1160" dT="2025-08-08T14:17:57.00" personId="{10e26c89-0f7e-4c89-ac9f-aa4799011696}" id="{1917d3d4-9b46-4f77-b524-39fe0b5fe257}" parentId="{cf6552be-4dad-45a6-b8a5-2c61db5ad952}">
    <x18tc:text xml:space="preserve">TAXA DE DESCARAGA  R$ 450,00</x18tc:text>
  </x18tc:threadedComment>
  <x18tc:threadedComment ref="A1" dT="2025-12-01T20:23:08.00" personId="{10e26c89-0f7e-4c89-ac9f-aa4799011696}" id="{54159cdb-6328-44eb-9add-0e05c797a707}" done="0">
    <x18tc:text xml:space="preserve">Taxa de descarga R$ 413
Deslocamento SC x PR R$ 150</x18tc:text>
  </x18tc:threadedComment>
  <x18tc:threadedComment ref="Y866" dT="2024-12-26T13:07:31.00" personId="{e56059e6-f6ba-4fc8-8896-ca87d8a9aa08}" id="{b39abbfc-377e-463a-9e35-89042f511deb}" done="0">
    <x18tc:text xml:space="preserve">apresentou no ae 24/12/2024 20:30</x18tc:text>
  </x18tc:threadedComment>
  <x18tc:threadedComment ref="P1128" dT="2025-05-23T19:36:27.00" personId="{3815dd20-2e1f-4b38-85c1-75b212f2543f}" id="{830137e1-ee1e-4447-aa31-81b82b49ceb9}" done="0">
    <x18tc:text xml:space="preserve">950,00 deslocamento vazio</x18tc:text>
  </x18tc:threadedComment>
  <x18tc:threadedComment ref="P1164" dT="2025-08-25T14:32:24.00" personId="{bd1e55c3-3473-4fa3-9268-b213b41f1e3b}" id="{8e1f5bb0-fca6-4efc-963a-6cfc7c47aa45}" done="1">
    <x18tc:text xml:space="preserve">TAXA DE DESCARGA R$623</x18tc:text>
  </x18tc:threadedComment>
  <x18tc:threadedComment ref="P1387" dT="2025-12-22T14:31:56.00" personId="{10e26c89-0f7e-4c89-ac9f-aa4799011696}" id="{a54a6f23-2a04-4d93-b9b4-bb6b93404c8e}" done="0">
    <x18tc:text xml:space="preserve">Diferença de frete Anc x Cta R$ 367</x18tc:text>
  </x18tc:threadedComment>
  <x18tc:threadedComment ref="R1035" dT="2025-03-22T02:26:38.00" personId="{e56059e6-f6ba-4fc8-8896-ca87d8a9aa08}" id="{26a4398b-3759-4301-b3aa-cacda4eba540}" done="0">
    <x18tc:text xml:space="preserve">CTE 514426</x18tc:text>
  </x18tc:threadedComment>
  <x18tc:threadedComment ref="P1431" dT="2026-01-16T19:25:50.00" personId="{10e26c89-0f7e-4c89-ac9f-aa4799011696}" id="{4f864cee-ab27-4c2b-8665-76c4fd74dc89}" done="0">
    <x18tc:text xml:space="preserve">Taxa de descarga R$ 416</x18tc:text>
  </x18tc:threadedComment>
  <x18tc:threadedComment ref="P1165" dT="2025-08-25T12:28:09.00" personId="{10e26c89-0f7e-4c89-ac9f-aa4799011696}" id="{ec49e4a5-88ba-4910-8b26-300d619fdef9}" done="0">
    <x18tc:text xml:space="preserve">TAXA DE DESCARAGA R$ 312,00</x18tc:text>
  </x18tc:threadedComment>
  <x18tc:threadedComment ref="R1053" dT="2025-04-05T03:30:54.00" personId="{197be102-13af-451f-b7c7-f8af53ca47e5}" id="{4aefc926-931d-4ed2-9a18-2457f4fbd895}" done="1">
    <x18tc:text xml:space="preserve">516482</x18tc:text>
  </x18tc:threadedComment>
  <x18tc:threadedComment ref="P1144" dT="2025-06-27T20:45:24.00" personId="{10e26c89-0f7e-4c89-ac9f-aa4799011696}" id="{81815edd-3044-46f9-8085-f2fd9d0a3df6}" done="0">
    <x18tc:text xml:space="preserve">R$200,00 Deslocamento</x18tc:text>
  </x18tc:threadedComment>
  <x18tc:threadedComment ref="P1144" dT="2025-06-30T20:04:57.00" personId="{10e26c89-0f7e-4c89-ac9f-aa4799011696}" id="{50794242-ee6c-4026-b3f7-8a415f57161e}" parentId="{81815edd-3044-46f9-8085-f2fd9d0a3df6}">
    <x18tc:text xml:space="preserve">R$ 312,00 Taxa de descarga</x18tc:text>
  </x18tc:threadedComment>
  <x18tc:threadedComment ref="R1071" dT="2025-04-19T22:49:23.00" personId="{197be102-13af-451f-b7c7-f8af53ca47e5}" id="{31773f49-d89e-405c-af8a-7817b1889b6b}" done="0">
    <x18tc:text xml:space="preserve">dacte 2220</x18tc:text>
  </x18tc:threadedComment>
  <x18tc:threadedComment ref="P1388" dT="2025-12-22T15:11:58.00" personId="{10e26c89-0f7e-4c89-ac9f-aa4799011696}" id="{c9a9206e-4dd0-4abb-af83-c3065979c491}" done="0">
    <x18tc:text xml:space="preserve">Taxa de descarga R$ 468</x18tc:text>
  </x18tc:threadedComment>
  <x18tc:threadedComment ref="P1451" dT="2026-01-21T00:36:07.00" personId="{bd1e55c3-3473-4fa3-9268-b213b41f1e3b}" id="{5a14ecb2-3313-4c83-8800-52adcbb54ab9}" done="0">
    <x18tc:text xml:space="preserve">Diferença de frete R$ 1.800,00</x18tc:text>
  </x18tc:threadedComment>
  <x18tc:threadedComment ref="P1423" dT="2026-01-09T13:21:19.00" personId="{bd1e55c3-3473-4fa3-9268-b213b41f1e3b}" id="{376a8d1d-1a66-46c0-b2de-e5490b947a6b}" done="1">
    <x18tc:text xml:space="preserve">R$ 290,00 - EXAME MÉDICO</x18tc:text>
  </x18tc:threadedComment>
  <x18tc:threadedComment ref="P1296" dT="2025-11-10T17:58:39.00" personId="{10e26c89-0f7e-4c89-ac9f-aa4799011696}" id="{a42b9fdd-f014-4adc-b1e0-a94189518fd6}" done="0">
    <x18tc:text xml:space="preserve">Diferença de frete Anc x Ara
R$ 452</x18tc:text>
  </x18tc:threadedComment>
  <x18tc:threadedComment ref="P1171" dT="2025-09-02T12:27:51.00" personId="{10e26c89-0f7e-4c89-ac9f-aa4799011696}" id="{867db366-a9e0-414e-ba8c-6c7fa0f0fca7}" done="0">
    <x18tc:text xml:space="preserve">Taxa de descarga R$ 494,00</x18tc:text>
  </x18tc:threadedComment>
  <x18tc:threadedComment ref="P1171" dT="2025-09-02T13:02:05.00" personId="{10e26c89-0f7e-4c89-ac9f-aa4799011696}" id="{b9e83f40-d4f5-4045-9371-aab5f916f683}" parentId="{867db366-a9e0-414e-ba8c-6c7fa0f0fca7}">
    <x18tc:text xml:space="preserve">Amarração Coca R$ 69,00</x18tc:text>
  </x18tc:threadedComment>
  <x18tc:threadedComment ref="P1426" dT="2026-01-09T13:30:46.00" personId="{bd1e55c3-3473-4fa3-9268-b213b41f1e3b}" id="{3a678569-a9d8-4a88-adf9-efab80225bc9}" done="1">
    <x18tc:text xml:space="preserve">R$ 290,00 - EXAME MÉDICO</x18tc:text>
  </x18tc:threadedComment>
  <x18tc:threadedComment ref="P1313" dT="2025-11-14T14:25:14.00" personId="{10e26c89-0f7e-4c89-ac9f-aa4799011696}" id="{c5b1ed81-c535-4562-b2ef-13324375e8eb}" done="0">
    <x18tc:text xml:space="preserve">Deslocamento vazio R$ 562</x18tc:text>
  </x18tc:threadedComment>
  <x18tc:threadedComment ref="P1309" dT="2025-11-14T14:23:54.00" personId="{10e26c89-0f7e-4c89-ac9f-aa4799011696}" id="{747497d8-944f-4406-a6d5-5a358a8def66}" done="0">
    <x18tc:text xml:space="preserve">Deslocamento vazio R$ 520</x18tc:text>
  </x18tc:threadedComment>
  <x18tc:threadedComment ref="P1335" dT="2025-11-28T14:38:41.00" personId="{10e26c89-0f7e-4c89-ac9f-aa4799011696}" id="{96bffece-a86e-4bee-8b5a-34840aabcd57}" done="0">
    <x18tc:text xml:space="preserve">Deslocamento vazio SCx PR R$ 700
Diferença de frete Anc x Cta R$ 367
Amarração R$ 69
Diferença de frete Cta x Pg R$ 100</x18tc:text>
  </x18tc:threadedComment>
  <x18tc:threadedComment ref="P1205" dT="2025-09-22T13:43:08.00" personId="{10e26c89-0f7e-4c89-ac9f-aa4799011696}" id="{6298ef1e-f285-4424-a901-ab7fa9572a8c}" done="0">
    <x18tc:text xml:space="preserve">Descarga R$ 520,00
Pedagio R$ 220,00</x18tc:text>
  </x18tc:threadedComment>
  <x18tc:threadedComment ref="P1293" dT="2025-10-30T13:50:03.00" personId="{bd1e55c3-3473-4fa3-9268-b213b41f1e3b}" id="{79982b7e-03ea-4b6f-8b02-0e985ce46989}" done="1">
    <x18tc:text xml:space="preserve">Créscimos
R$ 494,00 - taxa de descarga
R$ 250,00 - deslocamento vazio</x18tc:text>
  </x18tc:threadedComment>
  <x18tc:threadedComment ref="P1167" dT="2025-08-25T11:55:18.00" personId="{10e26c89-0f7e-4c89-ac9f-aa4799011696}" id="{cb3521ae-2d0b-41a4-abc5-e9ab39bc2137}" done="0">
    <x18tc:text xml:space="preserve">Deslocamento+Pedagio R$200,00</x18tc:text>
  </x18tc:threadedComment>
  <x18tc:threadedComment ref="P1167" dT="2025-08-27T19:15:13.00" personId="{10e26c89-0f7e-4c89-ac9f-aa4799011696}" id="{685ba9fa-d0a2-4b4c-820c-443798391aba}" parentId="{cb3521ae-2d0b-41a4-abc5-e9ab39bc2137}">
    <x18tc:text xml:space="preserve">Taxa de descarga R$ 700,00</x18tc:text>
  </x18tc:threadedComment>
  <x18tc:threadedComment ref="P1167" dT="2025-09-04T15:31:54.00" personId="{10e26c89-0f7e-4c89-ac9f-aa4799011696}" id="{eb4ab15a-7b3d-466d-a030-aef7705aa189}" parentId="{cb3521ae-2d0b-41a4-abc5-e9ab39bc2137}">
    <x18tc:text xml:space="preserve">Acrescimo feito por Jacarei R$ 400,00</x18tc:text>
  </x18tc:threadedComment>
  <x18tc:threadedComment ref="P1161" dT="2025-08-07T12:58:56.00" personId="{10e26c89-0f7e-4c89-ac9f-aa4799011696}" id="{3d77bb69-b970-422c-be23-735ef11d2efc}" done="0">
    <x18tc:text xml:space="preserve">TAXA DE DESCARGA R$ 598,00</x18tc:text>
  </x18tc:threadedComment>
  <x18tc:threadedComment ref="P1220" dT="2025-09-29T19:12:46.00" personId="{bd1e55c3-3473-4fa3-9268-b213b41f1e3b}" id="{03729617-61c9-4f65-8e31-2fdeacee83fc}" done="0">
    <x18tc:text xml:space="preserve">R$ 230,00 TAXA DE DESCARGA</x18tc:text>
  </x18tc:threadedComment>
  <x18tc:threadedComment ref="P1311" dT="2025-11-18T14:45:25.00" personId="{10e26c89-0f7e-4c89-ac9f-aa4799011696}" id="{708e8fb9-5145-4898-b27f-dbb38f4d9ca6}" done="0">
    <x18tc:text xml:space="preserve">Exame R$ 290
Deslocamento CTA x PG R$ 250</x18tc:text>
  </x18tc:threadedComment>
  <x18tc:threadedComment ref="P1175" dT="2025-09-01T15:27:47.00" personId="{10e26c89-0f7e-4c89-ac9f-aa4799011696}" id="{cf6e5850-3c61-43b3-bdb1-db6d3ec16622}" done="0">
    <x18tc:text xml:space="preserve">Deslocamento R$ 200,00</x18tc:text>
  </x18tc:threadedComment>
  <x18tc:threadedComment ref="P1175" dT="2025-09-03T11:28:25.00" personId="{bd1e55c3-3473-4fa3-9268-b213b41f1e3b}" id="{38278da3-df13-4ba0-9792-37f454002d78}" parentId="{cf6e5850-3c61-43b3-bdb1-db6d3ec16622}">
    <x18tc:text xml:space="preserve">Taxa de descarga R$ 468,00</x18tc:text>
  </x18tc:threadedComment>
  <x18tc:threadedComment ref="P1304" dT="2025-11-13T14:19:49.00" personId="{10e26c89-0f7e-4c89-ac9f-aa4799011696}" id="{45792084-88c2-47a0-8851-bd753eac8eea}" done="0">
    <x18tc:text xml:space="preserve">Taxa de descarga R$ 520,00</x18tc:text>
  </x18tc:threadedComment>
  <x18tc:threadedComment ref="P1290" dT="2025-10-30T14:44:11.00" personId="{10e26c89-0f7e-4c89-ac9f-aa4799011696}" id="{a19b8044-1e67-43fb-a6ee-79fd1ec2b508}" done="0">
    <x18tc:text xml:space="preserve">Taxa de descarga R$ 312</x18tc:text>
  </x18tc:threadedComment>
  <x18tc:threadedComment ref="P1172" dT="2025-09-01T15:26:43.00" personId="{10e26c89-0f7e-4c89-ac9f-aa4799011696}" id="{19361c8f-49cc-4f5f-9356-c67db84c3d6b}" done="0">
    <x18tc:text xml:space="preserve">Deslocamento R$ 200,00</x18tc:text>
  </x18tc:threadedComment>
  <x18tc:threadedComment ref="P1172" dT="2025-09-03T11:30:01.00" personId="{10e26c89-0f7e-4c89-ac9f-aa4799011696}" id="{841337d9-9b47-4b10-bb1b-6b118ed42cf1}" parentId="{19361c8f-49cc-4f5f-9356-c67db84c3d6b}">
    <x18tc:text xml:space="preserve">R$ 468,00</x18tc:text>
  </x18tc:threadedComment>
  <x18tc:threadedComment ref="P1349" dT="2025-12-08T14:53:28.00" personId="{10e26c89-0f7e-4c89-ac9f-aa4799011696}" id="{1fbea795-c6b2-43a1-8d73-a485df88c77a}" done="0">
    <x18tc:text xml:space="preserve">Deslocamento Cta x Pg R$ 250</x18tc:text>
  </x18tc:threadedComment>
  <x18tc:threadedComment ref="AB812" dT="2024-11-27T17:11:32.00" personId="{e679462e-42b0-4709-9295-66e07f82992a}" id="{8932f9f3-8b2f-4719-9a47-1f5f37717bfd}" done="0">
    <x18tc:text xml:space="preserve">OC ABERTA NA DT DE IDA POIS A DE RETORNO AINDA NÃO ESTAVA INTEGRADA NO GALILEU</x18tc:text>
  </x18tc:threadedComment>
  <x18tc:threadedComment ref="P1444" dT="2026-01-20T19:34:35.00" personId="{10e26c89-0f7e-4c89-ac9f-aa4799011696}" id="{ece7eb82-b649-46ff-beee-8ca6bd9eae21}" done="0">
    <x18tc:text xml:space="preserve">Diferença de frete R$ 1500</x18tc:text>
  </x18tc:threadedComment>
  <x18tc:threadedComment ref="P1444" dT="2026-01-29T19:29:54.00" personId="{bd1e55c3-3473-4fa3-9268-b213b41f1e3b}" id="{57656293-93d8-43c9-92d5-79092d0fd6e0}" parentId="{ece7eb82-b649-46ff-beee-8ca6bd9eae21}">
    <x18tc:text xml:space="preserve">taxa de descarga 412</x18tc:text>
  </x18tc:threadedComment>
  <x18tc:threadedComment ref="P1412" dT="2026-01-06T12:42:05.00" personId="{10e26c89-0f7e-4c89-ac9f-aa4799011696}" id="{d1281218-aa23-45db-8310-b0a290ba3fd4}" done="0">
    <x18tc:text xml:space="preserve">Diferença de frete Anc x Cta R$ 367</x18tc:text>
  </x18tc:threadedComment>
  <x18tc:threadedComment ref="Y842" dT="2024-12-13T16:43:26.00" personId="{e56059e6-f6ba-4fc8-8896-ca87d8a9aa08}" id="{9803db5d-4286-4bd2-980c-b6ec3c20cd31}" done="0">
    <x18tc:text xml:space="preserve">descarga transferida para AE Master, motorista se apresentou as 12:20</x18tc:text>
  </x18tc:threadedComment>
  <x18tc:threadedComment ref="P1145" dT="2025-06-30T15:49:40.00" personId="{10e26c89-0f7e-4c89-ac9f-aa4799011696}" id="{19bbbaed-3349-43ba-b58b-e43e3a691124}" done="0">
    <x18tc:text xml:space="preserve">Taxa de descarga R$ 312,00</x18tc:text>
  </x18tc:threadedComment>
  <x18tc:threadedComment ref="AB833" dT="2024-12-07T18:10:06.00" personId="{e56059e6-f6ba-4fc8-8896-ca87d8a9aa08}" id="{513fe529-32ac-4f41-8ff8-0effbb3b107b}" done="0">
    <x18tc:text xml:space="preserve">OC aberta na DT de ida, pois a de volta ñ estava integrada</x18tc:text>
  </x18tc:threadedComment>
  <x18tc:threadedComment ref="AB827" dT="2024-12-07T23:46:14.00" personId="{e56059e6-f6ba-4fc8-8896-ca87d8a9aa08}" id="{fc8ac2f9-d2f9-41db-aca0-1a7bf3424af8}" done="0">
    <x18tc:text xml:space="preserve">OC aberta na DT de ida, pois a de volta ñ estava integrada</x18tc:text>
  </x18tc:threadedComment>
  <x18tc:threadedComment ref="P1190" dT="2025-09-21T11:59:38.00" personId="{10e26c89-0f7e-4c89-ac9f-aa4799011696}" id="{644724f5-1e75-4b83-af8b-4c069881db9d}" done="0">
    <x18tc:text xml:space="preserve">Acrescimo Pendencias FEMSA
R$ 1342,00</x18tc:text>
  </x18tc:threadedComment>
  <x18tc:threadedComment ref="P1370" dT="2025-12-11T14:09:09.00" personId="{10e26c89-0f7e-4c89-ac9f-aa4799011696}" id="{88eba956-5e92-4d10-b718-405422b8caef}" done="1">
    <x18tc:text xml:space="preserve">Deslocamento Cta x xPG R$ 250</x18tc:text>
  </x18tc:threadedComment>
  <x18tc:threadedComment ref="P1371" dT="2025-12-11T13:46:07.00" personId="{10e26c89-0f7e-4c89-ac9f-aa4799011696}" id="{1f0c0d47-2d82-4d54-9ae9-f9da71d2c55e}" done="0">
    <x18tc:text xml:space="preserve">Diferença de frete R$ 300</x18tc:text>
  </x18tc:threadedComment>
  <x18tc:threadedComment ref="P1293" dT="2025-10-31T12:30:38.00" personId="{10e26c89-0f7e-4c89-ac9f-aa4799011696}" id="{f8260078-fce2-4b56-b40d-659a5b9bcee9}" done="0">
    <x18tc:text xml:space="preserve">Taxa de descarga R$ 494
Diferença de frete Anc x Cta 
R$ 208</x18tc:text>
  </x18tc:threadedComment>
  <x18tc:threadedComment ref="P1204" dT="2025-09-21T12:00:15.00" personId="{10e26c89-0f7e-4c89-ac9f-aa4799011696}" id="{7ef32803-45d0-486d-8a08-d3601450bc07}" done="0">
    <x18tc:text xml:space="preserve">Descontar diferença na quinzena, recebeu como SPOT</x18tc:text>
  </x18tc:threadedComment>
  <x18tc:threadedComment ref="P1149" dT="2025-07-03T14:02:17.00" personId="{10e26c89-0f7e-4c89-ac9f-aa4799011696}" id="{bf7c5825-429a-4acd-93de-a0bd2f156318}" done="0">
    <x18tc:text xml:space="preserve">Taxa de descarga R$ 340,00</x18tc:text>
  </x18tc:threadedComment>
  <x18tc:threadedComment ref="P1147" dT="2025-06-30T21:20:20.00" personId="{10e26c89-0f7e-4c89-ac9f-aa4799011696}" id="{dd84d9cd-865f-490a-b79b-879a5c96a00d}" done="0">
    <x18tc:text xml:space="preserve">Taxa de descarga R$ 520,00</x18tc:text>
  </x18tc:threadedComment>
  <x18tc:threadedComment ref="P1330" dT="2025-11-27T13:28:36.00" personId="{10e26c89-0f7e-4c89-ac9f-aa4799011696}" id="{6743aa76-8f7e-461f-b0d1-acd8aca0ad23}" done="0">
    <x18tc:text xml:space="preserve">Deslocamento Cta x Pg R$ 250
Man.Rastreador R$ 130</x18tc:text>
  </x18tc:threadedComment>
  <x18tc:threadedComment ref="P1151" dT="2025-07-05T00:47:52.00" personId="{e56059e6-f6ba-4fc8-8896-ca87d8a9aa08}" id="{d37f659a-bb65-42e6-af03-cfb4b84ae577}" done="0">
    <x18tc:text xml:space="preserve">475,00 valor pendente deslocamento que a ketellyn havia combinado com o motorista</x18tc:text>
  </x18tc:threadedComment>
  <x18tc:threadedComment ref="P1325" dT="2025-12-01T18:02:00.00" personId="{10e26c89-0f7e-4c89-ac9f-aa4799011696}" id="{b190609f-0149-470e-89d8-f75e0b267fb1}" done="0">
    <x18tc:text xml:space="preserve">Deslocamento Dedicado Jacarei R$ 800
Amarração 26/11 R$ 69
Diferença de frete Anc x CTA R$ 367
Diferença de frete CTA x PG R$ 100</x18tc:text>
  </x18tc:threadedComment>
  <x18tc:threadedComment ref="R1023" dT="2025-03-15T17:10:36.00" personId="{197be102-13af-451f-b7c7-f8af53ca47e5}" id="{4709d8ca-9508-4502-9884-828de386e32b}" done="0">
    <x18tc:text xml:space="preserve">cte 2187</x18tc:text>
  </x18tc:threadedComment>
  <x18tc:threadedComment ref="A1" dT="2025-12-17T17:37:49.00" personId="{10e26c89-0f7e-4c89-ac9f-aa4799011696}" id="{732e4480-c7f8-4bb5-9f85-4ec4998769c4}" done="0">
    <x18tc:text xml:space="preserve">Diferença de frete Itu x Pg R$ 431</x18tc:text>
  </x18tc:threadedComment>
  <x18tc:threadedComment ref="P1289" dT="2025-10-29T14:22:44.00" personId="{10e26c89-0f7e-4c89-ac9f-aa4799011696}" id="{52142df5-21a1-46f5-a856-ad6f1918609a}" done="0">
    <x18tc:text xml:space="preserve">Taxa de descarga R$ 312</x18tc:text>
  </x18tc:threadedComment>
  <x18tc:threadedComment ref="P1440" dT="2026-01-20T19:34:48.00" personId="{10e26c89-0f7e-4c89-ac9f-aa4799011696}" id="{d1f6e1ed-68c4-47ba-a5ef-76254986cc28}" done="0">
    <x18tc:text xml:space="preserve">Diferença de frete R$ 1500</x18tc:text>
  </x18tc:threadedComment>
  <x18tc:threadedComment ref="P1487" dT="2026-01-29T19:08:55.00" personId="{bd1e55c3-3473-4fa3-9268-b213b41f1e3b}" id="{0c6fb6c4-9d6c-4f22-8cf1-b109ff88eb25}" done="0">
    <x18tc:text xml:space="preserve">R$ 348 - taxa de descarga 1772609</x18tc:text>
  </x18tc:threadedComment>
  <x18tc:threadedComment ref="C1395" dT="2025-12-16T13:08:06.00" personId="{10e26c89-0f7e-4c89-ac9f-aa4799011696}" id="{fd9b934d-572d-4b4b-b8a5-6768b0964acb}" done="1">
    <x18tc:text xml:space="preserve">Agendado coleta no OTM para 23/12 as 20h</x18tc:text>
  </x18tc:threadedComment>
  <x18tc:threadedComment ref="P1438" dT="2026-01-20T17:40:43.00" personId="{10e26c89-0f7e-4c89-ac9f-aa4799011696}" id="{65401464-fa48-4363-914f-870997c85efc}" done="0">
    <x18tc:text xml:space="preserve">Taxa de descarga R$ 745</x18tc:text>
  </x18tc:threadedComment>
  <x18tc:threadedComment ref="P1199" dT="2025-09-19T12:24:14.00" personId="{10e26c89-0f7e-4c89-ac9f-aa4799011696}" id="{f7819253-166c-49d9-8f68-88e0111ec856}" done="0">
    <x18tc:text xml:space="preserve">Pendencias FEMSA R$ 324,00</x18tc:text>
  </x18tc:threadedComment>
  <x18tc:threadedComment ref="P1146" dT="2025-07-03T20:07:24.00" personId="{10e26c89-0f7e-4c89-ac9f-aa4799011696}" id="{a9767cf6-6a83-4a45-b729-f6ed2ef4cc14}" done="0">
    <x18tc:text xml:space="preserve">Taxa de descarga R$ 416,00</x18tc:text>
  </x18tc:threadedComment>
  <x18tc:threadedComment ref="P1355" dT="2025-12-10T14:53:38.00" personId="{10e26c89-0f7e-4c89-ac9f-aa4799011696}" id="{14a5d0df-74d8-4b44-8488-49a6f49f7052}" done="0">
    <x18tc:text xml:space="preserve">Diferença de frete SC x PR R$ 200</x18tc:text>
  </x18tc:threadedComment>
  <x18tc:threadedComment ref="P1439" dT="2026-01-20T17:41:43.00" personId="{10e26c89-0f7e-4c89-ac9f-aa4799011696}" id="{df610272-f6e5-49dd-b2a4-fba10b9e5520}" done="0">
    <x18tc:text xml:space="preserve">Diferença de frete R$ 300</x18tc:text>
  </x18tc:threadedComment>
  <x18tc:threadedComment ref="P1479" dT="2026-01-29T19:32:33.00" personId="{bd1e55c3-3473-4fa3-9268-b213b41f1e3b}" id="{cf33986f-fd18-43e4-a7ad-e3f7a0aba24d}" done="0">
    <x18tc:text xml:space="preserve">taxa de descarga 302</x18tc:text>
  </x18tc:threadedComment>
  <x18tc:threadedComment ref="P1367" dT="2025-12-10T14:55:03.00" personId="{10e26c89-0f7e-4c89-ac9f-aa4799011696}" id="{1d4e638e-7ad7-4e8c-9cbc-c333dcb8cf0b}" done="0">
    <x18tc:text xml:space="preserve">TAxa de descarga R$  200</x18tc:text>
  </x18tc:threadedComment>
  <x18tc:threadedComment ref="P1450" dT="2026-01-20T17:43:08.00" personId="{10e26c89-0f7e-4c89-ac9f-aa4799011696}" id="{40b0cfe1-7d45-4843-979d-28e6acf785e0}" done="0">
    <x18tc:text xml:space="preserve">Diferença de frete R$ 1800</x18tc:text>
  </x18tc:threadedComment>
  <x18tc:threadedComment ref="R1021" dT="2025-03-15T20:17:41.00" personId="{197be102-13af-451f-b7c7-f8af53ca47e5}" id="{e3aa9460-1578-43f8-ac47-7068c26d6251}" done="0">
    <x18tc:text xml:space="preserve">cte 2190</x18tc:text>
  </x18tc:threadedComment>
  <x18tc:threadedComment ref="P1442" dT="2026-01-20T17:44:15.00" personId="{10e26c89-0f7e-4c89-ac9f-aa4799011696}" id="{9cdae604-bbc6-4621-990e-eb3787e4eff7}" done="0">
    <x18tc:text xml:space="preserve">Diferença de frete R$ 1500</x18tc:text>
  </x18tc:threadedComment>
  <x18tc:threadedComment ref="P1411" dT="2026-01-08T15:02:35.00" personId="{10e26c89-0f7e-4c89-ac9f-aa4799011696}" id="{72e03f4d-924f-47a8-915a-2aa37a6f0836}" done="0">
    <x18tc:text xml:space="preserve">PENDENCIAS RESTANTES R$ 300
AMARRAÇÃO R$ 69</x18tc:text>
  </x18tc:threadedComment>
  <x18tc:threadedComment ref="P1327" dT="2025-11-26T14:17:26.00" personId="{10e26c89-0f7e-4c89-ac9f-aa4799011696}" id="{55296444-4a23-4682-a917-d80b4e8fafa7}" done="0">
    <x18tc:text xml:space="preserve">DESLOCAMENTO VAZIO PG X CTA R$ 250
DIFERENÇA DE FRETE ANC X CTA R$ 367</x18tc:text>
  </x18tc:threadedComment>
  <x18tc:threadedComment ref="P1115" dT="2025-05-20T22:59:27.00" personId="{197be102-13af-451f-b7c7-f8af53ca47e5}" id="{76a1dfa3-bade-4a52-9b03-1457366950bb}" done="0">
    <x18tc:text xml:space="preserve">R$65,00 descarga coca</x18tc:text>
  </x18tc:threadedComment>
  <x18tc:threadedComment ref="R1024" dT="2025-03-17T22:17:42.00" personId="{197be102-13af-451f-b7c7-f8af53ca47e5}" id="{53c695d1-eed2-4b36-9bad-07d6345df939}" done="0">
    <x18tc:text xml:space="preserve">cte 2191</x18tc:text>
  </x18tc:threadedComment>
  <x18tc:threadedComment ref="R1016" dT="2025-03-15T20:08:51.00" personId="{197be102-13af-451f-b7c7-f8af53ca47e5}" id="{9fcc517b-c17e-4e50-9d65-bbb74fd8c742}" done="0">
    <x18tc:text xml:space="preserve">cte 2188</x18tc:text>
  </x18tc:threadedComment>
  <x18tc:threadedComment ref="R1029" dT="2025-03-21T00:35:07.00" personId="{197be102-13af-451f-b7c7-f8af53ca47e5}" id="{c085f612-4f57-485f-b1fc-22126ebd3651}" done="0">
    <x18tc:text xml:space="preserve">cte 2197</x18tc:text>
  </x18tc:threadedComment>
  <x18tc:threadedComment ref="R1019" dT="2025-03-17T21:49:23.00" personId="{197be102-13af-451f-b7c7-f8af53ca47e5}" id="{b9077d7f-c476-4127-b4af-bd9af9511156}" done="0">
    <x18tc:text xml:space="preserve">cte 513706</x18tc:text>
  </x18tc:threadedComment>
  <x18tc:threadedComment ref="P1338" dT="2025-12-01T13:49:07.00" personId="{10e26c89-0f7e-4c89-ac9f-aa4799011696}" id="{c90b2572-a243-4654-ae82-d75b4d0176d5}" done="0">
    <x18tc:text xml:space="preserve">Taxa de descarga R$ 442
Deslocamento SC x PR R$ 325</x18tc:text>
  </x18tc:threadedComment>
  <x18tc:threadedComment ref="P1218" dT="2025-09-29T17:41:30.00" personId="{10e26c89-0f7e-4c89-ac9f-aa4799011696}" id="{00293b17-611f-4198-8cb8-35593a1d8b1e}" done="0">
    <x18tc:text xml:space="preserve">Taxa de descarga Itu R$ 182
Pedagio Jacarezinho R$ 73
Amarração 26/09 R$ 69</x18tc:text>
  </x18tc:threadedComment>
  <x18tc:threadedComment ref="P1228" dT="2025-10-07T14:13:27.00" personId="{10e26c89-0f7e-4c89-ac9f-aa4799011696}" id="{ce73e690-b0f4-4990-82a7-6decc168fbe5}" done="0">
    <x18tc:text xml:space="preserve">Deslocamento R$ 250
Amarração R$ 69</x18tc:text>
  </x18tc:threadedComment>
  <x18tc:threadedComment ref="P1399" dT="2025-12-29T17:18:35.00" personId="{10e26c89-0f7e-4c89-ac9f-aa4799011696}" id="{604620f7-f61e-4099-b6cf-cda6e081f43c}" done="1">
    <x18tc:text xml:space="preserve">Diferença de frete Anc x Cta R$ 367</x18tc:text>
  </x18tc:threadedComment>
  <x18tc:threadedComment ref="P1223" dT="2025-10-02T21:04:41.00" personId="{10e26c89-0f7e-4c89-ac9f-aa4799011696}" id="{2d2af2c2-0bd1-439b-a77f-cab80d09bc13}" done="0">
    <x18tc:text xml:space="preserve">Deslocamento vazio Itu x PG R$500</x18tc:text>
  </x18tc:threadedComment>
  <x18tc:threadedComment ref="P1403" dT="2025-12-29T17:21:38.00" personId="{10e26c89-0f7e-4c89-ac9f-aa4799011696}" id="{0a678c96-168d-4ada-824f-3e96f226fe5f}" done="0">
    <x18tc:text xml:space="preserve">Deslocamento vazio Cta x Pg R$ 150</x18tc:text>
  </x18tc:threadedComment>
  <x18tc:threadedComment ref="P1401" dT="2025-12-29T12:35:00.00" personId="{10e26c89-0f7e-4c89-ac9f-aa4799011696}" id="{f7874e31-1247-49fb-96cf-6800c6ada45c}" done="0">
    <x18tc:text xml:space="preserve">Taxa de descarga R$ 442
Deslocamento Passos R$ 200</x18tc:text>
  </x18tc:threadedComment>
  <x18tc:threadedComment ref="P1459" dT="2026-01-28T17:16:04.00" personId="{10e26c89-0f7e-4c89-ac9f-aa4799011696}" id="{d2a33d3d-9314-4a06-b9cf-811f4b53af41}" done="0">
    <x18tc:text xml:space="preserve">Diferença de frete Anc x Ara R$ 452
Amarração R$ 69</x18tc:text>
  </x18tc:threadedComment>
  <x18tc:threadedComment ref="P1323" dT="2025-11-21T18:23:20.00" personId="{bd1e55c3-3473-4fa3-9268-b213b41f1e3b}" id="{f53583e1-7a91-4223-9356-589a5047e4c0}" done="0">
    <x18tc:text xml:space="preserve">TAXA DE DESCARGA R$ 798,00</x18tc:text>
  </x18tc:threadedComment>
  <x18tc:threadedComment ref="A1" dT="2025-12-10T17:32:18.00" personId="{10e26c89-0f7e-4c89-ac9f-aa4799011696}" id="{f5130f21-3712-4cbc-8426-0bfc0fb279d6}" done="0">
    <x18tc:text xml:space="preserve">Diferença de frete retorno R$ 431</x18tc:text>
  </x18tc:threadedComment>
  <x18tc:threadedComment ref="P1475" dT="2026-01-28T17:26:10.00" personId="{10e26c89-0f7e-4c89-ac9f-aa4799011696}" id="{665be719-7fd1-43fb-8b91-3fbecb9d855f}" done="0">
    <x18tc:text xml:space="preserve">Deslocamento PG R$ 250</x18tc:text>
  </x18tc:threadedComment>
  <x18tc:threadedComment ref="P1183" dT="2025-09-15T13:29:38.00" personId="{10e26c89-0f7e-4c89-ac9f-aa4799011696}" id="{fe7a13ff-4cc2-4cbd-890b-6ab95205dadb}" done="0">
    <x18tc:text xml:space="preserve">Deslocamento vazio SP/PR R$ 700</x18tc:text>
  </x18tc:threadedComment>
  <x18tc:threadedComment ref="P1143" dT="2025-06-26T13:14:12.00" personId="{10e26c89-0f7e-4c89-ac9f-aa4799011696}" id="{f8de446f-b733-4d31-b2ea-e9814dbb06cb}" done="0">
    <x18tc:text xml:space="preserve">R$200,00 Diferença Frete 
R$65,00 Amarração</x18tc:text>
  </x18tc:threadedComment>
  <x18tc:threadedComment ref="P1142" dT="2025-06-26T13:37:49.00" personId="{10e26c89-0f7e-4c89-ac9f-aa4799011696}" id="{1017b8ae-d1d4-408f-9c70-430aaee79b17}" done="0">
    <x18tc:text xml:space="preserve">Diferença Frete R$ 200,00</x18tc:text>
  </x18tc:threadedComment>
  <x18tc:threadedComment ref="P1321" dT="2025-12-01T13:37:54.00" personId="{10e26c89-0f7e-4c89-ac9f-aa4799011696}" id="{22bfe1e1-fcad-4f19-9d69-dee5ac9424b1}" done="0">
    <x18tc:text xml:space="preserve">Taxa de descarga R$ 408
Diferença de frete Anc x Cta R$ 135</x18tc:text>
  </x18tc:threadedComment>
  <x18tc:threadedComment ref="P1339" dT="2025-12-08T18:04:44.00" personId="{10e26c89-0f7e-4c89-ac9f-aa4799011696}" id="{43b3edf5-f893-4250-8688-578f8ef6ac08}" done="0">
    <x18tc:text xml:space="preserve">Taxa de descarga R$ 475,00</x18tc:text>
  </x18tc:threadedComment>
  <x18tc:threadedComment ref="P1137" dT="2025-06-27T15:27:13.00" personId="{10e26c89-0f7e-4c89-ac9f-aa4799011696}" id="{623fe1e2-87f3-48e3-bd9e-92d87f27726e}" done="0">
    <x18tc:text xml:space="preserve">R$200,00 Deslocamento
R$250,00 Exame</x18tc:text>
  </x18tc:threadedComment>
  <x18tc:threadedComment ref="P1222" dT="2025-10-01T21:34:19.00" personId="{10e26c89-0f7e-4c89-ac9f-aa4799011696}" id="{b5abc67c-b2ed-4e69-89f3-827b1c4b2a70}" done="0">
    <x18tc:text xml:space="preserve">Taxa de descarga R$ 500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99" dT="2025-08-15T20:16:49.00" personId="{bd1e55c3-3473-4fa3-9268-b213b41f1e3b}" id="{9f3a499a-47f0-4f5b-879b-1126f24afbf7}" done="0">
    <x18tc:text xml:space="preserve">0004655649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2" dT="2025-03-27T12:33:44.00" personId="{197be102-13af-451f-b7c7-f8af53ca47e5}" id="{7f6ebe3c-aa2d-4aed-9b3d-86c6d3211c6c}" done="0">
    <x18tc:text xml:space="preserve">Preventiva de borracharia</x18tc:text>
  </x18tc:threadedComment>
  <x18tc:threadedComment ref="D26" dT="2025-03-27T12:34:06.00" personId="{197be102-13af-451f-b7c7-f8af53ca47e5}" id="{a6ddb213-037b-471e-8966-ad2f9c7522a7}" done="0">
    <x18tc:text xml:space="preserve">Preventiva de borracharia</x18tc:text>
  </x18tc:threadedComment>
  <x18tc:threadedComment ref="D24" dT="2025-03-27T12:33:54.00" personId="{197be102-13af-451f-b7c7-f8af53ca47e5}" id="{aa6d5eac-8c35-47f3-9b7c-00fa6ad8d72d}" done="0">
    <x18tc:text xml:space="preserve">Preventiva de borracharia</x18tc:text>
  </x18tc:threadedComment>
  <x18tc:threadedComment ref="D28" dT="2025-03-27T12:34:20.00" personId="{197be102-13af-451f-b7c7-f8af53ca47e5}" id="{cf02ccfb-df20-4d05-8344-a4798cf462d8}" done="0">
    <x18tc:text xml:space="preserve">Preventiva de borracharia</x18tc:text>
  </x18tc:threadedComment>
  <x18tc:threadedComment ref="D12" dT="2025-03-27T12:32:52.00" personId="{197be102-13af-451f-b7c7-f8af53ca47e5}" id="{fae09d1d-61ea-47e5-b2d6-d073a561be5c}" done="0">
    <x18tc:text xml:space="preserve">Preventiva borracharia</x18tc:text>
  </x18tc:threadedComment>
  <x18tc:threadedComment ref="D10" dT="2025-03-27T12:32:35.00" personId="{197be102-13af-451f-b7c7-f8af53ca47e5}" id="{e368cdab-0a7d-4ecb-be3a-48e7d7b23ec7}" done="0">
    <x18tc:text xml:space="preserve">Preventiva borracharia</x18tc:text>
  </x18tc:threadedComment>
  <x18tc:threadedComment ref="D20" dT="2025-03-27T12:33:31.00" personId="{197be102-13af-451f-b7c7-f8af53ca47e5}" id="{0930370d-a859-4633-80ea-e84a652f991d}" done="0">
    <x18tc:text xml:space="preserve">Preventiva de borracharia</x18tc:text>
  </x18tc:threadedComment>
  <x18tc:threadedComment ref="D3" dT="2025-03-27T12:32:12.00" personId="{197be102-13af-451f-b7c7-f8af53ca47e5}" id="{3a7e2465-2a8a-485d-b4de-9d235507a6c1}" done="0">
    <x18tc:text xml:space="preserve">Preventiva Borracharia</x18tc:text>
  </x18tc:threadedComment>
  <x18tc:threadedComment ref="D30" dT="2025-03-27T12:34:50.00" personId="{197be102-13af-451f-b7c7-f8af53ca47e5}" id="{0562f2e5-a393-4134-8f05-233303065f78}" done="0">
    <x18tc:text xml:space="preserve">Preventiva de borracharia</x18tc:text>
  </x18tc:threadedComment>
  <x18tc:threadedComment ref="D29" dT="2025-03-27T12:34:35.00" personId="{197be102-13af-451f-b7c7-f8af53ca47e5}" id="{83a94070-dcaf-42c2-9023-f969fa4c6b64}" done="0">
    <x18tc:text xml:space="preserve">preventiva de borracharia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ustomWidth="1" min="1" max="1" width="15.25"/>
    <col customWidth="1" min="2" max="2" width="10.25"/>
    <col customWidth="1" min="3" max="3" width="9.38"/>
    <col customWidth="1" min="4" max="4" width="3.5" outlineLevel="1"/>
    <col customWidth="1" min="5" max="5" width="6.5" outlineLevel="1"/>
    <col customWidth="1" min="6" max="6" width="4.5" outlineLevel="1"/>
    <col customWidth="1" min="7" max="7" width="6.25" outlineLevel="1"/>
    <col customWidth="1" min="8" max="8" width="52.75" outlineLevel="1"/>
    <col customWidth="1" min="9" max="9" width="18.13" outlineLevel="1"/>
    <col customWidth="1" min="10" max="10" width="17.5" outlineLevel="1"/>
    <col customWidth="1" min="11" max="11" width="17.5"/>
    <col customWidth="1" min="12" max="12" width="9.0"/>
    <col customWidth="1" min="13" max="13" width="18.13"/>
    <col customWidth="1" min="14" max="14" width="9.5" outlineLevel="1"/>
    <col customWidth="1" min="15" max="15" width="8.88" outlineLevel="1"/>
    <col customWidth="1" min="16" max="16" width="9.88" outlineLevel="1"/>
    <col customWidth="1" min="17" max="17" width="3.38"/>
    <col customWidth="1" min="18" max="18" width="14.25"/>
    <col customWidth="1" min="19" max="19" width="15.5"/>
    <col customWidth="1" min="20" max="20" width="21.5"/>
    <col customWidth="1" min="21" max="22" width="13.63" outlineLevel="1"/>
    <col customWidth="1" min="23" max="23" width="9.25" outlineLevel="1"/>
    <col customWidth="1" min="24" max="24" width="14.5"/>
    <col customWidth="1" min="25" max="25" width="15.63" outlineLevel="1"/>
    <col customWidth="1" min="26" max="26" width="13.63" outlineLevel="1"/>
    <col customWidth="1" min="27" max="27" width="10.0" outlineLevel="1"/>
    <col customWidth="1" min="28" max="28" width="25.88" outlineLevel="1"/>
    <col customWidth="1" min="29" max="29" width="64.5" outlineLevel="1"/>
    <col customWidth="1" min="30" max="30" width="9.0" outlineLevel="1"/>
    <col customWidth="1" min="31" max="31" width="7.13" outlineLevel="1"/>
    <col customWidth="1" min="32" max="32" width="8.0"/>
    <col customWidth="1" min="33" max="42" width="52.1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5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22</v>
      </c>
      <c r="AB1" s="2" t="s">
        <v>26</v>
      </c>
      <c r="AC1" s="3" t="s">
        <v>27</v>
      </c>
      <c r="AD1" s="7" t="s">
        <v>28</v>
      </c>
      <c r="AE1" s="2" t="s">
        <v>29</v>
      </c>
      <c r="AF1" s="2" t="s">
        <v>30</v>
      </c>
      <c r="AG1" s="8"/>
      <c r="AH1" s="8"/>
      <c r="AI1" s="8"/>
      <c r="AJ1" s="8"/>
      <c r="AK1" s="8"/>
      <c r="AL1" s="8"/>
      <c r="AM1" s="8"/>
      <c r="AN1" s="8"/>
      <c r="AO1" s="8"/>
      <c r="AP1" s="8"/>
    </row>
    <row r="2" ht="15.75" customHeight="1">
      <c r="A2" s="9">
        <v>1.0064649E7</v>
      </c>
      <c r="B2" s="10"/>
      <c r="C2" s="11">
        <v>45293.0</v>
      </c>
      <c r="D2" s="12">
        <v>26.0</v>
      </c>
      <c r="E2" s="13">
        <v>31625.0</v>
      </c>
      <c r="F2" s="12" t="s">
        <v>31</v>
      </c>
      <c r="G2" s="12" t="s">
        <v>32</v>
      </c>
      <c r="H2" s="12" t="s">
        <v>33</v>
      </c>
      <c r="I2" s="12" t="s">
        <v>34</v>
      </c>
      <c r="J2" s="14" t="s">
        <v>35</v>
      </c>
      <c r="K2" s="14" t="s">
        <v>36</v>
      </c>
      <c r="L2" s="15" t="s">
        <v>37</v>
      </c>
      <c r="M2" s="12" t="s">
        <v>38</v>
      </c>
      <c r="N2" s="16">
        <v>35374.19</v>
      </c>
      <c r="O2" s="17">
        <f t="shared" ref="O2:O29" si="1">IFERROR(P2/N2,0)</f>
        <v>0.7632683603</v>
      </c>
      <c r="P2" s="18">
        <v>27000.0</v>
      </c>
      <c r="Q2" s="12" t="s">
        <v>39</v>
      </c>
      <c r="R2" s="12">
        <v>1248852.0</v>
      </c>
      <c r="S2" s="19" t="s">
        <v>40</v>
      </c>
      <c r="T2" s="19">
        <v>4731490.0</v>
      </c>
      <c r="U2" s="12"/>
      <c r="V2" s="12"/>
      <c r="W2" s="12"/>
      <c r="X2" s="12"/>
      <c r="Y2" s="20" t="s">
        <v>41</v>
      </c>
      <c r="Z2" s="21" t="s">
        <v>42</v>
      </c>
      <c r="AA2" s="12"/>
      <c r="AB2" s="12"/>
      <c r="AC2" s="12"/>
      <c r="AD2" s="15"/>
      <c r="AE2" s="12" t="s">
        <v>39</v>
      </c>
      <c r="AF2" s="1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ht="15.75" customHeight="1">
      <c r="A3" s="9">
        <v>1.0070792E7</v>
      </c>
      <c r="B3" s="10"/>
      <c r="C3" s="11">
        <v>45293.0</v>
      </c>
      <c r="D3" s="12">
        <v>26.0</v>
      </c>
      <c r="E3" s="13">
        <v>32553.0</v>
      </c>
      <c r="F3" s="9" t="s">
        <v>43</v>
      </c>
      <c r="G3" s="12" t="s">
        <v>44</v>
      </c>
      <c r="H3" s="12" t="s">
        <v>45</v>
      </c>
      <c r="I3" s="12" t="s">
        <v>46</v>
      </c>
      <c r="J3" s="14" t="s">
        <v>35</v>
      </c>
      <c r="K3" s="14" t="s">
        <v>47</v>
      </c>
      <c r="L3" s="15" t="s">
        <v>48</v>
      </c>
      <c r="M3" s="12" t="s">
        <v>49</v>
      </c>
      <c r="N3" s="16">
        <v>2336.24</v>
      </c>
      <c r="O3" s="17">
        <f t="shared" si="1"/>
        <v>0.6420573229</v>
      </c>
      <c r="P3" s="18">
        <v>1500.0</v>
      </c>
      <c r="Q3" s="12" t="s">
        <v>39</v>
      </c>
      <c r="R3" s="12">
        <v>1248704.0</v>
      </c>
      <c r="S3" s="23" t="s">
        <v>40</v>
      </c>
      <c r="T3" s="19">
        <v>4730568.0</v>
      </c>
      <c r="U3" s="12"/>
      <c r="V3" s="12"/>
      <c r="W3" s="12"/>
      <c r="X3" s="12"/>
      <c r="Y3" s="20" t="s">
        <v>50</v>
      </c>
      <c r="Z3" s="21" t="s">
        <v>51</v>
      </c>
      <c r="AA3" s="12"/>
      <c r="AB3" s="12"/>
      <c r="AC3" s="12"/>
      <c r="AD3" s="15"/>
      <c r="AE3" s="12" t="s">
        <v>39</v>
      </c>
      <c r="AF3" s="1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ht="15.75" customHeight="1">
      <c r="A4" s="9">
        <v>1.0070793E7</v>
      </c>
      <c r="B4" s="12"/>
      <c r="C4" s="11">
        <v>45293.0</v>
      </c>
      <c r="D4" s="12" t="s">
        <v>52</v>
      </c>
      <c r="E4" s="13" t="s">
        <v>52</v>
      </c>
      <c r="F4" s="9" t="s">
        <v>43</v>
      </c>
      <c r="G4" s="12" t="s">
        <v>44</v>
      </c>
      <c r="H4" s="12" t="s">
        <v>53</v>
      </c>
      <c r="I4" s="12" t="s">
        <v>46</v>
      </c>
      <c r="J4" s="14" t="s">
        <v>47</v>
      </c>
      <c r="K4" s="14" t="s">
        <v>35</v>
      </c>
      <c r="L4" s="15" t="s">
        <v>48</v>
      </c>
      <c r="M4" s="12" t="s">
        <v>49</v>
      </c>
      <c r="N4" s="16">
        <v>1557.49</v>
      </c>
      <c r="O4" s="17">
        <f t="shared" si="1"/>
        <v>0.4494410879</v>
      </c>
      <c r="P4" s="18">
        <v>700.0</v>
      </c>
      <c r="Q4" s="12"/>
      <c r="R4" s="12">
        <v>1249431.0</v>
      </c>
      <c r="S4" s="19" t="s">
        <v>40</v>
      </c>
      <c r="T4" s="19">
        <v>4734222.0</v>
      </c>
      <c r="U4" s="12"/>
      <c r="V4" s="12"/>
      <c r="W4" s="12"/>
      <c r="X4" s="12"/>
      <c r="Y4" s="20" t="s">
        <v>54</v>
      </c>
      <c r="Z4" s="21" t="s">
        <v>55</v>
      </c>
      <c r="AA4" s="12"/>
      <c r="AB4" s="12"/>
      <c r="AC4" s="12"/>
      <c r="AD4" s="15"/>
      <c r="AE4" s="12" t="s">
        <v>39</v>
      </c>
      <c r="AF4" s="12"/>
      <c r="AG4" s="22"/>
      <c r="AH4" s="22"/>
      <c r="AI4" s="22"/>
      <c r="AJ4" s="22"/>
      <c r="AK4" s="22"/>
      <c r="AL4" s="22"/>
      <c r="AM4" s="22"/>
      <c r="AN4" s="22"/>
      <c r="AO4" s="22"/>
      <c r="AP4" s="22"/>
    </row>
    <row r="5" ht="15.75" customHeight="1">
      <c r="A5" s="9">
        <v>1.00839E7</v>
      </c>
      <c r="B5" s="10"/>
      <c r="C5" s="11">
        <v>45296.833333333336</v>
      </c>
      <c r="D5" s="12">
        <v>26.0</v>
      </c>
      <c r="E5" s="13">
        <v>32647.0</v>
      </c>
      <c r="F5" s="12" t="s">
        <v>31</v>
      </c>
      <c r="G5" s="12" t="s">
        <v>32</v>
      </c>
      <c r="H5" s="12" t="s">
        <v>56</v>
      </c>
      <c r="I5" s="12" t="s">
        <v>57</v>
      </c>
      <c r="J5" s="14" t="s">
        <v>35</v>
      </c>
      <c r="K5" s="14" t="s">
        <v>58</v>
      </c>
      <c r="L5" s="15" t="s">
        <v>59</v>
      </c>
      <c r="M5" s="12" t="s">
        <v>49</v>
      </c>
      <c r="N5" s="16">
        <v>3587.66</v>
      </c>
      <c r="O5" s="17">
        <f t="shared" si="1"/>
        <v>0.6689597119</v>
      </c>
      <c r="P5" s="18">
        <v>2400.0</v>
      </c>
      <c r="Q5" s="12" t="s">
        <v>39</v>
      </c>
      <c r="R5" s="12">
        <v>1250023.0</v>
      </c>
      <c r="S5" s="19" t="s">
        <v>40</v>
      </c>
      <c r="T5" s="19">
        <v>4737234.0</v>
      </c>
      <c r="U5" s="12"/>
      <c r="V5" s="12"/>
      <c r="W5" s="12"/>
      <c r="X5" s="12"/>
      <c r="Y5" s="21" t="s">
        <v>60</v>
      </c>
      <c r="Z5" s="21" t="s">
        <v>60</v>
      </c>
      <c r="AA5" s="12"/>
      <c r="AB5" s="12"/>
      <c r="AC5" s="12"/>
      <c r="AD5" s="15"/>
      <c r="AE5" s="12" t="s">
        <v>39</v>
      </c>
      <c r="AF5" s="12"/>
      <c r="AG5" s="22"/>
      <c r="AH5" s="22"/>
      <c r="AI5" s="22"/>
      <c r="AJ5" s="22"/>
      <c r="AK5" s="22"/>
      <c r="AL5" s="22"/>
      <c r="AM5" s="22"/>
      <c r="AN5" s="22"/>
      <c r="AO5" s="22"/>
      <c r="AP5" s="22"/>
    </row>
    <row r="6" ht="15.75" customHeight="1">
      <c r="A6" s="9">
        <v>1.008505E7</v>
      </c>
      <c r="B6" s="10"/>
      <c r="C6" s="11">
        <v>45294.0</v>
      </c>
      <c r="D6" s="12">
        <v>26.0</v>
      </c>
      <c r="E6" s="13">
        <v>31625.0</v>
      </c>
      <c r="F6" s="12" t="s">
        <v>31</v>
      </c>
      <c r="G6" s="12" t="s">
        <v>32</v>
      </c>
      <c r="H6" s="12" t="s">
        <v>61</v>
      </c>
      <c r="I6" s="12" t="s">
        <v>62</v>
      </c>
      <c r="J6" s="14" t="s">
        <v>35</v>
      </c>
      <c r="K6" s="14" t="s">
        <v>63</v>
      </c>
      <c r="L6" s="15" t="s">
        <v>59</v>
      </c>
      <c r="M6" s="12" t="s">
        <v>64</v>
      </c>
      <c r="N6" s="16">
        <v>4696.34</v>
      </c>
      <c r="O6" s="17">
        <f t="shared" si="1"/>
        <v>0.6813816717</v>
      </c>
      <c r="P6" s="18">
        <v>3200.0</v>
      </c>
      <c r="Q6" s="12" t="s">
        <v>39</v>
      </c>
      <c r="R6" s="12">
        <v>1248860.0</v>
      </c>
      <c r="S6" s="19" t="s">
        <v>40</v>
      </c>
      <c r="T6" s="19">
        <v>4731554.0</v>
      </c>
      <c r="U6" s="12"/>
      <c r="V6" s="12"/>
      <c r="W6" s="12"/>
      <c r="X6" s="12"/>
      <c r="Y6" s="21" t="s">
        <v>65</v>
      </c>
      <c r="Z6" s="21" t="s">
        <v>65</v>
      </c>
      <c r="AA6" s="12"/>
      <c r="AB6" s="12"/>
      <c r="AC6" s="12"/>
      <c r="AD6" s="15"/>
      <c r="AE6" s="12" t="s">
        <v>39</v>
      </c>
      <c r="AF6" s="12"/>
      <c r="AG6" s="22"/>
      <c r="AH6" s="22"/>
      <c r="AI6" s="22"/>
      <c r="AJ6" s="22"/>
      <c r="AK6" s="22"/>
      <c r="AL6" s="22"/>
      <c r="AM6" s="22"/>
      <c r="AN6" s="22"/>
      <c r="AO6" s="22"/>
      <c r="AP6" s="22"/>
    </row>
    <row r="7" ht="15.75" customHeight="1">
      <c r="A7" s="9">
        <v>1.0086808E7</v>
      </c>
      <c r="B7" s="10"/>
      <c r="C7" s="11">
        <v>45299.666666666664</v>
      </c>
      <c r="D7" s="12">
        <v>26.0</v>
      </c>
      <c r="E7" s="13">
        <v>31647.0</v>
      </c>
      <c r="F7" s="12" t="s">
        <v>31</v>
      </c>
      <c r="G7" s="12" t="s">
        <v>32</v>
      </c>
      <c r="H7" s="12" t="s">
        <v>66</v>
      </c>
      <c r="I7" s="15" t="s">
        <v>67</v>
      </c>
      <c r="J7" s="14" t="s">
        <v>35</v>
      </c>
      <c r="K7" s="14" t="s">
        <v>68</v>
      </c>
      <c r="L7" s="15" t="s">
        <v>59</v>
      </c>
      <c r="M7" s="12" t="s">
        <v>69</v>
      </c>
      <c r="N7" s="16">
        <v>4445.42</v>
      </c>
      <c r="O7" s="17">
        <f t="shared" si="1"/>
        <v>0.6999991002</v>
      </c>
      <c r="P7" s="18">
        <v>3111.79</v>
      </c>
      <c r="Q7" s="12" t="s">
        <v>39</v>
      </c>
      <c r="R7" s="12">
        <v>1251657.0</v>
      </c>
      <c r="S7" s="19" t="s">
        <v>40</v>
      </c>
      <c r="T7" s="19">
        <v>4744497.0</v>
      </c>
      <c r="U7" s="12"/>
      <c r="V7" s="12"/>
      <c r="W7" s="12"/>
      <c r="X7" s="12"/>
      <c r="Y7" s="21" t="s">
        <v>70</v>
      </c>
      <c r="Z7" s="21" t="s">
        <v>71</v>
      </c>
      <c r="AA7" s="12"/>
      <c r="AB7" s="12"/>
      <c r="AC7" s="12"/>
      <c r="AD7" s="15"/>
      <c r="AE7" s="12" t="s">
        <v>39</v>
      </c>
      <c r="AF7" s="1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ht="15.75" customHeight="1">
      <c r="A8" s="9">
        <v>1.0086825E7</v>
      </c>
      <c r="B8" s="10"/>
      <c r="C8" s="11">
        <v>45296.583333333336</v>
      </c>
      <c r="D8" s="12">
        <v>26.0</v>
      </c>
      <c r="E8" s="13">
        <v>31647.0</v>
      </c>
      <c r="F8" s="12" t="s">
        <v>31</v>
      </c>
      <c r="G8" s="12" t="s">
        <v>32</v>
      </c>
      <c r="H8" s="12" t="s">
        <v>66</v>
      </c>
      <c r="I8" s="15" t="s">
        <v>67</v>
      </c>
      <c r="J8" s="14" t="s">
        <v>35</v>
      </c>
      <c r="K8" s="14" t="s">
        <v>68</v>
      </c>
      <c r="L8" s="15" t="s">
        <v>59</v>
      </c>
      <c r="M8" s="12" t="s">
        <v>64</v>
      </c>
      <c r="N8" s="16">
        <v>4445.42</v>
      </c>
      <c r="O8" s="17">
        <f t="shared" si="1"/>
        <v>0.6999991002</v>
      </c>
      <c r="P8" s="18">
        <v>3111.79</v>
      </c>
      <c r="Q8" s="12" t="s">
        <v>39</v>
      </c>
      <c r="R8" s="12">
        <v>1250012.0</v>
      </c>
      <c r="S8" s="19" t="s">
        <v>40</v>
      </c>
      <c r="T8" s="19">
        <v>4737183.0</v>
      </c>
      <c r="U8" s="12"/>
      <c r="V8" s="12"/>
      <c r="W8" s="12"/>
      <c r="X8" s="12"/>
      <c r="Y8" s="21" t="s">
        <v>72</v>
      </c>
      <c r="Z8" s="21" t="s">
        <v>73</v>
      </c>
      <c r="AA8" s="12"/>
      <c r="AB8" s="12"/>
      <c r="AC8" s="12"/>
      <c r="AD8" s="15"/>
      <c r="AE8" s="12" t="s">
        <v>39</v>
      </c>
      <c r="AF8" s="12"/>
      <c r="AG8" s="22"/>
      <c r="AH8" s="22"/>
      <c r="AI8" s="22"/>
      <c r="AJ8" s="22"/>
      <c r="AK8" s="22"/>
      <c r="AL8" s="22"/>
      <c r="AM8" s="22"/>
      <c r="AN8" s="22"/>
      <c r="AO8" s="22"/>
      <c r="AP8" s="22"/>
    </row>
    <row r="9" ht="15.75" customHeight="1">
      <c r="A9" s="9">
        <v>1.0103146E7</v>
      </c>
      <c r="B9" s="10"/>
      <c r="C9" s="11">
        <v>45306.875</v>
      </c>
      <c r="D9" s="12">
        <v>26.0</v>
      </c>
      <c r="E9" s="13">
        <v>31625.0</v>
      </c>
      <c r="F9" s="12" t="s">
        <v>31</v>
      </c>
      <c r="G9" s="12" t="s">
        <v>74</v>
      </c>
      <c r="H9" s="12" t="s">
        <v>75</v>
      </c>
      <c r="I9" s="12" t="s">
        <v>76</v>
      </c>
      <c r="J9" s="14" t="s">
        <v>35</v>
      </c>
      <c r="K9" s="14" t="s">
        <v>77</v>
      </c>
      <c r="L9" s="15" t="s">
        <v>78</v>
      </c>
      <c r="M9" s="12" t="s">
        <v>49</v>
      </c>
      <c r="N9" s="16">
        <v>9203.69</v>
      </c>
      <c r="O9" s="17">
        <f t="shared" si="1"/>
        <v>0.5432603662</v>
      </c>
      <c r="P9" s="18">
        <v>5000.0</v>
      </c>
      <c r="Q9" s="12" t="s">
        <v>39</v>
      </c>
      <c r="R9" s="12">
        <v>1255065.0</v>
      </c>
      <c r="S9" s="19" t="s">
        <v>40</v>
      </c>
      <c r="T9" s="19">
        <v>4762159.0</v>
      </c>
      <c r="U9" s="12"/>
      <c r="V9" s="12"/>
      <c r="W9" s="12"/>
      <c r="X9" s="12"/>
      <c r="Y9" s="21" t="s">
        <v>79</v>
      </c>
      <c r="Z9" s="21" t="s">
        <v>80</v>
      </c>
      <c r="AA9" s="12"/>
      <c r="AB9" s="12"/>
      <c r="AC9" s="12"/>
      <c r="AD9" s="15"/>
      <c r="AE9" s="12" t="s">
        <v>39</v>
      </c>
      <c r="AF9" s="12"/>
      <c r="AG9" s="22"/>
      <c r="AH9" s="22"/>
      <c r="AI9" s="22"/>
      <c r="AJ9" s="22"/>
      <c r="AK9" s="22"/>
      <c r="AL9" s="22"/>
      <c r="AM9" s="22"/>
      <c r="AN9" s="22"/>
      <c r="AO9" s="22"/>
      <c r="AP9" s="22"/>
    </row>
    <row r="10" ht="15.75" customHeight="1">
      <c r="A10" s="9">
        <v>1.0120665E7</v>
      </c>
      <c r="B10" s="10"/>
      <c r="C10" s="11">
        <v>45313.541666666664</v>
      </c>
      <c r="D10" s="12">
        <v>26.0</v>
      </c>
      <c r="E10" s="13">
        <v>33069.0</v>
      </c>
      <c r="F10" s="12" t="s">
        <v>31</v>
      </c>
      <c r="G10" s="12" t="s">
        <v>32</v>
      </c>
      <c r="H10" s="12" t="s">
        <v>33</v>
      </c>
      <c r="I10" s="12" t="s">
        <v>34</v>
      </c>
      <c r="J10" s="14" t="s">
        <v>35</v>
      </c>
      <c r="K10" s="14" t="s">
        <v>36</v>
      </c>
      <c r="L10" s="15" t="s">
        <v>37</v>
      </c>
      <c r="M10" s="12" t="s">
        <v>38</v>
      </c>
      <c r="N10" s="16">
        <v>32898.0</v>
      </c>
      <c r="O10" s="17">
        <f t="shared" si="1"/>
        <v>0.8511155693</v>
      </c>
      <c r="P10" s="18">
        <v>28000.0</v>
      </c>
      <c r="Q10" s="12" t="s">
        <v>39</v>
      </c>
      <c r="R10" s="12">
        <v>1259245.0</v>
      </c>
      <c r="S10" s="19" t="s">
        <v>40</v>
      </c>
      <c r="T10" s="19">
        <v>4784522.0</v>
      </c>
      <c r="U10" s="12"/>
      <c r="V10" s="12"/>
      <c r="W10" s="12"/>
      <c r="X10" s="12"/>
      <c r="Y10" s="21" t="s">
        <v>81</v>
      </c>
      <c r="Z10" s="21" t="s">
        <v>82</v>
      </c>
      <c r="AA10" s="12"/>
      <c r="AB10" s="12"/>
      <c r="AC10" s="12"/>
      <c r="AD10" s="15"/>
      <c r="AE10" s="12" t="s">
        <v>39</v>
      </c>
      <c r="AF10" s="1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ht="15.75" customHeight="1">
      <c r="A11" s="9">
        <v>1.0120977E7</v>
      </c>
      <c r="B11" s="10"/>
      <c r="C11" s="11">
        <v>45311.458333333336</v>
      </c>
      <c r="D11" s="12">
        <v>26.0</v>
      </c>
      <c r="E11" s="13">
        <v>32647.0</v>
      </c>
      <c r="F11" s="12" t="s">
        <v>31</v>
      </c>
      <c r="G11" s="12" t="s">
        <v>32</v>
      </c>
      <c r="H11" s="12" t="s">
        <v>56</v>
      </c>
      <c r="I11" s="12" t="s">
        <v>57</v>
      </c>
      <c r="J11" s="14" t="s">
        <v>35</v>
      </c>
      <c r="K11" s="14" t="s">
        <v>58</v>
      </c>
      <c r="L11" s="15" t="s">
        <v>59</v>
      </c>
      <c r="M11" s="12" t="s">
        <v>83</v>
      </c>
      <c r="N11" s="16">
        <v>3587.66</v>
      </c>
      <c r="O11" s="17">
        <f t="shared" si="1"/>
        <v>0.6689597119</v>
      </c>
      <c r="P11" s="18">
        <v>2400.0</v>
      </c>
      <c r="Q11" s="12" t="s">
        <v>39</v>
      </c>
      <c r="R11" s="12">
        <v>1258507.0</v>
      </c>
      <c r="S11" s="19" t="s">
        <v>40</v>
      </c>
      <c r="T11" s="19">
        <v>4782100.0</v>
      </c>
      <c r="U11" s="12"/>
      <c r="V11" s="12"/>
      <c r="W11" s="12"/>
      <c r="X11" s="12"/>
      <c r="Y11" s="21" t="s">
        <v>84</v>
      </c>
      <c r="Z11" s="21" t="s">
        <v>85</v>
      </c>
      <c r="AA11" s="12"/>
      <c r="AB11" s="12"/>
      <c r="AC11" s="12"/>
      <c r="AD11" s="15"/>
      <c r="AE11" s="12" t="s">
        <v>39</v>
      </c>
      <c r="AF11" s="1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ht="15.75" customHeight="1">
      <c r="A12" s="9">
        <v>1.0123614E7</v>
      </c>
      <c r="B12" s="10"/>
      <c r="C12" s="11">
        <v>45313.333333333336</v>
      </c>
      <c r="D12" s="12">
        <v>26.0</v>
      </c>
      <c r="E12" s="13">
        <v>32647.0</v>
      </c>
      <c r="F12" s="12" t="s">
        <v>31</v>
      </c>
      <c r="G12" s="12" t="s">
        <v>32</v>
      </c>
      <c r="H12" s="12" t="s">
        <v>86</v>
      </c>
      <c r="I12" s="15" t="s">
        <v>67</v>
      </c>
      <c r="J12" s="14" t="s">
        <v>35</v>
      </c>
      <c r="K12" s="14" t="s">
        <v>68</v>
      </c>
      <c r="L12" s="15" t="s">
        <v>59</v>
      </c>
      <c r="M12" s="12" t="s">
        <v>69</v>
      </c>
      <c r="N12" s="16">
        <v>4445.42</v>
      </c>
      <c r="O12" s="17">
        <f t="shared" si="1"/>
        <v>0.67485187</v>
      </c>
      <c r="P12" s="18">
        <v>3000.0</v>
      </c>
      <c r="Q12" s="12" t="s">
        <v>39</v>
      </c>
      <c r="R12" s="12">
        <v>1259251.0</v>
      </c>
      <c r="S12" s="19" t="s">
        <v>40</v>
      </c>
      <c r="T12" s="19">
        <v>4784537.0</v>
      </c>
      <c r="U12" s="12"/>
      <c r="V12" s="12"/>
      <c r="W12" s="12"/>
      <c r="X12" s="12"/>
      <c r="Y12" s="21" t="s">
        <v>87</v>
      </c>
      <c r="Z12" s="21" t="s">
        <v>88</v>
      </c>
      <c r="AA12" s="12"/>
      <c r="AB12" s="12"/>
      <c r="AC12" s="12"/>
      <c r="AD12" s="15"/>
      <c r="AE12" s="12" t="s">
        <v>39</v>
      </c>
      <c r="AF12" s="12"/>
      <c r="AG12" s="22"/>
      <c r="AH12" s="22"/>
      <c r="AI12" s="22"/>
      <c r="AJ12" s="22"/>
      <c r="AK12" s="22"/>
      <c r="AL12" s="22"/>
      <c r="AM12" s="22"/>
      <c r="AN12" s="22"/>
      <c r="AO12" s="22"/>
      <c r="AP12" s="22"/>
    </row>
    <row r="13" ht="15.75" customHeight="1">
      <c r="A13" s="9">
        <v>1.0123615E7</v>
      </c>
      <c r="B13" s="10"/>
      <c r="C13" s="11">
        <v>45313.333333333336</v>
      </c>
      <c r="D13" s="12">
        <v>26.0</v>
      </c>
      <c r="E13" s="13">
        <v>32647.0</v>
      </c>
      <c r="F13" s="12" t="s">
        <v>31</v>
      </c>
      <c r="G13" s="12" t="s">
        <v>32</v>
      </c>
      <c r="H13" s="12" t="s">
        <v>86</v>
      </c>
      <c r="I13" s="15" t="s">
        <v>67</v>
      </c>
      <c r="J13" s="14" t="s">
        <v>35</v>
      </c>
      <c r="K13" s="14" t="s">
        <v>68</v>
      </c>
      <c r="L13" s="15" t="s">
        <v>59</v>
      </c>
      <c r="M13" s="12" t="s">
        <v>49</v>
      </c>
      <c r="N13" s="16">
        <v>4445.42</v>
      </c>
      <c r="O13" s="17">
        <f t="shared" si="1"/>
        <v>0.6999991002</v>
      </c>
      <c r="P13" s="18">
        <v>3111.79</v>
      </c>
      <c r="Q13" s="12" t="s">
        <v>39</v>
      </c>
      <c r="R13" s="12">
        <v>1259152.0</v>
      </c>
      <c r="S13" s="19" t="s">
        <v>40</v>
      </c>
      <c r="T13" s="19">
        <v>4784032.0</v>
      </c>
      <c r="U13" s="12"/>
      <c r="V13" s="12"/>
      <c r="W13" s="12"/>
      <c r="X13" s="12"/>
      <c r="Y13" s="21" t="s">
        <v>89</v>
      </c>
      <c r="Z13" s="21" t="s">
        <v>90</v>
      </c>
      <c r="AA13" s="12"/>
      <c r="AB13" s="12"/>
      <c r="AC13" s="12"/>
      <c r="AD13" s="15"/>
      <c r="AE13" s="12" t="s">
        <v>39</v>
      </c>
      <c r="AF13" s="12"/>
      <c r="AG13" s="22"/>
      <c r="AH13" s="22"/>
      <c r="AI13" s="22"/>
      <c r="AJ13" s="22"/>
      <c r="AK13" s="22"/>
      <c r="AL13" s="22"/>
      <c r="AM13" s="22"/>
      <c r="AN13" s="22"/>
      <c r="AO13" s="22"/>
      <c r="AP13" s="22"/>
    </row>
    <row r="14" ht="15.75" customHeight="1">
      <c r="A14" s="9">
        <v>1.0141197E7</v>
      </c>
      <c r="B14" s="10"/>
      <c r="C14" s="11">
        <v>45318.833333333336</v>
      </c>
      <c r="D14" s="12">
        <v>26.0</v>
      </c>
      <c r="E14" s="13">
        <v>32553.0</v>
      </c>
      <c r="F14" s="9" t="s">
        <v>43</v>
      </c>
      <c r="G14" s="12" t="s">
        <v>32</v>
      </c>
      <c r="H14" s="12" t="s">
        <v>91</v>
      </c>
      <c r="I14" s="12" t="s">
        <v>92</v>
      </c>
      <c r="J14" s="14" t="s">
        <v>35</v>
      </c>
      <c r="K14" s="14" t="s">
        <v>93</v>
      </c>
      <c r="L14" s="15" t="s">
        <v>94</v>
      </c>
      <c r="M14" s="12" t="s">
        <v>83</v>
      </c>
      <c r="N14" s="24">
        <v>6085.8</v>
      </c>
      <c r="O14" s="17">
        <f t="shared" si="1"/>
        <v>0.7394262053</v>
      </c>
      <c r="P14" s="15">
        <v>4500.0</v>
      </c>
      <c r="Q14" s="12" t="s">
        <v>39</v>
      </c>
      <c r="R14" s="12">
        <v>1262201.0</v>
      </c>
      <c r="S14" s="19" t="s">
        <v>40</v>
      </c>
      <c r="T14" s="19">
        <v>4802275.0</v>
      </c>
      <c r="U14" s="12"/>
      <c r="V14" s="12"/>
      <c r="W14" s="12"/>
      <c r="X14" s="12"/>
      <c r="Y14" s="21" t="s">
        <v>95</v>
      </c>
      <c r="Z14" s="21" t="s">
        <v>96</v>
      </c>
      <c r="AA14" s="12"/>
      <c r="AB14" s="12"/>
      <c r="AC14" s="12"/>
      <c r="AD14" s="15"/>
      <c r="AE14" s="12" t="s">
        <v>39</v>
      </c>
      <c r="AF14" s="12"/>
      <c r="AG14" s="22"/>
      <c r="AH14" s="22"/>
      <c r="AI14" s="22"/>
      <c r="AJ14" s="22"/>
      <c r="AK14" s="22"/>
      <c r="AL14" s="22"/>
      <c r="AM14" s="22"/>
      <c r="AN14" s="22"/>
      <c r="AO14" s="22"/>
      <c r="AP14" s="22"/>
    </row>
    <row r="15" ht="15.75" customHeight="1">
      <c r="A15" s="9">
        <v>1.0141198E7</v>
      </c>
      <c r="B15" s="10"/>
      <c r="C15" s="11">
        <v>45318.833333333336</v>
      </c>
      <c r="D15" s="12">
        <v>25.0</v>
      </c>
      <c r="E15" s="13">
        <v>30278.0</v>
      </c>
      <c r="F15" s="12" t="s">
        <v>31</v>
      </c>
      <c r="G15" s="12" t="s">
        <v>74</v>
      </c>
      <c r="H15" s="12" t="s">
        <v>75</v>
      </c>
      <c r="I15" s="12" t="s">
        <v>76</v>
      </c>
      <c r="J15" s="14" t="s">
        <v>35</v>
      </c>
      <c r="K15" s="14" t="s">
        <v>77</v>
      </c>
      <c r="L15" s="15" t="s">
        <v>78</v>
      </c>
      <c r="M15" s="12" t="s">
        <v>49</v>
      </c>
      <c r="N15" s="24">
        <v>9203.69</v>
      </c>
      <c r="O15" s="17">
        <f t="shared" si="1"/>
        <v>0.5432603662</v>
      </c>
      <c r="P15" s="15">
        <v>5000.0</v>
      </c>
      <c r="Q15" s="12" t="s">
        <v>39</v>
      </c>
      <c r="R15" s="12">
        <v>1262200.0</v>
      </c>
      <c r="S15" s="19" t="s">
        <v>40</v>
      </c>
      <c r="T15" s="19">
        <v>4802274.0</v>
      </c>
      <c r="U15" s="12"/>
      <c r="V15" s="12"/>
      <c r="W15" s="12"/>
      <c r="X15" s="12"/>
      <c r="Y15" s="21" t="s">
        <v>97</v>
      </c>
      <c r="Z15" s="21" t="s">
        <v>98</v>
      </c>
      <c r="AA15" s="12" t="s">
        <v>99</v>
      </c>
      <c r="AB15" s="12" t="s">
        <v>39</v>
      </c>
      <c r="AC15" s="12" t="s">
        <v>100</v>
      </c>
      <c r="AD15" s="15">
        <v>2450.0</v>
      </c>
      <c r="AE15" s="12" t="s">
        <v>39</v>
      </c>
      <c r="AF15" s="12"/>
      <c r="AG15" s="22"/>
      <c r="AH15" s="22"/>
      <c r="AI15" s="22"/>
      <c r="AJ15" s="22"/>
      <c r="AK15" s="22"/>
      <c r="AL15" s="22"/>
      <c r="AM15" s="22"/>
      <c r="AN15" s="22"/>
      <c r="AO15" s="22"/>
      <c r="AP15" s="22"/>
    </row>
    <row r="16" ht="15.75" customHeight="1">
      <c r="A16" s="9">
        <v>1.0141199E7</v>
      </c>
      <c r="B16" s="12"/>
      <c r="C16" s="11">
        <v>45318.833333333336</v>
      </c>
      <c r="D16" s="12" t="s">
        <v>52</v>
      </c>
      <c r="E16" s="13" t="s">
        <v>52</v>
      </c>
      <c r="F16" s="9" t="s">
        <v>43</v>
      </c>
      <c r="G16" s="12" t="s">
        <v>32</v>
      </c>
      <c r="H16" s="12" t="s">
        <v>101</v>
      </c>
      <c r="I16" s="12" t="s">
        <v>92</v>
      </c>
      <c r="J16" s="14" t="s">
        <v>93</v>
      </c>
      <c r="K16" s="14" t="s">
        <v>35</v>
      </c>
      <c r="L16" s="15" t="s">
        <v>48</v>
      </c>
      <c r="M16" s="12" t="s">
        <v>83</v>
      </c>
      <c r="N16" s="24">
        <v>4057.2</v>
      </c>
      <c r="O16" s="17">
        <f t="shared" si="1"/>
        <v>0.7394262053</v>
      </c>
      <c r="P16" s="15">
        <v>3000.0</v>
      </c>
      <c r="Q16" s="12"/>
      <c r="R16" s="12">
        <v>1263554.0</v>
      </c>
      <c r="S16" s="19" t="s">
        <v>40</v>
      </c>
      <c r="T16" s="19">
        <v>4807467.0</v>
      </c>
      <c r="U16" s="12"/>
      <c r="V16" s="12"/>
      <c r="W16" s="12"/>
      <c r="X16" s="12"/>
      <c r="Y16" s="21" t="s">
        <v>102</v>
      </c>
      <c r="Z16" s="21" t="s">
        <v>103</v>
      </c>
      <c r="AA16" s="12"/>
      <c r="AB16" s="12"/>
      <c r="AC16" s="12"/>
      <c r="AD16" s="15"/>
      <c r="AE16" s="12" t="s">
        <v>39</v>
      </c>
      <c r="AF16" s="12"/>
      <c r="AG16" s="22"/>
      <c r="AH16" s="22"/>
      <c r="AI16" s="22"/>
      <c r="AJ16" s="22"/>
      <c r="AK16" s="22"/>
      <c r="AL16" s="22"/>
      <c r="AM16" s="22"/>
      <c r="AN16" s="22"/>
      <c r="AO16" s="22"/>
      <c r="AP16" s="22"/>
    </row>
    <row r="17" ht="15.75" customHeight="1">
      <c r="A17" s="9">
        <v>1.0152226E7</v>
      </c>
      <c r="B17" s="10"/>
      <c r="C17" s="11">
        <v>45323.416666666664</v>
      </c>
      <c r="D17" s="25">
        <v>26.0</v>
      </c>
      <c r="E17" s="26">
        <v>33139.0</v>
      </c>
      <c r="F17" s="27" t="s">
        <v>43</v>
      </c>
      <c r="G17" s="25" t="s">
        <v>44</v>
      </c>
      <c r="H17" s="25" t="s">
        <v>104</v>
      </c>
      <c r="I17" s="25" t="s">
        <v>105</v>
      </c>
      <c r="J17" s="25" t="s">
        <v>35</v>
      </c>
      <c r="K17" s="28" t="s">
        <v>106</v>
      </c>
      <c r="L17" s="28" t="s">
        <v>59</v>
      </c>
      <c r="M17" s="29" t="s">
        <v>83</v>
      </c>
      <c r="N17" s="30">
        <v>5305.0</v>
      </c>
      <c r="O17" s="17">
        <f t="shared" si="1"/>
        <v>0.5655042413</v>
      </c>
      <c r="P17" s="28">
        <v>3000.0</v>
      </c>
      <c r="Q17" s="25" t="s">
        <v>39</v>
      </c>
      <c r="R17" s="31">
        <v>1265449.0</v>
      </c>
      <c r="S17" s="32" t="s">
        <v>40</v>
      </c>
      <c r="T17" s="33">
        <v>4818839.0</v>
      </c>
      <c r="U17" s="25"/>
      <c r="V17" s="25"/>
      <c r="W17" s="25"/>
      <c r="X17" s="25"/>
      <c r="Y17" s="34">
        <v>45327.35972222222</v>
      </c>
      <c r="Z17" s="34">
        <v>45327.47777777778</v>
      </c>
      <c r="AA17" s="25"/>
      <c r="AB17" s="12"/>
      <c r="AC17" s="12"/>
      <c r="AD17" s="12"/>
      <c r="AE17" s="12" t="s">
        <v>107</v>
      </c>
      <c r="AF17" s="12"/>
      <c r="AG17" s="22"/>
      <c r="AH17" s="22"/>
      <c r="AI17" s="22"/>
      <c r="AJ17" s="22"/>
      <c r="AK17" s="22"/>
      <c r="AL17" s="22"/>
      <c r="AM17" s="22"/>
      <c r="AN17" s="22"/>
      <c r="AO17" s="22"/>
      <c r="AP17" s="22"/>
    </row>
    <row r="18" ht="15.75" customHeight="1">
      <c r="A18" s="35">
        <v>1.0154687E7</v>
      </c>
      <c r="B18" s="36"/>
      <c r="C18" s="11">
        <v>45323.833333333336</v>
      </c>
      <c r="D18" s="29">
        <v>26.0</v>
      </c>
      <c r="E18" s="37">
        <v>32553.0</v>
      </c>
      <c r="F18" s="38" t="s">
        <v>43</v>
      </c>
      <c r="G18" s="29" t="s">
        <v>44</v>
      </c>
      <c r="H18" s="25" t="s">
        <v>45</v>
      </c>
      <c r="I18" s="29" t="s">
        <v>46</v>
      </c>
      <c r="J18" s="25" t="s">
        <v>35</v>
      </c>
      <c r="K18" s="39" t="s">
        <v>47</v>
      </c>
      <c r="L18" s="28" t="s">
        <v>108</v>
      </c>
      <c r="M18" s="29" t="s">
        <v>64</v>
      </c>
      <c r="N18" s="40">
        <v>2336.24</v>
      </c>
      <c r="O18" s="17">
        <f t="shared" si="1"/>
        <v>0.6420573229</v>
      </c>
      <c r="P18" s="39">
        <v>1500.0</v>
      </c>
      <c r="Q18" s="29" t="s">
        <v>39</v>
      </c>
      <c r="R18" s="31">
        <v>1265383.0</v>
      </c>
      <c r="S18" s="41" t="s">
        <v>40</v>
      </c>
      <c r="T18" s="42">
        <v>4818348.0</v>
      </c>
      <c r="U18" s="29"/>
      <c r="V18" s="29"/>
      <c r="W18" s="29"/>
      <c r="X18" s="29"/>
      <c r="Y18" s="34">
        <v>45323.356944444444</v>
      </c>
      <c r="Z18" s="34">
        <v>45323.45277777778</v>
      </c>
      <c r="AA18" s="29"/>
      <c r="AB18" s="12"/>
      <c r="AC18" s="12"/>
      <c r="AD18" s="12"/>
      <c r="AE18" s="12" t="s">
        <v>107</v>
      </c>
      <c r="AF18" s="12"/>
      <c r="AG18" s="22"/>
      <c r="AH18" s="22"/>
      <c r="AI18" s="22"/>
      <c r="AJ18" s="22"/>
      <c r="AK18" s="22"/>
      <c r="AL18" s="22"/>
      <c r="AM18" s="22"/>
      <c r="AN18" s="22"/>
      <c r="AO18" s="22"/>
      <c r="AP18" s="22"/>
    </row>
    <row r="19" ht="15.75" customHeight="1">
      <c r="A19" s="35">
        <v>1.0154698E7</v>
      </c>
      <c r="B19" s="43"/>
      <c r="C19" s="11">
        <v>45324.375</v>
      </c>
      <c r="D19" s="29" t="s">
        <v>52</v>
      </c>
      <c r="E19" s="37" t="s">
        <v>52</v>
      </c>
      <c r="F19" s="38" t="s">
        <v>43</v>
      </c>
      <c r="G19" s="29" t="s">
        <v>44</v>
      </c>
      <c r="H19" s="29" t="s">
        <v>109</v>
      </c>
      <c r="I19" s="29" t="s">
        <v>46</v>
      </c>
      <c r="J19" s="25" t="s">
        <v>47</v>
      </c>
      <c r="K19" s="39" t="s">
        <v>35</v>
      </c>
      <c r="L19" s="28" t="s">
        <v>110</v>
      </c>
      <c r="M19" s="29" t="s">
        <v>64</v>
      </c>
      <c r="N19" s="40">
        <v>1557.5</v>
      </c>
      <c r="O19" s="17">
        <f t="shared" si="1"/>
        <v>0.4494382022</v>
      </c>
      <c r="P19" s="39">
        <v>700.0</v>
      </c>
      <c r="Q19" s="29"/>
      <c r="R19" s="31">
        <v>1265532.0</v>
      </c>
      <c r="S19" s="41" t="s">
        <v>40</v>
      </c>
      <c r="T19" s="42">
        <v>4819599.0</v>
      </c>
      <c r="U19" s="29"/>
      <c r="V19" s="29"/>
      <c r="W19" s="29"/>
      <c r="X19" s="29"/>
      <c r="Y19" s="34">
        <v>45324.05</v>
      </c>
      <c r="Z19" s="34">
        <v>45324.1125</v>
      </c>
      <c r="AA19" s="29"/>
      <c r="AB19" s="12"/>
      <c r="AC19" s="12"/>
      <c r="AD19" s="12"/>
      <c r="AE19" s="12" t="s">
        <v>107</v>
      </c>
      <c r="AF19" s="12"/>
      <c r="AG19" s="22"/>
      <c r="AH19" s="22"/>
      <c r="AI19" s="22"/>
      <c r="AJ19" s="22"/>
      <c r="AK19" s="22"/>
      <c r="AL19" s="22"/>
      <c r="AM19" s="22"/>
      <c r="AN19" s="22"/>
      <c r="AO19" s="22"/>
      <c r="AP19" s="22"/>
    </row>
    <row r="20" ht="15.75" customHeight="1">
      <c r="A20" s="35">
        <v>1.0166462E7</v>
      </c>
      <c r="B20" s="36"/>
      <c r="C20" s="11">
        <v>45327.625</v>
      </c>
      <c r="D20" s="29">
        <v>26.0</v>
      </c>
      <c r="E20" s="37">
        <v>32249.0</v>
      </c>
      <c r="F20" s="29" t="s">
        <v>31</v>
      </c>
      <c r="G20" s="29" t="s">
        <v>32</v>
      </c>
      <c r="H20" s="29" t="s">
        <v>111</v>
      </c>
      <c r="I20" s="29" t="s">
        <v>112</v>
      </c>
      <c r="J20" s="25" t="s">
        <v>35</v>
      </c>
      <c r="K20" s="39" t="s">
        <v>113</v>
      </c>
      <c r="L20" s="28" t="s">
        <v>114</v>
      </c>
      <c r="M20" s="29" t="s">
        <v>115</v>
      </c>
      <c r="N20" s="40">
        <v>4325.0</v>
      </c>
      <c r="O20" s="17">
        <f t="shared" si="1"/>
        <v>0.6936416185</v>
      </c>
      <c r="P20" s="39">
        <v>3000.0</v>
      </c>
      <c r="Q20" s="29" t="s">
        <v>39</v>
      </c>
      <c r="R20" s="12">
        <v>1267501.0</v>
      </c>
      <c r="S20" s="41" t="s">
        <v>40</v>
      </c>
      <c r="T20" s="42">
        <v>4828032.0</v>
      </c>
      <c r="U20" s="44"/>
      <c r="V20" s="29"/>
      <c r="W20" s="29"/>
      <c r="X20" s="29"/>
      <c r="Y20" s="34">
        <v>45327.88055555556</v>
      </c>
      <c r="Z20" s="34">
        <v>45328.51388888889</v>
      </c>
      <c r="AA20" s="29"/>
      <c r="AB20" s="12"/>
      <c r="AC20" s="12"/>
      <c r="AD20" s="12"/>
      <c r="AE20" s="12" t="s">
        <v>39</v>
      </c>
      <c r="AF20" s="12"/>
      <c r="AG20" s="22"/>
      <c r="AH20" s="22"/>
      <c r="AI20" s="22"/>
      <c r="AJ20" s="22"/>
      <c r="AK20" s="22"/>
      <c r="AL20" s="22"/>
      <c r="AM20" s="22"/>
      <c r="AN20" s="22"/>
      <c r="AO20" s="22"/>
      <c r="AP20" s="22"/>
    </row>
    <row r="21" ht="16.5" customHeight="1">
      <c r="A21" s="35">
        <v>1.0170659E7</v>
      </c>
      <c r="B21" s="36"/>
      <c r="C21" s="11">
        <v>45327.208333333336</v>
      </c>
      <c r="D21" s="29">
        <v>26.0</v>
      </c>
      <c r="E21" s="37">
        <v>32553.0</v>
      </c>
      <c r="F21" s="38" t="s">
        <v>43</v>
      </c>
      <c r="G21" s="29" t="s">
        <v>44</v>
      </c>
      <c r="H21" s="29" t="s">
        <v>45</v>
      </c>
      <c r="I21" s="29" t="s">
        <v>46</v>
      </c>
      <c r="J21" s="22" t="s">
        <v>35</v>
      </c>
      <c r="K21" s="39" t="s">
        <v>47</v>
      </c>
      <c r="L21" s="28" t="s">
        <v>108</v>
      </c>
      <c r="M21" s="29" t="s">
        <v>64</v>
      </c>
      <c r="N21" s="40">
        <v>2336.24</v>
      </c>
      <c r="O21" s="17">
        <f t="shared" si="1"/>
        <v>0.6420573229</v>
      </c>
      <c r="P21" s="39">
        <v>1500.0</v>
      </c>
      <c r="Q21" s="29" t="s">
        <v>39</v>
      </c>
      <c r="R21" s="12">
        <v>1267506.0</v>
      </c>
      <c r="S21" s="41" t="s">
        <v>40</v>
      </c>
      <c r="T21" s="42">
        <v>4828109.0</v>
      </c>
      <c r="U21" s="44"/>
      <c r="V21" s="29"/>
      <c r="W21" s="29"/>
      <c r="X21" s="29"/>
      <c r="Y21" s="34">
        <v>45327.67291666667</v>
      </c>
      <c r="Z21" s="34">
        <v>45327.75833333333</v>
      </c>
      <c r="AA21" s="29"/>
      <c r="AB21" s="12"/>
      <c r="AC21" s="12"/>
      <c r="AD21" s="12"/>
      <c r="AE21" s="12" t="s">
        <v>39</v>
      </c>
      <c r="AF21" s="12"/>
      <c r="AG21" s="22"/>
      <c r="AH21" s="22"/>
      <c r="AI21" s="22"/>
      <c r="AJ21" s="22"/>
      <c r="AK21" s="22"/>
      <c r="AL21" s="22"/>
      <c r="AM21" s="22"/>
      <c r="AN21" s="22"/>
      <c r="AO21" s="22"/>
      <c r="AP21" s="22"/>
    </row>
    <row r="22" ht="15.75" customHeight="1">
      <c r="A22" s="35">
        <v>1.017066E7</v>
      </c>
      <c r="B22" s="43"/>
      <c r="C22" s="11">
        <v>45329.625</v>
      </c>
      <c r="D22" s="29" t="s">
        <v>52</v>
      </c>
      <c r="E22" s="37" t="s">
        <v>52</v>
      </c>
      <c r="F22" s="38" t="s">
        <v>43</v>
      </c>
      <c r="G22" s="29" t="s">
        <v>44</v>
      </c>
      <c r="H22" s="29" t="s">
        <v>116</v>
      </c>
      <c r="I22" s="29" t="s">
        <v>46</v>
      </c>
      <c r="J22" s="25" t="s">
        <v>47</v>
      </c>
      <c r="K22" s="39" t="s">
        <v>35</v>
      </c>
      <c r="L22" s="28" t="s">
        <v>110</v>
      </c>
      <c r="M22" s="29" t="s">
        <v>64</v>
      </c>
      <c r="N22" s="40">
        <v>1557.5</v>
      </c>
      <c r="O22" s="17">
        <f t="shared" si="1"/>
        <v>0.4494382022</v>
      </c>
      <c r="P22" s="39">
        <v>700.0</v>
      </c>
      <c r="Q22" s="29"/>
      <c r="R22" s="12">
        <v>1268167.0</v>
      </c>
      <c r="S22" s="41" t="s">
        <v>40</v>
      </c>
      <c r="T22" s="42">
        <v>4831936.0</v>
      </c>
      <c r="U22" s="45"/>
      <c r="V22" s="29"/>
      <c r="W22" s="29"/>
      <c r="X22" s="29"/>
      <c r="Y22" s="34">
        <v>45329.018055555556</v>
      </c>
      <c r="Z22" s="34">
        <v>45329.06180555555</v>
      </c>
      <c r="AA22" s="29"/>
      <c r="AB22" s="12"/>
      <c r="AC22" s="12"/>
      <c r="AD22" s="12"/>
      <c r="AE22" s="12" t="s">
        <v>39</v>
      </c>
      <c r="AF22" s="12"/>
      <c r="AG22" s="22"/>
      <c r="AH22" s="22"/>
      <c r="AI22" s="22"/>
      <c r="AJ22" s="22"/>
      <c r="AK22" s="22"/>
      <c r="AL22" s="22"/>
      <c r="AM22" s="22"/>
      <c r="AN22" s="22"/>
      <c r="AO22" s="22"/>
      <c r="AP22" s="22"/>
    </row>
    <row r="23" ht="15.75" customHeight="1">
      <c r="A23" s="35">
        <v>1.0171561E7</v>
      </c>
      <c r="B23" s="36"/>
      <c r="C23" s="11">
        <v>45325.666666666664</v>
      </c>
      <c r="D23" s="29">
        <v>26.0</v>
      </c>
      <c r="E23" s="37">
        <v>32553.0</v>
      </c>
      <c r="F23" s="38" t="s">
        <v>43</v>
      </c>
      <c r="G23" s="29" t="s">
        <v>44</v>
      </c>
      <c r="H23" s="29" t="s">
        <v>104</v>
      </c>
      <c r="I23" s="29" t="s">
        <v>117</v>
      </c>
      <c r="J23" s="25" t="s">
        <v>35</v>
      </c>
      <c r="K23" s="39" t="s">
        <v>106</v>
      </c>
      <c r="L23" s="28" t="s">
        <v>59</v>
      </c>
      <c r="M23" s="29" t="s">
        <v>118</v>
      </c>
      <c r="N23" s="40">
        <v>4717.8</v>
      </c>
      <c r="O23" s="17">
        <f t="shared" si="1"/>
        <v>0.6358896096</v>
      </c>
      <c r="P23" s="39">
        <v>3000.0</v>
      </c>
      <c r="Q23" s="29" t="s">
        <v>39</v>
      </c>
      <c r="R23" s="29">
        <v>1266780.0</v>
      </c>
      <c r="S23" s="41" t="s">
        <v>40</v>
      </c>
      <c r="T23" s="42">
        <v>4826244.0</v>
      </c>
      <c r="U23" s="45"/>
      <c r="V23" s="29"/>
      <c r="W23" s="29"/>
      <c r="X23" s="29"/>
      <c r="Y23" s="34">
        <v>45327.455555555556</v>
      </c>
      <c r="Z23" s="34">
        <v>45327.59305555555</v>
      </c>
      <c r="AA23" s="29"/>
      <c r="AB23" s="12"/>
      <c r="AC23" s="12"/>
      <c r="AD23" s="12"/>
      <c r="AE23" s="12" t="s">
        <v>39</v>
      </c>
      <c r="AF23" s="1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ht="15.75" customHeight="1">
      <c r="A24" s="35">
        <v>1.0171562E7</v>
      </c>
      <c r="B24" s="36"/>
      <c r="C24" s="11">
        <v>45325.625</v>
      </c>
      <c r="D24" s="29">
        <v>26.0</v>
      </c>
      <c r="E24" s="37">
        <v>32553.0</v>
      </c>
      <c r="F24" s="38" t="s">
        <v>43</v>
      </c>
      <c r="G24" s="29" t="s">
        <v>44</v>
      </c>
      <c r="H24" s="29" t="s">
        <v>104</v>
      </c>
      <c r="I24" s="29" t="s">
        <v>105</v>
      </c>
      <c r="J24" s="25" t="s">
        <v>35</v>
      </c>
      <c r="K24" s="39" t="s">
        <v>106</v>
      </c>
      <c r="L24" s="28" t="s">
        <v>59</v>
      </c>
      <c r="M24" s="29" t="s">
        <v>119</v>
      </c>
      <c r="N24" s="40">
        <v>4717.8</v>
      </c>
      <c r="O24" s="17">
        <f t="shared" si="1"/>
        <v>0.6358896096</v>
      </c>
      <c r="P24" s="39">
        <v>3000.0</v>
      </c>
      <c r="Q24" s="29" t="s">
        <v>39</v>
      </c>
      <c r="R24" s="31">
        <v>1266592.0</v>
      </c>
      <c r="S24" s="41" t="s">
        <v>40</v>
      </c>
      <c r="T24" s="42">
        <v>4825303.0</v>
      </c>
      <c r="U24" s="45"/>
      <c r="V24" s="29"/>
      <c r="W24" s="29"/>
      <c r="X24" s="29"/>
      <c r="Y24" s="34">
        <v>45327.51597222222</v>
      </c>
      <c r="Z24" s="34">
        <v>45327.67222222222</v>
      </c>
      <c r="AA24" s="29"/>
      <c r="AB24" s="12"/>
      <c r="AC24" s="12"/>
      <c r="AD24" s="12"/>
      <c r="AE24" s="12" t="s">
        <v>39</v>
      </c>
      <c r="AF24" s="12"/>
      <c r="AG24" s="22"/>
      <c r="AH24" s="22"/>
      <c r="AI24" s="22"/>
      <c r="AJ24" s="22"/>
      <c r="AK24" s="22"/>
      <c r="AL24" s="22"/>
      <c r="AM24" s="22"/>
      <c r="AN24" s="22"/>
      <c r="AO24" s="22"/>
      <c r="AP24" s="22"/>
    </row>
    <row r="25" ht="15.75" customHeight="1">
      <c r="A25" s="35">
        <v>1.0171563E7</v>
      </c>
      <c r="B25" s="43"/>
      <c r="C25" s="11">
        <v>45329.625</v>
      </c>
      <c r="D25" s="29" t="s">
        <v>52</v>
      </c>
      <c r="E25" s="37" t="s">
        <v>52</v>
      </c>
      <c r="F25" s="38" t="s">
        <v>43</v>
      </c>
      <c r="G25" s="29" t="s">
        <v>44</v>
      </c>
      <c r="H25" s="29" t="s">
        <v>120</v>
      </c>
      <c r="I25" s="29" t="s">
        <v>117</v>
      </c>
      <c r="J25" s="25" t="s">
        <v>106</v>
      </c>
      <c r="K25" s="39" t="s">
        <v>35</v>
      </c>
      <c r="L25" s="28" t="s">
        <v>121</v>
      </c>
      <c r="M25" s="29" t="s">
        <v>118</v>
      </c>
      <c r="N25" s="40">
        <v>3145.2</v>
      </c>
      <c r="O25" s="17">
        <f t="shared" si="1"/>
        <v>0.5723006486</v>
      </c>
      <c r="P25" s="39">
        <v>1800.0</v>
      </c>
      <c r="Q25" s="29"/>
      <c r="R25" s="29">
        <v>1267748.0</v>
      </c>
      <c r="S25" s="41" t="s">
        <v>40</v>
      </c>
      <c r="T25" s="42">
        <v>4829638.0</v>
      </c>
      <c r="U25" s="45"/>
      <c r="V25" s="29"/>
      <c r="W25" s="29"/>
      <c r="X25" s="29"/>
      <c r="Y25" s="34">
        <v>45328.69305555556</v>
      </c>
      <c r="Z25" s="34">
        <v>45329.29375</v>
      </c>
      <c r="AA25" s="29"/>
      <c r="AB25" s="12"/>
      <c r="AC25" s="12"/>
      <c r="AD25" s="12"/>
      <c r="AE25" s="12" t="s">
        <v>39</v>
      </c>
      <c r="AF25" s="12"/>
      <c r="AG25" s="22"/>
      <c r="AH25" s="22"/>
      <c r="AI25" s="22"/>
      <c r="AJ25" s="22"/>
      <c r="AK25" s="22"/>
      <c r="AL25" s="22"/>
      <c r="AM25" s="22"/>
      <c r="AN25" s="22"/>
      <c r="AO25" s="22"/>
      <c r="AP25" s="22"/>
    </row>
    <row r="26" ht="15.75" customHeight="1">
      <c r="A26" s="35">
        <v>1.0171564E7</v>
      </c>
      <c r="B26" s="36"/>
      <c r="C26" s="11">
        <v>45327.0</v>
      </c>
      <c r="D26" s="29" t="s">
        <v>52</v>
      </c>
      <c r="E26" s="37" t="s">
        <v>52</v>
      </c>
      <c r="F26" s="38" t="s">
        <v>43</v>
      </c>
      <c r="G26" s="29" t="s">
        <v>44</v>
      </c>
      <c r="H26" s="29" t="s">
        <v>122</v>
      </c>
      <c r="I26" s="29" t="s">
        <v>105</v>
      </c>
      <c r="J26" s="25" t="s">
        <v>106</v>
      </c>
      <c r="K26" s="39" t="s">
        <v>35</v>
      </c>
      <c r="L26" s="28" t="s">
        <v>121</v>
      </c>
      <c r="M26" s="29" t="s">
        <v>119</v>
      </c>
      <c r="N26" s="40">
        <v>3145.2</v>
      </c>
      <c r="O26" s="17">
        <f t="shared" si="1"/>
        <v>0.5723006486</v>
      </c>
      <c r="P26" s="39">
        <v>1800.0</v>
      </c>
      <c r="Q26" s="29"/>
      <c r="R26" s="31">
        <v>1267768.0</v>
      </c>
      <c r="S26" s="41" t="s">
        <v>40</v>
      </c>
      <c r="T26" s="42">
        <v>4829764.0</v>
      </c>
      <c r="U26" s="45"/>
      <c r="V26" s="29"/>
      <c r="W26" s="29"/>
      <c r="X26" s="29"/>
      <c r="Y26" s="34">
        <v>45328.83611111111</v>
      </c>
      <c r="Z26" s="34">
        <v>45328.89027777778</v>
      </c>
      <c r="AA26" s="29"/>
      <c r="AB26" s="12"/>
      <c r="AC26" s="12"/>
      <c r="AD26" s="12"/>
      <c r="AE26" s="12" t="s">
        <v>39</v>
      </c>
      <c r="AF26" s="12"/>
      <c r="AG26" s="22"/>
      <c r="AH26" s="22"/>
      <c r="AI26" s="22"/>
      <c r="AJ26" s="22"/>
      <c r="AK26" s="22"/>
      <c r="AL26" s="22"/>
      <c r="AM26" s="22"/>
      <c r="AN26" s="22"/>
      <c r="AO26" s="22"/>
      <c r="AP26" s="22"/>
    </row>
    <row r="27" ht="15.75" customHeight="1">
      <c r="A27" s="35">
        <v>1.0175824E7</v>
      </c>
      <c r="B27" s="36"/>
      <c r="C27" s="11">
        <v>45329.416666666664</v>
      </c>
      <c r="D27" s="29">
        <v>26.0</v>
      </c>
      <c r="E27" s="37">
        <v>32647.0</v>
      </c>
      <c r="F27" s="29" t="s">
        <v>31</v>
      </c>
      <c r="G27" s="29" t="s">
        <v>32</v>
      </c>
      <c r="H27" s="29" t="s">
        <v>56</v>
      </c>
      <c r="I27" s="29" t="s">
        <v>57</v>
      </c>
      <c r="J27" s="25" t="s">
        <v>35</v>
      </c>
      <c r="K27" s="39" t="s">
        <v>58</v>
      </c>
      <c r="L27" s="28" t="s">
        <v>59</v>
      </c>
      <c r="M27" s="29" t="s">
        <v>64</v>
      </c>
      <c r="N27" s="40">
        <v>3157.14</v>
      </c>
      <c r="O27" s="17">
        <f t="shared" si="1"/>
        <v>0.7601816834</v>
      </c>
      <c r="P27" s="39">
        <v>2400.0</v>
      </c>
      <c r="Q27" s="29" t="s">
        <v>39</v>
      </c>
      <c r="R27" s="31">
        <v>1268842.0</v>
      </c>
      <c r="S27" s="41" t="s">
        <v>40</v>
      </c>
      <c r="T27" s="42">
        <v>4836594.0</v>
      </c>
      <c r="U27" s="45">
        <v>0.4166666666666667</v>
      </c>
      <c r="V27" s="44">
        <v>0.6354166666666666</v>
      </c>
      <c r="W27" s="44">
        <v>0.21875</v>
      </c>
      <c r="X27" s="29" t="s">
        <v>123</v>
      </c>
      <c r="Y27" s="34">
        <v>45329.90833333333</v>
      </c>
      <c r="Z27" s="34">
        <v>45330.25347222222</v>
      </c>
      <c r="AA27" s="29"/>
      <c r="AB27" s="12"/>
      <c r="AC27" s="12"/>
      <c r="AD27" s="12"/>
      <c r="AE27" s="12" t="s">
        <v>39</v>
      </c>
      <c r="AF27" s="12"/>
      <c r="AG27" s="22"/>
      <c r="AH27" s="22"/>
      <c r="AI27" s="22"/>
      <c r="AJ27" s="22"/>
      <c r="AK27" s="22"/>
      <c r="AL27" s="22"/>
      <c r="AM27" s="22"/>
      <c r="AN27" s="22"/>
      <c r="AO27" s="22"/>
      <c r="AP27" s="22"/>
    </row>
    <row r="28" ht="15.75" customHeight="1">
      <c r="A28" s="35">
        <v>1.0175897E7</v>
      </c>
      <c r="B28" s="36"/>
      <c r="C28" s="11">
        <v>45329.458333333336</v>
      </c>
      <c r="D28" s="29">
        <v>28.0</v>
      </c>
      <c r="E28" s="37">
        <v>34058.0</v>
      </c>
      <c r="F28" s="29" t="s">
        <v>31</v>
      </c>
      <c r="G28" s="29" t="s">
        <v>32</v>
      </c>
      <c r="H28" s="29" t="s">
        <v>124</v>
      </c>
      <c r="I28" s="29" t="s">
        <v>125</v>
      </c>
      <c r="J28" s="25" t="s">
        <v>35</v>
      </c>
      <c r="K28" s="39" t="s">
        <v>126</v>
      </c>
      <c r="L28" s="28" t="s">
        <v>114</v>
      </c>
      <c r="M28" s="29" t="s">
        <v>118</v>
      </c>
      <c r="N28" s="40">
        <v>5004.48</v>
      </c>
      <c r="O28" s="17">
        <f t="shared" si="1"/>
        <v>0.6993733615</v>
      </c>
      <c r="P28" s="39">
        <v>3500.0</v>
      </c>
      <c r="Q28" s="29" t="s">
        <v>39</v>
      </c>
      <c r="R28" s="31">
        <v>1268845.0</v>
      </c>
      <c r="S28" s="41" t="s">
        <v>40</v>
      </c>
      <c r="T28" s="42">
        <v>4836610.0</v>
      </c>
      <c r="U28" s="45">
        <v>0.49583333333333335</v>
      </c>
      <c r="V28" s="44">
        <v>0.625</v>
      </c>
      <c r="W28" s="44">
        <v>0.12916666666666668</v>
      </c>
      <c r="X28" s="29" t="s">
        <v>127</v>
      </c>
      <c r="Y28" s="34">
        <v>45331.28888888889</v>
      </c>
      <c r="Z28" s="34">
        <v>45331.43125</v>
      </c>
      <c r="AA28" s="29"/>
      <c r="AB28" s="12"/>
      <c r="AC28" s="12"/>
      <c r="AD28" s="12"/>
      <c r="AE28" s="12" t="s">
        <v>39</v>
      </c>
      <c r="AF28" s="12"/>
      <c r="AG28" s="22"/>
      <c r="AH28" s="22"/>
      <c r="AI28" s="22"/>
      <c r="AJ28" s="22"/>
      <c r="AK28" s="22"/>
      <c r="AL28" s="22"/>
      <c r="AM28" s="22"/>
      <c r="AN28" s="22"/>
      <c r="AO28" s="22"/>
      <c r="AP28" s="22"/>
    </row>
    <row r="29" ht="15.75" customHeight="1">
      <c r="A29" s="35">
        <v>1.0177845E7</v>
      </c>
      <c r="B29" s="36"/>
      <c r="C29" s="11">
        <v>45328.708333333336</v>
      </c>
      <c r="D29" s="29">
        <v>26.0</v>
      </c>
      <c r="E29" s="37">
        <v>31022.0</v>
      </c>
      <c r="F29" s="29" t="s">
        <v>31</v>
      </c>
      <c r="G29" s="29" t="s">
        <v>32</v>
      </c>
      <c r="H29" s="29" t="s">
        <v>45</v>
      </c>
      <c r="I29" s="29" t="s">
        <v>46</v>
      </c>
      <c r="J29" s="25" t="s">
        <v>35</v>
      </c>
      <c r="K29" s="39" t="s">
        <v>47</v>
      </c>
      <c r="L29" s="28" t="s">
        <v>108</v>
      </c>
      <c r="M29" s="29" t="s">
        <v>128</v>
      </c>
      <c r="N29" s="40">
        <v>2336.24</v>
      </c>
      <c r="O29" s="17">
        <f t="shared" si="1"/>
        <v>0.6420573229</v>
      </c>
      <c r="P29" s="39">
        <v>1500.0</v>
      </c>
      <c r="Q29" s="29" t="s">
        <v>39</v>
      </c>
      <c r="R29" s="31">
        <v>1268348.0</v>
      </c>
      <c r="S29" s="41" t="s">
        <v>40</v>
      </c>
      <c r="T29" s="42">
        <v>4833087.0</v>
      </c>
      <c r="U29" s="45">
        <v>0.5965277777777778</v>
      </c>
      <c r="V29" s="45">
        <v>0.81875</v>
      </c>
      <c r="W29" s="45">
        <v>0.2222222222222222</v>
      </c>
      <c r="X29" s="29" t="s">
        <v>127</v>
      </c>
      <c r="Y29" s="34">
        <v>45330.436111111114</v>
      </c>
      <c r="Z29" s="34">
        <v>45330.686111111114</v>
      </c>
      <c r="AA29" s="29"/>
      <c r="AB29" s="12" t="s">
        <v>39</v>
      </c>
      <c r="AC29" s="12" t="s">
        <v>129</v>
      </c>
      <c r="AD29" s="12"/>
      <c r="AE29" s="12" t="s">
        <v>39</v>
      </c>
      <c r="AF29" s="12"/>
      <c r="AG29" s="22"/>
      <c r="AH29" s="22"/>
      <c r="AI29" s="22"/>
      <c r="AJ29" s="22"/>
      <c r="AK29" s="22"/>
      <c r="AL29" s="22"/>
      <c r="AM29" s="22"/>
      <c r="AN29" s="22"/>
      <c r="AO29" s="22"/>
      <c r="AP29" s="22"/>
    </row>
    <row r="30" ht="15.75" customHeight="1">
      <c r="A30" s="35">
        <v>1.0177846E7</v>
      </c>
      <c r="B30" s="36"/>
      <c r="C30" s="11">
        <v>45328.708333333336</v>
      </c>
      <c r="D30" s="29" t="s">
        <v>52</v>
      </c>
      <c r="E30" s="37" t="s">
        <v>52</v>
      </c>
      <c r="F30" s="29" t="s">
        <v>31</v>
      </c>
      <c r="G30" s="29" t="s">
        <v>32</v>
      </c>
      <c r="H30" s="29" t="s">
        <v>130</v>
      </c>
      <c r="I30" s="29" t="s">
        <v>46</v>
      </c>
      <c r="J30" s="25" t="s">
        <v>47</v>
      </c>
      <c r="K30" s="39" t="s">
        <v>35</v>
      </c>
      <c r="L30" s="28" t="s">
        <v>52</v>
      </c>
      <c r="M30" s="29"/>
      <c r="N30" s="40">
        <v>1446.19</v>
      </c>
      <c r="O30" s="17"/>
      <c r="P30" s="39"/>
      <c r="Q30" s="29"/>
      <c r="R30" s="31" t="s">
        <v>52</v>
      </c>
      <c r="S30" s="46" t="s">
        <v>131</v>
      </c>
      <c r="T30" s="29" t="s">
        <v>52</v>
      </c>
      <c r="U30" s="45"/>
      <c r="V30" s="31"/>
      <c r="W30" s="31"/>
      <c r="X30" s="29"/>
      <c r="Y30" s="29"/>
      <c r="Z30" s="29"/>
      <c r="AA30" s="29"/>
      <c r="AB30" s="12"/>
      <c r="AC30" s="12"/>
      <c r="AD30" s="12"/>
      <c r="AE30" s="12"/>
      <c r="AF30" s="12"/>
      <c r="AG30" s="22"/>
      <c r="AH30" s="22"/>
      <c r="AI30" s="22"/>
      <c r="AJ30" s="22"/>
      <c r="AK30" s="22"/>
      <c r="AL30" s="22"/>
      <c r="AM30" s="22"/>
      <c r="AN30" s="22"/>
      <c r="AO30" s="22"/>
      <c r="AP30" s="22"/>
    </row>
    <row r="31" ht="15.75" customHeight="1">
      <c r="A31" s="35">
        <v>1.0178014E7</v>
      </c>
      <c r="B31" s="36"/>
      <c r="C31" s="11">
        <v>45327.0</v>
      </c>
      <c r="D31" s="29" t="s">
        <v>52</v>
      </c>
      <c r="E31" s="37" t="s">
        <v>52</v>
      </c>
      <c r="F31" s="38" t="s">
        <v>43</v>
      </c>
      <c r="G31" s="29" t="s">
        <v>44</v>
      </c>
      <c r="H31" s="29" t="s">
        <v>132</v>
      </c>
      <c r="I31" s="29" t="s">
        <v>117</v>
      </c>
      <c r="J31" s="25" t="s">
        <v>106</v>
      </c>
      <c r="K31" s="39" t="s">
        <v>35</v>
      </c>
      <c r="L31" s="28" t="s">
        <v>121</v>
      </c>
      <c r="M31" s="29" t="s">
        <v>83</v>
      </c>
      <c r="N31" s="40">
        <v>3183.0</v>
      </c>
      <c r="O31" s="17">
        <f t="shared" ref="O31:O40" si="2">IFERROR(P31/N31,0)</f>
        <v>0.5655042413</v>
      </c>
      <c r="P31" s="39">
        <v>1800.0</v>
      </c>
      <c r="Q31" s="29"/>
      <c r="R31" s="47">
        <v>1267587.0</v>
      </c>
      <c r="S31" s="41" t="s">
        <v>40</v>
      </c>
      <c r="T31" s="42">
        <v>4828633.0</v>
      </c>
      <c r="U31" s="31"/>
      <c r="V31" s="31"/>
      <c r="W31" s="31"/>
      <c r="X31" s="29"/>
      <c r="Y31" s="34">
        <v>45329.02291666667</v>
      </c>
      <c r="Z31" s="34">
        <v>45329.06527777778</v>
      </c>
      <c r="AA31" s="29"/>
      <c r="AB31" s="12"/>
      <c r="AC31" s="12"/>
      <c r="AD31" s="12"/>
      <c r="AE31" s="12" t="s">
        <v>107</v>
      </c>
      <c r="AF31" s="1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ht="15.75" customHeight="1">
      <c r="A32" s="35">
        <v>1.0178794E7</v>
      </c>
      <c r="B32" s="36"/>
      <c r="C32" s="11">
        <v>45329.75</v>
      </c>
      <c r="D32" s="29">
        <v>26.0</v>
      </c>
      <c r="E32" s="37">
        <v>32647.0</v>
      </c>
      <c r="F32" s="29" t="s">
        <v>31</v>
      </c>
      <c r="G32" s="29" t="s">
        <v>32</v>
      </c>
      <c r="H32" s="29" t="s">
        <v>133</v>
      </c>
      <c r="I32" s="29" t="s">
        <v>134</v>
      </c>
      <c r="J32" s="25" t="s">
        <v>35</v>
      </c>
      <c r="K32" s="29" t="s">
        <v>93</v>
      </c>
      <c r="L32" s="28" t="s">
        <v>114</v>
      </c>
      <c r="M32" s="29" t="s">
        <v>83</v>
      </c>
      <c r="N32" s="40">
        <v>5991.0</v>
      </c>
      <c r="O32" s="17">
        <f t="shared" si="2"/>
        <v>0.75112669</v>
      </c>
      <c r="P32" s="39">
        <v>4500.0</v>
      </c>
      <c r="Q32" s="29" t="s">
        <v>39</v>
      </c>
      <c r="R32" s="31">
        <v>1268851.0</v>
      </c>
      <c r="S32" s="41" t="s">
        <v>40</v>
      </c>
      <c r="T32" s="42">
        <v>4836654.0</v>
      </c>
      <c r="U32" s="45">
        <v>0.4583333333333333</v>
      </c>
      <c r="V32" s="45">
        <v>0.5694444444444444</v>
      </c>
      <c r="W32" s="45">
        <v>0.1111111111111111</v>
      </c>
      <c r="X32" s="29" t="s">
        <v>135</v>
      </c>
      <c r="Y32" s="34">
        <v>45331.35972222222</v>
      </c>
      <c r="Z32" s="34">
        <v>45331.441666666666</v>
      </c>
      <c r="AA32" s="29"/>
      <c r="AB32" s="12"/>
      <c r="AC32" s="12"/>
      <c r="AD32" s="12"/>
      <c r="AE32" s="12" t="s">
        <v>39</v>
      </c>
      <c r="AF32" s="12"/>
      <c r="AG32" s="22"/>
      <c r="AH32" s="22"/>
      <c r="AI32" s="22"/>
      <c r="AJ32" s="22"/>
      <c r="AK32" s="22"/>
      <c r="AL32" s="22"/>
      <c r="AM32" s="22"/>
      <c r="AN32" s="22"/>
      <c r="AO32" s="22"/>
      <c r="AP32" s="22"/>
    </row>
    <row r="33" ht="15.75" customHeight="1">
      <c r="A33" s="35">
        <v>1.0179281E7</v>
      </c>
      <c r="B33" s="36"/>
      <c r="C33" s="11">
        <v>45329.541666666664</v>
      </c>
      <c r="D33" s="29">
        <v>26.0</v>
      </c>
      <c r="E33" s="37">
        <v>31922.0</v>
      </c>
      <c r="F33" s="29" t="s">
        <v>31</v>
      </c>
      <c r="G33" s="29" t="s">
        <v>44</v>
      </c>
      <c r="H33" s="29" t="s">
        <v>136</v>
      </c>
      <c r="I33" s="39" t="s">
        <v>137</v>
      </c>
      <c r="J33" s="25" t="s">
        <v>35</v>
      </c>
      <c r="K33" s="28" t="s">
        <v>138</v>
      </c>
      <c r="L33" s="28" t="s">
        <v>94</v>
      </c>
      <c r="M33" s="29" t="s">
        <v>69</v>
      </c>
      <c r="N33" s="40">
        <v>5174.0</v>
      </c>
      <c r="O33" s="17">
        <f t="shared" si="2"/>
        <v>0.7730962505</v>
      </c>
      <c r="P33" s="39">
        <v>4000.0</v>
      </c>
      <c r="Q33" s="29" t="s">
        <v>39</v>
      </c>
      <c r="R33" s="31">
        <v>1268490.0</v>
      </c>
      <c r="S33" s="41" t="s">
        <v>40</v>
      </c>
      <c r="T33" s="42">
        <v>4834195.0</v>
      </c>
      <c r="U33" s="45">
        <v>0.14583333333333334</v>
      </c>
      <c r="V33" s="45">
        <v>0.25</v>
      </c>
      <c r="W33" s="45">
        <v>0.10416666666666667</v>
      </c>
      <c r="X33" s="29" t="s">
        <v>127</v>
      </c>
      <c r="Y33" s="34">
        <v>45330.302777777775</v>
      </c>
      <c r="Z33" s="34">
        <v>45330.51736111111</v>
      </c>
      <c r="AA33" s="29"/>
      <c r="AB33" s="12"/>
      <c r="AC33" s="12"/>
      <c r="AD33" s="12"/>
      <c r="AE33" s="12" t="s">
        <v>39</v>
      </c>
      <c r="AF33" s="12"/>
      <c r="AG33" s="22"/>
      <c r="AH33" s="22"/>
      <c r="AI33" s="22"/>
      <c r="AJ33" s="22"/>
      <c r="AK33" s="22"/>
      <c r="AL33" s="22"/>
      <c r="AM33" s="22"/>
      <c r="AN33" s="22"/>
      <c r="AO33" s="22"/>
      <c r="AP33" s="22"/>
    </row>
    <row r="34" ht="15.75" customHeight="1">
      <c r="A34" s="9">
        <v>1.0179591E7</v>
      </c>
      <c r="B34" s="10"/>
      <c r="C34" s="11">
        <v>45328.583333333336</v>
      </c>
      <c r="D34" s="25">
        <v>26.0</v>
      </c>
      <c r="E34" s="26">
        <v>31922.0</v>
      </c>
      <c r="F34" s="29" t="s">
        <v>31</v>
      </c>
      <c r="G34" s="25" t="s">
        <v>44</v>
      </c>
      <c r="H34" s="29" t="s">
        <v>139</v>
      </c>
      <c r="I34" s="29" t="s">
        <v>140</v>
      </c>
      <c r="J34" s="25" t="s">
        <v>35</v>
      </c>
      <c r="K34" s="29" t="s">
        <v>141</v>
      </c>
      <c r="L34" s="28" t="s">
        <v>94</v>
      </c>
      <c r="M34" s="29" t="s">
        <v>142</v>
      </c>
      <c r="N34" s="40">
        <v>7880.37</v>
      </c>
      <c r="O34" s="17">
        <f t="shared" si="2"/>
        <v>0.697936772</v>
      </c>
      <c r="P34" s="39">
        <v>5500.0</v>
      </c>
      <c r="Q34" s="29" t="s">
        <v>39</v>
      </c>
      <c r="R34" s="31">
        <v>1268453.0</v>
      </c>
      <c r="S34" s="41" t="s">
        <v>40</v>
      </c>
      <c r="T34" s="42">
        <v>4833841.0</v>
      </c>
      <c r="U34" s="45">
        <v>0.6388888888888888</v>
      </c>
      <c r="V34" s="45">
        <v>0.75</v>
      </c>
      <c r="W34" s="45">
        <v>0.1111111111111111</v>
      </c>
      <c r="X34" s="29" t="s">
        <v>127</v>
      </c>
      <c r="Y34" s="34">
        <v>45330.84722222222</v>
      </c>
      <c r="Z34" s="34">
        <v>45331.552083333336</v>
      </c>
      <c r="AA34" s="29"/>
      <c r="AB34" s="12"/>
      <c r="AC34" s="12"/>
      <c r="AD34" s="12"/>
      <c r="AE34" s="12" t="s">
        <v>39</v>
      </c>
      <c r="AF34" s="12"/>
      <c r="AG34" s="22"/>
      <c r="AH34" s="22"/>
      <c r="AI34" s="22"/>
      <c r="AJ34" s="22"/>
      <c r="AK34" s="22"/>
      <c r="AL34" s="22"/>
      <c r="AM34" s="22"/>
      <c r="AN34" s="22"/>
      <c r="AO34" s="22"/>
      <c r="AP34" s="22"/>
    </row>
    <row r="35" ht="15.75" customHeight="1">
      <c r="A35" s="35">
        <v>1.0179593E7</v>
      </c>
      <c r="B35" s="36"/>
      <c r="C35" s="11">
        <v>45334.416666666664</v>
      </c>
      <c r="D35" s="29">
        <v>26.0</v>
      </c>
      <c r="E35" s="37">
        <v>31922.0</v>
      </c>
      <c r="F35" s="29" t="s">
        <v>31</v>
      </c>
      <c r="G35" s="29" t="s">
        <v>44</v>
      </c>
      <c r="H35" s="29" t="s">
        <v>139</v>
      </c>
      <c r="I35" s="29" t="s">
        <v>140</v>
      </c>
      <c r="J35" s="25" t="s">
        <v>35</v>
      </c>
      <c r="K35" s="29" t="s">
        <v>141</v>
      </c>
      <c r="L35" s="28" t="s">
        <v>94</v>
      </c>
      <c r="M35" s="29" t="s">
        <v>143</v>
      </c>
      <c r="N35" s="40">
        <v>7880.37</v>
      </c>
      <c r="O35" s="17">
        <f t="shared" si="2"/>
        <v>0.697936772</v>
      </c>
      <c r="P35" s="39">
        <v>5500.0</v>
      </c>
      <c r="Q35" s="29" t="s">
        <v>39</v>
      </c>
      <c r="R35" s="31">
        <v>1271867.0</v>
      </c>
      <c r="S35" s="41" t="s">
        <v>40</v>
      </c>
      <c r="T35" s="42">
        <v>4851850.0</v>
      </c>
      <c r="U35" s="45">
        <v>0.7458333333333333</v>
      </c>
      <c r="V35" s="44">
        <v>0.9520833333333333</v>
      </c>
      <c r="W35" s="29"/>
      <c r="X35" s="29" t="s">
        <v>127</v>
      </c>
      <c r="Y35" s="34">
        <v>45336.51111111111</v>
      </c>
      <c r="Z35" s="34">
        <v>45336.677777777775</v>
      </c>
      <c r="AA35" s="29"/>
      <c r="AB35" s="12"/>
      <c r="AC35" s="12"/>
      <c r="AD35" s="48"/>
      <c r="AE35" s="48" t="s">
        <v>39</v>
      </c>
      <c r="AF35" s="12"/>
      <c r="AG35" s="22"/>
      <c r="AH35" s="22"/>
      <c r="AI35" s="22"/>
      <c r="AJ35" s="22"/>
      <c r="AK35" s="22"/>
      <c r="AL35" s="22"/>
      <c r="AM35" s="22"/>
      <c r="AN35" s="22"/>
      <c r="AO35" s="22"/>
      <c r="AP35" s="22"/>
    </row>
    <row r="36" ht="15.75" customHeight="1">
      <c r="A36" s="35">
        <v>1.0179594E7</v>
      </c>
      <c r="B36" s="36"/>
      <c r="C36" s="11">
        <v>45334.416666666664</v>
      </c>
      <c r="D36" s="29">
        <v>26.0</v>
      </c>
      <c r="E36" s="37">
        <v>31922.0</v>
      </c>
      <c r="F36" s="29" t="s">
        <v>31</v>
      </c>
      <c r="G36" s="29" t="s">
        <v>44</v>
      </c>
      <c r="H36" s="29" t="s">
        <v>139</v>
      </c>
      <c r="I36" s="29" t="s">
        <v>140</v>
      </c>
      <c r="J36" s="25" t="s">
        <v>35</v>
      </c>
      <c r="K36" s="29" t="s">
        <v>141</v>
      </c>
      <c r="L36" s="28" t="s">
        <v>94</v>
      </c>
      <c r="M36" s="29" t="s">
        <v>144</v>
      </c>
      <c r="N36" s="40">
        <v>7880.37</v>
      </c>
      <c r="O36" s="17">
        <f t="shared" si="2"/>
        <v>0.697936772</v>
      </c>
      <c r="P36" s="39">
        <v>5500.0</v>
      </c>
      <c r="Q36" s="29" t="s">
        <v>39</v>
      </c>
      <c r="R36" s="31">
        <v>1271562.0</v>
      </c>
      <c r="S36" s="41" t="s">
        <v>40</v>
      </c>
      <c r="T36" s="42">
        <v>4850447.0</v>
      </c>
      <c r="U36" s="45">
        <v>0.41805555555555557</v>
      </c>
      <c r="V36" s="45">
        <v>0.6138888888888889</v>
      </c>
      <c r="W36" s="31"/>
      <c r="X36" s="29" t="s">
        <v>127</v>
      </c>
      <c r="Y36" s="34">
        <v>45335.725</v>
      </c>
      <c r="Z36" s="34">
        <v>45336.65</v>
      </c>
      <c r="AA36" s="29"/>
      <c r="AB36" s="12"/>
      <c r="AC36" s="12"/>
      <c r="AD36" s="12"/>
      <c r="AE36" s="12" t="s">
        <v>39</v>
      </c>
      <c r="AF36" s="12"/>
      <c r="AG36" s="22"/>
      <c r="AH36" s="22"/>
      <c r="AI36" s="22"/>
      <c r="AJ36" s="22"/>
      <c r="AK36" s="22"/>
      <c r="AL36" s="22"/>
      <c r="AM36" s="22"/>
      <c r="AN36" s="22"/>
      <c r="AO36" s="22"/>
      <c r="AP36" s="22"/>
    </row>
    <row r="37" ht="15.75" customHeight="1">
      <c r="A37" s="35">
        <v>1.0181317E7</v>
      </c>
      <c r="B37" s="36"/>
      <c r="C37" s="11">
        <v>45328.125</v>
      </c>
      <c r="D37" s="29">
        <v>26.0</v>
      </c>
      <c r="E37" s="37">
        <v>30740.0</v>
      </c>
      <c r="F37" s="38" t="s">
        <v>43</v>
      </c>
      <c r="G37" s="29" t="s">
        <v>44</v>
      </c>
      <c r="H37" s="29" t="s">
        <v>104</v>
      </c>
      <c r="I37" s="12" t="s">
        <v>105</v>
      </c>
      <c r="J37" s="25" t="s">
        <v>35</v>
      </c>
      <c r="K37" s="39" t="s">
        <v>106</v>
      </c>
      <c r="L37" s="28" t="s">
        <v>59</v>
      </c>
      <c r="M37" s="29" t="s">
        <v>145</v>
      </c>
      <c r="N37" s="40">
        <v>5053.0</v>
      </c>
      <c r="O37" s="17">
        <f t="shared" si="2"/>
        <v>0.5937067089</v>
      </c>
      <c r="P37" s="39">
        <v>3000.0</v>
      </c>
      <c r="Q37" s="29" t="s">
        <v>39</v>
      </c>
      <c r="R37" s="31">
        <v>1268471.0</v>
      </c>
      <c r="S37" s="41" t="s">
        <v>40</v>
      </c>
      <c r="T37" s="42">
        <v>4834010.0</v>
      </c>
      <c r="U37" s="45">
        <v>0.6902777777777778</v>
      </c>
      <c r="V37" s="45">
        <v>0.7916666666666666</v>
      </c>
      <c r="W37" s="45">
        <v>0.10694444444444444</v>
      </c>
      <c r="X37" s="29" t="s">
        <v>127</v>
      </c>
      <c r="Y37" s="34">
        <v>45329.62222222222</v>
      </c>
      <c r="Z37" s="34">
        <v>45329.74444444444</v>
      </c>
      <c r="AA37" s="29"/>
      <c r="AB37" s="12"/>
      <c r="AC37" s="12"/>
      <c r="AD37" s="12"/>
      <c r="AE37" s="12" t="s">
        <v>39</v>
      </c>
      <c r="AF37" s="12"/>
      <c r="AG37" s="22"/>
      <c r="AH37" s="22"/>
      <c r="AI37" s="22"/>
      <c r="AJ37" s="22"/>
      <c r="AK37" s="22"/>
      <c r="AL37" s="22"/>
      <c r="AM37" s="22"/>
      <c r="AN37" s="22"/>
      <c r="AO37" s="22"/>
      <c r="AP37" s="22"/>
    </row>
    <row r="38" ht="15.75" customHeight="1">
      <c r="A38" s="35">
        <v>1.0181318E7</v>
      </c>
      <c r="B38" s="36"/>
      <c r="C38" s="11">
        <v>45328.208333333336</v>
      </c>
      <c r="D38" s="29">
        <v>26.0</v>
      </c>
      <c r="E38" s="37">
        <v>30740.0</v>
      </c>
      <c r="F38" s="38" t="s">
        <v>43</v>
      </c>
      <c r="G38" s="29" t="s">
        <v>44</v>
      </c>
      <c r="H38" s="29" t="s">
        <v>104</v>
      </c>
      <c r="I38" s="29" t="s">
        <v>105</v>
      </c>
      <c r="J38" s="25" t="s">
        <v>35</v>
      </c>
      <c r="K38" s="39" t="s">
        <v>106</v>
      </c>
      <c r="L38" s="28" t="s">
        <v>59</v>
      </c>
      <c r="M38" s="29" t="s">
        <v>146</v>
      </c>
      <c r="N38" s="40">
        <v>5053.0</v>
      </c>
      <c r="O38" s="17">
        <f t="shared" si="2"/>
        <v>0.5937067089</v>
      </c>
      <c r="P38" s="39">
        <v>3000.0</v>
      </c>
      <c r="Q38" s="29" t="s">
        <v>39</v>
      </c>
      <c r="R38" s="31">
        <v>1268567.0</v>
      </c>
      <c r="S38" s="41" t="s">
        <v>40</v>
      </c>
      <c r="T38" s="42">
        <v>4834811.0</v>
      </c>
      <c r="U38" s="45">
        <v>0.6159722222222223</v>
      </c>
      <c r="V38" s="45">
        <v>0.75</v>
      </c>
      <c r="W38" s="45">
        <v>0.19930555555555557</v>
      </c>
      <c r="X38" s="29" t="s">
        <v>127</v>
      </c>
      <c r="Y38" s="34">
        <v>45330.33263888889</v>
      </c>
      <c r="Z38" s="34">
        <v>45330.52638888889</v>
      </c>
      <c r="AA38" s="29"/>
      <c r="AB38" s="12"/>
      <c r="AC38" s="12"/>
      <c r="AD38" s="12"/>
      <c r="AE38" s="12" t="s">
        <v>39</v>
      </c>
      <c r="AF38" s="1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ht="15.75" customHeight="1">
      <c r="A39" s="35">
        <v>1.0185742E7</v>
      </c>
      <c r="B39" s="36"/>
      <c r="C39" s="11">
        <v>45335.708333333336</v>
      </c>
      <c r="D39" s="29">
        <v>28.0</v>
      </c>
      <c r="E39" s="37">
        <v>34058.0</v>
      </c>
      <c r="F39" s="29" t="s">
        <v>31</v>
      </c>
      <c r="G39" s="29" t="s">
        <v>32</v>
      </c>
      <c r="H39" s="29" t="s">
        <v>147</v>
      </c>
      <c r="I39" s="29" t="s">
        <v>112</v>
      </c>
      <c r="J39" s="25" t="s">
        <v>35</v>
      </c>
      <c r="K39" s="12" t="s">
        <v>113</v>
      </c>
      <c r="L39" s="28" t="s">
        <v>114</v>
      </c>
      <c r="M39" s="49" t="s">
        <v>148</v>
      </c>
      <c r="N39" s="40">
        <v>4325.0</v>
      </c>
      <c r="O39" s="17">
        <f t="shared" si="2"/>
        <v>0.6936416185</v>
      </c>
      <c r="P39" s="39">
        <v>3000.0</v>
      </c>
      <c r="Q39" s="29" t="s">
        <v>39</v>
      </c>
      <c r="R39" s="31">
        <v>1272225.0</v>
      </c>
      <c r="S39" s="41" t="s">
        <v>40</v>
      </c>
      <c r="T39" s="42">
        <v>4852868.0</v>
      </c>
      <c r="U39" s="45">
        <v>0.5208333333333334</v>
      </c>
      <c r="V39" s="45">
        <v>0.7069444444444445</v>
      </c>
      <c r="W39" s="31"/>
      <c r="X39" s="29" t="s">
        <v>127</v>
      </c>
      <c r="Y39" s="34">
        <v>45336.76458333333</v>
      </c>
      <c r="Z39" s="34">
        <v>45336.777083333334</v>
      </c>
      <c r="AA39" s="29"/>
      <c r="AB39" s="12"/>
      <c r="AC39" s="12"/>
      <c r="AD39" s="12"/>
      <c r="AE39" s="12" t="s">
        <v>39</v>
      </c>
      <c r="AF39" s="12"/>
      <c r="AG39" s="22"/>
      <c r="AH39" s="22"/>
      <c r="AI39" s="22"/>
      <c r="AJ39" s="22"/>
      <c r="AK39" s="22"/>
      <c r="AL39" s="22"/>
      <c r="AM39" s="22"/>
      <c r="AN39" s="22"/>
      <c r="AO39" s="22"/>
      <c r="AP39" s="22"/>
    </row>
    <row r="40" ht="15.75" customHeight="1">
      <c r="A40" s="35">
        <v>1.0185743E7</v>
      </c>
      <c r="B40" s="36"/>
      <c r="C40" s="11">
        <v>45335.708333333336</v>
      </c>
      <c r="D40" s="29">
        <v>26.0</v>
      </c>
      <c r="E40" s="37">
        <v>30200.0</v>
      </c>
      <c r="F40" s="29" t="s">
        <v>31</v>
      </c>
      <c r="G40" s="29" t="s">
        <v>44</v>
      </c>
      <c r="H40" s="29" t="s">
        <v>45</v>
      </c>
      <c r="I40" s="29" t="s">
        <v>46</v>
      </c>
      <c r="J40" s="25" t="s">
        <v>35</v>
      </c>
      <c r="K40" s="39" t="s">
        <v>47</v>
      </c>
      <c r="L40" s="28" t="s">
        <v>108</v>
      </c>
      <c r="M40" s="49" t="s">
        <v>69</v>
      </c>
      <c r="N40" s="40">
        <v>2169.28</v>
      </c>
      <c r="O40" s="17">
        <f t="shared" si="2"/>
        <v>0.6914736687</v>
      </c>
      <c r="P40" s="39">
        <v>1500.0</v>
      </c>
      <c r="Q40" s="29" t="s">
        <v>39</v>
      </c>
      <c r="R40" s="31">
        <v>1272209.0</v>
      </c>
      <c r="S40" s="41" t="s">
        <v>40</v>
      </c>
      <c r="T40" s="42">
        <v>4852798.0</v>
      </c>
      <c r="U40" s="45">
        <v>0.3333333333333333</v>
      </c>
      <c r="V40" s="45">
        <v>0.5590277777777778</v>
      </c>
      <c r="W40" s="29"/>
      <c r="X40" s="29" t="s">
        <v>127</v>
      </c>
      <c r="Y40" s="34">
        <v>45336.24444444444</v>
      </c>
      <c r="Z40" s="34">
        <v>45336.375</v>
      </c>
      <c r="AA40" s="29"/>
      <c r="AB40" s="12"/>
      <c r="AC40" s="12"/>
      <c r="AD40" s="12"/>
      <c r="AE40" s="12" t="s">
        <v>39</v>
      </c>
      <c r="AF40" s="12"/>
      <c r="AG40" s="22"/>
      <c r="AH40" s="22"/>
      <c r="AI40" s="22"/>
      <c r="AJ40" s="22"/>
      <c r="AK40" s="22"/>
      <c r="AL40" s="22"/>
      <c r="AM40" s="22"/>
      <c r="AN40" s="22"/>
      <c r="AO40" s="22"/>
      <c r="AP40" s="22"/>
    </row>
    <row r="41" ht="15.75" customHeight="1">
      <c r="A41" s="35">
        <v>1.0185747E7</v>
      </c>
      <c r="B41" s="36"/>
      <c r="C41" s="11">
        <v>45335.708333333336</v>
      </c>
      <c r="D41" s="29" t="s">
        <v>52</v>
      </c>
      <c r="E41" s="37" t="s">
        <v>52</v>
      </c>
      <c r="F41" s="29" t="s">
        <v>31</v>
      </c>
      <c r="G41" s="29" t="s">
        <v>44</v>
      </c>
      <c r="H41" s="29" t="s">
        <v>149</v>
      </c>
      <c r="I41" s="29" t="s">
        <v>46</v>
      </c>
      <c r="J41" s="25" t="s">
        <v>47</v>
      </c>
      <c r="K41" s="39" t="s">
        <v>35</v>
      </c>
      <c r="L41" s="28" t="s">
        <v>52</v>
      </c>
      <c r="M41" s="49"/>
      <c r="N41" s="40">
        <v>1446.19</v>
      </c>
      <c r="O41" s="17"/>
      <c r="P41" s="39"/>
      <c r="Q41" s="29"/>
      <c r="R41" s="31"/>
      <c r="S41" s="46" t="s">
        <v>131</v>
      </c>
      <c r="T41" s="29"/>
      <c r="U41" s="45"/>
      <c r="V41" s="45"/>
      <c r="W41" s="29"/>
      <c r="X41" s="29" t="s">
        <v>127</v>
      </c>
      <c r="Y41" s="29"/>
      <c r="Z41" s="29"/>
      <c r="AA41" s="29"/>
      <c r="AB41" s="12"/>
      <c r="AC41" s="12"/>
      <c r="AD41" s="12"/>
      <c r="AE41" s="12"/>
      <c r="AF41" s="12"/>
      <c r="AG41" s="22"/>
      <c r="AH41" s="22"/>
      <c r="AI41" s="22"/>
      <c r="AJ41" s="22"/>
      <c r="AK41" s="22"/>
      <c r="AL41" s="22"/>
      <c r="AM41" s="22"/>
      <c r="AN41" s="22"/>
      <c r="AO41" s="22"/>
      <c r="AP41" s="22"/>
    </row>
    <row r="42" ht="15.75" customHeight="1">
      <c r="A42" s="35">
        <v>1.0186437E7</v>
      </c>
      <c r="B42" s="36"/>
      <c r="C42" s="11">
        <v>45332.083333333336</v>
      </c>
      <c r="D42" s="29">
        <v>26.0</v>
      </c>
      <c r="E42" s="37">
        <v>33139.0</v>
      </c>
      <c r="F42" s="29" t="s">
        <v>31</v>
      </c>
      <c r="G42" s="29" t="s">
        <v>44</v>
      </c>
      <c r="H42" s="29" t="s">
        <v>45</v>
      </c>
      <c r="I42" s="29" t="s">
        <v>46</v>
      </c>
      <c r="J42" s="25" t="s">
        <v>35</v>
      </c>
      <c r="K42" s="39" t="s">
        <v>47</v>
      </c>
      <c r="L42" s="28" t="s">
        <v>52</v>
      </c>
      <c r="M42" s="39"/>
      <c r="N42" s="40">
        <v>2340.76</v>
      </c>
      <c r="O42" s="17"/>
      <c r="P42" s="39"/>
      <c r="Q42" s="29"/>
      <c r="R42" s="31"/>
      <c r="S42" s="46" t="s">
        <v>131</v>
      </c>
      <c r="T42" s="22"/>
      <c r="U42" s="45"/>
      <c r="V42" s="45"/>
      <c r="W42" s="29"/>
      <c r="X42" s="29"/>
      <c r="Y42" s="29"/>
      <c r="Z42" s="29"/>
      <c r="AA42" s="29"/>
      <c r="AB42" s="12"/>
      <c r="AC42" s="12"/>
      <c r="AD42" s="12"/>
      <c r="AE42" s="12"/>
      <c r="AF42" s="1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ht="15.75" customHeight="1">
      <c r="A43" s="35">
        <v>1.0186448E7</v>
      </c>
      <c r="B43" s="36"/>
      <c r="C43" s="11">
        <v>45336.25</v>
      </c>
      <c r="D43" s="29">
        <v>26.0</v>
      </c>
      <c r="E43" s="37">
        <v>33139.0</v>
      </c>
      <c r="F43" s="38" t="s">
        <v>43</v>
      </c>
      <c r="G43" s="29" t="s">
        <v>44</v>
      </c>
      <c r="H43" s="29" t="s">
        <v>45</v>
      </c>
      <c r="I43" s="29" t="s">
        <v>46</v>
      </c>
      <c r="J43" s="25" t="s">
        <v>35</v>
      </c>
      <c r="K43" s="39" t="s">
        <v>47</v>
      </c>
      <c r="L43" s="28" t="s">
        <v>108</v>
      </c>
      <c r="M43" s="49" t="s">
        <v>119</v>
      </c>
      <c r="N43" s="40">
        <v>2340.76</v>
      </c>
      <c r="O43" s="17">
        <f>IFERROR(P43/N43,0)</f>
        <v>0.6408175123</v>
      </c>
      <c r="P43" s="39">
        <v>1500.0</v>
      </c>
      <c r="Q43" s="29" t="s">
        <v>39</v>
      </c>
      <c r="R43" s="31">
        <v>1272472.0</v>
      </c>
      <c r="S43" s="41" t="s">
        <v>40</v>
      </c>
      <c r="T43" s="19">
        <v>4853683.0</v>
      </c>
      <c r="U43" s="45">
        <v>0.0</v>
      </c>
      <c r="V43" s="45">
        <v>0.08819444444444445</v>
      </c>
      <c r="W43" s="29"/>
      <c r="X43" s="29" t="s">
        <v>127</v>
      </c>
      <c r="Y43" s="34">
        <v>45336.38055555556</v>
      </c>
      <c r="Z43" s="34">
        <v>45336.65694444445</v>
      </c>
      <c r="AA43" s="29"/>
      <c r="AB43" s="12"/>
      <c r="AC43" s="12"/>
      <c r="AD43" s="12"/>
      <c r="AE43" s="12" t="s">
        <v>39</v>
      </c>
      <c r="AF43" s="12"/>
      <c r="AG43" s="22"/>
      <c r="AH43" s="22"/>
      <c r="AI43" s="22"/>
      <c r="AJ43" s="22"/>
      <c r="AK43" s="22"/>
      <c r="AL43" s="22"/>
      <c r="AM43" s="22"/>
      <c r="AN43" s="22"/>
      <c r="AO43" s="22"/>
      <c r="AP43" s="22"/>
    </row>
    <row r="44" ht="15.75" customHeight="1">
      <c r="A44" s="35">
        <v>1.0186449E7</v>
      </c>
      <c r="B44" s="36"/>
      <c r="C44" s="11">
        <v>45332.083333333336</v>
      </c>
      <c r="D44" s="29">
        <v>26.0</v>
      </c>
      <c r="E44" s="37">
        <v>33139.0</v>
      </c>
      <c r="F44" s="29" t="s">
        <v>31</v>
      </c>
      <c r="G44" s="25" t="s">
        <v>44</v>
      </c>
      <c r="H44" s="29" t="s">
        <v>45</v>
      </c>
      <c r="I44" s="29" t="s">
        <v>46</v>
      </c>
      <c r="J44" s="25" t="s">
        <v>35</v>
      </c>
      <c r="K44" s="39" t="s">
        <v>47</v>
      </c>
      <c r="L44" s="28" t="s">
        <v>52</v>
      </c>
      <c r="M44" s="39"/>
      <c r="N44" s="40">
        <v>2340.76</v>
      </c>
      <c r="O44" s="17"/>
      <c r="P44" s="39"/>
      <c r="Q44" s="29"/>
      <c r="R44" s="31"/>
      <c r="S44" s="46" t="s">
        <v>131</v>
      </c>
      <c r="T44" s="29"/>
      <c r="U44" s="45"/>
      <c r="V44" s="45"/>
      <c r="W44" s="29"/>
      <c r="X44" s="29"/>
      <c r="Y44" s="29"/>
      <c r="Z44" s="29"/>
      <c r="AA44" s="29"/>
      <c r="AB44" s="12"/>
      <c r="AC44" s="12"/>
      <c r="AD44" s="12"/>
      <c r="AE44" s="12"/>
      <c r="AF44" s="12"/>
      <c r="AG44" s="22"/>
      <c r="AH44" s="22"/>
      <c r="AI44" s="22"/>
      <c r="AJ44" s="22"/>
      <c r="AK44" s="22"/>
      <c r="AL44" s="22"/>
      <c r="AM44" s="22"/>
      <c r="AN44" s="22"/>
      <c r="AO44" s="22"/>
      <c r="AP44" s="22"/>
    </row>
    <row r="45" ht="15.75" customHeight="1">
      <c r="A45" s="35">
        <v>1.018645E7</v>
      </c>
      <c r="B45" s="36"/>
      <c r="C45" s="11">
        <v>45330.083333333336</v>
      </c>
      <c r="D45" s="29">
        <v>26.0</v>
      </c>
      <c r="E45" s="37">
        <v>33139.0</v>
      </c>
      <c r="F45" s="29" t="s">
        <v>31</v>
      </c>
      <c r="G45" s="29" t="s">
        <v>44</v>
      </c>
      <c r="H45" s="29" t="s">
        <v>45</v>
      </c>
      <c r="I45" s="29" t="s">
        <v>46</v>
      </c>
      <c r="J45" s="25" t="s">
        <v>35</v>
      </c>
      <c r="K45" s="39" t="s">
        <v>47</v>
      </c>
      <c r="L45" s="28" t="s">
        <v>108</v>
      </c>
      <c r="M45" s="39" t="s">
        <v>128</v>
      </c>
      <c r="N45" s="40">
        <v>2340.76</v>
      </c>
      <c r="O45" s="17">
        <f>IFERROR(P45/N45,0)</f>
        <v>0.6408175123</v>
      </c>
      <c r="P45" s="39">
        <v>1500.0</v>
      </c>
      <c r="Q45" s="29" t="s">
        <v>39</v>
      </c>
      <c r="R45" s="31">
        <v>1269536.0</v>
      </c>
      <c r="S45" s="41" t="s">
        <v>40</v>
      </c>
      <c r="T45" s="42">
        <v>4840951.0</v>
      </c>
      <c r="U45" s="45">
        <v>0.4444444444444444</v>
      </c>
      <c r="V45" s="44">
        <v>0.6118055555555556</v>
      </c>
      <c r="W45" s="29"/>
      <c r="X45" s="29" t="s">
        <v>127</v>
      </c>
      <c r="Y45" s="34">
        <v>45330.75763888889</v>
      </c>
      <c r="Z45" s="34">
        <v>45330.80069444444</v>
      </c>
      <c r="AA45" s="29"/>
      <c r="AB45" s="12"/>
      <c r="AC45" s="12"/>
      <c r="AD45" s="12"/>
      <c r="AE45" s="12" t="s">
        <v>39</v>
      </c>
      <c r="AF45" s="12"/>
      <c r="AG45" s="22"/>
      <c r="AH45" s="22"/>
      <c r="AI45" s="22"/>
      <c r="AJ45" s="22"/>
      <c r="AK45" s="22"/>
      <c r="AL45" s="22"/>
      <c r="AM45" s="22"/>
      <c r="AN45" s="22"/>
      <c r="AO45" s="22"/>
      <c r="AP45" s="22"/>
    </row>
    <row r="46" ht="15.75" customHeight="1">
      <c r="A46" s="35">
        <v>1.0186451E7</v>
      </c>
      <c r="B46" s="36"/>
      <c r="C46" s="11">
        <v>45332.583333333336</v>
      </c>
      <c r="D46" s="29">
        <v>26.0</v>
      </c>
      <c r="E46" s="37">
        <v>33139.0</v>
      </c>
      <c r="F46" s="29" t="s">
        <v>31</v>
      </c>
      <c r="G46" s="29" t="s">
        <v>44</v>
      </c>
      <c r="H46" s="29" t="s">
        <v>45</v>
      </c>
      <c r="I46" s="29" t="s">
        <v>46</v>
      </c>
      <c r="J46" s="25" t="s">
        <v>35</v>
      </c>
      <c r="K46" s="39" t="s">
        <v>47</v>
      </c>
      <c r="L46" s="28" t="s">
        <v>52</v>
      </c>
      <c r="M46" s="39"/>
      <c r="N46" s="40">
        <v>2340.76</v>
      </c>
      <c r="O46" s="17"/>
      <c r="P46" s="39"/>
      <c r="Q46" s="29"/>
      <c r="R46" s="31"/>
      <c r="S46" s="46" t="s">
        <v>131</v>
      </c>
      <c r="T46" s="29"/>
      <c r="U46" s="45"/>
      <c r="V46" s="45"/>
      <c r="W46" s="29"/>
      <c r="X46" s="29"/>
      <c r="Y46" s="29"/>
      <c r="Z46" s="29"/>
      <c r="AA46" s="29"/>
      <c r="AB46" s="12"/>
      <c r="AC46" s="12"/>
      <c r="AD46" s="12"/>
      <c r="AE46" s="12"/>
      <c r="AF46" s="12"/>
      <c r="AG46" s="22"/>
      <c r="AH46" s="22"/>
      <c r="AI46" s="22"/>
      <c r="AJ46" s="22"/>
      <c r="AK46" s="22"/>
      <c r="AL46" s="22"/>
      <c r="AM46" s="22"/>
      <c r="AN46" s="22"/>
      <c r="AO46" s="22"/>
      <c r="AP46" s="22"/>
    </row>
    <row r="47" ht="15.75" customHeight="1">
      <c r="A47" s="35">
        <v>1.0186452E7</v>
      </c>
      <c r="B47" s="36"/>
      <c r="C47" s="11">
        <v>45330.041666666664</v>
      </c>
      <c r="D47" s="29">
        <v>26.0</v>
      </c>
      <c r="E47" s="37">
        <v>33139.0</v>
      </c>
      <c r="F47" s="29" t="s">
        <v>31</v>
      </c>
      <c r="G47" s="29" t="s">
        <v>44</v>
      </c>
      <c r="H47" s="12" t="s">
        <v>45</v>
      </c>
      <c r="I47" s="25" t="s">
        <v>46</v>
      </c>
      <c r="J47" s="25" t="s">
        <v>35</v>
      </c>
      <c r="K47" s="39" t="s">
        <v>47</v>
      </c>
      <c r="L47" s="28" t="s">
        <v>108</v>
      </c>
      <c r="M47" s="39" t="s">
        <v>143</v>
      </c>
      <c r="N47" s="40">
        <v>2340.76</v>
      </c>
      <c r="O47" s="17">
        <f t="shared" ref="O47:O51" si="3">IFERROR(P47/N47,0)</f>
        <v>0.6408175123</v>
      </c>
      <c r="P47" s="39">
        <v>1500.0</v>
      </c>
      <c r="Q47" s="29" t="s">
        <v>39</v>
      </c>
      <c r="R47" s="31">
        <v>1269601.0</v>
      </c>
      <c r="S47" s="41" t="s">
        <v>40</v>
      </c>
      <c r="T47" s="42">
        <v>4841318.0</v>
      </c>
      <c r="U47" s="45">
        <v>0.6125</v>
      </c>
      <c r="V47" s="45">
        <v>0.7138888888888889</v>
      </c>
      <c r="W47" s="29"/>
      <c r="X47" s="29" t="s">
        <v>127</v>
      </c>
      <c r="Y47" s="34">
        <v>45331.354166666664</v>
      </c>
      <c r="Z47" s="34">
        <v>45331.60277777778</v>
      </c>
      <c r="AA47" s="29"/>
      <c r="AB47" s="12"/>
      <c r="AC47" s="12"/>
      <c r="AD47" s="12"/>
      <c r="AE47" s="12" t="s">
        <v>39</v>
      </c>
      <c r="AF47" s="1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ht="15.75" customHeight="1">
      <c r="A48" s="35">
        <v>1.0186453E7</v>
      </c>
      <c r="B48" s="36"/>
      <c r="C48" s="11">
        <v>45330.041666666664</v>
      </c>
      <c r="D48" s="29">
        <v>26.0</v>
      </c>
      <c r="E48" s="37">
        <v>33139.0</v>
      </c>
      <c r="F48" s="29" t="s">
        <v>31</v>
      </c>
      <c r="G48" s="29" t="s">
        <v>44</v>
      </c>
      <c r="H48" s="12" t="s">
        <v>45</v>
      </c>
      <c r="I48" s="25" t="s">
        <v>46</v>
      </c>
      <c r="J48" s="25" t="s">
        <v>35</v>
      </c>
      <c r="K48" s="39" t="s">
        <v>47</v>
      </c>
      <c r="L48" s="28" t="s">
        <v>108</v>
      </c>
      <c r="M48" s="39" t="s">
        <v>119</v>
      </c>
      <c r="N48" s="40">
        <v>2340.76</v>
      </c>
      <c r="O48" s="17">
        <f t="shared" si="3"/>
        <v>0.6408175123</v>
      </c>
      <c r="P48" s="39">
        <v>1500.0</v>
      </c>
      <c r="Q48" s="29" t="s">
        <v>39</v>
      </c>
      <c r="R48" s="31">
        <v>1269588.0</v>
      </c>
      <c r="S48" s="41" t="s">
        <v>40</v>
      </c>
      <c r="T48" s="42">
        <v>4841250.0</v>
      </c>
      <c r="U48" s="45">
        <v>0.4395833333333333</v>
      </c>
      <c r="V48" s="45">
        <v>0.5659722222222222</v>
      </c>
      <c r="W48" s="29"/>
      <c r="X48" s="29" t="s">
        <v>127</v>
      </c>
      <c r="Y48" s="34">
        <v>45330.665972222225</v>
      </c>
      <c r="Z48" s="34">
        <v>45330.705555555556</v>
      </c>
      <c r="AA48" s="29"/>
      <c r="AB48" s="12"/>
      <c r="AC48" s="12"/>
      <c r="AD48" s="12"/>
      <c r="AE48" s="12" t="s">
        <v>39</v>
      </c>
      <c r="AF48" s="1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ht="15.75" customHeight="1">
      <c r="A49" s="35">
        <v>1.0186454E7</v>
      </c>
      <c r="B49" s="36"/>
      <c r="C49" s="11">
        <v>45330.083333333336</v>
      </c>
      <c r="D49" s="29">
        <v>26.0</v>
      </c>
      <c r="E49" s="37">
        <v>33139.0</v>
      </c>
      <c r="F49" s="29" t="s">
        <v>31</v>
      </c>
      <c r="G49" s="29" t="s">
        <v>44</v>
      </c>
      <c r="H49" s="29" t="s">
        <v>45</v>
      </c>
      <c r="I49" s="29" t="s">
        <v>46</v>
      </c>
      <c r="J49" s="25" t="s">
        <v>35</v>
      </c>
      <c r="K49" s="39" t="s">
        <v>47</v>
      </c>
      <c r="L49" s="28" t="s">
        <v>108</v>
      </c>
      <c r="M49" s="39" t="s">
        <v>150</v>
      </c>
      <c r="N49" s="40">
        <v>2340.76</v>
      </c>
      <c r="O49" s="17">
        <f t="shared" si="3"/>
        <v>0.6408175123</v>
      </c>
      <c r="P49" s="39">
        <v>1500.0</v>
      </c>
      <c r="Q49" s="29" t="s">
        <v>39</v>
      </c>
      <c r="R49" s="31">
        <v>1269747.0</v>
      </c>
      <c r="S49" s="41" t="s">
        <v>40</v>
      </c>
      <c r="T49" s="42">
        <v>4842536.0</v>
      </c>
      <c r="U49" s="45">
        <v>0.7361111111111112</v>
      </c>
      <c r="V49" s="45">
        <v>0.9743055555555555</v>
      </c>
      <c r="W49" s="29"/>
      <c r="X49" s="29" t="s">
        <v>127</v>
      </c>
      <c r="Y49" s="34">
        <v>45331.399305555555</v>
      </c>
      <c r="Z49" s="34">
        <v>45331.441666666666</v>
      </c>
      <c r="AA49" s="29"/>
      <c r="AB49" s="12"/>
      <c r="AC49" s="12"/>
      <c r="AD49" s="12"/>
      <c r="AE49" s="12" t="s">
        <v>39</v>
      </c>
      <c r="AF49" s="12"/>
      <c r="AG49" s="22"/>
      <c r="AH49" s="22"/>
      <c r="AI49" s="22"/>
      <c r="AJ49" s="22"/>
      <c r="AK49" s="22"/>
      <c r="AL49" s="22"/>
      <c r="AM49" s="22"/>
      <c r="AN49" s="22"/>
      <c r="AO49" s="22"/>
      <c r="AP49" s="22"/>
    </row>
    <row r="50" ht="15.75" customHeight="1">
      <c r="A50" s="35">
        <v>1.0186455E7</v>
      </c>
      <c r="B50" s="36"/>
      <c r="C50" s="11">
        <v>45330.041666666664</v>
      </c>
      <c r="D50" s="29">
        <v>26.0</v>
      </c>
      <c r="E50" s="37">
        <v>33139.0</v>
      </c>
      <c r="F50" s="29" t="s">
        <v>31</v>
      </c>
      <c r="G50" s="29" t="s">
        <v>44</v>
      </c>
      <c r="H50" s="29" t="s">
        <v>45</v>
      </c>
      <c r="I50" s="29" t="s">
        <v>46</v>
      </c>
      <c r="J50" s="25" t="s">
        <v>35</v>
      </c>
      <c r="K50" s="39" t="s">
        <v>47</v>
      </c>
      <c r="L50" s="28" t="s">
        <v>108</v>
      </c>
      <c r="M50" s="39" t="s">
        <v>151</v>
      </c>
      <c r="N50" s="40">
        <v>2340.76</v>
      </c>
      <c r="O50" s="17">
        <f t="shared" si="3"/>
        <v>0.6408175123</v>
      </c>
      <c r="P50" s="39">
        <v>1500.0</v>
      </c>
      <c r="Q50" s="29" t="s">
        <v>39</v>
      </c>
      <c r="R50" s="31">
        <v>1269589.0</v>
      </c>
      <c r="S50" s="41" t="s">
        <v>40</v>
      </c>
      <c r="T50" s="50">
        <v>4841253.0</v>
      </c>
      <c r="U50" s="45">
        <v>0.6458333333333334</v>
      </c>
      <c r="V50" s="45">
        <v>0.7631944444444444</v>
      </c>
      <c r="W50" s="29"/>
      <c r="X50" s="29" t="s">
        <v>127</v>
      </c>
      <c r="Y50" s="34">
        <v>45331.41458333333</v>
      </c>
      <c r="Z50" s="34">
        <v>45331.50069444445</v>
      </c>
      <c r="AA50" s="29"/>
      <c r="AB50" s="12"/>
      <c r="AC50" s="12"/>
      <c r="AD50" s="12"/>
      <c r="AE50" s="12" t="s">
        <v>39</v>
      </c>
      <c r="AF50" s="12"/>
      <c r="AG50" s="22"/>
      <c r="AH50" s="22"/>
      <c r="AI50" s="22"/>
      <c r="AJ50" s="22"/>
      <c r="AK50" s="22"/>
      <c r="AL50" s="22"/>
      <c r="AM50" s="22"/>
      <c r="AN50" s="22"/>
      <c r="AO50" s="22"/>
      <c r="AP50" s="22"/>
    </row>
    <row r="51" ht="15.75" customHeight="1">
      <c r="A51" s="35">
        <v>1.0186456E7</v>
      </c>
      <c r="B51" s="36"/>
      <c r="C51" s="11">
        <v>45330.083333333336</v>
      </c>
      <c r="D51" s="29">
        <v>26.0</v>
      </c>
      <c r="E51" s="37">
        <v>29591.0</v>
      </c>
      <c r="F51" s="29" t="s">
        <v>31</v>
      </c>
      <c r="G51" s="29" t="s">
        <v>44</v>
      </c>
      <c r="H51" s="29" t="s">
        <v>45</v>
      </c>
      <c r="I51" s="29" t="s">
        <v>46</v>
      </c>
      <c r="J51" s="25" t="s">
        <v>35</v>
      </c>
      <c r="K51" s="39" t="s">
        <v>47</v>
      </c>
      <c r="L51" s="28" t="s">
        <v>108</v>
      </c>
      <c r="M51" s="39" t="s">
        <v>152</v>
      </c>
      <c r="N51" s="40">
        <v>2169.28</v>
      </c>
      <c r="O51" s="17">
        <f t="shared" si="3"/>
        <v>0.6914736687</v>
      </c>
      <c r="P51" s="39">
        <v>1500.0</v>
      </c>
      <c r="Q51" s="29" t="s">
        <v>39</v>
      </c>
      <c r="R51" s="31">
        <v>1269549.0</v>
      </c>
      <c r="S51" s="41" t="s">
        <v>40</v>
      </c>
      <c r="T51" s="42">
        <v>4841031.0</v>
      </c>
      <c r="U51" s="45">
        <v>0.6638888888888889</v>
      </c>
      <c r="V51" s="45">
        <v>0.89375</v>
      </c>
      <c r="W51" s="29"/>
      <c r="X51" s="29" t="s">
        <v>127</v>
      </c>
      <c r="Y51" s="34">
        <v>45331.479166666664</v>
      </c>
      <c r="Z51" s="34">
        <v>45331.68125</v>
      </c>
      <c r="AA51" s="29"/>
      <c r="AB51" s="12" t="s">
        <v>39</v>
      </c>
      <c r="AC51" s="12" t="s">
        <v>153</v>
      </c>
      <c r="AD51" s="12"/>
      <c r="AE51" s="12" t="s">
        <v>39</v>
      </c>
      <c r="AF51" s="12"/>
      <c r="AG51" s="22"/>
      <c r="AH51" s="22"/>
      <c r="AI51" s="22"/>
      <c r="AJ51" s="22"/>
      <c r="AK51" s="22"/>
      <c r="AL51" s="22"/>
      <c r="AM51" s="22"/>
      <c r="AN51" s="22"/>
      <c r="AO51" s="22"/>
      <c r="AP51" s="22"/>
    </row>
    <row r="52" ht="15.75" customHeight="1">
      <c r="A52" s="35">
        <v>1.0186457E7</v>
      </c>
      <c r="B52" s="36"/>
      <c r="C52" s="11">
        <v>45330.708333333336</v>
      </c>
      <c r="D52" s="29" t="s">
        <v>52</v>
      </c>
      <c r="E52" s="37" t="s">
        <v>52</v>
      </c>
      <c r="F52" s="29" t="s">
        <v>31</v>
      </c>
      <c r="G52" s="29" t="s">
        <v>44</v>
      </c>
      <c r="H52" s="29" t="s">
        <v>154</v>
      </c>
      <c r="I52" s="29" t="s">
        <v>46</v>
      </c>
      <c r="J52" s="25" t="s">
        <v>47</v>
      </c>
      <c r="K52" s="39" t="s">
        <v>35</v>
      </c>
      <c r="L52" s="28" t="s">
        <v>52</v>
      </c>
      <c r="M52" s="39"/>
      <c r="N52" s="40">
        <v>1446.19</v>
      </c>
      <c r="O52" s="17"/>
      <c r="P52" s="39"/>
      <c r="Q52" s="29"/>
      <c r="R52" s="31"/>
      <c r="S52" s="46" t="s">
        <v>131</v>
      </c>
      <c r="T52" s="29"/>
      <c r="U52" s="45"/>
      <c r="V52" s="31"/>
      <c r="W52" s="29"/>
      <c r="X52" s="29" t="s">
        <v>127</v>
      </c>
      <c r="Y52" s="29"/>
      <c r="Z52" s="29"/>
      <c r="AA52" s="29"/>
      <c r="AB52" s="12"/>
      <c r="AC52" s="12"/>
      <c r="AD52" s="12"/>
      <c r="AE52" s="12"/>
      <c r="AF52" s="12"/>
      <c r="AG52" s="22"/>
      <c r="AH52" s="22"/>
      <c r="AI52" s="22"/>
      <c r="AJ52" s="22"/>
      <c r="AK52" s="22"/>
      <c r="AL52" s="22"/>
      <c r="AM52" s="22"/>
      <c r="AN52" s="22"/>
      <c r="AO52" s="22"/>
      <c r="AP52" s="22"/>
    </row>
    <row r="53" ht="15.75" customHeight="1">
      <c r="A53" s="35">
        <v>1.0186468E7</v>
      </c>
      <c r="B53" s="36"/>
      <c r="C53" s="11">
        <v>45332.125</v>
      </c>
      <c r="D53" s="29">
        <v>26.0</v>
      </c>
      <c r="E53" s="37">
        <v>33139.0</v>
      </c>
      <c r="F53" s="29" t="s">
        <v>31</v>
      </c>
      <c r="G53" s="29" t="s">
        <v>44</v>
      </c>
      <c r="H53" s="29" t="s">
        <v>45</v>
      </c>
      <c r="I53" s="29" t="s">
        <v>46</v>
      </c>
      <c r="J53" s="25" t="s">
        <v>35</v>
      </c>
      <c r="K53" s="39" t="s">
        <v>47</v>
      </c>
      <c r="L53" s="28" t="s">
        <v>52</v>
      </c>
      <c r="M53" s="39"/>
      <c r="N53" s="40">
        <v>2340.76</v>
      </c>
      <c r="O53" s="17"/>
      <c r="P53" s="39"/>
      <c r="Q53" s="29"/>
      <c r="R53" s="31"/>
      <c r="S53" s="46" t="s">
        <v>131</v>
      </c>
      <c r="T53" s="29"/>
      <c r="U53" s="45"/>
      <c r="V53" s="45"/>
      <c r="W53" s="29"/>
      <c r="X53" s="29"/>
      <c r="Y53" s="29"/>
      <c r="Z53" s="29"/>
      <c r="AA53" s="29"/>
      <c r="AB53" s="12"/>
      <c r="AC53" s="12"/>
      <c r="AD53" s="12"/>
      <c r="AE53" s="12"/>
      <c r="AF53" s="1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ht="15.75" customHeight="1">
      <c r="A54" s="35">
        <v>1.0187244E7</v>
      </c>
      <c r="B54" s="36"/>
      <c r="C54" s="11">
        <v>45331.833333333336</v>
      </c>
      <c r="D54" s="29">
        <v>26.0</v>
      </c>
      <c r="E54" s="37">
        <v>31625.0</v>
      </c>
      <c r="F54" s="29" t="s">
        <v>31</v>
      </c>
      <c r="G54" s="29" t="s">
        <v>74</v>
      </c>
      <c r="H54" s="29" t="s">
        <v>155</v>
      </c>
      <c r="I54" s="29" t="s">
        <v>156</v>
      </c>
      <c r="J54" s="25" t="s">
        <v>35</v>
      </c>
      <c r="K54" s="39" t="s">
        <v>157</v>
      </c>
      <c r="L54" s="28" t="s">
        <v>78</v>
      </c>
      <c r="M54" s="39" t="s">
        <v>150</v>
      </c>
      <c r="N54" s="40">
        <v>6808.0</v>
      </c>
      <c r="O54" s="17">
        <f t="shared" ref="O54:O59" si="4">IFERROR(P54/N54,0)</f>
        <v>0.8078730905</v>
      </c>
      <c r="P54" s="39">
        <v>5500.0</v>
      </c>
      <c r="Q54" s="29" t="s">
        <v>39</v>
      </c>
      <c r="R54" s="31">
        <v>1270148.0</v>
      </c>
      <c r="S54" s="41" t="s">
        <v>40</v>
      </c>
      <c r="T54" s="42">
        <v>4844941.0</v>
      </c>
      <c r="U54" s="45">
        <v>0.6527777777777778</v>
      </c>
      <c r="V54" s="45">
        <v>0.9444444444444444</v>
      </c>
      <c r="W54" s="29"/>
      <c r="X54" s="29" t="s">
        <v>158</v>
      </c>
      <c r="Y54" s="34">
        <v>45335.25</v>
      </c>
      <c r="Z54" s="34">
        <v>45336.708333333336</v>
      </c>
      <c r="AA54" s="29"/>
      <c r="AB54" s="12"/>
      <c r="AC54" s="12"/>
      <c r="AD54" s="12"/>
      <c r="AE54" s="12" t="s">
        <v>39</v>
      </c>
      <c r="AF54" s="12"/>
      <c r="AG54" s="22"/>
      <c r="AH54" s="22"/>
      <c r="AI54" s="22"/>
      <c r="AJ54" s="22"/>
      <c r="AK54" s="22"/>
      <c r="AL54" s="22"/>
      <c r="AM54" s="22"/>
      <c r="AN54" s="22"/>
      <c r="AO54" s="22"/>
      <c r="AP54" s="22"/>
    </row>
    <row r="55" ht="15.75" customHeight="1">
      <c r="A55" s="35">
        <v>1.0187246E7</v>
      </c>
      <c r="B55" s="36"/>
      <c r="C55" s="11">
        <v>45331.875</v>
      </c>
      <c r="D55" s="29">
        <v>26.0</v>
      </c>
      <c r="E55" s="37">
        <v>31625.0</v>
      </c>
      <c r="F55" s="29" t="s">
        <v>31</v>
      </c>
      <c r="G55" s="29" t="s">
        <v>74</v>
      </c>
      <c r="H55" s="29" t="s">
        <v>155</v>
      </c>
      <c r="I55" s="29" t="s">
        <v>156</v>
      </c>
      <c r="J55" s="25" t="s">
        <v>35</v>
      </c>
      <c r="K55" s="39" t="s">
        <v>157</v>
      </c>
      <c r="L55" s="28" t="s">
        <v>78</v>
      </c>
      <c r="M55" s="39" t="s">
        <v>159</v>
      </c>
      <c r="N55" s="40">
        <v>6808.0</v>
      </c>
      <c r="O55" s="17">
        <f t="shared" si="4"/>
        <v>0.8078730905</v>
      </c>
      <c r="P55" s="39">
        <v>5500.0</v>
      </c>
      <c r="Q55" s="29" t="s">
        <v>39</v>
      </c>
      <c r="R55" s="31">
        <v>1270300.0</v>
      </c>
      <c r="S55" s="41" t="s">
        <v>40</v>
      </c>
      <c r="T55" s="42">
        <v>4846249.0</v>
      </c>
      <c r="U55" s="45">
        <v>0.7770833333333333</v>
      </c>
      <c r="V55" s="45">
        <v>0.4305555555555556</v>
      </c>
      <c r="W55" s="29"/>
      <c r="X55" s="29" t="s">
        <v>158</v>
      </c>
      <c r="Y55" s="34">
        <v>45333.73472222222</v>
      </c>
      <c r="Z55" s="34">
        <v>45334.30763888889</v>
      </c>
      <c r="AA55" s="29"/>
      <c r="AB55" s="12"/>
      <c r="AC55" s="12"/>
      <c r="AD55" s="12"/>
      <c r="AE55" s="12" t="s">
        <v>39</v>
      </c>
      <c r="AF55" s="1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ht="15.75" customHeight="1">
      <c r="A56" s="9">
        <v>1.0187276E7</v>
      </c>
      <c r="B56" s="10"/>
      <c r="C56" s="11">
        <v>45335.833333333336</v>
      </c>
      <c r="D56" s="29">
        <v>26.0</v>
      </c>
      <c r="E56" s="37">
        <v>31462.0</v>
      </c>
      <c r="F56" s="38" t="s">
        <v>43</v>
      </c>
      <c r="G56" s="29" t="s">
        <v>44</v>
      </c>
      <c r="H56" s="29" t="s">
        <v>104</v>
      </c>
      <c r="I56" s="29" t="s">
        <v>105</v>
      </c>
      <c r="J56" s="25" t="s">
        <v>35</v>
      </c>
      <c r="K56" s="28" t="s">
        <v>106</v>
      </c>
      <c r="L56" s="28" t="s">
        <v>59</v>
      </c>
      <c r="M56" s="49" t="s">
        <v>115</v>
      </c>
      <c r="N56" s="40">
        <v>4324.0</v>
      </c>
      <c r="O56" s="17">
        <f t="shared" si="4"/>
        <v>0.6938020352</v>
      </c>
      <c r="P56" s="39">
        <v>3000.0</v>
      </c>
      <c r="Q56" s="29" t="s">
        <v>39</v>
      </c>
      <c r="R56" s="31">
        <v>1272207.0</v>
      </c>
      <c r="S56" s="41" t="s">
        <v>40</v>
      </c>
      <c r="T56" s="42">
        <v>4852792.0</v>
      </c>
      <c r="U56" s="45">
        <v>0.19236111111111112</v>
      </c>
      <c r="V56" s="45">
        <v>0.2916666666666667</v>
      </c>
      <c r="W56" s="29"/>
      <c r="X56" s="29" t="s">
        <v>127</v>
      </c>
      <c r="Y56" s="34">
        <v>45335.69861111111</v>
      </c>
      <c r="Z56" s="34">
        <v>45336.37430555555</v>
      </c>
      <c r="AA56" s="29"/>
      <c r="AB56" s="12"/>
      <c r="AC56" s="12"/>
      <c r="AD56" s="12"/>
      <c r="AE56" s="12" t="s">
        <v>39</v>
      </c>
      <c r="AF56" s="1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ht="15.75" customHeight="1">
      <c r="A57" s="35">
        <v>1.0187277E7</v>
      </c>
      <c r="B57" s="43"/>
      <c r="C57" s="11">
        <v>45341.625</v>
      </c>
      <c r="D57" s="29" t="s">
        <v>52</v>
      </c>
      <c r="E57" s="37" t="s">
        <v>52</v>
      </c>
      <c r="F57" s="38" t="s">
        <v>43</v>
      </c>
      <c r="G57" s="29" t="s">
        <v>44</v>
      </c>
      <c r="H57" s="29" t="s">
        <v>160</v>
      </c>
      <c r="I57" s="29" t="s">
        <v>105</v>
      </c>
      <c r="J57" s="25" t="s">
        <v>106</v>
      </c>
      <c r="K57" s="28" t="s">
        <v>35</v>
      </c>
      <c r="L57" s="28" t="s">
        <v>121</v>
      </c>
      <c r="M57" s="49" t="s">
        <v>115</v>
      </c>
      <c r="N57" s="40">
        <v>2883.2</v>
      </c>
      <c r="O57" s="17">
        <f t="shared" si="4"/>
        <v>0.6243063263</v>
      </c>
      <c r="P57" s="39">
        <v>1800.0</v>
      </c>
      <c r="Q57" s="29"/>
      <c r="R57" s="31">
        <v>1272862.0</v>
      </c>
      <c r="S57" s="41" t="s">
        <v>40</v>
      </c>
      <c r="T57" s="42">
        <v>4855100.0</v>
      </c>
      <c r="U57" s="45"/>
      <c r="V57" s="31"/>
      <c r="W57" s="29"/>
      <c r="X57" s="29" t="s">
        <v>127</v>
      </c>
      <c r="Y57" s="34">
        <v>45341.322222222225</v>
      </c>
      <c r="Z57" s="34">
        <v>45341.43680555555</v>
      </c>
      <c r="AA57" s="29"/>
      <c r="AB57" s="12"/>
      <c r="AC57" s="12"/>
      <c r="AD57" s="12"/>
      <c r="AE57" s="12" t="s">
        <v>39</v>
      </c>
      <c r="AF57" s="12"/>
      <c r="AG57" s="22"/>
      <c r="AH57" s="22"/>
      <c r="AI57" s="22"/>
      <c r="AJ57" s="22"/>
      <c r="AK57" s="22"/>
      <c r="AL57" s="22"/>
      <c r="AM57" s="22"/>
      <c r="AN57" s="22"/>
      <c r="AO57" s="22"/>
      <c r="AP57" s="22"/>
    </row>
    <row r="58" ht="15.75" customHeight="1">
      <c r="A58" s="9">
        <v>1.0187504E7</v>
      </c>
      <c r="B58" s="51"/>
      <c r="C58" s="11">
        <v>45329.625</v>
      </c>
      <c r="D58" s="29" t="s">
        <v>52</v>
      </c>
      <c r="E58" s="37" t="s">
        <v>52</v>
      </c>
      <c r="F58" s="9" t="s">
        <v>43</v>
      </c>
      <c r="G58" s="12" t="s">
        <v>44</v>
      </c>
      <c r="H58" s="12" t="s">
        <v>161</v>
      </c>
      <c r="I58" s="12" t="s">
        <v>117</v>
      </c>
      <c r="J58" s="12" t="s">
        <v>106</v>
      </c>
      <c r="K58" s="15" t="s">
        <v>35</v>
      </c>
      <c r="L58" s="28" t="s">
        <v>121</v>
      </c>
      <c r="M58" s="12" t="s">
        <v>145</v>
      </c>
      <c r="N58" s="24">
        <v>3031.8</v>
      </c>
      <c r="O58" s="17">
        <f t="shared" si="4"/>
        <v>0.5937067089</v>
      </c>
      <c r="P58" s="15">
        <v>1800.0</v>
      </c>
      <c r="Q58" s="29"/>
      <c r="R58" s="31">
        <v>1269436.0</v>
      </c>
      <c r="S58" s="41" t="s">
        <v>40</v>
      </c>
      <c r="T58" s="42">
        <v>4840214.0</v>
      </c>
      <c r="U58" s="45"/>
      <c r="V58" s="45"/>
      <c r="W58" s="44"/>
      <c r="X58" s="29"/>
      <c r="Y58" s="34">
        <v>45336.75069444445</v>
      </c>
      <c r="Z58" s="34">
        <v>45337.416666666664</v>
      </c>
      <c r="AA58" s="29"/>
      <c r="AB58" s="12"/>
      <c r="AC58" s="12"/>
      <c r="AD58" s="12"/>
      <c r="AE58" s="12" t="s">
        <v>39</v>
      </c>
      <c r="AF58" s="12"/>
      <c r="AG58" s="22"/>
      <c r="AH58" s="22"/>
      <c r="AI58" s="22"/>
      <c r="AJ58" s="22"/>
      <c r="AK58" s="22"/>
      <c r="AL58" s="22"/>
      <c r="AM58" s="22"/>
      <c r="AN58" s="22"/>
      <c r="AO58" s="22"/>
      <c r="AP58" s="22"/>
    </row>
    <row r="59" ht="15.75" customHeight="1">
      <c r="A59" s="9">
        <v>1.0190402E7</v>
      </c>
      <c r="B59" s="10"/>
      <c r="C59" s="11">
        <v>45336.416666666664</v>
      </c>
      <c r="D59" s="29">
        <v>26.0</v>
      </c>
      <c r="E59" s="37">
        <v>32647.0</v>
      </c>
      <c r="F59" s="12" t="s">
        <v>31</v>
      </c>
      <c r="G59" s="12" t="s">
        <v>32</v>
      </c>
      <c r="H59" s="12" t="s">
        <v>86</v>
      </c>
      <c r="I59" s="15" t="s">
        <v>67</v>
      </c>
      <c r="J59" s="14" t="s">
        <v>35</v>
      </c>
      <c r="K59" s="14" t="s">
        <v>68</v>
      </c>
      <c r="L59" s="28" t="s">
        <v>59</v>
      </c>
      <c r="M59" s="14" t="s">
        <v>162</v>
      </c>
      <c r="N59" s="52">
        <v>4445.42</v>
      </c>
      <c r="O59" s="17">
        <f t="shared" si="4"/>
        <v>0.67485187</v>
      </c>
      <c r="P59" s="53">
        <v>3000.0</v>
      </c>
      <c r="Q59" s="29" t="s">
        <v>39</v>
      </c>
      <c r="R59" s="31">
        <v>1272834.0</v>
      </c>
      <c r="S59" s="41" t="s">
        <v>40</v>
      </c>
      <c r="T59" s="42">
        <v>4854830.0</v>
      </c>
      <c r="U59" s="45">
        <v>0.004861111111111111</v>
      </c>
      <c r="V59" s="45">
        <v>0.1375</v>
      </c>
      <c r="W59" s="29"/>
      <c r="X59" s="29" t="s">
        <v>163</v>
      </c>
      <c r="Y59" s="34">
        <v>45336.72222222222</v>
      </c>
      <c r="Z59" s="34">
        <v>45338.44652777778</v>
      </c>
      <c r="AA59" s="29"/>
      <c r="AB59" s="12"/>
      <c r="AC59" s="12"/>
      <c r="AD59" s="12"/>
      <c r="AE59" s="12" t="s">
        <v>39</v>
      </c>
      <c r="AF59" s="12"/>
      <c r="AG59" s="22"/>
      <c r="AH59" s="22"/>
      <c r="AI59" s="22"/>
      <c r="AJ59" s="22"/>
      <c r="AK59" s="22"/>
      <c r="AL59" s="22"/>
      <c r="AM59" s="22"/>
      <c r="AN59" s="22"/>
      <c r="AO59" s="22"/>
      <c r="AP59" s="22"/>
    </row>
    <row r="60" ht="15.75" customHeight="1">
      <c r="A60" s="9">
        <v>1.0190406E7</v>
      </c>
      <c r="B60" s="10"/>
      <c r="C60" s="11">
        <v>45336.833333333336</v>
      </c>
      <c r="D60" s="29">
        <v>28.0</v>
      </c>
      <c r="E60" s="37">
        <v>34058.0</v>
      </c>
      <c r="F60" s="29" t="s">
        <v>31</v>
      </c>
      <c r="G60" s="29" t="s">
        <v>32</v>
      </c>
      <c r="H60" s="29" t="s">
        <v>164</v>
      </c>
      <c r="I60" s="29" t="s">
        <v>112</v>
      </c>
      <c r="J60" s="25" t="s">
        <v>35</v>
      </c>
      <c r="K60" s="29" t="s">
        <v>113</v>
      </c>
      <c r="L60" s="28" t="s">
        <v>52</v>
      </c>
      <c r="M60" s="14"/>
      <c r="N60" s="40">
        <v>4900.0</v>
      </c>
      <c r="O60" s="17"/>
      <c r="P60" s="39"/>
      <c r="Q60" s="29"/>
      <c r="R60" s="31"/>
      <c r="S60" s="46" t="s">
        <v>165</v>
      </c>
      <c r="T60" s="29"/>
      <c r="U60" s="45"/>
      <c r="V60" s="31"/>
      <c r="W60" s="29"/>
      <c r="X60" s="29" t="s">
        <v>127</v>
      </c>
      <c r="Y60" s="29"/>
      <c r="Z60" s="29"/>
      <c r="AA60" s="29"/>
      <c r="AB60" s="12"/>
      <c r="AC60" s="12"/>
      <c r="AD60" s="12"/>
      <c r="AE60" s="12"/>
      <c r="AF60" s="12"/>
      <c r="AG60" s="22"/>
      <c r="AH60" s="22"/>
      <c r="AI60" s="22"/>
      <c r="AJ60" s="22"/>
      <c r="AK60" s="22"/>
      <c r="AL60" s="22"/>
      <c r="AM60" s="22"/>
      <c r="AN60" s="22"/>
      <c r="AO60" s="22"/>
      <c r="AP60" s="22"/>
    </row>
    <row r="61" ht="15.75" customHeight="1">
      <c r="A61" s="9">
        <v>1.0190534E7</v>
      </c>
      <c r="B61" s="10"/>
      <c r="C61" s="11">
        <v>45336.75</v>
      </c>
      <c r="D61" s="29">
        <v>26.0</v>
      </c>
      <c r="E61" s="37">
        <v>31625.0</v>
      </c>
      <c r="F61" s="29" t="s">
        <v>31</v>
      </c>
      <c r="G61" s="29" t="s">
        <v>44</v>
      </c>
      <c r="H61" s="29" t="s">
        <v>136</v>
      </c>
      <c r="I61" s="39" t="s">
        <v>137</v>
      </c>
      <c r="J61" s="25" t="s">
        <v>35</v>
      </c>
      <c r="K61" s="39" t="s">
        <v>138</v>
      </c>
      <c r="L61" s="28" t="s">
        <v>94</v>
      </c>
      <c r="M61" s="14" t="s">
        <v>128</v>
      </c>
      <c r="N61" s="52">
        <v>5174.0</v>
      </c>
      <c r="O61" s="17">
        <f t="shared" ref="O61:O64" si="5">IFERROR(P61/N61,0)</f>
        <v>0.7730962505</v>
      </c>
      <c r="P61" s="39">
        <v>4000.0</v>
      </c>
      <c r="Q61" s="29" t="s">
        <v>39</v>
      </c>
      <c r="R61" s="31">
        <v>1272898.0</v>
      </c>
      <c r="S61" s="54" t="s">
        <v>40</v>
      </c>
      <c r="T61" s="42">
        <v>4855408.0</v>
      </c>
      <c r="U61" s="45">
        <v>0.7604166666666666</v>
      </c>
      <c r="V61" s="45">
        <v>0.8819444444444444</v>
      </c>
      <c r="W61" s="29"/>
      <c r="X61" s="29" t="s">
        <v>127</v>
      </c>
      <c r="Y61" s="34">
        <v>45337.59375</v>
      </c>
      <c r="Z61" s="34">
        <v>45338.21041666667</v>
      </c>
      <c r="AA61" s="29"/>
      <c r="AB61" s="12"/>
      <c r="AC61" s="12"/>
      <c r="AD61" s="12"/>
      <c r="AE61" s="12" t="s">
        <v>39</v>
      </c>
      <c r="AF61" s="1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ht="15.75" customHeight="1">
      <c r="A62" s="35">
        <v>1.0190535E7</v>
      </c>
      <c r="B62" s="36"/>
      <c r="C62" s="11">
        <v>45336.75</v>
      </c>
      <c r="D62" s="29">
        <v>26.0</v>
      </c>
      <c r="E62" s="37">
        <v>31625.0</v>
      </c>
      <c r="F62" s="29" t="s">
        <v>31</v>
      </c>
      <c r="G62" s="25" t="s">
        <v>44</v>
      </c>
      <c r="H62" s="29" t="s">
        <v>136</v>
      </c>
      <c r="I62" s="39" t="s">
        <v>137</v>
      </c>
      <c r="J62" s="25" t="s">
        <v>35</v>
      </c>
      <c r="K62" s="39" t="s">
        <v>138</v>
      </c>
      <c r="L62" s="28" t="s">
        <v>94</v>
      </c>
      <c r="M62" s="14" t="s">
        <v>69</v>
      </c>
      <c r="N62" s="40">
        <v>5174.0</v>
      </c>
      <c r="O62" s="17">
        <f t="shared" si="5"/>
        <v>0.7730962505</v>
      </c>
      <c r="P62" s="39">
        <v>4000.0</v>
      </c>
      <c r="Q62" s="29" t="s">
        <v>39</v>
      </c>
      <c r="R62" s="31">
        <v>1272851.0</v>
      </c>
      <c r="S62" s="41" t="s">
        <v>40</v>
      </c>
      <c r="T62" s="42">
        <v>4855009.0</v>
      </c>
      <c r="U62" s="45">
        <v>0.5208333333333334</v>
      </c>
      <c r="V62" s="45">
        <v>0.6944444444444444</v>
      </c>
      <c r="W62" s="29"/>
      <c r="X62" s="29" t="s">
        <v>127</v>
      </c>
      <c r="Y62" s="34">
        <v>45337.59305555555</v>
      </c>
      <c r="Z62" s="34">
        <v>45337.75</v>
      </c>
      <c r="AA62" s="29"/>
      <c r="AB62" s="12"/>
      <c r="AC62" s="12"/>
      <c r="AD62" s="12"/>
      <c r="AE62" s="12" t="s">
        <v>39</v>
      </c>
      <c r="AF62" s="1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ht="15.75" customHeight="1">
      <c r="A63" s="35">
        <v>1.0190536E7</v>
      </c>
      <c r="B63" s="36"/>
      <c r="C63" s="11">
        <v>45336.75</v>
      </c>
      <c r="D63" s="29">
        <v>26.0</v>
      </c>
      <c r="E63" s="37">
        <v>32647.0</v>
      </c>
      <c r="F63" s="29" t="s">
        <v>31</v>
      </c>
      <c r="G63" s="29" t="s">
        <v>32</v>
      </c>
      <c r="H63" s="29" t="s">
        <v>133</v>
      </c>
      <c r="I63" s="29" t="s">
        <v>134</v>
      </c>
      <c r="J63" s="25" t="s">
        <v>35</v>
      </c>
      <c r="K63" s="29" t="s">
        <v>93</v>
      </c>
      <c r="L63" s="28" t="s">
        <v>114</v>
      </c>
      <c r="M63" s="14" t="s">
        <v>166</v>
      </c>
      <c r="N63" s="40">
        <v>5991.0</v>
      </c>
      <c r="O63" s="17">
        <f t="shared" si="5"/>
        <v>0.75112669</v>
      </c>
      <c r="P63" s="39">
        <v>4500.0</v>
      </c>
      <c r="Q63" s="29" t="s">
        <v>39</v>
      </c>
      <c r="R63" s="31">
        <v>1273043.0</v>
      </c>
      <c r="S63" s="41" t="s">
        <v>40</v>
      </c>
      <c r="T63" s="42">
        <v>4856400.0</v>
      </c>
      <c r="U63" s="45">
        <v>0.7770833333333333</v>
      </c>
      <c r="V63" s="45">
        <v>0.9263888888888889</v>
      </c>
      <c r="W63" s="29"/>
      <c r="X63" s="29" t="s">
        <v>167</v>
      </c>
      <c r="Y63" s="34">
        <v>45338.40694444445</v>
      </c>
      <c r="Z63" s="34">
        <v>45338.61041666667</v>
      </c>
      <c r="AA63" s="29"/>
      <c r="AB63" s="12"/>
      <c r="AC63" s="12"/>
      <c r="AD63" s="12"/>
      <c r="AE63" s="12" t="s">
        <v>39</v>
      </c>
      <c r="AF63" s="1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ht="15.75" customHeight="1">
      <c r="A64" s="35">
        <v>1.0190538E7</v>
      </c>
      <c r="B64" s="43"/>
      <c r="C64" s="11">
        <v>45329.625</v>
      </c>
      <c r="D64" s="29" t="s">
        <v>52</v>
      </c>
      <c r="E64" s="37" t="s">
        <v>52</v>
      </c>
      <c r="F64" s="38" t="s">
        <v>43</v>
      </c>
      <c r="G64" s="29" t="s">
        <v>44</v>
      </c>
      <c r="H64" s="29" t="s">
        <v>168</v>
      </c>
      <c r="I64" s="29" t="s">
        <v>117</v>
      </c>
      <c r="J64" s="25" t="s">
        <v>106</v>
      </c>
      <c r="K64" s="28" t="s">
        <v>35</v>
      </c>
      <c r="L64" s="28" t="s">
        <v>121</v>
      </c>
      <c r="M64" s="12" t="s">
        <v>146</v>
      </c>
      <c r="N64" s="40">
        <v>3031.8</v>
      </c>
      <c r="O64" s="17">
        <f t="shared" si="5"/>
        <v>0.5937067089</v>
      </c>
      <c r="P64" s="39">
        <v>1800.0</v>
      </c>
      <c r="Q64" s="29"/>
      <c r="R64" s="31">
        <v>1269582.0</v>
      </c>
      <c r="S64" s="41" t="s">
        <v>40</v>
      </c>
      <c r="T64" s="42">
        <v>4841207.0</v>
      </c>
      <c r="U64" s="45"/>
      <c r="V64" s="45"/>
      <c r="W64" s="44"/>
      <c r="X64" s="29"/>
      <c r="Y64" s="29"/>
      <c r="Z64" s="29"/>
      <c r="AA64" s="29"/>
      <c r="AB64" s="12"/>
      <c r="AC64" s="12"/>
      <c r="AD64" s="12"/>
      <c r="AE64" s="12"/>
      <c r="AF64" s="12"/>
      <c r="AG64" s="22"/>
      <c r="AH64" s="22"/>
      <c r="AI64" s="22"/>
      <c r="AJ64" s="22"/>
      <c r="AK64" s="22"/>
      <c r="AL64" s="22"/>
      <c r="AM64" s="22"/>
      <c r="AN64" s="22"/>
      <c r="AO64" s="22"/>
      <c r="AP64" s="22"/>
    </row>
    <row r="65" ht="15.75" customHeight="1">
      <c r="A65" s="35">
        <v>1.0190751E7</v>
      </c>
      <c r="B65" s="36"/>
      <c r="C65" s="11">
        <v>45336.833333333336</v>
      </c>
      <c r="D65" s="29">
        <v>26.0</v>
      </c>
      <c r="E65" s="37">
        <v>31865.0</v>
      </c>
      <c r="F65" s="12" t="s">
        <v>31</v>
      </c>
      <c r="G65" s="12" t="s">
        <v>44</v>
      </c>
      <c r="H65" s="12" t="s">
        <v>139</v>
      </c>
      <c r="I65" s="12" t="s">
        <v>140</v>
      </c>
      <c r="J65" s="12" t="s">
        <v>35</v>
      </c>
      <c r="K65" s="12" t="s">
        <v>141</v>
      </c>
      <c r="L65" s="28" t="s">
        <v>94</v>
      </c>
      <c r="M65" s="14" t="s">
        <v>119</v>
      </c>
      <c r="N65" s="24">
        <v>7880.37</v>
      </c>
      <c r="O65" s="17">
        <f>IFERROR($P$77/N65,0)</f>
        <v>0.5710391771</v>
      </c>
      <c r="P65" s="15">
        <v>5500.0</v>
      </c>
      <c r="Q65" s="29" t="s">
        <v>39</v>
      </c>
      <c r="R65" s="31">
        <v>1273331.0</v>
      </c>
      <c r="S65" s="41" t="s">
        <v>40</v>
      </c>
      <c r="T65" s="42">
        <v>4857955.0</v>
      </c>
      <c r="U65" s="45">
        <v>0.875</v>
      </c>
      <c r="V65" s="45">
        <v>0.125</v>
      </c>
      <c r="W65" s="29"/>
      <c r="X65" s="29" t="s">
        <v>127</v>
      </c>
      <c r="Y65" s="34">
        <v>45338.645833333336</v>
      </c>
      <c r="Z65" s="34">
        <v>45338.705555555556</v>
      </c>
      <c r="AA65" s="29"/>
      <c r="AB65" s="12"/>
      <c r="AC65" s="12"/>
      <c r="AD65" s="12"/>
      <c r="AE65" s="12" t="s">
        <v>39</v>
      </c>
      <c r="AF65" s="12"/>
      <c r="AG65" s="22"/>
      <c r="AH65" s="22"/>
      <c r="AI65" s="22"/>
      <c r="AJ65" s="22"/>
      <c r="AK65" s="22"/>
      <c r="AL65" s="22"/>
      <c r="AM65" s="22"/>
      <c r="AN65" s="22"/>
      <c r="AO65" s="22"/>
      <c r="AP65" s="22"/>
    </row>
    <row r="66" ht="15.75" customHeight="1">
      <c r="A66" s="35">
        <v>1.0191284E7</v>
      </c>
      <c r="B66" s="36"/>
      <c r="C66" s="11">
        <v>45334.75</v>
      </c>
      <c r="D66" s="29">
        <v>26.0</v>
      </c>
      <c r="E66" s="37">
        <v>32553.0</v>
      </c>
      <c r="F66" s="9" t="s">
        <v>43</v>
      </c>
      <c r="G66" s="12" t="s">
        <v>32</v>
      </c>
      <c r="H66" s="12" t="s">
        <v>91</v>
      </c>
      <c r="I66" s="12" t="s">
        <v>92</v>
      </c>
      <c r="J66" s="14" t="s">
        <v>35</v>
      </c>
      <c r="K66" s="14" t="s">
        <v>93</v>
      </c>
      <c r="L66" s="28" t="s">
        <v>114</v>
      </c>
      <c r="M66" s="14" t="s">
        <v>169</v>
      </c>
      <c r="N66" s="52">
        <v>6085.8</v>
      </c>
      <c r="O66" s="17">
        <f t="shared" ref="O66:O72" si="6">IFERROR(P66/N66,0)</f>
        <v>0.7394262053</v>
      </c>
      <c r="P66" s="53">
        <v>4500.0</v>
      </c>
      <c r="Q66" s="29" t="s">
        <v>39</v>
      </c>
      <c r="R66" s="31">
        <v>1271896.0</v>
      </c>
      <c r="S66" s="41" t="s">
        <v>40</v>
      </c>
      <c r="T66" s="42">
        <v>4851968.0</v>
      </c>
      <c r="U66" s="45">
        <v>0.6597222222222222</v>
      </c>
      <c r="V66" s="45">
        <v>0.0</v>
      </c>
      <c r="W66" s="29"/>
      <c r="X66" s="29" t="s">
        <v>127</v>
      </c>
      <c r="Y66" s="34">
        <v>45336.67638888889</v>
      </c>
      <c r="Z66" s="34">
        <v>45337.347916666666</v>
      </c>
      <c r="AA66" s="29"/>
      <c r="AB66" s="12"/>
      <c r="AC66" s="12"/>
      <c r="AD66" s="12"/>
      <c r="AE66" s="12" t="s">
        <v>39</v>
      </c>
      <c r="AF66" s="12"/>
      <c r="AG66" s="22"/>
      <c r="AH66" s="22"/>
      <c r="AI66" s="22"/>
      <c r="AJ66" s="22"/>
      <c r="AK66" s="22"/>
      <c r="AL66" s="22"/>
      <c r="AM66" s="22"/>
      <c r="AN66" s="22"/>
      <c r="AO66" s="22"/>
      <c r="AP66" s="22"/>
    </row>
    <row r="67" ht="15.75" customHeight="1">
      <c r="A67" s="35">
        <v>1.0191285E7</v>
      </c>
      <c r="B67" s="43"/>
      <c r="C67" s="11">
        <v>45339.625</v>
      </c>
      <c r="D67" s="29" t="s">
        <v>52</v>
      </c>
      <c r="E67" s="37" t="s">
        <v>52</v>
      </c>
      <c r="F67" s="38" t="s">
        <v>43</v>
      </c>
      <c r="G67" s="29" t="s">
        <v>32</v>
      </c>
      <c r="H67" s="29" t="s">
        <v>170</v>
      </c>
      <c r="I67" s="29" t="s">
        <v>92</v>
      </c>
      <c r="J67" s="55" t="s">
        <v>93</v>
      </c>
      <c r="K67" s="49" t="s">
        <v>35</v>
      </c>
      <c r="L67" s="28" t="s">
        <v>43</v>
      </c>
      <c r="M67" s="14" t="s">
        <v>169</v>
      </c>
      <c r="N67" s="40">
        <v>4057.2</v>
      </c>
      <c r="O67" s="17">
        <f t="shared" si="6"/>
        <v>0.7394262053</v>
      </c>
      <c r="P67" s="39">
        <v>3000.0</v>
      </c>
      <c r="Q67" s="29"/>
      <c r="R67" s="31">
        <v>1273801.0</v>
      </c>
      <c r="S67" s="41" t="s">
        <v>40</v>
      </c>
      <c r="T67" s="42">
        <v>4860643.0</v>
      </c>
      <c r="U67" s="45"/>
      <c r="V67" s="45"/>
      <c r="W67" s="29"/>
      <c r="X67" s="29" t="s">
        <v>127</v>
      </c>
      <c r="Y67" s="34">
        <v>45338.60486111111</v>
      </c>
      <c r="Z67" s="34">
        <v>45339.069444444445</v>
      </c>
      <c r="AA67" s="29"/>
      <c r="AB67" s="12"/>
      <c r="AC67" s="12"/>
      <c r="AD67" s="12"/>
      <c r="AE67" s="12" t="s">
        <v>39</v>
      </c>
      <c r="AF67" s="1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ht="15.75" customHeight="1">
      <c r="A68" s="35">
        <v>1.0191747E7</v>
      </c>
      <c r="B68" s="36"/>
      <c r="C68" s="11">
        <v>45335.75</v>
      </c>
      <c r="D68" s="29">
        <v>26.0</v>
      </c>
      <c r="E68" s="37">
        <v>32553.0</v>
      </c>
      <c r="F68" s="38" t="s">
        <v>43</v>
      </c>
      <c r="G68" s="29" t="s">
        <v>32</v>
      </c>
      <c r="H68" s="29" t="s">
        <v>171</v>
      </c>
      <c r="I68" s="29" t="s">
        <v>92</v>
      </c>
      <c r="J68" s="55" t="s">
        <v>35</v>
      </c>
      <c r="K68" s="49" t="s">
        <v>93</v>
      </c>
      <c r="L68" s="28" t="s">
        <v>114</v>
      </c>
      <c r="M68" s="14" t="s">
        <v>83</v>
      </c>
      <c r="N68" s="40">
        <v>6085.8</v>
      </c>
      <c r="O68" s="17">
        <f t="shared" si="6"/>
        <v>0.7394262053</v>
      </c>
      <c r="P68" s="39">
        <v>4500.0</v>
      </c>
      <c r="Q68" s="29" t="s">
        <v>39</v>
      </c>
      <c r="R68" s="31">
        <v>1272216.0</v>
      </c>
      <c r="S68" s="41" t="s">
        <v>40</v>
      </c>
      <c r="T68" s="42">
        <v>4852815.0</v>
      </c>
      <c r="U68" s="45">
        <v>0.5201388888888889</v>
      </c>
      <c r="V68" s="44">
        <v>0.6868055555555556</v>
      </c>
      <c r="W68" s="29"/>
      <c r="X68" s="29" t="s">
        <v>127</v>
      </c>
      <c r="Y68" s="34">
        <v>45337.450694444444</v>
      </c>
      <c r="Z68" s="34">
        <v>45337.72986111111</v>
      </c>
      <c r="AA68" s="29"/>
      <c r="AB68" s="12"/>
      <c r="AC68" s="12"/>
      <c r="AD68" s="12"/>
      <c r="AE68" s="12" t="s">
        <v>39</v>
      </c>
      <c r="AF68" s="12"/>
      <c r="AG68" s="22"/>
      <c r="AH68" s="22"/>
      <c r="AI68" s="22"/>
      <c r="AJ68" s="22"/>
      <c r="AK68" s="22"/>
      <c r="AL68" s="22"/>
      <c r="AM68" s="22"/>
      <c r="AN68" s="22"/>
      <c r="AO68" s="22"/>
      <c r="AP68" s="22"/>
    </row>
    <row r="69" ht="15.75" customHeight="1">
      <c r="A69" s="35">
        <v>1.0191758E7</v>
      </c>
      <c r="B69" s="43"/>
      <c r="C69" s="11">
        <v>45339.625</v>
      </c>
      <c r="D69" s="29" t="s">
        <v>52</v>
      </c>
      <c r="E69" s="37" t="s">
        <v>52</v>
      </c>
      <c r="F69" s="38" t="s">
        <v>43</v>
      </c>
      <c r="G69" s="29" t="s">
        <v>32</v>
      </c>
      <c r="H69" s="29" t="s">
        <v>172</v>
      </c>
      <c r="I69" s="29" t="s">
        <v>92</v>
      </c>
      <c r="J69" s="55" t="s">
        <v>93</v>
      </c>
      <c r="K69" s="49" t="s">
        <v>35</v>
      </c>
      <c r="L69" s="28" t="s">
        <v>43</v>
      </c>
      <c r="M69" s="14" t="s">
        <v>83</v>
      </c>
      <c r="N69" s="40">
        <v>4057.2</v>
      </c>
      <c r="O69" s="17">
        <f t="shared" si="6"/>
        <v>0.7394262053</v>
      </c>
      <c r="P69" s="39">
        <v>3000.0</v>
      </c>
      <c r="Q69" s="29"/>
      <c r="R69" s="31">
        <v>1273799.0</v>
      </c>
      <c r="S69" s="41" t="s">
        <v>40</v>
      </c>
      <c r="T69" s="42">
        <v>4860638.0</v>
      </c>
      <c r="U69" s="45"/>
      <c r="V69" s="45"/>
      <c r="W69" s="29"/>
      <c r="X69" s="29" t="s">
        <v>127</v>
      </c>
      <c r="Y69" s="34">
        <v>45339.43541666667</v>
      </c>
      <c r="Z69" s="34">
        <v>45339.80972222222</v>
      </c>
      <c r="AA69" s="29"/>
      <c r="AB69" s="12"/>
      <c r="AC69" s="12"/>
      <c r="AD69" s="12"/>
      <c r="AE69" s="12" t="s">
        <v>39</v>
      </c>
      <c r="AF69" s="12"/>
      <c r="AG69" s="22"/>
      <c r="AH69" s="22"/>
      <c r="AI69" s="22"/>
      <c r="AJ69" s="22"/>
      <c r="AK69" s="22"/>
      <c r="AL69" s="22"/>
      <c r="AM69" s="22"/>
      <c r="AN69" s="22"/>
      <c r="AO69" s="22"/>
      <c r="AP69" s="22"/>
    </row>
    <row r="70" ht="15.75" customHeight="1">
      <c r="A70" s="35">
        <v>1.0191772E7</v>
      </c>
      <c r="B70" s="36"/>
      <c r="C70" s="11">
        <v>45334.666666666664</v>
      </c>
      <c r="D70" s="29">
        <v>26.0</v>
      </c>
      <c r="E70" s="37">
        <v>31625.0</v>
      </c>
      <c r="F70" s="29" t="s">
        <v>31</v>
      </c>
      <c r="G70" s="29" t="s">
        <v>44</v>
      </c>
      <c r="H70" s="29" t="s">
        <v>45</v>
      </c>
      <c r="I70" s="29" t="s">
        <v>46</v>
      </c>
      <c r="J70" s="25" t="s">
        <v>35</v>
      </c>
      <c r="K70" s="39" t="s">
        <v>47</v>
      </c>
      <c r="L70" s="28" t="s">
        <v>108</v>
      </c>
      <c r="M70" s="14" t="s">
        <v>173</v>
      </c>
      <c r="N70" s="40">
        <v>2340.76</v>
      </c>
      <c r="O70" s="17">
        <f t="shared" si="6"/>
        <v>0.6408175123</v>
      </c>
      <c r="P70" s="39">
        <v>1500.0</v>
      </c>
      <c r="Q70" s="29" t="s">
        <v>39</v>
      </c>
      <c r="R70" s="31">
        <v>1271781.0</v>
      </c>
      <c r="S70" s="41" t="s">
        <v>40</v>
      </c>
      <c r="T70" s="42">
        <v>4851462.0</v>
      </c>
      <c r="U70" s="45">
        <v>0.7395833333333334</v>
      </c>
      <c r="V70" s="45">
        <v>0.3458333333333333</v>
      </c>
      <c r="W70" s="29"/>
      <c r="X70" s="29" t="s">
        <v>127</v>
      </c>
      <c r="Y70" s="34">
        <v>45336.43194444444</v>
      </c>
      <c r="Z70" s="34">
        <v>45336.79583333333</v>
      </c>
      <c r="AA70" s="29"/>
      <c r="AB70" s="12"/>
      <c r="AC70" s="12"/>
      <c r="AD70" s="12"/>
      <c r="AE70" s="12" t="s">
        <v>39</v>
      </c>
      <c r="AF70" s="12"/>
      <c r="AG70" s="22"/>
      <c r="AH70" s="22"/>
      <c r="AI70" s="22"/>
      <c r="AJ70" s="22"/>
      <c r="AK70" s="22"/>
      <c r="AL70" s="22"/>
      <c r="AM70" s="22"/>
      <c r="AN70" s="22"/>
      <c r="AO70" s="22"/>
      <c r="AP70" s="22"/>
    </row>
    <row r="71" ht="15.75" customHeight="1">
      <c r="A71" s="35">
        <v>1.019179E7</v>
      </c>
      <c r="B71" s="36"/>
      <c r="C71" s="11">
        <v>45334.375</v>
      </c>
      <c r="D71" s="29">
        <v>26.0</v>
      </c>
      <c r="E71" s="37">
        <v>31625.0</v>
      </c>
      <c r="F71" s="29" t="s">
        <v>31</v>
      </c>
      <c r="G71" s="29" t="s">
        <v>44</v>
      </c>
      <c r="H71" s="29" t="s">
        <v>45</v>
      </c>
      <c r="I71" s="12" t="s">
        <v>46</v>
      </c>
      <c r="J71" s="12" t="s">
        <v>35</v>
      </c>
      <c r="K71" s="15" t="s">
        <v>47</v>
      </c>
      <c r="L71" s="28" t="s">
        <v>108</v>
      </c>
      <c r="M71" s="12" t="s">
        <v>128</v>
      </c>
      <c r="N71" s="40">
        <v>2173.57</v>
      </c>
      <c r="O71" s="17">
        <f t="shared" si="6"/>
        <v>0.6901088992</v>
      </c>
      <c r="P71" s="39">
        <v>1500.0</v>
      </c>
      <c r="Q71" s="29" t="s">
        <v>39</v>
      </c>
      <c r="R71" s="31">
        <v>1271554.0</v>
      </c>
      <c r="S71" s="41" t="s">
        <v>40</v>
      </c>
      <c r="T71" s="42">
        <v>4850428.0</v>
      </c>
      <c r="U71" s="45">
        <v>0.4013888888888889</v>
      </c>
      <c r="V71" s="45">
        <v>0.7736111111111111</v>
      </c>
      <c r="W71" s="29"/>
      <c r="X71" s="29" t="s">
        <v>127</v>
      </c>
      <c r="Y71" s="34">
        <v>45336.37152777778</v>
      </c>
      <c r="Z71" s="34">
        <v>45336.59722222222</v>
      </c>
      <c r="AA71" s="29"/>
      <c r="AB71" s="12"/>
      <c r="AC71" s="12"/>
      <c r="AD71" s="12"/>
      <c r="AE71" s="12" t="s">
        <v>39</v>
      </c>
      <c r="AF71" s="12"/>
      <c r="AG71" s="22"/>
      <c r="AH71" s="22"/>
      <c r="AI71" s="22"/>
      <c r="AJ71" s="22"/>
      <c r="AK71" s="22"/>
      <c r="AL71" s="22"/>
      <c r="AM71" s="22"/>
      <c r="AN71" s="22"/>
      <c r="AO71" s="22"/>
      <c r="AP71" s="22"/>
    </row>
    <row r="72" ht="15.75" customHeight="1">
      <c r="A72" s="35">
        <v>1.0194099E7</v>
      </c>
      <c r="B72" s="36"/>
      <c r="C72" s="11">
        <v>45337.708333333336</v>
      </c>
      <c r="D72" s="29">
        <v>28.0</v>
      </c>
      <c r="E72" s="37">
        <v>34058.0</v>
      </c>
      <c r="F72" s="29" t="s">
        <v>31</v>
      </c>
      <c r="G72" s="29" t="s">
        <v>32</v>
      </c>
      <c r="H72" s="29" t="s">
        <v>174</v>
      </c>
      <c r="I72" s="29" t="s">
        <v>125</v>
      </c>
      <c r="J72" s="25" t="s">
        <v>35</v>
      </c>
      <c r="K72" s="12" t="s">
        <v>126</v>
      </c>
      <c r="L72" s="28" t="s">
        <v>114</v>
      </c>
      <c r="M72" s="14" t="s">
        <v>175</v>
      </c>
      <c r="N72" s="40">
        <v>5004.48</v>
      </c>
      <c r="O72" s="17">
        <f t="shared" si="6"/>
        <v>0.7493286016</v>
      </c>
      <c r="P72" s="39">
        <v>3750.0</v>
      </c>
      <c r="Q72" s="29" t="s">
        <v>39</v>
      </c>
      <c r="R72" s="31">
        <v>1273588.0</v>
      </c>
      <c r="S72" s="41" t="s">
        <v>40</v>
      </c>
      <c r="T72" s="42">
        <v>4858806.0</v>
      </c>
      <c r="U72" s="45">
        <v>0.25</v>
      </c>
      <c r="V72" s="45">
        <v>0.4791666666666667</v>
      </c>
      <c r="W72" s="29"/>
      <c r="X72" s="29" t="s">
        <v>127</v>
      </c>
      <c r="Y72" s="34">
        <v>45338.23333333333</v>
      </c>
      <c r="Z72" s="34">
        <v>45338.37430555555</v>
      </c>
      <c r="AA72" s="29"/>
      <c r="AB72" s="12"/>
      <c r="AC72" s="12"/>
      <c r="AD72" s="12"/>
      <c r="AE72" s="12" t="s">
        <v>39</v>
      </c>
      <c r="AF72" s="12"/>
      <c r="AG72" s="22"/>
      <c r="AH72" s="22"/>
      <c r="AI72" s="22"/>
      <c r="AJ72" s="22"/>
      <c r="AK72" s="22"/>
      <c r="AL72" s="22"/>
      <c r="AM72" s="22"/>
      <c r="AN72" s="22"/>
      <c r="AO72" s="22"/>
      <c r="AP72" s="22"/>
    </row>
    <row r="73" ht="15.75" customHeight="1">
      <c r="A73" s="35">
        <v>1.01941E7</v>
      </c>
      <c r="B73" s="36"/>
      <c r="C73" s="11">
        <v>45337.708333333336</v>
      </c>
      <c r="D73" s="29">
        <v>28.0</v>
      </c>
      <c r="E73" s="37">
        <v>34058.0</v>
      </c>
      <c r="F73" s="29" t="s">
        <v>31</v>
      </c>
      <c r="G73" s="29" t="s">
        <v>32</v>
      </c>
      <c r="H73" s="29" t="s">
        <v>176</v>
      </c>
      <c r="I73" s="29" t="s">
        <v>125</v>
      </c>
      <c r="J73" s="25" t="s">
        <v>35</v>
      </c>
      <c r="K73" s="29" t="s">
        <v>126</v>
      </c>
      <c r="L73" s="28" t="s">
        <v>52</v>
      </c>
      <c r="M73" s="14"/>
      <c r="N73" s="40">
        <v>5930.61</v>
      </c>
      <c r="O73" s="17"/>
      <c r="P73" s="39"/>
      <c r="Q73" s="29"/>
      <c r="R73" s="31"/>
      <c r="S73" s="46" t="s">
        <v>165</v>
      </c>
      <c r="T73" s="42"/>
      <c r="U73" s="31"/>
      <c r="V73" s="31"/>
      <c r="W73" s="29"/>
      <c r="X73" s="29"/>
      <c r="Y73" s="29"/>
      <c r="Z73" s="34"/>
      <c r="AA73" s="29"/>
      <c r="AB73" s="12"/>
      <c r="AC73" s="12"/>
      <c r="AD73" s="12"/>
      <c r="AE73" s="12"/>
      <c r="AF73" s="12"/>
      <c r="AG73" s="22"/>
      <c r="AH73" s="22"/>
      <c r="AI73" s="22"/>
      <c r="AJ73" s="22"/>
      <c r="AK73" s="22"/>
      <c r="AL73" s="22"/>
      <c r="AM73" s="22"/>
      <c r="AN73" s="22"/>
      <c r="AO73" s="22"/>
      <c r="AP73" s="22"/>
    </row>
    <row r="74" ht="15.75" customHeight="1">
      <c r="A74" s="35">
        <v>1.0195185E7</v>
      </c>
      <c r="B74" s="36"/>
      <c r="C74" s="11">
        <v>45336.833333333336</v>
      </c>
      <c r="D74" s="29">
        <v>26.0</v>
      </c>
      <c r="E74" s="37">
        <v>31625.0</v>
      </c>
      <c r="F74" s="29" t="s">
        <v>31</v>
      </c>
      <c r="G74" s="29" t="s">
        <v>32</v>
      </c>
      <c r="H74" s="29" t="s">
        <v>91</v>
      </c>
      <c r="I74" s="29" t="s">
        <v>92</v>
      </c>
      <c r="J74" s="55" t="s">
        <v>35</v>
      </c>
      <c r="K74" s="49" t="s">
        <v>93</v>
      </c>
      <c r="L74" s="28" t="s">
        <v>52</v>
      </c>
      <c r="M74" s="14"/>
      <c r="N74" s="40">
        <v>7981.39</v>
      </c>
      <c r="O74" s="17"/>
      <c r="P74" s="39"/>
      <c r="Q74" s="29"/>
      <c r="R74" s="31"/>
      <c r="S74" s="46" t="s">
        <v>165</v>
      </c>
      <c r="T74" s="29"/>
      <c r="U74" s="31"/>
      <c r="V74" s="31"/>
      <c r="W74" s="29"/>
      <c r="X74" s="29"/>
      <c r="Y74" s="29"/>
      <c r="Z74" s="29"/>
      <c r="AA74" s="29"/>
      <c r="AB74" s="12"/>
      <c r="AC74" s="12"/>
      <c r="AD74" s="12"/>
      <c r="AE74" s="12"/>
      <c r="AF74" s="12"/>
      <c r="AG74" s="22"/>
      <c r="AH74" s="22"/>
      <c r="AI74" s="22"/>
      <c r="AJ74" s="22"/>
      <c r="AK74" s="22"/>
      <c r="AL74" s="22"/>
      <c r="AM74" s="22"/>
      <c r="AN74" s="22"/>
      <c r="AO74" s="22"/>
      <c r="AP74" s="22"/>
    </row>
    <row r="75" ht="15.75" customHeight="1">
      <c r="A75" s="35">
        <v>1.0195663E7</v>
      </c>
      <c r="B75" s="36"/>
      <c r="C75" s="11">
        <v>45337.708333333336</v>
      </c>
      <c r="D75" s="29">
        <v>26.0</v>
      </c>
      <c r="E75" s="37">
        <v>31694.0</v>
      </c>
      <c r="F75" s="38" t="s">
        <v>43</v>
      </c>
      <c r="G75" s="29" t="s">
        <v>44</v>
      </c>
      <c r="H75" s="29" t="s">
        <v>139</v>
      </c>
      <c r="I75" s="25" t="s">
        <v>140</v>
      </c>
      <c r="J75" s="25" t="s">
        <v>35</v>
      </c>
      <c r="K75" s="25" t="s">
        <v>141</v>
      </c>
      <c r="L75" s="28" t="s">
        <v>94</v>
      </c>
      <c r="M75" s="14" t="s">
        <v>173</v>
      </c>
      <c r="N75" s="40">
        <v>7880.37</v>
      </c>
      <c r="O75" s="17">
        <f>IFERROR($P$77/N75,0)</f>
        <v>0.5710391771</v>
      </c>
      <c r="P75" s="39">
        <v>5500.0</v>
      </c>
      <c r="Q75" s="29" t="s">
        <v>39</v>
      </c>
      <c r="R75" s="31">
        <v>1273833.0</v>
      </c>
      <c r="S75" s="41" t="s">
        <v>40</v>
      </c>
      <c r="T75" s="42">
        <v>4860919.0</v>
      </c>
      <c r="U75" s="45">
        <v>0.8777777777777778</v>
      </c>
      <c r="V75" s="44">
        <v>0.04861111111111111</v>
      </c>
      <c r="W75" s="29"/>
      <c r="X75" s="29" t="s">
        <v>127</v>
      </c>
      <c r="Y75" s="34">
        <v>45341.39097222222</v>
      </c>
      <c r="Z75" s="34">
        <v>45341.76527777778</v>
      </c>
      <c r="AA75" s="29"/>
      <c r="AB75" s="12"/>
      <c r="AC75" s="12"/>
      <c r="AD75" s="12"/>
      <c r="AE75" s="12" t="s">
        <v>39</v>
      </c>
      <c r="AF75" s="12"/>
      <c r="AG75" s="22"/>
      <c r="AH75" s="22"/>
      <c r="AI75" s="22"/>
      <c r="AJ75" s="22"/>
      <c r="AK75" s="22"/>
      <c r="AL75" s="22"/>
      <c r="AM75" s="22"/>
      <c r="AN75" s="22"/>
      <c r="AO75" s="22"/>
      <c r="AP75" s="22"/>
    </row>
    <row r="76" ht="15.75" customHeight="1">
      <c r="A76" s="35">
        <v>1.0199322E7</v>
      </c>
      <c r="B76" s="36"/>
      <c r="C76" s="11">
        <v>45338.833333333336</v>
      </c>
      <c r="D76" s="29">
        <v>28.0</v>
      </c>
      <c r="E76" s="37">
        <v>34058.0</v>
      </c>
      <c r="F76" s="29" t="s">
        <v>31</v>
      </c>
      <c r="G76" s="29" t="s">
        <v>32</v>
      </c>
      <c r="H76" s="12" t="s">
        <v>111</v>
      </c>
      <c r="I76" s="12" t="s">
        <v>112</v>
      </c>
      <c r="J76" s="12" t="s">
        <v>35</v>
      </c>
      <c r="K76" s="12" t="s">
        <v>113</v>
      </c>
      <c r="L76" s="28" t="s">
        <v>114</v>
      </c>
      <c r="M76" s="14" t="s">
        <v>177</v>
      </c>
      <c r="N76" s="40">
        <v>4325.0</v>
      </c>
      <c r="O76" s="17">
        <f>IFERROR(P76/N76,0)</f>
        <v>0.6936416185</v>
      </c>
      <c r="P76" s="39">
        <v>3000.0</v>
      </c>
      <c r="Q76" s="29" t="s">
        <v>39</v>
      </c>
      <c r="R76" s="31">
        <v>1274244.0</v>
      </c>
      <c r="S76" s="41" t="s">
        <v>40</v>
      </c>
      <c r="T76" s="42">
        <v>4862863.0</v>
      </c>
      <c r="U76" s="44">
        <v>0.4027777777777778</v>
      </c>
      <c r="V76" s="44">
        <v>0.5416666666666666</v>
      </c>
      <c r="W76" s="29"/>
      <c r="X76" s="29" t="s">
        <v>127</v>
      </c>
      <c r="Y76" s="34">
        <v>45339.31041666667</v>
      </c>
      <c r="Z76" s="34">
        <v>45339.47638888889</v>
      </c>
      <c r="AA76" s="29"/>
      <c r="AB76" s="12"/>
      <c r="AC76" s="12"/>
      <c r="AD76" s="12"/>
      <c r="AE76" s="12" t="s">
        <v>39</v>
      </c>
      <c r="AF76" s="12"/>
      <c r="AG76" s="22"/>
      <c r="AH76" s="22"/>
      <c r="AI76" s="22"/>
      <c r="AJ76" s="22"/>
      <c r="AK76" s="22"/>
      <c r="AL76" s="22"/>
      <c r="AM76" s="22"/>
      <c r="AN76" s="22"/>
      <c r="AO76" s="22"/>
      <c r="AP76" s="22"/>
    </row>
    <row r="77" ht="15.75" customHeight="1">
      <c r="A77" s="35">
        <v>1.0200865E7</v>
      </c>
      <c r="B77" s="36"/>
      <c r="C77" s="11">
        <v>45337.333333333336</v>
      </c>
      <c r="D77" s="29">
        <v>26.0</v>
      </c>
      <c r="E77" s="37">
        <v>27955.0</v>
      </c>
      <c r="F77" s="38" t="s">
        <v>43</v>
      </c>
      <c r="G77" s="29" t="s">
        <v>32</v>
      </c>
      <c r="H77" s="29" t="s">
        <v>91</v>
      </c>
      <c r="I77" s="29" t="s">
        <v>92</v>
      </c>
      <c r="J77" s="55" t="s">
        <v>35</v>
      </c>
      <c r="K77" s="55" t="s">
        <v>93</v>
      </c>
      <c r="L77" s="28" t="s">
        <v>114</v>
      </c>
      <c r="M77" s="14" t="s">
        <v>64</v>
      </c>
      <c r="N77" s="40">
        <v>5922.6</v>
      </c>
      <c r="O77" s="17">
        <f>IFERROR($P$78/N77,0)</f>
        <v>0.5065342924</v>
      </c>
      <c r="P77" s="39">
        <v>4500.0</v>
      </c>
      <c r="Q77" s="29" t="s">
        <v>39</v>
      </c>
      <c r="R77" s="31">
        <v>1273678.0</v>
      </c>
      <c r="S77" s="41" t="s">
        <v>40</v>
      </c>
      <c r="T77" s="42">
        <v>4859773.0</v>
      </c>
      <c r="U77" s="45">
        <v>0.5333333333333333</v>
      </c>
      <c r="V77" s="45">
        <v>0.7388888888888889</v>
      </c>
      <c r="W77" s="29"/>
      <c r="X77" s="29" t="s">
        <v>127</v>
      </c>
      <c r="Y77" s="34">
        <v>45338.600694444445</v>
      </c>
      <c r="Z77" s="34">
        <v>45338.788194444445</v>
      </c>
      <c r="AA77" s="29"/>
      <c r="AB77" s="12"/>
      <c r="AC77" s="12"/>
      <c r="AD77" s="12"/>
      <c r="AE77" s="12" t="s">
        <v>39</v>
      </c>
      <c r="AF77" s="12"/>
      <c r="AG77" s="22"/>
      <c r="AH77" s="22"/>
      <c r="AI77" s="22"/>
      <c r="AJ77" s="22"/>
      <c r="AK77" s="22"/>
      <c r="AL77" s="22"/>
      <c r="AM77" s="22"/>
      <c r="AN77" s="22"/>
      <c r="AO77" s="22"/>
      <c r="AP77" s="22"/>
    </row>
    <row r="78" ht="15.75" customHeight="1">
      <c r="A78" s="35">
        <v>1.0200866E7</v>
      </c>
      <c r="B78" s="43"/>
      <c r="C78" s="11">
        <v>45339.625</v>
      </c>
      <c r="D78" s="29" t="s">
        <v>52</v>
      </c>
      <c r="E78" s="37" t="s">
        <v>52</v>
      </c>
      <c r="F78" s="38" t="s">
        <v>43</v>
      </c>
      <c r="G78" s="29" t="s">
        <v>32</v>
      </c>
      <c r="H78" s="12" t="s">
        <v>178</v>
      </c>
      <c r="I78" s="12" t="s">
        <v>92</v>
      </c>
      <c r="J78" s="14" t="s">
        <v>93</v>
      </c>
      <c r="K78" s="14" t="s">
        <v>35</v>
      </c>
      <c r="L78" s="28" t="s">
        <v>43</v>
      </c>
      <c r="M78" s="14" t="s">
        <v>64</v>
      </c>
      <c r="N78" s="40">
        <v>3948.4</v>
      </c>
      <c r="O78" s="17">
        <f>IFERROR($P$79/N78,0)</f>
        <v>0.9497517982</v>
      </c>
      <c r="P78" s="39">
        <v>3000.0</v>
      </c>
      <c r="Q78" s="29"/>
      <c r="R78" s="31">
        <v>1274558.0</v>
      </c>
      <c r="S78" s="41" t="s">
        <v>40</v>
      </c>
      <c r="T78" s="42">
        <v>4864864.0</v>
      </c>
      <c r="U78" s="31"/>
      <c r="V78" s="31"/>
      <c r="W78" s="29"/>
      <c r="X78" s="29" t="s">
        <v>127</v>
      </c>
      <c r="Y78" s="29"/>
      <c r="Z78" s="29"/>
      <c r="AA78" s="29"/>
      <c r="AB78" s="12"/>
      <c r="AC78" s="12"/>
      <c r="AD78" s="12"/>
      <c r="AE78" s="12"/>
      <c r="AF78" s="12"/>
      <c r="AG78" s="22"/>
      <c r="AH78" s="22"/>
      <c r="AI78" s="22"/>
      <c r="AJ78" s="22"/>
      <c r="AK78" s="22"/>
      <c r="AL78" s="22"/>
      <c r="AM78" s="22"/>
      <c r="AN78" s="22"/>
      <c r="AO78" s="22"/>
      <c r="AP78" s="22"/>
    </row>
    <row r="79" ht="15.75" customHeight="1">
      <c r="A79" s="35">
        <v>1.0202994E7</v>
      </c>
      <c r="B79" s="36"/>
      <c r="C79" s="11">
        <v>45341.833333333336</v>
      </c>
      <c r="D79" s="29">
        <v>26.0</v>
      </c>
      <c r="E79" s="37">
        <v>31625.0</v>
      </c>
      <c r="F79" s="29" t="s">
        <v>31</v>
      </c>
      <c r="G79" s="29" t="s">
        <v>32</v>
      </c>
      <c r="H79" s="12" t="s">
        <v>179</v>
      </c>
      <c r="I79" s="12" t="s">
        <v>125</v>
      </c>
      <c r="J79" s="12" t="s">
        <v>35</v>
      </c>
      <c r="K79" s="12" t="s">
        <v>126</v>
      </c>
      <c r="L79" s="28" t="s">
        <v>114</v>
      </c>
      <c r="M79" s="14" t="s">
        <v>83</v>
      </c>
      <c r="N79" s="40">
        <v>5004.48</v>
      </c>
      <c r="O79" s="17">
        <f t="shared" ref="O79:O96" si="7">IFERROR(P79/N79,0)</f>
        <v>0.7493286016</v>
      </c>
      <c r="P79" s="39">
        <v>3750.0</v>
      </c>
      <c r="Q79" s="29" t="s">
        <v>39</v>
      </c>
      <c r="R79" s="31">
        <v>1275874.0</v>
      </c>
      <c r="S79" s="41" t="s">
        <v>40</v>
      </c>
      <c r="T79" s="42">
        <v>4869840.0</v>
      </c>
      <c r="U79" s="44">
        <v>0.41180555555555554</v>
      </c>
      <c r="V79" s="44">
        <v>0.4951388888888889</v>
      </c>
      <c r="W79" s="29"/>
      <c r="X79" s="29" t="s">
        <v>127</v>
      </c>
      <c r="Y79" s="34">
        <v>45342.566666666666</v>
      </c>
      <c r="Z79" s="34">
        <v>45342.64861111111</v>
      </c>
      <c r="AA79" s="29"/>
      <c r="AB79" s="12"/>
      <c r="AC79" s="12"/>
      <c r="AD79" s="12"/>
      <c r="AE79" s="12" t="s">
        <v>39</v>
      </c>
      <c r="AF79" s="1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ht="15.75" customHeight="1">
      <c r="A80" s="35">
        <v>1.0204138E7</v>
      </c>
      <c r="B80" s="36"/>
      <c r="C80" s="11">
        <v>45342.875</v>
      </c>
      <c r="D80" s="29">
        <v>28.0</v>
      </c>
      <c r="E80" s="37">
        <v>34058.0</v>
      </c>
      <c r="F80" s="29" t="s">
        <v>31</v>
      </c>
      <c r="G80" s="29" t="s">
        <v>32</v>
      </c>
      <c r="H80" s="29" t="s">
        <v>111</v>
      </c>
      <c r="I80" s="29" t="s">
        <v>112</v>
      </c>
      <c r="J80" s="25" t="s">
        <v>35</v>
      </c>
      <c r="K80" s="25" t="s">
        <v>113</v>
      </c>
      <c r="L80" s="28" t="s">
        <v>114</v>
      </c>
      <c r="M80" s="14" t="s">
        <v>180</v>
      </c>
      <c r="N80" s="40">
        <v>5004.48</v>
      </c>
      <c r="O80" s="17">
        <f t="shared" si="7"/>
        <v>0.6993733615</v>
      </c>
      <c r="P80" s="39">
        <v>3500.0</v>
      </c>
      <c r="Q80" s="29" t="s">
        <v>39</v>
      </c>
      <c r="R80" s="31">
        <v>1277194.0</v>
      </c>
      <c r="S80" s="41" t="s">
        <v>40</v>
      </c>
      <c r="T80" s="42">
        <v>4878515.0</v>
      </c>
      <c r="U80" s="45">
        <v>0.4444444444444444</v>
      </c>
      <c r="V80" s="31"/>
      <c r="W80" s="29"/>
      <c r="X80" s="29" t="s">
        <v>127</v>
      </c>
      <c r="Y80" s="34">
        <v>45344.785416666666</v>
      </c>
      <c r="Z80" s="34">
        <v>45345.60208333333</v>
      </c>
      <c r="AA80" s="29"/>
      <c r="AB80" s="12"/>
      <c r="AC80" s="12"/>
      <c r="AD80" s="12"/>
      <c r="AE80" s="12" t="s">
        <v>39</v>
      </c>
      <c r="AF80" s="12"/>
      <c r="AG80" s="22"/>
      <c r="AH80" s="22"/>
      <c r="AI80" s="22"/>
      <c r="AJ80" s="22"/>
      <c r="AK80" s="22"/>
      <c r="AL80" s="22"/>
      <c r="AM80" s="22"/>
      <c r="AN80" s="22"/>
      <c r="AO80" s="22"/>
      <c r="AP80" s="22"/>
    </row>
    <row r="81" ht="15.75" customHeight="1">
      <c r="A81" s="35">
        <v>1.0204659E7</v>
      </c>
      <c r="B81" s="43"/>
      <c r="C81" s="11">
        <v>45336.625</v>
      </c>
      <c r="D81" s="29" t="s">
        <v>52</v>
      </c>
      <c r="E81" s="37" t="s">
        <v>52</v>
      </c>
      <c r="F81" s="38" t="s">
        <v>43</v>
      </c>
      <c r="G81" s="29" t="s">
        <v>44</v>
      </c>
      <c r="H81" s="29" t="s">
        <v>181</v>
      </c>
      <c r="I81" s="29" t="s">
        <v>46</v>
      </c>
      <c r="J81" s="25" t="s">
        <v>47</v>
      </c>
      <c r="K81" s="28" t="s">
        <v>35</v>
      </c>
      <c r="L81" s="28" t="s">
        <v>110</v>
      </c>
      <c r="M81" s="14" t="s">
        <v>119</v>
      </c>
      <c r="N81" s="40">
        <v>1557.5</v>
      </c>
      <c r="O81" s="17">
        <f t="shared" si="7"/>
        <v>0.4494382022</v>
      </c>
      <c r="P81" s="39">
        <v>700.0</v>
      </c>
      <c r="Q81" s="29"/>
      <c r="R81" s="31">
        <v>1273063.0</v>
      </c>
      <c r="S81" s="41" t="s">
        <v>40</v>
      </c>
      <c r="T81" s="42">
        <v>4856594.0</v>
      </c>
      <c r="U81" s="44"/>
      <c r="V81" s="44"/>
      <c r="W81" s="29"/>
      <c r="X81" s="29" t="s">
        <v>127</v>
      </c>
      <c r="Y81" s="34">
        <v>45336.78125</v>
      </c>
      <c r="Z81" s="34">
        <v>45336.96527777778</v>
      </c>
      <c r="AA81" s="29"/>
      <c r="AB81" s="12"/>
      <c r="AC81" s="12"/>
      <c r="AD81" s="12"/>
      <c r="AE81" s="12" t="s">
        <v>39</v>
      </c>
      <c r="AF81" s="12"/>
      <c r="AG81" s="22"/>
      <c r="AH81" s="22"/>
      <c r="AI81" s="22"/>
      <c r="AJ81" s="22"/>
      <c r="AK81" s="22"/>
      <c r="AL81" s="22"/>
      <c r="AM81" s="22"/>
      <c r="AN81" s="22"/>
      <c r="AO81" s="22"/>
      <c r="AP81" s="22"/>
    </row>
    <row r="82" ht="15.75" customHeight="1">
      <c r="A82" s="35">
        <v>1.0204813E7</v>
      </c>
      <c r="B82" s="36"/>
      <c r="C82" s="11">
        <v>45341.541666666664</v>
      </c>
      <c r="D82" s="29">
        <v>26.0</v>
      </c>
      <c r="E82" s="37">
        <v>31625.0</v>
      </c>
      <c r="F82" s="29" t="s">
        <v>31</v>
      </c>
      <c r="G82" s="29" t="s">
        <v>44</v>
      </c>
      <c r="H82" s="29" t="s">
        <v>182</v>
      </c>
      <c r="I82" s="29" t="s">
        <v>105</v>
      </c>
      <c r="J82" s="25" t="s">
        <v>35</v>
      </c>
      <c r="K82" s="28" t="s">
        <v>106</v>
      </c>
      <c r="L82" s="28" t="s">
        <v>59</v>
      </c>
      <c r="M82" s="14" t="s">
        <v>119</v>
      </c>
      <c r="N82" s="40">
        <v>5053.0</v>
      </c>
      <c r="O82" s="17">
        <f t="shared" si="7"/>
        <v>0.5937067089</v>
      </c>
      <c r="P82" s="39">
        <v>3000.0</v>
      </c>
      <c r="Q82" s="29" t="s">
        <v>39</v>
      </c>
      <c r="R82" s="31">
        <v>1275900.0</v>
      </c>
      <c r="S82" s="41" t="s">
        <v>40</v>
      </c>
      <c r="T82" s="42">
        <v>4870008.0</v>
      </c>
      <c r="U82" s="44">
        <v>0.40694444444444444</v>
      </c>
      <c r="V82" s="44">
        <v>0.6326388888888889</v>
      </c>
      <c r="W82" s="29"/>
      <c r="X82" s="29" t="s">
        <v>127</v>
      </c>
      <c r="Y82" s="34">
        <v>45344.645833333336</v>
      </c>
      <c r="Z82" s="34">
        <v>45344.72222222222</v>
      </c>
      <c r="AA82" s="29"/>
      <c r="AB82" s="12"/>
      <c r="AC82" s="12"/>
      <c r="AD82" s="12"/>
      <c r="AE82" s="12" t="s">
        <v>39</v>
      </c>
      <c r="AF82" s="12"/>
      <c r="AG82" s="22"/>
      <c r="AH82" s="22"/>
      <c r="AI82" s="22"/>
      <c r="AJ82" s="22"/>
      <c r="AK82" s="22"/>
      <c r="AL82" s="22"/>
      <c r="AM82" s="22"/>
      <c r="AN82" s="22"/>
      <c r="AO82" s="22"/>
      <c r="AP82" s="22"/>
    </row>
    <row r="83" ht="15.75" customHeight="1">
      <c r="A83" s="35">
        <v>1.0204814E7</v>
      </c>
      <c r="B83" s="36"/>
      <c r="C83" s="11">
        <v>45339.625</v>
      </c>
      <c r="D83" s="29">
        <v>26.0</v>
      </c>
      <c r="E83" s="37">
        <v>31625.0</v>
      </c>
      <c r="F83" s="29" t="s">
        <v>31</v>
      </c>
      <c r="G83" s="29" t="s">
        <v>44</v>
      </c>
      <c r="H83" s="29" t="s">
        <v>104</v>
      </c>
      <c r="I83" s="29" t="s">
        <v>105</v>
      </c>
      <c r="J83" s="25" t="s">
        <v>35</v>
      </c>
      <c r="K83" s="28" t="s">
        <v>106</v>
      </c>
      <c r="L83" s="28" t="s">
        <v>59</v>
      </c>
      <c r="M83" s="14" t="s">
        <v>159</v>
      </c>
      <c r="N83" s="40">
        <v>5053.0</v>
      </c>
      <c r="O83" s="17">
        <f t="shared" si="7"/>
        <v>0.5937067089</v>
      </c>
      <c r="P83" s="39">
        <v>3000.0</v>
      </c>
      <c r="Q83" s="29" t="s">
        <v>39</v>
      </c>
      <c r="R83" s="31">
        <v>1275083.0</v>
      </c>
      <c r="S83" s="41" t="s">
        <v>40</v>
      </c>
      <c r="T83" s="42">
        <v>4867315.0</v>
      </c>
      <c r="U83" s="45">
        <v>0.0625</v>
      </c>
      <c r="V83" s="45">
        <v>0.7708333333333334</v>
      </c>
      <c r="W83" s="29"/>
      <c r="X83" s="29" t="s">
        <v>127</v>
      </c>
      <c r="Y83" s="34">
        <v>45341.65</v>
      </c>
      <c r="Z83" s="34">
        <v>45341.85</v>
      </c>
      <c r="AA83" s="29"/>
      <c r="AB83" s="12"/>
      <c r="AC83" s="12"/>
      <c r="AD83" s="12"/>
      <c r="AE83" s="12" t="s">
        <v>39</v>
      </c>
      <c r="AF83" s="12"/>
      <c r="AG83" s="22"/>
      <c r="AH83" s="22"/>
      <c r="AI83" s="22"/>
      <c r="AJ83" s="22"/>
      <c r="AK83" s="22"/>
      <c r="AL83" s="22"/>
      <c r="AM83" s="22"/>
      <c r="AN83" s="22"/>
      <c r="AO83" s="22"/>
      <c r="AP83" s="22"/>
    </row>
    <row r="84" ht="15.75" customHeight="1">
      <c r="A84" s="35">
        <v>1.0204815E7</v>
      </c>
      <c r="B84" s="36"/>
      <c r="C84" s="11">
        <v>45342.875</v>
      </c>
      <c r="D84" s="29">
        <v>26.0</v>
      </c>
      <c r="E84" s="37">
        <v>31625.0</v>
      </c>
      <c r="F84" s="29" t="s">
        <v>31</v>
      </c>
      <c r="G84" s="29" t="s">
        <v>44</v>
      </c>
      <c r="H84" s="29" t="s">
        <v>104</v>
      </c>
      <c r="I84" s="25" t="s">
        <v>105</v>
      </c>
      <c r="J84" s="25" t="s">
        <v>35</v>
      </c>
      <c r="K84" s="28" t="s">
        <v>106</v>
      </c>
      <c r="L84" s="28" t="s">
        <v>59</v>
      </c>
      <c r="M84" s="14" t="s">
        <v>143</v>
      </c>
      <c r="N84" s="40">
        <v>5053.0</v>
      </c>
      <c r="O84" s="17">
        <f t="shared" si="7"/>
        <v>0.5937067089</v>
      </c>
      <c r="P84" s="39">
        <v>3000.0</v>
      </c>
      <c r="Q84" s="29" t="s">
        <v>39</v>
      </c>
      <c r="R84" s="31">
        <v>1276625.0</v>
      </c>
      <c r="S84" s="41" t="s">
        <v>40</v>
      </c>
      <c r="T84" s="42">
        <v>4874817.0</v>
      </c>
      <c r="U84" s="45">
        <v>0.5625</v>
      </c>
      <c r="V84" s="31"/>
      <c r="W84" s="29"/>
      <c r="X84" s="29" t="s">
        <v>127</v>
      </c>
      <c r="Y84" s="34">
        <v>45343.666666666664</v>
      </c>
      <c r="Z84" s="34">
        <v>45343.751388888886</v>
      </c>
      <c r="AA84" s="29"/>
      <c r="AB84" s="12"/>
      <c r="AC84" s="12"/>
      <c r="AD84" s="12"/>
      <c r="AE84" s="12" t="s">
        <v>39</v>
      </c>
      <c r="AF84" s="12"/>
      <c r="AG84" s="22"/>
      <c r="AH84" s="22"/>
      <c r="AI84" s="22"/>
      <c r="AJ84" s="22"/>
      <c r="AK84" s="22"/>
      <c r="AL84" s="22"/>
      <c r="AM84" s="22"/>
      <c r="AN84" s="22"/>
      <c r="AO84" s="22"/>
      <c r="AP84" s="22"/>
    </row>
    <row r="85" ht="15.75" customHeight="1">
      <c r="A85" s="35">
        <v>1.0205062E7</v>
      </c>
      <c r="B85" s="36"/>
      <c r="C85" s="11">
        <v>45339.625</v>
      </c>
      <c r="D85" s="29">
        <v>26.0</v>
      </c>
      <c r="E85" s="37">
        <v>31133.0</v>
      </c>
      <c r="F85" s="29" t="s">
        <v>31</v>
      </c>
      <c r="G85" s="29" t="s">
        <v>44</v>
      </c>
      <c r="H85" s="29" t="s">
        <v>136</v>
      </c>
      <c r="I85" s="39" t="s">
        <v>137</v>
      </c>
      <c r="J85" s="25" t="s">
        <v>35</v>
      </c>
      <c r="K85" s="39" t="s">
        <v>138</v>
      </c>
      <c r="L85" s="28" t="s">
        <v>94</v>
      </c>
      <c r="M85" s="14" t="s">
        <v>183</v>
      </c>
      <c r="N85" s="40">
        <v>5174.0</v>
      </c>
      <c r="O85" s="17">
        <f t="shared" si="7"/>
        <v>0.7730962505</v>
      </c>
      <c r="P85" s="39">
        <v>4000.0</v>
      </c>
      <c r="Q85" s="29" t="s">
        <v>39</v>
      </c>
      <c r="R85" s="31">
        <v>1275065.0</v>
      </c>
      <c r="S85" s="41" t="s">
        <v>40</v>
      </c>
      <c r="T85" s="42">
        <v>4867214.0</v>
      </c>
      <c r="U85" s="44">
        <v>0.06111111111111111</v>
      </c>
      <c r="V85" s="44">
        <v>0.24583333333333332</v>
      </c>
      <c r="W85" s="29"/>
      <c r="X85" s="29" t="s">
        <v>127</v>
      </c>
      <c r="Y85" s="34">
        <v>45342.086805555555</v>
      </c>
      <c r="Z85" s="34">
        <v>45343.54861111111</v>
      </c>
      <c r="AA85" s="29"/>
      <c r="AB85" s="12"/>
      <c r="AC85" s="12"/>
      <c r="AD85" s="12"/>
      <c r="AE85" s="12" t="s">
        <v>39</v>
      </c>
      <c r="AF85" s="12"/>
      <c r="AG85" s="22"/>
      <c r="AH85" s="22"/>
      <c r="AI85" s="22"/>
      <c r="AJ85" s="22"/>
      <c r="AK85" s="22"/>
      <c r="AL85" s="22"/>
      <c r="AM85" s="22"/>
      <c r="AN85" s="22"/>
      <c r="AO85" s="22"/>
      <c r="AP85" s="22"/>
    </row>
    <row r="86" ht="15.75" customHeight="1">
      <c r="A86" s="35">
        <v>1.0206996E7</v>
      </c>
      <c r="B86" s="36"/>
      <c r="C86" s="11">
        <v>45343.583333333336</v>
      </c>
      <c r="D86" s="29">
        <v>28.0</v>
      </c>
      <c r="E86" s="37">
        <v>34058.0</v>
      </c>
      <c r="F86" s="29" t="s">
        <v>31</v>
      </c>
      <c r="G86" s="29" t="s">
        <v>32</v>
      </c>
      <c r="H86" s="29" t="s">
        <v>111</v>
      </c>
      <c r="I86" s="29" t="s">
        <v>112</v>
      </c>
      <c r="J86" s="25" t="s">
        <v>35</v>
      </c>
      <c r="K86" s="29" t="s">
        <v>113</v>
      </c>
      <c r="L86" s="28" t="s">
        <v>114</v>
      </c>
      <c r="M86" s="14" t="s">
        <v>184</v>
      </c>
      <c r="N86" s="40">
        <v>4325.0</v>
      </c>
      <c r="O86" s="17">
        <f t="shared" si="7"/>
        <v>0.6936416185</v>
      </c>
      <c r="P86" s="39">
        <v>3000.0</v>
      </c>
      <c r="Q86" s="29" t="s">
        <v>39</v>
      </c>
      <c r="R86" s="31">
        <v>1277119.0</v>
      </c>
      <c r="S86" s="41" t="s">
        <v>40</v>
      </c>
      <c r="T86" s="42">
        <v>4877979.0</v>
      </c>
      <c r="U86" s="44">
        <v>0.39791666666666664</v>
      </c>
      <c r="V86" s="44">
        <v>0.5597222222222222</v>
      </c>
      <c r="W86" s="29"/>
      <c r="X86" s="29" t="s">
        <v>127</v>
      </c>
      <c r="Y86" s="34">
        <v>45343.73402777778</v>
      </c>
      <c r="Z86" s="34">
        <v>45345.50208333333</v>
      </c>
      <c r="AA86" s="29"/>
      <c r="AB86" s="12"/>
      <c r="AC86" s="12"/>
      <c r="AD86" s="12"/>
      <c r="AE86" s="12" t="s">
        <v>39</v>
      </c>
      <c r="AF86" s="12"/>
      <c r="AG86" s="22"/>
      <c r="AH86" s="22"/>
      <c r="AI86" s="22"/>
      <c r="AJ86" s="22"/>
      <c r="AK86" s="22"/>
      <c r="AL86" s="22"/>
      <c r="AM86" s="22"/>
      <c r="AN86" s="22"/>
      <c r="AO86" s="22"/>
      <c r="AP86" s="22"/>
    </row>
    <row r="87" ht="15.75" customHeight="1">
      <c r="A87" s="35">
        <v>1.0206997E7</v>
      </c>
      <c r="B87" s="36"/>
      <c r="C87" s="11">
        <v>45343.833333333336</v>
      </c>
      <c r="D87" s="29">
        <v>28.0</v>
      </c>
      <c r="E87" s="37">
        <v>34058.0</v>
      </c>
      <c r="F87" s="29" t="s">
        <v>31</v>
      </c>
      <c r="G87" s="29" t="s">
        <v>32</v>
      </c>
      <c r="H87" s="29" t="s">
        <v>179</v>
      </c>
      <c r="I87" s="29" t="s">
        <v>125</v>
      </c>
      <c r="J87" s="25" t="s">
        <v>35</v>
      </c>
      <c r="K87" s="29" t="s">
        <v>126</v>
      </c>
      <c r="L87" s="28" t="s">
        <v>114</v>
      </c>
      <c r="M87" s="14" t="s">
        <v>115</v>
      </c>
      <c r="N87" s="40">
        <v>5004.48</v>
      </c>
      <c r="O87" s="17">
        <f t="shared" si="7"/>
        <v>0.6993733615</v>
      </c>
      <c r="P87" s="39">
        <v>3500.0</v>
      </c>
      <c r="Q87" s="29" t="s">
        <v>39</v>
      </c>
      <c r="R87" s="31">
        <v>1277146.0</v>
      </c>
      <c r="S87" s="41" t="s">
        <v>40</v>
      </c>
      <c r="T87" s="42">
        <v>4878264.0</v>
      </c>
      <c r="U87" s="44">
        <v>0.42777777777777776</v>
      </c>
      <c r="V87" s="44">
        <v>0.6784722222222223</v>
      </c>
      <c r="W87" s="29"/>
      <c r="X87" s="29" t="s">
        <v>127</v>
      </c>
      <c r="Y87" s="34">
        <v>45344.614583333336</v>
      </c>
      <c r="Z87" s="34">
        <v>45344.74513888889</v>
      </c>
      <c r="AA87" s="29"/>
      <c r="AB87" s="12"/>
      <c r="AC87" s="12"/>
      <c r="AD87" s="12"/>
      <c r="AE87" s="12" t="s">
        <v>39</v>
      </c>
      <c r="AF87" s="12"/>
      <c r="AG87" s="22"/>
      <c r="AH87" s="22"/>
      <c r="AI87" s="22"/>
      <c r="AJ87" s="22"/>
      <c r="AK87" s="22"/>
      <c r="AL87" s="22"/>
      <c r="AM87" s="22"/>
      <c r="AN87" s="22"/>
      <c r="AO87" s="22"/>
      <c r="AP87" s="22"/>
    </row>
    <row r="88" ht="15.75" customHeight="1">
      <c r="A88" s="35">
        <v>1.0207008E7</v>
      </c>
      <c r="B88" s="36"/>
      <c r="C88" s="11">
        <v>45343.625</v>
      </c>
      <c r="D88" s="29">
        <v>28.0</v>
      </c>
      <c r="E88" s="37">
        <v>34058.0</v>
      </c>
      <c r="F88" s="29" t="s">
        <v>31</v>
      </c>
      <c r="G88" s="29" t="s">
        <v>32</v>
      </c>
      <c r="H88" s="29" t="s">
        <v>111</v>
      </c>
      <c r="I88" s="29" t="s">
        <v>112</v>
      </c>
      <c r="J88" s="25" t="s">
        <v>35</v>
      </c>
      <c r="K88" s="29" t="s">
        <v>113</v>
      </c>
      <c r="L88" s="28" t="s">
        <v>114</v>
      </c>
      <c r="M88" s="14" t="s">
        <v>118</v>
      </c>
      <c r="N88" s="40">
        <v>4325.0</v>
      </c>
      <c r="O88" s="17">
        <f t="shared" si="7"/>
        <v>0.6936416185</v>
      </c>
      <c r="P88" s="39">
        <v>3000.0</v>
      </c>
      <c r="Q88" s="29" t="s">
        <v>39</v>
      </c>
      <c r="R88" s="31">
        <v>1277159.0</v>
      </c>
      <c r="S88" s="41" t="s">
        <v>40</v>
      </c>
      <c r="T88" s="42">
        <v>4878348.0</v>
      </c>
      <c r="U88" s="44">
        <v>0.725</v>
      </c>
      <c r="V88" s="44">
        <v>0.21805555555555556</v>
      </c>
      <c r="W88" s="29"/>
      <c r="X88" s="29" t="s">
        <v>127</v>
      </c>
      <c r="Y88" s="34">
        <v>45344.60486111111</v>
      </c>
      <c r="Z88" s="34">
        <v>45344.756944444445</v>
      </c>
      <c r="AA88" s="29"/>
      <c r="AB88" s="12"/>
      <c r="AC88" s="12"/>
      <c r="AD88" s="12"/>
      <c r="AE88" s="12" t="s">
        <v>39</v>
      </c>
      <c r="AF88" s="12"/>
      <c r="AG88" s="22"/>
      <c r="AH88" s="22"/>
      <c r="AI88" s="22"/>
      <c r="AJ88" s="22"/>
      <c r="AK88" s="22"/>
      <c r="AL88" s="22"/>
      <c r="AM88" s="22"/>
      <c r="AN88" s="22"/>
      <c r="AO88" s="22"/>
      <c r="AP88" s="22"/>
    </row>
    <row r="89" ht="15.75" customHeight="1">
      <c r="A89" s="35">
        <v>1.0207923E7</v>
      </c>
      <c r="B89" s="36"/>
      <c r="C89" s="11">
        <v>45339.583333333336</v>
      </c>
      <c r="D89" s="29">
        <v>26.0</v>
      </c>
      <c r="E89" s="37">
        <v>33430.0</v>
      </c>
      <c r="F89" s="29" t="s">
        <v>31</v>
      </c>
      <c r="G89" s="29" t="s">
        <v>74</v>
      </c>
      <c r="H89" s="29" t="s">
        <v>185</v>
      </c>
      <c r="I89" s="29" t="s">
        <v>186</v>
      </c>
      <c r="J89" s="25" t="s">
        <v>35</v>
      </c>
      <c r="K89" s="28" t="s">
        <v>187</v>
      </c>
      <c r="L89" s="28" t="s">
        <v>188</v>
      </c>
      <c r="M89" s="14" t="s">
        <v>184</v>
      </c>
      <c r="N89" s="40">
        <v>4551.98</v>
      </c>
      <c r="O89" s="17">
        <f t="shared" si="7"/>
        <v>0.5492115519</v>
      </c>
      <c r="P89" s="39">
        <v>2500.0</v>
      </c>
      <c r="Q89" s="29" t="s">
        <v>39</v>
      </c>
      <c r="R89" s="31">
        <v>1274541.0</v>
      </c>
      <c r="S89" s="54" t="s">
        <v>40</v>
      </c>
      <c r="T89" s="42">
        <v>4864780.0</v>
      </c>
      <c r="U89" s="44">
        <v>0.6666666666666666</v>
      </c>
      <c r="V89" s="44">
        <v>0.8833333333333333</v>
      </c>
      <c r="W89" s="29"/>
      <c r="X89" s="29" t="s">
        <v>189</v>
      </c>
      <c r="Y89" s="34">
        <v>45341.23125</v>
      </c>
      <c r="Z89" s="34">
        <v>45342.44930555556</v>
      </c>
      <c r="AA89" s="29"/>
      <c r="AB89" s="12"/>
      <c r="AC89" s="12"/>
      <c r="AD89" s="12"/>
      <c r="AE89" s="12" t="s">
        <v>39</v>
      </c>
      <c r="AF89" s="12"/>
      <c r="AG89" s="22"/>
      <c r="AH89" s="22"/>
      <c r="AI89" s="22"/>
      <c r="AJ89" s="22"/>
      <c r="AK89" s="22"/>
      <c r="AL89" s="22"/>
      <c r="AM89" s="22"/>
      <c r="AN89" s="22"/>
      <c r="AO89" s="22"/>
      <c r="AP89" s="22"/>
    </row>
    <row r="90" ht="15.75" customHeight="1">
      <c r="A90" s="35">
        <v>1.0207924E7</v>
      </c>
      <c r="B90" s="36"/>
      <c r="C90" s="11">
        <v>45339.625</v>
      </c>
      <c r="D90" s="29">
        <v>26.0</v>
      </c>
      <c r="E90" s="37">
        <v>33430.0</v>
      </c>
      <c r="F90" s="29" t="s">
        <v>31</v>
      </c>
      <c r="G90" s="29" t="s">
        <v>74</v>
      </c>
      <c r="H90" s="29" t="s">
        <v>185</v>
      </c>
      <c r="I90" s="29" t="s">
        <v>186</v>
      </c>
      <c r="J90" s="25" t="s">
        <v>35</v>
      </c>
      <c r="K90" s="28" t="s">
        <v>187</v>
      </c>
      <c r="L90" s="28" t="s">
        <v>188</v>
      </c>
      <c r="M90" s="14" t="s">
        <v>118</v>
      </c>
      <c r="N90" s="40">
        <v>4551.98</v>
      </c>
      <c r="O90" s="17">
        <f t="shared" si="7"/>
        <v>0.5492115519</v>
      </c>
      <c r="P90" s="39">
        <v>2500.0</v>
      </c>
      <c r="Q90" s="29" t="s">
        <v>39</v>
      </c>
      <c r="R90" s="31">
        <v>1274549.0</v>
      </c>
      <c r="S90" s="54" t="s">
        <v>40</v>
      </c>
      <c r="T90" s="42">
        <v>4864815.0</v>
      </c>
      <c r="U90" s="44">
        <v>0.6055555555555555</v>
      </c>
      <c r="V90" s="44">
        <v>0.6881944444444444</v>
      </c>
      <c r="W90" s="29"/>
      <c r="X90" s="29" t="s">
        <v>189</v>
      </c>
      <c r="Y90" s="34">
        <v>45342.67152777778</v>
      </c>
      <c r="Z90" s="34">
        <v>45343.365277777775</v>
      </c>
      <c r="AA90" s="29"/>
      <c r="AB90" s="12"/>
      <c r="AC90" s="12"/>
      <c r="AD90" s="12"/>
      <c r="AE90" s="12"/>
      <c r="AF90" s="12"/>
      <c r="AG90" s="22"/>
      <c r="AH90" s="22"/>
      <c r="AI90" s="22"/>
      <c r="AJ90" s="22"/>
      <c r="AK90" s="22"/>
      <c r="AL90" s="22"/>
      <c r="AM90" s="22"/>
      <c r="AN90" s="22"/>
      <c r="AO90" s="22"/>
      <c r="AP90" s="22"/>
    </row>
    <row r="91" ht="15.75" customHeight="1">
      <c r="A91" s="35">
        <v>1.0208201E7</v>
      </c>
      <c r="B91" s="36"/>
      <c r="C91" s="11">
        <v>45342.041666666664</v>
      </c>
      <c r="D91" s="29">
        <v>20.0</v>
      </c>
      <c r="E91" s="37">
        <v>24327.0</v>
      </c>
      <c r="F91" s="29" t="s">
        <v>31</v>
      </c>
      <c r="G91" s="29" t="s">
        <v>74</v>
      </c>
      <c r="H91" s="29" t="s">
        <v>190</v>
      </c>
      <c r="I91" s="29" t="s">
        <v>191</v>
      </c>
      <c r="J91" s="25" t="s">
        <v>35</v>
      </c>
      <c r="K91" s="29" t="s">
        <v>138</v>
      </c>
      <c r="L91" s="28" t="s">
        <v>94</v>
      </c>
      <c r="M91" s="14" t="s">
        <v>192</v>
      </c>
      <c r="N91" s="40">
        <v>5174.0</v>
      </c>
      <c r="O91" s="17">
        <f t="shared" si="7"/>
        <v>0.7730962505</v>
      </c>
      <c r="P91" s="39">
        <v>4000.0</v>
      </c>
      <c r="Q91" s="29" t="s">
        <v>39</v>
      </c>
      <c r="R91" s="31">
        <v>1276833.0</v>
      </c>
      <c r="S91" s="41" t="s">
        <v>40</v>
      </c>
      <c r="T91" s="42">
        <v>4876285.0</v>
      </c>
      <c r="U91" s="44">
        <v>0.8694444444444445</v>
      </c>
      <c r="V91" s="44">
        <v>0.9826388888888888</v>
      </c>
      <c r="W91" s="29"/>
      <c r="X91" s="29" t="s">
        <v>127</v>
      </c>
      <c r="Y91" s="29"/>
      <c r="Z91" s="29"/>
      <c r="AA91" s="29"/>
      <c r="AB91" s="12"/>
      <c r="AC91" s="12"/>
      <c r="AD91" s="12"/>
      <c r="AE91" s="12"/>
      <c r="AF91" s="12"/>
      <c r="AG91" s="22"/>
      <c r="AH91" s="22"/>
      <c r="AI91" s="22"/>
      <c r="AJ91" s="22"/>
      <c r="AK91" s="22"/>
      <c r="AL91" s="22"/>
      <c r="AM91" s="22"/>
      <c r="AN91" s="22"/>
      <c r="AO91" s="22"/>
      <c r="AP91" s="22"/>
    </row>
    <row r="92" ht="15.75" customHeight="1">
      <c r="A92" s="35">
        <v>1.0209965E7</v>
      </c>
      <c r="B92" s="36"/>
      <c r="C92" s="11">
        <v>45344.875</v>
      </c>
      <c r="D92" s="29">
        <v>28.0</v>
      </c>
      <c r="E92" s="37">
        <v>34058.0</v>
      </c>
      <c r="F92" s="29" t="s">
        <v>31</v>
      </c>
      <c r="G92" s="29" t="s">
        <v>32</v>
      </c>
      <c r="H92" s="29" t="s">
        <v>179</v>
      </c>
      <c r="I92" s="29" t="s">
        <v>125</v>
      </c>
      <c r="J92" s="25" t="s">
        <v>35</v>
      </c>
      <c r="K92" s="25" t="s">
        <v>126</v>
      </c>
      <c r="L92" s="28" t="s">
        <v>114</v>
      </c>
      <c r="M92" s="14" t="s">
        <v>193</v>
      </c>
      <c r="N92" s="40">
        <v>5004.48</v>
      </c>
      <c r="O92" s="17">
        <f t="shared" si="7"/>
        <v>0.6993733615</v>
      </c>
      <c r="P92" s="39">
        <v>3500.0</v>
      </c>
      <c r="Q92" s="29" t="s">
        <v>39</v>
      </c>
      <c r="R92" s="31">
        <v>1277721.0</v>
      </c>
      <c r="S92" s="41" t="s">
        <v>40</v>
      </c>
      <c r="T92" s="42">
        <v>4881753.0</v>
      </c>
      <c r="U92" s="44">
        <v>0.375</v>
      </c>
      <c r="V92" s="44">
        <v>0.5416666666666666</v>
      </c>
      <c r="W92" s="29"/>
      <c r="X92" s="29" t="s">
        <v>127</v>
      </c>
      <c r="Y92" s="34">
        <v>45345.270833333336</v>
      </c>
      <c r="Z92" s="34">
        <v>45346.27847222222</v>
      </c>
      <c r="AA92" s="29"/>
      <c r="AB92" s="12"/>
      <c r="AC92" s="12"/>
      <c r="AD92" s="12"/>
      <c r="AE92" s="12" t="s">
        <v>39</v>
      </c>
      <c r="AF92" s="12"/>
      <c r="AG92" s="22"/>
      <c r="AH92" s="22"/>
      <c r="AI92" s="22"/>
      <c r="AJ92" s="22"/>
      <c r="AK92" s="22"/>
      <c r="AL92" s="22"/>
      <c r="AM92" s="22"/>
      <c r="AN92" s="22"/>
      <c r="AO92" s="22"/>
      <c r="AP92" s="22"/>
    </row>
    <row r="93" ht="15.75" customHeight="1">
      <c r="A93" s="35">
        <v>1.0210287E7</v>
      </c>
      <c r="B93" s="36"/>
      <c r="C93" s="11">
        <v>45343.833333333336</v>
      </c>
      <c r="D93" s="29">
        <v>26.0</v>
      </c>
      <c r="E93" s="37">
        <v>31659.0</v>
      </c>
      <c r="F93" s="38" t="s">
        <v>43</v>
      </c>
      <c r="G93" s="29" t="s">
        <v>44</v>
      </c>
      <c r="H93" s="29" t="s">
        <v>136</v>
      </c>
      <c r="I93" s="39" t="s">
        <v>137</v>
      </c>
      <c r="J93" s="25" t="s">
        <v>35</v>
      </c>
      <c r="K93" s="28" t="s">
        <v>138</v>
      </c>
      <c r="L93" s="28" t="s">
        <v>94</v>
      </c>
      <c r="M93" s="14" t="s">
        <v>69</v>
      </c>
      <c r="N93" s="40">
        <v>5174.0</v>
      </c>
      <c r="O93" s="17">
        <f t="shared" si="7"/>
        <v>0.7730962505</v>
      </c>
      <c r="P93" s="39">
        <v>4000.0</v>
      </c>
      <c r="Q93" s="29" t="s">
        <v>39</v>
      </c>
      <c r="R93" s="31">
        <v>1277150.0</v>
      </c>
      <c r="S93" s="54" t="s">
        <v>40</v>
      </c>
      <c r="T93" s="42">
        <v>4878285.0</v>
      </c>
      <c r="U93" s="44">
        <v>0.40069444444444446</v>
      </c>
      <c r="V93" s="44">
        <v>0.5722222222222222</v>
      </c>
      <c r="W93" s="29"/>
      <c r="X93" s="29" t="s">
        <v>127</v>
      </c>
      <c r="Y93" s="34">
        <v>45344.402083333334</v>
      </c>
      <c r="Z93" s="34">
        <v>45344.64027777778</v>
      </c>
      <c r="AA93" s="29"/>
      <c r="AB93" s="12"/>
      <c r="AC93" s="12"/>
      <c r="AD93" s="12"/>
      <c r="AE93" s="12"/>
      <c r="AF93" s="12"/>
      <c r="AG93" s="22"/>
      <c r="AH93" s="22"/>
      <c r="AI93" s="22"/>
      <c r="AJ93" s="22"/>
      <c r="AK93" s="22"/>
      <c r="AL93" s="22"/>
      <c r="AM93" s="22"/>
      <c r="AN93" s="22"/>
      <c r="AO93" s="22"/>
      <c r="AP93" s="22"/>
    </row>
    <row r="94" ht="15.75" customHeight="1">
      <c r="A94" s="35">
        <v>1.0212316E7</v>
      </c>
      <c r="B94" s="36"/>
      <c r="C94" s="11">
        <v>45342.875</v>
      </c>
      <c r="D94" s="29">
        <v>26.0</v>
      </c>
      <c r="E94" s="37">
        <v>31922.0</v>
      </c>
      <c r="F94" s="29" t="s">
        <v>31</v>
      </c>
      <c r="G94" s="29" t="s">
        <v>74</v>
      </c>
      <c r="H94" s="29" t="s">
        <v>190</v>
      </c>
      <c r="I94" s="29" t="s">
        <v>191</v>
      </c>
      <c r="J94" s="25" t="s">
        <v>35</v>
      </c>
      <c r="K94" s="25" t="s">
        <v>138</v>
      </c>
      <c r="L94" s="28" t="s">
        <v>94</v>
      </c>
      <c r="M94" s="14" t="s">
        <v>128</v>
      </c>
      <c r="N94" s="40">
        <v>5174.0</v>
      </c>
      <c r="O94" s="17">
        <f t="shared" si="7"/>
        <v>0.7730962505</v>
      </c>
      <c r="P94" s="39">
        <v>4000.0</v>
      </c>
      <c r="Q94" s="29" t="s">
        <v>39</v>
      </c>
      <c r="R94" s="31">
        <v>1276485.0</v>
      </c>
      <c r="S94" s="54" t="s">
        <v>40</v>
      </c>
      <c r="T94" s="42">
        <v>4873962.0</v>
      </c>
      <c r="U94" s="44">
        <v>0.42083333333333334</v>
      </c>
      <c r="V94" s="44">
        <v>0.5555555555555556</v>
      </c>
      <c r="W94" s="29"/>
      <c r="X94" s="29" t="s">
        <v>127</v>
      </c>
      <c r="Y94" s="34">
        <v>45343.28680555556</v>
      </c>
      <c r="Z94" s="34">
        <v>45343.73402777778</v>
      </c>
      <c r="AA94" s="29"/>
      <c r="AB94" s="12"/>
      <c r="AC94" s="12"/>
      <c r="AD94" s="12"/>
      <c r="AE94" s="12" t="s">
        <v>39</v>
      </c>
      <c r="AF94" s="12"/>
      <c r="AG94" s="22"/>
      <c r="AH94" s="22"/>
      <c r="AI94" s="22"/>
      <c r="AJ94" s="22"/>
      <c r="AK94" s="22"/>
      <c r="AL94" s="22"/>
      <c r="AM94" s="22"/>
      <c r="AN94" s="22"/>
      <c r="AO94" s="22"/>
      <c r="AP94" s="22"/>
    </row>
    <row r="95" ht="15.75" customHeight="1">
      <c r="A95" s="35">
        <v>1.0215561E7</v>
      </c>
      <c r="B95" s="36"/>
      <c r="C95" s="11">
        <v>45348.541666666664</v>
      </c>
      <c r="D95" s="29">
        <v>26.0</v>
      </c>
      <c r="E95" s="37">
        <v>32647.0</v>
      </c>
      <c r="F95" s="29" t="s">
        <v>31</v>
      </c>
      <c r="G95" s="29" t="s">
        <v>32</v>
      </c>
      <c r="H95" s="29" t="s">
        <v>66</v>
      </c>
      <c r="I95" s="29" t="s">
        <v>67</v>
      </c>
      <c r="J95" s="25" t="s">
        <v>35</v>
      </c>
      <c r="K95" s="29" t="s">
        <v>194</v>
      </c>
      <c r="L95" s="28" t="s">
        <v>59</v>
      </c>
      <c r="M95" s="14" t="s">
        <v>195</v>
      </c>
      <c r="N95" s="40">
        <v>4445.42</v>
      </c>
      <c r="O95" s="17">
        <f t="shared" si="7"/>
        <v>0.8998024934</v>
      </c>
      <c r="P95" s="39">
        <v>4000.0</v>
      </c>
      <c r="Q95" s="29" t="s">
        <v>39</v>
      </c>
      <c r="R95" s="31">
        <v>1279923.0</v>
      </c>
      <c r="S95" s="41" t="s">
        <v>40</v>
      </c>
      <c r="T95" s="42">
        <v>4893381.0</v>
      </c>
      <c r="U95" s="44">
        <v>0.38958333333333334</v>
      </c>
      <c r="V95" s="44">
        <v>0.5416666666666666</v>
      </c>
      <c r="W95" s="29"/>
      <c r="X95" s="29" t="s">
        <v>196</v>
      </c>
      <c r="Y95" s="29"/>
      <c r="Z95" s="29"/>
      <c r="AA95" s="29"/>
      <c r="AB95" s="12"/>
      <c r="AC95" s="12"/>
      <c r="AD95" s="12"/>
      <c r="AE95" s="12"/>
      <c r="AF95" s="12"/>
      <c r="AG95" s="22"/>
      <c r="AH95" s="22"/>
      <c r="AI95" s="22"/>
      <c r="AJ95" s="22"/>
      <c r="AK95" s="22"/>
      <c r="AL95" s="22"/>
      <c r="AM95" s="22"/>
      <c r="AN95" s="22"/>
      <c r="AO95" s="22"/>
      <c r="AP95" s="22"/>
    </row>
    <row r="96" ht="15.75" customHeight="1">
      <c r="A96" s="35">
        <v>1.0215562E7</v>
      </c>
      <c r="B96" s="36"/>
      <c r="C96" s="11">
        <v>45346.083333333336</v>
      </c>
      <c r="D96" s="29">
        <v>26.0</v>
      </c>
      <c r="E96" s="37">
        <v>32647.0</v>
      </c>
      <c r="F96" s="29" t="s">
        <v>31</v>
      </c>
      <c r="G96" s="29" t="s">
        <v>32</v>
      </c>
      <c r="H96" s="29" t="s">
        <v>66</v>
      </c>
      <c r="I96" s="25" t="s">
        <v>67</v>
      </c>
      <c r="J96" s="25" t="s">
        <v>35</v>
      </c>
      <c r="K96" s="25" t="s">
        <v>194</v>
      </c>
      <c r="L96" s="28" t="s">
        <v>59</v>
      </c>
      <c r="M96" s="56" t="s">
        <v>145</v>
      </c>
      <c r="N96" s="40">
        <v>4445.42</v>
      </c>
      <c r="O96" s="17">
        <f t="shared" si="7"/>
        <v>0.67485187</v>
      </c>
      <c r="P96" s="39">
        <v>3000.0</v>
      </c>
      <c r="Q96" s="29" t="s">
        <v>39</v>
      </c>
      <c r="R96" s="31">
        <v>1279218.0</v>
      </c>
      <c r="S96" s="41" t="s">
        <v>40</v>
      </c>
      <c r="T96" s="42">
        <v>4891263.0</v>
      </c>
      <c r="U96" s="44">
        <v>0.2777777777777778</v>
      </c>
      <c r="V96" s="44">
        <v>0.5673611111111111</v>
      </c>
      <c r="W96" s="29"/>
      <c r="X96" s="29"/>
      <c r="Y96" s="34">
        <v>45349.60277777778</v>
      </c>
      <c r="Z96" s="34">
        <v>45349.70625</v>
      </c>
      <c r="AA96" s="29"/>
      <c r="AB96" s="12"/>
      <c r="AC96" s="12"/>
      <c r="AD96" s="12"/>
      <c r="AE96" s="12" t="s">
        <v>39</v>
      </c>
      <c r="AF96" s="12"/>
      <c r="AG96" s="22"/>
      <c r="AH96" s="22"/>
      <c r="AI96" s="22"/>
      <c r="AJ96" s="22"/>
      <c r="AK96" s="22"/>
      <c r="AL96" s="22"/>
      <c r="AM96" s="22"/>
      <c r="AN96" s="22"/>
      <c r="AO96" s="22"/>
      <c r="AP96" s="22"/>
    </row>
    <row r="97" ht="15.75" customHeight="1">
      <c r="A97" s="35">
        <v>1.0216207E7</v>
      </c>
      <c r="B97" s="43"/>
      <c r="C97" s="11">
        <v>45341.625</v>
      </c>
      <c r="D97" s="29" t="s">
        <v>52</v>
      </c>
      <c r="E97" s="37" t="s">
        <v>52</v>
      </c>
      <c r="F97" s="38" t="s">
        <v>43</v>
      </c>
      <c r="G97" s="29" t="s">
        <v>44</v>
      </c>
      <c r="H97" s="29" t="s">
        <v>197</v>
      </c>
      <c r="I97" s="29" t="s">
        <v>140</v>
      </c>
      <c r="J97" s="25" t="s">
        <v>141</v>
      </c>
      <c r="K97" s="25" t="s">
        <v>35</v>
      </c>
      <c r="L97" s="28" t="s">
        <v>43</v>
      </c>
      <c r="M97" s="14" t="s">
        <v>173</v>
      </c>
      <c r="N97" s="40">
        <v>4179.55</v>
      </c>
      <c r="O97" s="17">
        <f>IFERROR($P$79/N97,0)</f>
        <v>0.8972257779</v>
      </c>
      <c r="P97" s="39">
        <v>3500.0</v>
      </c>
      <c r="Q97" s="29"/>
      <c r="R97" s="31">
        <v>1276198.0</v>
      </c>
      <c r="S97" s="41" t="s">
        <v>40</v>
      </c>
      <c r="T97" s="42">
        <v>4872161.0</v>
      </c>
      <c r="U97" s="44"/>
      <c r="V97" s="44"/>
      <c r="W97" s="29"/>
      <c r="X97" s="29" t="s">
        <v>127</v>
      </c>
      <c r="Y97" s="29"/>
      <c r="Z97" s="29"/>
      <c r="AA97" s="29"/>
      <c r="AB97" s="12"/>
      <c r="AC97" s="12"/>
      <c r="AD97" s="12"/>
      <c r="AE97" s="12"/>
      <c r="AF97" s="12"/>
      <c r="AG97" s="22"/>
      <c r="AH97" s="22"/>
      <c r="AI97" s="22"/>
      <c r="AJ97" s="22"/>
      <c r="AK97" s="22"/>
      <c r="AL97" s="22"/>
      <c r="AM97" s="22"/>
      <c r="AN97" s="22"/>
      <c r="AO97" s="22"/>
      <c r="AP97" s="22"/>
    </row>
    <row r="98" ht="15.75" customHeight="1">
      <c r="A98" s="35">
        <v>1.0217171E7</v>
      </c>
      <c r="B98" s="36"/>
      <c r="C98" s="11">
        <v>45344.458333333336</v>
      </c>
      <c r="D98" s="29">
        <v>26.0</v>
      </c>
      <c r="E98" s="37">
        <v>33176.0</v>
      </c>
      <c r="F98" s="29" t="s">
        <v>31</v>
      </c>
      <c r="G98" s="29" t="s">
        <v>32</v>
      </c>
      <c r="H98" s="29" t="s">
        <v>136</v>
      </c>
      <c r="I98" s="39" t="s">
        <v>137</v>
      </c>
      <c r="J98" s="25" t="s">
        <v>35</v>
      </c>
      <c r="K98" s="28" t="s">
        <v>138</v>
      </c>
      <c r="L98" s="28" t="s">
        <v>94</v>
      </c>
      <c r="M98" s="14" t="s">
        <v>142</v>
      </c>
      <c r="N98" s="40">
        <v>5446.0</v>
      </c>
      <c r="O98" s="17">
        <f>IFERROR(P98/N98,0)</f>
        <v>0.734484025</v>
      </c>
      <c r="P98" s="39">
        <v>4000.0</v>
      </c>
      <c r="Q98" s="29" t="s">
        <v>39</v>
      </c>
      <c r="R98" s="31">
        <v>1277919.0</v>
      </c>
      <c r="S98" s="41" t="s">
        <v>40</v>
      </c>
      <c r="T98" s="42">
        <v>4883067.0</v>
      </c>
      <c r="U98" s="44"/>
      <c r="V98" s="44"/>
      <c r="W98" s="29"/>
      <c r="X98" s="29" t="s">
        <v>127</v>
      </c>
      <c r="Y98" s="34">
        <v>45347.7625</v>
      </c>
      <c r="Z98" s="34">
        <v>45348.38402777778</v>
      </c>
      <c r="AA98" s="29"/>
      <c r="AB98" s="12"/>
      <c r="AC98" s="12"/>
      <c r="AD98" s="12"/>
      <c r="AE98" s="12" t="s">
        <v>107</v>
      </c>
      <c r="AF98" s="12"/>
      <c r="AG98" s="22"/>
      <c r="AH98" s="22"/>
      <c r="AI98" s="22"/>
      <c r="AJ98" s="22"/>
      <c r="AK98" s="22"/>
      <c r="AL98" s="22"/>
      <c r="AM98" s="22"/>
      <c r="AN98" s="22"/>
      <c r="AO98" s="22"/>
      <c r="AP98" s="22"/>
    </row>
    <row r="99" ht="15.75" customHeight="1">
      <c r="A99" s="35">
        <v>1.0218269E7</v>
      </c>
      <c r="B99" s="36"/>
      <c r="C99" s="11">
        <v>45344.583333333336</v>
      </c>
      <c r="D99" s="29">
        <v>26.0</v>
      </c>
      <c r="E99" s="37">
        <v>32553.0</v>
      </c>
      <c r="F99" s="38" t="s">
        <v>43</v>
      </c>
      <c r="G99" s="29" t="s">
        <v>32</v>
      </c>
      <c r="H99" s="29" t="s">
        <v>91</v>
      </c>
      <c r="I99" s="29" t="s">
        <v>92</v>
      </c>
      <c r="J99" s="55" t="s">
        <v>35</v>
      </c>
      <c r="K99" s="55" t="s">
        <v>93</v>
      </c>
      <c r="L99" s="28" t="s">
        <v>114</v>
      </c>
      <c r="M99" s="14" t="s">
        <v>166</v>
      </c>
      <c r="N99" s="40">
        <v>5922.6</v>
      </c>
      <c r="O99" s="17">
        <f>IFERROR($P$78/N99,0)</f>
        <v>0.5065342924</v>
      </c>
      <c r="P99" s="39">
        <v>4500.0</v>
      </c>
      <c r="Q99" s="29" t="s">
        <v>39</v>
      </c>
      <c r="R99" s="31">
        <v>1277910.0</v>
      </c>
      <c r="S99" s="54" t="s">
        <v>40</v>
      </c>
      <c r="T99" s="42">
        <v>4883002.0</v>
      </c>
      <c r="U99" s="44">
        <v>0.5708333333333333</v>
      </c>
      <c r="V99" s="44">
        <v>0.8666666666666667</v>
      </c>
      <c r="W99" s="29"/>
      <c r="X99" s="29" t="s">
        <v>127</v>
      </c>
      <c r="Y99" s="34">
        <v>45346.55625</v>
      </c>
      <c r="Z99" s="34">
        <v>45347.33263888889</v>
      </c>
      <c r="AA99" s="29"/>
      <c r="AB99" s="12"/>
      <c r="AC99" s="12"/>
      <c r="AD99" s="12"/>
      <c r="AE99" s="12" t="s">
        <v>39</v>
      </c>
      <c r="AF99" s="12"/>
      <c r="AG99" s="22"/>
      <c r="AH99" s="22"/>
      <c r="AI99" s="22"/>
      <c r="AJ99" s="22"/>
      <c r="AK99" s="22"/>
      <c r="AL99" s="22"/>
      <c r="AM99" s="22"/>
      <c r="AN99" s="22"/>
      <c r="AO99" s="22"/>
      <c r="AP99" s="22"/>
    </row>
    <row r="100" ht="15.75" customHeight="1">
      <c r="A100" s="35">
        <v>1.021827E7</v>
      </c>
      <c r="B100" s="43"/>
      <c r="C100" s="11">
        <v>45347.625</v>
      </c>
      <c r="D100" s="29" t="s">
        <v>52</v>
      </c>
      <c r="E100" s="37" t="s">
        <v>52</v>
      </c>
      <c r="F100" s="38" t="s">
        <v>43</v>
      </c>
      <c r="G100" s="29" t="s">
        <v>32</v>
      </c>
      <c r="H100" s="29" t="s">
        <v>198</v>
      </c>
      <c r="I100" s="29" t="s">
        <v>92</v>
      </c>
      <c r="J100" s="55" t="s">
        <v>93</v>
      </c>
      <c r="K100" s="55" t="s">
        <v>35</v>
      </c>
      <c r="L100" s="28" t="s">
        <v>43</v>
      </c>
      <c r="M100" s="14"/>
      <c r="N100" s="40">
        <v>3948.4</v>
      </c>
      <c r="O100" s="17">
        <f>IFERROR($P$79/N100,0)</f>
        <v>0.9497517982</v>
      </c>
      <c r="P100" s="39">
        <v>3000.0</v>
      </c>
      <c r="Q100" s="29"/>
      <c r="R100" s="31">
        <v>1279413.0</v>
      </c>
      <c r="S100" s="54" t="s">
        <v>40</v>
      </c>
      <c r="T100" s="42">
        <v>4892045.0</v>
      </c>
      <c r="U100" s="29"/>
      <c r="V100" s="29"/>
      <c r="W100" s="29"/>
      <c r="X100" s="29"/>
      <c r="Y100" s="29"/>
      <c r="Z100" s="29"/>
      <c r="AA100" s="29"/>
      <c r="AB100" s="12"/>
      <c r="AC100" s="12"/>
      <c r="AD100" s="12"/>
      <c r="AE100" s="12"/>
      <c r="AF100" s="1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</row>
    <row r="101" ht="15.75" customHeight="1">
      <c r="A101" s="35">
        <v>1.0219785E7</v>
      </c>
      <c r="B101" s="36"/>
      <c r="C101" s="11">
        <v>45348.583333333336</v>
      </c>
      <c r="D101" s="29">
        <v>26.0</v>
      </c>
      <c r="E101" s="37">
        <v>32647.0</v>
      </c>
      <c r="F101" s="29" t="s">
        <v>31</v>
      </c>
      <c r="G101" s="29" t="s">
        <v>32</v>
      </c>
      <c r="H101" s="29" t="s">
        <v>199</v>
      </c>
      <c r="I101" s="25" t="s">
        <v>200</v>
      </c>
      <c r="J101" s="55" t="s">
        <v>35</v>
      </c>
      <c r="K101" s="25" t="s">
        <v>201</v>
      </c>
      <c r="L101" s="28" t="s">
        <v>52</v>
      </c>
      <c r="M101" s="14"/>
      <c r="N101" s="40">
        <v>7148.53</v>
      </c>
      <c r="O101" s="17">
        <f t="shared" ref="O101:O111" si="8">IFERROR(P101/N101,0)</f>
        <v>0.7693889513</v>
      </c>
      <c r="P101" s="39">
        <v>5500.0</v>
      </c>
      <c r="Q101" s="29"/>
      <c r="R101" s="31"/>
      <c r="S101" s="46" t="s">
        <v>165</v>
      </c>
      <c r="T101" s="29"/>
      <c r="U101" s="29"/>
      <c r="V101" s="29"/>
      <c r="W101" s="29"/>
      <c r="X101" s="29" t="s">
        <v>202</v>
      </c>
      <c r="Y101" s="29"/>
      <c r="Z101" s="29"/>
      <c r="AA101" s="29"/>
      <c r="AB101" s="12"/>
      <c r="AC101" s="12"/>
      <c r="AD101" s="12"/>
      <c r="AE101" s="12"/>
      <c r="AF101" s="1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</row>
    <row r="102" ht="15.75" customHeight="1">
      <c r="A102" s="35">
        <v>1.0219786E7</v>
      </c>
      <c r="B102" s="36"/>
      <c r="C102" s="11">
        <v>45348.375</v>
      </c>
      <c r="D102" s="29">
        <v>26.0</v>
      </c>
      <c r="E102" s="37">
        <v>32647.0</v>
      </c>
      <c r="F102" s="29" t="s">
        <v>31</v>
      </c>
      <c r="G102" s="29" t="s">
        <v>32</v>
      </c>
      <c r="H102" s="29" t="s">
        <v>199</v>
      </c>
      <c r="I102" s="25" t="s">
        <v>200</v>
      </c>
      <c r="J102" s="55" t="s">
        <v>35</v>
      </c>
      <c r="K102" s="25" t="s">
        <v>201</v>
      </c>
      <c r="L102" s="28" t="s">
        <v>78</v>
      </c>
      <c r="M102" s="14" t="s">
        <v>166</v>
      </c>
      <c r="N102" s="40">
        <v>7148.53</v>
      </c>
      <c r="O102" s="17">
        <f t="shared" si="8"/>
        <v>0.7693889513</v>
      </c>
      <c r="P102" s="39">
        <v>5500.0</v>
      </c>
      <c r="Q102" s="29" t="s">
        <v>39</v>
      </c>
      <c r="R102" s="31">
        <v>1280035.0</v>
      </c>
      <c r="S102" s="41" t="s">
        <v>40</v>
      </c>
      <c r="T102" s="42">
        <v>4894237.0</v>
      </c>
      <c r="U102" s="44">
        <v>0.5923611111111111</v>
      </c>
      <c r="V102" s="44">
        <v>0.09444444444444444</v>
      </c>
      <c r="W102" s="29"/>
      <c r="X102" s="29" t="s">
        <v>203</v>
      </c>
      <c r="Y102" s="34">
        <v>45352.790972222225</v>
      </c>
      <c r="Z102" s="34">
        <v>45355.66111111111</v>
      </c>
      <c r="AA102" s="29"/>
      <c r="AB102" s="12"/>
      <c r="AC102" s="12"/>
      <c r="AD102" s="12"/>
      <c r="AE102" s="12" t="s">
        <v>39</v>
      </c>
      <c r="AF102" s="1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</row>
    <row r="103" ht="15.75" customHeight="1">
      <c r="A103" s="35">
        <v>1.0219787E7</v>
      </c>
      <c r="B103" s="36"/>
      <c r="C103" s="11">
        <v>45346.125</v>
      </c>
      <c r="D103" s="29">
        <v>26.0</v>
      </c>
      <c r="E103" s="37">
        <v>32647.0</v>
      </c>
      <c r="F103" s="29" t="s">
        <v>31</v>
      </c>
      <c r="G103" s="29" t="s">
        <v>32</v>
      </c>
      <c r="H103" s="29" t="s">
        <v>199</v>
      </c>
      <c r="I103" s="29" t="s">
        <v>200</v>
      </c>
      <c r="J103" s="55" t="s">
        <v>35</v>
      </c>
      <c r="K103" s="29" t="s">
        <v>201</v>
      </c>
      <c r="L103" s="28" t="s">
        <v>78</v>
      </c>
      <c r="M103" s="14" t="s">
        <v>173</v>
      </c>
      <c r="N103" s="40">
        <v>7148.53</v>
      </c>
      <c r="O103" s="17">
        <f t="shared" si="8"/>
        <v>0.7693889513</v>
      </c>
      <c r="P103" s="39">
        <v>5500.0</v>
      </c>
      <c r="Q103" s="29" t="s">
        <v>39</v>
      </c>
      <c r="R103" s="31">
        <v>1279527.0</v>
      </c>
      <c r="S103" s="41" t="s">
        <v>40</v>
      </c>
      <c r="T103" s="42">
        <v>4892277.0</v>
      </c>
      <c r="U103" s="44">
        <v>0.34375</v>
      </c>
      <c r="V103" s="44">
        <v>0.5145833333333333</v>
      </c>
      <c r="W103" s="29"/>
      <c r="X103" s="29"/>
      <c r="Y103" s="34">
        <v>45349.55416666667</v>
      </c>
      <c r="Z103" s="34">
        <v>45324.28958333333</v>
      </c>
      <c r="AA103" s="29"/>
      <c r="AB103" s="12"/>
      <c r="AC103" s="12"/>
      <c r="AD103" s="12"/>
      <c r="AE103" s="12" t="s">
        <v>39</v>
      </c>
      <c r="AF103" s="1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</row>
    <row r="104" ht="15.75" customHeight="1">
      <c r="A104" s="35">
        <v>1.0219798E7</v>
      </c>
      <c r="B104" s="36"/>
      <c r="C104" s="11">
        <v>45348.458333333336</v>
      </c>
      <c r="D104" s="29">
        <v>26.0</v>
      </c>
      <c r="E104" s="37">
        <v>32647.0</v>
      </c>
      <c r="F104" s="29" t="s">
        <v>31</v>
      </c>
      <c r="G104" s="29" t="s">
        <v>32</v>
      </c>
      <c r="H104" s="29" t="s">
        <v>199</v>
      </c>
      <c r="I104" s="29" t="s">
        <v>200</v>
      </c>
      <c r="J104" s="55" t="s">
        <v>35</v>
      </c>
      <c r="K104" s="29" t="s">
        <v>201</v>
      </c>
      <c r="L104" s="28" t="s">
        <v>52</v>
      </c>
      <c r="M104" s="14"/>
      <c r="N104" s="40">
        <v>7148.53</v>
      </c>
      <c r="O104" s="17">
        <f t="shared" si="8"/>
        <v>0.7693889513</v>
      </c>
      <c r="P104" s="39">
        <v>5500.0</v>
      </c>
      <c r="Q104" s="29" t="s">
        <v>39</v>
      </c>
      <c r="R104" s="31"/>
      <c r="S104" s="46" t="s">
        <v>165</v>
      </c>
      <c r="T104" s="29"/>
      <c r="U104" s="44"/>
      <c r="V104" s="44"/>
      <c r="W104" s="29"/>
      <c r="X104" s="29" t="s">
        <v>202</v>
      </c>
      <c r="Y104" s="29"/>
      <c r="Z104" s="29"/>
      <c r="AA104" s="29"/>
      <c r="AB104" s="12"/>
      <c r="AC104" s="12"/>
      <c r="AD104" s="12"/>
      <c r="AE104" s="12"/>
      <c r="AF104" s="1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</row>
    <row r="105" ht="15.75" customHeight="1">
      <c r="A105" s="35">
        <v>1.0219879E7</v>
      </c>
      <c r="B105" s="36"/>
      <c r="C105" s="11">
        <v>45348.375</v>
      </c>
      <c r="D105" s="29">
        <v>18.0</v>
      </c>
      <c r="E105" s="37">
        <v>22379.0</v>
      </c>
      <c r="F105" s="29" t="s">
        <v>31</v>
      </c>
      <c r="G105" s="29" t="s">
        <v>74</v>
      </c>
      <c r="H105" s="29" t="s">
        <v>190</v>
      </c>
      <c r="I105" s="29" t="s">
        <v>191</v>
      </c>
      <c r="J105" s="25" t="s">
        <v>35</v>
      </c>
      <c r="K105" s="25" t="s">
        <v>138</v>
      </c>
      <c r="L105" s="28" t="s">
        <v>52</v>
      </c>
      <c r="M105" s="14"/>
      <c r="N105" s="40">
        <v>5174.0</v>
      </c>
      <c r="O105" s="17">
        <f t="shared" si="8"/>
        <v>0.7730962505</v>
      </c>
      <c r="P105" s="39">
        <v>4000.0</v>
      </c>
      <c r="Q105" s="29"/>
      <c r="R105" s="31"/>
      <c r="S105" s="46" t="s">
        <v>165</v>
      </c>
      <c r="T105" s="29"/>
      <c r="U105" s="44"/>
      <c r="V105" s="44"/>
      <c r="W105" s="29"/>
      <c r="X105" s="29"/>
      <c r="Y105" s="29"/>
      <c r="Z105" s="29"/>
      <c r="AA105" s="29"/>
      <c r="AB105" s="12"/>
      <c r="AC105" s="12"/>
      <c r="AD105" s="12"/>
      <c r="AE105" s="12"/>
      <c r="AF105" s="1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</row>
    <row r="106" ht="15.75" customHeight="1">
      <c r="A106" s="35">
        <v>1.0221047E7</v>
      </c>
      <c r="B106" s="36"/>
      <c r="C106" s="11">
        <v>45346.041666666664</v>
      </c>
      <c r="D106" s="29">
        <v>21.0</v>
      </c>
      <c r="E106" s="37">
        <v>25627.0</v>
      </c>
      <c r="F106" s="29" t="s">
        <v>31</v>
      </c>
      <c r="G106" s="29" t="s">
        <v>74</v>
      </c>
      <c r="H106" s="12" t="s">
        <v>75</v>
      </c>
      <c r="I106" s="29" t="s">
        <v>76</v>
      </c>
      <c r="J106" s="55" t="s">
        <v>35</v>
      </c>
      <c r="K106" s="14" t="s">
        <v>77</v>
      </c>
      <c r="L106" s="28" t="s">
        <v>78</v>
      </c>
      <c r="M106" s="14" t="s">
        <v>83</v>
      </c>
      <c r="N106" s="40">
        <v>9203.69</v>
      </c>
      <c r="O106" s="17">
        <f t="shared" si="8"/>
        <v>0.5975864028</v>
      </c>
      <c r="P106" s="39">
        <v>5500.0</v>
      </c>
      <c r="Q106" s="29" t="s">
        <v>39</v>
      </c>
      <c r="R106" s="31">
        <v>1279163.0</v>
      </c>
      <c r="S106" s="54" t="s">
        <v>40</v>
      </c>
      <c r="T106" s="42">
        <v>4891003.0</v>
      </c>
      <c r="U106" s="44">
        <v>0.027777777777777776</v>
      </c>
      <c r="V106" s="44">
        <v>0.22152777777777777</v>
      </c>
      <c r="W106" s="29"/>
      <c r="X106" s="29"/>
      <c r="Y106" s="34">
        <v>45347.830555555556</v>
      </c>
      <c r="Z106" s="57">
        <v>45348.44583333333</v>
      </c>
      <c r="AA106" s="29"/>
      <c r="AB106" s="12"/>
      <c r="AC106" s="12"/>
      <c r="AD106" s="12"/>
      <c r="AE106" s="12" t="s">
        <v>39</v>
      </c>
      <c r="AF106" s="1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</row>
    <row r="107" ht="15.75" customHeight="1">
      <c r="A107" s="35">
        <v>1.0223028E7</v>
      </c>
      <c r="B107" s="36"/>
      <c r="C107" s="11">
        <v>45349.416666666664</v>
      </c>
      <c r="D107" s="29">
        <v>26.0</v>
      </c>
      <c r="E107" s="37">
        <v>33139.0</v>
      </c>
      <c r="F107" s="29" t="s">
        <v>31</v>
      </c>
      <c r="G107" s="29" t="s">
        <v>32</v>
      </c>
      <c r="H107" s="29" t="s">
        <v>111</v>
      </c>
      <c r="I107" s="29" t="s">
        <v>112</v>
      </c>
      <c r="J107" s="25" t="s">
        <v>35</v>
      </c>
      <c r="K107" s="25" t="s">
        <v>113</v>
      </c>
      <c r="L107" s="28" t="s">
        <v>114</v>
      </c>
      <c r="M107" s="14" t="s">
        <v>151</v>
      </c>
      <c r="N107" s="40">
        <v>4325.0</v>
      </c>
      <c r="O107" s="17">
        <f t="shared" si="8"/>
        <v>0.6936416185</v>
      </c>
      <c r="P107" s="39">
        <v>3000.0</v>
      </c>
      <c r="Q107" s="29" t="s">
        <v>39</v>
      </c>
      <c r="R107" s="31">
        <v>1280862.0</v>
      </c>
      <c r="S107" s="41" t="s">
        <v>40</v>
      </c>
      <c r="T107" s="42">
        <v>4899261.0</v>
      </c>
      <c r="U107" s="44">
        <v>0.8263888888888888</v>
      </c>
      <c r="V107" s="44">
        <v>0.09722222222222222</v>
      </c>
      <c r="W107" s="29"/>
      <c r="X107" s="29"/>
      <c r="Y107" s="34">
        <v>45350.79305555556</v>
      </c>
      <c r="Z107" s="34">
        <v>45351.56319444445</v>
      </c>
      <c r="AA107" s="29"/>
      <c r="AB107" s="12"/>
      <c r="AC107" s="12"/>
      <c r="AD107" s="12"/>
      <c r="AE107" s="12"/>
      <c r="AF107" s="1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</row>
    <row r="108" ht="15.75" customHeight="1">
      <c r="A108" s="35">
        <v>1.0223029E7</v>
      </c>
      <c r="B108" s="36"/>
      <c r="C108" s="11">
        <v>45349.583333333336</v>
      </c>
      <c r="D108" s="29">
        <v>26.0</v>
      </c>
      <c r="E108" s="37">
        <v>33139.0</v>
      </c>
      <c r="F108" s="29" t="s">
        <v>31</v>
      </c>
      <c r="G108" s="29" t="s">
        <v>32</v>
      </c>
      <c r="H108" s="29" t="s">
        <v>111</v>
      </c>
      <c r="I108" s="29" t="s">
        <v>112</v>
      </c>
      <c r="J108" s="25" t="s">
        <v>35</v>
      </c>
      <c r="K108" s="29" t="s">
        <v>113</v>
      </c>
      <c r="L108" s="28" t="s">
        <v>52</v>
      </c>
      <c r="M108" s="12"/>
      <c r="N108" s="40">
        <v>4325.0</v>
      </c>
      <c r="O108" s="17">
        <f t="shared" si="8"/>
        <v>0.6936416185</v>
      </c>
      <c r="P108" s="39">
        <v>3000.0</v>
      </c>
      <c r="Q108" s="29"/>
      <c r="R108" s="31"/>
      <c r="S108" s="46" t="s">
        <v>165</v>
      </c>
      <c r="T108" s="29"/>
      <c r="U108" s="29"/>
      <c r="V108" s="29"/>
      <c r="W108" s="29"/>
      <c r="X108" s="29"/>
      <c r="Y108" s="29"/>
      <c r="Z108" s="29"/>
      <c r="AA108" s="29"/>
      <c r="AB108" s="12"/>
      <c r="AC108" s="12"/>
      <c r="AD108" s="12"/>
      <c r="AE108" s="12"/>
      <c r="AF108" s="1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</row>
    <row r="109" ht="15.75" customHeight="1">
      <c r="A109" s="35">
        <v>1.022303E7</v>
      </c>
      <c r="B109" s="36"/>
      <c r="C109" s="11">
        <v>45349.416666666664</v>
      </c>
      <c r="D109" s="29">
        <v>26.0</v>
      </c>
      <c r="E109" s="37">
        <v>33139.0</v>
      </c>
      <c r="F109" s="29" t="s">
        <v>31</v>
      </c>
      <c r="G109" s="29" t="s">
        <v>32</v>
      </c>
      <c r="H109" s="12" t="s">
        <v>111</v>
      </c>
      <c r="I109" s="12" t="s">
        <v>112</v>
      </c>
      <c r="J109" s="12" t="s">
        <v>35</v>
      </c>
      <c r="K109" s="12" t="s">
        <v>113</v>
      </c>
      <c r="L109" s="28" t="s">
        <v>114</v>
      </c>
      <c r="M109" s="14" t="s">
        <v>128</v>
      </c>
      <c r="N109" s="40">
        <v>4325.0</v>
      </c>
      <c r="O109" s="17">
        <f t="shared" si="8"/>
        <v>0.6936416185</v>
      </c>
      <c r="P109" s="39">
        <v>3000.0</v>
      </c>
      <c r="Q109" s="29" t="s">
        <v>39</v>
      </c>
      <c r="R109" s="31">
        <v>1280671.0</v>
      </c>
      <c r="S109" s="41" t="s">
        <v>40</v>
      </c>
      <c r="T109" s="42">
        <v>4897965.0</v>
      </c>
      <c r="U109" s="44">
        <v>0.4652777777777778</v>
      </c>
      <c r="V109" s="44">
        <v>0.5944444444444444</v>
      </c>
      <c r="W109" s="29"/>
      <c r="X109" s="29"/>
      <c r="Y109" s="34">
        <v>45350.34583333333</v>
      </c>
      <c r="Z109" s="34">
        <v>45355.686111111114</v>
      </c>
      <c r="AA109" s="29"/>
      <c r="AB109" s="12"/>
      <c r="AC109" s="12"/>
      <c r="AD109" s="12"/>
      <c r="AE109" s="12" t="s">
        <v>39</v>
      </c>
      <c r="AF109" s="1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</row>
    <row r="110" ht="15.75" customHeight="1">
      <c r="A110" s="35">
        <v>1.0224479E7</v>
      </c>
      <c r="B110" s="36"/>
      <c r="C110" s="11">
        <v>45348.416666666664</v>
      </c>
      <c r="D110" s="29">
        <v>26.0</v>
      </c>
      <c r="E110" s="37">
        <v>30861.0</v>
      </c>
      <c r="F110" s="29" t="s">
        <v>31</v>
      </c>
      <c r="G110" s="29" t="s">
        <v>74</v>
      </c>
      <c r="H110" s="12" t="s">
        <v>75</v>
      </c>
      <c r="I110" s="12" t="s">
        <v>76</v>
      </c>
      <c r="J110" s="14" t="s">
        <v>35</v>
      </c>
      <c r="K110" s="14" t="s">
        <v>77</v>
      </c>
      <c r="L110" s="28" t="s">
        <v>78</v>
      </c>
      <c r="M110" s="14" t="s">
        <v>69</v>
      </c>
      <c r="N110" s="40">
        <v>9203.69</v>
      </c>
      <c r="O110" s="17">
        <f t="shared" si="8"/>
        <v>0.5975864028</v>
      </c>
      <c r="P110" s="39">
        <v>5500.0</v>
      </c>
      <c r="Q110" s="29" t="s">
        <v>39</v>
      </c>
      <c r="R110" s="31">
        <v>1280054.0</v>
      </c>
      <c r="S110" s="41" t="s">
        <v>40</v>
      </c>
      <c r="T110" s="42">
        <v>4894374.0</v>
      </c>
      <c r="U110" s="44">
        <v>0.42777777777777776</v>
      </c>
      <c r="V110" s="44">
        <v>0.5486111111111112</v>
      </c>
      <c r="W110" s="29"/>
      <c r="X110" s="29" t="s">
        <v>204</v>
      </c>
      <c r="Y110" s="29"/>
      <c r="Z110" s="29"/>
      <c r="AA110" s="29"/>
      <c r="AB110" s="12"/>
      <c r="AC110" s="12"/>
      <c r="AD110" s="12"/>
      <c r="AE110" s="12"/>
      <c r="AF110" s="1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</row>
    <row r="111" ht="15.75" customHeight="1">
      <c r="A111" s="35">
        <v>1.022448E7</v>
      </c>
      <c r="B111" s="36"/>
      <c r="C111" s="11">
        <v>45345.25</v>
      </c>
      <c r="D111" s="29">
        <v>20.0</v>
      </c>
      <c r="E111" s="37">
        <v>24222.0</v>
      </c>
      <c r="F111" s="29" t="s">
        <v>31</v>
      </c>
      <c r="G111" s="29" t="s">
        <v>74</v>
      </c>
      <c r="H111" s="12" t="s">
        <v>75</v>
      </c>
      <c r="I111" s="12" t="s">
        <v>76</v>
      </c>
      <c r="J111" s="14" t="s">
        <v>35</v>
      </c>
      <c r="K111" s="14" t="s">
        <v>77</v>
      </c>
      <c r="L111" s="28" t="s">
        <v>78</v>
      </c>
      <c r="M111" s="14" t="s">
        <v>146</v>
      </c>
      <c r="N111" s="40">
        <v>8801.69</v>
      </c>
      <c r="O111" s="17">
        <f t="shared" si="8"/>
        <v>0.5680727224</v>
      </c>
      <c r="P111" s="39">
        <v>5000.0</v>
      </c>
      <c r="Q111" s="29" t="s">
        <v>39</v>
      </c>
      <c r="R111" s="31">
        <v>1278564.0</v>
      </c>
      <c r="S111" s="54" t="s">
        <v>40</v>
      </c>
      <c r="T111" s="42">
        <v>4887311.0</v>
      </c>
      <c r="U111" s="44">
        <v>0.6506944444444445</v>
      </c>
      <c r="V111" s="44">
        <v>0.2638888888888889</v>
      </c>
      <c r="W111" s="29"/>
      <c r="X111" s="29" t="s">
        <v>205</v>
      </c>
      <c r="Y111" s="34">
        <v>45348.69236111111</v>
      </c>
      <c r="Z111" s="34">
        <v>45349.3125</v>
      </c>
      <c r="AA111" s="29"/>
      <c r="AB111" s="12"/>
      <c r="AC111" s="12"/>
      <c r="AD111" s="12"/>
      <c r="AE111" s="12" t="s">
        <v>39</v>
      </c>
      <c r="AF111" s="1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</row>
    <row r="112" ht="15.75" customHeight="1">
      <c r="A112" s="35">
        <v>1.022833E7</v>
      </c>
      <c r="B112" s="43"/>
      <c r="C112" s="11">
        <v>45344.625</v>
      </c>
      <c r="D112" s="29" t="s">
        <v>52</v>
      </c>
      <c r="E112" s="37" t="s">
        <v>52</v>
      </c>
      <c r="F112" s="38" t="s">
        <v>43</v>
      </c>
      <c r="G112" s="29" t="s">
        <v>44</v>
      </c>
      <c r="H112" s="29" t="s">
        <v>206</v>
      </c>
      <c r="I112" s="15" t="s">
        <v>137</v>
      </c>
      <c r="J112" s="12" t="s">
        <v>138</v>
      </c>
      <c r="K112" s="28" t="s">
        <v>35</v>
      </c>
      <c r="L112" s="28" t="s">
        <v>43</v>
      </c>
      <c r="M112" s="14" t="s">
        <v>69</v>
      </c>
      <c r="N112" s="40">
        <v>3104.4</v>
      </c>
      <c r="O112" s="17"/>
      <c r="P112" s="39"/>
      <c r="Q112" s="29"/>
      <c r="R112" s="31">
        <v>1277929.0</v>
      </c>
      <c r="S112" s="54" t="s">
        <v>40</v>
      </c>
      <c r="T112" s="42">
        <v>4883116.0</v>
      </c>
      <c r="U112" s="44"/>
      <c r="V112" s="44"/>
      <c r="W112" s="29"/>
      <c r="X112" s="29"/>
      <c r="Y112" s="29"/>
      <c r="Z112" s="29"/>
      <c r="AA112" s="29"/>
      <c r="AB112" s="12"/>
      <c r="AC112" s="12"/>
      <c r="AD112" s="12"/>
      <c r="AE112" s="12"/>
      <c r="AF112" s="1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</row>
    <row r="113" ht="15.75" customHeight="1">
      <c r="A113" s="35">
        <v>1.0233225E7</v>
      </c>
      <c r="B113" s="36"/>
      <c r="C113" s="11">
        <v>45352.416666666664</v>
      </c>
      <c r="D113" s="29">
        <v>26.0</v>
      </c>
      <c r="E113" s="37">
        <v>32463.0</v>
      </c>
      <c r="F113" s="29" t="s">
        <v>43</v>
      </c>
      <c r="G113" s="29" t="s">
        <v>44</v>
      </c>
      <c r="H113" s="29" t="s">
        <v>45</v>
      </c>
      <c r="I113" s="12" t="s">
        <v>46</v>
      </c>
      <c r="J113" s="12" t="s">
        <v>35</v>
      </c>
      <c r="K113" s="15" t="s">
        <v>47</v>
      </c>
      <c r="L113" s="28" t="s">
        <v>108</v>
      </c>
      <c r="M113" s="14" t="s">
        <v>184</v>
      </c>
      <c r="N113" s="40">
        <v>2336.24</v>
      </c>
      <c r="O113" s="17">
        <f t="shared" ref="O113:O728" si="9">IFERROR(P113/N113,0)</f>
        <v>0.6420573229</v>
      </c>
      <c r="P113" s="39">
        <v>1500.0</v>
      </c>
      <c r="Q113" s="29" t="s">
        <v>39</v>
      </c>
      <c r="R113" s="31">
        <v>1282368.0</v>
      </c>
      <c r="S113" s="29" t="s">
        <v>40</v>
      </c>
      <c r="T113" s="42">
        <v>4909903.0</v>
      </c>
      <c r="U113" s="44">
        <v>0.36041666666666666</v>
      </c>
      <c r="V113" s="44">
        <v>0.5180555555555556</v>
      </c>
      <c r="W113" s="29"/>
      <c r="X113" s="29"/>
      <c r="Y113" s="34">
        <v>45352.586805555555</v>
      </c>
      <c r="Z113" s="34">
        <v>45352.66458333333</v>
      </c>
      <c r="AA113" s="29"/>
      <c r="AB113" s="12"/>
      <c r="AC113" s="12"/>
      <c r="AD113" s="12"/>
      <c r="AE113" s="12" t="s">
        <v>39</v>
      </c>
      <c r="AF113" s="1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</row>
    <row r="114" ht="15.75" customHeight="1">
      <c r="A114" s="35">
        <v>1.0233226E7</v>
      </c>
      <c r="B114" s="36"/>
      <c r="C114" s="11">
        <v>45352.416666666664</v>
      </c>
      <c r="D114" s="29" t="s">
        <v>52</v>
      </c>
      <c r="E114" s="37" t="s">
        <v>52</v>
      </c>
      <c r="F114" s="29" t="s">
        <v>43</v>
      </c>
      <c r="G114" s="29" t="s">
        <v>44</v>
      </c>
      <c r="H114" s="29" t="s">
        <v>207</v>
      </c>
      <c r="I114" s="12" t="s">
        <v>46</v>
      </c>
      <c r="J114" s="12" t="s">
        <v>47</v>
      </c>
      <c r="K114" s="12" t="s">
        <v>35</v>
      </c>
      <c r="L114" s="28" t="s">
        <v>52</v>
      </c>
      <c r="M114" s="14" t="s">
        <v>184</v>
      </c>
      <c r="N114" s="40">
        <v>1557.5</v>
      </c>
      <c r="O114" s="17">
        <f t="shared" si="9"/>
        <v>0.4494382022</v>
      </c>
      <c r="P114" s="39">
        <v>700.0</v>
      </c>
      <c r="Q114" s="29"/>
      <c r="R114" s="31"/>
      <c r="S114" s="29" t="s">
        <v>131</v>
      </c>
      <c r="T114" s="29"/>
      <c r="U114" s="29"/>
      <c r="V114" s="29"/>
      <c r="W114" s="29"/>
      <c r="X114" s="29"/>
      <c r="Y114" s="29"/>
      <c r="Z114" s="29"/>
      <c r="AA114" s="29"/>
      <c r="AB114" s="12"/>
      <c r="AC114" s="12"/>
      <c r="AD114" s="12"/>
      <c r="AE114" s="12"/>
      <c r="AF114" s="1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</row>
    <row r="115" ht="15.75" customHeight="1">
      <c r="A115" s="35">
        <v>1.0233368E7</v>
      </c>
      <c r="B115" s="36"/>
      <c r="C115" s="11">
        <v>45350.541666666664</v>
      </c>
      <c r="D115" s="29">
        <v>26.0</v>
      </c>
      <c r="E115" s="37">
        <v>31625.0</v>
      </c>
      <c r="F115" s="29" t="s">
        <v>31</v>
      </c>
      <c r="G115" s="29" t="s">
        <v>74</v>
      </c>
      <c r="H115" s="29" t="s">
        <v>155</v>
      </c>
      <c r="I115" s="12" t="s">
        <v>156</v>
      </c>
      <c r="J115" s="12" t="s">
        <v>35</v>
      </c>
      <c r="K115" s="25" t="s">
        <v>157</v>
      </c>
      <c r="L115" s="28" t="s">
        <v>78</v>
      </c>
      <c r="M115" s="14" t="s">
        <v>192</v>
      </c>
      <c r="N115" s="40">
        <v>6808.0</v>
      </c>
      <c r="O115" s="17">
        <f t="shared" si="9"/>
        <v>0.8078730905</v>
      </c>
      <c r="P115" s="39">
        <v>5500.0</v>
      </c>
      <c r="Q115" s="29" t="s">
        <v>39</v>
      </c>
      <c r="R115" s="31">
        <v>1281457.0</v>
      </c>
      <c r="S115" s="41" t="s">
        <v>40</v>
      </c>
      <c r="T115" s="42">
        <v>4903557.0</v>
      </c>
      <c r="U115" s="44">
        <v>0.8645833333333334</v>
      </c>
      <c r="V115" s="44">
        <v>0.5965277777777778</v>
      </c>
      <c r="W115" s="29"/>
      <c r="X115" s="29"/>
      <c r="Y115" s="34">
        <v>45356.45208333333</v>
      </c>
      <c r="Z115" s="34">
        <v>45356.67152777778</v>
      </c>
      <c r="AA115" s="29"/>
      <c r="AB115" s="12"/>
      <c r="AC115" s="12"/>
      <c r="AD115" s="12"/>
      <c r="AE115" s="12" t="s">
        <v>39</v>
      </c>
      <c r="AF115" s="1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ht="15.75" customHeight="1">
      <c r="A116" s="35">
        <v>1.0243516E7</v>
      </c>
      <c r="B116" s="36"/>
      <c r="C116" s="11">
        <v>45355.75</v>
      </c>
      <c r="D116" s="29">
        <v>26.0</v>
      </c>
      <c r="E116" s="37">
        <v>31808.0</v>
      </c>
      <c r="F116" s="29" t="s">
        <v>31</v>
      </c>
      <c r="G116" s="29" t="s">
        <v>44</v>
      </c>
      <c r="H116" s="29" t="s">
        <v>136</v>
      </c>
      <c r="I116" s="39" t="s">
        <v>137</v>
      </c>
      <c r="J116" s="25" t="s">
        <v>35</v>
      </c>
      <c r="K116" s="28" t="s">
        <v>138</v>
      </c>
      <c r="L116" s="28" t="s">
        <v>52</v>
      </c>
      <c r="M116" s="14"/>
      <c r="N116" s="40">
        <v>5446.0</v>
      </c>
      <c r="O116" s="17">
        <f t="shared" si="9"/>
        <v>0.734484025</v>
      </c>
      <c r="P116" s="39">
        <v>4000.0</v>
      </c>
      <c r="Q116" s="29"/>
      <c r="R116" s="31"/>
      <c r="S116" s="29" t="s">
        <v>131</v>
      </c>
      <c r="T116" s="29"/>
      <c r="U116" s="29"/>
      <c r="V116" s="29"/>
      <c r="W116" s="29"/>
      <c r="X116" s="29"/>
      <c r="Y116" s="29"/>
      <c r="Z116" s="29"/>
      <c r="AA116" s="29"/>
      <c r="AB116" s="12"/>
      <c r="AC116" s="12"/>
      <c r="AD116" s="12"/>
      <c r="AE116" s="12"/>
      <c r="AF116" s="1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</row>
    <row r="117" ht="15.75" customHeight="1">
      <c r="A117" s="35">
        <v>1.0243773E7</v>
      </c>
      <c r="B117" s="36"/>
      <c r="C117" s="11">
        <v>45351.666666666664</v>
      </c>
      <c r="D117" s="29">
        <v>26.0</v>
      </c>
      <c r="E117" s="37">
        <v>31625.0</v>
      </c>
      <c r="F117" s="29" t="s">
        <v>31</v>
      </c>
      <c r="G117" s="29" t="s">
        <v>32</v>
      </c>
      <c r="H117" s="29" t="s">
        <v>208</v>
      </c>
      <c r="I117" s="12" t="s">
        <v>209</v>
      </c>
      <c r="J117" s="12" t="s">
        <v>35</v>
      </c>
      <c r="K117" s="25" t="s">
        <v>210</v>
      </c>
      <c r="L117" s="28" t="s">
        <v>94</v>
      </c>
      <c r="M117" s="14" t="s">
        <v>183</v>
      </c>
      <c r="N117" s="40">
        <v>5446.0</v>
      </c>
      <c r="O117" s="17">
        <f t="shared" si="9"/>
        <v>0.734484025</v>
      </c>
      <c r="P117" s="39">
        <v>4000.0</v>
      </c>
      <c r="Q117" s="29" t="s">
        <v>39</v>
      </c>
      <c r="R117" s="31">
        <v>1281959.0</v>
      </c>
      <c r="S117" s="29" t="s">
        <v>40</v>
      </c>
      <c r="T117" s="42">
        <v>4907404.0</v>
      </c>
      <c r="U117" s="44">
        <v>0.6826388888888889</v>
      </c>
      <c r="V117" s="44">
        <v>0.9069444444444444</v>
      </c>
      <c r="W117" s="29"/>
      <c r="X117" s="29"/>
      <c r="Y117" s="34">
        <v>45355.424305555556</v>
      </c>
      <c r="Z117" s="34">
        <v>45355.614583333336</v>
      </c>
      <c r="AA117" s="29"/>
      <c r="AB117" s="12"/>
      <c r="AC117" s="12"/>
      <c r="AD117" s="12"/>
      <c r="AE117" s="12" t="s">
        <v>39</v>
      </c>
      <c r="AF117" s="1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</row>
    <row r="118" ht="15.75" customHeight="1">
      <c r="A118" s="35">
        <v>1.024778E7</v>
      </c>
      <c r="B118" s="36"/>
      <c r="C118" s="11">
        <v>45353.54168981482</v>
      </c>
      <c r="D118" s="29">
        <v>26.0</v>
      </c>
      <c r="E118" s="37">
        <v>32647.0</v>
      </c>
      <c r="F118" s="29" t="s">
        <v>31</v>
      </c>
      <c r="G118" s="29" t="s">
        <v>32</v>
      </c>
      <c r="H118" s="29" t="s">
        <v>211</v>
      </c>
      <c r="I118" s="12" t="s">
        <v>212</v>
      </c>
      <c r="J118" s="12" t="s">
        <v>35</v>
      </c>
      <c r="K118" s="25" t="s">
        <v>213</v>
      </c>
      <c r="L118" s="28" t="s">
        <v>188</v>
      </c>
      <c r="M118" s="14" t="s">
        <v>184</v>
      </c>
      <c r="N118" s="40">
        <v>6290.0</v>
      </c>
      <c r="O118" s="17">
        <f t="shared" si="9"/>
        <v>0.5564387917</v>
      </c>
      <c r="P118" s="39">
        <v>3500.0</v>
      </c>
      <c r="Q118" s="29" t="s">
        <v>39</v>
      </c>
      <c r="R118" s="31">
        <v>1283090.0</v>
      </c>
      <c r="S118" s="29" t="s">
        <v>40</v>
      </c>
      <c r="T118" s="42">
        <v>4914225.0</v>
      </c>
      <c r="U118" s="44">
        <v>0.47708333333333336</v>
      </c>
      <c r="V118" s="44">
        <v>0.5965277777777778</v>
      </c>
      <c r="W118" s="29"/>
      <c r="X118" s="29"/>
      <c r="Y118" s="34">
        <v>45355.41805555556</v>
      </c>
      <c r="Z118" s="34">
        <v>45355.53055555555</v>
      </c>
      <c r="AA118" s="29"/>
      <c r="AB118" s="12"/>
      <c r="AC118" s="12"/>
      <c r="AD118" s="12"/>
      <c r="AE118" s="12" t="s">
        <v>39</v>
      </c>
      <c r="AF118" s="1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</row>
    <row r="119" ht="15.75" customHeight="1">
      <c r="A119" s="35">
        <v>1.0247781E7</v>
      </c>
      <c r="B119" s="43"/>
      <c r="C119" s="11">
        <v>45353.416666666664</v>
      </c>
      <c r="D119" s="29">
        <v>26.0</v>
      </c>
      <c r="E119" s="37">
        <v>32647.0</v>
      </c>
      <c r="F119" s="29" t="s">
        <v>31</v>
      </c>
      <c r="G119" s="29" t="s">
        <v>32</v>
      </c>
      <c r="H119" s="29" t="s">
        <v>214</v>
      </c>
      <c r="I119" s="12" t="s">
        <v>215</v>
      </c>
      <c r="J119" s="12" t="s">
        <v>35</v>
      </c>
      <c r="K119" s="25" t="s">
        <v>47</v>
      </c>
      <c r="L119" s="28" t="s">
        <v>108</v>
      </c>
      <c r="M119" s="14" t="s">
        <v>216</v>
      </c>
      <c r="N119" s="40">
        <v>2340.76</v>
      </c>
      <c r="O119" s="17">
        <f t="shared" si="9"/>
        <v>0.6408175123</v>
      </c>
      <c r="P119" s="39">
        <v>1500.0</v>
      </c>
      <c r="Q119" s="29" t="s">
        <v>39</v>
      </c>
      <c r="R119" s="31">
        <v>1283088.0</v>
      </c>
      <c r="S119" s="29" t="s">
        <v>40</v>
      </c>
      <c r="T119" s="42">
        <v>4914216.0</v>
      </c>
      <c r="U119" s="44">
        <v>0.45694444444444443</v>
      </c>
      <c r="V119" s="44">
        <v>0.6548611111111111</v>
      </c>
      <c r="W119" s="29"/>
      <c r="X119" s="29"/>
      <c r="Y119" s="34">
        <v>45353.76736111111</v>
      </c>
      <c r="Z119" s="34">
        <v>45324.96319444444</v>
      </c>
      <c r="AA119" s="29"/>
      <c r="AB119" s="12"/>
      <c r="AC119" s="12"/>
      <c r="AD119" s="12"/>
      <c r="AE119" s="12" t="s">
        <v>39</v>
      </c>
      <c r="AF119" s="1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</row>
    <row r="120" ht="15.75" customHeight="1">
      <c r="A120" s="35">
        <v>1.0255883E7</v>
      </c>
      <c r="B120" s="36"/>
      <c r="C120" s="11">
        <v>45355.75</v>
      </c>
      <c r="D120" s="29">
        <v>26.0</v>
      </c>
      <c r="E120" s="37">
        <v>32553.0</v>
      </c>
      <c r="F120" s="29" t="s">
        <v>43</v>
      </c>
      <c r="G120" s="29" t="s">
        <v>44</v>
      </c>
      <c r="H120" s="29" t="s">
        <v>45</v>
      </c>
      <c r="I120" s="12" t="s">
        <v>46</v>
      </c>
      <c r="J120" s="12" t="s">
        <v>35</v>
      </c>
      <c r="K120" s="15" t="s">
        <v>47</v>
      </c>
      <c r="L120" s="15" t="s">
        <v>108</v>
      </c>
      <c r="M120" s="14" t="s">
        <v>83</v>
      </c>
      <c r="N120" s="40">
        <v>2336.24</v>
      </c>
      <c r="O120" s="17">
        <f t="shared" si="9"/>
        <v>0.6420573229</v>
      </c>
      <c r="P120" s="39">
        <v>1500.0</v>
      </c>
      <c r="Q120" s="29" t="s">
        <v>39</v>
      </c>
      <c r="R120" s="31">
        <v>1284042.0</v>
      </c>
      <c r="S120" s="29" t="s">
        <v>40</v>
      </c>
      <c r="T120" s="42">
        <v>4918008.0</v>
      </c>
      <c r="U120" s="44">
        <v>0.5513888888888889</v>
      </c>
      <c r="V120" s="44">
        <v>0.6402777777777777</v>
      </c>
      <c r="W120" s="29"/>
      <c r="X120" s="29"/>
      <c r="Y120" s="34">
        <v>45356.43680555555</v>
      </c>
      <c r="Z120" s="34">
        <v>45356.51111111111</v>
      </c>
      <c r="AA120" s="29"/>
      <c r="AB120" s="12"/>
      <c r="AC120" s="12"/>
      <c r="AD120" s="12"/>
      <c r="AE120" s="12" t="s">
        <v>39</v>
      </c>
      <c r="AF120" s="1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</row>
    <row r="121" ht="15.75" customHeight="1">
      <c r="A121" s="35">
        <v>1.0255884E7</v>
      </c>
      <c r="B121" s="36"/>
      <c r="C121" s="11">
        <v>45355.75</v>
      </c>
      <c r="D121" s="29" t="s">
        <v>52</v>
      </c>
      <c r="E121" s="37" t="s">
        <v>52</v>
      </c>
      <c r="F121" s="29" t="s">
        <v>43</v>
      </c>
      <c r="G121" s="29" t="s">
        <v>44</v>
      </c>
      <c r="H121" s="29" t="s">
        <v>217</v>
      </c>
      <c r="I121" s="12" t="s">
        <v>46</v>
      </c>
      <c r="J121" s="12" t="s">
        <v>47</v>
      </c>
      <c r="K121" s="25" t="s">
        <v>35</v>
      </c>
      <c r="L121" s="28" t="s">
        <v>110</v>
      </c>
      <c r="M121" s="14" t="s">
        <v>83</v>
      </c>
      <c r="N121" s="40">
        <v>1557.5</v>
      </c>
      <c r="O121" s="17">
        <f t="shared" si="9"/>
        <v>0.4494382022</v>
      </c>
      <c r="P121" s="39">
        <v>700.0</v>
      </c>
      <c r="Q121" s="29"/>
      <c r="R121" s="31">
        <v>1284543.0</v>
      </c>
      <c r="S121" s="29" t="s">
        <v>40</v>
      </c>
      <c r="T121" s="42">
        <v>4921362.0</v>
      </c>
      <c r="U121" s="29"/>
      <c r="V121" s="29"/>
      <c r="W121" s="29"/>
      <c r="X121" s="29"/>
      <c r="Y121" s="29"/>
      <c r="Z121" s="29"/>
      <c r="AA121" s="29"/>
      <c r="AB121" s="12"/>
      <c r="AC121" s="12"/>
      <c r="AD121" s="12"/>
      <c r="AE121" s="12"/>
      <c r="AF121" s="1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</row>
    <row r="122" ht="15.75" customHeight="1">
      <c r="A122" s="35">
        <v>1.0257077E7</v>
      </c>
      <c r="B122" s="36"/>
      <c r="C122" s="11">
        <v>45356.75</v>
      </c>
      <c r="D122" s="29">
        <v>26.0</v>
      </c>
      <c r="E122" s="37">
        <v>31624.0</v>
      </c>
      <c r="F122" s="29" t="s">
        <v>31</v>
      </c>
      <c r="G122" s="29" t="s">
        <v>44</v>
      </c>
      <c r="H122" s="29" t="s">
        <v>139</v>
      </c>
      <c r="I122" s="12" t="s">
        <v>140</v>
      </c>
      <c r="J122" s="12" t="s">
        <v>35</v>
      </c>
      <c r="K122" s="25" t="s">
        <v>141</v>
      </c>
      <c r="L122" s="28" t="s">
        <v>94</v>
      </c>
      <c r="M122" s="14" t="s">
        <v>216</v>
      </c>
      <c r="N122" s="40">
        <v>7880.37</v>
      </c>
      <c r="O122" s="17">
        <f t="shared" si="9"/>
        <v>0.6344879745</v>
      </c>
      <c r="P122" s="39">
        <v>5000.0</v>
      </c>
      <c r="Q122" s="29" t="s">
        <v>39</v>
      </c>
      <c r="R122" s="31">
        <v>1284456.0</v>
      </c>
      <c r="S122" s="29" t="s">
        <v>40</v>
      </c>
      <c r="T122" s="42">
        <v>4920889.0</v>
      </c>
      <c r="U122" s="44">
        <v>0.5534722222222223</v>
      </c>
      <c r="V122" s="44">
        <v>0.7076388888888889</v>
      </c>
      <c r="W122" s="29"/>
      <c r="X122" s="29"/>
      <c r="Y122" s="29"/>
      <c r="Z122" s="29"/>
      <c r="AA122" s="29"/>
      <c r="AB122" s="12"/>
      <c r="AC122" s="12"/>
      <c r="AD122" s="12"/>
      <c r="AE122" s="12"/>
      <c r="AF122" s="1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</row>
    <row r="123" ht="15.75" customHeight="1">
      <c r="A123" s="35">
        <v>1.0258001E7</v>
      </c>
      <c r="B123" s="36"/>
      <c r="C123" s="11">
        <v>45356.708333333336</v>
      </c>
      <c r="D123" s="29">
        <v>26.0</v>
      </c>
      <c r="E123" s="37">
        <v>31625.0</v>
      </c>
      <c r="F123" s="29" t="s">
        <v>31</v>
      </c>
      <c r="G123" s="29" t="s">
        <v>44</v>
      </c>
      <c r="H123" s="29" t="s">
        <v>139</v>
      </c>
      <c r="I123" s="12" t="s">
        <v>140</v>
      </c>
      <c r="J123" s="12" t="s">
        <v>35</v>
      </c>
      <c r="K123" s="25" t="s">
        <v>141</v>
      </c>
      <c r="L123" s="28" t="s">
        <v>94</v>
      </c>
      <c r="M123" s="14" t="s">
        <v>143</v>
      </c>
      <c r="N123" s="40">
        <v>7880.37</v>
      </c>
      <c r="O123" s="17">
        <f t="shared" si="9"/>
        <v>0.697936772</v>
      </c>
      <c r="P123" s="39">
        <v>5500.0</v>
      </c>
      <c r="Q123" s="29" t="s">
        <v>39</v>
      </c>
      <c r="R123" s="31">
        <v>1284603.0</v>
      </c>
      <c r="S123" s="29" t="s">
        <v>40</v>
      </c>
      <c r="T123" s="42">
        <v>4921951.0</v>
      </c>
      <c r="U123" s="44">
        <v>0.5305555555555556</v>
      </c>
      <c r="V123" s="44">
        <v>0.6541666666666667</v>
      </c>
      <c r="W123" s="29"/>
      <c r="X123" s="29"/>
      <c r="Y123" s="34">
        <v>45358.333333333336</v>
      </c>
      <c r="Z123" s="34">
        <v>45358.67638888889</v>
      </c>
      <c r="AA123" s="29"/>
      <c r="AB123" s="12"/>
      <c r="AC123" s="12"/>
      <c r="AD123" s="12"/>
      <c r="AE123" s="12" t="s">
        <v>39</v>
      </c>
      <c r="AF123" s="1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ht="15.75" customHeight="1">
      <c r="A124" s="35">
        <v>1.0258002E7</v>
      </c>
      <c r="B124" s="36"/>
      <c r="C124" s="11">
        <v>45357.708333333336</v>
      </c>
      <c r="D124" s="29">
        <v>26.0</v>
      </c>
      <c r="E124" s="37">
        <v>31625.0</v>
      </c>
      <c r="F124" s="29" t="s">
        <v>31</v>
      </c>
      <c r="G124" s="29" t="s">
        <v>44</v>
      </c>
      <c r="H124" s="29" t="s">
        <v>139</v>
      </c>
      <c r="I124" s="12" t="s">
        <v>140</v>
      </c>
      <c r="J124" s="12" t="s">
        <v>35</v>
      </c>
      <c r="K124" s="25" t="s">
        <v>141</v>
      </c>
      <c r="L124" s="28" t="s">
        <v>94</v>
      </c>
      <c r="M124" s="14" t="s">
        <v>145</v>
      </c>
      <c r="N124" s="40">
        <v>7880.37</v>
      </c>
      <c r="O124" s="17">
        <f t="shared" si="9"/>
        <v>0.6344879745</v>
      </c>
      <c r="P124" s="39">
        <v>5000.0</v>
      </c>
      <c r="Q124" s="29" t="s">
        <v>39</v>
      </c>
      <c r="R124" s="31">
        <v>1285216.0</v>
      </c>
      <c r="S124" s="29" t="s">
        <v>40</v>
      </c>
      <c r="T124" s="42">
        <v>4924800.0</v>
      </c>
      <c r="U124" s="44">
        <v>0.5479166666666667</v>
      </c>
      <c r="V124" s="44">
        <v>0.8368055555555556</v>
      </c>
      <c r="W124" s="29"/>
      <c r="X124" s="29"/>
      <c r="Y124" s="34">
        <v>45359.67291666667</v>
      </c>
      <c r="Z124" s="34">
        <v>45359.79305555556</v>
      </c>
      <c r="AA124" s="29"/>
      <c r="AB124" s="12"/>
      <c r="AC124" s="12"/>
      <c r="AD124" s="12"/>
      <c r="AE124" s="12" t="s">
        <v>39</v>
      </c>
      <c r="AF124" s="1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</row>
    <row r="125" ht="15.75" customHeight="1">
      <c r="A125" s="35">
        <v>1.0258003E7</v>
      </c>
      <c r="B125" s="36"/>
      <c r="C125" s="11">
        <v>45357.708333333336</v>
      </c>
      <c r="D125" s="29">
        <v>26.0</v>
      </c>
      <c r="E125" s="37">
        <v>31625.0</v>
      </c>
      <c r="F125" s="29" t="s">
        <v>31</v>
      </c>
      <c r="G125" s="29" t="s">
        <v>44</v>
      </c>
      <c r="H125" s="29" t="s">
        <v>139</v>
      </c>
      <c r="I125" s="12" t="s">
        <v>140</v>
      </c>
      <c r="J125" s="12" t="s">
        <v>35</v>
      </c>
      <c r="K125" s="25" t="s">
        <v>141</v>
      </c>
      <c r="L125" s="28" t="s">
        <v>94</v>
      </c>
      <c r="M125" s="14" t="s">
        <v>162</v>
      </c>
      <c r="N125" s="40">
        <v>7880.37</v>
      </c>
      <c r="O125" s="17">
        <f t="shared" si="9"/>
        <v>0.6344879745</v>
      </c>
      <c r="P125" s="39">
        <v>5000.0</v>
      </c>
      <c r="Q125" s="29" t="s">
        <v>39</v>
      </c>
      <c r="R125" s="31">
        <v>1285199.0</v>
      </c>
      <c r="S125" s="29" t="s">
        <v>40</v>
      </c>
      <c r="T125" s="42">
        <v>4924717.0</v>
      </c>
      <c r="U125" s="44">
        <v>0.4131944444444444</v>
      </c>
      <c r="V125" s="44">
        <v>0.5847222222222223</v>
      </c>
      <c r="W125" s="29"/>
      <c r="X125" s="29"/>
      <c r="Y125" s="34">
        <v>45358.77291666667</v>
      </c>
      <c r="Z125" s="34">
        <v>45358.83541666667</v>
      </c>
      <c r="AA125" s="29"/>
      <c r="AB125" s="12"/>
      <c r="AC125" s="12"/>
      <c r="AD125" s="12"/>
      <c r="AE125" s="12" t="s">
        <v>39</v>
      </c>
      <c r="AF125" s="1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</row>
    <row r="126" ht="15.75" customHeight="1">
      <c r="A126" s="35">
        <v>1.0258004E7</v>
      </c>
      <c r="B126" s="36"/>
      <c r="C126" s="11">
        <v>45357.708333333336</v>
      </c>
      <c r="D126" s="29">
        <v>26.0</v>
      </c>
      <c r="E126" s="37">
        <v>31625.0</v>
      </c>
      <c r="F126" s="29" t="s">
        <v>31</v>
      </c>
      <c r="G126" s="29" t="s">
        <v>44</v>
      </c>
      <c r="H126" s="29" t="s">
        <v>139</v>
      </c>
      <c r="I126" s="12" t="s">
        <v>140</v>
      </c>
      <c r="J126" s="12" t="s">
        <v>35</v>
      </c>
      <c r="K126" s="25" t="s">
        <v>141</v>
      </c>
      <c r="L126" s="28" t="s">
        <v>94</v>
      </c>
      <c r="M126" s="14" t="s">
        <v>144</v>
      </c>
      <c r="N126" s="40">
        <v>7880.37</v>
      </c>
      <c r="O126" s="17">
        <f t="shared" si="9"/>
        <v>0.6344879745</v>
      </c>
      <c r="P126" s="39">
        <v>5000.0</v>
      </c>
      <c r="Q126" s="29" t="s">
        <v>39</v>
      </c>
      <c r="R126" s="31">
        <v>1285214.0</v>
      </c>
      <c r="S126" s="29" t="s">
        <v>40</v>
      </c>
      <c r="T126" s="42">
        <v>4924797.0</v>
      </c>
      <c r="U126" s="44">
        <v>0.6451388888888889</v>
      </c>
      <c r="V126" s="44">
        <v>0.81875</v>
      </c>
      <c r="W126" s="29"/>
      <c r="X126" s="29"/>
      <c r="Y126" s="34">
        <v>45359.37708333333</v>
      </c>
      <c r="Z126" s="34">
        <v>45359.490277777775</v>
      </c>
      <c r="AA126" s="29"/>
      <c r="AB126" s="12"/>
      <c r="AC126" s="12"/>
      <c r="AD126" s="12"/>
      <c r="AE126" s="12" t="s">
        <v>39</v>
      </c>
      <c r="AF126" s="1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</row>
    <row r="127" ht="15.75" customHeight="1">
      <c r="A127" s="35">
        <v>1.0260363E7</v>
      </c>
      <c r="B127" s="36"/>
      <c r="C127" s="11">
        <v>45357.833333333336</v>
      </c>
      <c r="D127" s="29">
        <v>26.0</v>
      </c>
      <c r="E127" s="37">
        <v>31625.0</v>
      </c>
      <c r="F127" s="29" t="s">
        <v>31</v>
      </c>
      <c r="G127" s="29" t="s">
        <v>44</v>
      </c>
      <c r="H127" s="29" t="s">
        <v>139</v>
      </c>
      <c r="I127" s="12" t="s">
        <v>140</v>
      </c>
      <c r="J127" s="12" t="s">
        <v>35</v>
      </c>
      <c r="K127" s="25" t="s">
        <v>141</v>
      </c>
      <c r="L127" s="28" t="s">
        <v>94</v>
      </c>
      <c r="M127" s="14" t="s">
        <v>173</v>
      </c>
      <c r="N127" s="40">
        <v>7880.37</v>
      </c>
      <c r="O127" s="17">
        <f t="shared" si="9"/>
        <v>0.6344879745</v>
      </c>
      <c r="P127" s="39">
        <v>5000.0</v>
      </c>
      <c r="Q127" s="29" t="s">
        <v>39</v>
      </c>
      <c r="R127" s="31">
        <v>1285840.0</v>
      </c>
      <c r="S127" s="29" t="s">
        <v>40</v>
      </c>
      <c r="T127" s="42">
        <v>4928255.0</v>
      </c>
      <c r="U127" s="44">
        <v>0.6479166666666667</v>
      </c>
      <c r="V127" s="44">
        <v>0.8527777777777777</v>
      </c>
      <c r="W127" s="29"/>
      <c r="X127" s="29"/>
      <c r="Y127" s="34">
        <v>45359.563888888886</v>
      </c>
      <c r="Z127" s="34">
        <v>45359.71805555555</v>
      </c>
      <c r="AA127" s="29"/>
      <c r="AB127" s="12"/>
      <c r="AC127" s="12"/>
      <c r="AD127" s="12"/>
      <c r="AE127" s="12" t="s">
        <v>39</v>
      </c>
      <c r="AF127" s="1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</row>
    <row r="128" ht="15.75" customHeight="1">
      <c r="A128" s="35">
        <v>1.0260364E7</v>
      </c>
      <c r="B128" s="36"/>
      <c r="C128" s="11">
        <v>45357.833333333336</v>
      </c>
      <c r="D128" s="29">
        <v>26.0</v>
      </c>
      <c r="E128" s="37">
        <v>31625.0</v>
      </c>
      <c r="F128" s="29" t="s">
        <v>31</v>
      </c>
      <c r="G128" s="29" t="s">
        <v>44</v>
      </c>
      <c r="H128" s="29" t="s">
        <v>139</v>
      </c>
      <c r="I128" s="12" t="s">
        <v>140</v>
      </c>
      <c r="J128" s="12" t="s">
        <v>35</v>
      </c>
      <c r="K128" s="25" t="s">
        <v>141</v>
      </c>
      <c r="L128" s="28" t="s">
        <v>94</v>
      </c>
      <c r="M128" s="14" t="s">
        <v>83</v>
      </c>
      <c r="N128" s="40">
        <v>7880.37</v>
      </c>
      <c r="O128" s="17">
        <f t="shared" si="9"/>
        <v>0.6344879745</v>
      </c>
      <c r="P128" s="39">
        <v>5000.0</v>
      </c>
      <c r="Q128" s="29" t="s">
        <v>39</v>
      </c>
      <c r="R128" s="31">
        <v>1285439.0</v>
      </c>
      <c r="S128" s="29" t="s">
        <v>40</v>
      </c>
      <c r="T128" s="42">
        <v>4925847.0</v>
      </c>
      <c r="U128" s="44">
        <v>0.6673611111111111</v>
      </c>
      <c r="V128" s="44">
        <v>0.375</v>
      </c>
      <c r="W128" s="29"/>
      <c r="X128" s="29"/>
      <c r="Y128" s="34">
        <v>45359.52291666667</v>
      </c>
      <c r="Z128" s="34">
        <v>45359.629166666666</v>
      </c>
      <c r="AA128" s="29"/>
      <c r="AB128" s="12"/>
      <c r="AC128" s="12"/>
      <c r="AD128" s="12"/>
      <c r="AE128" s="12" t="s">
        <v>39</v>
      </c>
      <c r="AF128" s="1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</row>
    <row r="129" ht="15.75" customHeight="1">
      <c r="A129" s="35">
        <v>1.0260465E7</v>
      </c>
      <c r="B129" s="36"/>
      <c r="C129" s="11">
        <v>45362.875</v>
      </c>
      <c r="D129" s="29">
        <v>26.0</v>
      </c>
      <c r="E129" s="37">
        <v>31625.0</v>
      </c>
      <c r="F129" s="29" t="s">
        <v>31</v>
      </c>
      <c r="G129" s="29" t="s">
        <v>32</v>
      </c>
      <c r="H129" s="29" t="s">
        <v>91</v>
      </c>
      <c r="I129" s="12" t="s">
        <v>92</v>
      </c>
      <c r="J129" s="14" t="s">
        <v>35</v>
      </c>
      <c r="K129" s="25" t="s">
        <v>93</v>
      </c>
      <c r="L129" s="25" t="s">
        <v>114</v>
      </c>
      <c r="M129" s="12"/>
      <c r="N129" s="40">
        <v>5446.0</v>
      </c>
      <c r="O129" s="17">
        <f t="shared" si="9"/>
        <v>0.7803892765</v>
      </c>
      <c r="P129" s="39">
        <v>4250.0</v>
      </c>
      <c r="Q129" s="29"/>
      <c r="R129" s="31"/>
      <c r="S129" s="29" t="s">
        <v>131</v>
      </c>
      <c r="T129" s="29"/>
      <c r="U129" s="29"/>
      <c r="V129" s="29"/>
      <c r="W129" s="29"/>
      <c r="X129" s="29"/>
      <c r="Y129" s="29"/>
      <c r="Z129" s="29"/>
      <c r="AA129" s="29"/>
      <c r="AB129" s="12"/>
      <c r="AC129" s="12"/>
      <c r="AD129" s="12"/>
      <c r="AE129" s="12"/>
      <c r="AF129" s="1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</row>
    <row r="130" ht="15.75" customHeight="1">
      <c r="A130" s="35">
        <v>1.0260475E7</v>
      </c>
      <c r="B130" s="36"/>
      <c r="C130" s="11">
        <v>45359.833333333336</v>
      </c>
      <c r="D130" s="29">
        <v>26.0</v>
      </c>
      <c r="E130" s="37">
        <v>31877.0</v>
      </c>
      <c r="F130" s="29" t="s">
        <v>31</v>
      </c>
      <c r="G130" s="29" t="s">
        <v>44</v>
      </c>
      <c r="H130" s="29" t="s">
        <v>136</v>
      </c>
      <c r="I130" s="15" t="s">
        <v>137</v>
      </c>
      <c r="J130" s="12" t="s">
        <v>35</v>
      </c>
      <c r="K130" s="28" t="s">
        <v>138</v>
      </c>
      <c r="L130" s="25" t="s">
        <v>94</v>
      </c>
      <c r="M130" s="14" t="s">
        <v>69</v>
      </c>
      <c r="N130" s="40">
        <v>5446.0</v>
      </c>
      <c r="O130" s="17">
        <f t="shared" si="9"/>
        <v>0.734484025</v>
      </c>
      <c r="P130" s="39">
        <v>4000.0</v>
      </c>
      <c r="Q130" s="29" t="s">
        <v>39</v>
      </c>
      <c r="R130" s="31"/>
      <c r="S130" s="29" t="s">
        <v>131</v>
      </c>
      <c r="T130" s="42"/>
      <c r="U130" s="44">
        <v>0.3680555555555556</v>
      </c>
      <c r="V130" s="29"/>
      <c r="W130" s="29"/>
      <c r="X130" s="29"/>
      <c r="Y130" s="29"/>
      <c r="Z130" s="29"/>
      <c r="AA130" s="29"/>
      <c r="AB130" s="12"/>
      <c r="AC130" s="12"/>
      <c r="AD130" s="12"/>
      <c r="AE130" s="12"/>
      <c r="AF130" s="1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</row>
    <row r="131" ht="15.75" customHeight="1">
      <c r="A131" s="35">
        <v>1.0261528E7</v>
      </c>
      <c r="B131" s="43"/>
      <c r="C131" s="11">
        <v>45359.375</v>
      </c>
      <c r="D131" s="29">
        <v>24.0</v>
      </c>
      <c r="E131" s="37">
        <v>30124.0</v>
      </c>
      <c r="F131" s="29" t="s">
        <v>31</v>
      </c>
      <c r="G131" s="29" t="s">
        <v>74</v>
      </c>
      <c r="H131" s="29" t="s">
        <v>218</v>
      </c>
      <c r="I131" s="29" t="s">
        <v>219</v>
      </c>
      <c r="J131" s="55" t="s">
        <v>35</v>
      </c>
      <c r="K131" s="25" t="s">
        <v>187</v>
      </c>
      <c r="L131" s="25" t="s">
        <v>188</v>
      </c>
      <c r="M131" s="14" t="s">
        <v>180</v>
      </c>
      <c r="N131" s="40">
        <v>4404.76</v>
      </c>
      <c r="O131" s="17">
        <f t="shared" si="9"/>
        <v>0.567567813</v>
      </c>
      <c r="P131" s="39">
        <v>2500.0</v>
      </c>
      <c r="Q131" s="29" t="s">
        <v>39</v>
      </c>
      <c r="R131" s="31">
        <v>1286532.0</v>
      </c>
      <c r="S131" s="29" t="s">
        <v>40</v>
      </c>
      <c r="T131" s="42">
        <v>4942276.0</v>
      </c>
      <c r="U131" s="29"/>
      <c r="V131" s="29"/>
      <c r="W131" s="29"/>
      <c r="X131" s="29"/>
      <c r="Y131" s="34">
        <v>45362.27847222222</v>
      </c>
      <c r="Z131" s="34">
        <v>45362.748611111114</v>
      </c>
      <c r="AA131" s="29"/>
      <c r="AB131" s="12"/>
      <c r="AC131" s="12"/>
      <c r="AD131" s="12"/>
      <c r="AE131" s="12" t="s">
        <v>39</v>
      </c>
      <c r="AF131" s="1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</row>
    <row r="132" ht="15.75" customHeight="1">
      <c r="A132" s="35">
        <v>1.0261593E7</v>
      </c>
      <c r="B132" s="36"/>
      <c r="C132" s="11">
        <v>45359.0</v>
      </c>
      <c r="D132" s="29">
        <v>26.0</v>
      </c>
      <c r="E132" s="37">
        <v>32724.0</v>
      </c>
      <c r="F132" s="29" t="s">
        <v>31</v>
      </c>
      <c r="G132" s="29" t="s">
        <v>74</v>
      </c>
      <c r="H132" s="29" t="s">
        <v>218</v>
      </c>
      <c r="I132" s="12" t="s">
        <v>219</v>
      </c>
      <c r="J132" s="14" t="s">
        <v>35</v>
      </c>
      <c r="K132" s="12" t="s">
        <v>187</v>
      </c>
      <c r="L132" s="25" t="s">
        <v>188</v>
      </c>
      <c r="M132" s="14" t="s">
        <v>128</v>
      </c>
      <c r="N132" s="40">
        <v>4404.76</v>
      </c>
      <c r="O132" s="17">
        <f t="shared" si="9"/>
        <v>0.567567813</v>
      </c>
      <c r="P132" s="39">
        <v>2500.0</v>
      </c>
      <c r="Q132" s="29" t="s">
        <v>39</v>
      </c>
      <c r="R132" s="31">
        <v>1286838.0</v>
      </c>
      <c r="S132" s="29" t="s">
        <v>40</v>
      </c>
      <c r="T132" s="42">
        <v>4944668.0</v>
      </c>
      <c r="U132" s="29"/>
      <c r="V132" s="29"/>
      <c r="W132" s="29"/>
      <c r="X132" s="29"/>
      <c r="Y132" s="34">
        <v>45362.27847222222</v>
      </c>
      <c r="Z132" s="34">
        <v>45362.37777777778</v>
      </c>
      <c r="AA132" s="29"/>
      <c r="AB132" s="12"/>
      <c r="AC132" s="12"/>
      <c r="AD132" s="12"/>
      <c r="AE132" s="12" t="s">
        <v>39</v>
      </c>
      <c r="AF132" s="1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</row>
    <row r="133" ht="15.75" customHeight="1">
      <c r="A133" s="35">
        <v>1.0265523E7</v>
      </c>
      <c r="B133" s="36"/>
      <c r="C133" s="11">
        <v>45363.583333333336</v>
      </c>
      <c r="D133" s="29">
        <v>26.0</v>
      </c>
      <c r="E133" s="37">
        <v>31625.0</v>
      </c>
      <c r="F133" s="29" t="s">
        <v>31</v>
      </c>
      <c r="G133" s="29" t="s">
        <v>32</v>
      </c>
      <c r="H133" s="29" t="s">
        <v>208</v>
      </c>
      <c r="I133" s="12" t="s">
        <v>209</v>
      </c>
      <c r="J133" s="12" t="s">
        <v>35</v>
      </c>
      <c r="K133" s="25" t="s">
        <v>210</v>
      </c>
      <c r="L133" s="28" t="s">
        <v>94</v>
      </c>
      <c r="M133" s="14" t="s">
        <v>69</v>
      </c>
      <c r="N133" s="40">
        <v>5446.0</v>
      </c>
      <c r="O133" s="17">
        <f t="shared" si="9"/>
        <v>0.734484025</v>
      </c>
      <c r="P133" s="39">
        <v>4000.0</v>
      </c>
      <c r="Q133" s="29" t="s">
        <v>39</v>
      </c>
      <c r="R133" s="31">
        <v>1288719.0</v>
      </c>
      <c r="S133" s="29" t="s">
        <v>40</v>
      </c>
      <c r="T133" s="42">
        <v>4954108.0</v>
      </c>
      <c r="U133" s="29"/>
      <c r="V133" s="29"/>
      <c r="W133" s="29"/>
      <c r="X133" s="29"/>
      <c r="Y133" s="34">
        <v>45365.26666666667</v>
      </c>
      <c r="Z133" s="34">
        <v>45365.72083333333</v>
      </c>
      <c r="AA133" s="29"/>
      <c r="AB133" s="12"/>
      <c r="AC133" s="12"/>
      <c r="AD133" s="12"/>
      <c r="AE133" s="12" t="s">
        <v>39</v>
      </c>
      <c r="AF133" s="1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</row>
    <row r="134" ht="15.75" customHeight="1">
      <c r="A134" s="35">
        <v>1.0267377E7</v>
      </c>
      <c r="B134" s="43"/>
      <c r="C134" s="11">
        <v>45359.666666666664</v>
      </c>
      <c r="D134" s="29">
        <v>26.0</v>
      </c>
      <c r="E134" s="37">
        <v>31625.0</v>
      </c>
      <c r="F134" s="29" t="s">
        <v>31</v>
      </c>
      <c r="G134" s="29" t="s">
        <v>44</v>
      </c>
      <c r="H134" s="29" t="s">
        <v>139</v>
      </c>
      <c r="I134" s="29" t="s">
        <v>140</v>
      </c>
      <c r="J134" s="25" t="s">
        <v>35</v>
      </c>
      <c r="K134" s="25" t="s">
        <v>141</v>
      </c>
      <c r="L134" s="28" t="s">
        <v>94</v>
      </c>
      <c r="M134" s="14" t="s">
        <v>151</v>
      </c>
      <c r="N134" s="40">
        <v>7880.37</v>
      </c>
      <c r="O134" s="17">
        <f t="shared" si="9"/>
        <v>0.6344879745</v>
      </c>
      <c r="P134" s="39">
        <v>5000.0</v>
      </c>
      <c r="Q134" s="29" t="s">
        <v>39</v>
      </c>
      <c r="R134" s="31">
        <v>1286527.0</v>
      </c>
      <c r="S134" s="29" t="s">
        <v>40</v>
      </c>
      <c r="T134" s="42">
        <v>4942238.0</v>
      </c>
      <c r="U134" s="29"/>
      <c r="V134" s="29"/>
      <c r="W134" s="29"/>
      <c r="X134" s="29"/>
      <c r="Y134" s="34">
        <v>45362.291666666664</v>
      </c>
      <c r="Z134" s="34">
        <v>45362.645833333336</v>
      </c>
      <c r="AA134" s="29"/>
      <c r="AB134" s="12"/>
      <c r="AC134" s="12"/>
      <c r="AD134" s="12"/>
      <c r="AE134" s="12" t="s">
        <v>39</v>
      </c>
      <c r="AF134" s="1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</row>
    <row r="135" ht="15.75" customHeight="1">
      <c r="A135" s="35">
        <v>1.0267388E7</v>
      </c>
      <c r="B135" s="43"/>
      <c r="C135" s="11">
        <v>45362.0</v>
      </c>
      <c r="D135" s="29">
        <v>26.0</v>
      </c>
      <c r="E135" s="37">
        <v>31625.0</v>
      </c>
      <c r="F135" s="29" t="s">
        <v>31</v>
      </c>
      <c r="G135" s="29" t="s">
        <v>44</v>
      </c>
      <c r="H135" s="29" t="s">
        <v>139</v>
      </c>
      <c r="I135" s="12" t="s">
        <v>140</v>
      </c>
      <c r="J135" s="12" t="s">
        <v>35</v>
      </c>
      <c r="K135" s="25" t="s">
        <v>141</v>
      </c>
      <c r="L135" s="28" t="s">
        <v>94</v>
      </c>
      <c r="M135" s="14"/>
      <c r="N135" s="40">
        <v>7880.37</v>
      </c>
      <c r="O135" s="17">
        <f t="shared" si="9"/>
        <v>0.6344879745</v>
      </c>
      <c r="P135" s="39">
        <v>5000.0</v>
      </c>
      <c r="Q135" s="29"/>
      <c r="R135" s="31"/>
      <c r="S135" s="29" t="s">
        <v>131</v>
      </c>
      <c r="T135" s="29"/>
      <c r="U135" s="29"/>
      <c r="V135" s="29"/>
      <c r="W135" s="29"/>
      <c r="X135" s="29"/>
      <c r="Y135" s="29"/>
      <c r="Z135" s="29"/>
      <c r="AA135" s="29"/>
      <c r="AB135" s="12"/>
      <c r="AC135" s="12"/>
      <c r="AD135" s="12"/>
      <c r="AE135" s="12"/>
      <c r="AF135" s="1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ht="15.75" customHeight="1">
      <c r="A136" s="35">
        <v>1.0267389E7</v>
      </c>
      <c r="B136" s="43"/>
      <c r="C136" s="11">
        <v>45359.0</v>
      </c>
      <c r="D136" s="29">
        <v>26.0</v>
      </c>
      <c r="E136" s="37">
        <v>31625.0</v>
      </c>
      <c r="F136" s="29" t="s">
        <v>31</v>
      </c>
      <c r="G136" s="29" t="s">
        <v>44</v>
      </c>
      <c r="H136" s="29" t="s">
        <v>139</v>
      </c>
      <c r="I136" s="29" t="s">
        <v>140</v>
      </c>
      <c r="J136" s="25" t="s">
        <v>35</v>
      </c>
      <c r="K136" s="25" t="s">
        <v>141</v>
      </c>
      <c r="L136" s="28" t="s">
        <v>94</v>
      </c>
      <c r="M136" s="14" t="s">
        <v>146</v>
      </c>
      <c r="N136" s="40">
        <v>7880.37</v>
      </c>
      <c r="O136" s="17">
        <f t="shared" si="9"/>
        <v>0.6344879745</v>
      </c>
      <c r="P136" s="39">
        <v>5000.0</v>
      </c>
      <c r="Q136" s="29" t="s">
        <v>39</v>
      </c>
      <c r="R136" s="31">
        <v>1286694.0</v>
      </c>
      <c r="S136" s="29" t="s">
        <v>40</v>
      </c>
      <c r="T136" s="42">
        <v>4943443.0</v>
      </c>
      <c r="U136" s="29"/>
      <c r="V136" s="29"/>
      <c r="W136" s="29"/>
      <c r="X136" s="29"/>
      <c r="Y136" s="34">
        <v>45361.68680555555</v>
      </c>
      <c r="Z136" s="34">
        <v>45362.634722222225</v>
      </c>
      <c r="AA136" s="29"/>
      <c r="AB136" s="12"/>
      <c r="AC136" s="12"/>
      <c r="AD136" s="12"/>
      <c r="AE136" s="12" t="s">
        <v>39</v>
      </c>
      <c r="AF136" s="1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</row>
    <row r="137" ht="15.75" customHeight="1">
      <c r="A137" s="35">
        <v>1.026739E7</v>
      </c>
      <c r="B137" s="36"/>
      <c r="C137" s="11">
        <v>45364.75</v>
      </c>
      <c r="D137" s="29">
        <v>19.0</v>
      </c>
      <c r="E137" s="37">
        <v>23339.0</v>
      </c>
      <c r="F137" s="29" t="s">
        <v>31</v>
      </c>
      <c r="G137" s="29" t="s">
        <v>74</v>
      </c>
      <c r="H137" s="29" t="s">
        <v>220</v>
      </c>
      <c r="I137" s="29" t="s">
        <v>221</v>
      </c>
      <c r="J137" s="55" t="s">
        <v>35</v>
      </c>
      <c r="K137" s="25" t="s">
        <v>187</v>
      </c>
      <c r="L137" s="25" t="s">
        <v>188</v>
      </c>
      <c r="M137" s="14"/>
      <c r="N137" s="40">
        <v>4404.76</v>
      </c>
      <c r="O137" s="17">
        <f t="shared" si="9"/>
        <v>0.567567813</v>
      </c>
      <c r="P137" s="39">
        <v>2500.0</v>
      </c>
      <c r="Q137" s="29" t="s">
        <v>39</v>
      </c>
      <c r="R137" s="31"/>
      <c r="S137" s="29" t="s">
        <v>165</v>
      </c>
      <c r="T137" s="29"/>
      <c r="U137" s="29"/>
      <c r="V137" s="29"/>
      <c r="W137" s="29"/>
      <c r="X137" s="29"/>
      <c r="Y137" s="29"/>
      <c r="Z137" s="29"/>
      <c r="AA137" s="29"/>
      <c r="AB137" s="12"/>
      <c r="AC137" s="12"/>
      <c r="AD137" s="12"/>
      <c r="AE137" s="12"/>
      <c r="AF137" s="1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</row>
    <row r="138" ht="15.75" customHeight="1">
      <c r="A138" s="35">
        <v>1.0267401E7</v>
      </c>
      <c r="B138" s="36"/>
      <c r="C138" s="11">
        <v>45364.75</v>
      </c>
      <c r="D138" s="29">
        <v>26.0</v>
      </c>
      <c r="E138" s="37">
        <v>33430.0</v>
      </c>
      <c r="F138" s="29" t="s">
        <v>31</v>
      </c>
      <c r="G138" s="29" t="s">
        <v>74</v>
      </c>
      <c r="H138" s="29" t="s">
        <v>220</v>
      </c>
      <c r="I138" s="29" t="s">
        <v>221</v>
      </c>
      <c r="J138" s="55" t="s">
        <v>35</v>
      </c>
      <c r="K138" s="25" t="s">
        <v>187</v>
      </c>
      <c r="L138" s="25" t="s">
        <v>188</v>
      </c>
      <c r="M138" s="14"/>
      <c r="N138" s="40">
        <v>4551.98</v>
      </c>
      <c r="O138" s="17">
        <f t="shared" si="9"/>
        <v>0.5492115519</v>
      </c>
      <c r="P138" s="39">
        <v>2500.0</v>
      </c>
      <c r="Q138" s="29" t="s">
        <v>39</v>
      </c>
      <c r="R138" s="31"/>
      <c r="S138" s="29" t="s">
        <v>165</v>
      </c>
      <c r="T138" s="29"/>
      <c r="U138" s="29"/>
      <c r="V138" s="29"/>
      <c r="W138" s="29"/>
      <c r="X138" s="29"/>
      <c r="Y138" s="29"/>
      <c r="Z138" s="29"/>
      <c r="AA138" s="29"/>
      <c r="AB138" s="12"/>
      <c r="AC138" s="12"/>
      <c r="AD138" s="12"/>
      <c r="AE138" s="12"/>
      <c r="AF138" s="1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</row>
    <row r="139" ht="15.75" customHeight="1">
      <c r="A139" s="35">
        <v>1.026793E7</v>
      </c>
      <c r="B139" s="43"/>
      <c r="C139" s="11">
        <v>45362.75</v>
      </c>
      <c r="D139" s="29">
        <v>26.0</v>
      </c>
      <c r="E139" s="37">
        <v>30748.0</v>
      </c>
      <c r="F139" s="29" t="s">
        <v>43</v>
      </c>
      <c r="G139" s="29" t="s">
        <v>44</v>
      </c>
      <c r="H139" s="29" t="s">
        <v>45</v>
      </c>
      <c r="I139" s="29" t="s">
        <v>46</v>
      </c>
      <c r="J139" s="25" t="s">
        <v>35</v>
      </c>
      <c r="K139" s="28" t="s">
        <v>47</v>
      </c>
      <c r="L139" s="28" t="s">
        <v>108</v>
      </c>
      <c r="M139" s="14" t="s">
        <v>69</v>
      </c>
      <c r="N139" s="40">
        <v>2169.28</v>
      </c>
      <c r="O139" s="17">
        <f t="shared" si="9"/>
        <v>0.6914736687</v>
      </c>
      <c r="P139" s="39">
        <v>1500.0</v>
      </c>
      <c r="Q139" s="29" t="s">
        <v>39</v>
      </c>
      <c r="R139" s="31">
        <v>1287855.0</v>
      </c>
      <c r="S139" s="29" t="s">
        <v>40</v>
      </c>
      <c r="T139" s="42">
        <v>4948635.0</v>
      </c>
      <c r="U139" s="29"/>
      <c r="V139" s="29"/>
      <c r="W139" s="29"/>
      <c r="X139" s="29"/>
      <c r="Y139" s="34">
        <v>45362.7</v>
      </c>
      <c r="Z139" s="34">
        <v>45363.504166666666</v>
      </c>
      <c r="AA139" s="29"/>
      <c r="AB139" s="12"/>
      <c r="AC139" s="12"/>
      <c r="AD139" s="12"/>
      <c r="AE139" s="12" t="s">
        <v>39</v>
      </c>
      <c r="AF139" s="1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</row>
    <row r="140" ht="15.75" customHeight="1">
      <c r="A140" s="35">
        <v>1.0267931E7</v>
      </c>
      <c r="B140" s="43"/>
      <c r="C140" s="11">
        <v>45362.0</v>
      </c>
      <c r="D140" s="29" t="s">
        <v>52</v>
      </c>
      <c r="E140" s="37" t="s">
        <v>52</v>
      </c>
      <c r="F140" s="29" t="s">
        <v>43</v>
      </c>
      <c r="G140" s="29" t="s">
        <v>44</v>
      </c>
      <c r="H140" s="29" t="s">
        <v>222</v>
      </c>
      <c r="I140" s="25" t="s">
        <v>46</v>
      </c>
      <c r="J140" s="25" t="s">
        <v>47</v>
      </c>
      <c r="K140" s="25" t="s">
        <v>35</v>
      </c>
      <c r="L140" s="28" t="s">
        <v>110</v>
      </c>
      <c r="M140" s="14"/>
      <c r="N140" s="40">
        <v>1446.19</v>
      </c>
      <c r="O140" s="17">
        <f t="shared" si="9"/>
        <v>0.4840304524</v>
      </c>
      <c r="P140" s="39">
        <v>700.0</v>
      </c>
      <c r="Q140" s="29"/>
      <c r="R140" s="31"/>
      <c r="S140" s="29" t="s">
        <v>131</v>
      </c>
      <c r="T140" s="29"/>
      <c r="U140" s="29"/>
      <c r="V140" s="29"/>
      <c r="W140" s="29"/>
      <c r="X140" s="29"/>
      <c r="Y140" s="29"/>
      <c r="Z140" s="29"/>
      <c r="AA140" s="29"/>
      <c r="AB140" s="12"/>
      <c r="AC140" s="12"/>
      <c r="AD140" s="12"/>
      <c r="AE140" s="12"/>
      <c r="AF140" s="1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</row>
    <row r="141" ht="15.75" customHeight="1">
      <c r="A141" s="35">
        <v>1.0268193E7</v>
      </c>
      <c r="B141" s="43"/>
      <c r="C141" s="11">
        <v>45359.0</v>
      </c>
      <c r="D141" s="29">
        <v>26.0</v>
      </c>
      <c r="E141" s="37">
        <v>31625.0</v>
      </c>
      <c r="F141" s="29" t="s">
        <v>31</v>
      </c>
      <c r="G141" s="29" t="s">
        <v>44</v>
      </c>
      <c r="H141" s="29" t="s">
        <v>139</v>
      </c>
      <c r="I141" s="25" t="s">
        <v>140</v>
      </c>
      <c r="J141" s="25" t="s">
        <v>35</v>
      </c>
      <c r="K141" s="25" t="s">
        <v>141</v>
      </c>
      <c r="L141" s="28" t="s">
        <v>94</v>
      </c>
      <c r="M141" s="14" t="s">
        <v>184</v>
      </c>
      <c r="N141" s="40">
        <v>7880.37</v>
      </c>
      <c r="O141" s="17">
        <f t="shared" si="9"/>
        <v>0.6344879745</v>
      </c>
      <c r="P141" s="39">
        <v>5000.0</v>
      </c>
      <c r="Q141" s="29" t="s">
        <v>39</v>
      </c>
      <c r="R141" s="31">
        <v>1286495.0</v>
      </c>
      <c r="S141" s="29" t="s">
        <v>40</v>
      </c>
      <c r="T141" s="42">
        <v>4942018.0</v>
      </c>
      <c r="U141" s="29"/>
      <c r="V141" s="29"/>
      <c r="W141" s="29"/>
      <c r="X141" s="29"/>
      <c r="Y141" s="34">
        <v>45362.279861111114</v>
      </c>
      <c r="Z141" s="34">
        <v>45362.635416666664</v>
      </c>
      <c r="AA141" s="29"/>
      <c r="AB141" s="12"/>
      <c r="AC141" s="12"/>
      <c r="AD141" s="12"/>
      <c r="AE141" s="12" t="s">
        <v>39</v>
      </c>
      <c r="AF141" s="1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</row>
    <row r="142" ht="15.75" customHeight="1">
      <c r="A142" s="35">
        <v>1.0270244E7</v>
      </c>
      <c r="B142" s="36"/>
      <c r="C142" s="11">
        <v>45365.833333333336</v>
      </c>
      <c r="D142" s="29">
        <v>26.0</v>
      </c>
      <c r="E142" s="37">
        <v>31974.0</v>
      </c>
      <c r="F142" s="29" t="s">
        <v>31</v>
      </c>
      <c r="G142" s="29" t="s">
        <v>32</v>
      </c>
      <c r="H142" s="29" t="s">
        <v>111</v>
      </c>
      <c r="I142" s="25" t="s">
        <v>112</v>
      </c>
      <c r="J142" s="25" t="s">
        <v>35</v>
      </c>
      <c r="K142" s="25" t="s">
        <v>113</v>
      </c>
      <c r="L142" s="25" t="s">
        <v>114</v>
      </c>
      <c r="M142" s="14" t="s">
        <v>193</v>
      </c>
      <c r="N142" s="40">
        <v>4325.0</v>
      </c>
      <c r="O142" s="17">
        <f t="shared" si="9"/>
        <v>0.6936416185</v>
      </c>
      <c r="P142" s="39">
        <v>3000.0</v>
      </c>
      <c r="Q142" s="29" t="s">
        <v>39</v>
      </c>
      <c r="R142" s="12">
        <v>1289952.0</v>
      </c>
      <c r="S142" s="29" t="s">
        <v>40</v>
      </c>
      <c r="T142" s="42">
        <v>4962190.0</v>
      </c>
      <c r="U142" s="29"/>
      <c r="V142" s="29"/>
      <c r="W142" s="29"/>
      <c r="X142" s="29"/>
      <c r="Y142" s="34">
        <v>45366.501388888886</v>
      </c>
      <c r="Z142" s="34">
        <v>45366.74236111111</v>
      </c>
      <c r="AA142" s="29"/>
      <c r="AB142" s="12"/>
      <c r="AC142" s="12"/>
      <c r="AD142" s="12"/>
      <c r="AE142" s="12" t="s">
        <v>39</v>
      </c>
      <c r="AF142" s="1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</row>
    <row r="143" ht="15.75" customHeight="1">
      <c r="A143" s="35">
        <v>1.0270492E7</v>
      </c>
      <c r="B143" s="43"/>
      <c r="C143" s="11">
        <v>45363.833333333336</v>
      </c>
      <c r="D143" s="29">
        <v>26.0</v>
      </c>
      <c r="E143" s="37">
        <v>31625.0</v>
      </c>
      <c r="F143" s="29" t="s">
        <v>31</v>
      </c>
      <c r="G143" s="29" t="s">
        <v>44</v>
      </c>
      <c r="H143" s="29" t="s">
        <v>139</v>
      </c>
      <c r="I143" s="29" t="s">
        <v>140</v>
      </c>
      <c r="J143" s="25" t="s">
        <v>35</v>
      </c>
      <c r="K143" s="25" t="s">
        <v>141</v>
      </c>
      <c r="L143" s="28" t="s">
        <v>94</v>
      </c>
      <c r="M143" s="14" t="s">
        <v>183</v>
      </c>
      <c r="N143" s="40">
        <v>7880.37</v>
      </c>
      <c r="O143" s="17">
        <f t="shared" si="9"/>
        <v>0.6344879745</v>
      </c>
      <c r="P143" s="39">
        <v>5000.0</v>
      </c>
      <c r="Q143" s="29" t="s">
        <v>39</v>
      </c>
      <c r="R143" s="31">
        <v>1288549.0</v>
      </c>
      <c r="S143" s="29" t="s">
        <v>40</v>
      </c>
      <c r="T143" s="42">
        <v>4952969.0</v>
      </c>
      <c r="U143" s="29"/>
      <c r="V143" s="29"/>
      <c r="W143" s="29"/>
      <c r="X143" s="29"/>
      <c r="Y143" s="34">
        <v>45365.59652777778</v>
      </c>
      <c r="Z143" s="34">
        <v>45365.66388888889</v>
      </c>
      <c r="AA143" s="29"/>
      <c r="AB143" s="12"/>
      <c r="AC143" s="12"/>
      <c r="AD143" s="12"/>
      <c r="AE143" s="12" t="s">
        <v>39</v>
      </c>
      <c r="AF143" s="1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</row>
    <row r="144" ht="15.75" customHeight="1">
      <c r="A144" s="35">
        <v>1.0270994E7</v>
      </c>
      <c r="B144" s="36"/>
      <c r="C144" s="11">
        <v>45363.875</v>
      </c>
      <c r="D144" s="12">
        <v>26.0</v>
      </c>
      <c r="E144" s="13">
        <v>30030.0</v>
      </c>
      <c r="F144" s="12" t="s">
        <v>43</v>
      </c>
      <c r="G144" s="29" t="s">
        <v>44</v>
      </c>
      <c r="H144" s="12" t="s">
        <v>45</v>
      </c>
      <c r="I144" s="29" t="s">
        <v>46</v>
      </c>
      <c r="J144" s="12" t="s">
        <v>35</v>
      </c>
      <c r="K144" s="15" t="s">
        <v>47</v>
      </c>
      <c r="L144" s="28" t="s">
        <v>108</v>
      </c>
      <c r="M144" s="14" t="s">
        <v>159</v>
      </c>
      <c r="N144" s="40">
        <v>2169.28</v>
      </c>
      <c r="O144" s="17">
        <f t="shared" si="9"/>
        <v>0.6914736687</v>
      </c>
      <c r="P144" s="15">
        <v>1500.0</v>
      </c>
      <c r="Q144" s="29" t="s">
        <v>39</v>
      </c>
      <c r="R144" s="31">
        <v>1288712.0</v>
      </c>
      <c r="S144" s="29" t="s">
        <v>40</v>
      </c>
      <c r="T144" s="42">
        <v>4954060.0</v>
      </c>
      <c r="U144" s="29"/>
      <c r="V144" s="29"/>
      <c r="W144" s="12"/>
      <c r="X144" s="12"/>
      <c r="Y144" s="57">
        <v>45364.308333333334</v>
      </c>
      <c r="Z144" s="57">
        <v>45366.65902777778</v>
      </c>
      <c r="AA144" s="12"/>
      <c r="AB144" s="12"/>
      <c r="AC144" s="12"/>
      <c r="AD144" s="12"/>
      <c r="AE144" s="12" t="s">
        <v>39</v>
      </c>
      <c r="AF144" s="1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</row>
    <row r="145" ht="15.75" customHeight="1">
      <c r="A145" s="35">
        <v>1.0270995E7</v>
      </c>
      <c r="B145" s="36"/>
      <c r="C145" s="11">
        <v>45363.458333333336</v>
      </c>
      <c r="D145" s="29" t="s">
        <v>52</v>
      </c>
      <c r="E145" s="37" t="s">
        <v>52</v>
      </c>
      <c r="F145" s="29" t="s">
        <v>43</v>
      </c>
      <c r="G145" s="29" t="s">
        <v>44</v>
      </c>
      <c r="H145" s="29" t="s">
        <v>223</v>
      </c>
      <c r="I145" s="29" t="s">
        <v>46</v>
      </c>
      <c r="J145" s="25" t="s">
        <v>47</v>
      </c>
      <c r="K145" s="29" t="s">
        <v>35</v>
      </c>
      <c r="L145" s="28" t="s">
        <v>110</v>
      </c>
      <c r="M145" s="14" t="s">
        <v>159</v>
      </c>
      <c r="N145" s="40">
        <v>1446.19</v>
      </c>
      <c r="O145" s="17">
        <f t="shared" si="9"/>
        <v>0.4840304524</v>
      </c>
      <c r="P145" s="39">
        <v>700.0</v>
      </c>
      <c r="Q145" s="29"/>
      <c r="R145" s="31">
        <v>1289220.0</v>
      </c>
      <c r="S145" s="29" t="s">
        <v>40</v>
      </c>
      <c r="T145" s="42">
        <v>4957582.0</v>
      </c>
      <c r="U145" s="29"/>
      <c r="V145" s="29"/>
      <c r="W145" s="29"/>
      <c r="X145" s="29"/>
      <c r="Y145" s="29"/>
      <c r="Z145" s="29"/>
      <c r="AA145" s="29"/>
      <c r="AB145" s="12"/>
      <c r="AC145" s="12"/>
      <c r="AD145" s="12"/>
      <c r="AE145" s="12"/>
      <c r="AF145" s="1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ht="15.75" customHeight="1">
      <c r="A146" s="35">
        <v>1.0271839E7</v>
      </c>
      <c r="B146" s="36"/>
      <c r="C146" s="11">
        <v>45369.666666666664</v>
      </c>
      <c r="D146" s="29">
        <v>26.0</v>
      </c>
      <c r="E146" s="37">
        <v>32342.0</v>
      </c>
      <c r="F146" s="29" t="s">
        <v>31</v>
      </c>
      <c r="G146" s="29" t="s">
        <v>32</v>
      </c>
      <c r="H146" s="29" t="s">
        <v>111</v>
      </c>
      <c r="I146" s="29" t="s">
        <v>112</v>
      </c>
      <c r="J146" s="25" t="s">
        <v>35</v>
      </c>
      <c r="K146" s="25" t="s">
        <v>113</v>
      </c>
      <c r="L146" s="25" t="s">
        <v>114</v>
      </c>
      <c r="M146" s="14"/>
      <c r="N146" s="40">
        <v>4325.0</v>
      </c>
      <c r="O146" s="17">
        <f t="shared" si="9"/>
        <v>0.6936416185</v>
      </c>
      <c r="P146" s="39">
        <v>3000.0</v>
      </c>
      <c r="Q146" s="29"/>
      <c r="R146" s="31"/>
      <c r="S146" s="29" t="s">
        <v>165</v>
      </c>
      <c r="T146" s="29"/>
      <c r="U146" s="29"/>
      <c r="V146" s="29"/>
      <c r="W146" s="29"/>
      <c r="X146" s="29"/>
      <c r="Y146" s="29"/>
      <c r="Z146" s="29"/>
      <c r="AA146" s="29"/>
      <c r="AB146" s="12"/>
      <c r="AC146" s="12"/>
      <c r="AD146" s="12"/>
      <c r="AE146" s="12"/>
      <c r="AF146" s="1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</row>
    <row r="147" ht="15.75" customHeight="1">
      <c r="A147" s="9">
        <v>1.027431E7</v>
      </c>
      <c r="B147" s="10"/>
      <c r="C147" s="11">
        <v>45364.875</v>
      </c>
      <c r="D147" s="12">
        <v>26.0</v>
      </c>
      <c r="E147" s="13">
        <v>31625.0</v>
      </c>
      <c r="F147" s="12" t="s">
        <v>31</v>
      </c>
      <c r="G147" s="29" t="s">
        <v>44</v>
      </c>
      <c r="H147" s="12" t="s">
        <v>139</v>
      </c>
      <c r="I147" s="29" t="s">
        <v>140</v>
      </c>
      <c r="J147" s="12" t="s">
        <v>35</v>
      </c>
      <c r="K147" s="12" t="s">
        <v>141</v>
      </c>
      <c r="L147" s="28" t="s">
        <v>94</v>
      </c>
      <c r="M147" s="14" t="s">
        <v>143</v>
      </c>
      <c r="N147" s="24">
        <v>7880.37</v>
      </c>
      <c r="O147" s="17">
        <f t="shared" si="9"/>
        <v>0.6344879745</v>
      </c>
      <c r="P147" s="15">
        <v>5000.0</v>
      </c>
      <c r="Q147" s="12" t="s">
        <v>39</v>
      </c>
      <c r="R147" s="12">
        <v>1289079.0</v>
      </c>
      <c r="S147" s="29" t="s">
        <v>40</v>
      </c>
      <c r="T147" s="19">
        <v>4956503.0</v>
      </c>
      <c r="U147" s="29"/>
      <c r="V147" s="29"/>
      <c r="W147" s="12"/>
      <c r="X147" s="12"/>
      <c r="Y147" s="57">
        <v>45369.29722222222</v>
      </c>
      <c r="Z147" s="57">
        <v>45369.46319444444</v>
      </c>
      <c r="AA147" s="12"/>
      <c r="AB147" s="12"/>
      <c r="AC147" s="12"/>
      <c r="AD147" s="12"/>
      <c r="AE147" s="12" t="s">
        <v>39</v>
      </c>
      <c r="AF147" s="1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</row>
    <row r="148" ht="15.75" customHeight="1">
      <c r="A148" s="9">
        <v>1.0274894E7</v>
      </c>
      <c r="B148" s="10"/>
      <c r="C148" s="11">
        <v>45369.75</v>
      </c>
      <c r="D148" s="12">
        <v>26.0</v>
      </c>
      <c r="E148" s="13">
        <v>32458.0</v>
      </c>
      <c r="F148" s="12" t="s">
        <v>31</v>
      </c>
      <c r="G148" s="29" t="s">
        <v>32</v>
      </c>
      <c r="H148" s="12" t="s">
        <v>111</v>
      </c>
      <c r="I148" s="29" t="s">
        <v>112</v>
      </c>
      <c r="J148" s="12" t="s">
        <v>35</v>
      </c>
      <c r="K148" s="12" t="s">
        <v>113</v>
      </c>
      <c r="L148" s="25" t="s">
        <v>114</v>
      </c>
      <c r="M148" s="14"/>
      <c r="N148" s="24">
        <v>4325.0</v>
      </c>
      <c r="O148" s="17">
        <f t="shared" si="9"/>
        <v>0.6936416185</v>
      </c>
      <c r="P148" s="15">
        <v>3000.0</v>
      </c>
      <c r="Q148" s="12"/>
      <c r="R148" s="12"/>
      <c r="S148" s="29" t="s">
        <v>165</v>
      </c>
      <c r="T148" s="12"/>
      <c r="U148" s="29"/>
      <c r="V148" s="29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</row>
    <row r="149" ht="15.75" customHeight="1">
      <c r="A149" s="35">
        <v>1.027524E7</v>
      </c>
      <c r="B149" s="43"/>
      <c r="C149" s="11">
        <v>45364.625</v>
      </c>
      <c r="D149" s="29">
        <v>26.0</v>
      </c>
      <c r="E149" s="37">
        <v>31625.0</v>
      </c>
      <c r="F149" s="29" t="s">
        <v>31</v>
      </c>
      <c r="G149" s="29" t="s">
        <v>44</v>
      </c>
      <c r="H149" s="29" t="s">
        <v>139</v>
      </c>
      <c r="I149" s="29" t="s">
        <v>140</v>
      </c>
      <c r="J149" s="25" t="s">
        <v>35</v>
      </c>
      <c r="K149" s="25" t="s">
        <v>141</v>
      </c>
      <c r="L149" s="28" t="s">
        <v>94</v>
      </c>
      <c r="M149" s="14" t="s">
        <v>180</v>
      </c>
      <c r="N149" s="40">
        <v>7880.37</v>
      </c>
      <c r="O149" s="17">
        <f t="shared" si="9"/>
        <v>0.6344879745</v>
      </c>
      <c r="P149" s="39">
        <v>5000.0</v>
      </c>
      <c r="Q149" s="29" t="s">
        <v>39</v>
      </c>
      <c r="R149" s="31">
        <v>1289211.0</v>
      </c>
      <c r="S149" s="29" t="s">
        <v>40</v>
      </c>
      <c r="T149" s="42">
        <v>4957562.0</v>
      </c>
      <c r="U149" s="29"/>
      <c r="V149" s="29"/>
      <c r="W149" s="29"/>
      <c r="X149" s="29"/>
      <c r="Y149" s="34">
        <v>45366.54027777778</v>
      </c>
      <c r="Z149" s="34">
        <v>45366.79722222222</v>
      </c>
      <c r="AA149" s="29"/>
      <c r="AB149" s="12"/>
      <c r="AC149" s="12"/>
      <c r="AD149" s="12"/>
      <c r="AE149" s="12" t="s">
        <v>39</v>
      </c>
      <c r="AF149" s="1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</row>
    <row r="150" ht="15.75" customHeight="1">
      <c r="A150" s="35">
        <v>1.0275464E7</v>
      </c>
      <c r="B150" s="36"/>
      <c r="C150" s="11">
        <v>45366.75</v>
      </c>
      <c r="D150" s="12">
        <v>20.0</v>
      </c>
      <c r="E150" s="13">
        <v>24327.0</v>
      </c>
      <c r="F150" s="12" t="s">
        <v>31</v>
      </c>
      <c r="G150" s="29" t="s">
        <v>74</v>
      </c>
      <c r="H150" s="29" t="s">
        <v>218</v>
      </c>
      <c r="I150" s="29" t="s">
        <v>219</v>
      </c>
      <c r="J150" s="55" t="s">
        <v>35</v>
      </c>
      <c r="K150" s="29" t="s">
        <v>187</v>
      </c>
      <c r="L150" s="25" t="s">
        <v>188</v>
      </c>
      <c r="M150" s="14" t="s">
        <v>145</v>
      </c>
      <c r="N150" s="40">
        <v>4404.76</v>
      </c>
      <c r="O150" s="17">
        <f t="shared" si="9"/>
        <v>0.567567813</v>
      </c>
      <c r="P150" s="39">
        <v>2500.0</v>
      </c>
      <c r="Q150" s="12" t="s">
        <v>39</v>
      </c>
      <c r="R150" s="12">
        <v>1290911.0</v>
      </c>
      <c r="S150" s="29" t="s">
        <v>40</v>
      </c>
      <c r="T150" s="19">
        <v>4968391.0</v>
      </c>
      <c r="U150" s="12"/>
      <c r="V150" s="12"/>
      <c r="W150" s="12"/>
      <c r="X150" s="12"/>
      <c r="Y150" s="57">
        <v>45369.38958333333</v>
      </c>
      <c r="Z150" s="57">
        <v>45369.69375</v>
      </c>
      <c r="AA150" s="12"/>
      <c r="AB150" s="12"/>
      <c r="AC150" s="12"/>
      <c r="AD150" s="12"/>
      <c r="AE150" s="12" t="s">
        <v>39</v>
      </c>
      <c r="AF150" s="1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</row>
    <row r="151" ht="15.75" customHeight="1">
      <c r="A151" s="35">
        <v>1.0275659E7</v>
      </c>
      <c r="B151" s="36"/>
      <c r="C151" s="11">
        <v>45370.0</v>
      </c>
      <c r="D151" s="12">
        <v>26.0</v>
      </c>
      <c r="E151" s="13">
        <v>33430.0</v>
      </c>
      <c r="F151" s="12" t="s">
        <v>31</v>
      </c>
      <c r="G151" s="29" t="s">
        <v>32</v>
      </c>
      <c r="H151" s="29" t="s">
        <v>111</v>
      </c>
      <c r="I151" s="29" t="s">
        <v>112</v>
      </c>
      <c r="J151" s="25" t="s">
        <v>35</v>
      </c>
      <c r="K151" s="29" t="s">
        <v>113</v>
      </c>
      <c r="L151" s="25" t="s">
        <v>114</v>
      </c>
      <c r="M151" s="14"/>
      <c r="N151" s="40">
        <v>4325.0</v>
      </c>
      <c r="O151" s="17">
        <f t="shared" si="9"/>
        <v>0.6936416185</v>
      </c>
      <c r="P151" s="39">
        <v>3000.0</v>
      </c>
      <c r="Q151" s="12"/>
      <c r="R151" s="12"/>
      <c r="S151" s="29" t="s">
        <v>131</v>
      </c>
      <c r="T151" s="12"/>
      <c r="U151" s="29"/>
      <c r="V151" s="29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</row>
    <row r="152" ht="15.75" customHeight="1">
      <c r="A152" s="35">
        <v>1.027566E7</v>
      </c>
      <c r="B152" s="36"/>
      <c r="C152" s="11">
        <v>45365.583333333336</v>
      </c>
      <c r="D152" s="12">
        <v>28.0</v>
      </c>
      <c r="E152" s="13">
        <v>34058.0</v>
      </c>
      <c r="F152" s="12" t="s">
        <v>31</v>
      </c>
      <c r="G152" s="29" t="s">
        <v>32</v>
      </c>
      <c r="H152" s="29" t="s">
        <v>124</v>
      </c>
      <c r="I152" s="29" t="s">
        <v>125</v>
      </c>
      <c r="J152" s="25" t="s">
        <v>35</v>
      </c>
      <c r="K152" s="25" t="s">
        <v>126</v>
      </c>
      <c r="L152" s="25" t="s">
        <v>114</v>
      </c>
      <c r="M152" s="14" t="s">
        <v>166</v>
      </c>
      <c r="N152" s="40">
        <v>5004.48</v>
      </c>
      <c r="O152" s="17">
        <f t="shared" si="9"/>
        <v>0.6993733615</v>
      </c>
      <c r="P152" s="39">
        <v>3500.0</v>
      </c>
      <c r="Q152" s="12" t="s">
        <v>39</v>
      </c>
      <c r="R152" s="12">
        <v>1289856.0</v>
      </c>
      <c r="S152" s="29" t="s">
        <v>40</v>
      </c>
      <c r="T152" s="19">
        <v>4961657.0</v>
      </c>
      <c r="U152" s="12"/>
      <c r="V152" s="12"/>
      <c r="W152" s="12"/>
      <c r="X152" s="12"/>
      <c r="Y152" s="57">
        <v>45366.583333333336</v>
      </c>
      <c r="Z152" s="57">
        <v>45367.45763888889</v>
      </c>
      <c r="AA152" s="12"/>
      <c r="AB152" s="12"/>
      <c r="AC152" s="12"/>
      <c r="AD152" s="12"/>
      <c r="AE152" s="12" t="s">
        <v>39</v>
      </c>
      <c r="AF152" s="1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</row>
    <row r="153" ht="15.75" customHeight="1">
      <c r="A153" s="35">
        <v>1.0275661E7</v>
      </c>
      <c r="B153" s="36"/>
      <c r="C153" s="11">
        <v>45367.666666666664</v>
      </c>
      <c r="D153" s="12">
        <v>28.0</v>
      </c>
      <c r="E153" s="13">
        <v>34058.0</v>
      </c>
      <c r="F153" s="12" t="s">
        <v>31</v>
      </c>
      <c r="G153" s="29" t="s">
        <v>32</v>
      </c>
      <c r="H153" s="12" t="s">
        <v>124</v>
      </c>
      <c r="I153" s="29" t="s">
        <v>125</v>
      </c>
      <c r="J153" s="12" t="s">
        <v>35</v>
      </c>
      <c r="K153" s="12" t="s">
        <v>126</v>
      </c>
      <c r="L153" s="25" t="s">
        <v>114</v>
      </c>
      <c r="M153" s="14" t="s">
        <v>173</v>
      </c>
      <c r="N153" s="40">
        <v>5004.48</v>
      </c>
      <c r="O153" s="17">
        <f t="shared" si="9"/>
        <v>0.6993733615</v>
      </c>
      <c r="P153" s="39">
        <v>3500.0</v>
      </c>
      <c r="Q153" s="12" t="s">
        <v>39</v>
      </c>
      <c r="R153" s="12">
        <v>1290573.0</v>
      </c>
      <c r="S153" s="29" t="s">
        <v>40</v>
      </c>
      <c r="T153" s="19">
        <v>4966302.0</v>
      </c>
      <c r="U153" s="29"/>
      <c r="V153" s="29"/>
      <c r="W153" s="12"/>
      <c r="X153" s="12"/>
      <c r="Y153" s="57">
        <v>45371.291666666664</v>
      </c>
      <c r="Z153" s="57">
        <v>45372.52291666667</v>
      </c>
      <c r="AA153" s="12"/>
      <c r="AB153" s="12"/>
      <c r="AC153" s="12"/>
      <c r="AD153" s="12"/>
      <c r="AE153" s="12" t="s">
        <v>39</v>
      </c>
      <c r="AF153" s="1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</row>
    <row r="154" ht="15.75" customHeight="1">
      <c r="A154" s="35">
        <v>1.0275662E7</v>
      </c>
      <c r="B154" s="36"/>
      <c r="C154" s="11">
        <v>45367.583333333336</v>
      </c>
      <c r="D154" s="12">
        <v>28.0</v>
      </c>
      <c r="E154" s="13">
        <v>34058.0</v>
      </c>
      <c r="F154" s="12" t="s">
        <v>31</v>
      </c>
      <c r="G154" s="29" t="s">
        <v>32</v>
      </c>
      <c r="H154" s="12" t="s">
        <v>111</v>
      </c>
      <c r="I154" s="29" t="s">
        <v>112</v>
      </c>
      <c r="J154" s="12" t="s">
        <v>35</v>
      </c>
      <c r="K154" s="12" t="s">
        <v>113</v>
      </c>
      <c r="L154" s="25" t="s">
        <v>114</v>
      </c>
      <c r="M154" s="14" t="s">
        <v>159</v>
      </c>
      <c r="N154" s="40">
        <v>4325.0</v>
      </c>
      <c r="O154" s="17">
        <f t="shared" si="9"/>
        <v>0.6936416185</v>
      </c>
      <c r="P154" s="39">
        <v>3000.0</v>
      </c>
      <c r="Q154" s="12" t="s">
        <v>39</v>
      </c>
      <c r="R154" s="12">
        <v>1290569.0</v>
      </c>
      <c r="S154" s="29" t="s">
        <v>40</v>
      </c>
      <c r="T154" s="19">
        <v>4966292.0</v>
      </c>
      <c r="U154" s="29"/>
      <c r="V154" s="29"/>
      <c r="W154" s="12"/>
      <c r="X154" s="12"/>
      <c r="Y154" s="57">
        <v>45368.61041666667</v>
      </c>
      <c r="Z154" s="57">
        <v>45369.39513888889</v>
      </c>
      <c r="AA154" s="12"/>
      <c r="AB154" s="12"/>
      <c r="AC154" s="12"/>
      <c r="AD154" s="12"/>
      <c r="AE154" s="12" t="s">
        <v>39</v>
      </c>
      <c r="AF154" s="1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</row>
    <row r="155" ht="15.75" customHeight="1">
      <c r="A155" s="35">
        <v>1.0275663E7</v>
      </c>
      <c r="B155" s="36"/>
      <c r="C155" s="11">
        <v>45365.416666666664</v>
      </c>
      <c r="D155" s="12">
        <v>28.0</v>
      </c>
      <c r="E155" s="13">
        <v>34058.0</v>
      </c>
      <c r="F155" s="12" t="s">
        <v>31</v>
      </c>
      <c r="G155" s="29" t="s">
        <v>32</v>
      </c>
      <c r="H155" s="12" t="s">
        <v>111</v>
      </c>
      <c r="I155" s="29" t="s">
        <v>112</v>
      </c>
      <c r="J155" s="12" t="s">
        <v>35</v>
      </c>
      <c r="K155" s="12" t="s">
        <v>113</v>
      </c>
      <c r="L155" s="25" t="s">
        <v>114</v>
      </c>
      <c r="M155" s="14" t="s">
        <v>144</v>
      </c>
      <c r="N155" s="40">
        <v>4325.0</v>
      </c>
      <c r="O155" s="17">
        <f t="shared" si="9"/>
        <v>0.6936416185</v>
      </c>
      <c r="P155" s="39">
        <v>3000.0</v>
      </c>
      <c r="Q155" s="12" t="s">
        <v>39</v>
      </c>
      <c r="R155" s="12">
        <v>1289770.0</v>
      </c>
      <c r="S155" s="29" t="s">
        <v>40</v>
      </c>
      <c r="T155" s="19">
        <v>4961078.0</v>
      </c>
      <c r="U155" s="29"/>
      <c r="V155" s="29"/>
      <c r="W155" s="12"/>
      <c r="X155" s="12"/>
      <c r="Y155" s="57">
        <v>45366.51597222222</v>
      </c>
      <c r="Z155" s="57">
        <v>45367.75</v>
      </c>
      <c r="AA155" s="12"/>
      <c r="AB155" s="12"/>
      <c r="AC155" s="12"/>
      <c r="AD155" s="12"/>
      <c r="AE155" s="12" t="s">
        <v>39</v>
      </c>
      <c r="AF155" s="1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</row>
    <row r="156" ht="15.75" customHeight="1">
      <c r="A156" s="35">
        <v>1.0275664E7</v>
      </c>
      <c r="B156" s="36"/>
      <c r="C156" s="11">
        <v>45369.375</v>
      </c>
      <c r="D156" s="12">
        <v>26.0</v>
      </c>
      <c r="E156" s="13">
        <v>33139.0</v>
      </c>
      <c r="F156" s="12" t="s">
        <v>31</v>
      </c>
      <c r="G156" s="29" t="s">
        <v>32</v>
      </c>
      <c r="H156" s="12" t="s">
        <v>111</v>
      </c>
      <c r="I156" s="29" t="s">
        <v>112</v>
      </c>
      <c r="J156" s="12" t="s">
        <v>35</v>
      </c>
      <c r="K156" s="12" t="s">
        <v>113</v>
      </c>
      <c r="L156" s="25" t="s">
        <v>114</v>
      </c>
      <c r="M156" s="14"/>
      <c r="N156" s="40">
        <v>4325.0</v>
      </c>
      <c r="O156" s="17">
        <f t="shared" si="9"/>
        <v>0.6936416185</v>
      </c>
      <c r="P156" s="39">
        <v>3000.0</v>
      </c>
      <c r="Q156" s="12"/>
      <c r="R156" s="12"/>
      <c r="S156" s="29" t="s">
        <v>165</v>
      </c>
      <c r="T156" s="12"/>
      <c r="U156" s="29"/>
      <c r="V156" s="29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ht="15.75" customHeight="1">
      <c r="A157" s="35">
        <v>1.0276158E7</v>
      </c>
      <c r="B157" s="36"/>
      <c r="C157" s="11">
        <v>45367.458333333336</v>
      </c>
      <c r="D157" s="12">
        <v>28.0</v>
      </c>
      <c r="E157" s="13">
        <v>34058.0</v>
      </c>
      <c r="F157" s="12" t="s">
        <v>31</v>
      </c>
      <c r="G157" s="29" t="s">
        <v>32</v>
      </c>
      <c r="H157" s="12" t="s">
        <v>224</v>
      </c>
      <c r="I157" s="29" t="s">
        <v>225</v>
      </c>
      <c r="J157" s="14" t="s">
        <v>35</v>
      </c>
      <c r="K157" s="12" t="s">
        <v>226</v>
      </c>
      <c r="L157" s="25" t="s">
        <v>227</v>
      </c>
      <c r="M157" s="14" t="s">
        <v>228</v>
      </c>
      <c r="N157" s="40">
        <v>15725.0</v>
      </c>
      <c r="O157" s="17">
        <f t="shared" si="9"/>
        <v>0.6995230525</v>
      </c>
      <c r="P157" s="39">
        <v>11000.0</v>
      </c>
      <c r="Q157" s="12" t="s">
        <v>39</v>
      </c>
      <c r="R157" s="12">
        <v>1290469.0</v>
      </c>
      <c r="S157" s="29" t="s">
        <v>40</v>
      </c>
      <c r="T157" s="19">
        <v>4965609.0</v>
      </c>
      <c r="U157" s="29"/>
      <c r="V157" s="29"/>
      <c r="W157" s="12"/>
      <c r="X157" s="12"/>
      <c r="Y157" s="57">
        <v>45369.4375</v>
      </c>
      <c r="Z157" s="57">
        <v>45372.479166666664</v>
      </c>
      <c r="AA157" s="12"/>
      <c r="AB157" s="12"/>
      <c r="AC157" s="12"/>
      <c r="AD157" s="12"/>
      <c r="AE157" s="12" t="s">
        <v>39</v>
      </c>
      <c r="AF157" s="1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</row>
    <row r="158" ht="15.75" customHeight="1">
      <c r="A158" s="35">
        <v>1.0277654E7</v>
      </c>
      <c r="B158" s="36"/>
      <c r="C158" s="11">
        <v>45367.458333333336</v>
      </c>
      <c r="D158" s="12">
        <v>26.0</v>
      </c>
      <c r="E158" s="13">
        <v>31625.0</v>
      </c>
      <c r="F158" s="12" t="s">
        <v>31</v>
      </c>
      <c r="G158" s="29" t="s">
        <v>44</v>
      </c>
      <c r="H158" s="12" t="s">
        <v>136</v>
      </c>
      <c r="I158" s="39" t="s">
        <v>137</v>
      </c>
      <c r="J158" s="12" t="s">
        <v>35</v>
      </c>
      <c r="K158" s="15" t="s">
        <v>138</v>
      </c>
      <c r="L158" s="25" t="s">
        <v>94</v>
      </c>
      <c r="M158" s="14"/>
      <c r="N158" s="40">
        <v>5446.0</v>
      </c>
      <c r="O158" s="17">
        <f t="shared" si="9"/>
        <v>0.734484025</v>
      </c>
      <c r="P158" s="39">
        <v>4000.0</v>
      </c>
      <c r="Q158" s="12"/>
      <c r="R158" s="12"/>
      <c r="S158" s="29" t="s">
        <v>165</v>
      </c>
      <c r="T158" s="12"/>
      <c r="U158" s="29"/>
      <c r="V158" s="29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</row>
    <row r="159" ht="15.75" customHeight="1">
      <c r="A159" s="35">
        <v>1.0278192E7</v>
      </c>
      <c r="B159" s="36"/>
      <c r="C159" s="11">
        <v>45370.875</v>
      </c>
      <c r="D159" s="12">
        <v>28.0</v>
      </c>
      <c r="E159" s="13">
        <v>34058.0</v>
      </c>
      <c r="F159" s="12" t="s">
        <v>31</v>
      </c>
      <c r="G159" s="29" t="s">
        <v>32</v>
      </c>
      <c r="H159" s="12" t="s">
        <v>124</v>
      </c>
      <c r="I159" s="29" t="s">
        <v>125</v>
      </c>
      <c r="J159" s="12" t="s">
        <v>35</v>
      </c>
      <c r="K159" s="12" t="s">
        <v>126</v>
      </c>
      <c r="L159" s="25" t="s">
        <v>114</v>
      </c>
      <c r="M159" s="14" t="s">
        <v>229</v>
      </c>
      <c r="N159" s="40">
        <v>5004.48</v>
      </c>
      <c r="O159" s="17">
        <f t="shared" si="9"/>
        <v>0.6993733615</v>
      </c>
      <c r="P159" s="39">
        <v>3500.0</v>
      </c>
      <c r="Q159" s="12" t="s">
        <v>39</v>
      </c>
      <c r="R159" s="12">
        <v>1291807.0</v>
      </c>
      <c r="S159" s="29" t="s">
        <v>40</v>
      </c>
      <c r="T159" s="19">
        <v>4973249.0</v>
      </c>
      <c r="U159" s="29"/>
      <c r="V159" s="29"/>
      <c r="W159" s="12"/>
      <c r="X159" s="12"/>
      <c r="Y159" s="57">
        <v>45371.24097222222</v>
      </c>
      <c r="Z159" s="57">
        <v>45373.529861111114</v>
      </c>
      <c r="AA159" s="12"/>
      <c r="AB159" s="12"/>
      <c r="AC159" s="12"/>
      <c r="AD159" s="12"/>
      <c r="AE159" s="12" t="s">
        <v>39</v>
      </c>
      <c r="AF159" s="1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</row>
    <row r="160" ht="15.75" customHeight="1">
      <c r="A160" s="35">
        <v>1.0280753E7</v>
      </c>
      <c r="B160" s="36"/>
      <c r="C160" s="11">
        <v>45376.208333333336</v>
      </c>
      <c r="D160" s="12">
        <v>26.0</v>
      </c>
      <c r="E160" s="13">
        <v>31922.0</v>
      </c>
      <c r="F160" s="12" t="s">
        <v>31</v>
      </c>
      <c r="G160" s="29" t="s">
        <v>74</v>
      </c>
      <c r="H160" s="29" t="s">
        <v>230</v>
      </c>
      <c r="I160" s="39" t="s">
        <v>231</v>
      </c>
      <c r="J160" s="25" t="s">
        <v>35</v>
      </c>
      <c r="K160" s="39" t="s">
        <v>232</v>
      </c>
      <c r="L160" s="25" t="s">
        <v>94</v>
      </c>
      <c r="M160" s="14" t="s">
        <v>151</v>
      </c>
      <c r="N160" s="40">
        <v>6290.0</v>
      </c>
      <c r="O160" s="17">
        <f t="shared" si="9"/>
        <v>0.6359300477</v>
      </c>
      <c r="P160" s="39">
        <v>4000.0</v>
      </c>
      <c r="Q160" s="12" t="s">
        <v>39</v>
      </c>
      <c r="R160" s="12">
        <v>1295447.0</v>
      </c>
      <c r="S160" s="29" t="s">
        <v>40</v>
      </c>
      <c r="T160" s="19">
        <v>4996136.0</v>
      </c>
      <c r="U160" s="29"/>
      <c r="V160" s="12"/>
      <c r="W160" s="12"/>
      <c r="X160" s="12"/>
      <c r="Y160" s="57"/>
      <c r="Z160" s="57"/>
      <c r="AA160" s="12"/>
      <c r="AB160" s="12"/>
      <c r="AC160" s="12"/>
      <c r="AD160" s="12"/>
      <c r="AE160" s="12"/>
      <c r="AF160" s="1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</row>
    <row r="161" ht="15.75" customHeight="1">
      <c r="A161" s="35">
        <v>1.0281799E7</v>
      </c>
      <c r="B161" s="36"/>
      <c r="C161" s="11">
        <v>45370.708333333336</v>
      </c>
      <c r="D161" s="12">
        <v>26.0</v>
      </c>
      <c r="E161" s="13">
        <v>31625.0</v>
      </c>
      <c r="F161" s="12" t="s">
        <v>31</v>
      </c>
      <c r="G161" s="29" t="s">
        <v>44</v>
      </c>
      <c r="H161" s="29" t="s">
        <v>139</v>
      </c>
      <c r="I161" s="12" t="s">
        <v>140</v>
      </c>
      <c r="J161" s="25" t="s">
        <v>35</v>
      </c>
      <c r="K161" s="29" t="s">
        <v>141</v>
      </c>
      <c r="L161" s="28" t="s">
        <v>94</v>
      </c>
      <c r="M161" s="14" t="s">
        <v>184</v>
      </c>
      <c r="N161" s="40">
        <v>7880.37</v>
      </c>
      <c r="O161" s="17">
        <f t="shared" si="9"/>
        <v>0.6344879745</v>
      </c>
      <c r="P161" s="39">
        <v>5000.0</v>
      </c>
      <c r="Q161" s="12" t="s">
        <v>39</v>
      </c>
      <c r="R161" s="12">
        <v>1292149.0</v>
      </c>
      <c r="S161" s="29" t="s">
        <v>40</v>
      </c>
      <c r="T161" s="19">
        <v>4975156.0</v>
      </c>
      <c r="U161" s="12"/>
      <c r="V161" s="12"/>
      <c r="W161" s="12"/>
      <c r="X161" s="12"/>
      <c r="Y161" s="57">
        <v>45371.70694444444</v>
      </c>
      <c r="Z161" s="57">
        <v>45371.79236111111</v>
      </c>
      <c r="AA161" s="12"/>
      <c r="AB161" s="12"/>
      <c r="AC161" s="12"/>
      <c r="AD161" s="12"/>
      <c r="AE161" s="12" t="s">
        <v>39</v>
      </c>
      <c r="AF161" s="1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</row>
    <row r="162" ht="15.75" customHeight="1">
      <c r="A162" s="35">
        <v>1.0283728E7</v>
      </c>
      <c r="B162" s="36"/>
      <c r="C162" s="11">
        <v>45371.875</v>
      </c>
      <c r="D162" s="12">
        <v>28.0</v>
      </c>
      <c r="E162" s="13">
        <v>34058.0</v>
      </c>
      <c r="F162" s="12" t="s">
        <v>31</v>
      </c>
      <c r="G162" s="29" t="s">
        <v>32</v>
      </c>
      <c r="H162" s="29" t="s">
        <v>111</v>
      </c>
      <c r="I162" s="12" t="s">
        <v>112</v>
      </c>
      <c r="J162" s="25" t="s">
        <v>35</v>
      </c>
      <c r="K162" s="29" t="s">
        <v>113</v>
      </c>
      <c r="L162" s="25" t="s">
        <v>114</v>
      </c>
      <c r="M162" s="14"/>
      <c r="N162" s="40">
        <v>4325.0</v>
      </c>
      <c r="O162" s="17">
        <f t="shared" si="9"/>
        <v>0.6936416185</v>
      </c>
      <c r="P162" s="39">
        <v>3000.0</v>
      </c>
      <c r="Q162" s="12"/>
      <c r="R162" s="12"/>
      <c r="S162" s="29" t="s">
        <v>165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</row>
    <row r="163" ht="15.75" customHeight="1">
      <c r="A163" s="9">
        <v>1.028373E7</v>
      </c>
      <c r="B163" s="10"/>
      <c r="C163" s="11">
        <v>45371.875</v>
      </c>
      <c r="D163" s="12">
        <v>28.0</v>
      </c>
      <c r="E163" s="13">
        <v>34058.0</v>
      </c>
      <c r="F163" s="12" t="s">
        <v>31</v>
      </c>
      <c r="G163" s="29" t="s">
        <v>32</v>
      </c>
      <c r="H163" s="12" t="s">
        <v>111</v>
      </c>
      <c r="I163" s="29" t="s">
        <v>112</v>
      </c>
      <c r="J163" s="12" t="s">
        <v>35</v>
      </c>
      <c r="K163" s="12" t="s">
        <v>113</v>
      </c>
      <c r="L163" s="25" t="s">
        <v>114</v>
      </c>
      <c r="M163" s="14"/>
      <c r="N163" s="40">
        <v>4325.0</v>
      </c>
      <c r="O163" s="17">
        <f t="shared" si="9"/>
        <v>0.6936416185</v>
      </c>
      <c r="P163" s="39">
        <v>3000.0</v>
      </c>
      <c r="Q163" s="12"/>
      <c r="R163" s="12"/>
      <c r="S163" s="29" t="s">
        <v>165</v>
      </c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</row>
    <row r="164" ht="15.75" customHeight="1">
      <c r="A164" s="9">
        <v>1.0284644E7</v>
      </c>
      <c r="B164" s="10"/>
      <c r="C164" s="11">
        <v>45371.875</v>
      </c>
      <c r="D164" s="12">
        <v>26.0</v>
      </c>
      <c r="E164" s="13">
        <v>31922.0</v>
      </c>
      <c r="F164" s="12" t="s">
        <v>31</v>
      </c>
      <c r="G164" s="29" t="s">
        <v>44</v>
      </c>
      <c r="H164" s="12" t="s">
        <v>136</v>
      </c>
      <c r="I164" s="39" t="s">
        <v>137</v>
      </c>
      <c r="J164" s="12" t="s">
        <v>35</v>
      </c>
      <c r="K164" s="15" t="s">
        <v>138</v>
      </c>
      <c r="L164" s="25" t="s">
        <v>94</v>
      </c>
      <c r="M164" s="14" t="s">
        <v>145</v>
      </c>
      <c r="N164" s="40">
        <v>5446.0</v>
      </c>
      <c r="O164" s="17">
        <f t="shared" si="9"/>
        <v>0.734484025</v>
      </c>
      <c r="P164" s="39">
        <v>4000.0</v>
      </c>
      <c r="Q164" s="12" t="s">
        <v>39</v>
      </c>
      <c r="R164" s="12">
        <v>1292961.0</v>
      </c>
      <c r="S164" s="29" t="s">
        <v>40</v>
      </c>
      <c r="T164" s="19">
        <v>4981419.0</v>
      </c>
      <c r="U164" s="12"/>
      <c r="V164" s="12"/>
      <c r="W164" s="12"/>
      <c r="X164" s="12"/>
      <c r="Y164" s="57">
        <v>45373.67569444444</v>
      </c>
      <c r="Z164" s="57">
        <v>45374.45277777778</v>
      </c>
      <c r="AA164" s="12"/>
      <c r="AB164" s="12"/>
      <c r="AC164" s="12"/>
      <c r="AD164" s="12"/>
      <c r="AE164" s="12" t="s">
        <v>39</v>
      </c>
      <c r="AF164" s="1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</row>
    <row r="165" ht="15.75" customHeight="1">
      <c r="A165" s="9">
        <v>1.0291576E7</v>
      </c>
      <c r="B165" s="10"/>
      <c r="C165" s="11">
        <v>45372.666666666664</v>
      </c>
      <c r="D165" s="12">
        <v>26.0</v>
      </c>
      <c r="E165" s="13">
        <v>31625.0</v>
      </c>
      <c r="F165" s="12" t="s">
        <v>31</v>
      </c>
      <c r="G165" s="29" t="s">
        <v>74</v>
      </c>
      <c r="H165" s="12" t="s">
        <v>155</v>
      </c>
      <c r="I165" s="29" t="s">
        <v>233</v>
      </c>
      <c r="J165" s="12" t="s">
        <v>35</v>
      </c>
      <c r="K165" s="12" t="s">
        <v>157</v>
      </c>
      <c r="L165" s="25" t="s">
        <v>78</v>
      </c>
      <c r="M165" s="15" t="s">
        <v>143</v>
      </c>
      <c r="N165" s="40">
        <v>6808.0</v>
      </c>
      <c r="O165" s="17">
        <f t="shared" si="9"/>
        <v>0.7784958872</v>
      </c>
      <c r="P165" s="39">
        <v>5300.0</v>
      </c>
      <c r="Q165" s="12" t="s">
        <v>39</v>
      </c>
      <c r="R165" s="12">
        <v>1294030.0</v>
      </c>
      <c r="S165" s="29" t="s">
        <v>40</v>
      </c>
      <c r="T165" s="19">
        <v>4989366.0</v>
      </c>
      <c r="U165" s="12"/>
      <c r="V165" s="12"/>
      <c r="W165" s="12"/>
      <c r="X165" s="12"/>
      <c r="Y165" s="57">
        <v>45376.50902777778</v>
      </c>
      <c r="Z165" s="57">
        <v>45386.40347222222</v>
      </c>
      <c r="AA165" s="12"/>
      <c r="AB165" s="12"/>
      <c r="AC165" s="12"/>
      <c r="AD165" s="12"/>
      <c r="AE165" s="12"/>
      <c r="AF165" s="1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</row>
    <row r="166" ht="15.75" customHeight="1">
      <c r="A166" s="9">
        <v>1.0291577E7</v>
      </c>
      <c r="B166" s="10"/>
      <c r="C166" s="11">
        <v>45372.666666666664</v>
      </c>
      <c r="D166" s="12">
        <v>26.0</v>
      </c>
      <c r="E166" s="13">
        <v>31625.0</v>
      </c>
      <c r="F166" s="12" t="s">
        <v>31</v>
      </c>
      <c r="G166" s="29" t="s">
        <v>74</v>
      </c>
      <c r="H166" s="25" t="s">
        <v>155</v>
      </c>
      <c r="I166" s="25" t="s">
        <v>233</v>
      </c>
      <c r="J166" s="12" t="s">
        <v>35</v>
      </c>
      <c r="K166" s="25" t="s">
        <v>157</v>
      </c>
      <c r="L166" s="25" t="s">
        <v>78</v>
      </c>
      <c r="M166" s="15" t="s">
        <v>169</v>
      </c>
      <c r="N166" s="40">
        <v>6808.0</v>
      </c>
      <c r="O166" s="17">
        <f t="shared" si="9"/>
        <v>0.7784958872</v>
      </c>
      <c r="P166" s="39">
        <v>5300.0</v>
      </c>
      <c r="Q166" s="12" t="s">
        <v>39</v>
      </c>
      <c r="R166" s="12">
        <v>1293796.0</v>
      </c>
      <c r="S166" s="29" t="s">
        <v>40</v>
      </c>
      <c r="T166" s="19">
        <v>4987352.0</v>
      </c>
      <c r="U166" s="12"/>
      <c r="V166" s="12"/>
      <c r="W166" s="12"/>
      <c r="X166" s="12"/>
      <c r="Y166" s="57">
        <v>45377.34375</v>
      </c>
      <c r="Z166" s="57">
        <v>45386.4375</v>
      </c>
      <c r="AA166" s="12"/>
      <c r="AB166" s="12"/>
      <c r="AC166" s="12"/>
      <c r="AD166" s="12"/>
      <c r="AE166" s="12" t="s">
        <v>39</v>
      </c>
      <c r="AF166" s="1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</row>
    <row r="167" ht="15.75" customHeight="1">
      <c r="A167" s="9">
        <v>1.0291578E7</v>
      </c>
      <c r="B167" s="10"/>
      <c r="C167" s="11">
        <v>45372.666666666664</v>
      </c>
      <c r="D167" s="12">
        <v>26.0</v>
      </c>
      <c r="E167" s="13">
        <v>31625.0</v>
      </c>
      <c r="F167" s="12" t="s">
        <v>31</v>
      </c>
      <c r="G167" s="29" t="s">
        <v>74</v>
      </c>
      <c r="H167" s="12" t="s">
        <v>155</v>
      </c>
      <c r="I167" s="29" t="s">
        <v>233</v>
      </c>
      <c r="J167" s="12" t="s">
        <v>35</v>
      </c>
      <c r="K167" s="12" t="s">
        <v>157</v>
      </c>
      <c r="L167" s="25" t="s">
        <v>78</v>
      </c>
      <c r="M167" s="15" t="s">
        <v>166</v>
      </c>
      <c r="N167" s="40">
        <v>6808.0</v>
      </c>
      <c r="O167" s="17">
        <f t="shared" si="9"/>
        <v>0.7784958872</v>
      </c>
      <c r="P167" s="39">
        <v>5300.0</v>
      </c>
      <c r="Q167" s="12" t="s">
        <v>39</v>
      </c>
      <c r="R167" s="12">
        <v>1293606.0</v>
      </c>
      <c r="S167" s="29" t="s">
        <v>40</v>
      </c>
      <c r="T167" s="19">
        <v>4986132.0</v>
      </c>
      <c r="U167" s="12"/>
      <c r="V167" s="12"/>
      <c r="W167" s="12"/>
      <c r="X167" s="12"/>
      <c r="Y167" s="57">
        <v>45376.688888888886</v>
      </c>
      <c r="Z167" s="57">
        <v>45384.48541666667</v>
      </c>
      <c r="AA167" s="12"/>
      <c r="AB167" s="12"/>
      <c r="AC167" s="12"/>
      <c r="AD167" s="12"/>
      <c r="AE167" s="12" t="s">
        <v>39</v>
      </c>
      <c r="AF167" s="1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</row>
    <row r="168" ht="15.75" customHeight="1">
      <c r="A168" s="9">
        <v>1.029225E7</v>
      </c>
      <c r="B168" s="51"/>
      <c r="C168" s="11">
        <v>45374.833333333336</v>
      </c>
      <c r="D168" s="12">
        <v>26.0</v>
      </c>
      <c r="E168" s="13">
        <v>33139.0</v>
      </c>
      <c r="F168" s="12" t="s">
        <v>31</v>
      </c>
      <c r="G168" s="29" t="s">
        <v>32</v>
      </c>
      <c r="H168" s="29" t="s">
        <v>111</v>
      </c>
      <c r="I168" s="29" t="s">
        <v>112</v>
      </c>
      <c r="J168" s="25" t="s">
        <v>35</v>
      </c>
      <c r="K168" s="29" t="s">
        <v>113</v>
      </c>
      <c r="L168" s="25" t="s">
        <v>114</v>
      </c>
      <c r="M168" s="14"/>
      <c r="N168" s="40">
        <v>4325.0</v>
      </c>
      <c r="O168" s="17">
        <f t="shared" si="9"/>
        <v>0.6936416185</v>
      </c>
      <c r="P168" s="39">
        <v>3000.0</v>
      </c>
      <c r="Q168" s="12"/>
      <c r="R168" s="12"/>
      <c r="S168" s="29" t="s">
        <v>165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</row>
    <row r="169" ht="15.75" customHeight="1">
      <c r="A169" s="9">
        <v>1.0293162E7</v>
      </c>
      <c r="B169" s="51"/>
      <c r="C169" s="11">
        <v>45374.666666666664</v>
      </c>
      <c r="D169" s="12">
        <v>19.0</v>
      </c>
      <c r="E169" s="13">
        <v>23328.0</v>
      </c>
      <c r="F169" s="12" t="s">
        <v>31</v>
      </c>
      <c r="G169" s="29" t="s">
        <v>74</v>
      </c>
      <c r="H169" s="29" t="s">
        <v>190</v>
      </c>
      <c r="I169" s="29" t="s">
        <v>191</v>
      </c>
      <c r="J169" s="25" t="s">
        <v>35</v>
      </c>
      <c r="K169" s="25" t="s">
        <v>138</v>
      </c>
      <c r="L169" s="25" t="s">
        <v>94</v>
      </c>
      <c r="M169" s="14" t="s">
        <v>128</v>
      </c>
      <c r="N169" s="40">
        <v>5174.0</v>
      </c>
      <c r="O169" s="17">
        <f t="shared" si="9"/>
        <v>0.7730962505</v>
      </c>
      <c r="P169" s="39">
        <v>4000.0</v>
      </c>
      <c r="Q169" s="12" t="s">
        <v>39</v>
      </c>
      <c r="R169" s="12">
        <v>1294332.0</v>
      </c>
      <c r="S169" s="29" t="s">
        <v>40</v>
      </c>
      <c r="T169" s="19">
        <v>4991300.0</v>
      </c>
      <c r="U169" s="12"/>
      <c r="V169" s="12"/>
      <c r="W169" s="12"/>
      <c r="X169" s="12"/>
      <c r="Y169" s="57">
        <v>45376.606944444444</v>
      </c>
      <c r="Z169" s="57">
        <v>45376.82638888889</v>
      </c>
      <c r="AA169" s="12"/>
      <c r="AB169" s="12"/>
      <c r="AC169" s="12"/>
      <c r="AD169" s="12"/>
      <c r="AE169" s="12" t="s">
        <v>39</v>
      </c>
      <c r="AF169" s="1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</row>
    <row r="170" ht="15.75" customHeight="1">
      <c r="A170" s="9">
        <v>1.0293258E7</v>
      </c>
      <c r="B170" s="10"/>
      <c r="C170" s="11">
        <v>45371.333333333336</v>
      </c>
      <c r="D170" s="12">
        <v>26.0</v>
      </c>
      <c r="E170" s="13">
        <v>31226.0</v>
      </c>
      <c r="F170" s="12" t="s">
        <v>43</v>
      </c>
      <c r="G170" s="29" t="s">
        <v>44</v>
      </c>
      <c r="H170" s="12" t="s">
        <v>45</v>
      </c>
      <c r="I170" s="12" t="s">
        <v>46</v>
      </c>
      <c r="J170" s="12" t="s">
        <v>35</v>
      </c>
      <c r="K170" s="12" t="s">
        <v>47</v>
      </c>
      <c r="L170" s="12" t="s">
        <v>108</v>
      </c>
      <c r="M170" s="14" t="s">
        <v>128</v>
      </c>
      <c r="N170" s="24">
        <v>2336.24</v>
      </c>
      <c r="O170" s="17">
        <f t="shared" si="9"/>
        <v>0.6420573229</v>
      </c>
      <c r="P170" s="15">
        <v>1500.0</v>
      </c>
      <c r="Q170" s="12" t="s">
        <v>39</v>
      </c>
      <c r="R170" s="12">
        <v>1292873.0</v>
      </c>
      <c r="S170" s="29" t="s">
        <v>40</v>
      </c>
      <c r="T170" s="19">
        <v>4980578.0</v>
      </c>
      <c r="U170" s="12"/>
      <c r="V170" s="12"/>
      <c r="W170" s="12"/>
      <c r="X170" s="12"/>
      <c r="Y170" s="57">
        <v>45372.37847222222</v>
      </c>
      <c r="Z170" s="57">
        <v>45372.49444444444</v>
      </c>
      <c r="AA170" s="12"/>
      <c r="AB170" s="12"/>
      <c r="AC170" s="12"/>
      <c r="AD170" s="12"/>
      <c r="AE170" s="12" t="s">
        <v>39</v>
      </c>
      <c r="AF170" s="1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</row>
    <row r="171" ht="15.75" customHeight="1">
      <c r="A171" s="9">
        <v>1.0293259E7</v>
      </c>
      <c r="B171" s="10"/>
      <c r="C171" s="11">
        <v>45371.0</v>
      </c>
      <c r="D171" s="12" t="s">
        <v>52</v>
      </c>
      <c r="E171" s="13" t="s">
        <v>52</v>
      </c>
      <c r="F171" s="12" t="s">
        <v>43</v>
      </c>
      <c r="G171" s="29" t="s">
        <v>44</v>
      </c>
      <c r="H171" s="12" t="s">
        <v>234</v>
      </c>
      <c r="I171" s="29" t="s">
        <v>46</v>
      </c>
      <c r="J171" s="12" t="s">
        <v>47</v>
      </c>
      <c r="K171" s="12" t="s">
        <v>35</v>
      </c>
      <c r="L171" s="25" t="s">
        <v>110</v>
      </c>
      <c r="M171" s="14" t="s">
        <v>128</v>
      </c>
      <c r="N171" s="40">
        <v>1557.5</v>
      </c>
      <c r="O171" s="17">
        <f t="shared" si="9"/>
        <v>0.4494382022</v>
      </c>
      <c r="P171" s="39">
        <v>700.0</v>
      </c>
      <c r="Q171" s="12" t="s">
        <v>39</v>
      </c>
      <c r="R171" s="12">
        <v>1293346.0</v>
      </c>
      <c r="S171" s="29" t="s">
        <v>40</v>
      </c>
      <c r="T171" s="19">
        <v>4984115.0</v>
      </c>
      <c r="U171" s="12"/>
      <c r="V171" s="12"/>
      <c r="W171" s="12"/>
      <c r="X171" s="12"/>
      <c r="Y171" s="57">
        <v>45372.86111111111</v>
      </c>
      <c r="Z171" s="57">
        <v>45374.31041666667</v>
      </c>
      <c r="AA171" s="12"/>
      <c r="AB171" s="12"/>
      <c r="AC171" s="12"/>
      <c r="AD171" s="12"/>
      <c r="AE171" s="12" t="s">
        <v>39</v>
      </c>
      <c r="AF171" s="1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</row>
    <row r="172" ht="15.75" customHeight="1">
      <c r="A172" s="9">
        <v>1.0295491E7</v>
      </c>
      <c r="B172" s="10"/>
      <c r="C172" s="11">
        <v>45376.75</v>
      </c>
      <c r="D172" s="12">
        <v>26.0</v>
      </c>
      <c r="E172" s="13">
        <v>33430.0</v>
      </c>
      <c r="F172" s="12" t="s">
        <v>31</v>
      </c>
      <c r="G172" s="29" t="s">
        <v>32</v>
      </c>
      <c r="H172" s="29" t="s">
        <v>208</v>
      </c>
      <c r="I172" s="29" t="s">
        <v>209</v>
      </c>
      <c r="J172" s="25" t="s">
        <v>35</v>
      </c>
      <c r="K172" s="29" t="s">
        <v>210</v>
      </c>
      <c r="L172" s="28" t="s">
        <v>94</v>
      </c>
      <c r="M172" s="14"/>
      <c r="N172" s="40">
        <v>5446.0</v>
      </c>
      <c r="O172" s="17">
        <f t="shared" si="9"/>
        <v>0.734484025</v>
      </c>
      <c r="P172" s="39">
        <v>4000.0</v>
      </c>
      <c r="Q172" s="12"/>
      <c r="R172" s="12"/>
      <c r="S172" s="29" t="s">
        <v>165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</row>
    <row r="173" ht="15.75" customHeight="1">
      <c r="A173" s="9">
        <v>1.0295592E7</v>
      </c>
      <c r="B173" s="51"/>
      <c r="C173" s="11">
        <v>45378.666666666664</v>
      </c>
      <c r="D173" s="12">
        <v>26.0</v>
      </c>
      <c r="E173" s="13">
        <v>32553.0</v>
      </c>
      <c r="F173" s="12" t="s">
        <v>43</v>
      </c>
      <c r="G173" s="29" t="s">
        <v>32</v>
      </c>
      <c r="H173" s="29" t="s">
        <v>224</v>
      </c>
      <c r="I173" s="29" t="s">
        <v>225</v>
      </c>
      <c r="J173" s="55" t="s">
        <v>35</v>
      </c>
      <c r="K173" s="25" t="s">
        <v>226</v>
      </c>
      <c r="L173" s="28" t="s">
        <v>227</v>
      </c>
      <c r="M173" s="14" t="s">
        <v>83</v>
      </c>
      <c r="N173" s="40">
        <v>14624.0</v>
      </c>
      <c r="O173" s="17">
        <f t="shared" si="9"/>
        <v>0.4786652079</v>
      </c>
      <c r="P173" s="39">
        <v>7000.0</v>
      </c>
      <c r="Q173" s="12" t="s">
        <v>39</v>
      </c>
      <c r="R173" s="12">
        <v>1296581.0</v>
      </c>
      <c r="S173" s="29" t="s">
        <v>40</v>
      </c>
      <c r="T173" s="19">
        <v>5004182.0</v>
      </c>
      <c r="U173" s="12"/>
      <c r="V173" s="12"/>
      <c r="W173" s="12"/>
      <c r="X173" s="12"/>
      <c r="Y173" s="57">
        <v>45381.59027777778</v>
      </c>
      <c r="Z173" s="57">
        <v>45390.69097222222</v>
      </c>
      <c r="AA173" s="12"/>
      <c r="AB173" s="12"/>
      <c r="AC173" s="12"/>
      <c r="AD173" s="12"/>
      <c r="AE173" s="12" t="s">
        <v>39</v>
      </c>
      <c r="AF173" s="1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</row>
    <row r="174" ht="15.75" customHeight="1">
      <c r="A174" s="9">
        <v>1.0295593E7</v>
      </c>
      <c r="B174" s="10"/>
      <c r="C174" s="11">
        <v>45378.0</v>
      </c>
      <c r="D174" s="12" t="s">
        <v>52</v>
      </c>
      <c r="E174" s="13" t="s">
        <v>52</v>
      </c>
      <c r="F174" s="12" t="s">
        <v>43</v>
      </c>
      <c r="G174" s="29" t="s">
        <v>32</v>
      </c>
      <c r="H174" s="12" t="s">
        <v>235</v>
      </c>
      <c r="I174" s="29" t="s">
        <v>225</v>
      </c>
      <c r="J174" s="14" t="s">
        <v>35</v>
      </c>
      <c r="K174" s="12" t="s">
        <v>226</v>
      </c>
      <c r="L174" s="28" t="s">
        <v>43</v>
      </c>
      <c r="M174" s="14" t="s">
        <v>83</v>
      </c>
      <c r="N174" s="40">
        <v>9749.6</v>
      </c>
      <c r="O174" s="17">
        <f t="shared" si="9"/>
        <v>0.4615573972</v>
      </c>
      <c r="P174" s="15">
        <v>4500.0</v>
      </c>
      <c r="Q174" s="12"/>
      <c r="R174" s="12">
        <v>1303132.0</v>
      </c>
      <c r="S174" s="29" t="s">
        <v>40</v>
      </c>
      <c r="T174" s="19">
        <v>5038235.0</v>
      </c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</row>
    <row r="175" ht="15.75" customHeight="1">
      <c r="A175" s="58">
        <v>1.0296603E7</v>
      </c>
      <c r="B175" s="51"/>
      <c r="C175" s="11">
        <v>45374.208333333336</v>
      </c>
      <c r="D175" s="12">
        <v>26.0</v>
      </c>
      <c r="E175" s="13">
        <v>31636.0</v>
      </c>
      <c r="F175" s="12" t="s">
        <v>31</v>
      </c>
      <c r="G175" s="29" t="s">
        <v>44</v>
      </c>
      <c r="H175" s="12" t="s">
        <v>139</v>
      </c>
      <c r="I175" s="29" t="s">
        <v>140</v>
      </c>
      <c r="J175" s="12" t="s">
        <v>35</v>
      </c>
      <c r="K175" s="12" t="s">
        <v>141</v>
      </c>
      <c r="L175" s="25" t="s">
        <v>94</v>
      </c>
      <c r="M175" s="14" t="s">
        <v>148</v>
      </c>
      <c r="N175" s="40">
        <v>7880.37</v>
      </c>
      <c r="O175" s="17">
        <f t="shared" si="9"/>
        <v>0.6344879745</v>
      </c>
      <c r="P175" s="39">
        <v>5000.0</v>
      </c>
      <c r="Q175" s="12" t="s">
        <v>39</v>
      </c>
      <c r="R175" s="12">
        <v>1294435.0</v>
      </c>
      <c r="S175" s="29" t="s">
        <v>40</v>
      </c>
      <c r="T175" s="19">
        <v>4992135.0</v>
      </c>
      <c r="U175" s="12"/>
      <c r="V175" s="12"/>
      <c r="W175" s="12"/>
      <c r="X175" s="12"/>
      <c r="Y175" s="57">
        <v>45376.669444444444</v>
      </c>
      <c r="Z175" s="57">
        <v>45376.72083333333</v>
      </c>
      <c r="AA175" s="12"/>
      <c r="AB175" s="12"/>
      <c r="AC175" s="12"/>
      <c r="AD175" s="12"/>
      <c r="AE175" s="12" t="s">
        <v>39</v>
      </c>
      <c r="AF175" s="1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</row>
    <row r="176" ht="15.75" customHeight="1">
      <c r="A176" s="9">
        <v>1.0297362E7</v>
      </c>
      <c r="B176" s="10"/>
      <c r="C176" s="11">
        <v>45372.666666666664</v>
      </c>
      <c r="D176" s="12">
        <v>26.0</v>
      </c>
      <c r="E176" s="13">
        <v>31625.0</v>
      </c>
      <c r="F176" s="12" t="s">
        <v>31</v>
      </c>
      <c r="G176" s="29" t="s">
        <v>44</v>
      </c>
      <c r="H176" s="12" t="s">
        <v>236</v>
      </c>
      <c r="I176" s="25" t="s">
        <v>105</v>
      </c>
      <c r="J176" s="25" t="s">
        <v>35</v>
      </c>
      <c r="K176" s="29" t="s">
        <v>106</v>
      </c>
      <c r="L176" s="25" t="s">
        <v>59</v>
      </c>
      <c r="M176" s="15" t="s">
        <v>159</v>
      </c>
      <c r="N176" s="24">
        <v>5053.0</v>
      </c>
      <c r="O176" s="17">
        <f t="shared" si="9"/>
        <v>0.5937067089</v>
      </c>
      <c r="P176" s="15">
        <v>3000.0</v>
      </c>
      <c r="Q176" s="12" t="s">
        <v>39</v>
      </c>
      <c r="R176" s="12">
        <v>1293413.0</v>
      </c>
      <c r="S176" s="29" t="s">
        <v>40</v>
      </c>
      <c r="T176" s="19">
        <v>4984502.0</v>
      </c>
      <c r="U176" s="12"/>
      <c r="V176" s="12"/>
      <c r="W176" s="12"/>
      <c r="X176" s="12"/>
      <c r="Y176" s="57">
        <v>45373.558333333334</v>
      </c>
      <c r="Z176" s="57">
        <v>45373.634722222225</v>
      </c>
      <c r="AA176" s="12"/>
      <c r="AB176" s="12"/>
      <c r="AC176" s="12"/>
      <c r="AD176" s="12"/>
      <c r="AE176" s="12" t="s">
        <v>39</v>
      </c>
      <c r="AF176" s="1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</row>
    <row r="177" ht="15.75" customHeight="1">
      <c r="A177" s="9">
        <v>1.0298882E7</v>
      </c>
      <c r="B177" s="51"/>
      <c r="C177" s="11">
        <v>45377.833333333336</v>
      </c>
      <c r="D177" s="12">
        <v>26.0</v>
      </c>
      <c r="E177" s="13">
        <v>32647.0</v>
      </c>
      <c r="F177" s="12" t="s">
        <v>31</v>
      </c>
      <c r="G177" s="29" t="s">
        <v>32</v>
      </c>
      <c r="H177" s="12" t="s">
        <v>237</v>
      </c>
      <c r="I177" s="25" t="s">
        <v>238</v>
      </c>
      <c r="J177" s="25" t="s">
        <v>35</v>
      </c>
      <c r="K177" s="29" t="s">
        <v>239</v>
      </c>
      <c r="L177" s="25" t="s">
        <v>108</v>
      </c>
      <c r="M177" s="14" t="s">
        <v>240</v>
      </c>
      <c r="N177" s="24">
        <v>2028.09</v>
      </c>
      <c r="O177" s="17">
        <f t="shared" si="9"/>
        <v>0.7396121474</v>
      </c>
      <c r="P177" s="15">
        <v>1500.0</v>
      </c>
      <c r="Q177" s="12" t="s">
        <v>39</v>
      </c>
      <c r="R177" s="12">
        <v>1295968.0</v>
      </c>
      <c r="S177" s="29" t="s">
        <v>40</v>
      </c>
      <c r="T177" s="19">
        <v>5000126.0</v>
      </c>
      <c r="U177" s="12"/>
      <c r="V177" s="12"/>
      <c r="W177" s="12"/>
      <c r="X177" s="12"/>
      <c r="Y177" s="57">
        <v>45378.410416666666</v>
      </c>
      <c r="Z177" s="57">
        <v>45378.7125</v>
      </c>
      <c r="AA177" s="12"/>
      <c r="AB177" s="12"/>
      <c r="AC177" s="12"/>
      <c r="AD177" s="12"/>
      <c r="AE177" s="12" t="s">
        <v>39</v>
      </c>
      <c r="AF177" s="1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</row>
    <row r="178" ht="15.75" customHeight="1">
      <c r="A178" s="9">
        <v>1.0303937E7</v>
      </c>
      <c r="B178" s="51"/>
      <c r="C178" s="11">
        <v>45377.625</v>
      </c>
      <c r="D178" s="12">
        <v>26.0</v>
      </c>
      <c r="E178" s="13">
        <v>32647.0</v>
      </c>
      <c r="F178" s="12" t="s">
        <v>31</v>
      </c>
      <c r="G178" s="29" t="s">
        <v>32</v>
      </c>
      <c r="H178" s="12" t="s">
        <v>211</v>
      </c>
      <c r="I178" s="29" t="s">
        <v>212</v>
      </c>
      <c r="J178" s="12" t="s">
        <v>35</v>
      </c>
      <c r="K178" s="12" t="s">
        <v>213</v>
      </c>
      <c r="L178" s="28" t="s">
        <v>188</v>
      </c>
      <c r="M178" s="14" t="s">
        <v>184</v>
      </c>
      <c r="N178" s="40">
        <v>6290.0</v>
      </c>
      <c r="O178" s="17">
        <f t="shared" si="9"/>
        <v>0.5564387917</v>
      </c>
      <c r="P178" s="39">
        <v>3500.0</v>
      </c>
      <c r="Q178" s="12" t="s">
        <v>39</v>
      </c>
      <c r="R178" s="12">
        <v>1295961.0</v>
      </c>
      <c r="S178" s="29" t="s">
        <v>40</v>
      </c>
      <c r="T178" s="19">
        <v>5000066.0</v>
      </c>
      <c r="U178" s="12"/>
      <c r="V178" s="12"/>
      <c r="W178" s="12"/>
      <c r="X178" s="12"/>
      <c r="Y178" s="57">
        <v>45384.57777777778</v>
      </c>
      <c r="Z178" s="57">
        <v>45384.61666666667</v>
      </c>
      <c r="AA178" s="12"/>
      <c r="AB178" s="12"/>
      <c r="AC178" s="12"/>
      <c r="AD178" s="12"/>
      <c r="AE178" s="12" t="s">
        <v>39</v>
      </c>
      <c r="AF178" s="1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</row>
    <row r="179" ht="15.75" customHeight="1">
      <c r="A179" s="9">
        <v>1.0304328E7</v>
      </c>
      <c r="B179" s="51"/>
      <c r="C179" s="11">
        <v>45377.625</v>
      </c>
      <c r="D179" s="12">
        <v>26.0</v>
      </c>
      <c r="E179" s="13">
        <v>32647.0</v>
      </c>
      <c r="F179" s="12" t="s">
        <v>31</v>
      </c>
      <c r="G179" s="25" t="s">
        <v>32</v>
      </c>
      <c r="H179" s="25" t="s">
        <v>241</v>
      </c>
      <c r="I179" s="25" t="s">
        <v>242</v>
      </c>
      <c r="J179" s="12" t="s">
        <v>35</v>
      </c>
      <c r="K179" s="25" t="s">
        <v>243</v>
      </c>
      <c r="L179" s="28" t="s">
        <v>188</v>
      </c>
      <c r="M179" s="14"/>
      <c r="N179" s="40">
        <v>3454.96</v>
      </c>
      <c r="O179" s="17">
        <f t="shared" si="9"/>
        <v>0.7235973788</v>
      </c>
      <c r="P179" s="39">
        <v>2500.0</v>
      </c>
      <c r="Q179" s="12"/>
      <c r="R179" s="12"/>
      <c r="S179" s="29" t="s">
        <v>165</v>
      </c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</row>
    <row r="180" ht="15.75" customHeight="1">
      <c r="A180" s="9">
        <v>1.0304329E7</v>
      </c>
      <c r="B180" s="51"/>
      <c r="C180" s="11">
        <v>45374.875</v>
      </c>
      <c r="D180" s="12">
        <v>26.0</v>
      </c>
      <c r="E180" s="13">
        <v>33139.0</v>
      </c>
      <c r="F180" s="12" t="s">
        <v>31</v>
      </c>
      <c r="G180" s="25" t="s">
        <v>44</v>
      </c>
      <c r="H180" s="25" t="s">
        <v>45</v>
      </c>
      <c r="I180" s="25" t="s">
        <v>46</v>
      </c>
      <c r="J180" s="12" t="s">
        <v>35</v>
      </c>
      <c r="K180" s="25" t="s">
        <v>47</v>
      </c>
      <c r="L180" s="25" t="s">
        <v>108</v>
      </c>
      <c r="M180" s="14" t="s">
        <v>151</v>
      </c>
      <c r="N180" s="40">
        <v>2336.24</v>
      </c>
      <c r="O180" s="17">
        <f t="shared" si="9"/>
        <v>0.6420573229</v>
      </c>
      <c r="P180" s="39">
        <v>1500.0</v>
      </c>
      <c r="Q180" s="12" t="s">
        <v>39</v>
      </c>
      <c r="R180" s="12">
        <v>1294208.0</v>
      </c>
      <c r="S180" s="29" t="s">
        <v>40</v>
      </c>
      <c r="T180" s="19">
        <v>4990863.0</v>
      </c>
      <c r="U180" s="12"/>
      <c r="V180" s="12"/>
      <c r="W180" s="12"/>
      <c r="X180" s="12"/>
      <c r="Y180" s="57">
        <v>45376.39097222222</v>
      </c>
      <c r="Z180" s="57">
        <v>45376.447916666664</v>
      </c>
      <c r="AA180" s="12"/>
      <c r="AB180" s="12"/>
      <c r="AC180" s="12"/>
      <c r="AD180" s="12"/>
      <c r="AE180" s="12" t="s">
        <v>39</v>
      </c>
      <c r="AF180" s="1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</row>
    <row r="181" ht="15.75" customHeight="1">
      <c r="A181" s="9">
        <v>1.0304508E7</v>
      </c>
      <c r="B181" s="51"/>
      <c r="C181" s="11">
        <v>45374.416666666664</v>
      </c>
      <c r="D181" s="12">
        <v>26.0</v>
      </c>
      <c r="E181" s="13">
        <v>33139.0</v>
      </c>
      <c r="F181" s="12" t="s">
        <v>31</v>
      </c>
      <c r="G181" s="29" t="s">
        <v>44</v>
      </c>
      <c r="H181" s="25" t="s">
        <v>45</v>
      </c>
      <c r="I181" s="25" t="s">
        <v>46</v>
      </c>
      <c r="J181" s="12" t="s">
        <v>35</v>
      </c>
      <c r="K181" s="25" t="s">
        <v>47</v>
      </c>
      <c r="L181" s="25" t="s">
        <v>108</v>
      </c>
      <c r="M181" s="14" t="s">
        <v>244</v>
      </c>
      <c r="N181" s="40">
        <v>2336.24</v>
      </c>
      <c r="O181" s="17">
        <f t="shared" si="9"/>
        <v>0.8560764305</v>
      </c>
      <c r="P181" s="39">
        <v>2000.0</v>
      </c>
      <c r="Q181" s="12" t="s">
        <v>39</v>
      </c>
      <c r="R181" s="12">
        <v>1294207.0</v>
      </c>
      <c r="S181" s="29" t="s">
        <v>40</v>
      </c>
      <c r="T181" s="19">
        <v>4990830.0</v>
      </c>
      <c r="U181" s="12"/>
      <c r="V181" s="12"/>
      <c r="W181" s="12"/>
      <c r="X181" s="12"/>
      <c r="Y181" s="57">
        <v>45376.583333333336</v>
      </c>
      <c r="Z181" s="57">
        <v>45376.729166666664</v>
      </c>
      <c r="AA181" s="12"/>
      <c r="AB181" s="12"/>
      <c r="AC181" s="12"/>
      <c r="AD181" s="12"/>
      <c r="AE181" s="12" t="s">
        <v>39</v>
      </c>
      <c r="AF181" s="1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</row>
    <row r="182" ht="15.75" customHeight="1">
      <c r="A182" s="9">
        <v>1.0306868E7</v>
      </c>
      <c r="B182" s="51"/>
      <c r="C182" s="11">
        <v>45375.416666666664</v>
      </c>
      <c r="D182" s="12">
        <v>26.0</v>
      </c>
      <c r="E182" s="13">
        <v>32647.0</v>
      </c>
      <c r="F182" s="12" t="s">
        <v>31</v>
      </c>
      <c r="G182" s="29" t="s">
        <v>32</v>
      </c>
      <c r="H182" s="29" t="s">
        <v>241</v>
      </c>
      <c r="I182" s="25" t="s">
        <v>242</v>
      </c>
      <c r="J182" s="25" t="s">
        <v>35</v>
      </c>
      <c r="K182" s="29" t="s">
        <v>243</v>
      </c>
      <c r="L182" s="28" t="s">
        <v>188</v>
      </c>
      <c r="M182" s="12"/>
      <c r="N182" s="40">
        <v>3454.96</v>
      </c>
      <c r="O182" s="17">
        <f t="shared" si="9"/>
        <v>0.7235973788</v>
      </c>
      <c r="P182" s="39">
        <v>2500.0</v>
      </c>
      <c r="Q182" s="12"/>
      <c r="R182" s="12"/>
      <c r="S182" s="29" t="s">
        <v>165</v>
      </c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</row>
    <row r="183" ht="15.75" customHeight="1">
      <c r="A183" s="9">
        <v>1.0307574E7</v>
      </c>
      <c r="B183" s="51"/>
      <c r="C183" s="11">
        <v>45377.75</v>
      </c>
      <c r="D183" s="12">
        <v>26.0</v>
      </c>
      <c r="E183" s="13">
        <v>32553.0</v>
      </c>
      <c r="F183" s="12" t="s">
        <v>43</v>
      </c>
      <c r="G183" s="29" t="s">
        <v>44</v>
      </c>
      <c r="H183" s="29" t="s">
        <v>45</v>
      </c>
      <c r="I183" s="29" t="s">
        <v>46</v>
      </c>
      <c r="J183" s="25" t="s">
        <v>35</v>
      </c>
      <c r="K183" s="29" t="s">
        <v>47</v>
      </c>
      <c r="L183" s="25" t="s">
        <v>108</v>
      </c>
      <c r="M183" s="14"/>
      <c r="N183" s="40">
        <v>2336.24</v>
      </c>
      <c r="O183" s="17">
        <f t="shared" si="9"/>
        <v>0.6420573229</v>
      </c>
      <c r="P183" s="39">
        <v>1500.0</v>
      </c>
      <c r="Q183" s="12"/>
      <c r="R183" s="12"/>
      <c r="S183" s="29" t="s">
        <v>131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</row>
    <row r="184" ht="15.75" customHeight="1">
      <c r="A184" s="9">
        <v>1.0313094E7</v>
      </c>
      <c r="B184" s="10"/>
      <c r="C184" s="11">
        <v>45381.583333333336</v>
      </c>
      <c r="D184" s="12">
        <v>26.0</v>
      </c>
      <c r="E184" s="13">
        <v>30527.0</v>
      </c>
      <c r="F184" s="12" t="s">
        <v>31</v>
      </c>
      <c r="G184" s="29" t="s">
        <v>74</v>
      </c>
      <c r="H184" s="29" t="s">
        <v>155</v>
      </c>
      <c r="I184" s="25" t="s">
        <v>233</v>
      </c>
      <c r="J184" s="25" t="s">
        <v>35</v>
      </c>
      <c r="K184" s="29" t="s">
        <v>157</v>
      </c>
      <c r="L184" s="25" t="s">
        <v>78</v>
      </c>
      <c r="M184" s="15"/>
      <c r="N184" s="40">
        <v>6808.0</v>
      </c>
      <c r="O184" s="17">
        <f t="shared" si="9"/>
        <v>0.7784958872</v>
      </c>
      <c r="P184" s="39">
        <v>5300.0</v>
      </c>
      <c r="Q184" s="12"/>
      <c r="R184" s="12"/>
      <c r="S184" s="29" t="s">
        <v>131</v>
      </c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</row>
    <row r="185" ht="15.75" customHeight="1">
      <c r="A185" s="9">
        <v>1.0323028E7</v>
      </c>
      <c r="B185" s="10"/>
      <c r="C185" s="11">
        <v>45383.666666666664</v>
      </c>
      <c r="D185" s="12">
        <v>26.0</v>
      </c>
      <c r="E185" s="13">
        <v>31625.0</v>
      </c>
      <c r="F185" s="12" t="s">
        <v>31</v>
      </c>
      <c r="G185" s="29" t="s">
        <v>44</v>
      </c>
      <c r="H185" s="29" t="s">
        <v>139</v>
      </c>
      <c r="I185" s="25" t="s">
        <v>140</v>
      </c>
      <c r="J185" s="25" t="s">
        <v>35</v>
      </c>
      <c r="K185" s="29" t="s">
        <v>141</v>
      </c>
      <c r="L185" s="28" t="s">
        <v>94</v>
      </c>
      <c r="M185" s="14" t="s">
        <v>146</v>
      </c>
      <c r="N185" s="40">
        <v>7880.37</v>
      </c>
      <c r="O185" s="17">
        <f t="shared" si="9"/>
        <v>0.6344879745</v>
      </c>
      <c r="P185" s="39">
        <v>5000.0</v>
      </c>
      <c r="Q185" s="12" t="s">
        <v>39</v>
      </c>
      <c r="R185" s="12">
        <v>1298929.0</v>
      </c>
      <c r="S185" s="29" t="s">
        <v>40</v>
      </c>
      <c r="T185" s="19">
        <v>5015166.0</v>
      </c>
      <c r="U185" s="12"/>
      <c r="V185" s="12"/>
      <c r="W185" s="12"/>
      <c r="X185" s="12"/>
      <c r="Y185" s="57">
        <v>45384.71388888889</v>
      </c>
      <c r="Z185" s="57">
        <v>45386.38263888889</v>
      </c>
      <c r="AA185" s="12"/>
      <c r="AB185" s="12"/>
      <c r="AC185" s="12"/>
      <c r="AD185" s="12"/>
      <c r="AE185" s="12" t="s">
        <v>39</v>
      </c>
      <c r="AF185" s="1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</row>
    <row r="186" ht="15.75" customHeight="1">
      <c r="A186" s="9">
        <v>1.0323029E7</v>
      </c>
      <c r="B186" s="10"/>
      <c r="C186" s="11">
        <v>45384.666666666664</v>
      </c>
      <c r="D186" s="12">
        <v>26.0</v>
      </c>
      <c r="E186" s="13">
        <v>31922.0</v>
      </c>
      <c r="F186" s="12" t="s">
        <v>31</v>
      </c>
      <c r="G186" s="29" t="s">
        <v>44</v>
      </c>
      <c r="H186" s="29" t="s">
        <v>139</v>
      </c>
      <c r="I186" s="29" t="s">
        <v>140</v>
      </c>
      <c r="J186" s="25" t="s">
        <v>35</v>
      </c>
      <c r="K186" s="29" t="s">
        <v>141</v>
      </c>
      <c r="L186" s="28" t="s">
        <v>94</v>
      </c>
      <c r="M186" s="14" t="s">
        <v>69</v>
      </c>
      <c r="N186" s="40">
        <v>7880.37</v>
      </c>
      <c r="O186" s="17">
        <f t="shared" si="9"/>
        <v>0.6344879745</v>
      </c>
      <c r="P186" s="39">
        <v>5000.0</v>
      </c>
      <c r="Q186" s="12" t="s">
        <v>39</v>
      </c>
      <c r="R186" s="12">
        <v>1299672.0</v>
      </c>
      <c r="S186" s="29" t="s">
        <v>40</v>
      </c>
      <c r="T186" s="19">
        <v>5019729.0</v>
      </c>
      <c r="U186" s="12"/>
      <c r="V186" s="12"/>
      <c r="W186" s="12"/>
      <c r="X186" s="12"/>
      <c r="Y186" s="57">
        <v>45386.73472222222</v>
      </c>
      <c r="Z186" s="57">
        <v>45387.186111111114</v>
      </c>
      <c r="AA186" s="12"/>
      <c r="AB186" s="12"/>
      <c r="AC186" s="12"/>
      <c r="AD186" s="12"/>
      <c r="AE186" s="12"/>
      <c r="AF186" s="1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</row>
    <row r="187" ht="15.75" customHeight="1">
      <c r="A187" s="9">
        <v>1.032303E7</v>
      </c>
      <c r="B187" s="10"/>
      <c r="C187" s="11">
        <v>45384.708333333336</v>
      </c>
      <c r="D187" s="12">
        <v>26.0</v>
      </c>
      <c r="E187" s="13">
        <v>31625.0</v>
      </c>
      <c r="F187" s="12" t="s">
        <v>31</v>
      </c>
      <c r="G187" s="29" t="s">
        <v>44</v>
      </c>
      <c r="H187" s="29" t="s">
        <v>139</v>
      </c>
      <c r="I187" s="29" t="s">
        <v>140</v>
      </c>
      <c r="J187" s="25" t="s">
        <v>35</v>
      </c>
      <c r="K187" s="29" t="s">
        <v>141</v>
      </c>
      <c r="L187" s="28" t="s">
        <v>94</v>
      </c>
      <c r="M187" s="14"/>
      <c r="N187" s="40">
        <v>7880.37</v>
      </c>
      <c r="O187" s="17">
        <f t="shared" si="9"/>
        <v>0.6344879745</v>
      </c>
      <c r="P187" s="39">
        <v>5000.0</v>
      </c>
      <c r="Q187" s="12"/>
      <c r="R187" s="12"/>
      <c r="S187" s="29" t="s">
        <v>165</v>
      </c>
      <c r="T187" s="12"/>
      <c r="U187" s="12"/>
      <c r="V187" s="12"/>
      <c r="W187" s="12"/>
      <c r="X187" s="12"/>
      <c r="Y187" s="12"/>
      <c r="Z187" s="57"/>
      <c r="AA187" s="12"/>
      <c r="AB187" s="12"/>
      <c r="AC187" s="12"/>
      <c r="AD187" s="12"/>
      <c r="AE187" s="12"/>
      <c r="AF187" s="1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</row>
    <row r="188" ht="15.75" customHeight="1">
      <c r="A188" s="9">
        <v>1.032639E7</v>
      </c>
      <c r="B188" s="10"/>
      <c r="C188" s="11">
        <v>45385.875</v>
      </c>
      <c r="D188" s="12">
        <v>26.0</v>
      </c>
      <c r="E188" s="13">
        <v>31625.0</v>
      </c>
      <c r="F188" s="12" t="s">
        <v>31</v>
      </c>
      <c r="G188" s="29" t="s">
        <v>44</v>
      </c>
      <c r="H188" s="29" t="s">
        <v>104</v>
      </c>
      <c r="I188" s="12" t="s">
        <v>105</v>
      </c>
      <c r="J188" s="25" t="s">
        <v>35</v>
      </c>
      <c r="K188" s="29" t="s">
        <v>106</v>
      </c>
      <c r="L188" s="25" t="s">
        <v>59</v>
      </c>
      <c r="M188" s="12" t="s">
        <v>49</v>
      </c>
      <c r="N188" s="40">
        <v>5053.0</v>
      </c>
      <c r="O188" s="17">
        <f t="shared" si="9"/>
        <v>0.5937067089</v>
      </c>
      <c r="P188" s="39">
        <v>3000.0</v>
      </c>
      <c r="Q188" s="12" t="s">
        <v>39</v>
      </c>
      <c r="R188" s="12">
        <v>1300266.0</v>
      </c>
      <c r="S188" s="29" t="s">
        <v>40</v>
      </c>
      <c r="T188" s="19">
        <v>5023582.0</v>
      </c>
      <c r="U188" s="12"/>
      <c r="V188" s="12"/>
      <c r="W188" s="12"/>
      <c r="X188" s="12"/>
      <c r="Y188" s="57">
        <v>45390.39444444444</v>
      </c>
      <c r="Z188" s="57">
        <v>45390.472916666666</v>
      </c>
      <c r="AA188" s="12"/>
      <c r="AB188" s="12"/>
      <c r="AC188" s="12"/>
      <c r="AD188" s="12"/>
      <c r="AE188" s="12" t="s">
        <v>39</v>
      </c>
      <c r="AF188" s="1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</row>
    <row r="189" ht="15.75" customHeight="1">
      <c r="A189" s="9">
        <v>1.0326391E7</v>
      </c>
      <c r="B189" s="51"/>
      <c r="C189" s="11">
        <v>45383.625</v>
      </c>
      <c r="D189" s="12">
        <v>26.0</v>
      </c>
      <c r="E189" s="13">
        <v>31625.0</v>
      </c>
      <c r="F189" s="12" t="s">
        <v>31</v>
      </c>
      <c r="G189" s="29" t="s">
        <v>44</v>
      </c>
      <c r="H189" s="29" t="s">
        <v>104</v>
      </c>
      <c r="I189" s="25" t="s">
        <v>105</v>
      </c>
      <c r="J189" s="25" t="s">
        <v>35</v>
      </c>
      <c r="K189" s="29" t="s">
        <v>106</v>
      </c>
      <c r="L189" s="25" t="s">
        <v>59</v>
      </c>
      <c r="M189" s="12" t="s">
        <v>144</v>
      </c>
      <c r="N189" s="40">
        <v>5053.0</v>
      </c>
      <c r="O189" s="17">
        <f t="shared" si="9"/>
        <v>0.5937067089</v>
      </c>
      <c r="P189" s="39">
        <v>3000.0</v>
      </c>
      <c r="Q189" s="12" t="s">
        <v>39</v>
      </c>
      <c r="R189" s="12">
        <v>1299568.0</v>
      </c>
      <c r="S189" s="29" t="s">
        <v>40</v>
      </c>
      <c r="T189" s="19">
        <v>5019294.0</v>
      </c>
      <c r="U189" s="12"/>
      <c r="V189" s="12"/>
      <c r="W189" s="12"/>
      <c r="X189" s="12"/>
      <c r="Y189" s="57">
        <v>45385.325694444444</v>
      </c>
      <c r="Z189" s="57">
        <v>45385.45763888889</v>
      </c>
      <c r="AA189" s="12"/>
      <c r="AB189" s="12"/>
      <c r="AC189" s="12"/>
      <c r="AD189" s="12"/>
      <c r="AE189" s="12" t="s">
        <v>39</v>
      </c>
      <c r="AF189" s="1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ht="15.75" customHeight="1">
      <c r="A190" s="9">
        <v>1.0334747E7</v>
      </c>
      <c r="B190" s="10"/>
      <c r="C190" s="11">
        <v>45390.0</v>
      </c>
      <c r="D190" s="12" t="s">
        <v>52</v>
      </c>
      <c r="E190" s="13" t="s">
        <v>52</v>
      </c>
      <c r="F190" s="12" t="s">
        <v>43</v>
      </c>
      <c r="G190" s="29" t="s">
        <v>44</v>
      </c>
      <c r="H190" s="29" t="s">
        <v>245</v>
      </c>
      <c r="I190" s="29" t="s">
        <v>46</v>
      </c>
      <c r="J190" s="25" t="s">
        <v>47</v>
      </c>
      <c r="K190" s="29" t="s">
        <v>35</v>
      </c>
      <c r="L190" s="25" t="s">
        <v>110</v>
      </c>
      <c r="M190" s="14"/>
      <c r="N190" s="40">
        <v>1446.19</v>
      </c>
      <c r="O190" s="17">
        <f t="shared" si="9"/>
        <v>0.4840304524</v>
      </c>
      <c r="P190" s="39">
        <v>700.0</v>
      </c>
      <c r="Q190" s="12"/>
      <c r="R190" s="12"/>
      <c r="S190" s="29" t="s">
        <v>165</v>
      </c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</row>
    <row r="191" ht="15.75" customHeight="1">
      <c r="A191" s="9">
        <v>1.0334748E7</v>
      </c>
      <c r="B191" s="10"/>
      <c r="C191" s="11">
        <v>45385.0</v>
      </c>
      <c r="D191" s="12" t="s">
        <v>52</v>
      </c>
      <c r="E191" s="13" t="s">
        <v>52</v>
      </c>
      <c r="F191" s="12" t="s">
        <v>43</v>
      </c>
      <c r="G191" s="29" t="s">
        <v>44</v>
      </c>
      <c r="H191" s="29" t="s">
        <v>246</v>
      </c>
      <c r="I191" s="25" t="s">
        <v>46</v>
      </c>
      <c r="J191" s="25" t="s">
        <v>47</v>
      </c>
      <c r="K191" s="29" t="s">
        <v>35</v>
      </c>
      <c r="L191" s="25" t="s">
        <v>110</v>
      </c>
      <c r="M191" s="14" t="s">
        <v>247</v>
      </c>
      <c r="N191" s="40">
        <v>1446.19</v>
      </c>
      <c r="O191" s="17">
        <f t="shared" si="9"/>
        <v>0.4840304524</v>
      </c>
      <c r="P191" s="39">
        <v>700.0</v>
      </c>
      <c r="Q191" s="12"/>
      <c r="R191" s="12">
        <v>1300912.0</v>
      </c>
      <c r="S191" s="29" t="s">
        <v>40</v>
      </c>
      <c r="T191" s="19">
        <v>5027024.0</v>
      </c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</row>
    <row r="192" ht="15.75" customHeight="1">
      <c r="A192" s="9">
        <v>1.0334749E7</v>
      </c>
      <c r="B192" s="10"/>
      <c r="C192" s="11">
        <v>45385.875</v>
      </c>
      <c r="D192" s="12">
        <v>26.0</v>
      </c>
      <c r="E192" s="13">
        <v>26553.0</v>
      </c>
      <c r="F192" s="12" t="s">
        <v>43</v>
      </c>
      <c r="G192" s="29" t="s">
        <v>44</v>
      </c>
      <c r="H192" s="29" t="s">
        <v>45</v>
      </c>
      <c r="I192" s="29" t="s">
        <v>46</v>
      </c>
      <c r="J192" s="25" t="s">
        <v>35</v>
      </c>
      <c r="K192" s="29" t="s">
        <v>47</v>
      </c>
      <c r="L192" s="25" t="s">
        <v>108</v>
      </c>
      <c r="M192" s="14" t="s">
        <v>247</v>
      </c>
      <c r="N192" s="40">
        <v>2169.28</v>
      </c>
      <c r="O192" s="17">
        <f t="shared" si="9"/>
        <v>0.6914736687</v>
      </c>
      <c r="P192" s="39">
        <v>1500.0</v>
      </c>
      <c r="Q192" s="12" t="s">
        <v>39</v>
      </c>
      <c r="R192" s="12">
        <v>1300427.0</v>
      </c>
      <c r="S192" s="29" t="s">
        <v>40</v>
      </c>
      <c r="T192" s="19">
        <v>5024666.0</v>
      </c>
      <c r="U192" s="12"/>
      <c r="V192" s="12"/>
      <c r="W192" s="12"/>
      <c r="X192" s="12"/>
      <c r="Y192" s="57">
        <v>45386.305555555555</v>
      </c>
      <c r="Z192" s="57">
        <v>45386.41527777778</v>
      </c>
      <c r="AA192" s="12"/>
      <c r="AB192" s="12"/>
      <c r="AC192" s="12"/>
      <c r="AD192" s="12"/>
      <c r="AE192" s="12" t="s">
        <v>39</v>
      </c>
      <c r="AF192" s="1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</row>
    <row r="193" ht="15.75" customHeight="1">
      <c r="A193" s="9">
        <v>1.033475E7</v>
      </c>
      <c r="B193" s="10"/>
      <c r="C193" s="11">
        <v>45390.875</v>
      </c>
      <c r="D193" s="12">
        <v>19.0</v>
      </c>
      <c r="E193" s="13">
        <v>24456.0</v>
      </c>
      <c r="F193" s="12" t="s">
        <v>43</v>
      </c>
      <c r="G193" s="29" t="s">
        <v>44</v>
      </c>
      <c r="H193" s="29" t="s">
        <v>45</v>
      </c>
      <c r="I193" s="29" t="s">
        <v>46</v>
      </c>
      <c r="J193" s="25" t="s">
        <v>35</v>
      </c>
      <c r="K193" s="25" t="s">
        <v>47</v>
      </c>
      <c r="L193" s="25" t="s">
        <v>108</v>
      </c>
      <c r="M193" s="14"/>
      <c r="N193" s="40">
        <v>2169.28</v>
      </c>
      <c r="O193" s="17">
        <f t="shared" si="9"/>
        <v>0.6914736687</v>
      </c>
      <c r="P193" s="39">
        <v>1500.0</v>
      </c>
      <c r="Q193" s="12"/>
      <c r="R193" s="12"/>
      <c r="S193" s="29" t="s">
        <v>165</v>
      </c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</row>
    <row r="194" ht="15.75" customHeight="1">
      <c r="A194" s="9">
        <v>1.033516E7</v>
      </c>
      <c r="B194" s="10"/>
      <c r="C194" s="11">
        <v>45384.0</v>
      </c>
      <c r="D194" s="12" t="s">
        <v>52</v>
      </c>
      <c r="E194" s="13" t="s">
        <v>52</v>
      </c>
      <c r="F194" s="12" t="s">
        <v>52</v>
      </c>
      <c r="G194" s="29"/>
      <c r="H194" s="12" t="s">
        <v>248</v>
      </c>
      <c r="I194" s="28"/>
      <c r="J194" s="25" t="s">
        <v>232</v>
      </c>
      <c r="K194" s="39" t="s">
        <v>35</v>
      </c>
      <c r="L194" s="59" t="s">
        <v>110</v>
      </c>
      <c r="M194" s="14" t="s">
        <v>151</v>
      </c>
      <c r="N194" s="40">
        <v>3774.0</v>
      </c>
      <c r="O194" s="17">
        <f t="shared" si="9"/>
        <v>0.9273979862</v>
      </c>
      <c r="P194" s="39">
        <v>3500.0</v>
      </c>
      <c r="Q194" s="12"/>
      <c r="R194" s="12">
        <v>1300171.0</v>
      </c>
      <c r="S194" s="29" t="s">
        <v>40</v>
      </c>
      <c r="T194" s="19">
        <v>5022785.0</v>
      </c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</row>
    <row r="195" ht="15.75" customHeight="1">
      <c r="A195" s="9">
        <v>1.0337188E7</v>
      </c>
      <c r="B195" s="51"/>
      <c r="C195" s="11">
        <v>45387.625</v>
      </c>
      <c r="D195" s="12">
        <v>26.0</v>
      </c>
      <c r="E195" s="13">
        <v>31625.0</v>
      </c>
      <c r="F195" s="12" t="s">
        <v>31</v>
      </c>
      <c r="G195" s="29" t="s">
        <v>44</v>
      </c>
      <c r="H195" s="12" t="s">
        <v>139</v>
      </c>
      <c r="I195" s="25" t="s">
        <v>140</v>
      </c>
      <c r="J195" s="25" t="s">
        <v>35</v>
      </c>
      <c r="K195" s="29" t="s">
        <v>141</v>
      </c>
      <c r="L195" s="28" t="s">
        <v>94</v>
      </c>
      <c r="M195" s="14" t="s">
        <v>184</v>
      </c>
      <c r="N195" s="40">
        <v>7880.37</v>
      </c>
      <c r="O195" s="17">
        <f t="shared" si="9"/>
        <v>0.6344879745</v>
      </c>
      <c r="P195" s="39">
        <v>5000.0</v>
      </c>
      <c r="Q195" s="12" t="s">
        <v>39</v>
      </c>
      <c r="R195" s="12">
        <v>1301652.0</v>
      </c>
      <c r="S195" s="29" t="s">
        <v>40</v>
      </c>
      <c r="T195" s="19">
        <v>5031846.0</v>
      </c>
      <c r="U195" s="12"/>
      <c r="V195" s="12"/>
      <c r="W195" s="12"/>
      <c r="X195" s="12"/>
      <c r="Y195" s="57">
        <v>45390.80972222222</v>
      </c>
      <c r="Z195" s="57">
        <v>45391.302777777775</v>
      </c>
      <c r="AA195" s="12"/>
      <c r="AB195" s="12"/>
      <c r="AC195" s="12"/>
      <c r="AD195" s="12"/>
      <c r="AE195" s="12" t="s">
        <v>39</v>
      </c>
      <c r="AF195" s="1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</row>
    <row r="196" ht="15.75" customHeight="1">
      <c r="A196" s="9">
        <v>1.0337189E7</v>
      </c>
      <c r="B196" s="51"/>
      <c r="C196" s="11">
        <v>45387.791666666664</v>
      </c>
      <c r="D196" s="12">
        <v>26.0</v>
      </c>
      <c r="E196" s="13">
        <v>31625.0</v>
      </c>
      <c r="F196" s="12" t="s">
        <v>31</v>
      </c>
      <c r="G196" s="29" t="s">
        <v>44</v>
      </c>
      <c r="H196" s="12" t="s">
        <v>139</v>
      </c>
      <c r="I196" s="25" t="s">
        <v>140</v>
      </c>
      <c r="J196" s="25" t="s">
        <v>35</v>
      </c>
      <c r="K196" s="29" t="s">
        <v>141</v>
      </c>
      <c r="L196" s="28" t="s">
        <v>94</v>
      </c>
      <c r="M196" s="14" t="s">
        <v>144</v>
      </c>
      <c r="N196" s="40">
        <v>7880.37</v>
      </c>
      <c r="O196" s="17">
        <f t="shared" si="9"/>
        <v>0.6344879745</v>
      </c>
      <c r="P196" s="39">
        <v>5000.0</v>
      </c>
      <c r="Q196" s="12" t="s">
        <v>39</v>
      </c>
      <c r="R196" s="12">
        <v>1301858.0</v>
      </c>
      <c r="S196" s="29" t="s">
        <v>40</v>
      </c>
      <c r="T196" s="19">
        <v>5033579.0</v>
      </c>
      <c r="U196" s="12"/>
      <c r="V196" s="12"/>
      <c r="W196" s="12"/>
      <c r="X196" s="12"/>
      <c r="Y196" s="57">
        <v>45390.81180555555</v>
      </c>
      <c r="Z196" s="57">
        <v>45391.302083333336</v>
      </c>
      <c r="AA196" s="12"/>
      <c r="AB196" s="12"/>
      <c r="AC196" s="12"/>
      <c r="AD196" s="12"/>
      <c r="AE196" s="12" t="s">
        <v>39</v>
      </c>
      <c r="AF196" s="1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</row>
    <row r="197" ht="15.75" customHeight="1">
      <c r="A197" s="9">
        <v>1.0338135E7</v>
      </c>
      <c r="B197" s="10"/>
      <c r="C197" s="11">
        <v>45391.833333333336</v>
      </c>
      <c r="D197" s="12">
        <v>26.0</v>
      </c>
      <c r="E197" s="13">
        <v>31625.0</v>
      </c>
      <c r="F197" s="12" t="s">
        <v>31</v>
      </c>
      <c r="G197" s="29" t="s">
        <v>44</v>
      </c>
      <c r="H197" s="12" t="s">
        <v>139</v>
      </c>
      <c r="I197" s="12" t="s">
        <v>140</v>
      </c>
      <c r="J197" s="12" t="s">
        <v>35</v>
      </c>
      <c r="K197" s="12" t="s">
        <v>141</v>
      </c>
      <c r="L197" s="28" t="s">
        <v>94</v>
      </c>
      <c r="M197" s="14"/>
      <c r="N197" s="40">
        <v>7880.37</v>
      </c>
      <c r="O197" s="17">
        <f t="shared" si="9"/>
        <v>0.6344879745</v>
      </c>
      <c r="P197" s="39">
        <v>5000.0</v>
      </c>
      <c r="Q197" s="12"/>
      <c r="R197" s="12"/>
      <c r="S197" s="29" t="s">
        <v>165</v>
      </c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</row>
    <row r="198" ht="15.75" customHeight="1">
      <c r="A198" s="9">
        <v>1.0338136E7</v>
      </c>
      <c r="B198" s="10"/>
      <c r="C198" s="11">
        <v>45390.666666666664</v>
      </c>
      <c r="D198" s="12">
        <v>26.0</v>
      </c>
      <c r="E198" s="13">
        <v>31625.0</v>
      </c>
      <c r="F198" s="12" t="s">
        <v>31</v>
      </c>
      <c r="G198" s="29" t="s">
        <v>44</v>
      </c>
      <c r="H198" s="29" t="s">
        <v>139</v>
      </c>
      <c r="I198" s="29" t="s">
        <v>140</v>
      </c>
      <c r="J198" s="25" t="s">
        <v>35</v>
      </c>
      <c r="K198" s="29" t="s">
        <v>141</v>
      </c>
      <c r="L198" s="28" t="s">
        <v>94</v>
      </c>
      <c r="M198" s="14"/>
      <c r="N198" s="40">
        <v>7880.37</v>
      </c>
      <c r="O198" s="17">
        <f t="shared" si="9"/>
        <v>0.6344879745</v>
      </c>
      <c r="P198" s="39">
        <v>5000.0</v>
      </c>
      <c r="Q198" s="12"/>
      <c r="R198" s="12"/>
      <c r="S198" s="29" t="s">
        <v>165</v>
      </c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</row>
    <row r="199" ht="15.75" customHeight="1">
      <c r="A199" s="9">
        <v>1.0338687E7</v>
      </c>
      <c r="B199" s="51"/>
      <c r="C199" s="11">
        <v>45386.416666666664</v>
      </c>
      <c r="D199" s="12">
        <v>26.0</v>
      </c>
      <c r="E199" s="13">
        <v>32788.0</v>
      </c>
      <c r="F199" s="12" t="s">
        <v>43</v>
      </c>
      <c r="G199" s="29" t="s">
        <v>32</v>
      </c>
      <c r="H199" s="29" t="s">
        <v>91</v>
      </c>
      <c r="I199" s="25" t="s">
        <v>92</v>
      </c>
      <c r="J199" s="55" t="s">
        <v>35</v>
      </c>
      <c r="K199" s="49" t="s">
        <v>93</v>
      </c>
      <c r="L199" s="28" t="s">
        <v>114</v>
      </c>
      <c r="M199" s="14" t="s">
        <v>128</v>
      </c>
      <c r="N199" s="40">
        <v>6085.8</v>
      </c>
      <c r="O199" s="17">
        <f t="shared" si="9"/>
        <v>0.7394262053</v>
      </c>
      <c r="P199" s="39">
        <v>4500.0</v>
      </c>
      <c r="Q199" s="12" t="s">
        <v>39</v>
      </c>
      <c r="R199" s="12">
        <v>1301110.0</v>
      </c>
      <c r="S199" s="29" t="s">
        <v>40</v>
      </c>
      <c r="T199" s="19">
        <v>5028187.0</v>
      </c>
      <c r="U199" s="12"/>
      <c r="V199" s="12"/>
      <c r="W199" s="12"/>
      <c r="X199" s="12"/>
      <c r="Y199" s="57">
        <v>45387.675</v>
      </c>
      <c r="Z199" s="57">
        <v>45388.52847222222</v>
      </c>
      <c r="AA199" s="12"/>
      <c r="AB199" s="12"/>
      <c r="AC199" s="12"/>
      <c r="AD199" s="12"/>
      <c r="AE199" s="12" t="s">
        <v>39</v>
      </c>
      <c r="AF199" s="1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</row>
    <row r="200" ht="15.75" customHeight="1">
      <c r="A200" s="9">
        <v>1.0338698E7</v>
      </c>
      <c r="B200" s="51"/>
      <c r="C200" s="11">
        <v>45386.0</v>
      </c>
      <c r="D200" s="12" t="s">
        <v>52</v>
      </c>
      <c r="E200" s="13" t="s">
        <v>52</v>
      </c>
      <c r="F200" s="12" t="s">
        <v>43</v>
      </c>
      <c r="G200" s="29" t="s">
        <v>32</v>
      </c>
      <c r="H200" s="29" t="s">
        <v>249</v>
      </c>
      <c r="I200" s="25" t="s">
        <v>92</v>
      </c>
      <c r="J200" s="55" t="s">
        <v>93</v>
      </c>
      <c r="K200" s="49" t="s">
        <v>35</v>
      </c>
      <c r="L200" s="28" t="s">
        <v>114</v>
      </c>
      <c r="M200" s="14" t="s">
        <v>128</v>
      </c>
      <c r="N200" s="40">
        <v>4057.2</v>
      </c>
      <c r="O200" s="17">
        <f t="shared" si="9"/>
        <v>0.7394262053</v>
      </c>
      <c r="P200" s="39">
        <v>3000.0</v>
      </c>
      <c r="Q200" s="12"/>
      <c r="R200" s="12">
        <v>1302716.0</v>
      </c>
      <c r="S200" s="29" t="s">
        <v>40</v>
      </c>
      <c r="T200" s="19">
        <v>5036716.0</v>
      </c>
      <c r="U200" s="12"/>
      <c r="V200" s="12"/>
      <c r="W200" s="12"/>
      <c r="X200" s="12"/>
      <c r="Y200" s="57">
        <v>45388.97152777778</v>
      </c>
      <c r="Z200" s="57">
        <v>45390.263194444444</v>
      </c>
      <c r="AA200" s="12"/>
      <c r="AB200" s="12"/>
      <c r="AC200" s="12"/>
      <c r="AD200" s="12"/>
      <c r="AE200" s="12" t="s">
        <v>39</v>
      </c>
      <c r="AF200" s="1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</row>
    <row r="201" ht="15.75" customHeight="1">
      <c r="A201" s="9">
        <v>1.034874E7</v>
      </c>
      <c r="B201" s="10"/>
      <c r="C201" s="11">
        <v>45390.833333333336</v>
      </c>
      <c r="D201" s="12" t="s">
        <v>52</v>
      </c>
      <c r="E201" s="13" t="s">
        <v>52</v>
      </c>
      <c r="F201" s="12" t="s">
        <v>43</v>
      </c>
      <c r="G201" s="29" t="s">
        <v>44</v>
      </c>
      <c r="H201" s="29" t="s">
        <v>250</v>
      </c>
      <c r="I201" s="25" t="s">
        <v>62</v>
      </c>
      <c r="J201" s="55" t="s">
        <v>63</v>
      </c>
      <c r="K201" s="49" t="s">
        <v>35</v>
      </c>
      <c r="L201" s="25" t="s">
        <v>43</v>
      </c>
      <c r="M201" s="14" t="s">
        <v>69</v>
      </c>
      <c r="N201" s="40">
        <v>1895.46</v>
      </c>
      <c r="O201" s="17">
        <f t="shared" si="9"/>
        <v>0.7649858082</v>
      </c>
      <c r="P201" s="39">
        <v>1450.0</v>
      </c>
      <c r="Q201" s="12" t="s">
        <v>39</v>
      </c>
      <c r="R201" s="12">
        <v>1303808.0</v>
      </c>
      <c r="S201" s="29" t="s">
        <v>40</v>
      </c>
      <c r="T201" s="19">
        <v>5043540.0</v>
      </c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</row>
    <row r="202" ht="15.75" customHeight="1">
      <c r="A202" s="9">
        <v>1.0348742E7</v>
      </c>
      <c r="B202" s="10"/>
      <c r="C202" s="11">
        <v>45390.833333333336</v>
      </c>
      <c r="D202" s="12">
        <v>26.0</v>
      </c>
      <c r="E202" s="13">
        <v>30760.0</v>
      </c>
      <c r="F202" s="12" t="s">
        <v>43</v>
      </c>
      <c r="G202" s="29" t="s">
        <v>44</v>
      </c>
      <c r="H202" s="29" t="s">
        <v>61</v>
      </c>
      <c r="I202" s="25" t="s">
        <v>62</v>
      </c>
      <c r="J202" s="55" t="s">
        <v>35</v>
      </c>
      <c r="K202" s="49" t="s">
        <v>63</v>
      </c>
      <c r="L202" s="25" t="s">
        <v>59</v>
      </c>
      <c r="M202" s="14" t="s">
        <v>69</v>
      </c>
      <c r="N202" s="40">
        <v>2843.19</v>
      </c>
      <c r="O202" s="17">
        <f t="shared" si="9"/>
        <v>0.8792940324</v>
      </c>
      <c r="P202" s="39">
        <v>2500.0</v>
      </c>
      <c r="Q202" s="12" t="s">
        <v>39</v>
      </c>
      <c r="R202" s="12">
        <v>1303212.0</v>
      </c>
      <c r="S202" s="29" t="s">
        <v>40</v>
      </c>
      <c r="T202" s="19">
        <v>5038936.0</v>
      </c>
      <c r="U202" s="12"/>
      <c r="V202" s="12"/>
      <c r="W202" s="12"/>
      <c r="X202" s="12"/>
      <c r="Y202" s="57">
        <v>45391.525</v>
      </c>
      <c r="Z202" s="57">
        <v>45391.66875</v>
      </c>
      <c r="AA202" s="12"/>
      <c r="AB202" s="12"/>
      <c r="AC202" s="12"/>
      <c r="AD202" s="12"/>
      <c r="AE202" s="12" t="s">
        <v>39</v>
      </c>
      <c r="AF202" s="1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</row>
    <row r="203" ht="15.75" customHeight="1">
      <c r="A203" s="9">
        <v>1.0348854E7</v>
      </c>
      <c r="B203" s="10"/>
      <c r="C203" s="11">
        <v>45397.875</v>
      </c>
      <c r="D203" s="12">
        <v>26.0</v>
      </c>
      <c r="E203" s="13">
        <v>31625.0</v>
      </c>
      <c r="F203" s="12" t="s">
        <v>31</v>
      </c>
      <c r="G203" s="29" t="s">
        <v>44</v>
      </c>
      <c r="H203" s="29" t="s">
        <v>139</v>
      </c>
      <c r="I203" s="25" t="s">
        <v>140</v>
      </c>
      <c r="J203" s="25" t="s">
        <v>35</v>
      </c>
      <c r="K203" s="29" t="s">
        <v>141</v>
      </c>
      <c r="L203" s="28" t="s">
        <v>94</v>
      </c>
      <c r="M203" s="14" t="s">
        <v>69</v>
      </c>
      <c r="N203" s="40">
        <v>7880.37</v>
      </c>
      <c r="O203" s="17">
        <f t="shared" si="9"/>
        <v>0.6344879745</v>
      </c>
      <c r="P203" s="39">
        <v>5000.0</v>
      </c>
      <c r="Q203" s="12" t="s">
        <v>39</v>
      </c>
      <c r="R203" s="12">
        <v>1306440.0</v>
      </c>
      <c r="S203" s="29" t="s">
        <v>40</v>
      </c>
      <c r="T203" s="19">
        <v>5061037.0</v>
      </c>
      <c r="U203" s="12"/>
      <c r="V203" s="12"/>
      <c r="W203" s="12"/>
      <c r="X203" s="12"/>
      <c r="Y203" s="57">
        <v>45398.50347222222</v>
      </c>
      <c r="Z203" s="57">
        <v>45400.47152777778</v>
      </c>
      <c r="AA203" s="12"/>
      <c r="AB203" s="12"/>
      <c r="AC203" s="12"/>
      <c r="AD203" s="12"/>
      <c r="AE203" s="12" t="s">
        <v>39</v>
      </c>
      <c r="AF203" s="1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</row>
    <row r="204" ht="15.75" customHeight="1">
      <c r="A204" s="9">
        <v>1.0348855E7</v>
      </c>
      <c r="B204" s="10"/>
      <c r="C204" s="11">
        <v>45397.875</v>
      </c>
      <c r="D204" s="12">
        <v>26.0</v>
      </c>
      <c r="E204" s="13">
        <v>31625.0</v>
      </c>
      <c r="F204" s="12" t="s">
        <v>31</v>
      </c>
      <c r="G204" s="29" t="s">
        <v>44</v>
      </c>
      <c r="H204" s="29" t="s">
        <v>139</v>
      </c>
      <c r="I204" s="25" t="s">
        <v>140</v>
      </c>
      <c r="J204" s="25" t="s">
        <v>35</v>
      </c>
      <c r="K204" s="29" t="s">
        <v>141</v>
      </c>
      <c r="L204" s="28" t="s">
        <v>94</v>
      </c>
      <c r="M204" s="14" t="s">
        <v>143</v>
      </c>
      <c r="N204" s="40">
        <v>7880.37</v>
      </c>
      <c r="O204" s="17">
        <f t="shared" si="9"/>
        <v>0.647177734</v>
      </c>
      <c r="P204" s="39">
        <v>5100.0</v>
      </c>
      <c r="Q204" s="12" t="s">
        <v>39</v>
      </c>
      <c r="R204" s="12">
        <v>1306439.0</v>
      </c>
      <c r="S204" s="29" t="s">
        <v>40</v>
      </c>
      <c r="T204" s="19">
        <v>5061027.0</v>
      </c>
      <c r="U204" s="12"/>
      <c r="V204" s="12"/>
      <c r="W204" s="12"/>
      <c r="X204" s="12"/>
      <c r="Y204" s="57">
        <v>45399.49652777778</v>
      </c>
      <c r="Z204" s="57">
        <v>45399.80486111111</v>
      </c>
      <c r="AA204" s="12"/>
      <c r="AB204" s="12"/>
      <c r="AC204" s="12"/>
      <c r="AD204" s="12"/>
      <c r="AE204" s="12" t="s">
        <v>39</v>
      </c>
      <c r="AF204" s="1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</row>
    <row r="205" ht="15.75" customHeight="1">
      <c r="A205" s="9">
        <v>1.0348856E7</v>
      </c>
      <c r="B205" s="51"/>
      <c r="C205" s="11">
        <v>45392.625</v>
      </c>
      <c r="D205" s="12">
        <v>26.0</v>
      </c>
      <c r="E205" s="13">
        <v>31625.0</v>
      </c>
      <c r="F205" s="12" t="s">
        <v>31</v>
      </c>
      <c r="G205" s="29" t="s">
        <v>44</v>
      </c>
      <c r="H205" s="29" t="s">
        <v>139</v>
      </c>
      <c r="I205" s="29" t="s">
        <v>140</v>
      </c>
      <c r="J205" s="25" t="s">
        <v>35</v>
      </c>
      <c r="K205" s="25" t="s">
        <v>141</v>
      </c>
      <c r="L205" s="28" t="s">
        <v>94</v>
      </c>
      <c r="M205" s="14"/>
      <c r="N205" s="40">
        <v>7880.37</v>
      </c>
      <c r="O205" s="17">
        <f t="shared" si="9"/>
        <v>0.647177734</v>
      </c>
      <c r="P205" s="39">
        <v>5100.0</v>
      </c>
      <c r="Q205" s="12"/>
      <c r="R205" s="12"/>
      <c r="S205" s="29" t="s">
        <v>165</v>
      </c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</row>
    <row r="206" ht="15.75" customHeight="1">
      <c r="A206" s="9">
        <v>1.0348857E7</v>
      </c>
      <c r="B206" s="10"/>
      <c r="C206" s="11">
        <v>45397.875</v>
      </c>
      <c r="D206" s="12">
        <v>26.0</v>
      </c>
      <c r="E206" s="13">
        <v>31625.0</v>
      </c>
      <c r="F206" s="12" t="s">
        <v>31</v>
      </c>
      <c r="G206" s="29" t="s">
        <v>44</v>
      </c>
      <c r="H206" s="29" t="s">
        <v>139</v>
      </c>
      <c r="I206" s="25" t="s">
        <v>140</v>
      </c>
      <c r="J206" s="25" t="s">
        <v>35</v>
      </c>
      <c r="K206" s="29" t="s">
        <v>141</v>
      </c>
      <c r="L206" s="28" t="s">
        <v>94</v>
      </c>
      <c r="M206" s="14" t="s">
        <v>83</v>
      </c>
      <c r="N206" s="40">
        <v>7880.37</v>
      </c>
      <c r="O206" s="17">
        <f t="shared" si="9"/>
        <v>0.6344879745</v>
      </c>
      <c r="P206" s="39">
        <v>5000.0</v>
      </c>
      <c r="Q206" s="12" t="s">
        <v>39</v>
      </c>
      <c r="R206" s="12">
        <v>1306617.0</v>
      </c>
      <c r="S206" s="29" t="s">
        <v>40</v>
      </c>
      <c r="T206" s="19">
        <v>5062458.0</v>
      </c>
      <c r="U206" s="12"/>
      <c r="V206" s="12"/>
      <c r="W206" s="12"/>
      <c r="X206" s="12"/>
      <c r="Y206" s="57">
        <v>45399.79583333333</v>
      </c>
      <c r="Z206" s="57">
        <v>45400.288194444445</v>
      </c>
      <c r="AA206" s="12"/>
      <c r="AB206" s="12"/>
      <c r="AC206" s="12"/>
      <c r="AD206" s="12"/>
      <c r="AE206" s="12" t="s">
        <v>39</v>
      </c>
      <c r="AF206" s="1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</row>
    <row r="207" ht="15.75" customHeight="1">
      <c r="A207" s="9">
        <v>1.0348858E7</v>
      </c>
      <c r="B207" s="10"/>
      <c r="C207" s="11">
        <v>45397.875</v>
      </c>
      <c r="D207" s="12">
        <v>26.0</v>
      </c>
      <c r="E207" s="13">
        <v>31625.0</v>
      </c>
      <c r="F207" s="12" t="s">
        <v>31</v>
      </c>
      <c r="G207" s="29" t="s">
        <v>44</v>
      </c>
      <c r="H207" s="12" t="s">
        <v>139</v>
      </c>
      <c r="I207" s="29" t="s">
        <v>140</v>
      </c>
      <c r="J207" s="12" t="s">
        <v>35</v>
      </c>
      <c r="K207" s="12" t="s">
        <v>141</v>
      </c>
      <c r="L207" s="28" t="s">
        <v>94</v>
      </c>
      <c r="M207" s="14" t="s">
        <v>251</v>
      </c>
      <c r="N207" s="40">
        <v>7880.37</v>
      </c>
      <c r="O207" s="17">
        <f t="shared" si="9"/>
        <v>0.6344879745</v>
      </c>
      <c r="P207" s="39">
        <v>5000.0</v>
      </c>
      <c r="Q207" s="12" t="s">
        <v>39</v>
      </c>
      <c r="R207" s="12">
        <v>1306490.0</v>
      </c>
      <c r="S207" s="29" t="s">
        <v>40</v>
      </c>
      <c r="T207" s="19">
        <v>5061975.0</v>
      </c>
      <c r="U207" s="12"/>
      <c r="V207" s="12"/>
      <c r="W207" s="12"/>
      <c r="X207" s="12"/>
      <c r="Y207" s="57">
        <v>45400.808333333334</v>
      </c>
      <c r="Z207" s="57">
        <v>45401.436111111114</v>
      </c>
      <c r="AA207" s="12"/>
      <c r="AB207" s="12"/>
      <c r="AC207" s="12"/>
      <c r="AD207" s="12"/>
      <c r="AE207" s="12" t="s">
        <v>39</v>
      </c>
      <c r="AF207" s="1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</row>
    <row r="208" ht="15.75" customHeight="1">
      <c r="A208" s="9">
        <v>1.0348859E7</v>
      </c>
      <c r="B208" s="51"/>
      <c r="C208" s="11">
        <v>45391.0</v>
      </c>
      <c r="D208" s="12">
        <v>26.0</v>
      </c>
      <c r="E208" s="13">
        <v>31625.0</v>
      </c>
      <c r="F208" s="12" t="s">
        <v>31</v>
      </c>
      <c r="G208" s="29" t="s">
        <v>44</v>
      </c>
      <c r="H208" s="29" t="s">
        <v>139</v>
      </c>
      <c r="I208" s="29" t="s">
        <v>140</v>
      </c>
      <c r="J208" s="25" t="s">
        <v>35</v>
      </c>
      <c r="K208" s="29" t="s">
        <v>141</v>
      </c>
      <c r="L208" s="28" t="s">
        <v>94</v>
      </c>
      <c r="M208" s="14" t="s">
        <v>252</v>
      </c>
      <c r="N208" s="40">
        <v>7880.37</v>
      </c>
      <c r="O208" s="17">
        <f t="shared" si="9"/>
        <v>0.6344879745</v>
      </c>
      <c r="P208" s="39">
        <v>5000.0</v>
      </c>
      <c r="Q208" s="12" t="s">
        <v>39</v>
      </c>
      <c r="R208" s="12">
        <v>1303807.0</v>
      </c>
      <c r="S208" s="29" t="s">
        <v>40</v>
      </c>
      <c r="T208" s="19">
        <v>5043534.0</v>
      </c>
      <c r="U208" s="12"/>
      <c r="V208" s="12"/>
      <c r="W208" s="12"/>
      <c r="X208" s="12"/>
      <c r="Y208" s="57">
        <v>45392.970138888886</v>
      </c>
      <c r="Z208" s="57">
        <v>45394.47083333333</v>
      </c>
      <c r="AA208" s="12"/>
      <c r="AB208" s="12"/>
      <c r="AC208" s="12"/>
      <c r="AD208" s="12"/>
      <c r="AE208" s="12" t="s">
        <v>39</v>
      </c>
      <c r="AF208" s="1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</row>
    <row r="209" ht="15.75" customHeight="1">
      <c r="A209" s="9">
        <v>1.0354441E7</v>
      </c>
      <c r="B209" s="10"/>
      <c r="C209" s="11">
        <v>45397.625</v>
      </c>
      <c r="D209" s="12">
        <v>26.0</v>
      </c>
      <c r="E209" s="13">
        <v>32160.0</v>
      </c>
      <c r="F209" s="12" t="s">
        <v>43</v>
      </c>
      <c r="G209" s="29" t="s">
        <v>44</v>
      </c>
      <c r="H209" s="29" t="s">
        <v>45</v>
      </c>
      <c r="I209" s="29" t="s">
        <v>46</v>
      </c>
      <c r="J209" s="25" t="s">
        <v>35</v>
      </c>
      <c r="K209" s="29" t="s">
        <v>47</v>
      </c>
      <c r="L209" s="25" t="s">
        <v>108</v>
      </c>
      <c r="M209" s="14"/>
      <c r="N209" s="40">
        <v>2169.28</v>
      </c>
      <c r="O209" s="17">
        <f t="shared" si="9"/>
        <v>0.6914736687</v>
      </c>
      <c r="P209" s="39">
        <v>1500.0</v>
      </c>
      <c r="Q209" s="12"/>
      <c r="R209" s="12"/>
      <c r="S209" s="29" t="s">
        <v>131</v>
      </c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</row>
    <row r="210" ht="15.75" customHeight="1">
      <c r="A210" s="9">
        <v>1.0354442E7</v>
      </c>
      <c r="B210" s="10"/>
      <c r="C210" s="11">
        <v>45397.625</v>
      </c>
      <c r="D210" s="12">
        <v>26.0</v>
      </c>
      <c r="E210" s="13">
        <v>26830.0</v>
      </c>
      <c r="F210" s="12" t="s">
        <v>43</v>
      </c>
      <c r="G210" s="29" t="s">
        <v>44</v>
      </c>
      <c r="H210" s="29" t="s">
        <v>61</v>
      </c>
      <c r="I210" s="29" t="s">
        <v>62</v>
      </c>
      <c r="J210" s="55" t="s">
        <v>35</v>
      </c>
      <c r="K210" s="49" t="s">
        <v>63</v>
      </c>
      <c r="L210" s="25" t="s">
        <v>59</v>
      </c>
      <c r="M210" s="14"/>
      <c r="N210" s="40">
        <v>2843.19</v>
      </c>
      <c r="O210" s="17">
        <f t="shared" si="9"/>
        <v>0.8089505098</v>
      </c>
      <c r="P210" s="39">
        <v>2300.0</v>
      </c>
      <c r="Q210" s="12"/>
      <c r="R210" s="12"/>
      <c r="S210" s="29" t="s">
        <v>131</v>
      </c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</row>
    <row r="211" ht="15.75" customHeight="1">
      <c r="A211" s="9">
        <v>1.0354443E7</v>
      </c>
      <c r="B211" s="10"/>
      <c r="C211" s="11">
        <v>45397.0</v>
      </c>
      <c r="D211" s="12" t="s">
        <v>52</v>
      </c>
      <c r="E211" s="13" t="s">
        <v>52</v>
      </c>
      <c r="F211" s="12" t="s">
        <v>43</v>
      </c>
      <c r="G211" s="29" t="s">
        <v>44</v>
      </c>
      <c r="H211" s="29" t="s">
        <v>253</v>
      </c>
      <c r="I211" s="25" t="s">
        <v>62</v>
      </c>
      <c r="J211" s="55" t="s">
        <v>63</v>
      </c>
      <c r="K211" s="49" t="s">
        <v>35</v>
      </c>
      <c r="L211" s="25" t="s">
        <v>43</v>
      </c>
      <c r="M211" s="14"/>
      <c r="N211" s="40">
        <v>1895.46</v>
      </c>
      <c r="O211" s="17">
        <f t="shared" si="9"/>
        <v>0.7649858082</v>
      </c>
      <c r="P211" s="39">
        <v>1450.0</v>
      </c>
      <c r="Q211" s="12"/>
      <c r="R211" s="12"/>
      <c r="S211" s="29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</row>
    <row r="212" ht="15.75" customHeight="1">
      <c r="A212" s="9">
        <v>1.0354444E7</v>
      </c>
      <c r="B212" s="10"/>
      <c r="C212" s="11">
        <v>45397.0</v>
      </c>
      <c r="D212" s="12" t="s">
        <v>52</v>
      </c>
      <c r="E212" s="13" t="s">
        <v>52</v>
      </c>
      <c r="F212" s="12" t="s">
        <v>43</v>
      </c>
      <c r="G212" s="29" t="s">
        <v>44</v>
      </c>
      <c r="H212" s="29" t="s">
        <v>254</v>
      </c>
      <c r="I212" s="25" t="s">
        <v>46</v>
      </c>
      <c r="J212" s="25" t="s">
        <v>47</v>
      </c>
      <c r="K212" s="29" t="s">
        <v>35</v>
      </c>
      <c r="L212" s="25" t="s">
        <v>110</v>
      </c>
      <c r="M212" s="14"/>
      <c r="N212" s="40">
        <v>1446.19</v>
      </c>
      <c r="O212" s="17">
        <f t="shared" si="9"/>
        <v>0.4840304524</v>
      </c>
      <c r="P212" s="39">
        <v>700.0</v>
      </c>
      <c r="Q212" s="12"/>
      <c r="R212" s="12"/>
      <c r="S212" s="29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</row>
    <row r="213" ht="15.75" customHeight="1">
      <c r="A213" s="9">
        <v>1.0356776E7</v>
      </c>
      <c r="B213" s="10"/>
      <c r="C213" s="11">
        <v>45399.875</v>
      </c>
      <c r="D213" s="12">
        <v>26.0</v>
      </c>
      <c r="E213" s="13">
        <v>31625.0</v>
      </c>
      <c r="F213" s="12" t="s">
        <v>31</v>
      </c>
      <c r="G213" s="29" t="s">
        <v>32</v>
      </c>
      <c r="H213" s="29" t="s">
        <v>91</v>
      </c>
      <c r="I213" s="29" t="s">
        <v>92</v>
      </c>
      <c r="J213" s="55" t="s">
        <v>35</v>
      </c>
      <c r="K213" s="49" t="s">
        <v>93</v>
      </c>
      <c r="L213" s="28" t="s">
        <v>114</v>
      </c>
      <c r="M213" s="14"/>
      <c r="N213" s="40">
        <v>6085.8</v>
      </c>
      <c r="O213" s="17">
        <f t="shared" si="9"/>
        <v>0.7394262053</v>
      </c>
      <c r="P213" s="39">
        <v>4500.0</v>
      </c>
      <c r="Q213" s="12"/>
      <c r="R213" s="12"/>
      <c r="S213" s="29" t="s">
        <v>131</v>
      </c>
      <c r="T213" s="12"/>
      <c r="U213" s="12"/>
      <c r="V213" s="12"/>
      <c r="W213" s="12"/>
      <c r="X213" s="12"/>
      <c r="Y213" s="57"/>
      <c r="Z213" s="57"/>
      <c r="AA213" s="12"/>
      <c r="AB213" s="12"/>
      <c r="AC213" s="12"/>
      <c r="AD213" s="12"/>
      <c r="AE213" s="12"/>
      <c r="AF213" s="1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</row>
    <row r="214" ht="15.75" customHeight="1">
      <c r="A214" s="9">
        <v>1.0357905E7</v>
      </c>
      <c r="B214" s="10"/>
      <c r="C214" s="11">
        <v>45397.291666666664</v>
      </c>
      <c r="D214" s="12">
        <v>26.0</v>
      </c>
      <c r="E214" s="13">
        <v>32553.0</v>
      </c>
      <c r="F214" s="12" t="s">
        <v>43</v>
      </c>
      <c r="G214" s="29" t="s">
        <v>44</v>
      </c>
      <c r="H214" s="29" t="s">
        <v>45</v>
      </c>
      <c r="I214" s="29" t="s">
        <v>46</v>
      </c>
      <c r="J214" s="25" t="s">
        <v>35</v>
      </c>
      <c r="K214" s="29" t="s">
        <v>47</v>
      </c>
      <c r="L214" s="25" t="s">
        <v>108</v>
      </c>
      <c r="M214" s="49"/>
      <c r="N214" s="40">
        <v>2336.24</v>
      </c>
      <c r="O214" s="17">
        <f t="shared" si="9"/>
        <v>0.6420573229</v>
      </c>
      <c r="P214" s="39">
        <v>1500.0</v>
      </c>
      <c r="Q214" s="12"/>
      <c r="R214" s="12"/>
      <c r="S214" s="29" t="s">
        <v>131</v>
      </c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</row>
    <row r="215" ht="15.75" customHeight="1">
      <c r="A215" s="9">
        <v>1.0357906E7</v>
      </c>
      <c r="B215" s="10"/>
      <c r="C215" s="11">
        <v>45397.375</v>
      </c>
      <c r="D215" s="12">
        <v>26.0</v>
      </c>
      <c r="E215" s="13">
        <v>32553.0</v>
      </c>
      <c r="F215" s="12" t="s">
        <v>43</v>
      </c>
      <c r="G215" s="29" t="s">
        <v>44</v>
      </c>
      <c r="H215" s="29" t="s">
        <v>61</v>
      </c>
      <c r="I215" s="29" t="s">
        <v>62</v>
      </c>
      <c r="J215" s="55" t="s">
        <v>35</v>
      </c>
      <c r="K215" s="49" t="s">
        <v>63</v>
      </c>
      <c r="L215" s="25" t="s">
        <v>59</v>
      </c>
      <c r="M215" s="49"/>
      <c r="N215" s="40">
        <v>2843.19</v>
      </c>
      <c r="O215" s="17">
        <f t="shared" si="9"/>
        <v>0.8089505098</v>
      </c>
      <c r="P215" s="39">
        <v>2300.0</v>
      </c>
      <c r="Q215" s="12"/>
      <c r="R215" s="12"/>
      <c r="S215" s="29" t="s">
        <v>131</v>
      </c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</row>
    <row r="216" ht="15.75" customHeight="1">
      <c r="A216" s="9">
        <v>1.0357907E7</v>
      </c>
      <c r="B216" s="10"/>
      <c r="C216" s="11">
        <v>45397.375</v>
      </c>
      <c r="D216" s="12">
        <v>26.0</v>
      </c>
      <c r="E216" s="13">
        <v>32553.0</v>
      </c>
      <c r="F216" s="12" t="s">
        <v>43</v>
      </c>
      <c r="G216" s="29" t="s">
        <v>44</v>
      </c>
      <c r="H216" s="29" t="s">
        <v>61</v>
      </c>
      <c r="I216" s="25" t="s">
        <v>62</v>
      </c>
      <c r="J216" s="55" t="s">
        <v>35</v>
      </c>
      <c r="K216" s="49" t="s">
        <v>63</v>
      </c>
      <c r="L216" s="25" t="s">
        <v>59</v>
      </c>
      <c r="M216" s="49"/>
      <c r="N216" s="40">
        <v>2843.19</v>
      </c>
      <c r="O216" s="17">
        <f t="shared" si="9"/>
        <v>0.8089505098</v>
      </c>
      <c r="P216" s="39">
        <v>2300.0</v>
      </c>
      <c r="Q216" s="12"/>
      <c r="R216" s="12"/>
      <c r="S216" s="29" t="s">
        <v>131</v>
      </c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</row>
    <row r="217" ht="15.75" customHeight="1">
      <c r="A217" s="9">
        <v>1.0357918E7</v>
      </c>
      <c r="B217" s="10"/>
      <c r="C217" s="11">
        <v>45397.291666666664</v>
      </c>
      <c r="D217" s="12">
        <v>26.0</v>
      </c>
      <c r="E217" s="13">
        <v>32553.0</v>
      </c>
      <c r="F217" s="12" t="s">
        <v>43</v>
      </c>
      <c r="G217" s="29" t="s">
        <v>44</v>
      </c>
      <c r="H217" s="29" t="s">
        <v>45</v>
      </c>
      <c r="I217" s="25" t="s">
        <v>46</v>
      </c>
      <c r="J217" s="25" t="s">
        <v>35</v>
      </c>
      <c r="K217" s="29" t="s">
        <v>47</v>
      </c>
      <c r="L217" s="25" t="s">
        <v>108</v>
      </c>
      <c r="M217" s="49"/>
      <c r="N217" s="40">
        <v>2336.24</v>
      </c>
      <c r="O217" s="17">
        <f t="shared" si="9"/>
        <v>0.6420573229</v>
      </c>
      <c r="P217" s="39">
        <v>1500.0</v>
      </c>
      <c r="Q217" s="12"/>
      <c r="R217" s="12"/>
      <c r="S217" s="29" t="s">
        <v>131</v>
      </c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</row>
    <row r="218" ht="15.75" customHeight="1">
      <c r="A218" s="9">
        <v>1.0357919E7</v>
      </c>
      <c r="B218" s="10"/>
      <c r="C218" s="11">
        <v>45397.375</v>
      </c>
      <c r="D218" s="12">
        <v>26.0</v>
      </c>
      <c r="E218" s="13">
        <v>32553.0</v>
      </c>
      <c r="F218" s="12" t="s">
        <v>43</v>
      </c>
      <c r="G218" s="29" t="s">
        <v>44</v>
      </c>
      <c r="H218" s="29" t="s">
        <v>61</v>
      </c>
      <c r="I218" s="29" t="s">
        <v>62</v>
      </c>
      <c r="J218" s="55" t="s">
        <v>35</v>
      </c>
      <c r="K218" s="49" t="s">
        <v>63</v>
      </c>
      <c r="L218" s="25" t="s">
        <v>59</v>
      </c>
      <c r="M218" s="49"/>
      <c r="N218" s="40">
        <v>2843.19</v>
      </c>
      <c r="O218" s="17">
        <f t="shared" si="9"/>
        <v>0.8089505098</v>
      </c>
      <c r="P218" s="39">
        <v>2300.0</v>
      </c>
      <c r="Q218" s="12"/>
      <c r="R218" s="12"/>
      <c r="S218" s="29" t="s">
        <v>131</v>
      </c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</row>
    <row r="219" ht="15.75" customHeight="1">
      <c r="A219" s="9">
        <v>1.0357922E7</v>
      </c>
      <c r="B219" s="10"/>
      <c r="C219" s="11">
        <v>45397.0</v>
      </c>
      <c r="D219" s="12" t="s">
        <v>52</v>
      </c>
      <c r="E219" s="13" t="s">
        <v>52</v>
      </c>
      <c r="F219" s="12" t="s">
        <v>43</v>
      </c>
      <c r="G219" s="29" t="s">
        <v>44</v>
      </c>
      <c r="H219" s="29" t="s">
        <v>255</v>
      </c>
      <c r="I219" s="29" t="s">
        <v>46</v>
      </c>
      <c r="J219" s="25" t="s">
        <v>47</v>
      </c>
      <c r="K219" s="29" t="s">
        <v>35</v>
      </c>
      <c r="L219" s="25" t="s">
        <v>110</v>
      </c>
      <c r="M219" s="49"/>
      <c r="N219" s="40">
        <v>1557.5</v>
      </c>
      <c r="O219" s="17">
        <f t="shared" si="9"/>
        <v>0.4494382022</v>
      </c>
      <c r="P219" s="39">
        <v>700.0</v>
      </c>
      <c r="Q219" s="12"/>
      <c r="R219" s="12"/>
      <c r="S219" s="29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</row>
    <row r="220" ht="15.75" customHeight="1">
      <c r="A220" s="9">
        <v>1.0357923E7</v>
      </c>
      <c r="B220" s="10"/>
      <c r="C220" s="11">
        <v>45397.0</v>
      </c>
      <c r="D220" s="12" t="s">
        <v>52</v>
      </c>
      <c r="E220" s="13" t="s">
        <v>52</v>
      </c>
      <c r="F220" s="12" t="s">
        <v>43</v>
      </c>
      <c r="G220" s="29" t="s">
        <v>44</v>
      </c>
      <c r="H220" s="12" t="s">
        <v>256</v>
      </c>
      <c r="I220" s="25" t="s">
        <v>46</v>
      </c>
      <c r="J220" s="25" t="s">
        <v>47</v>
      </c>
      <c r="K220" s="29" t="s">
        <v>35</v>
      </c>
      <c r="L220" s="25" t="s">
        <v>110</v>
      </c>
      <c r="M220" s="49"/>
      <c r="N220" s="40">
        <v>1557.5</v>
      </c>
      <c r="O220" s="17">
        <f t="shared" si="9"/>
        <v>0.4494382022</v>
      </c>
      <c r="P220" s="39">
        <v>700.0</v>
      </c>
      <c r="Q220" s="12"/>
      <c r="R220" s="12"/>
      <c r="S220" s="29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</row>
    <row r="221" ht="15.75" customHeight="1">
      <c r="A221" s="9">
        <v>1.0357924E7</v>
      </c>
      <c r="B221" s="10"/>
      <c r="C221" s="11">
        <v>45397.0</v>
      </c>
      <c r="D221" s="12" t="s">
        <v>52</v>
      </c>
      <c r="E221" s="13" t="s">
        <v>52</v>
      </c>
      <c r="F221" s="12" t="s">
        <v>43</v>
      </c>
      <c r="G221" s="29" t="s">
        <v>44</v>
      </c>
      <c r="H221" s="12" t="s">
        <v>257</v>
      </c>
      <c r="I221" s="25" t="s">
        <v>62</v>
      </c>
      <c r="J221" s="55" t="s">
        <v>63</v>
      </c>
      <c r="K221" s="49" t="s">
        <v>35</v>
      </c>
      <c r="L221" s="25" t="s">
        <v>43</v>
      </c>
      <c r="M221" s="49"/>
      <c r="N221" s="40">
        <v>1895.46</v>
      </c>
      <c r="O221" s="17">
        <f t="shared" si="9"/>
        <v>0.7649858082</v>
      </c>
      <c r="P221" s="39">
        <v>1450.0</v>
      </c>
      <c r="Q221" s="12"/>
      <c r="R221" s="12"/>
      <c r="S221" s="29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</row>
    <row r="222" ht="15.75" customHeight="1">
      <c r="A222" s="9">
        <v>1.0357925E7</v>
      </c>
      <c r="B222" s="10"/>
      <c r="C222" s="11">
        <v>45397.0</v>
      </c>
      <c r="D222" s="12" t="s">
        <v>52</v>
      </c>
      <c r="E222" s="13" t="s">
        <v>52</v>
      </c>
      <c r="F222" s="12" t="s">
        <v>43</v>
      </c>
      <c r="G222" s="29" t="s">
        <v>44</v>
      </c>
      <c r="H222" s="12" t="s">
        <v>258</v>
      </c>
      <c r="I222" s="25" t="s">
        <v>62</v>
      </c>
      <c r="J222" s="55" t="s">
        <v>63</v>
      </c>
      <c r="K222" s="49" t="s">
        <v>35</v>
      </c>
      <c r="L222" s="25" t="s">
        <v>43</v>
      </c>
      <c r="M222" s="49"/>
      <c r="N222" s="40">
        <v>1895.46</v>
      </c>
      <c r="O222" s="17">
        <f t="shared" si="9"/>
        <v>0.7649858082</v>
      </c>
      <c r="P222" s="39">
        <v>1450.0</v>
      </c>
      <c r="Q222" s="12"/>
      <c r="R222" s="12"/>
      <c r="S222" s="29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ht="15.75" customHeight="1">
      <c r="A223" s="9">
        <v>1.0357926E7</v>
      </c>
      <c r="B223" s="10"/>
      <c r="C223" s="11">
        <v>45397.0</v>
      </c>
      <c r="D223" s="12" t="s">
        <v>52</v>
      </c>
      <c r="E223" s="13" t="s">
        <v>52</v>
      </c>
      <c r="F223" s="12" t="s">
        <v>43</v>
      </c>
      <c r="G223" s="29" t="s">
        <v>44</v>
      </c>
      <c r="H223" s="29" t="s">
        <v>259</v>
      </c>
      <c r="I223" s="29" t="s">
        <v>62</v>
      </c>
      <c r="J223" s="55" t="s">
        <v>63</v>
      </c>
      <c r="K223" s="55" t="s">
        <v>35</v>
      </c>
      <c r="L223" s="25" t="s">
        <v>43</v>
      </c>
      <c r="M223" s="49"/>
      <c r="N223" s="40">
        <v>1895.46</v>
      </c>
      <c r="O223" s="17">
        <f t="shared" si="9"/>
        <v>0.7649858082</v>
      </c>
      <c r="P223" s="39">
        <v>1450.0</v>
      </c>
      <c r="Q223" s="12"/>
      <c r="R223" s="12"/>
      <c r="S223" s="29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</row>
    <row r="224" ht="15.75" customHeight="1">
      <c r="A224" s="9">
        <v>1.0361299E7</v>
      </c>
      <c r="B224" s="10"/>
      <c r="C224" s="11">
        <v>45398.875</v>
      </c>
      <c r="D224" s="12">
        <v>26.0</v>
      </c>
      <c r="E224" s="13">
        <v>31625.0</v>
      </c>
      <c r="F224" s="12" t="s">
        <v>31</v>
      </c>
      <c r="G224" s="29" t="s">
        <v>44</v>
      </c>
      <c r="H224" s="29" t="s">
        <v>260</v>
      </c>
      <c r="I224" s="29" t="s">
        <v>105</v>
      </c>
      <c r="J224" s="25" t="s">
        <v>35</v>
      </c>
      <c r="K224" s="29" t="s">
        <v>106</v>
      </c>
      <c r="L224" s="25" t="s">
        <v>59</v>
      </c>
      <c r="M224" s="49" t="s">
        <v>261</v>
      </c>
      <c r="N224" s="40">
        <v>5053.0</v>
      </c>
      <c r="O224" s="17">
        <f t="shared" si="9"/>
        <v>0.5937067089</v>
      </c>
      <c r="P224" s="39">
        <v>3000.0</v>
      </c>
      <c r="Q224" s="12" t="s">
        <v>39</v>
      </c>
      <c r="R224" s="12">
        <v>1306928.0</v>
      </c>
      <c r="S224" s="29" t="s">
        <v>40</v>
      </c>
      <c r="T224" s="19">
        <v>5064135.0</v>
      </c>
      <c r="U224" s="12"/>
      <c r="V224" s="12"/>
      <c r="W224" s="12"/>
      <c r="X224" s="12"/>
      <c r="Y224" s="57">
        <v>45401.59930555556</v>
      </c>
      <c r="Z224" s="57">
        <v>45401.76180555556</v>
      </c>
      <c r="AA224" s="12"/>
      <c r="AB224" s="12"/>
      <c r="AC224" s="12"/>
      <c r="AD224" s="12"/>
      <c r="AE224" s="12" t="s">
        <v>39</v>
      </c>
      <c r="AF224" s="1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</row>
    <row r="225" ht="15.75" customHeight="1">
      <c r="A225" s="9">
        <v>1.036134E7</v>
      </c>
      <c r="B225" s="10"/>
      <c r="C225" s="11">
        <v>45398.833333333336</v>
      </c>
      <c r="D225" s="12">
        <v>26.0</v>
      </c>
      <c r="E225" s="13">
        <v>31625.0</v>
      </c>
      <c r="F225" s="12" t="s">
        <v>31</v>
      </c>
      <c r="G225" s="29" t="s">
        <v>44</v>
      </c>
      <c r="H225" s="29" t="s">
        <v>104</v>
      </c>
      <c r="I225" s="29" t="s">
        <v>105</v>
      </c>
      <c r="J225" s="25" t="s">
        <v>35</v>
      </c>
      <c r="K225" s="25" t="s">
        <v>106</v>
      </c>
      <c r="L225" s="25" t="s">
        <v>59</v>
      </c>
      <c r="M225" s="12" t="s">
        <v>142</v>
      </c>
      <c r="N225" s="40">
        <v>5053.0</v>
      </c>
      <c r="O225" s="17">
        <f t="shared" si="9"/>
        <v>0.5937067089</v>
      </c>
      <c r="P225" s="39">
        <v>3000.0</v>
      </c>
      <c r="Q225" s="12" t="s">
        <v>39</v>
      </c>
      <c r="R225" s="12">
        <v>1307154.0</v>
      </c>
      <c r="S225" s="29" t="s">
        <v>40</v>
      </c>
      <c r="T225" s="19">
        <v>5065795.0</v>
      </c>
      <c r="U225" s="12"/>
      <c r="V225" s="12"/>
      <c r="W225" s="12"/>
      <c r="X225" s="12"/>
      <c r="Y225" s="57">
        <v>45399.72083333333</v>
      </c>
      <c r="Z225" s="57">
        <v>45399.779861111114</v>
      </c>
      <c r="AA225" s="12"/>
      <c r="AB225" s="12"/>
      <c r="AC225" s="12"/>
      <c r="AD225" s="12"/>
      <c r="AE225" s="12" t="s">
        <v>39</v>
      </c>
      <c r="AF225" s="1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</row>
    <row r="226" ht="15.75" customHeight="1">
      <c r="A226" s="9">
        <v>1.0364368E7</v>
      </c>
      <c r="B226" s="10"/>
      <c r="C226" s="11">
        <v>45399.583333333336</v>
      </c>
      <c r="D226" s="12">
        <v>26.0</v>
      </c>
      <c r="E226" s="13">
        <v>32111.0</v>
      </c>
      <c r="F226" s="12" t="s">
        <v>31</v>
      </c>
      <c r="G226" s="29" t="s">
        <v>44</v>
      </c>
      <c r="H226" s="29" t="s">
        <v>45</v>
      </c>
      <c r="I226" s="25" t="s">
        <v>46</v>
      </c>
      <c r="J226" s="25" t="s">
        <v>35</v>
      </c>
      <c r="K226" s="29" t="s">
        <v>47</v>
      </c>
      <c r="L226" s="25" t="s">
        <v>108</v>
      </c>
      <c r="M226" s="49"/>
      <c r="N226" s="40">
        <v>2340.76</v>
      </c>
      <c r="O226" s="17">
        <f t="shared" si="9"/>
        <v>0.6408175123</v>
      </c>
      <c r="P226" s="39">
        <v>1500.0</v>
      </c>
      <c r="Q226" s="12"/>
      <c r="R226" s="12"/>
      <c r="S226" s="29" t="s">
        <v>131</v>
      </c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</row>
    <row r="227" ht="15.75" customHeight="1">
      <c r="A227" s="9">
        <v>1.0367467E7</v>
      </c>
      <c r="B227" s="10"/>
      <c r="C227" s="11">
        <v>45400.458333333336</v>
      </c>
      <c r="D227" s="12">
        <v>26.0</v>
      </c>
      <c r="E227" s="13">
        <v>31616.0</v>
      </c>
      <c r="F227" s="12" t="s">
        <v>31</v>
      </c>
      <c r="G227" s="29" t="s">
        <v>44</v>
      </c>
      <c r="H227" s="29" t="s">
        <v>136</v>
      </c>
      <c r="I227" s="39" t="s">
        <v>137</v>
      </c>
      <c r="J227" s="25" t="s">
        <v>35</v>
      </c>
      <c r="K227" s="39" t="s">
        <v>138</v>
      </c>
      <c r="L227" s="25" t="s">
        <v>94</v>
      </c>
      <c r="M227" s="12"/>
      <c r="N227" s="40">
        <v>5174.0</v>
      </c>
      <c r="O227" s="17">
        <f t="shared" si="9"/>
        <v>0.7730962505</v>
      </c>
      <c r="P227" s="39">
        <v>4000.0</v>
      </c>
      <c r="Q227" s="12"/>
      <c r="R227" s="12"/>
      <c r="S227" s="29" t="s">
        <v>131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</row>
    <row r="228" ht="15.75" customHeight="1">
      <c r="A228" s="9">
        <v>1.0367468E7</v>
      </c>
      <c r="B228" s="10"/>
      <c r="C228" s="11">
        <v>45400.416666666664</v>
      </c>
      <c r="D228" s="12">
        <v>26.0</v>
      </c>
      <c r="E228" s="13">
        <v>31616.0</v>
      </c>
      <c r="F228" s="12" t="s">
        <v>31</v>
      </c>
      <c r="G228" s="29" t="s">
        <v>44</v>
      </c>
      <c r="H228" s="29" t="s">
        <v>136</v>
      </c>
      <c r="I228" s="39" t="s">
        <v>137</v>
      </c>
      <c r="J228" s="25" t="s">
        <v>35</v>
      </c>
      <c r="K228" s="39" t="s">
        <v>138</v>
      </c>
      <c r="L228" s="25" t="s">
        <v>94</v>
      </c>
      <c r="M228" s="12"/>
      <c r="N228" s="40">
        <v>5174.0</v>
      </c>
      <c r="O228" s="17">
        <f t="shared" si="9"/>
        <v>0.7730962505</v>
      </c>
      <c r="P228" s="39">
        <v>4000.0</v>
      </c>
      <c r="Q228" s="12"/>
      <c r="R228" s="12"/>
      <c r="S228" s="29" t="s">
        <v>131</v>
      </c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</row>
    <row r="229" ht="15.75" customHeight="1">
      <c r="A229" s="9">
        <v>1.0368928E7</v>
      </c>
      <c r="B229" s="10"/>
      <c r="C229" s="11">
        <v>45405.833333333336</v>
      </c>
      <c r="D229" s="12">
        <v>18.0</v>
      </c>
      <c r="E229" s="13">
        <v>22330.0</v>
      </c>
      <c r="F229" s="12" t="s">
        <v>31</v>
      </c>
      <c r="G229" s="29" t="s">
        <v>74</v>
      </c>
      <c r="H229" s="29" t="s">
        <v>262</v>
      </c>
      <c r="I229" s="25" t="s">
        <v>263</v>
      </c>
      <c r="J229" s="25" t="s">
        <v>35</v>
      </c>
      <c r="K229" s="29" t="s">
        <v>264</v>
      </c>
      <c r="L229" s="28" t="s">
        <v>59</v>
      </c>
      <c r="M229" s="14" t="s">
        <v>49</v>
      </c>
      <c r="N229" s="40">
        <v>3577.0</v>
      </c>
      <c r="O229" s="17">
        <f t="shared" si="9"/>
        <v>0.768800671</v>
      </c>
      <c r="P229" s="39">
        <v>2750.0</v>
      </c>
      <c r="Q229" s="12" t="s">
        <v>39</v>
      </c>
      <c r="R229" s="12">
        <v>1311462.0</v>
      </c>
      <c r="S229" s="29" t="s">
        <v>40</v>
      </c>
      <c r="T229" s="19">
        <v>5088460.0</v>
      </c>
      <c r="U229" s="12"/>
      <c r="V229" s="12"/>
      <c r="W229" s="12"/>
      <c r="X229" s="12"/>
      <c r="Y229" s="57">
        <v>45406.583333333336</v>
      </c>
      <c r="Z229" s="57">
        <v>45406.72083333333</v>
      </c>
      <c r="AA229" s="12"/>
      <c r="AB229" s="12"/>
      <c r="AC229" s="12"/>
      <c r="AD229" s="12"/>
      <c r="AE229" s="12" t="s">
        <v>39</v>
      </c>
      <c r="AF229" s="1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</row>
    <row r="230" ht="15.75" customHeight="1">
      <c r="A230" s="9">
        <v>1.0372032E7</v>
      </c>
      <c r="B230" s="10"/>
      <c r="C230" s="11">
        <v>45404.541666666664</v>
      </c>
      <c r="D230" s="12">
        <v>26.0</v>
      </c>
      <c r="E230" s="13">
        <v>33430.0</v>
      </c>
      <c r="F230" s="12" t="s">
        <v>31</v>
      </c>
      <c r="G230" s="29" t="s">
        <v>32</v>
      </c>
      <c r="H230" s="29" t="s">
        <v>265</v>
      </c>
      <c r="I230" s="39" t="s">
        <v>266</v>
      </c>
      <c r="J230" s="25" t="s">
        <v>35</v>
      </c>
      <c r="K230" s="29" t="s">
        <v>267</v>
      </c>
      <c r="L230" s="28" t="s">
        <v>94</v>
      </c>
      <c r="M230" s="14" t="s">
        <v>184</v>
      </c>
      <c r="N230" s="40">
        <v>6677.0</v>
      </c>
      <c r="O230" s="17">
        <f t="shared" si="9"/>
        <v>0.6365134042</v>
      </c>
      <c r="P230" s="39">
        <v>4250.0</v>
      </c>
      <c r="Q230" s="12" t="s">
        <v>39</v>
      </c>
      <c r="R230" s="12">
        <v>1310637.0</v>
      </c>
      <c r="S230" s="29" t="s">
        <v>40</v>
      </c>
      <c r="T230" s="19">
        <v>5083515.0</v>
      </c>
      <c r="U230" s="12"/>
      <c r="V230" s="12"/>
      <c r="W230" s="12"/>
      <c r="X230" s="12"/>
      <c r="Y230" s="57">
        <v>45406.67083333333</v>
      </c>
      <c r="Z230" s="57">
        <v>45407.31597222222</v>
      </c>
      <c r="AA230" s="12"/>
      <c r="AB230" s="12"/>
      <c r="AC230" s="12"/>
      <c r="AD230" s="12"/>
      <c r="AE230" s="12" t="s">
        <v>39</v>
      </c>
      <c r="AF230" s="1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</row>
    <row r="231" ht="15.75" customHeight="1">
      <c r="A231" s="60">
        <v>1.0379921E7</v>
      </c>
      <c r="B231" s="61"/>
      <c r="C231" s="11">
        <v>45409.75</v>
      </c>
      <c r="D231" s="62">
        <v>26.0</v>
      </c>
      <c r="E231" s="63">
        <v>33430.0</v>
      </c>
      <c r="F231" s="62" t="s">
        <v>31</v>
      </c>
      <c r="G231" s="64" t="s">
        <v>32</v>
      </c>
      <c r="H231" s="62" t="s">
        <v>265</v>
      </c>
      <c r="I231" s="65" t="s">
        <v>266</v>
      </c>
      <c r="J231" s="62" t="s">
        <v>35</v>
      </c>
      <c r="K231" s="62" t="s">
        <v>267</v>
      </c>
      <c r="L231" s="66" t="s">
        <v>94</v>
      </c>
      <c r="M231" s="62"/>
      <c r="N231" s="67">
        <v>6677.0</v>
      </c>
      <c r="O231" s="68">
        <f t="shared" si="9"/>
        <v>0.6365134042</v>
      </c>
      <c r="P231" s="69">
        <v>4250.0</v>
      </c>
      <c r="Q231" s="62"/>
      <c r="R231" s="62"/>
      <c r="S231" s="64" t="s">
        <v>131</v>
      </c>
      <c r="T231" s="62"/>
      <c r="U231" s="62"/>
      <c r="V231" s="62"/>
      <c r="W231" s="62"/>
      <c r="X231" s="62"/>
      <c r="Y231" s="70"/>
      <c r="Z231" s="62"/>
      <c r="AA231" s="62"/>
      <c r="AB231" s="62"/>
      <c r="AC231" s="62"/>
      <c r="AD231" s="62"/>
      <c r="AE231" s="62"/>
      <c r="AF231" s="62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</row>
    <row r="232" ht="15.75" customHeight="1">
      <c r="A232" s="9">
        <v>1.0384107E7</v>
      </c>
      <c r="B232" s="10"/>
      <c r="C232" s="11">
        <v>45407.875</v>
      </c>
      <c r="D232" s="12">
        <v>26.0</v>
      </c>
      <c r="E232" s="13">
        <v>31625.0</v>
      </c>
      <c r="F232" s="12" t="s">
        <v>31</v>
      </c>
      <c r="G232" s="29" t="s">
        <v>44</v>
      </c>
      <c r="H232" s="12" t="s">
        <v>268</v>
      </c>
      <c r="I232" s="29" t="s">
        <v>269</v>
      </c>
      <c r="J232" s="12" t="s">
        <v>35</v>
      </c>
      <c r="K232" s="12" t="s">
        <v>270</v>
      </c>
      <c r="L232" s="28" t="s">
        <v>94</v>
      </c>
      <c r="M232" s="14" t="s">
        <v>271</v>
      </c>
      <c r="N232" s="40">
        <v>6200.0</v>
      </c>
      <c r="O232" s="17">
        <f t="shared" si="9"/>
        <v>0.685483871</v>
      </c>
      <c r="P232" s="39">
        <v>4250.0</v>
      </c>
      <c r="Q232" s="12" t="s">
        <v>39</v>
      </c>
      <c r="R232" s="12">
        <v>1312125.0</v>
      </c>
      <c r="S232" s="29" t="s">
        <v>40</v>
      </c>
      <c r="T232" s="19">
        <v>5093204.0</v>
      </c>
      <c r="U232" s="12"/>
      <c r="V232" s="12"/>
      <c r="W232" s="12"/>
      <c r="X232" s="12"/>
      <c r="Y232" s="57">
        <v>45408.58472222222</v>
      </c>
      <c r="Z232" s="57">
        <v>45408.73402777778</v>
      </c>
      <c r="AA232" s="12"/>
      <c r="AB232" s="12"/>
      <c r="AC232" s="12"/>
      <c r="AD232" s="12"/>
      <c r="AE232" s="12" t="s">
        <v>39</v>
      </c>
      <c r="AF232" s="1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</row>
    <row r="233" ht="15.75" customHeight="1">
      <c r="A233" s="9">
        <v>1.0384276E7</v>
      </c>
      <c r="B233" s="10"/>
      <c r="C233" s="11">
        <v>45407.875</v>
      </c>
      <c r="D233" s="12">
        <v>26.0</v>
      </c>
      <c r="E233" s="13">
        <v>32553.0</v>
      </c>
      <c r="F233" s="12" t="s">
        <v>43</v>
      </c>
      <c r="G233" s="29" t="s">
        <v>44</v>
      </c>
      <c r="H233" s="12" t="s">
        <v>45</v>
      </c>
      <c r="I233" s="29" t="s">
        <v>46</v>
      </c>
      <c r="J233" s="12" t="s">
        <v>35</v>
      </c>
      <c r="K233" s="12" t="s">
        <v>47</v>
      </c>
      <c r="L233" s="25" t="s">
        <v>108</v>
      </c>
      <c r="M233" s="14" t="s">
        <v>69</v>
      </c>
      <c r="N233" s="40">
        <v>2340.76</v>
      </c>
      <c r="O233" s="17">
        <f t="shared" si="9"/>
        <v>0.7262598472</v>
      </c>
      <c r="P233" s="39">
        <v>1700.0</v>
      </c>
      <c r="Q233" s="12" t="s">
        <v>39</v>
      </c>
      <c r="R233" s="12">
        <v>1312500.0</v>
      </c>
      <c r="S233" s="29" t="s">
        <v>40</v>
      </c>
      <c r="T233" s="19">
        <v>5095327.0</v>
      </c>
      <c r="U233" s="12"/>
      <c r="V233" s="12"/>
      <c r="W233" s="12"/>
      <c r="X233" s="12"/>
      <c r="Y233" s="57">
        <v>45407.333333333336</v>
      </c>
      <c r="Z233" s="57">
        <v>45407.791666666664</v>
      </c>
      <c r="AA233" s="12"/>
      <c r="AB233" s="12"/>
      <c r="AC233" s="12"/>
      <c r="AD233" s="12"/>
      <c r="AE233" s="12" t="s">
        <v>39</v>
      </c>
      <c r="AF233" s="1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</row>
    <row r="234" ht="15.75" customHeight="1">
      <c r="A234" s="9">
        <v>1.0384277E7</v>
      </c>
      <c r="B234" s="10"/>
      <c r="C234" s="11">
        <v>45407.875</v>
      </c>
      <c r="D234" s="12">
        <v>26.0</v>
      </c>
      <c r="E234" s="13">
        <v>32553.0</v>
      </c>
      <c r="F234" s="12" t="s">
        <v>43</v>
      </c>
      <c r="G234" s="29" t="s">
        <v>44</v>
      </c>
      <c r="H234" s="29" t="s">
        <v>45</v>
      </c>
      <c r="I234" s="29" t="s">
        <v>46</v>
      </c>
      <c r="J234" s="25" t="s">
        <v>35</v>
      </c>
      <c r="K234" s="29" t="s">
        <v>47</v>
      </c>
      <c r="L234" s="25" t="s">
        <v>108</v>
      </c>
      <c r="M234" s="14" t="s">
        <v>128</v>
      </c>
      <c r="N234" s="40">
        <v>2340.76</v>
      </c>
      <c r="O234" s="17">
        <f t="shared" si="9"/>
        <v>0.7262598472</v>
      </c>
      <c r="P234" s="39">
        <v>1700.0</v>
      </c>
      <c r="Q234" s="12" t="s">
        <v>39</v>
      </c>
      <c r="R234" s="12">
        <v>1312374.0</v>
      </c>
      <c r="S234" s="29" t="s">
        <v>40</v>
      </c>
      <c r="T234" s="19">
        <v>5094778.0</v>
      </c>
      <c r="U234" s="12"/>
      <c r="V234" s="12"/>
      <c r="W234" s="12"/>
      <c r="X234" s="12"/>
      <c r="Y234" s="57">
        <v>45407.541666666664</v>
      </c>
      <c r="Z234" s="57">
        <v>45407.791666666664</v>
      </c>
      <c r="AA234" s="12"/>
      <c r="AB234" s="12"/>
      <c r="AC234" s="12"/>
      <c r="AD234" s="12"/>
      <c r="AE234" s="12"/>
      <c r="AF234" s="1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ht="15.75" customHeight="1">
      <c r="A235" s="9">
        <v>1.0384278E7</v>
      </c>
      <c r="B235" s="10"/>
      <c r="C235" s="11">
        <v>45407.0</v>
      </c>
      <c r="D235" s="12" t="s">
        <v>52</v>
      </c>
      <c r="E235" s="13" t="s">
        <v>52</v>
      </c>
      <c r="F235" s="12" t="s">
        <v>43</v>
      </c>
      <c r="G235" s="29" t="s">
        <v>44</v>
      </c>
      <c r="H235" s="29" t="s">
        <v>272</v>
      </c>
      <c r="I235" s="29" t="s">
        <v>46</v>
      </c>
      <c r="J235" s="25" t="s">
        <v>47</v>
      </c>
      <c r="K235" s="29" t="s">
        <v>35</v>
      </c>
      <c r="L235" s="25" t="s">
        <v>110</v>
      </c>
      <c r="M235" s="14" t="s">
        <v>128</v>
      </c>
      <c r="N235" s="40">
        <v>1557.5</v>
      </c>
      <c r="O235" s="17">
        <f t="shared" si="9"/>
        <v>0.4494382022</v>
      </c>
      <c r="P235" s="39">
        <v>700.0</v>
      </c>
      <c r="Q235" s="12"/>
      <c r="R235" s="12">
        <v>1312685.0</v>
      </c>
      <c r="S235" s="29" t="s">
        <v>40</v>
      </c>
      <c r="T235" s="19">
        <v>5096656.0</v>
      </c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</row>
    <row r="236" ht="15.75" customHeight="1">
      <c r="A236" s="9">
        <v>1.0384279E7</v>
      </c>
      <c r="B236" s="10"/>
      <c r="C236" s="11">
        <v>45407.0</v>
      </c>
      <c r="D236" s="12" t="s">
        <v>52</v>
      </c>
      <c r="E236" s="13" t="s">
        <v>52</v>
      </c>
      <c r="F236" s="12" t="s">
        <v>43</v>
      </c>
      <c r="G236" s="29" t="s">
        <v>44</v>
      </c>
      <c r="H236" s="72" t="s">
        <v>273</v>
      </c>
      <c r="I236" s="29" t="s">
        <v>46</v>
      </c>
      <c r="J236" s="12" t="s">
        <v>47</v>
      </c>
      <c r="K236" s="12" t="s">
        <v>35</v>
      </c>
      <c r="L236" s="25" t="s">
        <v>110</v>
      </c>
      <c r="M236" s="14" t="s">
        <v>69</v>
      </c>
      <c r="N236" s="40">
        <v>1557.5</v>
      </c>
      <c r="O236" s="73">
        <f t="shared" si="9"/>
        <v>0.4494382022</v>
      </c>
      <c r="P236" s="15">
        <v>700.0</v>
      </c>
      <c r="Q236" s="12"/>
      <c r="R236" s="12">
        <v>1312691.0</v>
      </c>
      <c r="S236" s="29" t="s">
        <v>40</v>
      </c>
      <c r="T236" s="19">
        <v>5096799.0</v>
      </c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</row>
    <row r="237" ht="15.75" customHeight="1">
      <c r="A237" s="9">
        <v>1.0386085E7</v>
      </c>
      <c r="B237" s="10"/>
      <c r="C237" s="11">
        <v>45412.833333333336</v>
      </c>
      <c r="D237" s="12">
        <v>26.0</v>
      </c>
      <c r="E237" s="13">
        <v>31922.0</v>
      </c>
      <c r="F237" s="12" t="s">
        <v>31</v>
      </c>
      <c r="G237" s="29" t="s">
        <v>74</v>
      </c>
      <c r="H237" s="29" t="s">
        <v>274</v>
      </c>
      <c r="I237" s="39" t="s">
        <v>275</v>
      </c>
      <c r="J237" s="25" t="s">
        <v>35</v>
      </c>
      <c r="K237" s="74" t="s">
        <v>276</v>
      </c>
      <c r="L237" s="28" t="s">
        <v>94</v>
      </c>
      <c r="M237" s="12" t="s">
        <v>277</v>
      </c>
      <c r="N237" s="40">
        <v>6500.0</v>
      </c>
      <c r="O237" s="17">
        <f t="shared" si="9"/>
        <v>0.6538461538</v>
      </c>
      <c r="P237" s="15">
        <v>4250.0</v>
      </c>
      <c r="Q237" s="12" t="s">
        <v>39</v>
      </c>
      <c r="R237" s="12">
        <v>1314836.0</v>
      </c>
      <c r="S237" s="29" t="s">
        <v>40</v>
      </c>
      <c r="T237" s="19">
        <v>5109653.0</v>
      </c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</row>
    <row r="238" ht="15.75" customHeight="1">
      <c r="A238" s="9">
        <v>1.0386086E7</v>
      </c>
      <c r="B238" s="10"/>
      <c r="C238" s="11">
        <v>45412.833333333336</v>
      </c>
      <c r="D238" s="12">
        <v>26.0</v>
      </c>
      <c r="E238" s="13">
        <v>31922.0</v>
      </c>
      <c r="F238" s="12" t="s">
        <v>31</v>
      </c>
      <c r="G238" s="29" t="s">
        <v>74</v>
      </c>
      <c r="H238" s="29" t="s">
        <v>274</v>
      </c>
      <c r="I238" s="28" t="s">
        <v>275</v>
      </c>
      <c r="J238" s="25" t="s">
        <v>35</v>
      </c>
      <c r="K238" s="74" t="s">
        <v>276</v>
      </c>
      <c r="L238" s="28" t="s">
        <v>94</v>
      </c>
      <c r="M238" s="12" t="s">
        <v>278</v>
      </c>
      <c r="N238" s="40">
        <v>6500.0</v>
      </c>
      <c r="O238" s="17">
        <f t="shared" si="9"/>
        <v>0.6538461538</v>
      </c>
      <c r="P238" s="15">
        <v>4250.0</v>
      </c>
      <c r="Q238" s="12" t="s">
        <v>39</v>
      </c>
      <c r="R238" s="12">
        <v>1315586.0</v>
      </c>
      <c r="S238" s="29" t="s">
        <v>40</v>
      </c>
      <c r="T238" s="19">
        <v>5114914.0</v>
      </c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</row>
    <row r="239" ht="15.75" customHeight="1">
      <c r="A239" s="9">
        <v>1.0386299E7</v>
      </c>
      <c r="B239" s="10"/>
      <c r="C239" s="11">
        <v>45414.583333333336</v>
      </c>
      <c r="D239" s="12">
        <v>26.0</v>
      </c>
      <c r="E239" s="13">
        <v>31625.0</v>
      </c>
      <c r="F239" s="12" t="s">
        <v>31</v>
      </c>
      <c r="G239" s="29" t="s">
        <v>44</v>
      </c>
      <c r="H239" s="12" t="s">
        <v>104</v>
      </c>
      <c r="I239" s="29" t="s">
        <v>105</v>
      </c>
      <c r="J239" s="12" t="s">
        <v>35</v>
      </c>
      <c r="K239" s="12" t="s">
        <v>106</v>
      </c>
      <c r="L239" s="25" t="s">
        <v>59</v>
      </c>
      <c r="M239" s="12" t="s">
        <v>279</v>
      </c>
      <c r="N239" s="40">
        <v>5053.0</v>
      </c>
      <c r="O239" s="17">
        <f t="shared" si="9"/>
        <v>0.5937067089</v>
      </c>
      <c r="P239" s="15">
        <v>3000.0</v>
      </c>
      <c r="Q239" s="12" t="s">
        <v>39</v>
      </c>
      <c r="R239" s="12">
        <v>1316730.0</v>
      </c>
      <c r="S239" s="29" t="s">
        <v>40</v>
      </c>
      <c r="T239" s="19">
        <v>5121616.0</v>
      </c>
      <c r="U239" s="12"/>
      <c r="V239" s="12"/>
      <c r="W239" s="12"/>
      <c r="X239" s="12"/>
      <c r="Y239" s="57">
        <v>45418.56458333333</v>
      </c>
      <c r="Z239" s="57">
        <v>45418.645833333336</v>
      </c>
      <c r="AA239" s="12"/>
      <c r="AB239" s="12"/>
      <c r="AC239" s="12"/>
      <c r="AD239" s="12"/>
      <c r="AE239" s="12" t="s">
        <v>39</v>
      </c>
      <c r="AF239" s="1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</row>
    <row r="240" ht="15.75" customHeight="1">
      <c r="A240" s="9">
        <v>1.03863E7</v>
      </c>
      <c r="B240" s="10"/>
      <c r="C240" s="11">
        <v>45414.458333333336</v>
      </c>
      <c r="D240" s="12">
        <v>26.0</v>
      </c>
      <c r="E240" s="13">
        <v>31625.0</v>
      </c>
      <c r="F240" s="12" t="s">
        <v>31</v>
      </c>
      <c r="G240" s="29" t="s">
        <v>44</v>
      </c>
      <c r="H240" s="12" t="s">
        <v>104</v>
      </c>
      <c r="I240" s="29" t="s">
        <v>105</v>
      </c>
      <c r="J240" s="12" t="s">
        <v>35</v>
      </c>
      <c r="K240" s="12" t="s">
        <v>106</v>
      </c>
      <c r="L240" s="25" t="s">
        <v>59</v>
      </c>
      <c r="M240" s="12" t="s">
        <v>280</v>
      </c>
      <c r="N240" s="24">
        <v>5053.0</v>
      </c>
      <c r="O240" s="17">
        <f t="shared" si="9"/>
        <v>0.5937067089</v>
      </c>
      <c r="P240" s="15">
        <v>3000.0</v>
      </c>
      <c r="Q240" s="12" t="s">
        <v>39</v>
      </c>
      <c r="R240" s="12">
        <v>1316322.0</v>
      </c>
      <c r="S240" s="29" t="s">
        <v>40</v>
      </c>
      <c r="T240" s="19">
        <v>5118714.0</v>
      </c>
      <c r="U240" s="12"/>
      <c r="V240" s="12"/>
      <c r="W240" s="12"/>
      <c r="X240" s="12"/>
      <c r="Y240" s="57">
        <v>45417.864583333336</v>
      </c>
      <c r="Z240" s="57">
        <v>45418.350694444445</v>
      </c>
      <c r="AA240" s="12"/>
      <c r="AB240" s="12"/>
      <c r="AC240" s="12"/>
      <c r="AD240" s="12"/>
      <c r="AE240" s="12" t="s">
        <v>39</v>
      </c>
      <c r="AF240" s="1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</row>
    <row r="241" ht="15.75" customHeight="1">
      <c r="A241" s="9">
        <v>1.0386301E7</v>
      </c>
      <c r="B241" s="10"/>
      <c r="C241" s="11">
        <v>45414.583333333336</v>
      </c>
      <c r="D241" s="12">
        <v>26.0</v>
      </c>
      <c r="E241" s="13">
        <v>31625.0</v>
      </c>
      <c r="F241" s="12" t="s">
        <v>31</v>
      </c>
      <c r="G241" s="29" t="s">
        <v>44</v>
      </c>
      <c r="H241" s="29" t="s">
        <v>104</v>
      </c>
      <c r="I241" s="29" t="s">
        <v>105</v>
      </c>
      <c r="J241" s="25" t="s">
        <v>35</v>
      </c>
      <c r="K241" s="29" t="s">
        <v>106</v>
      </c>
      <c r="L241" s="25" t="s">
        <v>59</v>
      </c>
      <c r="M241" s="12" t="s">
        <v>247</v>
      </c>
      <c r="N241" s="40">
        <v>5053.0</v>
      </c>
      <c r="O241" s="17">
        <f t="shared" si="9"/>
        <v>0.5937067089</v>
      </c>
      <c r="P241" s="39">
        <v>3000.0</v>
      </c>
      <c r="Q241" s="12" t="s">
        <v>39</v>
      </c>
      <c r="R241" s="12">
        <v>1316389.0</v>
      </c>
      <c r="S241" s="29" t="s">
        <v>40</v>
      </c>
      <c r="T241" s="19">
        <v>5119170.0</v>
      </c>
      <c r="U241" s="12"/>
      <c r="V241" s="12"/>
      <c r="W241" s="12"/>
      <c r="X241" s="12"/>
      <c r="Y241" s="57">
        <v>45417.69513888889</v>
      </c>
      <c r="Z241" s="57">
        <v>45418.34583333333</v>
      </c>
      <c r="AA241" s="12"/>
      <c r="AB241" s="12"/>
      <c r="AC241" s="12"/>
      <c r="AD241" s="12"/>
      <c r="AE241" s="12" t="s">
        <v>39</v>
      </c>
      <c r="AF241" s="1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</row>
    <row r="242" ht="15.75" customHeight="1">
      <c r="A242" s="9">
        <v>1.0386302E7</v>
      </c>
      <c r="B242" s="10"/>
      <c r="C242" s="11">
        <v>45413.833333333336</v>
      </c>
      <c r="D242" s="12">
        <v>26.0</v>
      </c>
      <c r="E242" s="13">
        <v>31625.0</v>
      </c>
      <c r="F242" s="12" t="s">
        <v>31</v>
      </c>
      <c r="G242" s="29" t="s">
        <v>44</v>
      </c>
      <c r="H242" s="29" t="s">
        <v>104</v>
      </c>
      <c r="I242" s="25" t="s">
        <v>105</v>
      </c>
      <c r="J242" s="25" t="s">
        <v>35</v>
      </c>
      <c r="K242" s="29" t="s">
        <v>106</v>
      </c>
      <c r="L242" s="25" t="s">
        <v>59</v>
      </c>
      <c r="M242" s="12" t="s">
        <v>49</v>
      </c>
      <c r="N242" s="40">
        <v>5053.0</v>
      </c>
      <c r="O242" s="17">
        <f t="shared" si="9"/>
        <v>0.5937067089</v>
      </c>
      <c r="P242" s="39">
        <v>3000.0</v>
      </c>
      <c r="Q242" s="12" t="s">
        <v>39</v>
      </c>
      <c r="R242" s="12">
        <v>1315900.0</v>
      </c>
      <c r="S242" s="29" t="s">
        <v>40</v>
      </c>
      <c r="T242" s="19">
        <v>5116468.0</v>
      </c>
      <c r="U242" s="12"/>
      <c r="V242" s="12"/>
      <c r="W242" s="12"/>
      <c r="X242" s="12"/>
      <c r="Y242" s="57">
        <v>45417.864583333336</v>
      </c>
      <c r="Z242" s="57">
        <v>45418.350694444445</v>
      </c>
      <c r="AA242" s="12"/>
      <c r="AB242" s="12"/>
      <c r="AC242" s="12"/>
      <c r="AD242" s="12"/>
      <c r="AE242" s="12" t="s">
        <v>39</v>
      </c>
      <c r="AF242" s="1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</row>
    <row r="243" ht="15.75" customHeight="1">
      <c r="A243" s="9">
        <v>1.0386303E7</v>
      </c>
      <c r="B243" s="10"/>
      <c r="C243" s="11">
        <v>45413.791666666664</v>
      </c>
      <c r="D243" s="12">
        <v>26.0</v>
      </c>
      <c r="E243" s="13">
        <v>31625.0</v>
      </c>
      <c r="F243" s="12" t="s">
        <v>31</v>
      </c>
      <c r="G243" s="29" t="s">
        <v>44</v>
      </c>
      <c r="H243" s="29" t="s">
        <v>104</v>
      </c>
      <c r="I243" s="25" t="s">
        <v>105</v>
      </c>
      <c r="J243" s="25" t="s">
        <v>35</v>
      </c>
      <c r="K243" s="29" t="s">
        <v>106</v>
      </c>
      <c r="L243" s="25" t="s">
        <v>59</v>
      </c>
      <c r="M243" s="12" t="s">
        <v>281</v>
      </c>
      <c r="N243" s="40">
        <v>5053.0</v>
      </c>
      <c r="O243" s="17">
        <f t="shared" si="9"/>
        <v>0.5937067089</v>
      </c>
      <c r="P243" s="39">
        <v>3000.0</v>
      </c>
      <c r="Q243" s="12" t="s">
        <v>39</v>
      </c>
      <c r="R243" s="12">
        <v>1315739.0</v>
      </c>
      <c r="S243" s="29" t="s">
        <v>40</v>
      </c>
      <c r="T243" s="19">
        <v>5115743.0</v>
      </c>
      <c r="U243" s="12"/>
      <c r="V243" s="12"/>
      <c r="W243" s="12"/>
      <c r="X243" s="12"/>
      <c r="Y243" s="57">
        <v>45414.34027777778</v>
      </c>
      <c r="Z243" s="57">
        <v>45414.424305555556</v>
      </c>
      <c r="AA243" s="12"/>
      <c r="AB243" s="12"/>
      <c r="AC243" s="12"/>
      <c r="AD243" s="12"/>
      <c r="AE243" s="12" t="s">
        <v>39</v>
      </c>
      <c r="AF243" s="1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</row>
    <row r="244" ht="15.75" customHeight="1">
      <c r="A244" s="9">
        <v>1.0386394E7</v>
      </c>
      <c r="B244" s="10"/>
      <c r="C244" s="11">
        <v>45413.5</v>
      </c>
      <c r="D244" s="12">
        <v>26.0</v>
      </c>
      <c r="E244" s="13">
        <v>31625.0</v>
      </c>
      <c r="F244" s="12" t="s">
        <v>31</v>
      </c>
      <c r="G244" s="29" t="s">
        <v>44</v>
      </c>
      <c r="H244" s="29" t="s">
        <v>104</v>
      </c>
      <c r="I244" s="29" t="s">
        <v>105</v>
      </c>
      <c r="J244" s="25" t="s">
        <v>35</v>
      </c>
      <c r="K244" s="29" t="s">
        <v>106</v>
      </c>
      <c r="L244" s="25" t="s">
        <v>59</v>
      </c>
      <c r="M244" s="12" t="s">
        <v>282</v>
      </c>
      <c r="N244" s="40">
        <v>5053.0</v>
      </c>
      <c r="O244" s="17">
        <f t="shared" si="9"/>
        <v>0.5937067089</v>
      </c>
      <c r="P244" s="39">
        <v>3000.0</v>
      </c>
      <c r="Q244" s="12" t="s">
        <v>39</v>
      </c>
      <c r="R244" s="12">
        <v>1315730.0</v>
      </c>
      <c r="S244" s="29" t="s">
        <v>40</v>
      </c>
      <c r="T244" s="19">
        <v>5115706.0</v>
      </c>
      <c r="U244" s="12"/>
      <c r="V244" s="12"/>
      <c r="W244" s="12"/>
      <c r="X244" s="12"/>
      <c r="Y244" s="57">
        <v>45414.691666666666</v>
      </c>
      <c r="Z244" s="57">
        <v>45414.77777777778</v>
      </c>
      <c r="AA244" s="12"/>
      <c r="AB244" s="12"/>
      <c r="AC244" s="12"/>
      <c r="AD244" s="12"/>
      <c r="AE244" s="12" t="s">
        <v>39</v>
      </c>
      <c r="AF244" s="1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</row>
    <row r="245" ht="15.75" customHeight="1">
      <c r="A245" s="9">
        <v>1.0387131E7</v>
      </c>
      <c r="B245" s="10"/>
      <c r="C245" s="11">
        <v>45406.0</v>
      </c>
      <c r="D245" s="12" t="s">
        <v>52</v>
      </c>
      <c r="E245" s="13" t="s">
        <v>52</v>
      </c>
      <c r="F245" s="12" t="s">
        <v>43</v>
      </c>
      <c r="G245" s="29" t="s">
        <v>44</v>
      </c>
      <c r="H245" s="72" t="s">
        <v>283</v>
      </c>
      <c r="I245" s="25" t="s">
        <v>46</v>
      </c>
      <c r="J245" s="25" t="s">
        <v>47</v>
      </c>
      <c r="K245" s="29" t="s">
        <v>35</v>
      </c>
      <c r="L245" s="25" t="s">
        <v>110</v>
      </c>
      <c r="M245" s="14" t="s">
        <v>261</v>
      </c>
      <c r="N245" s="24">
        <v>1446.19</v>
      </c>
      <c r="O245" s="17">
        <f t="shared" si="9"/>
        <v>0.4840304524</v>
      </c>
      <c r="P245" s="15">
        <v>700.0</v>
      </c>
      <c r="Q245" s="12"/>
      <c r="R245" s="12"/>
      <c r="S245" s="29" t="s">
        <v>131</v>
      </c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</row>
    <row r="246" ht="15.75" customHeight="1">
      <c r="A246" s="9">
        <v>1.0387132E7</v>
      </c>
      <c r="B246" s="10"/>
      <c r="C246" s="11">
        <v>45406.875</v>
      </c>
      <c r="D246" s="12">
        <v>26.0</v>
      </c>
      <c r="E246" s="13">
        <v>31104.0</v>
      </c>
      <c r="F246" s="12" t="s">
        <v>43</v>
      </c>
      <c r="G246" s="29" t="s">
        <v>44</v>
      </c>
      <c r="H246" s="29" t="s">
        <v>45</v>
      </c>
      <c r="I246" s="25" t="s">
        <v>46</v>
      </c>
      <c r="J246" s="25" t="s">
        <v>35</v>
      </c>
      <c r="K246" s="29" t="s">
        <v>47</v>
      </c>
      <c r="L246" s="25" t="s">
        <v>108</v>
      </c>
      <c r="M246" s="49" t="s">
        <v>261</v>
      </c>
      <c r="N246" s="40">
        <v>2169.28</v>
      </c>
      <c r="O246" s="17">
        <f t="shared" si="9"/>
        <v>0.7836701578</v>
      </c>
      <c r="P246" s="39">
        <v>1700.0</v>
      </c>
      <c r="Q246" s="12" t="s">
        <v>39</v>
      </c>
      <c r="R246" s="12">
        <v>1312132.0</v>
      </c>
      <c r="S246" s="29" t="s">
        <v>40</v>
      </c>
      <c r="T246" s="19">
        <v>5093284.0</v>
      </c>
      <c r="U246" s="12"/>
      <c r="V246" s="12"/>
      <c r="W246" s="12"/>
      <c r="X246" s="12"/>
      <c r="Y246" s="57">
        <v>45407.441666666666</v>
      </c>
      <c r="Z246" s="57">
        <v>45407.59930555556</v>
      </c>
      <c r="AA246" s="12"/>
      <c r="AB246" s="12"/>
      <c r="AC246" s="12"/>
      <c r="AD246" s="12"/>
      <c r="AE246" s="12" t="s">
        <v>39</v>
      </c>
      <c r="AF246" s="1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</row>
    <row r="247" ht="15.75" customHeight="1">
      <c r="A247" s="9">
        <v>1.0387491E7</v>
      </c>
      <c r="B247" s="10"/>
      <c r="C247" s="11">
        <v>45411.541666666664</v>
      </c>
      <c r="D247" s="12">
        <v>26.0</v>
      </c>
      <c r="E247" s="13">
        <v>33139.0</v>
      </c>
      <c r="F247" s="12" t="s">
        <v>31</v>
      </c>
      <c r="G247" s="29" t="s">
        <v>74</v>
      </c>
      <c r="H247" s="29" t="s">
        <v>262</v>
      </c>
      <c r="I247" s="25" t="s">
        <v>263</v>
      </c>
      <c r="J247" s="25" t="s">
        <v>35</v>
      </c>
      <c r="K247" s="29" t="s">
        <v>264</v>
      </c>
      <c r="L247" s="28" t="s">
        <v>59</v>
      </c>
      <c r="M247" s="12" t="s">
        <v>284</v>
      </c>
      <c r="N247" s="40">
        <v>5008.0</v>
      </c>
      <c r="O247" s="17">
        <f t="shared" si="9"/>
        <v>0.5990415335</v>
      </c>
      <c r="P247" s="39">
        <v>3000.0</v>
      </c>
      <c r="Q247" s="12" t="s">
        <v>39</v>
      </c>
      <c r="R247" s="12">
        <v>1314790.0</v>
      </c>
      <c r="S247" s="29" t="s">
        <v>40</v>
      </c>
      <c r="T247" s="19">
        <v>5109214.0</v>
      </c>
      <c r="U247" s="12"/>
      <c r="V247" s="12"/>
      <c r="W247" s="12"/>
      <c r="X247" s="12"/>
      <c r="Y247" s="57">
        <v>45412.81597222222</v>
      </c>
      <c r="Z247" s="57">
        <v>45413.333333333336</v>
      </c>
      <c r="AA247" s="12"/>
      <c r="AB247" s="12"/>
      <c r="AC247" s="12"/>
      <c r="AD247" s="12"/>
      <c r="AE247" s="12" t="s">
        <v>39</v>
      </c>
      <c r="AF247" s="1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</row>
    <row r="248" ht="15.75" customHeight="1">
      <c r="A248" s="9">
        <v>1.0387492E7</v>
      </c>
      <c r="B248" s="10"/>
      <c r="C248" s="11">
        <v>45411.541666666664</v>
      </c>
      <c r="D248" s="12">
        <v>26.0</v>
      </c>
      <c r="E248" s="13">
        <v>33139.0</v>
      </c>
      <c r="F248" s="12" t="s">
        <v>31</v>
      </c>
      <c r="G248" s="29" t="s">
        <v>74</v>
      </c>
      <c r="H248" s="12" t="s">
        <v>262</v>
      </c>
      <c r="I248" s="25" t="s">
        <v>263</v>
      </c>
      <c r="J248" s="25" t="s">
        <v>35</v>
      </c>
      <c r="K248" s="29" t="s">
        <v>264</v>
      </c>
      <c r="L248" s="28" t="s">
        <v>59</v>
      </c>
      <c r="M248" s="29" t="s">
        <v>261</v>
      </c>
      <c r="N248" s="40">
        <v>5008.0</v>
      </c>
      <c r="O248" s="17">
        <f t="shared" si="9"/>
        <v>0.5990415335</v>
      </c>
      <c r="P248" s="39">
        <v>3000.0</v>
      </c>
      <c r="Q248" s="12" t="s">
        <v>39</v>
      </c>
      <c r="R248" s="12" t="s">
        <v>285</v>
      </c>
      <c r="S248" s="29" t="s">
        <v>40</v>
      </c>
      <c r="T248" s="19" t="s">
        <v>286</v>
      </c>
      <c r="U248" s="12"/>
      <c r="V248" s="12"/>
      <c r="W248" s="12"/>
      <c r="X248" s="12"/>
      <c r="Y248" s="57">
        <v>45412.71319444444</v>
      </c>
      <c r="Z248" s="57">
        <v>45413.57777777778</v>
      </c>
      <c r="AA248" s="12"/>
      <c r="AB248" s="12"/>
      <c r="AC248" s="12"/>
      <c r="AD248" s="12"/>
      <c r="AE248" s="12" t="s">
        <v>39</v>
      </c>
      <c r="AF248" s="1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</row>
    <row r="249" ht="15.75" customHeight="1">
      <c r="A249" s="9">
        <v>1.0387493E7</v>
      </c>
      <c r="B249" s="10"/>
      <c r="C249" s="11">
        <v>45412.541666666664</v>
      </c>
      <c r="D249" s="12">
        <v>26.0</v>
      </c>
      <c r="E249" s="13">
        <v>31625.0</v>
      </c>
      <c r="F249" s="12" t="s">
        <v>31</v>
      </c>
      <c r="G249" s="29" t="s">
        <v>74</v>
      </c>
      <c r="H249" s="12" t="s">
        <v>287</v>
      </c>
      <c r="I249" s="25" t="s">
        <v>263</v>
      </c>
      <c r="J249" s="25" t="s">
        <v>35</v>
      </c>
      <c r="K249" s="29" t="s">
        <v>264</v>
      </c>
      <c r="L249" s="28" t="s">
        <v>59</v>
      </c>
      <c r="M249" s="29" t="s">
        <v>288</v>
      </c>
      <c r="N249" s="40">
        <v>4650.0</v>
      </c>
      <c r="O249" s="17">
        <f t="shared" si="9"/>
        <v>0.6451612903</v>
      </c>
      <c r="P249" s="39">
        <v>3000.0</v>
      </c>
      <c r="Q249" s="12" t="s">
        <v>39</v>
      </c>
      <c r="R249" s="12">
        <v>1315154.0</v>
      </c>
      <c r="S249" s="29" t="s">
        <v>40</v>
      </c>
      <c r="T249" s="19">
        <v>5111607.0</v>
      </c>
      <c r="U249" s="12"/>
      <c r="V249" s="12"/>
      <c r="W249" s="12"/>
      <c r="X249" s="12"/>
      <c r="Y249" s="57">
        <v>45413.40972222222</v>
      </c>
      <c r="Z249" s="75"/>
      <c r="AA249" s="12"/>
      <c r="AB249" s="12"/>
      <c r="AC249" s="12"/>
      <c r="AD249" s="12"/>
      <c r="AE249" s="12" t="s">
        <v>39</v>
      </c>
      <c r="AF249" s="1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</row>
    <row r="250" ht="15.75" customHeight="1">
      <c r="A250" s="9">
        <v>1.0387494E7</v>
      </c>
      <c r="B250" s="10"/>
      <c r="C250" s="11">
        <v>45409.458333333336</v>
      </c>
      <c r="D250" s="12">
        <v>26.0</v>
      </c>
      <c r="E250" s="13">
        <v>33430.0</v>
      </c>
      <c r="F250" s="12" t="s">
        <v>31</v>
      </c>
      <c r="G250" s="29" t="s">
        <v>74</v>
      </c>
      <c r="H250" s="12" t="s">
        <v>262</v>
      </c>
      <c r="I250" s="25" t="s">
        <v>263</v>
      </c>
      <c r="J250" s="25" t="s">
        <v>35</v>
      </c>
      <c r="K250" s="29" t="s">
        <v>264</v>
      </c>
      <c r="L250" s="28" t="s">
        <v>59</v>
      </c>
      <c r="M250" s="29" t="s">
        <v>143</v>
      </c>
      <c r="N250" s="40">
        <v>5008.0</v>
      </c>
      <c r="O250" s="17">
        <f t="shared" si="9"/>
        <v>0.5990415335</v>
      </c>
      <c r="P250" s="39">
        <v>3000.0</v>
      </c>
      <c r="Q250" s="12" t="s">
        <v>39</v>
      </c>
      <c r="R250" s="12">
        <v>1313827.0</v>
      </c>
      <c r="S250" s="29" t="s">
        <v>40</v>
      </c>
      <c r="T250" s="19">
        <v>5104811.0</v>
      </c>
      <c r="U250" s="12"/>
      <c r="V250" s="12"/>
      <c r="W250" s="12"/>
      <c r="X250" s="12"/>
      <c r="Y250" s="57">
        <v>45414.81597222222</v>
      </c>
      <c r="Z250" s="57">
        <v>45415.529861111114</v>
      </c>
      <c r="AA250" s="12"/>
      <c r="AB250" s="12"/>
      <c r="AC250" s="12"/>
      <c r="AD250" s="12"/>
      <c r="AE250" s="12" t="s">
        <v>39</v>
      </c>
      <c r="AF250" s="1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</row>
    <row r="251" ht="15.75" customHeight="1">
      <c r="A251" s="9">
        <v>1.0387497E7</v>
      </c>
      <c r="B251" s="10"/>
      <c r="C251" s="11">
        <v>45411.541666666664</v>
      </c>
      <c r="D251" s="12">
        <v>26.0</v>
      </c>
      <c r="E251" s="13">
        <v>31625.0</v>
      </c>
      <c r="F251" s="12" t="s">
        <v>31</v>
      </c>
      <c r="G251" s="29" t="s">
        <v>74</v>
      </c>
      <c r="H251" s="29" t="s">
        <v>262</v>
      </c>
      <c r="I251" s="29" t="s">
        <v>263</v>
      </c>
      <c r="J251" s="25" t="s">
        <v>35</v>
      </c>
      <c r="K251" s="29" t="s">
        <v>264</v>
      </c>
      <c r="L251" s="28" t="s">
        <v>59</v>
      </c>
      <c r="M251" s="29" t="s">
        <v>184</v>
      </c>
      <c r="N251" s="40">
        <v>4650.0</v>
      </c>
      <c r="O251" s="17">
        <f t="shared" si="9"/>
        <v>0.6451612903</v>
      </c>
      <c r="P251" s="39">
        <v>3000.0</v>
      </c>
      <c r="Q251" s="12" t="s">
        <v>39</v>
      </c>
      <c r="R251" s="12">
        <v>1314657.0</v>
      </c>
      <c r="S251" s="29" t="s">
        <v>40</v>
      </c>
      <c r="T251" s="19">
        <v>5108219.0</v>
      </c>
      <c r="U251" s="12"/>
      <c r="V251" s="12"/>
      <c r="W251" s="12"/>
      <c r="X251" s="12"/>
      <c r="Y251" s="57">
        <v>45414.822222222225</v>
      </c>
      <c r="Z251" s="57">
        <v>45415.46597222222</v>
      </c>
      <c r="AA251" s="12"/>
      <c r="AB251" s="12"/>
      <c r="AC251" s="12"/>
      <c r="AD251" s="12"/>
      <c r="AE251" s="12" t="s">
        <v>39</v>
      </c>
      <c r="AF251" s="1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</row>
    <row r="252" ht="15.75" customHeight="1">
      <c r="A252" s="9">
        <v>1.0387498E7</v>
      </c>
      <c r="B252" s="10"/>
      <c r="C252" s="11">
        <v>45411.541666666664</v>
      </c>
      <c r="D252" s="12">
        <v>26.0</v>
      </c>
      <c r="E252" s="13">
        <v>31489.0</v>
      </c>
      <c r="F252" s="12" t="s">
        <v>31</v>
      </c>
      <c r="G252" s="29" t="s">
        <v>74</v>
      </c>
      <c r="H252" s="12" t="s">
        <v>262</v>
      </c>
      <c r="I252" s="29" t="s">
        <v>263</v>
      </c>
      <c r="J252" s="12" t="s">
        <v>35</v>
      </c>
      <c r="K252" s="12" t="s">
        <v>264</v>
      </c>
      <c r="L252" s="28" t="s">
        <v>59</v>
      </c>
      <c r="M252" s="12" t="s">
        <v>162</v>
      </c>
      <c r="N252" s="40">
        <v>4650.0</v>
      </c>
      <c r="O252" s="17">
        <f t="shared" si="9"/>
        <v>0.6451612903</v>
      </c>
      <c r="P252" s="39">
        <v>3000.0</v>
      </c>
      <c r="Q252" s="12" t="s">
        <v>39</v>
      </c>
      <c r="R252" s="12" t="s">
        <v>289</v>
      </c>
      <c r="S252" s="29" t="s">
        <v>40</v>
      </c>
      <c r="T252" s="19" t="s">
        <v>290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 t="s">
        <v>39</v>
      </c>
      <c r="AF252" s="1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</row>
    <row r="253" ht="15.75" customHeight="1">
      <c r="A253" s="9">
        <v>1.0387499E7</v>
      </c>
      <c r="B253" s="10"/>
      <c r="C253" s="11">
        <v>45410.541666666664</v>
      </c>
      <c r="D253" s="12">
        <v>26.0</v>
      </c>
      <c r="E253" s="13">
        <v>31625.0</v>
      </c>
      <c r="F253" s="12" t="s">
        <v>31</v>
      </c>
      <c r="G253" s="29" t="s">
        <v>74</v>
      </c>
      <c r="H253" s="25" t="s">
        <v>262</v>
      </c>
      <c r="I253" s="25" t="s">
        <v>263</v>
      </c>
      <c r="J253" s="12" t="s">
        <v>35</v>
      </c>
      <c r="K253" s="25" t="s">
        <v>264</v>
      </c>
      <c r="L253" s="28" t="s">
        <v>59</v>
      </c>
      <c r="M253" s="12" t="s">
        <v>291</v>
      </c>
      <c r="N253" s="40">
        <v>4650.0</v>
      </c>
      <c r="O253" s="17">
        <f t="shared" si="9"/>
        <v>0.6451612903</v>
      </c>
      <c r="P253" s="39">
        <v>3000.0</v>
      </c>
      <c r="Q253" s="12" t="s">
        <v>39</v>
      </c>
      <c r="R253" s="12" t="s">
        <v>292</v>
      </c>
      <c r="S253" s="29" t="s">
        <v>40</v>
      </c>
      <c r="T253" s="19" t="s">
        <v>293</v>
      </c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</row>
    <row r="254" ht="15.75" customHeight="1">
      <c r="A254" s="9">
        <v>1.0387799E7</v>
      </c>
      <c r="B254" s="10"/>
      <c r="C254" s="11">
        <v>45412.583333333336</v>
      </c>
      <c r="D254" s="12">
        <v>26.0</v>
      </c>
      <c r="E254" s="13">
        <v>33139.0</v>
      </c>
      <c r="F254" s="12" t="s">
        <v>31</v>
      </c>
      <c r="G254" s="29" t="s">
        <v>74</v>
      </c>
      <c r="H254" s="12" t="s">
        <v>262</v>
      </c>
      <c r="I254" s="29" t="s">
        <v>263</v>
      </c>
      <c r="J254" s="12" t="s">
        <v>35</v>
      </c>
      <c r="K254" s="12" t="s">
        <v>264</v>
      </c>
      <c r="L254" s="28" t="s">
        <v>59</v>
      </c>
      <c r="M254" s="12" t="s">
        <v>294</v>
      </c>
      <c r="N254" s="40">
        <v>5008.0</v>
      </c>
      <c r="O254" s="73">
        <f t="shared" si="9"/>
        <v>0.5990415335</v>
      </c>
      <c r="P254" s="39">
        <v>3000.0</v>
      </c>
      <c r="Q254" s="12" t="s">
        <v>39</v>
      </c>
      <c r="R254" s="12">
        <v>1314805.0</v>
      </c>
      <c r="S254" s="29" t="s">
        <v>40</v>
      </c>
      <c r="T254" s="19">
        <v>5109358.0</v>
      </c>
      <c r="U254" s="12"/>
      <c r="V254" s="12"/>
      <c r="W254" s="12"/>
      <c r="X254" s="12"/>
      <c r="Y254" s="57">
        <v>45412.99166666667</v>
      </c>
      <c r="Z254" s="57">
        <v>45413.700694444444</v>
      </c>
      <c r="AA254" s="12"/>
      <c r="AB254" s="12"/>
      <c r="AC254" s="12"/>
      <c r="AD254" s="12"/>
      <c r="AE254" s="12" t="s">
        <v>39</v>
      </c>
      <c r="AF254" s="1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</row>
    <row r="255" ht="15.75" customHeight="1">
      <c r="A255" s="9">
        <v>1.03878E7</v>
      </c>
      <c r="B255" s="10"/>
      <c r="C255" s="11">
        <v>45412.583333333336</v>
      </c>
      <c r="D255" s="12">
        <v>26.0</v>
      </c>
      <c r="E255" s="13">
        <v>33139.0</v>
      </c>
      <c r="F255" s="12" t="s">
        <v>31</v>
      </c>
      <c r="G255" s="29" t="s">
        <v>74</v>
      </c>
      <c r="H255" s="12" t="s">
        <v>262</v>
      </c>
      <c r="I255" s="29" t="s">
        <v>263</v>
      </c>
      <c r="J255" s="12" t="s">
        <v>35</v>
      </c>
      <c r="K255" s="12" t="s">
        <v>264</v>
      </c>
      <c r="L255" s="28" t="s">
        <v>59</v>
      </c>
      <c r="M255" s="12" t="s">
        <v>146</v>
      </c>
      <c r="N255" s="40">
        <v>5008.0</v>
      </c>
      <c r="O255" s="73">
        <f t="shared" si="9"/>
        <v>0.5990415335</v>
      </c>
      <c r="P255" s="39">
        <v>3000.0</v>
      </c>
      <c r="Q255" s="12" t="s">
        <v>39</v>
      </c>
      <c r="R255" s="12">
        <v>1315179.0</v>
      </c>
      <c r="S255" s="29" t="s">
        <v>40</v>
      </c>
      <c r="T255" s="19">
        <v>5111754.0</v>
      </c>
      <c r="U255" s="12"/>
      <c r="V255" s="12"/>
      <c r="W255" s="12"/>
      <c r="X255" s="12"/>
      <c r="Y255" s="57">
        <v>45413.518055555556</v>
      </c>
      <c r="Z255" s="57">
        <v>45413.70694444444</v>
      </c>
      <c r="AA255" s="12"/>
      <c r="AB255" s="12"/>
      <c r="AC255" s="12"/>
      <c r="AD255" s="12"/>
      <c r="AE255" s="12" t="s">
        <v>39</v>
      </c>
      <c r="AF255" s="1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</row>
    <row r="256" ht="15.75" customHeight="1">
      <c r="A256" s="9">
        <v>1.0387801E7</v>
      </c>
      <c r="B256" s="10"/>
      <c r="C256" s="11">
        <v>45412.625</v>
      </c>
      <c r="D256" s="12">
        <v>26.0</v>
      </c>
      <c r="E256" s="13">
        <v>33139.0</v>
      </c>
      <c r="F256" s="12" t="s">
        <v>31</v>
      </c>
      <c r="G256" s="29" t="s">
        <v>74</v>
      </c>
      <c r="H256" s="29" t="s">
        <v>262</v>
      </c>
      <c r="I256" s="29" t="s">
        <v>263</v>
      </c>
      <c r="J256" s="25" t="s">
        <v>35</v>
      </c>
      <c r="K256" s="29" t="s">
        <v>264</v>
      </c>
      <c r="L256" s="28" t="s">
        <v>59</v>
      </c>
      <c r="M256" s="29" t="s">
        <v>295</v>
      </c>
      <c r="N256" s="40">
        <v>5008.0</v>
      </c>
      <c r="O256" s="73">
        <f t="shared" si="9"/>
        <v>0.6988817891</v>
      </c>
      <c r="P256" s="39">
        <v>3500.0</v>
      </c>
      <c r="Q256" s="12" t="s">
        <v>39</v>
      </c>
      <c r="R256" s="12">
        <v>1315211.0</v>
      </c>
      <c r="S256" s="29" t="s">
        <v>40</v>
      </c>
      <c r="T256" s="19">
        <v>5111977.0</v>
      </c>
      <c r="U256" s="12"/>
      <c r="V256" s="12"/>
      <c r="W256" s="12"/>
      <c r="X256" s="12"/>
      <c r="Y256" s="57">
        <v>45413.333333333336</v>
      </c>
      <c r="Z256" s="57">
        <v>45413.708333333336</v>
      </c>
      <c r="AA256" s="12"/>
      <c r="AB256" s="12"/>
      <c r="AC256" s="12"/>
      <c r="AD256" s="12"/>
      <c r="AE256" s="12" t="s">
        <v>39</v>
      </c>
      <c r="AF256" s="1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</row>
    <row r="257" ht="15.75" customHeight="1">
      <c r="A257" s="9">
        <v>1.0387802E7</v>
      </c>
      <c r="B257" s="10"/>
      <c r="C257" s="11">
        <v>45412.625</v>
      </c>
      <c r="D257" s="12">
        <v>26.0</v>
      </c>
      <c r="E257" s="13">
        <v>33139.0</v>
      </c>
      <c r="F257" s="12" t="s">
        <v>31</v>
      </c>
      <c r="G257" s="29" t="s">
        <v>74</v>
      </c>
      <c r="H257" s="29" t="s">
        <v>262</v>
      </c>
      <c r="I257" s="29" t="s">
        <v>263</v>
      </c>
      <c r="J257" s="25" t="s">
        <v>35</v>
      </c>
      <c r="K257" s="29" t="s">
        <v>264</v>
      </c>
      <c r="L257" s="28" t="s">
        <v>59</v>
      </c>
      <c r="M257" s="29" t="s">
        <v>296</v>
      </c>
      <c r="N257" s="40">
        <v>5008.0</v>
      </c>
      <c r="O257" s="73">
        <f t="shared" si="9"/>
        <v>0.5990415335</v>
      </c>
      <c r="P257" s="39">
        <v>3000.0</v>
      </c>
      <c r="Q257" s="12" t="s">
        <v>39</v>
      </c>
      <c r="R257" s="12">
        <v>1315316.0</v>
      </c>
      <c r="S257" s="29" t="s">
        <v>40</v>
      </c>
      <c r="T257" s="19">
        <v>5112614.0</v>
      </c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</row>
    <row r="258" ht="15.75" customHeight="1">
      <c r="A258" s="9">
        <v>1.0387803E7</v>
      </c>
      <c r="B258" s="10"/>
      <c r="C258" s="11">
        <v>45412.625</v>
      </c>
      <c r="D258" s="12">
        <v>26.0</v>
      </c>
      <c r="E258" s="13">
        <v>33139.0</v>
      </c>
      <c r="F258" s="12" t="s">
        <v>31</v>
      </c>
      <c r="G258" s="29" t="s">
        <v>74</v>
      </c>
      <c r="H258" s="29" t="s">
        <v>262</v>
      </c>
      <c r="I258" s="29" t="s">
        <v>263</v>
      </c>
      <c r="J258" s="25" t="s">
        <v>35</v>
      </c>
      <c r="K258" s="29" t="s">
        <v>264</v>
      </c>
      <c r="L258" s="28" t="s">
        <v>59</v>
      </c>
      <c r="M258" s="12" t="s">
        <v>297</v>
      </c>
      <c r="N258" s="24">
        <v>5008.0</v>
      </c>
      <c r="O258" s="73">
        <f t="shared" si="9"/>
        <v>0.5990415335</v>
      </c>
      <c r="P258" s="15">
        <v>3000.0</v>
      </c>
      <c r="Q258" s="12" t="s">
        <v>39</v>
      </c>
      <c r="R258" s="12">
        <v>1315577.0</v>
      </c>
      <c r="S258" s="29" t="s">
        <v>40</v>
      </c>
      <c r="T258" s="19">
        <v>5114875.0</v>
      </c>
      <c r="U258" s="12"/>
      <c r="V258" s="12"/>
      <c r="W258" s="12"/>
      <c r="X258" s="12"/>
      <c r="Y258" s="57">
        <v>45415.59097222222</v>
      </c>
      <c r="Z258" s="57">
        <v>45419.40902777778</v>
      </c>
      <c r="AA258" s="12"/>
      <c r="AB258" s="12"/>
      <c r="AC258" s="12"/>
      <c r="AD258" s="12"/>
      <c r="AE258" s="12" t="s">
        <v>39</v>
      </c>
      <c r="AF258" s="1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</row>
    <row r="259" ht="15.75" customHeight="1">
      <c r="A259" s="9">
        <v>1.0387804E7</v>
      </c>
      <c r="B259" s="10"/>
      <c r="C259" s="11">
        <v>45412.625</v>
      </c>
      <c r="D259" s="12">
        <v>26.0</v>
      </c>
      <c r="E259" s="13">
        <v>33139.0</v>
      </c>
      <c r="F259" s="12" t="s">
        <v>31</v>
      </c>
      <c r="G259" s="29" t="s">
        <v>74</v>
      </c>
      <c r="H259" s="29" t="s">
        <v>262</v>
      </c>
      <c r="I259" s="29" t="s">
        <v>263</v>
      </c>
      <c r="J259" s="25" t="s">
        <v>35</v>
      </c>
      <c r="K259" s="29" t="s">
        <v>264</v>
      </c>
      <c r="L259" s="28" t="s">
        <v>59</v>
      </c>
      <c r="M259" s="12" t="s">
        <v>298</v>
      </c>
      <c r="N259" s="40">
        <v>5008.0</v>
      </c>
      <c r="O259" s="73">
        <f t="shared" si="9"/>
        <v>0.5990415335</v>
      </c>
      <c r="P259" s="39">
        <v>3000.0</v>
      </c>
      <c r="Q259" s="12" t="s">
        <v>39</v>
      </c>
      <c r="R259" s="12">
        <v>1315137.0</v>
      </c>
      <c r="S259" s="29" t="s">
        <v>40</v>
      </c>
      <c r="T259" s="19">
        <v>5111498.0</v>
      </c>
      <c r="U259" s="12"/>
      <c r="V259" s="12"/>
      <c r="W259" s="12"/>
      <c r="X259" s="12"/>
      <c r="Y259" s="57">
        <v>45413.333333333336</v>
      </c>
      <c r="Z259" s="57">
        <v>45415.666666666664</v>
      </c>
      <c r="AA259" s="12"/>
      <c r="AB259" s="12"/>
      <c r="AC259" s="12"/>
      <c r="AD259" s="12"/>
      <c r="AE259" s="12" t="s">
        <v>39</v>
      </c>
      <c r="AF259" s="1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</row>
    <row r="260" ht="15.75" customHeight="1">
      <c r="A260" s="9">
        <v>1.0387805E7</v>
      </c>
      <c r="B260" s="10"/>
      <c r="C260" s="11">
        <v>45412.625</v>
      </c>
      <c r="D260" s="12">
        <v>26.0</v>
      </c>
      <c r="E260" s="13">
        <v>33139.0</v>
      </c>
      <c r="F260" s="12" t="s">
        <v>31</v>
      </c>
      <c r="G260" s="29" t="s">
        <v>74</v>
      </c>
      <c r="H260" s="29" t="s">
        <v>262</v>
      </c>
      <c r="I260" s="29" t="s">
        <v>263</v>
      </c>
      <c r="J260" s="25" t="s">
        <v>35</v>
      </c>
      <c r="K260" s="29" t="s">
        <v>264</v>
      </c>
      <c r="L260" s="28" t="s">
        <v>59</v>
      </c>
      <c r="M260" s="12" t="s">
        <v>145</v>
      </c>
      <c r="N260" s="40">
        <v>5008.0</v>
      </c>
      <c r="O260" s="73">
        <f t="shared" si="9"/>
        <v>0.5990415335</v>
      </c>
      <c r="P260" s="39">
        <v>3000.0</v>
      </c>
      <c r="Q260" s="12" t="s">
        <v>39</v>
      </c>
      <c r="R260" s="12">
        <v>1315264.0</v>
      </c>
      <c r="S260" s="29" t="s">
        <v>40</v>
      </c>
      <c r="T260" s="19">
        <v>5112404.0</v>
      </c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</row>
    <row r="261" ht="15.75" customHeight="1">
      <c r="A261" s="9">
        <v>1.0387806E7</v>
      </c>
      <c r="B261" s="10"/>
      <c r="C261" s="11">
        <v>45412.541666666664</v>
      </c>
      <c r="D261" s="12">
        <v>26.0</v>
      </c>
      <c r="E261" s="13">
        <v>33139.0</v>
      </c>
      <c r="F261" s="12" t="s">
        <v>31</v>
      </c>
      <c r="G261" s="29" t="s">
        <v>74</v>
      </c>
      <c r="H261" s="12" t="s">
        <v>262</v>
      </c>
      <c r="I261" s="12" t="s">
        <v>263</v>
      </c>
      <c r="J261" s="12" t="s">
        <v>35</v>
      </c>
      <c r="K261" s="12" t="s">
        <v>264</v>
      </c>
      <c r="L261" s="28" t="s">
        <v>59</v>
      </c>
      <c r="M261" s="12" t="s">
        <v>83</v>
      </c>
      <c r="N261" s="40">
        <v>5008.0</v>
      </c>
      <c r="O261" s="73">
        <f t="shared" si="9"/>
        <v>0.5990415335</v>
      </c>
      <c r="P261" s="39">
        <v>3000.0</v>
      </c>
      <c r="Q261" s="12" t="s">
        <v>39</v>
      </c>
      <c r="R261" s="12">
        <v>1314797.0</v>
      </c>
      <c r="S261" s="29" t="s">
        <v>40</v>
      </c>
      <c r="T261" s="19">
        <v>5109290.0</v>
      </c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</row>
    <row r="262" ht="15.75" customHeight="1">
      <c r="A262" s="9">
        <v>1.0387807E7</v>
      </c>
      <c r="B262" s="10"/>
      <c r="C262" s="11">
        <v>45412.625</v>
      </c>
      <c r="D262" s="12">
        <v>26.0</v>
      </c>
      <c r="E262" s="13">
        <v>33139.0</v>
      </c>
      <c r="F262" s="12" t="s">
        <v>31</v>
      </c>
      <c r="G262" s="29" t="s">
        <v>74</v>
      </c>
      <c r="H262" s="12" t="s">
        <v>262</v>
      </c>
      <c r="I262" s="12" t="s">
        <v>263</v>
      </c>
      <c r="J262" s="12" t="s">
        <v>35</v>
      </c>
      <c r="K262" s="12" t="s">
        <v>264</v>
      </c>
      <c r="L262" s="28" t="s">
        <v>59</v>
      </c>
      <c r="M262" s="12" t="s">
        <v>169</v>
      </c>
      <c r="N262" s="40">
        <v>5008.0</v>
      </c>
      <c r="O262" s="73">
        <f t="shared" si="9"/>
        <v>0.5990415335</v>
      </c>
      <c r="P262" s="39">
        <v>3000.0</v>
      </c>
      <c r="Q262" s="12" t="s">
        <v>39</v>
      </c>
      <c r="R262" s="12">
        <v>1315286.0</v>
      </c>
      <c r="S262" s="29" t="s">
        <v>40</v>
      </c>
      <c r="T262" s="19">
        <v>5112496.0</v>
      </c>
      <c r="U262" s="12"/>
      <c r="V262" s="12"/>
      <c r="W262" s="12"/>
      <c r="X262" s="12"/>
      <c r="Y262" s="57">
        <v>45413.370833333334</v>
      </c>
      <c r="Z262" s="57">
        <v>45413.64027777778</v>
      </c>
      <c r="AA262" s="12"/>
      <c r="AB262" s="12"/>
      <c r="AC262" s="12"/>
      <c r="AD262" s="12"/>
      <c r="AE262" s="12" t="s">
        <v>39</v>
      </c>
      <c r="AF262" s="1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</row>
    <row r="263" ht="15.75" customHeight="1">
      <c r="A263" s="9">
        <v>1.0387818E7</v>
      </c>
      <c r="B263" s="10"/>
      <c r="C263" s="11">
        <v>45412.625</v>
      </c>
      <c r="D263" s="12">
        <v>26.0</v>
      </c>
      <c r="E263" s="13">
        <v>33139.0</v>
      </c>
      <c r="F263" s="12" t="s">
        <v>31</v>
      </c>
      <c r="G263" s="29" t="s">
        <v>74</v>
      </c>
      <c r="H263" s="12" t="s">
        <v>262</v>
      </c>
      <c r="I263" s="29" t="s">
        <v>263</v>
      </c>
      <c r="J263" s="12" t="s">
        <v>35</v>
      </c>
      <c r="K263" s="12" t="s">
        <v>264</v>
      </c>
      <c r="L263" s="28" t="s">
        <v>59</v>
      </c>
      <c r="M263" s="12" t="s">
        <v>299</v>
      </c>
      <c r="N263" s="40">
        <v>5008.0</v>
      </c>
      <c r="O263" s="73">
        <f t="shared" si="9"/>
        <v>0.5990415335</v>
      </c>
      <c r="P263" s="39">
        <v>3000.0</v>
      </c>
      <c r="Q263" s="12" t="s">
        <v>39</v>
      </c>
      <c r="R263" s="12">
        <v>1315758.0</v>
      </c>
      <c r="S263" s="29" t="s">
        <v>40</v>
      </c>
      <c r="T263" s="19">
        <v>5115833.0</v>
      </c>
      <c r="U263" s="12"/>
      <c r="V263" s="12"/>
      <c r="W263" s="12"/>
      <c r="X263" s="12"/>
      <c r="Y263" s="57">
        <v>45414.35486111111</v>
      </c>
      <c r="Z263" s="57">
        <v>45419.34166666667</v>
      </c>
      <c r="AA263" s="12"/>
      <c r="AB263" s="12"/>
      <c r="AC263" s="12"/>
      <c r="AD263" s="12"/>
      <c r="AE263" s="12" t="s">
        <v>39</v>
      </c>
      <c r="AF263" s="1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</row>
    <row r="264" ht="15.75" customHeight="1">
      <c r="A264" s="9">
        <v>1.0389327E7</v>
      </c>
      <c r="B264" s="10"/>
      <c r="C264" s="11">
        <v>45410.625</v>
      </c>
      <c r="D264" s="12">
        <v>26.0</v>
      </c>
      <c r="E264" s="13">
        <v>31922.0</v>
      </c>
      <c r="F264" s="12" t="s">
        <v>31</v>
      </c>
      <c r="G264" s="29" t="s">
        <v>74</v>
      </c>
      <c r="H264" s="12" t="s">
        <v>190</v>
      </c>
      <c r="I264" s="29" t="s">
        <v>191</v>
      </c>
      <c r="J264" s="12" t="s">
        <v>35</v>
      </c>
      <c r="K264" s="12" t="s">
        <v>138</v>
      </c>
      <c r="L264" s="25" t="s">
        <v>94</v>
      </c>
      <c r="M264" s="12" t="s">
        <v>128</v>
      </c>
      <c r="N264" s="40">
        <v>5174.0</v>
      </c>
      <c r="O264" s="17">
        <f t="shared" si="9"/>
        <v>0.7730962505</v>
      </c>
      <c r="P264" s="39">
        <v>4000.0</v>
      </c>
      <c r="Q264" s="12" t="s">
        <v>39</v>
      </c>
      <c r="R264" s="12">
        <v>1314299.0</v>
      </c>
      <c r="S264" s="29" t="s">
        <v>40</v>
      </c>
      <c r="T264" s="19">
        <v>5106465.0</v>
      </c>
      <c r="U264" s="12"/>
      <c r="V264" s="12"/>
      <c r="W264" s="12"/>
      <c r="X264" s="12"/>
      <c r="Y264" s="57">
        <v>45412.291666666664</v>
      </c>
      <c r="Z264" s="57">
        <v>45412.791666666664</v>
      </c>
      <c r="AA264" s="12"/>
      <c r="AB264" s="12"/>
      <c r="AC264" s="12"/>
      <c r="AD264" s="12"/>
      <c r="AE264" s="12"/>
      <c r="AF264" s="1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</row>
    <row r="265" ht="15.75" customHeight="1">
      <c r="A265" s="9">
        <v>1.0390468E7</v>
      </c>
      <c r="B265" s="10"/>
      <c r="C265" s="11">
        <v>45410.541666666664</v>
      </c>
      <c r="D265" s="12">
        <v>26.0</v>
      </c>
      <c r="E265" s="13">
        <v>31625.0</v>
      </c>
      <c r="F265" s="12" t="s">
        <v>31</v>
      </c>
      <c r="G265" s="29" t="s">
        <v>74</v>
      </c>
      <c r="H265" s="12" t="s">
        <v>300</v>
      </c>
      <c r="I265" s="29" t="s">
        <v>301</v>
      </c>
      <c r="J265" s="12" t="s">
        <v>35</v>
      </c>
      <c r="K265" s="12" t="s">
        <v>302</v>
      </c>
      <c r="L265" s="25" t="s">
        <v>59</v>
      </c>
      <c r="M265" s="12" t="s">
        <v>278</v>
      </c>
      <c r="N265" s="40">
        <v>5200.0</v>
      </c>
      <c r="O265" s="17">
        <f t="shared" si="9"/>
        <v>0.5769230769</v>
      </c>
      <c r="P265" s="39">
        <v>3000.0</v>
      </c>
      <c r="Q265" s="12" t="s">
        <v>39</v>
      </c>
      <c r="R265" s="12">
        <v>1313898.0</v>
      </c>
      <c r="S265" s="29" t="s">
        <v>40</v>
      </c>
      <c r="T265" s="19">
        <v>5105183.0</v>
      </c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</row>
    <row r="266" ht="15.75" customHeight="1">
      <c r="A266" s="9">
        <v>1.0390508E7</v>
      </c>
      <c r="B266" s="51"/>
      <c r="C266" s="11">
        <v>45408.666666666664</v>
      </c>
      <c r="D266" s="12">
        <v>26.0</v>
      </c>
      <c r="E266" s="13">
        <v>33139.0</v>
      </c>
      <c r="F266" s="12" t="s">
        <v>31</v>
      </c>
      <c r="G266" s="29" t="s">
        <v>74</v>
      </c>
      <c r="H266" s="12" t="s">
        <v>300</v>
      </c>
      <c r="I266" s="29" t="s">
        <v>301</v>
      </c>
      <c r="J266" s="12" t="s">
        <v>35</v>
      </c>
      <c r="K266" s="12" t="s">
        <v>302</v>
      </c>
      <c r="L266" s="25" t="s">
        <v>59</v>
      </c>
      <c r="M266" s="14" t="s">
        <v>49</v>
      </c>
      <c r="N266" s="40">
        <v>5600.0</v>
      </c>
      <c r="O266" s="17">
        <f t="shared" si="9"/>
        <v>0.5357142857</v>
      </c>
      <c r="P266" s="39">
        <v>3000.0</v>
      </c>
      <c r="Q266" s="12" t="s">
        <v>39</v>
      </c>
      <c r="R266" s="12">
        <v>1313248.0</v>
      </c>
      <c r="S266" s="29" t="s">
        <v>40</v>
      </c>
      <c r="T266" s="19">
        <v>5101066.0</v>
      </c>
      <c r="U266" s="12"/>
      <c r="V266" s="12"/>
      <c r="W266" s="12"/>
      <c r="X266" s="12"/>
      <c r="Y266" s="57">
        <v>45411.25</v>
      </c>
      <c r="Z266" s="57">
        <v>45412.86875</v>
      </c>
      <c r="AA266" s="12"/>
      <c r="AB266" s="12"/>
      <c r="AC266" s="12"/>
      <c r="AD266" s="12"/>
      <c r="AE266" s="12"/>
      <c r="AF266" s="1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</row>
    <row r="267" ht="15.75" customHeight="1">
      <c r="A267" s="9">
        <v>1.0390509E7</v>
      </c>
      <c r="B267" s="10"/>
      <c r="C267" s="11">
        <v>45408.875</v>
      </c>
      <c r="D267" s="12">
        <v>26.0</v>
      </c>
      <c r="E267" s="13">
        <v>32288.0</v>
      </c>
      <c r="F267" s="12" t="s">
        <v>31</v>
      </c>
      <c r="G267" s="29" t="s">
        <v>74</v>
      </c>
      <c r="H267" s="29" t="s">
        <v>300</v>
      </c>
      <c r="I267" s="29" t="s">
        <v>301</v>
      </c>
      <c r="J267" s="25" t="s">
        <v>35</v>
      </c>
      <c r="K267" s="29" t="s">
        <v>302</v>
      </c>
      <c r="L267" s="25" t="s">
        <v>59</v>
      </c>
      <c r="M267" s="14" t="s">
        <v>69</v>
      </c>
      <c r="N267" s="40">
        <v>5600.0</v>
      </c>
      <c r="O267" s="17">
        <f t="shared" si="9"/>
        <v>0.5357142857</v>
      </c>
      <c r="P267" s="39">
        <v>3000.0</v>
      </c>
      <c r="Q267" s="12" t="s">
        <v>39</v>
      </c>
      <c r="R267" s="12">
        <v>1313287.0</v>
      </c>
      <c r="S267" s="29" t="s">
        <v>40</v>
      </c>
      <c r="T267" s="19">
        <v>5101299.0</v>
      </c>
      <c r="U267" s="12"/>
      <c r="V267" s="12"/>
      <c r="W267" s="12"/>
      <c r="X267" s="12"/>
      <c r="Y267" s="57">
        <v>45414.625</v>
      </c>
      <c r="Z267" s="57">
        <v>45414.791666666664</v>
      </c>
      <c r="AA267" s="12"/>
      <c r="AB267" s="12"/>
      <c r="AC267" s="12"/>
      <c r="AD267" s="12"/>
      <c r="AE267" s="12" t="s">
        <v>39</v>
      </c>
      <c r="AF267" s="1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</row>
    <row r="268" ht="15.75" customHeight="1">
      <c r="A268" s="9">
        <v>1.039051E7</v>
      </c>
      <c r="B268" s="51"/>
      <c r="C268" s="11">
        <v>45408.666666666664</v>
      </c>
      <c r="D268" s="12">
        <v>26.0</v>
      </c>
      <c r="E268" s="13">
        <v>33139.0</v>
      </c>
      <c r="F268" s="12" t="s">
        <v>31</v>
      </c>
      <c r="G268" s="29" t="s">
        <v>74</v>
      </c>
      <c r="H268" s="29" t="s">
        <v>300</v>
      </c>
      <c r="I268" s="29" t="s">
        <v>301</v>
      </c>
      <c r="J268" s="25" t="s">
        <v>35</v>
      </c>
      <c r="K268" s="29" t="s">
        <v>302</v>
      </c>
      <c r="L268" s="25" t="s">
        <v>59</v>
      </c>
      <c r="M268" s="14" t="s">
        <v>303</v>
      </c>
      <c r="N268" s="40">
        <v>5600.0</v>
      </c>
      <c r="O268" s="17">
        <f t="shared" si="9"/>
        <v>0.5357142857</v>
      </c>
      <c r="P268" s="39">
        <v>3000.0</v>
      </c>
      <c r="Q268" s="12" t="s">
        <v>39</v>
      </c>
      <c r="R268" s="12">
        <v>1313251.0</v>
      </c>
      <c r="S268" s="29" t="s">
        <v>40</v>
      </c>
      <c r="T268" s="19">
        <v>5101081.0</v>
      </c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</row>
    <row r="269" ht="15.75" customHeight="1">
      <c r="A269" s="9">
        <v>1.0390693E7</v>
      </c>
      <c r="B269" s="10"/>
      <c r="C269" s="11">
        <v>45408.625</v>
      </c>
      <c r="D269" s="12">
        <v>20.0</v>
      </c>
      <c r="E269" s="13">
        <v>25716.0</v>
      </c>
      <c r="F269" s="12" t="s">
        <v>31</v>
      </c>
      <c r="G269" s="29" t="s">
        <v>74</v>
      </c>
      <c r="H269" s="12" t="s">
        <v>304</v>
      </c>
      <c r="I269" s="12" t="s">
        <v>305</v>
      </c>
      <c r="J269" s="12" t="s">
        <v>35</v>
      </c>
      <c r="K269" s="12" t="s">
        <v>306</v>
      </c>
      <c r="L269" s="25" t="s">
        <v>94</v>
      </c>
      <c r="M269" s="14" t="s">
        <v>296</v>
      </c>
      <c r="N269" s="40">
        <v>6500.0</v>
      </c>
      <c r="O269" s="17">
        <f t="shared" si="9"/>
        <v>0.6538461538</v>
      </c>
      <c r="P269" s="39">
        <v>4250.0</v>
      </c>
      <c r="Q269" s="12" t="s">
        <v>39</v>
      </c>
      <c r="R269" s="12">
        <v>1313282.0</v>
      </c>
      <c r="S269" s="29" t="s">
        <v>40</v>
      </c>
      <c r="T269" s="19">
        <v>5101250.0</v>
      </c>
      <c r="U269" s="12"/>
      <c r="V269" s="12"/>
      <c r="W269" s="12"/>
      <c r="X269" s="12"/>
      <c r="Y269" s="57">
        <v>45411.5</v>
      </c>
      <c r="Z269" s="57">
        <v>45411.791666666664</v>
      </c>
      <c r="AA269" s="12"/>
      <c r="AB269" s="12"/>
      <c r="AC269" s="12"/>
      <c r="AD269" s="12"/>
      <c r="AE269" s="12" t="s">
        <v>39</v>
      </c>
      <c r="AF269" s="1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</row>
    <row r="270" ht="15.75" customHeight="1">
      <c r="A270" s="9">
        <v>1.0390694E7</v>
      </c>
      <c r="B270" s="10"/>
      <c r="C270" s="11">
        <v>45408.833333333336</v>
      </c>
      <c r="D270" s="12">
        <v>21.0</v>
      </c>
      <c r="E270" s="13">
        <v>23850.0</v>
      </c>
      <c r="F270" s="12" t="s">
        <v>31</v>
      </c>
      <c r="G270" s="29" t="s">
        <v>74</v>
      </c>
      <c r="H270" s="12" t="s">
        <v>304</v>
      </c>
      <c r="I270" s="12" t="s">
        <v>305</v>
      </c>
      <c r="J270" s="12" t="s">
        <v>35</v>
      </c>
      <c r="K270" s="12" t="s">
        <v>306</v>
      </c>
      <c r="L270" s="25" t="s">
        <v>94</v>
      </c>
      <c r="M270" s="14" t="s">
        <v>307</v>
      </c>
      <c r="N270" s="40">
        <v>6500.0</v>
      </c>
      <c r="O270" s="17">
        <f t="shared" si="9"/>
        <v>0.6538461538</v>
      </c>
      <c r="P270" s="39">
        <v>4250.0</v>
      </c>
      <c r="Q270" s="12" t="s">
        <v>39</v>
      </c>
      <c r="R270" s="12">
        <v>1313409.0</v>
      </c>
      <c r="S270" s="29" t="s">
        <v>40</v>
      </c>
      <c r="T270" s="19">
        <v>5102551.0</v>
      </c>
      <c r="U270" s="12"/>
      <c r="V270" s="12"/>
      <c r="W270" s="12"/>
      <c r="X270" s="12"/>
      <c r="Y270" s="57">
        <v>45411.36597222222</v>
      </c>
      <c r="Z270" s="57">
        <v>45411.45763888889</v>
      </c>
      <c r="AA270" s="12"/>
      <c r="AB270" s="12"/>
      <c r="AC270" s="12"/>
      <c r="AD270" s="12"/>
      <c r="AE270" s="12" t="s">
        <v>39</v>
      </c>
      <c r="AF270" s="1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</row>
    <row r="271" ht="15.75" customHeight="1">
      <c r="A271" s="9">
        <v>1.0392238E7</v>
      </c>
      <c r="B271" s="10"/>
      <c r="C271" s="11">
        <v>45408.75</v>
      </c>
      <c r="D271" s="12">
        <v>26.0</v>
      </c>
      <c r="E271" s="13">
        <v>31625.0</v>
      </c>
      <c r="F271" s="12" t="s">
        <v>31</v>
      </c>
      <c r="G271" s="29" t="s">
        <v>74</v>
      </c>
      <c r="H271" s="12" t="s">
        <v>308</v>
      </c>
      <c r="I271" s="29" t="s">
        <v>309</v>
      </c>
      <c r="J271" s="12" t="s">
        <v>35</v>
      </c>
      <c r="K271" s="12" t="s">
        <v>310</v>
      </c>
      <c r="L271" s="25" t="s">
        <v>94</v>
      </c>
      <c r="M271" s="14" t="s">
        <v>282</v>
      </c>
      <c r="N271" s="40">
        <v>7000.0</v>
      </c>
      <c r="O271" s="17">
        <f t="shared" si="9"/>
        <v>0.6428571429</v>
      </c>
      <c r="P271" s="39">
        <v>4500.0</v>
      </c>
      <c r="Q271" s="12" t="s">
        <v>39</v>
      </c>
      <c r="R271" s="12">
        <v>1313360.0</v>
      </c>
      <c r="S271" s="29" t="s">
        <v>40</v>
      </c>
      <c r="T271" s="19">
        <v>5101943.0</v>
      </c>
      <c r="U271" s="12"/>
      <c r="V271" s="12"/>
      <c r="W271" s="12"/>
      <c r="X271" s="12"/>
      <c r="Y271" s="57">
        <v>45412.441666666666</v>
      </c>
      <c r="Z271" s="57">
        <v>45412.694444444445</v>
      </c>
      <c r="AA271" s="12"/>
      <c r="AB271" s="12"/>
      <c r="AC271" s="12"/>
      <c r="AD271" s="12"/>
      <c r="AE271" s="12" t="s">
        <v>39</v>
      </c>
      <c r="AF271" s="1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</row>
    <row r="272" ht="15.75" customHeight="1">
      <c r="A272" s="9">
        <v>1.0392239E7</v>
      </c>
      <c r="B272" s="10"/>
      <c r="C272" s="11">
        <v>45408.75</v>
      </c>
      <c r="D272" s="12">
        <v>26.0</v>
      </c>
      <c r="E272" s="13">
        <v>31922.0</v>
      </c>
      <c r="F272" s="12" t="s">
        <v>31</v>
      </c>
      <c r="G272" s="29" t="s">
        <v>74</v>
      </c>
      <c r="H272" s="12" t="s">
        <v>308</v>
      </c>
      <c r="I272" s="29" t="s">
        <v>309</v>
      </c>
      <c r="J272" s="12" t="s">
        <v>35</v>
      </c>
      <c r="K272" s="12" t="s">
        <v>310</v>
      </c>
      <c r="L272" s="25" t="s">
        <v>94</v>
      </c>
      <c r="M272" s="14" t="s">
        <v>279</v>
      </c>
      <c r="N272" s="40">
        <v>7000.0</v>
      </c>
      <c r="O272" s="17">
        <f t="shared" si="9"/>
        <v>0.6428571429</v>
      </c>
      <c r="P272" s="39">
        <v>4500.0</v>
      </c>
      <c r="Q272" s="12" t="s">
        <v>39</v>
      </c>
      <c r="R272" s="12">
        <v>1313362.0</v>
      </c>
      <c r="S272" s="29" t="s">
        <v>40</v>
      </c>
      <c r="T272" s="19">
        <v>5101946.0</v>
      </c>
      <c r="U272" s="12"/>
      <c r="V272" s="12"/>
      <c r="W272" s="12"/>
      <c r="X272" s="12"/>
      <c r="Y272" s="57">
        <v>45411.98819444444</v>
      </c>
      <c r="Z272" s="57">
        <v>45412.40347222222</v>
      </c>
      <c r="AA272" s="12"/>
      <c r="AB272" s="12"/>
      <c r="AC272" s="12"/>
      <c r="AD272" s="12"/>
      <c r="AE272" s="12" t="s">
        <v>39</v>
      </c>
      <c r="AF272" s="1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</row>
    <row r="273" ht="15.75" customHeight="1">
      <c r="A273" s="9">
        <v>1.039346E7</v>
      </c>
      <c r="B273" s="10"/>
      <c r="C273" s="11">
        <v>45423.875</v>
      </c>
      <c r="D273" s="12">
        <v>19.0</v>
      </c>
      <c r="E273" s="13">
        <v>23908.0</v>
      </c>
      <c r="F273" s="12" t="s">
        <v>31</v>
      </c>
      <c r="G273" s="29" t="s">
        <v>74</v>
      </c>
      <c r="H273" s="12" t="s">
        <v>300</v>
      </c>
      <c r="I273" s="29" t="s">
        <v>301</v>
      </c>
      <c r="J273" s="12" t="s">
        <v>35</v>
      </c>
      <c r="K273" s="12" t="s">
        <v>302</v>
      </c>
      <c r="L273" s="25" t="s">
        <v>59</v>
      </c>
      <c r="M273" s="12" t="s">
        <v>145</v>
      </c>
      <c r="N273" s="40">
        <v>4000.0</v>
      </c>
      <c r="O273" s="17">
        <f t="shared" si="9"/>
        <v>0.75</v>
      </c>
      <c r="P273" s="39">
        <v>3000.0</v>
      </c>
      <c r="Q273" s="12" t="s">
        <v>39</v>
      </c>
      <c r="R273" s="12">
        <v>1320384.0</v>
      </c>
      <c r="S273" s="29" t="s">
        <v>40</v>
      </c>
      <c r="T273" s="19">
        <v>5142968.0</v>
      </c>
      <c r="U273" s="12"/>
      <c r="V273" s="12"/>
      <c r="W273" s="12"/>
      <c r="X273" s="12"/>
      <c r="Y273" s="57">
        <v>45424.53472222222</v>
      </c>
      <c r="Z273" s="57">
        <v>45425.39722222222</v>
      </c>
      <c r="AA273" s="12"/>
      <c r="AB273" s="12"/>
      <c r="AC273" s="12"/>
      <c r="AD273" s="12"/>
      <c r="AE273" s="12" t="s">
        <v>39</v>
      </c>
      <c r="AF273" s="1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</row>
    <row r="274" ht="15.75" customHeight="1">
      <c r="A274" s="9">
        <v>1.0393487E7</v>
      </c>
      <c r="B274" s="10"/>
      <c r="C274" s="11">
        <v>45412.875</v>
      </c>
      <c r="D274" s="12">
        <v>26.0</v>
      </c>
      <c r="E274" s="13">
        <v>31625.0</v>
      </c>
      <c r="F274" s="12" t="s">
        <v>31</v>
      </c>
      <c r="G274" s="29" t="s">
        <v>74</v>
      </c>
      <c r="H274" s="12" t="s">
        <v>300</v>
      </c>
      <c r="I274" s="29" t="s">
        <v>301</v>
      </c>
      <c r="J274" s="12" t="s">
        <v>35</v>
      </c>
      <c r="K274" s="12" t="s">
        <v>302</v>
      </c>
      <c r="L274" s="25" t="s">
        <v>59</v>
      </c>
      <c r="M274" s="12" t="s">
        <v>311</v>
      </c>
      <c r="N274" s="40">
        <v>5200.0</v>
      </c>
      <c r="O274" s="17">
        <f t="shared" si="9"/>
        <v>0.5769230769</v>
      </c>
      <c r="P274" s="39">
        <v>3000.0</v>
      </c>
      <c r="Q274" s="12" t="s">
        <v>39</v>
      </c>
      <c r="R274" s="12">
        <v>1315572.0</v>
      </c>
      <c r="S274" s="29" t="s">
        <v>40</v>
      </c>
      <c r="T274" s="19">
        <v>5114807.0</v>
      </c>
      <c r="U274" s="12"/>
      <c r="V274" s="12"/>
      <c r="W274" s="12"/>
      <c r="X274" s="12"/>
      <c r="Y274" s="57">
        <v>45415.291666666664</v>
      </c>
      <c r="Z274" s="57">
        <v>45423.625</v>
      </c>
      <c r="AA274" s="12"/>
      <c r="AB274" s="12"/>
      <c r="AC274" s="12"/>
      <c r="AD274" s="12"/>
      <c r="AE274" s="12" t="s">
        <v>39</v>
      </c>
      <c r="AF274" s="1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</row>
    <row r="275" ht="15.75" customHeight="1">
      <c r="A275" s="9">
        <v>1.0398096E7</v>
      </c>
      <c r="B275" s="10"/>
      <c r="C275" s="11">
        <v>45416.666666666664</v>
      </c>
      <c r="D275" s="12">
        <v>26.0</v>
      </c>
      <c r="E275" s="13">
        <v>32422.0</v>
      </c>
      <c r="F275" s="12" t="s">
        <v>31</v>
      </c>
      <c r="G275" s="29" t="s">
        <v>44</v>
      </c>
      <c r="H275" s="12" t="s">
        <v>268</v>
      </c>
      <c r="I275" s="29" t="s">
        <v>269</v>
      </c>
      <c r="J275" s="12" t="s">
        <v>35</v>
      </c>
      <c r="K275" s="12" t="s">
        <v>270</v>
      </c>
      <c r="L275" s="28" t="s">
        <v>94</v>
      </c>
      <c r="M275" s="12"/>
      <c r="N275" s="40">
        <v>6677.0</v>
      </c>
      <c r="O275" s="17">
        <f t="shared" si="9"/>
        <v>0.6365134042</v>
      </c>
      <c r="P275" s="39">
        <v>4250.0</v>
      </c>
      <c r="Q275" s="12"/>
      <c r="R275" s="12"/>
      <c r="S275" s="29" t="s">
        <v>131</v>
      </c>
      <c r="T275" s="12"/>
      <c r="U275" s="12"/>
      <c r="V275" s="12"/>
      <c r="W275" s="12"/>
      <c r="X275" s="12"/>
      <c r="Y275" s="57"/>
      <c r="Z275" s="57"/>
      <c r="AA275" s="12"/>
      <c r="AB275" s="12"/>
      <c r="AC275" s="12"/>
      <c r="AD275" s="12"/>
      <c r="AE275" s="12"/>
      <c r="AF275" s="1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</row>
    <row r="276" ht="15.75" customHeight="1">
      <c r="A276" s="9">
        <v>1.0398139E7</v>
      </c>
      <c r="B276" s="10"/>
      <c r="C276" s="11">
        <v>45414.875</v>
      </c>
      <c r="D276" s="12">
        <v>26.0</v>
      </c>
      <c r="E276" s="13">
        <v>31842.0</v>
      </c>
      <c r="F276" s="12" t="s">
        <v>31</v>
      </c>
      <c r="G276" s="29" t="s">
        <v>44</v>
      </c>
      <c r="H276" s="12" t="s">
        <v>136</v>
      </c>
      <c r="I276" s="39" t="s">
        <v>137</v>
      </c>
      <c r="J276" s="12" t="s">
        <v>35</v>
      </c>
      <c r="K276" s="12" t="s">
        <v>138</v>
      </c>
      <c r="L276" s="25" t="s">
        <v>94</v>
      </c>
      <c r="M276" s="12" t="s">
        <v>298</v>
      </c>
      <c r="N276" s="40">
        <v>5174.0</v>
      </c>
      <c r="O276" s="17">
        <f t="shared" si="9"/>
        <v>0.7730962505</v>
      </c>
      <c r="P276" s="39">
        <v>4000.0</v>
      </c>
      <c r="Q276" s="12" t="s">
        <v>39</v>
      </c>
      <c r="R276" s="12">
        <v>1316388.0</v>
      </c>
      <c r="S276" s="29" t="s">
        <v>40</v>
      </c>
      <c r="T276" s="19">
        <v>5119144.0</v>
      </c>
      <c r="U276" s="10"/>
      <c r="V276" s="10"/>
      <c r="W276" s="76"/>
      <c r="X276" s="76"/>
      <c r="Y276" s="57">
        <v>45417.17638888889</v>
      </c>
      <c r="Z276" s="57">
        <v>45419.01388888889</v>
      </c>
      <c r="AA276" s="76"/>
      <c r="AB276" s="76"/>
      <c r="AC276" s="76"/>
      <c r="AD276" s="76"/>
      <c r="AE276" s="76" t="s">
        <v>39</v>
      </c>
      <c r="AF276" s="76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</row>
    <row r="277" ht="15.75" customHeight="1">
      <c r="A277" s="9">
        <v>1.0398307E7</v>
      </c>
      <c r="B277" s="10"/>
      <c r="C277" s="11">
        <v>45414.75</v>
      </c>
      <c r="D277" s="12">
        <v>26.0</v>
      </c>
      <c r="E277" s="13">
        <v>31625.0</v>
      </c>
      <c r="F277" s="12" t="s">
        <v>31</v>
      </c>
      <c r="G277" s="29" t="s">
        <v>44</v>
      </c>
      <c r="H277" s="12" t="s">
        <v>268</v>
      </c>
      <c r="I277" s="29" t="s">
        <v>269</v>
      </c>
      <c r="J277" s="12" t="s">
        <v>35</v>
      </c>
      <c r="K277" s="12" t="s">
        <v>270</v>
      </c>
      <c r="L277" s="28" t="s">
        <v>94</v>
      </c>
      <c r="M277" s="12" t="s">
        <v>312</v>
      </c>
      <c r="N277" s="40">
        <v>6200.0</v>
      </c>
      <c r="O277" s="17">
        <f t="shared" si="9"/>
        <v>0.685483871</v>
      </c>
      <c r="P277" s="39">
        <v>4250.0</v>
      </c>
      <c r="Q277" s="12" t="s">
        <v>39</v>
      </c>
      <c r="R277" s="12">
        <v>1316386.0</v>
      </c>
      <c r="S277" s="29" t="s">
        <v>40</v>
      </c>
      <c r="T277" s="19">
        <v>5119120.0</v>
      </c>
      <c r="U277" s="12"/>
      <c r="V277" s="12"/>
      <c r="W277" s="12"/>
      <c r="X277" s="12"/>
      <c r="Y277" s="57">
        <v>45415.93541666667</v>
      </c>
      <c r="Z277" s="57">
        <v>45416.0125</v>
      </c>
      <c r="AA277" s="12"/>
      <c r="AB277" s="12"/>
      <c r="AC277" s="12"/>
      <c r="AD277" s="12"/>
      <c r="AE277" s="12" t="s">
        <v>39</v>
      </c>
      <c r="AF277" s="1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</row>
    <row r="278" ht="15.75" customHeight="1">
      <c r="A278" s="9">
        <v>1.0401502E7</v>
      </c>
      <c r="B278" s="10"/>
      <c r="C278" s="11">
        <v>45416.375</v>
      </c>
      <c r="D278" s="12">
        <v>26.0</v>
      </c>
      <c r="E278" s="13">
        <v>31625.0</v>
      </c>
      <c r="F278" s="12" t="s">
        <v>31</v>
      </c>
      <c r="G278" s="29" t="s">
        <v>74</v>
      </c>
      <c r="H278" s="12" t="s">
        <v>304</v>
      </c>
      <c r="I278" s="29" t="s">
        <v>305</v>
      </c>
      <c r="J278" s="12" t="s">
        <v>35</v>
      </c>
      <c r="K278" s="12" t="s">
        <v>306</v>
      </c>
      <c r="L278" s="25" t="s">
        <v>94</v>
      </c>
      <c r="M278" s="12" t="s">
        <v>307</v>
      </c>
      <c r="N278" s="40">
        <v>6500.0</v>
      </c>
      <c r="O278" s="17">
        <f t="shared" si="9"/>
        <v>0.6538461538</v>
      </c>
      <c r="P278" s="39">
        <v>4250.0</v>
      </c>
      <c r="Q278" s="12" t="s">
        <v>39</v>
      </c>
      <c r="R278" s="12">
        <v>1317181.0</v>
      </c>
      <c r="S278" s="29" t="s">
        <v>40</v>
      </c>
      <c r="T278" s="19">
        <v>5.1124427E7</v>
      </c>
      <c r="U278" s="12"/>
      <c r="V278" s="12"/>
      <c r="W278" s="12"/>
      <c r="X278" s="12"/>
      <c r="Y278" s="57">
        <v>45418.08611111111</v>
      </c>
      <c r="Z278" s="57">
        <v>45418.13125</v>
      </c>
      <c r="AA278" s="12"/>
      <c r="AB278" s="12"/>
      <c r="AC278" s="12"/>
      <c r="AD278" s="12"/>
      <c r="AE278" s="12" t="s">
        <v>39</v>
      </c>
      <c r="AF278" s="1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</row>
    <row r="279" ht="15.75" customHeight="1">
      <c r="A279" s="9">
        <v>1.0401503E7</v>
      </c>
      <c r="B279" s="10"/>
      <c r="C279" s="11">
        <v>45416.375</v>
      </c>
      <c r="D279" s="12">
        <v>21.0</v>
      </c>
      <c r="E279" s="13">
        <v>25543.0</v>
      </c>
      <c r="F279" s="12" t="s">
        <v>31</v>
      </c>
      <c r="G279" s="29" t="s">
        <v>74</v>
      </c>
      <c r="H279" s="12" t="s">
        <v>304</v>
      </c>
      <c r="I279" s="29" t="s">
        <v>305</v>
      </c>
      <c r="J279" s="12" t="s">
        <v>35</v>
      </c>
      <c r="K279" s="12" t="s">
        <v>306</v>
      </c>
      <c r="L279" s="25" t="s">
        <v>94</v>
      </c>
      <c r="M279" s="14" t="s">
        <v>282</v>
      </c>
      <c r="N279" s="40">
        <v>6500.0</v>
      </c>
      <c r="O279" s="17">
        <f t="shared" si="9"/>
        <v>0.6538461538</v>
      </c>
      <c r="P279" s="39">
        <v>4250.0</v>
      </c>
      <c r="Q279" s="12" t="s">
        <v>39</v>
      </c>
      <c r="R279" s="12">
        <v>1317180.0</v>
      </c>
      <c r="S279" s="29" t="s">
        <v>40</v>
      </c>
      <c r="T279" s="19">
        <v>5.1124423E7</v>
      </c>
      <c r="U279" s="12"/>
      <c r="V279" s="12"/>
      <c r="W279" s="12"/>
      <c r="X279" s="12"/>
      <c r="Y279" s="57">
        <v>45418.09027777778</v>
      </c>
      <c r="Z279" s="57">
        <v>45418.13263888889</v>
      </c>
      <c r="AA279" s="12"/>
      <c r="AB279" s="12"/>
      <c r="AC279" s="12"/>
      <c r="AD279" s="12"/>
      <c r="AE279" s="12" t="s">
        <v>39</v>
      </c>
      <c r="AF279" s="1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</row>
    <row r="280" ht="15.75" customHeight="1">
      <c r="A280" s="9">
        <v>1.0406528E7</v>
      </c>
      <c r="B280" s="10"/>
      <c r="C280" s="11">
        <v>45421.875</v>
      </c>
      <c r="D280" s="12">
        <v>26.0</v>
      </c>
      <c r="E280" s="13">
        <v>31636.0</v>
      </c>
      <c r="F280" s="12" t="s">
        <v>31</v>
      </c>
      <c r="G280" s="29" t="s">
        <v>44</v>
      </c>
      <c r="H280" s="12" t="s">
        <v>268</v>
      </c>
      <c r="I280" s="29" t="s">
        <v>269</v>
      </c>
      <c r="J280" s="12" t="s">
        <v>35</v>
      </c>
      <c r="K280" s="12" t="s">
        <v>270</v>
      </c>
      <c r="L280" s="28" t="s">
        <v>94</v>
      </c>
      <c r="M280" s="12"/>
      <c r="N280" s="40">
        <v>6200.0</v>
      </c>
      <c r="O280" s="17">
        <f t="shared" si="9"/>
        <v>0.685483871</v>
      </c>
      <c r="P280" s="39">
        <v>4250.0</v>
      </c>
      <c r="Q280" s="12"/>
      <c r="R280" s="12"/>
      <c r="S280" s="29" t="s">
        <v>131</v>
      </c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</row>
    <row r="281" ht="15.75" customHeight="1">
      <c r="A281" s="9">
        <v>1.040658E7</v>
      </c>
      <c r="B281" s="10"/>
      <c r="C281" s="11">
        <v>45418.708333333336</v>
      </c>
      <c r="D281" s="12">
        <v>26.0</v>
      </c>
      <c r="E281" s="13">
        <v>31697.0</v>
      </c>
      <c r="F281" s="12" t="s">
        <v>31</v>
      </c>
      <c r="G281" s="29" t="s">
        <v>32</v>
      </c>
      <c r="H281" s="12" t="s">
        <v>265</v>
      </c>
      <c r="I281" s="39" t="s">
        <v>266</v>
      </c>
      <c r="J281" s="12" t="s">
        <v>35</v>
      </c>
      <c r="K281" s="12" t="s">
        <v>267</v>
      </c>
      <c r="L281" s="28" t="s">
        <v>94</v>
      </c>
      <c r="M281" s="12"/>
      <c r="N281" s="40">
        <v>6200.0</v>
      </c>
      <c r="O281" s="17">
        <f t="shared" si="9"/>
        <v>0.685483871</v>
      </c>
      <c r="P281" s="39">
        <v>4250.0</v>
      </c>
      <c r="Q281" s="12"/>
      <c r="R281" s="12"/>
      <c r="S281" s="29" t="s">
        <v>131</v>
      </c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</row>
    <row r="282" ht="15.75" customHeight="1">
      <c r="A282" s="9">
        <v>1.0406581E7</v>
      </c>
      <c r="B282" s="10"/>
      <c r="C282" s="11">
        <v>45419.75</v>
      </c>
      <c r="D282" s="12">
        <v>26.0</v>
      </c>
      <c r="E282" s="13">
        <v>31625.0</v>
      </c>
      <c r="F282" s="12" t="s">
        <v>31</v>
      </c>
      <c r="G282" s="29" t="s">
        <v>32</v>
      </c>
      <c r="H282" s="12" t="s">
        <v>265</v>
      </c>
      <c r="I282" s="15" t="s">
        <v>266</v>
      </c>
      <c r="J282" s="12" t="s">
        <v>35</v>
      </c>
      <c r="K282" s="12" t="s">
        <v>267</v>
      </c>
      <c r="L282" s="28" t="s">
        <v>94</v>
      </c>
      <c r="M282" s="12" t="s">
        <v>184</v>
      </c>
      <c r="N282" s="40">
        <v>6200.0</v>
      </c>
      <c r="O282" s="17">
        <f t="shared" si="9"/>
        <v>0.685483871</v>
      </c>
      <c r="P282" s="39">
        <v>4250.0</v>
      </c>
      <c r="Q282" s="12" t="s">
        <v>39</v>
      </c>
      <c r="R282" s="12">
        <v>1317917.0</v>
      </c>
      <c r="S282" s="29" t="s">
        <v>40</v>
      </c>
      <c r="T282" s="19">
        <v>5127653.0</v>
      </c>
      <c r="U282" s="12"/>
      <c r="V282" s="12"/>
      <c r="W282" s="12"/>
      <c r="X282" s="12"/>
      <c r="Y282" s="57">
        <v>45421.35208333333</v>
      </c>
      <c r="Z282" s="57">
        <v>45421.600694444445</v>
      </c>
      <c r="AA282" s="12"/>
      <c r="AB282" s="12"/>
      <c r="AC282" s="12"/>
      <c r="AD282" s="12"/>
      <c r="AE282" s="12" t="s">
        <v>39</v>
      </c>
      <c r="AF282" s="1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</row>
    <row r="283" ht="15.75" customHeight="1">
      <c r="A283" s="9">
        <v>1.0406863E7</v>
      </c>
      <c r="B283" s="10"/>
      <c r="C283" s="11">
        <v>45418.708333333336</v>
      </c>
      <c r="D283" s="12">
        <v>26.0</v>
      </c>
      <c r="E283" s="13">
        <v>31299.0</v>
      </c>
      <c r="F283" s="12" t="s">
        <v>31</v>
      </c>
      <c r="G283" s="29" t="s">
        <v>44</v>
      </c>
      <c r="H283" s="12" t="s">
        <v>268</v>
      </c>
      <c r="I283" s="12" t="s">
        <v>269</v>
      </c>
      <c r="J283" s="12" t="s">
        <v>35</v>
      </c>
      <c r="K283" s="12" t="s">
        <v>270</v>
      </c>
      <c r="L283" s="28" t="s">
        <v>94</v>
      </c>
      <c r="M283" s="12"/>
      <c r="N283" s="40">
        <v>6200.0</v>
      </c>
      <c r="O283" s="17">
        <f t="shared" si="9"/>
        <v>0.685483871</v>
      </c>
      <c r="P283" s="39">
        <v>4250.0</v>
      </c>
      <c r="Q283" s="12"/>
      <c r="R283" s="12"/>
      <c r="S283" s="29" t="s">
        <v>131</v>
      </c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</row>
    <row r="284" ht="15.75" customHeight="1">
      <c r="A284" s="9">
        <v>1.0406864E7</v>
      </c>
      <c r="B284" s="10"/>
      <c r="C284" s="11">
        <v>45419.708333333336</v>
      </c>
      <c r="D284" s="12">
        <v>26.0</v>
      </c>
      <c r="E284" s="13">
        <v>31922.0</v>
      </c>
      <c r="F284" s="12" t="s">
        <v>31</v>
      </c>
      <c r="G284" s="29" t="s">
        <v>44</v>
      </c>
      <c r="H284" s="29" t="s">
        <v>268</v>
      </c>
      <c r="I284" s="29" t="s">
        <v>269</v>
      </c>
      <c r="J284" s="25" t="s">
        <v>35</v>
      </c>
      <c r="K284" s="29" t="s">
        <v>270</v>
      </c>
      <c r="L284" s="28" t="s">
        <v>94</v>
      </c>
      <c r="M284" s="12"/>
      <c r="N284" s="40">
        <v>6200.0</v>
      </c>
      <c r="O284" s="17">
        <f t="shared" si="9"/>
        <v>0.685483871</v>
      </c>
      <c r="P284" s="39">
        <v>4250.0</v>
      </c>
      <c r="Q284" s="12"/>
      <c r="R284" s="12"/>
      <c r="S284" s="29" t="s">
        <v>131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</row>
    <row r="285" ht="15.75" customHeight="1">
      <c r="A285" s="9">
        <v>1.0406865E7</v>
      </c>
      <c r="B285" s="10"/>
      <c r="C285" s="11">
        <v>45419.708333333336</v>
      </c>
      <c r="D285" s="12">
        <v>26.0</v>
      </c>
      <c r="E285" s="13">
        <v>31922.0</v>
      </c>
      <c r="F285" s="12" t="s">
        <v>31</v>
      </c>
      <c r="G285" s="29" t="s">
        <v>44</v>
      </c>
      <c r="H285" s="29" t="s">
        <v>268</v>
      </c>
      <c r="I285" s="29" t="s">
        <v>269</v>
      </c>
      <c r="J285" s="25" t="s">
        <v>35</v>
      </c>
      <c r="K285" s="29" t="s">
        <v>270</v>
      </c>
      <c r="L285" s="28" t="s">
        <v>94</v>
      </c>
      <c r="M285" s="12"/>
      <c r="N285" s="40">
        <v>6200.0</v>
      </c>
      <c r="O285" s="17">
        <f t="shared" si="9"/>
        <v>0.685483871</v>
      </c>
      <c r="P285" s="39">
        <v>4250.0</v>
      </c>
      <c r="Q285" s="12"/>
      <c r="R285" s="12"/>
      <c r="S285" s="29" t="s">
        <v>131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</row>
    <row r="286" ht="15.75" customHeight="1">
      <c r="A286" s="9">
        <v>1.0406929E7</v>
      </c>
      <c r="B286" s="10"/>
      <c r="C286" s="11">
        <v>45420.875</v>
      </c>
      <c r="D286" s="12">
        <v>26.0</v>
      </c>
      <c r="E286" s="13">
        <v>31922.0</v>
      </c>
      <c r="F286" s="12" t="s">
        <v>31</v>
      </c>
      <c r="G286" s="29" t="s">
        <v>44</v>
      </c>
      <c r="H286" s="12" t="s">
        <v>268</v>
      </c>
      <c r="I286" s="12" t="s">
        <v>269</v>
      </c>
      <c r="J286" s="12" t="s">
        <v>35</v>
      </c>
      <c r="K286" s="12" t="s">
        <v>270</v>
      </c>
      <c r="L286" s="28" t="s">
        <v>94</v>
      </c>
      <c r="M286" s="12"/>
      <c r="N286" s="40">
        <v>6200.0</v>
      </c>
      <c r="O286" s="17">
        <f t="shared" si="9"/>
        <v>0.685483871</v>
      </c>
      <c r="P286" s="39">
        <v>4250.0</v>
      </c>
      <c r="Q286" s="12"/>
      <c r="R286" s="12"/>
      <c r="S286" s="29" t="s">
        <v>131</v>
      </c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</row>
    <row r="287" ht="15.75" customHeight="1">
      <c r="A287" s="9">
        <v>1.041189E7</v>
      </c>
      <c r="B287" s="10"/>
      <c r="C287" s="11">
        <v>45420.833333333336</v>
      </c>
      <c r="D287" s="12">
        <v>26.0</v>
      </c>
      <c r="E287" s="13">
        <v>33430.0</v>
      </c>
      <c r="F287" s="12" t="s">
        <v>31</v>
      </c>
      <c r="G287" s="29" t="s">
        <v>44</v>
      </c>
      <c r="H287" s="12" t="s">
        <v>268</v>
      </c>
      <c r="I287" s="12" t="s">
        <v>269</v>
      </c>
      <c r="J287" s="12" t="s">
        <v>35</v>
      </c>
      <c r="K287" s="12" t="s">
        <v>270</v>
      </c>
      <c r="L287" s="28" t="s">
        <v>94</v>
      </c>
      <c r="M287" s="12"/>
      <c r="N287" s="40">
        <v>6677.0</v>
      </c>
      <c r="O287" s="17">
        <f t="shared" si="9"/>
        <v>0.6365134042</v>
      </c>
      <c r="P287" s="39">
        <v>4250.0</v>
      </c>
      <c r="Q287" s="12"/>
      <c r="R287" s="12"/>
      <c r="S287" s="29" t="s">
        <v>131</v>
      </c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</row>
    <row r="288" ht="15.75" customHeight="1">
      <c r="A288" s="9">
        <v>1.0412694E7</v>
      </c>
      <c r="B288" s="10"/>
      <c r="C288" s="11">
        <v>45421.875</v>
      </c>
      <c r="D288" s="12">
        <v>26.0</v>
      </c>
      <c r="E288" s="13">
        <v>31600.0</v>
      </c>
      <c r="F288" s="9" t="s">
        <v>43</v>
      </c>
      <c r="G288" s="29" t="s">
        <v>32</v>
      </c>
      <c r="H288" s="12" t="s">
        <v>111</v>
      </c>
      <c r="I288" s="12" t="s">
        <v>112</v>
      </c>
      <c r="J288" s="12" t="s">
        <v>35</v>
      </c>
      <c r="K288" s="12" t="s">
        <v>113</v>
      </c>
      <c r="L288" s="25" t="s">
        <v>114</v>
      </c>
      <c r="M288" s="12" t="s">
        <v>166</v>
      </c>
      <c r="N288" s="40">
        <v>5226.0</v>
      </c>
      <c r="O288" s="17">
        <f t="shared" si="9"/>
        <v>0.6314580941</v>
      </c>
      <c r="P288" s="39">
        <v>3300.0</v>
      </c>
      <c r="Q288" s="12" t="s">
        <v>39</v>
      </c>
      <c r="R288" s="12">
        <v>1319147.0</v>
      </c>
      <c r="S288" s="29" t="s">
        <v>40</v>
      </c>
      <c r="T288" s="19">
        <v>5135692.0</v>
      </c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</row>
    <row r="289" ht="15.75" customHeight="1">
      <c r="A289" s="9">
        <v>1.0412695E7</v>
      </c>
      <c r="B289" s="10"/>
      <c r="C289" s="11">
        <v>45421.875</v>
      </c>
      <c r="D289" s="12" t="s">
        <v>52</v>
      </c>
      <c r="E289" s="13" t="s">
        <v>52</v>
      </c>
      <c r="F289" s="9" t="s">
        <v>43</v>
      </c>
      <c r="G289" s="29" t="s">
        <v>32</v>
      </c>
      <c r="H289" s="12" t="s">
        <v>313</v>
      </c>
      <c r="I289" s="12" t="s">
        <v>112</v>
      </c>
      <c r="J289" s="12" t="s">
        <v>113</v>
      </c>
      <c r="K289" s="12" t="s">
        <v>35</v>
      </c>
      <c r="L289" s="25" t="s">
        <v>43</v>
      </c>
      <c r="M289" s="12"/>
      <c r="N289" s="40">
        <v>3484.0</v>
      </c>
      <c r="O289" s="17">
        <f t="shared" si="9"/>
        <v>0.5740528129</v>
      </c>
      <c r="P289" s="39">
        <v>2000.0</v>
      </c>
      <c r="Q289" s="12"/>
      <c r="R289" s="12">
        <v>1320706.0</v>
      </c>
      <c r="S289" s="29" t="s">
        <v>40</v>
      </c>
      <c r="T289" s="19">
        <v>5145277.0</v>
      </c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</row>
    <row r="290" ht="15.75" customHeight="1">
      <c r="A290" s="9">
        <v>1.041288E7</v>
      </c>
      <c r="B290" s="10"/>
      <c r="C290" s="11">
        <v>45423.75</v>
      </c>
      <c r="D290" s="12">
        <v>26.0</v>
      </c>
      <c r="E290" s="12">
        <v>32500.0</v>
      </c>
      <c r="F290" s="9" t="s">
        <v>43</v>
      </c>
      <c r="G290" s="29" t="s">
        <v>32</v>
      </c>
      <c r="H290" s="12" t="s">
        <v>265</v>
      </c>
      <c r="I290" s="15" t="s">
        <v>266</v>
      </c>
      <c r="J290" s="12" t="s">
        <v>35</v>
      </c>
      <c r="K290" s="12" t="s">
        <v>267</v>
      </c>
      <c r="L290" s="28" t="s">
        <v>114</v>
      </c>
      <c r="M290" s="12" t="s">
        <v>52</v>
      </c>
      <c r="N290" s="40">
        <v>5880.0</v>
      </c>
      <c r="O290" s="17">
        <f t="shared" si="9"/>
        <v>0.7227891156</v>
      </c>
      <c r="P290" s="39">
        <v>4250.0</v>
      </c>
      <c r="Q290" s="12"/>
      <c r="R290" s="12"/>
      <c r="S290" s="29" t="s">
        <v>131</v>
      </c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</row>
    <row r="291" ht="15.75" customHeight="1">
      <c r="A291" s="9">
        <v>1.0412881E7</v>
      </c>
      <c r="B291" s="10"/>
      <c r="C291" s="11">
        <v>45423.75</v>
      </c>
      <c r="D291" s="12" t="s">
        <v>52</v>
      </c>
      <c r="E291" s="13" t="s">
        <v>52</v>
      </c>
      <c r="F291" s="9" t="s">
        <v>43</v>
      </c>
      <c r="G291" s="29" t="s">
        <v>32</v>
      </c>
      <c r="H291" s="12" t="s">
        <v>314</v>
      </c>
      <c r="I291" s="15" t="s">
        <v>266</v>
      </c>
      <c r="J291" s="12" t="s">
        <v>35</v>
      </c>
      <c r="K291" s="12" t="s">
        <v>267</v>
      </c>
      <c r="L291" s="28" t="s">
        <v>43</v>
      </c>
      <c r="M291" s="12" t="s">
        <v>52</v>
      </c>
      <c r="N291" s="40">
        <v>3920.0</v>
      </c>
      <c r="O291" s="17">
        <f t="shared" si="9"/>
        <v>0.7015306122</v>
      </c>
      <c r="P291" s="39">
        <v>2750.0</v>
      </c>
      <c r="Q291" s="12"/>
      <c r="R291" s="12"/>
      <c r="S291" s="29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</row>
    <row r="292" ht="15.75" customHeight="1">
      <c r="A292" s="9">
        <v>1.0414866E7</v>
      </c>
      <c r="B292" s="10"/>
      <c r="C292" s="11">
        <v>45425.833333333336</v>
      </c>
      <c r="D292" s="12">
        <v>26.0</v>
      </c>
      <c r="E292" s="13">
        <v>31922.0</v>
      </c>
      <c r="F292" s="12" t="s">
        <v>31</v>
      </c>
      <c r="G292" s="29" t="s">
        <v>44</v>
      </c>
      <c r="H292" s="29" t="s">
        <v>268</v>
      </c>
      <c r="I292" s="29" t="s">
        <v>269</v>
      </c>
      <c r="J292" s="25" t="s">
        <v>35</v>
      </c>
      <c r="K292" s="29" t="s">
        <v>270</v>
      </c>
      <c r="L292" s="28" t="s">
        <v>94</v>
      </c>
      <c r="M292" s="12" t="s">
        <v>52</v>
      </c>
      <c r="N292" s="40">
        <v>6200.0</v>
      </c>
      <c r="O292" s="17">
        <f t="shared" si="9"/>
        <v>0.685483871</v>
      </c>
      <c r="P292" s="39">
        <v>4250.0</v>
      </c>
      <c r="Q292" s="12"/>
      <c r="R292" s="12"/>
      <c r="S292" s="29" t="s">
        <v>131</v>
      </c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</row>
    <row r="293" ht="15.75" customHeight="1">
      <c r="A293" s="9">
        <v>1.0414867E7</v>
      </c>
      <c r="B293" s="10"/>
      <c r="C293" s="11">
        <v>45423.833333333336</v>
      </c>
      <c r="D293" s="12">
        <v>26.0</v>
      </c>
      <c r="E293" s="13">
        <v>31922.0</v>
      </c>
      <c r="F293" s="12" t="s">
        <v>31</v>
      </c>
      <c r="G293" s="29" t="s">
        <v>44</v>
      </c>
      <c r="H293" s="29" t="s">
        <v>268</v>
      </c>
      <c r="I293" s="29" t="s">
        <v>269</v>
      </c>
      <c r="J293" s="25" t="s">
        <v>35</v>
      </c>
      <c r="K293" s="29" t="s">
        <v>270</v>
      </c>
      <c r="L293" s="28" t="s">
        <v>94</v>
      </c>
      <c r="M293" s="12" t="s">
        <v>52</v>
      </c>
      <c r="N293" s="40">
        <v>6200.0</v>
      </c>
      <c r="O293" s="17">
        <f t="shared" si="9"/>
        <v>0.685483871</v>
      </c>
      <c r="P293" s="39">
        <v>4250.0</v>
      </c>
      <c r="Q293" s="12"/>
      <c r="R293" s="12"/>
      <c r="S293" s="29" t="s">
        <v>131</v>
      </c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</row>
    <row r="294" ht="15.75" customHeight="1">
      <c r="A294" s="9">
        <v>1.0414964E7</v>
      </c>
      <c r="B294" s="10"/>
      <c r="C294" s="11">
        <v>45423.833333333336</v>
      </c>
      <c r="D294" s="12">
        <v>26.0</v>
      </c>
      <c r="E294" s="13">
        <v>31922.0</v>
      </c>
      <c r="F294" s="12" t="s">
        <v>31</v>
      </c>
      <c r="G294" s="29" t="s">
        <v>44</v>
      </c>
      <c r="H294" s="29" t="s">
        <v>268</v>
      </c>
      <c r="I294" s="29" t="s">
        <v>269</v>
      </c>
      <c r="J294" s="25" t="s">
        <v>35</v>
      </c>
      <c r="K294" s="29" t="s">
        <v>270</v>
      </c>
      <c r="L294" s="28" t="s">
        <v>94</v>
      </c>
      <c r="M294" s="12" t="s">
        <v>251</v>
      </c>
      <c r="N294" s="40">
        <v>6200.0</v>
      </c>
      <c r="O294" s="17">
        <f t="shared" si="9"/>
        <v>0.685483871</v>
      </c>
      <c r="P294" s="39">
        <v>4250.0</v>
      </c>
      <c r="Q294" s="12" t="s">
        <v>39</v>
      </c>
      <c r="R294" s="12">
        <v>1320596.0</v>
      </c>
      <c r="S294" s="29" t="s">
        <v>40</v>
      </c>
      <c r="T294" s="19" t="s">
        <v>315</v>
      </c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</row>
    <row r="295" ht="15.75" customHeight="1">
      <c r="A295" s="9">
        <v>1.0415387E7</v>
      </c>
      <c r="B295" s="10"/>
      <c r="C295" s="11">
        <v>45421.833333333336</v>
      </c>
      <c r="D295" s="12">
        <v>26.0</v>
      </c>
      <c r="E295" s="13">
        <v>31790.0</v>
      </c>
      <c r="F295" s="9" t="s">
        <v>43</v>
      </c>
      <c r="G295" s="29" t="s">
        <v>44</v>
      </c>
      <c r="H295" s="29" t="s">
        <v>61</v>
      </c>
      <c r="I295" s="29" t="s">
        <v>62</v>
      </c>
      <c r="J295" s="55" t="s">
        <v>35</v>
      </c>
      <c r="K295" s="49" t="s">
        <v>63</v>
      </c>
      <c r="L295" s="25" t="s">
        <v>59</v>
      </c>
      <c r="M295" s="12"/>
      <c r="N295" s="40">
        <v>2843.19</v>
      </c>
      <c r="O295" s="17">
        <f t="shared" si="9"/>
        <v>0.8089505098</v>
      </c>
      <c r="P295" s="39">
        <v>2300.0</v>
      </c>
      <c r="Q295" s="12"/>
      <c r="R295" s="12"/>
      <c r="S295" s="29" t="s">
        <v>131</v>
      </c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</row>
    <row r="296" ht="15.75" customHeight="1">
      <c r="A296" s="9">
        <v>1.0415398E7</v>
      </c>
      <c r="B296" s="10"/>
      <c r="C296" s="11">
        <v>45421.833333333336</v>
      </c>
      <c r="D296" s="12" t="s">
        <v>52</v>
      </c>
      <c r="E296" s="13" t="s">
        <v>316</v>
      </c>
      <c r="F296" s="9" t="s">
        <v>43</v>
      </c>
      <c r="G296" s="29" t="s">
        <v>44</v>
      </c>
      <c r="H296" s="29" t="s">
        <v>317</v>
      </c>
      <c r="I296" s="29" t="s">
        <v>62</v>
      </c>
      <c r="J296" s="55" t="s">
        <v>63</v>
      </c>
      <c r="K296" s="49" t="s">
        <v>35</v>
      </c>
      <c r="L296" s="25" t="s">
        <v>43</v>
      </c>
      <c r="M296" s="12"/>
      <c r="N296" s="40">
        <v>1895.46</v>
      </c>
      <c r="O296" s="17">
        <f t="shared" si="9"/>
        <v>0.7649858082</v>
      </c>
      <c r="P296" s="39">
        <v>1450.0</v>
      </c>
      <c r="Q296" s="12"/>
      <c r="R296" s="12"/>
      <c r="S296" s="29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</row>
    <row r="297" ht="15.75" customHeight="1">
      <c r="A297" s="9">
        <v>1.041591E7</v>
      </c>
      <c r="B297" s="10"/>
      <c r="C297" s="11">
        <v>45421.833333333336</v>
      </c>
      <c r="D297" s="12">
        <v>26.0</v>
      </c>
      <c r="E297" s="13">
        <v>31922.0</v>
      </c>
      <c r="F297" s="12" t="s">
        <v>31</v>
      </c>
      <c r="G297" s="29" t="s">
        <v>74</v>
      </c>
      <c r="H297" s="29" t="s">
        <v>318</v>
      </c>
      <c r="I297" s="29" t="s">
        <v>319</v>
      </c>
      <c r="J297" s="25" t="s">
        <v>35</v>
      </c>
      <c r="K297" s="49" t="s">
        <v>320</v>
      </c>
      <c r="L297" s="25" t="s">
        <v>94</v>
      </c>
      <c r="M297" s="12" t="s">
        <v>278</v>
      </c>
      <c r="N297" s="40">
        <v>6700.0</v>
      </c>
      <c r="O297" s="17">
        <f t="shared" si="9"/>
        <v>0.6343283582</v>
      </c>
      <c r="P297" s="39">
        <v>4250.0</v>
      </c>
      <c r="Q297" s="12" t="s">
        <v>39</v>
      </c>
      <c r="R297" s="12">
        <v>1319452.0</v>
      </c>
      <c r="S297" s="29" t="s">
        <v>40</v>
      </c>
      <c r="T297" s="19">
        <v>5137591.0</v>
      </c>
      <c r="U297" s="12"/>
      <c r="V297" s="12"/>
      <c r="W297" s="12"/>
      <c r="X297" s="12"/>
      <c r="Y297" s="57">
        <v>45423.291666666664</v>
      </c>
      <c r="Z297" s="57">
        <v>45423.45208333333</v>
      </c>
      <c r="AA297" s="12"/>
      <c r="AB297" s="12"/>
      <c r="AC297" s="12"/>
      <c r="AD297" s="12"/>
      <c r="AE297" s="12" t="s">
        <v>39</v>
      </c>
      <c r="AF297" s="1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</row>
    <row r="298" ht="15.75" customHeight="1">
      <c r="A298" s="9">
        <v>1.0416151E7</v>
      </c>
      <c r="B298" s="10"/>
      <c r="C298" s="11">
        <v>45421.875</v>
      </c>
      <c r="D298" s="12">
        <v>26.0</v>
      </c>
      <c r="E298" s="13">
        <v>31922.0</v>
      </c>
      <c r="F298" s="12" t="s">
        <v>31</v>
      </c>
      <c r="G298" s="29" t="s">
        <v>74</v>
      </c>
      <c r="H298" s="29" t="s">
        <v>318</v>
      </c>
      <c r="I298" s="29" t="s">
        <v>319</v>
      </c>
      <c r="J298" s="25" t="s">
        <v>35</v>
      </c>
      <c r="K298" s="49" t="s">
        <v>320</v>
      </c>
      <c r="L298" s="25" t="s">
        <v>94</v>
      </c>
      <c r="M298" s="12" t="s">
        <v>279</v>
      </c>
      <c r="N298" s="40">
        <v>6700.0</v>
      </c>
      <c r="O298" s="17">
        <f t="shared" si="9"/>
        <v>0.6343283582</v>
      </c>
      <c r="P298" s="39">
        <v>4250.0</v>
      </c>
      <c r="Q298" s="12" t="s">
        <v>39</v>
      </c>
      <c r="R298" s="12">
        <v>1319454.0</v>
      </c>
      <c r="S298" s="29" t="s">
        <v>40</v>
      </c>
      <c r="T298" s="19">
        <v>5137599.0</v>
      </c>
      <c r="U298" s="12"/>
      <c r="V298" s="12"/>
      <c r="W298" s="12"/>
      <c r="X298" s="12"/>
      <c r="Y298" s="57">
        <v>45423.464583333334</v>
      </c>
      <c r="Z298" s="57">
        <v>45423.69930555556</v>
      </c>
      <c r="AA298" s="12"/>
      <c r="AB298" s="12"/>
      <c r="AC298" s="12"/>
      <c r="AD298" s="12"/>
      <c r="AE298" s="12" t="s">
        <v>39</v>
      </c>
      <c r="AF298" s="1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</row>
    <row r="299" ht="15.75" customHeight="1">
      <c r="A299" s="9">
        <v>1.0416152E7</v>
      </c>
      <c r="B299" s="10"/>
      <c r="C299" s="11">
        <v>45421.875</v>
      </c>
      <c r="D299" s="12">
        <v>26.0</v>
      </c>
      <c r="E299" s="13">
        <v>31922.0</v>
      </c>
      <c r="F299" s="12" t="s">
        <v>31</v>
      </c>
      <c r="G299" s="29" t="s">
        <v>74</v>
      </c>
      <c r="H299" s="29" t="s">
        <v>318</v>
      </c>
      <c r="I299" s="29" t="s">
        <v>319</v>
      </c>
      <c r="J299" s="25" t="s">
        <v>35</v>
      </c>
      <c r="K299" s="49" t="s">
        <v>320</v>
      </c>
      <c r="L299" s="25" t="s">
        <v>94</v>
      </c>
      <c r="M299" s="12" t="s">
        <v>321</v>
      </c>
      <c r="N299" s="40">
        <v>6700.0</v>
      </c>
      <c r="O299" s="17">
        <f t="shared" si="9"/>
        <v>0.6343283582</v>
      </c>
      <c r="P299" s="39">
        <v>4250.0</v>
      </c>
      <c r="Q299" s="12" t="s">
        <v>39</v>
      </c>
      <c r="R299" s="12">
        <v>1319641.0</v>
      </c>
      <c r="S299" s="29" t="s">
        <v>40</v>
      </c>
      <c r="T299" s="19">
        <v>5138442.0</v>
      </c>
      <c r="U299" s="12"/>
      <c r="V299" s="12"/>
      <c r="W299" s="12"/>
      <c r="X299" s="12"/>
      <c r="Y299" s="57">
        <v>45422.78472222222</v>
      </c>
      <c r="Z299" s="57">
        <v>45422.90972222222</v>
      </c>
      <c r="AA299" s="12"/>
      <c r="AB299" s="12"/>
      <c r="AC299" s="12"/>
      <c r="AD299" s="12"/>
      <c r="AE299" s="12" t="s">
        <v>39</v>
      </c>
      <c r="AF299" s="1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</row>
    <row r="300" ht="15.75" customHeight="1">
      <c r="A300" s="9">
        <v>1.0416234E7</v>
      </c>
      <c r="B300" s="10"/>
      <c r="C300" s="11">
        <v>45421.916666666664</v>
      </c>
      <c r="D300" s="12">
        <v>26.0</v>
      </c>
      <c r="E300" s="13">
        <v>31922.0</v>
      </c>
      <c r="F300" s="12" t="s">
        <v>31</v>
      </c>
      <c r="G300" s="29" t="s">
        <v>74</v>
      </c>
      <c r="H300" s="29" t="s">
        <v>318</v>
      </c>
      <c r="I300" s="29" t="s">
        <v>319</v>
      </c>
      <c r="J300" s="25" t="s">
        <v>35</v>
      </c>
      <c r="K300" s="49" t="s">
        <v>320</v>
      </c>
      <c r="L300" s="25" t="s">
        <v>94</v>
      </c>
      <c r="M300" s="12" t="s">
        <v>52</v>
      </c>
      <c r="N300" s="40">
        <v>6700.0</v>
      </c>
      <c r="O300" s="17">
        <f t="shared" si="9"/>
        <v>0.6343283582</v>
      </c>
      <c r="P300" s="39">
        <v>4250.0</v>
      </c>
      <c r="Q300" s="12"/>
      <c r="R300" s="12"/>
      <c r="S300" s="29" t="s">
        <v>131</v>
      </c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</row>
    <row r="301" ht="15.75" customHeight="1">
      <c r="A301" s="9">
        <v>1.0416235E7</v>
      </c>
      <c r="B301" s="10"/>
      <c r="C301" s="11">
        <v>45421.875</v>
      </c>
      <c r="D301" s="12">
        <v>26.0</v>
      </c>
      <c r="E301" s="13">
        <v>31922.0</v>
      </c>
      <c r="F301" s="12" t="s">
        <v>31</v>
      </c>
      <c r="G301" s="29" t="s">
        <v>74</v>
      </c>
      <c r="H301" s="29" t="s">
        <v>318</v>
      </c>
      <c r="I301" s="29" t="s">
        <v>319</v>
      </c>
      <c r="J301" s="25" t="s">
        <v>35</v>
      </c>
      <c r="K301" s="49" t="s">
        <v>320</v>
      </c>
      <c r="L301" s="25" t="s">
        <v>94</v>
      </c>
      <c r="M301" s="29" t="s">
        <v>322</v>
      </c>
      <c r="N301" s="40">
        <v>6700.0</v>
      </c>
      <c r="O301" s="17">
        <f t="shared" si="9"/>
        <v>0.6343283582</v>
      </c>
      <c r="P301" s="39">
        <v>4250.0</v>
      </c>
      <c r="Q301" s="12" t="s">
        <v>39</v>
      </c>
      <c r="R301" s="12">
        <v>1319802.0</v>
      </c>
      <c r="S301" s="29" t="s">
        <v>40</v>
      </c>
      <c r="T301" s="19" t="s">
        <v>323</v>
      </c>
      <c r="U301" s="12"/>
      <c r="V301" s="12"/>
      <c r="W301" s="12"/>
      <c r="X301" s="12"/>
      <c r="Y301" s="57">
        <v>45423.464583333334</v>
      </c>
      <c r="Z301" s="57">
        <v>45423.69930555556</v>
      </c>
      <c r="AA301" s="12"/>
      <c r="AB301" s="12"/>
      <c r="AC301" s="12"/>
      <c r="AD301" s="12"/>
      <c r="AE301" s="12" t="s">
        <v>39</v>
      </c>
      <c r="AF301" s="1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</row>
    <row r="302" ht="15.75" customHeight="1">
      <c r="A302" s="9">
        <v>1.0416236E7</v>
      </c>
      <c r="B302" s="10"/>
      <c r="C302" s="11">
        <v>45421.916666666664</v>
      </c>
      <c r="D302" s="12">
        <v>26.0</v>
      </c>
      <c r="E302" s="13">
        <v>31922.0</v>
      </c>
      <c r="F302" s="12" t="s">
        <v>31</v>
      </c>
      <c r="G302" s="29" t="s">
        <v>74</v>
      </c>
      <c r="H302" s="29" t="s">
        <v>318</v>
      </c>
      <c r="I302" s="29" t="s">
        <v>319</v>
      </c>
      <c r="J302" s="25" t="s">
        <v>35</v>
      </c>
      <c r="K302" s="49" t="s">
        <v>320</v>
      </c>
      <c r="L302" s="25" t="s">
        <v>94</v>
      </c>
      <c r="M302" s="29" t="s">
        <v>52</v>
      </c>
      <c r="N302" s="40">
        <v>6700.0</v>
      </c>
      <c r="O302" s="17">
        <f t="shared" si="9"/>
        <v>0.6343283582</v>
      </c>
      <c r="P302" s="39">
        <v>4250.0</v>
      </c>
      <c r="Q302" s="12"/>
      <c r="R302" s="12"/>
      <c r="S302" s="29" t="s">
        <v>131</v>
      </c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</row>
    <row r="303" ht="15.75" customHeight="1">
      <c r="A303" s="9">
        <v>1.0418832E7</v>
      </c>
      <c r="B303" s="10"/>
      <c r="C303" s="11">
        <v>45423.583333333336</v>
      </c>
      <c r="D303" s="12">
        <v>26.0</v>
      </c>
      <c r="E303" s="13">
        <v>32553.0</v>
      </c>
      <c r="F303" s="9" t="s">
        <v>43</v>
      </c>
      <c r="G303" s="29" t="s">
        <v>44</v>
      </c>
      <c r="H303" s="12" t="s">
        <v>45</v>
      </c>
      <c r="I303" s="12" t="s">
        <v>46</v>
      </c>
      <c r="J303" s="14" t="s">
        <v>35</v>
      </c>
      <c r="K303" s="14" t="s">
        <v>47</v>
      </c>
      <c r="L303" s="28" t="s">
        <v>108</v>
      </c>
      <c r="M303" s="12" t="s">
        <v>52</v>
      </c>
      <c r="N303" s="40">
        <v>2336.24</v>
      </c>
      <c r="O303" s="17">
        <f t="shared" si="9"/>
        <v>0.7276649659</v>
      </c>
      <c r="P303" s="39">
        <v>1700.0</v>
      </c>
      <c r="Q303" s="12"/>
      <c r="R303" s="12"/>
      <c r="S303" s="29" t="s">
        <v>131</v>
      </c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</row>
    <row r="304" ht="15.75" customHeight="1">
      <c r="A304" s="9">
        <v>1.0418833E7</v>
      </c>
      <c r="B304" s="10"/>
      <c r="C304" s="11">
        <v>45423.583333333336</v>
      </c>
      <c r="D304" s="12">
        <v>26.0</v>
      </c>
      <c r="E304" s="13">
        <v>32553.0</v>
      </c>
      <c r="F304" s="9" t="s">
        <v>43</v>
      </c>
      <c r="G304" s="29" t="s">
        <v>44</v>
      </c>
      <c r="H304" s="29" t="s">
        <v>45</v>
      </c>
      <c r="I304" s="29" t="s">
        <v>46</v>
      </c>
      <c r="J304" s="55" t="s">
        <v>35</v>
      </c>
      <c r="K304" s="49" t="s">
        <v>47</v>
      </c>
      <c r="L304" s="28" t="s">
        <v>108</v>
      </c>
      <c r="M304" s="29" t="s">
        <v>52</v>
      </c>
      <c r="N304" s="40">
        <v>2336.24</v>
      </c>
      <c r="O304" s="17">
        <f t="shared" si="9"/>
        <v>0.7276649659</v>
      </c>
      <c r="P304" s="39">
        <v>1700.0</v>
      </c>
      <c r="Q304" s="12"/>
      <c r="R304" s="12"/>
      <c r="S304" s="29" t="s">
        <v>131</v>
      </c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</row>
    <row r="305" ht="15.75" customHeight="1">
      <c r="A305" s="9">
        <v>1.0418834E7</v>
      </c>
      <c r="B305" s="10"/>
      <c r="C305" s="11">
        <v>45423.583333333336</v>
      </c>
      <c r="D305" s="12" t="s">
        <v>52</v>
      </c>
      <c r="E305" s="13" t="s">
        <v>52</v>
      </c>
      <c r="F305" s="9" t="s">
        <v>43</v>
      </c>
      <c r="G305" s="29" t="s">
        <v>44</v>
      </c>
      <c r="H305" s="29" t="s">
        <v>324</v>
      </c>
      <c r="I305" s="29" t="s">
        <v>46</v>
      </c>
      <c r="J305" s="55" t="s">
        <v>47</v>
      </c>
      <c r="K305" s="49" t="s">
        <v>35</v>
      </c>
      <c r="L305" s="28" t="s">
        <v>43</v>
      </c>
      <c r="M305" s="12" t="s">
        <v>52</v>
      </c>
      <c r="N305" s="40">
        <v>1557.5</v>
      </c>
      <c r="O305" s="17">
        <f t="shared" si="9"/>
        <v>0.4494382022</v>
      </c>
      <c r="P305" s="39">
        <v>700.0</v>
      </c>
      <c r="Q305" s="12"/>
      <c r="R305" s="12"/>
      <c r="S305" s="29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</row>
    <row r="306" ht="15.75" customHeight="1">
      <c r="A306" s="9">
        <v>1.0418835E7</v>
      </c>
      <c r="B306" s="10"/>
      <c r="C306" s="11">
        <v>45423.583333333336</v>
      </c>
      <c r="D306" s="12" t="s">
        <v>52</v>
      </c>
      <c r="E306" s="13" t="s">
        <v>52</v>
      </c>
      <c r="F306" s="9" t="s">
        <v>43</v>
      </c>
      <c r="G306" s="29" t="s">
        <v>44</v>
      </c>
      <c r="H306" s="29" t="s">
        <v>325</v>
      </c>
      <c r="I306" s="29" t="s">
        <v>46</v>
      </c>
      <c r="J306" s="55" t="s">
        <v>47</v>
      </c>
      <c r="K306" s="49" t="s">
        <v>35</v>
      </c>
      <c r="L306" s="28" t="s">
        <v>188</v>
      </c>
      <c r="M306" s="12" t="s">
        <v>52</v>
      </c>
      <c r="N306" s="40">
        <v>1557.5</v>
      </c>
      <c r="O306" s="17">
        <f t="shared" si="9"/>
        <v>0.4494382022</v>
      </c>
      <c r="P306" s="39">
        <v>700.0</v>
      </c>
      <c r="Q306" s="12"/>
      <c r="R306" s="12"/>
      <c r="S306" s="29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</row>
    <row r="307" ht="15.75" customHeight="1">
      <c r="A307" s="9">
        <v>1.041893E7</v>
      </c>
      <c r="B307" s="10"/>
      <c r="C307" s="11">
        <v>45425.916666666664</v>
      </c>
      <c r="D307" s="12">
        <v>26.0</v>
      </c>
      <c r="E307" s="13">
        <v>32553.0</v>
      </c>
      <c r="F307" s="9" t="s">
        <v>43</v>
      </c>
      <c r="G307" s="29" t="s">
        <v>32</v>
      </c>
      <c r="H307" s="12" t="s">
        <v>265</v>
      </c>
      <c r="I307" s="28" t="s">
        <v>266</v>
      </c>
      <c r="J307" s="25" t="s">
        <v>35</v>
      </c>
      <c r="K307" s="12" t="s">
        <v>267</v>
      </c>
      <c r="L307" s="28" t="s">
        <v>114</v>
      </c>
      <c r="M307" s="29" t="s">
        <v>52</v>
      </c>
      <c r="N307" s="40">
        <v>5880.0</v>
      </c>
      <c r="O307" s="17">
        <f t="shared" si="9"/>
        <v>0.7227891156</v>
      </c>
      <c r="P307" s="39">
        <v>4250.0</v>
      </c>
      <c r="Q307" s="12"/>
      <c r="R307" s="12"/>
      <c r="S307" s="29" t="s">
        <v>131</v>
      </c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</row>
    <row r="308" ht="15.75" customHeight="1">
      <c r="A308" s="9">
        <v>1.0418931E7</v>
      </c>
      <c r="B308" s="10"/>
      <c r="C308" s="11">
        <v>45425.916666666664</v>
      </c>
      <c r="D308" s="12" t="s">
        <v>52</v>
      </c>
      <c r="E308" s="12" t="s">
        <v>52</v>
      </c>
      <c r="F308" s="9" t="s">
        <v>43</v>
      </c>
      <c r="G308" s="29" t="s">
        <v>32</v>
      </c>
      <c r="H308" s="12" t="s">
        <v>326</v>
      </c>
      <c r="I308" s="28" t="s">
        <v>266</v>
      </c>
      <c r="J308" s="25" t="s">
        <v>267</v>
      </c>
      <c r="K308" s="12" t="s">
        <v>35</v>
      </c>
      <c r="L308" s="28" t="s">
        <v>43</v>
      </c>
      <c r="M308" s="29" t="s">
        <v>52</v>
      </c>
      <c r="N308" s="40">
        <v>3920.0</v>
      </c>
      <c r="O308" s="17">
        <f t="shared" si="9"/>
        <v>0.7015306122</v>
      </c>
      <c r="P308" s="39">
        <v>2750.0</v>
      </c>
      <c r="Q308" s="12"/>
      <c r="R308" s="12"/>
      <c r="S308" s="29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</row>
    <row r="309" ht="15.75" customHeight="1">
      <c r="A309" s="9">
        <v>1.0429145E7</v>
      </c>
      <c r="B309" s="10"/>
      <c r="C309" s="11">
        <v>45427.916666666664</v>
      </c>
      <c r="D309" s="12">
        <v>26.0</v>
      </c>
      <c r="E309" s="13">
        <v>31652.0</v>
      </c>
      <c r="F309" s="9" t="s">
        <v>43</v>
      </c>
      <c r="G309" s="29" t="s">
        <v>32</v>
      </c>
      <c r="H309" s="29" t="s">
        <v>265</v>
      </c>
      <c r="I309" s="39" t="s">
        <v>266</v>
      </c>
      <c r="J309" s="25" t="s">
        <v>35</v>
      </c>
      <c r="K309" s="29" t="s">
        <v>267</v>
      </c>
      <c r="L309" s="28" t="s">
        <v>114</v>
      </c>
      <c r="M309" s="29" t="s">
        <v>52</v>
      </c>
      <c r="N309" s="40">
        <v>5460.0</v>
      </c>
      <c r="O309" s="17">
        <f t="shared" si="9"/>
        <v>0.7783882784</v>
      </c>
      <c r="P309" s="39">
        <v>4250.0</v>
      </c>
      <c r="Q309" s="12"/>
      <c r="R309" s="12"/>
      <c r="S309" s="29" t="s">
        <v>131</v>
      </c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</row>
    <row r="310" ht="15.75" customHeight="1">
      <c r="A310" s="9">
        <v>1.0429146E7</v>
      </c>
      <c r="B310" s="10"/>
      <c r="C310" s="11">
        <v>45427.916666666664</v>
      </c>
      <c r="D310" s="12" t="s">
        <v>52</v>
      </c>
      <c r="E310" s="12" t="s">
        <v>52</v>
      </c>
      <c r="F310" s="9" t="s">
        <v>43</v>
      </c>
      <c r="G310" s="29" t="s">
        <v>32</v>
      </c>
      <c r="H310" s="25" t="s">
        <v>327</v>
      </c>
      <c r="I310" s="28" t="s">
        <v>266</v>
      </c>
      <c r="J310" s="25" t="s">
        <v>267</v>
      </c>
      <c r="K310" s="25" t="s">
        <v>35</v>
      </c>
      <c r="L310" s="28" t="s">
        <v>43</v>
      </c>
      <c r="M310" s="29" t="s">
        <v>52</v>
      </c>
      <c r="N310" s="40">
        <v>3640.0</v>
      </c>
      <c r="O310" s="17">
        <f t="shared" si="9"/>
        <v>0.7554945055</v>
      </c>
      <c r="P310" s="28">
        <v>2750.0</v>
      </c>
      <c r="Q310" s="12"/>
      <c r="R310" s="12"/>
      <c r="S310" s="29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</row>
    <row r="311" ht="15.75" customHeight="1">
      <c r="A311" s="9">
        <v>1.0432866E7</v>
      </c>
      <c r="B311" s="10"/>
      <c r="C311" s="11">
        <v>45427.416666666664</v>
      </c>
      <c r="D311" s="12">
        <v>26.0</v>
      </c>
      <c r="E311" s="13">
        <v>33430.0</v>
      </c>
      <c r="F311" s="12" t="s">
        <v>31</v>
      </c>
      <c r="G311" s="29" t="s">
        <v>32</v>
      </c>
      <c r="H311" s="12" t="s">
        <v>265</v>
      </c>
      <c r="I311" s="39" t="s">
        <v>266</v>
      </c>
      <c r="J311" s="12" t="s">
        <v>35</v>
      </c>
      <c r="K311" s="12" t="s">
        <v>267</v>
      </c>
      <c r="L311" s="28" t="s">
        <v>114</v>
      </c>
      <c r="M311" s="29" t="s">
        <v>145</v>
      </c>
      <c r="N311" s="40">
        <v>6770.0</v>
      </c>
      <c r="O311" s="17">
        <f t="shared" si="9"/>
        <v>0.6277695716</v>
      </c>
      <c r="P311" s="39">
        <v>4250.0</v>
      </c>
      <c r="Q311" s="12" t="s">
        <v>39</v>
      </c>
      <c r="R311" s="12">
        <v>1323040.0</v>
      </c>
      <c r="S311" s="29" t="s">
        <v>40</v>
      </c>
      <c r="T311" s="19">
        <v>5159041.0</v>
      </c>
      <c r="U311" s="12"/>
      <c r="V311" s="12"/>
      <c r="W311" s="12"/>
      <c r="X311" s="12"/>
      <c r="Y311" s="57">
        <v>45429.80347222222</v>
      </c>
      <c r="Z311" s="57">
        <v>45432.65625</v>
      </c>
      <c r="AA311" s="12"/>
      <c r="AB311" s="12"/>
      <c r="AC311" s="12"/>
      <c r="AD311" s="12"/>
      <c r="AE311" s="12" t="s">
        <v>39</v>
      </c>
      <c r="AF311" s="1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</row>
    <row r="312" ht="15.75" customHeight="1">
      <c r="A312" s="9">
        <v>1.0433151E7</v>
      </c>
      <c r="B312" s="10"/>
      <c r="C312" s="11">
        <v>45427.625</v>
      </c>
      <c r="D312" s="12">
        <v>26.0</v>
      </c>
      <c r="E312" s="13">
        <v>32553.0</v>
      </c>
      <c r="F312" s="9" t="s">
        <v>43</v>
      </c>
      <c r="G312" s="29" t="s">
        <v>32</v>
      </c>
      <c r="H312" s="29" t="s">
        <v>265</v>
      </c>
      <c r="I312" s="39" t="s">
        <v>266</v>
      </c>
      <c r="J312" s="25" t="s">
        <v>35</v>
      </c>
      <c r="K312" s="29" t="s">
        <v>267</v>
      </c>
      <c r="L312" s="28" t="s">
        <v>114</v>
      </c>
      <c r="M312" s="29" t="s">
        <v>166</v>
      </c>
      <c r="N312" s="40">
        <v>5880.0</v>
      </c>
      <c r="O312" s="17">
        <f t="shared" si="9"/>
        <v>0.7227891156</v>
      </c>
      <c r="P312" s="39">
        <v>4250.0</v>
      </c>
      <c r="Q312" s="12" t="s">
        <v>39</v>
      </c>
      <c r="R312" s="12">
        <v>1323036.0</v>
      </c>
      <c r="S312" s="29" t="s">
        <v>40</v>
      </c>
      <c r="T312" s="19">
        <v>5159007.0</v>
      </c>
      <c r="U312" s="12"/>
      <c r="V312" s="12"/>
      <c r="W312" s="12"/>
      <c r="X312" s="12"/>
      <c r="Y312" s="57">
        <v>45428.80625</v>
      </c>
      <c r="Z312" s="57">
        <v>45429.407638888886</v>
      </c>
      <c r="AA312" s="12"/>
      <c r="AB312" s="12"/>
      <c r="AC312" s="12"/>
      <c r="AD312" s="12"/>
      <c r="AE312" s="12" t="s">
        <v>39</v>
      </c>
      <c r="AF312" s="1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</row>
    <row r="313" ht="15.75" customHeight="1">
      <c r="A313" s="9">
        <v>1.0433152E7</v>
      </c>
      <c r="B313" s="10"/>
      <c r="C313" s="11">
        <v>45427.875</v>
      </c>
      <c r="D313" s="12">
        <v>26.0</v>
      </c>
      <c r="E313" s="26">
        <v>32553.0</v>
      </c>
      <c r="F313" s="27" t="s">
        <v>43</v>
      </c>
      <c r="G313" s="25" t="s">
        <v>32</v>
      </c>
      <c r="H313" s="25" t="s">
        <v>265</v>
      </c>
      <c r="I313" s="28" t="s">
        <v>266</v>
      </c>
      <c r="J313" s="25" t="s">
        <v>35</v>
      </c>
      <c r="K313" s="25" t="s">
        <v>267</v>
      </c>
      <c r="L313" s="28" t="s">
        <v>114</v>
      </c>
      <c r="M313" s="29" t="s">
        <v>307</v>
      </c>
      <c r="N313" s="30">
        <v>5880.0</v>
      </c>
      <c r="O313" s="78">
        <f t="shared" si="9"/>
        <v>0.7227891156</v>
      </c>
      <c r="P313" s="28">
        <v>4250.0</v>
      </c>
      <c r="Q313" s="12" t="s">
        <v>39</v>
      </c>
      <c r="R313" s="12">
        <v>1323050.0</v>
      </c>
      <c r="S313" s="29" t="s">
        <v>40</v>
      </c>
      <c r="T313" s="19">
        <v>5159170.0</v>
      </c>
      <c r="U313" s="12"/>
      <c r="V313" s="12"/>
      <c r="W313" s="12"/>
      <c r="X313" s="12"/>
      <c r="Y313" s="57">
        <v>45428.81180555555</v>
      </c>
      <c r="Z313" s="57">
        <v>45429.495833333334</v>
      </c>
      <c r="AA313" s="12"/>
      <c r="AB313" s="12"/>
      <c r="AC313" s="12"/>
      <c r="AD313" s="12"/>
      <c r="AE313" s="12" t="s">
        <v>39</v>
      </c>
      <c r="AF313" s="1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</row>
    <row r="314" ht="15.75" customHeight="1">
      <c r="A314" s="9">
        <v>1.0433153E7</v>
      </c>
      <c r="B314" s="10"/>
      <c r="C314" s="11">
        <v>45427.625</v>
      </c>
      <c r="D314" s="12" t="s">
        <v>52</v>
      </c>
      <c r="E314" s="12" t="s">
        <v>52</v>
      </c>
      <c r="F314" s="9" t="s">
        <v>43</v>
      </c>
      <c r="G314" s="29" t="s">
        <v>32</v>
      </c>
      <c r="H314" s="29" t="s">
        <v>328</v>
      </c>
      <c r="I314" s="39" t="s">
        <v>266</v>
      </c>
      <c r="J314" s="25" t="s">
        <v>267</v>
      </c>
      <c r="K314" s="29" t="s">
        <v>35</v>
      </c>
      <c r="L314" s="28" t="s">
        <v>43</v>
      </c>
      <c r="M314" s="29"/>
      <c r="N314" s="40">
        <v>3920.0</v>
      </c>
      <c r="O314" s="17">
        <f t="shared" si="9"/>
        <v>0.7015306122</v>
      </c>
      <c r="P314" s="39">
        <v>2750.0</v>
      </c>
      <c r="Q314" s="12"/>
      <c r="R314" s="12">
        <v>1323911.0</v>
      </c>
      <c r="S314" s="29" t="s">
        <v>40</v>
      </c>
      <c r="T314" s="19">
        <v>5165958.0</v>
      </c>
      <c r="U314" s="12"/>
      <c r="V314" s="12"/>
      <c r="W314" s="12"/>
      <c r="X314" s="12"/>
      <c r="Y314" s="57"/>
      <c r="Z314" s="57"/>
      <c r="AA314" s="12"/>
      <c r="AB314" s="12"/>
      <c r="AC314" s="12"/>
      <c r="AD314" s="12"/>
      <c r="AE314" s="12"/>
      <c r="AF314" s="1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</row>
    <row r="315" ht="15.75" customHeight="1">
      <c r="A315" s="9">
        <v>1.0433154E7</v>
      </c>
      <c r="B315" s="10"/>
      <c r="C315" s="11">
        <v>45427.875</v>
      </c>
      <c r="D315" s="12" t="s">
        <v>52</v>
      </c>
      <c r="E315" s="12" t="s">
        <v>52</v>
      </c>
      <c r="F315" s="9" t="s">
        <v>43</v>
      </c>
      <c r="G315" s="29" t="s">
        <v>32</v>
      </c>
      <c r="H315" s="29" t="s">
        <v>329</v>
      </c>
      <c r="I315" s="39" t="s">
        <v>266</v>
      </c>
      <c r="J315" s="25" t="s">
        <v>267</v>
      </c>
      <c r="K315" s="29" t="s">
        <v>35</v>
      </c>
      <c r="L315" s="28" t="s">
        <v>43</v>
      </c>
      <c r="M315" s="29"/>
      <c r="N315" s="40">
        <v>3920.0</v>
      </c>
      <c r="O315" s="17">
        <f t="shared" si="9"/>
        <v>0.7015306122</v>
      </c>
      <c r="P315" s="39">
        <v>2750.0</v>
      </c>
      <c r="Q315" s="12"/>
      <c r="R315" s="12">
        <v>1324011.0</v>
      </c>
      <c r="S315" s="29" t="s">
        <v>40</v>
      </c>
      <c r="T315" s="19">
        <v>5166616.0</v>
      </c>
      <c r="U315" s="12"/>
      <c r="V315" s="12"/>
      <c r="W315" s="12"/>
      <c r="X315" s="12"/>
      <c r="Y315" s="57">
        <v>45431.95625</v>
      </c>
      <c r="Z315" s="57">
        <v>45432.35138888889</v>
      </c>
      <c r="AA315" s="12"/>
      <c r="AB315" s="12"/>
      <c r="AC315" s="12"/>
      <c r="AD315" s="12"/>
      <c r="AE315" s="12" t="s">
        <v>39</v>
      </c>
      <c r="AF315" s="1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</row>
    <row r="316" ht="15.75" customHeight="1">
      <c r="A316" s="9">
        <v>1.0436679E7</v>
      </c>
      <c r="B316" s="10"/>
      <c r="C316" s="11">
        <v>45429.875</v>
      </c>
      <c r="D316" s="12">
        <v>20.0</v>
      </c>
      <c r="E316" s="13">
        <v>17961.0</v>
      </c>
      <c r="F316" s="12" t="s">
        <v>31</v>
      </c>
      <c r="G316" s="29" t="s">
        <v>74</v>
      </c>
      <c r="H316" s="12" t="s">
        <v>330</v>
      </c>
      <c r="I316" s="25" t="s">
        <v>331</v>
      </c>
      <c r="J316" s="25" t="s">
        <v>35</v>
      </c>
      <c r="K316" s="25" t="s">
        <v>332</v>
      </c>
      <c r="L316" s="28" t="s">
        <v>188</v>
      </c>
      <c r="M316" s="29" t="s">
        <v>49</v>
      </c>
      <c r="N316" s="40">
        <v>2000.0</v>
      </c>
      <c r="O316" s="17">
        <f t="shared" si="9"/>
        <v>0.775</v>
      </c>
      <c r="P316" s="39">
        <v>1550.0</v>
      </c>
      <c r="Q316" s="12" t="s">
        <v>39</v>
      </c>
      <c r="R316" s="12">
        <v>1324017.0</v>
      </c>
      <c r="S316" s="29" t="s">
        <v>40</v>
      </c>
      <c r="T316" s="19">
        <v>5166642.0</v>
      </c>
      <c r="U316" s="12"/>
      <c r="V316" s="12"/>
      <c r="W316" s="12"/>
      <c r="X316" s="12"/>
      <c r="Y316" s="57">
        <v>45430.365277777775</v>
      </c>
      <c r="Z316" s="57">
        <v>45430.44652777778</v>
      </c>
      <c r="AA316" s="12"/>
      <c r="AB316" s="12"/>
      <c r="AC316" s="12"/>
      <c r="AD316" s="12"/>
      <c r="AE316" s="12" t="s">
        <v>39</v>
      </c>
      <c r="AF316" s="1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</row>
    <row r="317" ht="15.75" customHeight="1">
      <c r="A317" s="9">
        <v>1.043668E7</v>
      </c>
      <c r="B317" s="10"/>
      <c r="C317" s="11">
        <v>45429.833333333336</v>
      </c>
      <c r="D317" s="12">
        <v>20.0</v>
      </c>
      <c r="E317" s="13">
        <v>17961.0</v>
      </c>
      <c r="F317" s="12" t="s">
        <v>31</v>
      </c>
      <c r="G317" s="29" t="s">
        <v>74</v>
      </c>
      <c r="H317" s="12" t="s">
        <v>330</v>
      </c>
      <c r="I317" s="25" t="s">
        <v>331</v>
      </c>
      <c r="J317" s="25" t="s">
        <v>35</v>
      </c>
      <c r="K317" s="25" t="s">
        <v>332</v>
      </c>
      <c r="L317" s="28" t="s">
        <v>188</v>
      </c>
      <c r="M317" s="29" t="s">
        <v>143</v>
      </c>
      <c r="N317" s="40">
        <v>2000.0</v>
      </c>
      <c r="O317" s="17">
        <f t="shared" si="9"/>
        <v>0.775</v>
      </c>
      <c r="P317" s="39">
        <v>1550.0</v>
      </c>
      <c r="Q317" s="12" t="s">
        <v>39</v>
      </c>
      <c r="R317" s="12">
        <v>1324039.0</v>
      </c>
      <c r="S317" s="29" t="s">
        <v>40</v>
      </c>
      <c r="T317" s="19">
        <v>5166966.0</v>
      </c>
      <c r="U317" s="12"/>
      <c r="V317" s="12"/>
      <c r="W317" s="12"/>
      <c r="X317" s="12"/>
      <c r="Y317" s="57">
        <v>45430.311111111114</v>
      </c>
      <c r="Z317" s="57">
        <v>45430.44652777778</v>
      </c>
      <c r="AA317" s="12"/>
      <c r="AB317" s="12"/>
      <c r="AC317" s="12"/>
      <c r="AD317" s="12"/>
      <c r="AE317" s="12" t="s">
        <v>39</v>
      </c>
      <c r="AF317" s="1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</row>
    <row r="318" ht="15.75" customHeight="1">
      <c r="A318" s="9">
        <v>1.0436681E7</v>
      </c>
      <c r="B318" s="10"/>
      <c r="C318" s="11">
        <v>45428.708333333336</v>
      </c>
      <c r="D318" s="12">
        <v>26.0</v>
      </c>
      <c r="E318" s="13">
        <v>30389.0</v>
      </c>
      <c r="F318" s="9" t="s">
        <v>43</v>
      </c>
      <c r="G318" s="29" t="s">
        <v>44</v>
      </c>
      <c r="H318" s="12" t="s">
        <v>45</v>
      </c>
      <c r="I318" s="25" t="s">
        <v>46</v>
      </c>
      <c r="J318" s="55" t="s">
        <v>35</v>
      </c>
      <c r="K318" s="55" t="s">
        <v>47</v>
      </c>
      <c r="L318" s="28" t="s">
        <v>108</v>
      </c>
      <c r="M318" s="29" t="s">
        <v>184</v>
      </c>
      <c r="N318" s="40">
        <v>2169.28</v>
      </c>
      <c r="O318" s="17">
        <f t="shared" si="9"/>
        <v>0.7836701578</v>
      </c>
      <c r="P318" s="39">
        <v>1700.0</v>
      </c>
      <c r="Q318" s="12" t="s">
        <v>39</v>
      </c>
      <c r="R318" s="12">
        <v>1323624.0</v>
      </c>
      <c r="S318" s="29" t="s">
        <v>40</v>
      </c>
      <c r="T318" s="19">
        <v>5163715.0</v>
      </c>
      <c r="U318" s="12"/>
      <c r="V318" s="12"/>
      <c r="W318" s="12"/>
      <c r="X318" s="12"/>
      <c r="Y318" s="57">
        <v>45429.461805555555</v>
      </c>
      <c r="Z318" s="57">
        <v>45429.64236111111</v>
      </c>
      <c r="AA318" s="12"/>
      <c r="AB318" s="12"/>
      <c r="AC318" s="12"/>
      <c r="AD318" s="12"/>
      <c r="AE318" s="12" t="s">
        <v>39</v>
      </c>
      <c r="AF318" s="1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</row>
    <row r="319" ht="15.75" customHeight="1">
      <c r="A319" s="9">
        <v>1.0436682E7</v>
      </c>
      <c r="B319" s="10"/>
      <c r="C319" s="11">
        <v>45428.708333333336</v>
      </c>
      <c r="D319" s="12" t="s">
        <v>52</v>
      </c>
      <c r="E319" s="12" t="s">
        <v>52</v>
      </c>
      <c r="F319" s="9" t="s">
        <v>43</v>
      </c>
      <c r="G319" s="29" t="s">
        <v>44</v>
      </c>
      <c r="H319" s="12" t="s">
        <v>333</v>
      </c>
      <c r="I319" s="25" t="s">
        <v>46</v>
      </c>
      <c r="J319" s="55" t="s">
        <v>47</v>
      </c>
      <c r="K319" s="55" t="s">
        <v>35</v>
      </c>
      <c r="L319" s="28" t="s">
        <v>188</v>
      </c>
      <c r="M319" s="29"/>
      <c r="N319" s="40">
        <v>1446.19</v>
      </c>
      <c r="O319" s="17">
        <f t="shared" si="9"/>
        <v>0.4840304524</v>
      </c>
      <c r="P319" s="39">
        <v>700.0</v>
      </c>
      <c r="Q319" s="12"/>
      <c r="R319" s="12">
        <v>1324070.0</v>
      </c>
      <c r="S319" s="29" t="s">
        <v>40</v>
      </c>
      <c r="T319" s="19">
        <v>5167395.0</v>
      </c>
      <c r="U319" s="12"/>
      <c r="V319" s="12"/>
      <c r="W319" s="12"/>
      <c r="X319" s="12"/>
      <c r="Y319" s="57">
        <v>45429.79583333333</v>
      </c>
      <c r="Z319" s="57">
        <v>45430.260416666664</v>
      </c>
      <c r="AA319" s="12"/>
      <c r="AB319" s="12"/>
      <c r="AC319" s="12"/>
      <c r="AD319" s="12"/>
      <c r="AE319" s="12" t="s">
        <v>39</v>
      </c>
      <c r="AF319" s="1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</row>
    <row r="320" ht="15.75" customHeight="1">
      <c r="A320" s="9">
        <v>1.0436684E7</v>
      </c>
      <c r="B320" s="10"/>
      <c r="C320" s="11">
        <v>45429.833333333336</v>
      </c>
      <c r="D320" s="12">
        <v>26.0</v>
      </c>
      <c r="E320" s="13">
        <v>22864.0</v>
      </c>
      <c r="F320" s="12" t="s">
        <v>31</v>
      </c>
      <c r="G320" s="29" t="s">
        <v>74</v>
      </c>
      <c r="H320" s="12" t="s">
        <v>330</v>
      </c>
      <c r="I320" s="12" t="s">
        <v>331</v>
      </c>
      <c r="J320" s="25" t="s">
        <v>35</v>
      </c>
      <c r="K320" s="25" t="s">
        <v>332</v>
      </c>
      <c r="L320" s="28" t="s">
        <v>188</v>
      </c>
      <c r="M320" s="29" t="s">
        <v>282</v>
      </c>
      <c r="N320" s="40">
        <v>2600.0</v>
      </c>
      <c r="O320" s="17">
        <f t="shared" si="9"/>
        <v>0.6538461538</v>
      </c>
      <c r="P320" s="39">
        <v>1700.0</v>
      </c>
      <c r="Q320" s="12" t="s">
        <v>39</v>
      </c>
      <c r="R320" s="12">
        <v>1324076.0</v>
      </c>
      <c r="S320" s="29" t="s">
        <v>40</v>
      </c>
      <c r="T320" s="19">
        <v>5167504.0</v>
      </c>
      <c r="U320" s="12"/>
      <c r="V320" s="12"/>
      <c r="W320" s="12"/>
      <c r="X320" s="12"/>
      <c r="Y320" s="57">
        <v>45430.294444444444</v>
      </c>
      <c r="Z320" s="57">
        <v>45430.40694444445</v>
      </c>
      <c r="AA320" s="12"/>
      <c r="AB320" s="12"/>
      <c r="AC320" s="12"/>
      <c r="AD320" s="12"/>
      <c r="AE320" s="12" t="s">
        <v>39</v>
      </c>
      <c r="AF320" s="1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</row>
    <row r="321" ht="15.75" customHeight="1">
      <c r="A321" s="9">
        <v>1.0436685E7</v>
      </c>
      <c r="B321" s="10"/>
      <c r="C321" s="11">
        <v>45429.833333333336</v>
      </c>
      <c r="D321" s="12">
        <v>26.0</v>
      </c>
      <c r="E321" s="13">
        <v>22864.0</v>
      </c>
      <c r="F321" s="12" t="s">
        <v>31</v>
      </c>
      <c r="G321" s="29" t="s">
        <v>74</v>
      </c>
      <c r="H321" s="12" t="s">
        <v>330</v>
      </c>
      <c r="I321" s="12" t="s">
        <v>331</v>
      </c>
      <c r="J321" s="25" t="s">
        <v>35</v>
      </c>
      <c r="K321" s="25" t="s">
        <v>332</v>
      </c>
      <c r="L321" s="28" t="s">
        <v>188</v>
      </c>
      <c r="M321" s="29" t="s">
        <v>159</v>
      </c>
      <c r="N321" s="40">
        <v>2600.0</v>
      </c>
      <c r="O321" s="17">
        <f t="shared" si="9"/>
        <v>0.6538461538</v>
      </c>
      <c r="P321" s="39">
        <v>1700.0</v>
      </c>
      <c r="Q321" s="12" t="s">
        <v>39</v>
      </c>
      <c r="R321" s="12">
        <v>1324430.0</v>
      </c>
      <c r="S321" s="29" t="s">
        <v>40</v>
      </c>
      <c r="T321" s="19">
        <v>5169853.0</v>
      </c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</row>
    <row r="322" ht="15.75" customHeight="1">
      <c r="A322" s="9">
        <v>1.0436686E7</v>
      </c>
      <c r="B322" s="10"/>
      <c r="C322" s="11">
        <v>45429.75</v>
      </c>
      <c r="D322" s="12">
        <v>26.0</v>
      </c>
      <c r="E322" s="13">
        <v>22864.0</v>
      </c>
      <c r="F322" s="12" t="s">
        <v>31</v>
      </c>
      <c r="G322" s="29" t="s">
        <v>74</v>
      </c>
      <c r="H322" s="12" t="s">
        <v>330</v>
      </c>
      <c r="I322" s="25" t="s">
        <v>331</v>
      </c>
      <c r="J322" s="25" t="s">
        <v>35</v>
      </c>
      <c r="K322" s="25" t="s">
        <v>332</v>
      </c>
      <c r="L322" s="28" t="s">
        <v>188</v>
      </c>
      <c r="M322" s="29" t="s">
        <v>279</v>
      </c>
      <c r="N322" s="40">
        <v>2600.0</v>
      </c>
      <c r="O322" s="17">
        <f t="shared" si="9"/>
        <v>0.6538461538</v>
      </c>
      <c r="P322" s="39">
        <v>1700.0</v>
      </c>
      <c r="Q322" s="12" t="s">
        <v>39</v>
      </c>
      <c r="R322" s="12">
        <v>1324083.0</v>
      </c>
      <c r="S322" s="29" t="s">
        <v>40</v>
      </c>
      <c r="T322" s="19">
        <v>5167596.0</v>
      </c>
      <c r="U322" s="12"/>
      <c r="V322" s="12"/>
      <c r="W322" s="12"/>
      <c r="X322" s="12"/>
      <c r="Y322" s="57">
        <v>45430.29513888889</v>
      </c>
      <c r="Z322" s="57">
        <v>45430.40555555555</v>
      </c>
      <c r="AA322" s="12"/>
      <c r="AB322" s="12"/>
      <c r="AC322" s="12"/>
      <c r="AD322" s="12"/>
      <c r="AE322" s="12" t="s">
        <v>39</v>
      </c>
      <c r="AF322" s="1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</row>
    <row r="323" ht="15.75" customHeight="1">
      <c r="A323" s="9">
        <v>1.0437494E7</v>
      </c>
      <c r="B323" s="10"/>
      <c r="C323" s="11">
        <v>45428.708333333336</v>
      </c>
      <c r="D323" s="12">
        <v>26.0</v>
      </c>
      <c r="E323" s="13">
        <v>32553.0</v>
      </c>
      <c r="F323" s="9" t="s">
        <v>43</v>
      </c>
      <c r="G323" s="29" t="s">
        <v>32</v>
      </c>
      <c r="H323" s="12" t="s">
        <v>265</v>
      </c>
      <c r="I323" s="28" t="s">
        <v>266</v>
      </c>
      <c r="J323" s="25" t="s">
        <v>35</v>
      </c>
      <c r="K323" s="12" t="s">
        <v>267</v>
      </c>
      <c r="L323" s="28" t="s">
        <v>114</v>
      </c>
      <c r="M323" s="29" t="s">
        <v>291</v>
      </c>
      <c r="N323" s="40">
        <v>5880.0</v>
      </c>
      <c r="O323" s="17">
        <f t="shared" si="9"/>
        <v>0.7227891156</v>
      </c>
      <c r="P323" s="39">
        <v>4250.0</v>
      </c>
      <c r="Q323" s="12" t="s">
        <v>39</v>
      </c>
      <c r="R323" s="12">
        <v>1323622.0</v>
      </c>
      <c r="S323" s="29" t="s">
        <v>40</v>
      </c>
      <c r="T323" s="19">
        <v>5163696.0</v>
      </c>
      <c r="U323" s="12"/>
      <c r="V323" s="12"/>
      <c r="W323" s="12"/>
      <c r="X323" s="12"/>
      <c r="Y323" s="79">
        <v>45432.30138888889</v>
      </c>
      <c r="Z323" s="57">
        <v>45432.56180555555</v>
      </c>
      <c r="AA323" s="12"/>
      <c r="AB323" s="12"/>
      <c r="AC323" s="12"/>
      <c r="AD323" s="12"/>
      <c r="AE323" s="12" t="s">
        <v>39</v>
      </c>
      <c r="AF323" s="1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</row>
    <row r="324" ht="15.75" customHeight="1">
      <c r="A324" s="9">
        <v>1.0437495E7</v>
      </c>
      <c r="B324" s="10"/>
      <c r="C324" s="11">
        <v>45428.708333333336</v>
      </c>
      <c r="D324" s="12" t="s">
        <v>52</v>
      </c>
      <c r="E324" s="12" t="s">
        <v>52</v>
      </c>
      <c r="F324" s="9" t="s">
        <v>43</v>
      </c>
      <c r="G324" s="29" t="s">
        <v>32</v>
      </c>
      <c r="H324" s="12" t="s">
        <v>334</v>
      </c>
      <c r="I324" s="28" t="s">
        <v>266</v>
      </c>
      <c r="J324" s="25" t="s">
        <v>267</v>
      </c>
      <c r="K324" s="12" t="s">
        <v>35</v>
      </c>
      <c r="L324" s="28" t="s">
        <v>43</v>
      </c>
      <c r="M324" s="12"/>
      <c r="N324" s="40">
        <v>3920.0</v>
      </c>
      <c r="O324" s="17">
        <f t="shared" si="9"/>
        <v>0.7015306122</v>
      </c>
      <c r="P324" s="39">
        <v>2750.0</v>
      </c>
      <c r="Q324" s="12"/>
      <c r="R324" s="12">
        <v>1325272.0</v>
      </c>
      <c r="S324" s="29" t="s">
        <v>40</v>
      </c>
      <c r="T324" s="19">
        <v>5173756.0</v>
      </c>
      <c r="U324" s="12"/>
      <c r="V324" s="12"/>
      <c r="W324" s="12"/>
      <c r="X324" s="12"/>
      <c r="Y324" s="57">
        <v>45433.39027777778</v>
      </c>
      <c r="Z324" s="57">
        <v>45434.09861111111</v>
      </c>
      <c r="AA324" s="12"/>
      <c r="AB324" s="12"/>
      <c r="AC324" s="12"/>
      <c r="AD324" s="12"/>
      <c r="AE324" s="12" t="s">
        <v>39</v>
      </c>
      <c r="AF324" s="1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</row>
    <row r="325" ht="15.75" customHeight="1">
      <c r="A325" s="9">
        <v>1.0437515E7</v>
      </c>
      <c r="B325" s="10"/>
      <c r="C325" s="11">
        <v>45428.708333333336</v>
      </c>
      <c r="D325" s="12">
        <v>26.0</v>
      </c>
      <c r="E325" s="13">
        <v>31599.0</v>
      </c>
      <c r="F325" s="12" t="s">
        <v>31</v>
      </c>
      <c r="G325" s="29" t="s">
        <v>44</v>
      </c>
      <c r="H325" s="12" t="s">
        <v>45</v>
      </c>
      <c r="I325" s="25" t="s">
        <v>46</v>
      </c>
      <c r="J325" s="55" t="s">
        <v>35</v>
      </c>
      <c r="K325" s="55" t="s">
        <v>47</v>
      </c>
      <c r="L325" s="28" t="s">
        <v>108</v>
      </c>
      <c r="M325" s="12" t="s">
        <v>281</v>
      </c>
      <c r="N325" s="40">
        <v>2173.0</v>
      </c>
      <c r="O325" s="17">
        <f t="shared" si="9"/>
        <v>0.782328578</v>
      </c>
      <c r="P325" s="39">
        <v>1700.0</v>
      </c>
      <c r="Q325" s="12" t="s">
        <v>39</v>
      </c>
      <c r="R325" s="12">
        <v>1323890.0</v>
      </c>
      <c r="S325" s="29" t="s">
        <v>40</v>
      </c>
      <c r="T325" s="19">
        <v>5165703.0</v>
      </c>
      <c r="U325" s="12"/>
      <c r="V325" s="12"/>
      <c r="W325" s="12"/>
      <c r="X325" s="12"/>
      <c r="Y325" s="57">
        <v>45429.51875</v>
      </c>
      <c r="Z325" s="57">
        <v>45429.65694444445</v>
      </c>
      <c r="AA325" s="12"/>
      <c r="AB325" s="12"/>
      <c r="AC325" s="12"/>
      <c r="AD325" s="12"/>
      <c r="AE325" s="12" t="s">
        <v>39</v>
      </c>
      <c r="AF325" s="1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</row>
    <row r="326" ht="15.75" customHeight="1">
      <c r="A326" s="9">
        <v>1.0437644E7</v>
      </c>
      <c r="B326" s="10"/>
      <c r="C326" s="11">
        <v>45430.666666666664</v>
      </c>
      <c r="D326" s="12">
        <v>26.0</v>
      </c>
      <c r="E326" s="13">
        <v>32500.0</v>
      </c>
      <c r="F326" s="9" t="s">
        <v>43</v>
      </c>
      <c r="G326" s="29" t="s">
        <v>44</v>
      </c>
      <c r="H326" s="29" t="s">
        <v>136</v>
      </c>
      <c r="I326" s="39" t="s">
        <v>137</v>
      </c>
      <c r="J326" s="25" t="s">
        <v>35</v>
      </c>
      <c r="K326" s="25" t="s">
        <v>138</v>
      </c>
      <c r="L326" s="28" t="s">
        <v>114</v>
      </c>
      <c r="M326" s="12" t="s">
        <v>184</v>
      </c>
      <c r="N326" s="40">
        <v>5310.0</v>
      </c>
      <c r="O326" s="17">
        <f t="shared" si="9"/>
        <v>0.7532956685</v>
      </c>
      <c r="P326" s="39">
        <v>4000.0</v>
      </c>
      <c r="Q326" s="12" t="s">
        <v>39</v>
      </c>
      <c r="R326" s="12">
        <v>1324451.0</v>
      </c>
      <c r="S326" s="29" t="s">
        <v>40</v>
      </c>
      <c r="T326" s="19">
        <v>5170080.0</v>
      </c>
      <c r="U326" s="12"/>
      <c r="V326" s="12"/>
      <c r="W326" s="12"/>
      <c r="X326" s="12"/>
      <c r="Y326" s="57">
        <v>45432.37291666667</v>
      </c>
      <c r="Z326" s="57">
        <v>45433.736805555556</v>
      </c>
      <c r="AA326" s="12"/>
      <c r="AB326" s="12"/>
      <c r="AC326" s="12"/>
      <c r="AD326" s="12"/>
      <c r="AE326" s="12" t="s">
        <v>39</v>
      </c>
      <c r="AF326" s="1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</row>
    <row r="327" ht="15.75" customHeight="1">
      <c r="A327" s="9">
        <v>1.0437645E7</v>
      </c>
      <c r="B327" s="10"/>
      <c r="C327" s="11">
        <v>45430.708333333336</v>
      </c>
      <c r="D327" s="12">
        <v>26.0</v>
      </c>
      <c r="E327" s="13">
        <v>32500.0</v>
      </c>
      <c r="F327" s="9" t="s">
        <v>43</v>
      </c>
      <c r="G327" s="29" t="s">
        <v>44</v>
      </c>
      <c r="H327" s="12" t="s">
        <v>136</v>
      </c>
      <c r="I327" s="28" t="s">
        <v>137</v>
      </c>
      <c r="J327" s="25" t="s">
        <v>35</v>
      </c>
      <c r="K327" s="12" t="s">
        <v>138</v>
      </c>
      <c r="L327" s="28" t="s">
        <v>114</v>
      </c>
      <c r="M327" s="12" t="s">
        <v>307</v>
      </c>
      <c r="N327" s="40">
        <v>5310.0</v>
      </c>
      <c r="O327" s="17">
        <f t="shared" si="9"/>
        <v>0.7532956685</v>
      </c>
      <c r="P327" s="39">
        <v>4000.0</v>
      </c>
      <c r="Q327" s="12" t="s">
        <v>39</v>
      </c>
      <c r="R327" s="12">
        <v>1325119.0</v>
      </c>
      <c r="S327" s="29" t="s">
        <v>40</v>
      </c>
      <c r="T327" s="19">
        <v>5172575.0</v>
      </c>
      <c r="U327" s="12"/>
      <c r="V327" s="12"/>
      <c r="W327" s="12"/>
      <c r="X327" s="12"/>
      <c r="Y327" s="57">
        <v>45433.811111111114</v>
      </c>
      <c r="Z327" s="57">
        <v>45434.924305555556</v>
      </c>
      <c r="AA327" s="12"/>
      <c r="AB327" s="12"/>
      <c r="AC327" s="12"/>
      <c r="AD327" s="12"/>
      <c r="AE327" s="12" t="s">
        <v>39</v>
      </c>
      <c r="AF327" s="1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</row>
    <row r="328" ht="15.75" customHeight="1">
      <c r="A328" s="9">
        <v>1.0437646E7</v>
      </c>
      <c r="B328" s="10"/>
      <c r="C328" s="11">
        <v>45430.666666666664</v>
      </c>
      <c r="D328" s="12" t="s">
        <v>52</v>
      </c>
      <c r="E328" s="12" t="s">
        <v>52</v>
      </c>
      <c r="F328" s="9" t="s">
        <v>43</v>
      </c>
      <c r="G328" s="29" t="s">
        <v>44</v>
      </c>
      <c r="H328" s="12" t="s">
        <v>335</v>
      </c>
      <c r="I328" s="28" t="s">
        <v>137</v>
      </c>
      <c r="J328" s="25" t="s">
        <v>138</v>
      </c>
      <c r="K328" s="12" t="s">
        <v>35</v>
      </c>
      <c r="L328" s="28" t="s">
        <v>43</v>
      </c>
      <c r="M328" s="12"/>
      <c r="N328" s="40">
        <v>3540.0</v>
      </c>
      <c r="O328" s="17">
        <f t="shared" si="9"/>
        <v>0.7062146893</v>
      </c>
      <c r="P328" s="39">
        <v>2500.0</v>
      </c>
      <c r="Q328" s="12"/>
      <c r="R328" s="12">
        <v>1326014.0</v>
      </c>
      <c r="S328" s="29" t="s">
        <v>40</v>
      </c>
      <c r="T328" s="19">
        <v>5179799.0</v>
      </c>
      <c r="U328" s="12"/>
      <c r="V328" s="12"/>
      <c r="W328" s="12"/>
      <c r="X328" s="12"/>
      <c r="Y328" s="12"/>
      <c r="Z328" s="80"/>
      <c r="AA328" s="12"/>
      <c r="AB328" s="12"/>
      <c r="AC328" s="12"/>
      <c r="AD328" s="12"/>
      <c r="AE328" s="12"/>
      <c r="AF328" s="1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</row>
    <row r="329" ht="15.75" customHeight="1">
      <c r="A329" s="9">
        <v>1.0437647E7</v>
      </c>
      <c r="B329" s="10"/>
      <c r="C329" s="11">
        <v>45430.666666666664</v>
      </c>
      <c r="D329" s="12" t="s">
        <v>52</v>
      </c>
      <c r="E329" s="12" t="s">
        <v>52</v>
      </c>
      <c r="F329" s="9" t="s">
        <v>43</v>
      </c>
      <c r="G329" s="29" t="s">
        <v>44</v>
      </c>
      <c r="H329" s="12" t="s">
        <v>336</v>
      </c>
      <c r="I329" s="28" t="s">
        <v>137</v>
      </c>
      <c r="J329" s="25" t="s">
        <v>138</v>
      </c>
      <c r="K329" s="12" t="s">
        <v>35</v>
      </c>
      <c r="L329" s="28" t="s">
        <v>43</v>
      </c>
      <c r="M329" s="12"/>
      <c r="N329" s="40">
        <v>3540.0</v>
      </c>
      <c r="O329" s="17">
        <f t="shared" si="9"/>
        <v>0.7062146893</v>
      </c>
      <c r="P329" s="39">
        <v>2500.0</v>
      </c>
      <c r="Q329" s="12"/>
      <c r="R329" s="12">
        <v>1326609.0</v>
      </c>
      <c r="S329" s="29" t="s">
        <v>40</v>
      </c>
      <c r="T329" s="19">
        <v>5184320.0</v>
      </c>
      <c r="U329" s="12"/>
      <c r="V329" s="12"/>
      <c r="W329" s="12"/>
      <c r="X329" s="12"/>
      <c r="Y329" s="57">
        <v>45436.478472222225</v>
      </c>
      <c r="Z329" s="57">
        <v>45436.96666666667</v>
      </c>
      <c r="AA329" s="12"/>
      <c r="AB329" s="12"/>
      <c r="AC329" s="12"/>
      <c r="AD329" s="12"/>
      <c r="AE329" s="12" t="s">
        <v>39</v>
      </c>
      <c r="AF329" s="1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</row>
    <row r="330" ht="15.75" customHeight="1">
      <c r="A330" s="9">
        <v>1.0442857E7</v>
      </c>
      <c r="B330" s="10"/>
      <c r="C330" s="11">
        <v>45433.833333333336</v>
      </c>
      <c r="D330" s="12">
        <v>21.0</v>
      </c>
      <c r="E330" s="13">
        <v>25600.0</v>
      </c>
      <c r="F330" s="12" t="s">
        <v>31</v>
      </c>
      <c r="G330" s="29" t="s">
        <v>74</v>
      </c>
      <c r="H330" s="12" t="s">
        <v>337</v>
      </c>
      <c r="I330" s="25" t="s">
        <v>338</v>
      </c>
      <c r="J330" s="25" t="s">
        <v>35</v>
      </c>
      <c r="K330" s="12" t="s">
        <v>339</v>
      </c>
      <c r="L330" s="28" t="s">
        <v>340</v>
      </c>
      <c r="M330" s="12" t="s">
        <v>341</v>
      </c>
      <c r="N330" s="40">
        <v>29800.0</v>
      </c>
      <c r="O330" s="17">
        <f t="shared" si="9"/>
        <v>0.8389261745</v>
      </c>
      <c r="P330" s="39">
        <v>25000.0</v>
      </c>
      <c r="Q330" s="12" t="s">
        <v>39</v>
      </c>
      <c r="R330" s="12">
        <v>1326455.0</v>
      </c>
      <c r="S330" s="29" t="s">
        <v>40</v>
      </c>
      <c r="T330" s="19">
        <v>5182915.0</v>
      </c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</row>
    <row r="331" ht="15.75" customHeight="1">
      <c r="A331" s="9">
        <v>1.0443623E7</v>
      </c>
      <c r="B331" s="10"/>
      <c r="C331" s="11">
        <v>45433.541666666664</v>
      </c>
      <c r="D331" s="12">
        <v>26.0</v>
      </c>
      <c r="E331" s="13">
        <v>31600.0</v>
      </c>
      <c r="F331" s="12" t="s">
        <v>31</v>
      </c>
      <c r="G331" s="29" t="s">
        <v>44</v>
      </c>
      <c r="H331" s="12" t="s">
        <v>104</v>
      </c>
      <c r="I331" s="25" t="s">
        <v>105</v>
      </c>
      <c r="J331" s="25" t="s">
        <v>35</v>
      </c>
      <c r="K331" s="12" t="s">
        <v>106</v>
      </c>
      <c r="L331" s="25" t="s">
        <v>59</v>
      </c>
      <c r="M331" s="12" t="s">
        <v>49</v>
      </c>
      <c r="N331" s="40">
        <v>5053.0</v>
      </c>
      <c r="O331" s="17">
        <f t="shared" si="9"/>
        <v>0.5937067089</v>
      </c>
      <c r="P331" s="39">
        <v>3000.0</v>
      </c>
      <c r="Q331" s="12" t="s">
        <v>39</v>
      </c>
      <c r="R331" s="12">
        <v>1325620.0</v>
      </c>
      <c r="S331" s="29" t="s">
        <v>40</v>
      </c>
      <c r="T331" s="19">
        <v>5176933.0</v>
      </c>
      <c r="U331" s="12"/>
      <c r="V331" s="12"/>
      <c r="W331" s="12"/>
      <c r="X331" s="12"/>
      <c r="Y331" s="57">
        <v>45434.51180555556</v>
      </c>
      <c r="Z331" s="57">
        <v>45434.57916666667</v>
      </c>
      <c r="AA331" s="12"/>
      <c r="AB331" s="12"/>
      <c r="AC331" s="12"/>
      <c r="AD331" s="12"/>
      <c r="AE331" s="12" t="s">
        <v>39</v>
      </c>
      <c r="AF331" s="1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</row>
    <row r="332" ht="15.75" customHeight="1">
      <c r="A332" s="9">
        <v>1.0443624E7</v>
      </c>
      <c r="B332" s="10"/>
      <c r="C332" s="11">
        <v>45433.541666666664</v>
      </c>
      <c r="D332" s="12">
        <v>26.0</v>
      </c>
      <c r="E332" s="13">
        <v>31600.0</v>
      </c>
      <c r="F332" s="12" t="s">
        <v>31</v>
      </c>
      <c r="G332" s="29" t="s">
        <v>44</v>
      </c>
      <c r="H332" s="12" t="s">
        <v>104</v>
      </c>
      <c r="I332" s="25" t="s">
        <v>105</v>
      </c>
      <c r="J332" s="25" t="s">
        <v>35</v>
      </c>
      <c r="K332" s="12" t="s">
        <v>106</v>
      </c>
      <c r="L332" s="25" t="s">
        <v>59</v>
      </c>
      <c r="M332" s="12" t="s">
        <v>143</v>
      </c>
      <c r="N332" s="40">
        <v>5053.0</v>
      </c>
      <c r="O332" s="17">
        <f t="shared" si="9"/>
        <v>0.5937067089</v>
      </c>
      <c r="P332" s="39">
        <v>3000.0</v>
      </c>
      <c r="Q332" s="12" t="s">
        <v>39</v>
      </c>
      <c r="R332" s="12">
        <v>1325699.0</v>
      </c>
      <c r="S332" s="29" t="s">
        <v>40</v>
      </c>
      <c r="T332" s="19">
        <v>5177473.0</v>
      </c>
      <c r="U332" s="12"/>
      <c r="V332" s="12"/>
      <c r="W332" s="12"/>
      <c r="X332" s="12"/>
      <c r="Y332" s="57">
        <v>45434.59444444445</v>
      </c>
      <c r="Z332" s="79">
        <v>45434.66180555556</v>
      </c>
      <c r="AA332" s="12"/>
      <c r="AB332" s="12"/>
      <c r="AC332" s="12"/>
      <c r="AD332" s="12"/>
      <c r="AE332" s="12" t="s">
        <v>39</v>
      </c>
      <c r="AF332" s="1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</row>
    <row r="333" ht="15.75" customHeight="1">
      <c r="A333" s="9">
        <v>1.0443683E7</v>
      </c>
      <c r="B333" s="10"/>
      <c r="C333" s="11">
        <v>45435.666666666664</v>
      </c>
      <c r="D333" s="12">
        <v>26.0</v>
      </c>
      <c r="E333" s="26">
        <v>32300.0</v>
      </c>
      <c r="F333" s="27" t="s">
        <v>43</v>
      </c>
      <c r="G333" s="25" t="s">
        <v>32</v>
      </c>
      <c r="H333" s="25" t="s">
        <v>124</v>
      </c>
      <c r="I333" s="25" t="s">
        <v>125</v>
      </c>
      <c r="J333" s="25" t="s">
        <v>35</v>
      </c>
      <c r="K333" s="25" t="s">
        <v>126</v>
      </c>
      <c r="L333" s="28" t="s">
        <v>114</v>
      </c>
      <c r="M333" s="12" t="s">
        <v>143</v>
      </c>
      <c r="N333" s="30">
        <v>6290.4</v>
      </c>
      <c r="O333" s="78">
        <f t="shared" si="9"/>
        <v>0.596146509</v>
      </c>
      <c r="P333" s="28">
        <v>3750.0</v>
      </c>
      <c r="Q333" s="12" t="s">
        <v>39</v>
      </c>
      <c r="R333" s="12">
        <v>1326915.0</v>
      </c>
      <c r="S333" s="29" t="s">
        <v>40</v>
      </c>
      <c r="T333" s="19">
        <v>5186528.0</v>
      </c>
      <c r="U333" s="12"/>
      <c r="V333" s="12"/>
      <c r="W333" s="12"/>
      <c r="X333" s="12"/>
      <c r="Y333" s="57">
        <v>45436.45138888889</v>
      </c>
      <c r="Z333" s="57">
        <v>45436.69027777778</v>
      </c>
      <c r="AA333" s="12"/>
      <c r="AB333" s="12"/>
      <c r="AC333" s="12"/>
      <c r="AD333" s="12"/>
      <c r="AE333" s="12" t="s">
        <v>39</v>
      </c>
      <c r="AF333" s="1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</row>
    <row r="334" ht="15.75" customHeight="1">
      <c r="A334" s="9">
        <v>1.0443684E7</v>
      </c>
      <c r="B334" s="10"/>
      <c r="C334" s="11">
        <v>45435.708333333336</v>
      </c>
      <c r="D334" s="12">
        <v>26.0</v>
      </c>
      <c r="E334" s="26">
        <v>32300.0</v>
      </c>
      <c r="F334" s="27" t="s">
        <v>43</v>
      </c>
      <c r="G334" s="25" t="s">
        <v>32</v>
      </c>
      <c r="H334" s="25" t="s">
        <v>124</v>
      </c>
      <c r="I334" s="25" t="s">
        <v>125</v>
      </c>
      <c r="J334" s="25" t="s">
        <v>35</v>
      </c>
      <c r="K334" s="25" t="s">
        <v>126</v>
      </c>
      <c r="L334" s="28" t="s">
        <v>114</v>
      </c>
      <c r="M334" s="12" t="s">
        <v>128</v>
      </c>
      <c r="N334" s="30">
        <v>6290.4</v>
      </c>
      <c r="O334" s="78">
        <f t="shared" si="9"/>
        <v>0.596146509</v>
      </c>
      <c r="P334" s="28">
        <v>3750.0</v>
      </c>
      <c r="Q334" s="12" t="s">
        <v>39</v>
      </c>
      <c r="R334" s="12">
        <v>1326803.0</v>
      </c>
      <c r="S334" s="29" t="s">
        <v>40</v>
      </c>
      <c r="T334" s="19">
        <v>5185713.0</v>
      </c>
      <c r="U334" s="12"/>
      <c r="V334" s="12"/>
      <c r="W334" s="12"/>
      <c r="X334" s="12"/>
      <c r="Y334" s="57">
        <v>45436.584027777775</v>
      </c>
      <c r="Z334" s="57">
        <v>45436.74375</v>
      </c>
      <c r="AA334" s="12"/>
      <c r="AB334" s="12"/>
      <c r="AC334" s="12"/>
      <c r="AD334" s="12"/>
      <c r="AE334" s="12" t="s">
        <v>39</v>
      </c>
      <c r="AF334" s="1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</row>
    <row r="335" ht="15.75" customHeight="1">
      <c r="A335" s="9">
        <v>1.0443685E7</v>
      </c>
      <c r="B335" s="10"/>
      <c r="C335" s="11">
        <v>45435.708333333336</v>
      </c>
      <c r="D335" s="12" t="s">
        <v>52</v>
      </c>
      <c r="E335" s="25" t="s">
        <v>52</v>
      </c>
      <c r="F335" s="27" t="s">
        <v>43</v>
      </c>
      <c r="G335" s="25" t="s">
        <v>32</v>
      </c>
      <c r="H335" s="25" t="s">
        <v>342</v>
      </c>
      <c r="I335" s="25" t="s">
        <v>125</v>
      </c>
      <c r="J335" s="25" t="s">
        <v>126</v>
      </c>
      <c r="K335" s="25" t="s">
        <v>35</v>
      </c>
      <c r="L335" s="28" t="s">
        <v>43</v>
      </c>
      <c r="M335" s="12"/>
      <c r="N335" s="30">
        <v>4193.6</v>
      </c>
      <c r="O335" s="78">
        <f t="shared" si="9"/>
        <v>0.596146509</v>
      </c>
      <c r="P335" s="28">
        <v>2500.0</v>
      </c>
      <c r="Q335" s="12"/>
      <c r="R335" s="12">
        <v>1327847.0</v>
      </c>
      <c r="S335" s="29" t="s">
        <v>40</v>
      </c>
      <c r="T335" s="19">
        <v>5192391.0</v>
      </c>
      <c r="U335" s="12"/>
      <c r="V335" s="12"/>
      <c r="W335" s="12"/>
      <c r="X335" s="12"/>
      <c r="Y335" s="57"/>
      <c r="Z335" s="57"/>
      <c r="AA335" s="12"/>
      <c r="AB335" s="12"/>
      <c r="AC335" s="12"/>
      <c r="AD335" s="12"/>
      <c r="AE335" s="12"/>
      <c r="AF335" s="1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</row>
    <row r="336" ht="15.75" customHeight="1">
      <c r="A336" s="9">
        <v>1.0443686E7</v>
      </c>
      <c r="B336" s="10"/>
      <c r="C336" s="11">
        <v>45435.666666666664</v>
      </c>
      <c r="D336" s="12" t="s">
        <v>52</v>
      </c>
      <c r="E336" s="25" t="s">
        <v>52</v>
      </c>
      <c r="F336" s="27" t="s">
        <v>43</v>
      </c>
      <c r="G336" s="25" t="s">
        <v>32</v>
      </c>
      <c r="H336" s="25" t="s">
        <v>343</v>
      </c>
      <c r="I336" s="25" t="s">
        <v>125</v>
      </c>
      <c r="J336" s="25" t="s">
        <v>126</v>
      </c>
      <c r="K336" s="25" t="s">
        <v>35</v>
      </c>
      <c r="L336" s="28" t="s">
        <v>43</v>
      </c>
      <c r="M336" s="12"/>
      <c r="N336" s="30">
        <v>4193.6</v>
      </c>
      <c r="O336" s="78">
        <f t="shared" si="9"/>
        <v>0.596146509</v>
      </c>
      <c r="P336" s="28">
        <v>2500.0</v>
      </c>
      <c r="Q336" s="12"/>
      <c r="R336" s="12">
        <v>1327641.0</v>
      </c>
      <c r="S336" s="29" t="s">
        <v>40</v>
      </c>
      <c r="T336" s="19">
        <v>5191045.0</v>
      </c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</row>
    <row r="337" ht="15.75" customHeight="1">
      <c r="A337" s="9">
        <v>1.0444102E7</v>
      </c>
      <c r="B337" s="10"/>
      <c r="C337" s="11">
        <v>45433.541666666664</v>
      </c>
      <c r="D337" s="12">
        <v>26.0</v>
      </c>
      <c r="E337" s="26">
        <v>33400.0</v>
      </c>
      <c r="F337" s="25" t="s">
        <v>31</v>
      </c>
      <c r="G337" s="25" t="s">
        <v>32</v>
      </c>
      <c r="H337" s="25" t="s">
        <v>265</v>
      </c>
      <c r="I337" s="28" t="s">
        <v>266</v>
      </c>
      <c r="J337" s="25" t="s">
        <v>35</v>
      </c>
      <c r="K337" s="25" t="s">
        <v>267</v>
      </c>
      <c r="L337" s="28" t="s">
        <v>114</v>
      </c>
      <c r="M337" s="12" t="s">
        <v>279</v>
      </c>
      <c r="N337" s="30">
        <v>6677.0</v>
      </c>
      <c r="O337" s="78">
        <f t="shared" si="9"/>
        <v>0.6365134042</v>
      </c>
      <c r="P337" s="28">
        <v>4250.0</v>
      </c>
      <c r="Q337" s="12" t="s">
        <v>39</v>
      </c>
      <c r="R337" s="12">
        <v>1325301.0</v>
      </c>
      <c r="S337" s="29" t="s">
        <v>40</v>
      </c>
      <c r="T337" s="42">
        <v>5174075.0</v>
      </c>
      <c r="U337" s="12"/>
      <c r="V337" s="12"/>
      <c r="W337" s="12"/>
      <c r="X337" s="12"/>
      <c r="Y337" s="57">
        <v>45433.89027777778</v>
      </c>
      <c r="Z337" s="57">
        <v>45434.59166666667</v>
      </c>
      <c r="AA337" s="12"/>
      <c r="AB337" s="12"/>
      <c r="AC337" s="12"/>
      <c r="AD337" s="12"/>
      <c r="AE337" s="12" t="s">
        <v>39</v>
      </c>
      <c r="AF337" s="1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</row>
    <row r="338" ht="15.75" customHeight="1">
      <c r="A338" s="9">
        <v>1.0444103E7</v>
      </c>
      <c r="B338" s="10"/>
      <c r="C338" s="11">
        <v>45435.333333333336</v>
      </c>
      <c r="D338" s="12">
        <v>26.0</v>
      </c>
      <c r="E338" s="26">
        <v>31600.0</v>
      </c>
      <c r="F338" s="25" t="s">
        <v>31</v>
      </c>
      <c r="G338" s="25" t="s">
        <v>32</v>
      </c>
      <c r="H338" s="25" t="s">
        <v>265</v>
      </c>
      <c r="I338" s="28" t="s">
        <v>266</v>
      </c>
      <c r="J338" s="25" t="s">
        <v>35</v>
      </c>
      <c r="K338" s="25" t="s">
        <v>267</v>
      </c>
      <c r="L338" s="28" t="s">
        <v>114</v>
      </c>
      <c r="M338" s="12" t="s">
        <v>277</v>
      </c>
      <c r="N338" s="30">
        <v>6200.0</v>
      </c>
      <c r="O338" s="78">
        <f t="shared" si="9"/>
        <v>0.685483871</v>
      </c>
      <c r="P338" s="28">
        <v>4250.0</v>
      </c>
      <c r="Q338" s="12" t="s">
        <v>39</v>
      </c>
      <c r="R338" s="12">
        <v>1326550.0</v>
      </c>
      <c r="S338" s="29" t="s">
        <v>40</v>
      </c>
      <c r="T338" s="19">
        <v>5183947.0</v>
      </c>
      <c r="U338" s="12"/>
      <c r="V338" s="12"/>
      <c r="W338" s="12"/>
      <c r="X338" s="12"/>
      <c r="Y338" s="57">
        <v>45436.51944444444</v>
      </c>
      <c r="Z338" s="57">
        <v>45439.53472222222</v>
      </c>
      <c r="AA338" s="12"/>
      <c r="AB338" s="12"/>
      <c r="AC338" s="12"/>
      <c r="AD338" s="12"/>
      <c r="AE338" s="12" t="s">
        <v>39</v>
      </c>
      <c r="AF338" s="1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</row>
    <row r="339" ht="15.75" customHeight="1">
      <c r="A339" s="9">
        <v>1.0444104E7</v>
      </c>
      <c r="B339" s="10"/>
      <c r="C339" s="11">
        <v>45435.458333333336</v>
      </c>
      <c r="D339" s="12">
        <v>26.0</v>
      </c>
      <c r="E339" s="26">
        <v>33400.0</v>
      </c>
      <c r="F339" s="25" t="s">
        <v>31</v>
      </c>
      <c r="G339" s="25" t="s">
        <v>32</v>
      </c>
      <c r="H339" s="25" t="s">
        <v>265</v>
      </c>
      <c r="I339" s="28" t="s">
        <v>266</v>
      </c>
      <c r="J339" s="25" t="s">
        <v>35</v>
      </c>
      <c r="K339" s="25" t="s">
        <v>267</v>
      </c>
      <c r="L339" s="28" t="s">
        <v>114</v>
      </c>
      <c r="M339" s="12" t="s">
        <v>169</v>
      </c>
      <c r="N339" s="30">
        <v>6677.0</v>
      </c>
      <c r="O339" s="78">
        <f t="shared" si="9"/>
        <v>0.6365134042</v>
      </c>
      <c r="P339" s="28">
        <v>4250.0</v>
      </c>
      <c r="Q339" s="12" t="s">
        <v>39</v>
      </c>
      <c r="R339" s="12">
        <v>1326583.0</v>
      </c>
      <c r="S339" s="29" t="s">
        <v>40</v>
      </c>
      <c r="T339" s="19">
        <v>5184192.0</v>
      </c>
      <c r="U339" s="12"/>
      <c r="V339" s="12"/>
      <c r="W339" s="12"/>
      <c r="X339" s="12"/>
      <c r="Y339" s="57"/>
      <c r="Z339" s="57"/>
      <c r="AA339" s="12"/>
      <c r="AB339" s="12"/>
      <c r="AC339" s="12"/>
      <c r="AD339" s="12"/>
      <c r="AE339" s="12"/>
      <c r="AF339" s="1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</row>
    <row r="340" ht="15.75" customHeight="1">
      <c r="A340" s="9">
        <v>1.0444105E7</v>
      </c>
      <c r="B340" s="10"/>
      <c r="C340" s="11">
        <v>45433.541666666664</v>
      </c>
      <c r="D340" s="12">
        <v>26.0</v>
      </c>
      <c r="E340" s="26">
        <v>33400.0</v>
      </c>
      <c r="F340" s="25" t="s">
        <v>31</v>
      </c>
      <c r="G340" s="25" t="s">
        <v>32</v>
      </c>
      <c r="H340" s="25" t="s">
        <v>265</v>
      </c>
      <c r="I340" s="28" t="s">
        <v>266</v>
      </c>
      <c r="J340" s="25" t="s">
        <v>35</v>
      </c>
      <c r="K340" s="25" t="s">
        <v>267</v>
      </c>
      <c r="L340" s="28" t="s">
        <v>114</v>
      </c>
      <c r="M340" s="12" t="s">
        <v>344</v>
      </c>
      <c r="N340" s="30">
        <v>6677.0</v>
      </c>
      <c r="O340" s="78">
        <f t="shared" si="9"/>
        <v>0.6365134042</v>
      </c>
      <c r="P340" s="28">
        <v>4250.0</v>
      </c>
      <c r="Q340" s="12" t="s">
        <v>39</v>
      </c>
      <c r="R340" s="12">
        <v>1325180.0</v>
      </c>
      <c r="S340" s="29" t="s">
        <v>40</v>
      </c>
      <c r="T340" s="19">
        <v>5173179.0</v>
      </c>
      <c r="U340" s="12"/>
      <c r="V340" s="12"/>
      <c r="W340" s="12"/>
      <c r="X340" s="12"/>
      <c r="Y340" s="57">
        <v>45433.8875</v>
      </c>
      <c r="Z340" s="57">
        <v>45434.686111111114</v>
      </c>
      <c r="AA340" s="12"/>
      <c r="AB340" s="12"/>
      <c r="AC340" s="12"/>
      <c r="AD340" s="12"/>
      <c r="AE340" s="12" t="s">
        <v>39</v>
      </c>
      <c r="AF340" s="1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</row>
    <row r="341" ht="15.75" customHeight="1">
      <c r="A341" s="9">
        <v>1.0444106E7</v>
      </c>
      <c r="B341" s="10"/>
      <c r="C341" s="11">
        <v>45433.541666666664</v>
      </c>
      <c r="D341" s="12">
        <v>26.0</v>
      </c>
      <c r="E341" s="26">
        <v>33400.0</v>
      </c>
      <c r="F341" s="25" t="s">
        <v>31</v>
      </c>
      <c r="G341" s="25" t="s">
        <v>32</v>
      </c>
      <c r="H341" s="25" t="s">
        <v>265</v>
      </c>
      <c r="I341" s="28" t="s">
        <v>266</v>
      </c>
      <c r="J341" s="25" t="s">
        <v>35</v>
      </c>
      <c r="K341" s="25" t="s">
        <v>267</v>
      </c>
      <c r="L341" s="28" t="s">
        <v>114</v>
      </c>
      <c r="M341" s="12" t="s">
        <v>298</v>
      </c>
      <c r="N341" s="30">
        <v>6677.0</v>
      </c>
      <c r="O341" s="78">
        <f t="shared" si="9"/>
        <v>0.6365134042</v>
      </c>
      <c r="P341" s="28">
        <v>4250.0</v>
      </c>
      <c r="Q341" s="12" t="s">
        <v>39</v>
      </c>
      <c r="R341" s="12">
        <v>1325179.0</v>
      </c>
      <c r="S341" s="29" t="s">
        <v>40</v>
      </c>
      <c r="T341" s="19">
        <v>5173168.0</v>
      </c>
      <c r="U341" s="12"/>
      <c r="V341" s="12"/>
      <c r="W341" s="12"/>
      <c r="X341" s="12"/>
      <c r="Y341" s="57">
        <v>45433.745833333334</v>
      </c>
      <c r="Z341" s="57">
        <v>45434.42152777778</v>
      </c>
      <c r="AA341" s="12"/>
      <c r="AB341" s="12"/>
      <c r="AC341" s="12"/>
      <c r="AD341" s="12"/>
      <c r="AE341" s="12" t="s">
        <v>39</v>
      </c>
      <c r="AF341" s="1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</row>
    <row r="342" ht="15.75" customHeight="1">
      <c r="A342" s="9">
        <v>1.044418E7</v>
      </c>
      <c r="B342" s="10"/>
      <c r="C342" s="11">
        <v>45433.583333333336</v>
      </c>
      <c r="D342" s="12">
        <v>26.0</v>
      </c>
      <c r="E342" s="26">
        <v>31900.0</v>
      </c>
      <c r="F342" s="25" t="s">
        <v>31</v>
      </c>
      <c r="G342" s="25" t="s">
        <v>74</v>
      </c>
      <c r="H342" s="25" t="s">
        <v>308</v>
      </c>
      <c r="I342" s="25" t="s">
        <v>309</v>
      </c>
      <c r="J342" s="25" t="s">
        <v>35</v>
      </c>
      <c r="K342" s="25" t="s">
        <v>310</v>
      </c>
      <c r="L342" s="28" t="s">
        <v>94</v>
      </c>
      <c r="M342" s="12" t="s">
        <v>52</v>
      </c>
      <c r="N342" s="30">
        <v>7000.0</v>
      </c>
      <c r="O342" s="78">
        <f t="shared" si="9"/>
        <v>0.6428571429</v>
      </c>
      <c r="P342" s="28">
        <v>4500.0</v>
      </c>
      <c r="Q342" s="12"/>
      <c r="R342" s="12"/>
      <c r="S342" s="29" t="s">
        <v>131</v>
      </c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</row>
    <row r="343" ht="15.75" customHeight="1">
      <c r="A343" s="9">
        <v>1.0444423E7</v>
      </c>
      <c r="B343" s="10"/>
      <c r="C343" s="11">
        <v>45433.25</v>
      </c>
      <c r="D343" s="12">
        <v>26.0</v>
      </c>
      <c r="E343" s="13">
        <v>31900.0</v>
      </c>
      <c r="F343" s="12" t="s">
        <v>31</v>
      </c>
      <c r="G343" s="29" t="s">
        <v>74</v>
      </c>
      <c r="H343" s="29" t="s">
        <v>318</v>
      </c>
      <c r="I343" s="25" t="s">
        <v>319</v>
      </c>
      <c r="J343" s="25" t="s">
        <v>35</v>
      </c>
      <c r="K343" s="14" t="s">
        <v>320</v>
      </c>
      <c r="L343" s="28" t="s">
        <v>94</v>
      </c>
      <c r="M343" s="12" t="s">
        <v>52</v>
      </c>
      <c r="N343" s="40">
        <v>6700.0</v>
      </c>
      <c r="O343" s="17">
        <f t="shared" si="9"/>
        <v>0.6343283582</v>
      </c>
      <c r="P343" s="39">
        <v>4250.0</v>
      </c>
      <c r="Q343" s="12"/>
      <c r="R343" s="12"/>
      <c r="S343" s="29" t="s">
        <v>131</v>
      </c>
      <c r="T343" s="12"/>
      <c r="U343" s="12"/>
      <c r="V343" s="12"/>
      <c r="W343" s="12"/>
      <c r="X343" s="12"/>
      <c r="Y343" s="57"/>
      <c r="Z343" s="57"/>
      <c r="AA343" s="12"/>
      <c r="AB343" s="12"/>
      <c r="AC343" s="12"/>
      <c r="AD343" s="12"/>
      <c r="AE343" s="12"/>
      <c r="AF343" s="1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</row>
    <row r="344" ht="15.75" customHeight="1">
      <c r="A344" s="9">
        <v>1.0444424E7</v>
      </c>
      <c r="B344" s="10"/>
      <c r="C344" s="11">
        <v>45433.25</v>
      </c>
      <c r="D344" s="12">
        <v>26.0</v>
      </c>
      <c r="E344" s="13">
        <v>31900.0</v>
      </c>
      <c r="F344" s="12" t="s">
        <v>31</v>
      </c>
      <c r="G344" s="29" t="s">
        <v>74</v>
      </c>
      <c r="H344" s="29" t="s">
        <v>318</v>
      </c>
      <c r="I344" s="25" t="s">
        <v>319</v>
      </c>
      <c r="J344" s="25" t="s">
        <v>35</v>
      </c>
      <c r="K344" s="14" t="s">
        <v>320</v>
      </c>
      <c r="L344" s="28" t="s">
        <v>94</v>
      </c>
      <c r="M344" s="12" t="s">
        <v>282</v>
      </c>
      <c r="N344" s="40">
        <v>6700.0</v>
      </c>
      <c r="O344" s="17">
        <f t="shared" si="9"/>
        <v>0.6343283582</v>
      </c>
      <c r="P344" s="39">
        <v>4250.0</v>
      </c>
      <c r="Q344" s="12" t="s">
        <v>39</v>
      </c>
      <c r="R344" s="12">
        <v>1325638.0</v>
      </c>
      <c r="S344" s="29" t="s">
        <v>40</v>
      </c>
      <c r="T344" s="19">
        <v>5177007.0</v>
      </c>
      <c r="U344" s="12"/>
      <c r="V344" s="12"/>
      <c r="W344" s="12"/>
      <c r="X344" s="12"/>
      <c r="Y344" s="57">
        <v>45435.38611111111</v>
      </c>
      <c r="Z344" s="57">
        <v>45435.47638888889</v>
      </c>
      <c r="AA344" s="12"/>
      <c r="AB344" s="12"/>
      <c r="AC344" s="12"/>
      <c r="AD344" s="12"/>
      <c r="AE344" s="12" t="s">
        <v>39</v>
      </c>
      <c r="AF344" s="1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</row>
    <row r="345" ht="15.75" customHeight="1">
      <c r="A345" s="9">
        <v>1.0444425E7</v>
      </c>
      <c r="B345" s="10"/>
      <c r="C345" s="11">
        <v>45433.25</v>
      </c>
      <c r="D345" s="29">
        <v>26.0</v>
      </c>
      <c r="E345" s="37">
        <v>31900.0</v>
      </c>
      <c r="F345" s="29" t="s">
        <v>31</v>
      </c>
      <c r="G345" s="29" t="s">
        <v>74</v>
      </c>
      <c r="H345" s="12" t="s">
        <v>318</v>
      </c>
      <c r="I345" s="12" t="s">
        <v>319</v>
      </c>
      <c r="J345" s="12" t="s">
        <v>35</v>
      </c>
      <c r="K345" s="14" t="s">
        <v>320</v>
      </c>
      <c r="L345" s="15" t="s">
        <v>94</v>
      </c>
      <c r="M345" s="12" t="s">
        <v>345</v>
      </c>
      <c r="N345" s="24">
        <v>6700.0</v>
      </c>
      <c r="O345" s="17">
        <f t="shared" si="9"/>
        <v>0.6343283582</v>
      </c>
      <c r="P345" s="15">
        <v>4250.0</v>
      </c>
      <c r="Q345" s="12" t="s">
        <v>39</v>
      </c>
      <c r="R345" s="12">
        <v>1325643.0</v>
      </c>
      <c r="S345" s="12" t="s">
        <v>40</v>
      </c>
      <c r="T345" s="19">
        <v>5177055.0</v>
      </c>
      <c r="U345" s="12"/>
      <c r="V345" s="12"/>
      <c r="W345" s="12"/>
      <c r="X345" s="12"/>
      <c r="Y345" s="57">
        <v>45434.58125</v>
      </c>
      <c r="Z345" s="57">
        <v>45434.822222222225</v>
      </c>
      <c r="AA345" s="12"/>
      <c r="AB345" s="12"/>
      <c r="AC345" s="12"/>
      <c r="AD345" s="12"/>
      <c r="AE345" s="12" t="s">
        <v>39</v>
      </c>
      <c r="AF345" s="1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</row>
    <row r="346" ht="15.75" customHeight="1">
      <c r="A346" s="9">
        <v>1.0446584E7</v>
      </c>
      <c r="B346" s="10"/>
      <c r="C346" s="11">
        <v>45436.416666666664</v>
      </c>
      <c r="D346" s="12">
        <v>26.0</v>
      </c>
      <c r="E346" s="13">
        <v>31600.0</v>
      </c>
      <c r="F346" s="12" t="s">
        <v>31</v>
      </c>
      <c r="G346" s="29" t="s">
        <v>32</v>
      </c>
      <c r="H346" s="29" t="s">
        <v>265</v>
      </c>
      <c r="I346" s="39" t="s">
        <v>266</v>
      </c>
      <c r="J346" s="25" t="s">
        <v>35</v>
      </c>
      <c r="K346" s="29" t="s">
        <v>267</v>
      </c>
      <c r="L346" s="28" t="s">
        <v>114</v>
      </c>
      <c r="M346" s="29" t="s">
        <v>166</v>
      </c>
      <c r="N346" s="40">
        <v>6200.0</v>
      </c>
      <c r="O346" s="17">
        <f t="shared" si="9"/>
        <v>0.685483871</v>
      </c>
      <c r="P346" s="39">
        <v>4250.0</v>
      </c>
      <c r="Q346" s="12" t="s">
        <v>39</v>
      </c>
      <c r="R346" s="12">
        <v>1327679.0</v>
      </c>
      <c r="S346" s="29" t="s">
        <v>40</v>
      </c>
      <c r="T346" s="42">
        <v>5191348.0</v>
      </c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</row>
    <row r="347" ht="15.75" customHeight="1">
      <c r="A347" s="9">
        <v>1.0446585E7</v>
      </c>
      <c r="B347" s="10"/>
      <c r="C347" s="11">
        <v>45436.416666666664</v>
      </c>
      <c r="D347" s="12">
        <v>26.0</v>
      </c>
      <c r="E347" s="13">
        <v>31600.0</v>
      </c>
      <c r="F347" s="12" t="s">
        <v>31</v>
      </c>
      <c r="G347" s="29" t="s">
        <v>32</v>
      </c>
      <c r="H347" s="29" t="s">
        <v>265</v>
      </c>
      <c r="I347" s="39" t="s">
        <v>266</v>
      </c>
      <c r="J347" s="25" t="s">
        <v>35</v>
      </c>
      <c r="K347" s="29" t="s">
        <v>267</v>
      </c>
      <c r="L347" s="28" t="s">
        <v>114</v>
      </c>
      <c r="M347" s="29" t="s">
        <v>307</v>
      </c>
      <c r="N347" s="40">
        <v>6200.0</v>
      </c>
      <c r="O347" s="17">
        <f t="shared" si="9"/>
        <v>0.685483871</v>
      </c>
      <c r="P347" s="39">
        <v>4250.0</v>
      </c>
      <c r="Q347" s="12" t="s">
        <v>39</v>
      </c>
      <c r="R347" s="12">
        <v>1327597.0</v>
      </c>
      <c r="S347" s="29" t="s">
        <v>40</v>
      </c>
      <c r="T347" s="42">
        <v>5190837.0</v>
      </c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</row>
    <row r="348" ht="15.75" customHeight="1">
      <c r="A348" s="9">
        <v>1.0446789E7</v>
      </c>
      <c r="B348" s="10"/>
      <c r="C348" s="11">
        <v>45436.791666666664</v>
      </c>
      <c r="D348" s="12">
        <v>26.0</v>
      </c>
      <c r="E348" s="13">
        <v>31625.0</v>
      </c>
      <c r="F348" s="12" t="s">
        <v>31</v>
      </c>
      <c r="G348" s="29" t="s">
        <v>32</v>
      </c>
      <c r="H348" s="29" t="s">
        <v>265</v>
      </c>
      <c r="I348" s="39" t="s">
        <v>266</v>
      </c>
      <c r="J348" s="25" t="s">
        <v>35</v>
      </c>
      <c r="K348" s="29" t="s">
        <v>267</v>
      </c>
      <c r="L348" s="28" t="s">
        <v>114</v>
      </c>
      <c r="M348" s="29" t="s">
        <v>52</v>
      </c>
      <c r="N348" s="40">
        <v>6200.0</v>
      </c>
      <c r="O348" s="17">
        <f t="shared" si="9"/>
        <v>0.685483871</v>
      </c>
      <c r="P348" s="39">
        <v>4250.0</v>
      </c>
      <c r="Q348" s="12"/>
      <c r="R348" s="12" t="s">
        <v>52</v>
      </c>
      <c r="S348" s="29" t="s">
        <v>165</v>
      </c>
      <c r="T348" s="29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</row>
    <row r="349" ht="15.75" customHeight="1">
      <c r="A349" s="9">
        <v>1.044679E7</v>
      </c>
      <c r="B349" s="10"/>
      <c r="C349" s="11">
        <v>45436.791666666664</v>
      </c>
      <c r="D349" s="12">
        <v>26.0</v>
      </c>
      <c r="E349" s="13">
        <v>31625.0</v>
      </c>
      <c r="F349" s="12" t="s">
        <v>31</v>
      </c>
      <c r="G349" s="29" t="s">
        <v>32</v>
      </c>
      <c r="H349" s="29" t="s">
        <v>265</v>
      </c>
      <c r="I349" s="39" t="s">
        <v>266</v>
      </c>
      <c r="J349" s="25" t="s">
        <v>35</v>
      </c>
      <c r="K349" s="29" t="s">
        <v>267</v>
      </c>
      <c r="L349" s="28" t="s">
        <v>114</v>
      </c>
      <c r="M349" s="29" t="s">
        <v>52</v>
      </c>
      <c r="N349" s="40">
        <v>6200.0</v>
      </c>
      <c r="O349" s="17">
        <f t="shared" si="9"/>
        <v>0.685483871</v>
      </c>
      <c r="P349" s="39">
        <v>4250.0</v>
      </c>
      <c r="Q349" s="12"/>
      <c r="R349" s="12" t="s">
        <v>52</v>
      </c>
      <c r="S349" s="29" t="s">
        <v>165</v>
      </c>
      <c r="T349" s="29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</row>
    <row r="350" ht="15.75" customHeight="1">
      <c r="A350" s="9">
        <v>1.0446811E7</v>
      </c>
      <c r="B350" s="10"/>
      <c r="C350" s="11">
        <v>45435.833333333336</v>
      </c>
      <c r="D350" s="12">
        <v>26.0</v>
      </c>
      <c r="E350" s="13">
        <v>31774.0</v>
      </c>
      <c r="F350" s="12" t="s">
        <v>31</v>
      </c>
      <c r="G350" s="29" t="s">
        <v>32</v>
      </c>
      <c r="H350" s="29" t="s">
        <v>224</v>
      </c>
      <c r="I350" s="29" t="s">
        <v>225</v>
      </c>
      <c r="J350" s="55" t="s">
        <v>35</v>
      </c>
      <c r="K350" s="29" t="s">
        <v>226</v>
      </c>
      <c r="L350" s="25" t="s">
        <v>227</v>
      </c>
      <c r="M350" s="29" t="s">
        <v>346</v>
      </c>
      <c r="N350" s="40">
        <v>15376.0</v>
      </c>
      <c r="O350" s="17">
        <f t="shared" si="9"/>
        <v>0.650364204</v>
      </c>
      <c r="P350" s="39">
        <v>10000.0</v>
      </c>
      <c r="Q350" s="12" t="s">
        <v>39</v>
      </c>
      <c r="R350" s="12">
        <v>1327069.0</v>
      </c>
      <c r="S350" s="29" t="s">
        <v>40</v>
      </c>
      <c r="T350" s="42">
        <v>5187229.0</v>
      </c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</row>
    <row r="351" ht="15.75" customHeight="1">
      <c r="A351" s="9">
        <v>1.0447304E7</v>
      </c>
      <c r="B351" s="10"/>
      <c r="C351" s="11">
        <v>45439.416666666664</v>
      </c>
      <c r="D351" s="12">
        <v>26.0</v>
      </c>
      <c r="E351" s="13">
        <v>31900.0</v>
      </c>
      <c r="F351" s="12" t="s">
        <v>31</v>
      </c>
      <c r="G351" s="29" t="s">
        <v>44</v>
      </c>
      <c r="H351" s="29" t="s">
        <v>136</v>
      </c>
      <c r="I351" s="39" t="s">
        <v>137</v>
      </c>
      <c r="J351" s="25" t="s">
        <v>35</v>
      </c>
      <c r="K351" s="29" t="s">
        <v>138</v>
      </c>
      <c r="L351" s="28" t="s">
        <v>114</v>
      </c>
      <c r="M351" s="29" t="s">
        <v>128</v>
      </c>
      <c r="N351" s="40">
        <v>5174.0</v>
      </c>
      <c r="O351" s="17">
        <f t="shared" si="9"/>
        <v>0.7730962505</v>
      </c>
      <c r="P351" s="39">
        <v>4000.0</v>
      </c>
      <c r="Q351" s="12" t="s">
        <v>39</v>
      </c>
      <c r="R351" s="12">
        <v>1328885.0</v>
      </c>
      <c r="S351" s="29" t="s">
        <v>40</v>
      </c>
      <c r="T351" s="42">
        <v>5197292.0</v>
      </c>
      <c r="U351" s="12"/>
      <c r="V351" s="12"/>
      <c r="W351" s="12"/>
      <c r="X351" s="12"/>
      <c r="Y351" s="57">
        <v>45440.080555555556</v>
      </c>
      <c r="Z351" s="57">
        <v>45440.88402777778</v>
      </c>
      <c r="AA351" s="12"/>
      <c r="AB351" s="12"/>
      <c r="AC351" s="12"/>
      <c r="AD351" s="12"/>
      <c r="AE351" s="12" t="s">
        <v>39</v>
      </c>
      <c r="AF351" s="1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</row>
    <row r="352" ht="15.75" customHeight="1">
      <c r="A352" s="9">
        <v>1.0447869E7</v>
      </c>
      <c r="B352" s="10"/>
      <c r="C352" s="11">
        <v>45434.708333333336</v>
      </c>
      <c r="D352" s="12">
        <v>26.0</v>
      </c>
      <c r="E352" s="26">
        <v>32000.0</v>
      </c>
      <c r="F352" s="25" t="s">
        <v>31</v>
      </c>
      <c r="G352" s="29" t="s">
        <v>44</v>
      </c>
      <c r="H352" s="12" t="s">
        <v>268</v>
      </c>
      <c r="I352" s="29" t="s">
        <v>269</v>
      </c>
      <c r="J352" s="12" t="s">
        <v>35</v>
      </c>
      <c r="K352" s="12" t="s">
        <v>270</v>
      </c>
      <c r="L352" s="25" t="s">
        <v>94</v>
      </c>
      <c r="M352" s="12" t="s">
        <v>183</v>
      </c>
      <c r="N352" s="40">
        <v>6677.0</v>
      </c>
      <c r="O352" s="17">
        <f t="shared" si="9"/>
        <v>0.6365134042</v>
      </c>
      <c r="P352" s="39">
        <v>4250.0</v>
      </c>
      <c r="Q352" s="12" t="s">
        <v>39</v>
      </c>
      <c r="R352" s="12">
        <v>1326232.0</v>
      </c>
      <c r="S352" s="29" t="s">
        <v>40</v>
      </c>
      <c r="T352" s="42">
        <v>5181317.0</v>
      </c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</row>
    <row r="353" ht="15.75" customHeight="1">
      <c r="A353" s="9">
        <v>1.0448117E7</v>
      </c>
      <c r="B353" s="10"/>
      <c r="C353" s="11">
        <v>45435.708333333336</v>
      </c>
      <c r="D353" s="12">
        <v>26.0</v>
      </c>
      <c r="E353" s="13">
        <v>31625.0</v>
      </c>
      <c r="F353" s="25" t="s">
        <v>31</v>
      </c>
      <c r="G353" s="12" t="s">
        <v>32</v>
      </c>
      <c r="H353" s="29" t="s">
        <v>265</v>
      </c>
      <c r="I353" s="39" t="s">
        <v>266</v>
      </c>
      <c r="J353" s="25" t="s">
        <v>35</v>
      </c>
      <c r="K353" s="12" t="s">
        <v>267</v>
      </c>
      <c r="L353" s="15" t="s">
        <v>114</v>
      </c>
      <c r="M353" s="74" t="s">
        <v>347</v>
      </c>
      <c r="N353" s="40">
        <v>6200.0</v>
      </c>
      <c r="O353" s="17">
        <f t="shared" si="9"/>
        <v>0.685483871</v>
      </c>
      <c r="P353" s="39">
        <v>4250.0</v>
      </c>
      <c r="Q353" s="12" t="s">
        <v>39</v>
      </c>
      <c r="R353" s="12">
        <v>1327060.0</v>
      </c>
      <c r="S353" s="29" t="s">
        <v>40</v>
      </c>
      <c r="T353" s="42">
        <v>5187174.0</v>
      </c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</row>
    <row r="354" ht="15.75" customHeight="1">
      <c r="A354" s="9">
        <v>1.0448118E7</v>
      </c>
      <c r="B354" s="10"/>
      <c r="C354" s="11">
        <v>45435.75</v>
      </c>
      <c r="D354" s="12">
        <v>26.0</v>
      </c>
      <c r="E354" s="26">
        <v>31625.0</v>
      </c>
      <c r="F354" s="25" t="s">
        <v>31</v>
      </c>
      <c r="G354" s="29" t="s">
        <v>32</v>
      </c>
      <c r="H354" s="12" t="s">
        <v>265</v>
      </c>
      <c r="I354" s="28" t="s">
        <v>266</v>
      </c>
      <c r="J354" s="25" t="s">
        <v>35</v>
      </c>
      <c r="K354" s="25" t="s">
        <v>267</v>
      </c>
      <c r="L354" s="28" t="s">
        <v>114</v>
      </c>
      <c r="M354" s="29" t="s">
        <v>348</v>
      </c>
      <c r="N354" s="40">
        <v>6200.0</v>
      </c>
      <c r="O354" s="17">
        <f t="shared" si="9"/>
        <v>0.685483871</v>
      </c>
      <c r="P354" s="39">
        <v>4250.0</v>
      </c>
      <c r="Q354" s="12" t="s">
        <v>39</v>
      </c>
      <c r="R354" s="12">
        <v>1326613.0</v>
      </c>
      <c r="S354" s="29" t="s">
        <v>40</v>
      </c>
      <c r="T354" s="42">
        <v>5184399.0</v>
      </c>
      <c r="U354" s="12"/>
      <c r="V354" s="12"/>
      <c r="W354" s="12"/>
      <c r="X354" s="12"/>
      <c r="Y354" s="57">
        <v>45436.350694444445</v>
      </c>
      <c r="Z354" s="57">
        <v>45436.629166666666</v>
      </c>
      <c r="AA354" s="12"/>
      <c r="AB354" s="12"/>
      <c r="AC354" s="12"/>
      <c r="AD354" s="12"/>
      <c r="AE354" s="12" t="s">
        <v>39</v>
      </c>
      <c r="AF354" s="1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</row>
    <row r="355" ht="15.75" customHeight="1">
      <c r="A355" s="9">
        <v>1.0448119E7</v>
      </c>
      <c r="B355" s="10"/>
      <c r="C355" s="11">
        <v>45437.708333333336</v>
      </c>
      <c r="D355" s="12">
        <v>26.0</v>
      </c>
      <c r="E355" s="26">
        <v>31625.0</v>
      </c>
      <c r="F355" s="25" t="s">
        <v>31</v>
      </c>
      <c r="G355" s="29" t="s">
        <v>32</v>
      </c>
      <c r="H355" s="12" t="s">
        <v>265</v>
      </c>
      <c r="I355" s="28" t="s">
        <v>266</v>
      </c>
      <c r="J355" s="25" t="s">
        <v>35</v>
      </c>
      <c r="K355" s="25" t="s">
        <v>267</v>
      </c>
      <c r="L355" s="28" t="s">
        <v>114</v>
      </c>
      <c r="M355" s="29" t="s">
        <v>345</v>
      </c>
      <c r="N355" s="40">
        <v>6200.0</v>
      </c>
      <c r="O355" s="17">
        <f t="shared" si="9"/>
        <v>0.685483871</v>
      </c>
      <c r="P355" s="39">
        <v>4250.0</v>
      </c>
      <c r="Q355" s="12" t="s">
        <v>39</v>
      </c>
      <c r="R355" s="12">
        <v>1328106.0</v>
      </c>
      <c r="S355" s="29" t="s">
        <v>40</v>
      </c>
      <c r="T355" s="42">
        <v>5194152.0</v>
      </c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</row>
    <row r="356" ht="15.75" customHeight="1">
      <c r="A356" s="9">
        <v>1.044812E7</v>
      </c>
      <c r="B356" s="10"/>
      <c r="C356" s="11">
        <v>45437.708333333336</v>
      </c>
      <c r="D356" s="12">
        <v>26.0</v>
      </c>
      <c r="E356" s="26">
        <v>31625.0</v>
      </c>
      <c r="F356" s="25" t="s">
        <v>31</v>
      </c>
      <c r="G356" s="29" t="s">
        <v>32</v>
      </c>
      <c r="H356" s="12" t="s">
        <v>265</v>
      </c>
      <c r="I356" s="39" t="s">
        <v>266</v>
      </c>
      <c r="J356" s="12" t="s">
        <v>35</v>
      </c>
      <c r="K356" s="12" t="s">
        <v>267</v>
      </c>
      <c r="L356" s="28" t="s">
        <v>114</v>
      </c>
      <c r="M356" s="29" t="s">
        <v>159</v>
      </c>
      <c r="N356" s="40">
        <v>6200.0</v>
      </c>
      <c r="O356" s="17">
        <f t="shared" si="9"/>
        <v>0.685483871</v>
      </c>
      <c r="P356" s="39">
        <v>4250.0</v>
      </c>
      <c r="Q356" s="12" t="s">
        <v>39</v>
      </c>
      <c r="R356" s="12">
        <v>1327774.0</v>
      </c>
      <c r="S356" s="29" t="s">
        <v>40</v>
      </c>
      <c r="T356" s="19">
        <v>5192030.0</v>
      </c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</row>
    <row r="357" ht="15.75" customHeight="1">
      <c r="A357" s="9">
        <v>1.0448454E7</v>
      </c>
      <c r="B357" s="10"/>
      <c r="C357" s="11">
        <v>45434.583333333336</v>
      </c>
      <c r="D357" s="12">
        <v>26.0</v>
      </c>
      <c r="E357" s="26">
        <v>31625.0</v>
      </c>
      <c r="F357" s="25" t="s">
        <v>31</v>
      </c>
      <c r="G357" s="29" t="s">
        <v>32</v>
      </c>
      <c r="H357" s="12" t="s">
        <v>265</v>
      </c>
      <c r="I357" s="28" t="s">
        <v>266</v>
      </c>
      <c r="J357" s="25" t="s">
        <v>35</v>
      </c>
      <c r="K357" s="12" t="s">
        <v>267</v>
      </c>
      <c r="L357" s="28" t="s">
        <v>114</v>
      </c>
      <c r="M357" s="29" t="s">
        <v>291</v>
      </c>
      <c r="N357" s="40">
        <v>6200.0</v>
      </c>
      <c r="O357" s="73">
        <f t="shared" si="9"/>
        <v>0.685483871</v>
      </c>
      <c r="P357" s="39">
        <v>4250.0</v>
      </c>
      <c r="Q357" s="12" t="s">
        <v>39</v>
      </c>
      <c r="R357" s="12">
        <v>1326419.0</v>
      </c>
      <c r="S357" s="29" t="s">
        <v>40</v>
      </c>
      <c r="T357" s="19">
        <v>5182695.0</v>
      </c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</row>
    <row r="358" ht="15.75" customHeight="1">
      <c r="A358" s="9">
        <v>1.0448455E7</v>
      </c>
      <c r="B358" s="10"/>
      <c r="C358" s="11">
        <v>45435.666666666664</v>
      </c>
      <c r="D358" s="12">
        <v>26.0</v>
      </c>
      <c r="E358" s="26">
        <v>31625.0</v>
      </c>
      <c r="F358" s="25" t="s">
        <v>31</v>
      </c>
      <c r="G358" s="29" t="s">
        <v>32</v>
      </c>
      <c r="H358" s="12" t="s">
        <v>265</v>
      </c>
      <c r="I358" s="39" t="s">
        <v>266</v>
      </c>
      <c r="J358" s="12" t="s">
        <v>35</v>
      </c>
      <c r="K358" s="12" t="s">
        <v>267</v>
      </c>
      <c r="L358" s="28" t="s">
        <v>114</v>
      </c>
      <c r="M358" s="29" t="s">
        <v>184</v>
      </c>
      <c r="N358" s="40">
        <v>6200.0</v>
      </c>
      <c r="O358" s="17">
        <f t="shared" si="9"/>
        <v>0.685483871</v>
      </c>
      <c r="P358" s="39">
        <v>4250.0</v>
      </c>
      <c r="Q358" s="12" t="s">
        <v>39</v>
      </c>
      <c r="R358" s="12">
        <v>1326794.0</v>
      </c>
      <c r="S358" s="29" t="s">
        <v>40</v>
      </c>
      <c r="T358" s="19">
        <v>5185624.0</v>
      </c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</row>
    <row r="359" ht="15.75" customHeight="1">
      <c r="A359" s="9">
        <v>1.0448456E7</v>
      </c>
      <c r="B359" s="10"/>
      <c r="C359" s="11">
        <v>45435.666666666664</v>
      </c>
      <c r="D359" s="12">
        <v>26.0</v>
      </c>
      <c r="E359" s="26">
        <v>31625.0</v>
      </c>
      <c r="F359" s="25" t="s">
        <v>31</v>
      </c>
      <c r="G359" s="29" t="s">
        <v>32</v>
      </c>
      <c r="H359" s="12" t="s">
        <v>265</v>
      </c>
      <c r="I359" s="39" t="s">
        <v>266</v>
      </c>
      <c r="J359" s="12" t="s">
        <v>35</v>
      </c>
      <c r="K359" s="12" t="s">
        <v>267</v>
      </c>
      <c r="L359" s="28" t="s">
        <v>114</v>
      </c>
      <c r="M359" s="29" t="s">
        <v>281</v>
      </c>
      <c r="N359" s="40">
        <v>6200.0</v>
      </c>
      <c r="O359" s="17">
        <f t="shared" si="9"/>
        <v>0.685483871</v>
      </c>
      <c r="P359" s="39">
        <v>4250.0</v>
      </c>
      <c r="Q359" s="12" t="s">
        <v>39</v>
      </c>
      <c r="R359" s="12">
        <v>1326859.0</v>
      </c>
      <c r="S359" s="29" t="s">
        <v>40</v>
      </c>
      <c r="T359" s="19">
        <v>5186299.0</v>
      </c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</row>
    <row r="360" ht="15.75" customHeight="1">
      <c r="A360" s="9">
        <v>1.045059E7</v>
      </c>
      <c r="B360" s="10"/>
      <c r="C360" s="11">
        <v>45439.75</v>
      </c>
      <c r="D360" s="12">
        <v>28.0</v>
      </c>
      <c r="E360" s="26">
        <v>34058.0</v>
      </c>
      <c r="F360" s="25" t="s">
        <v>31</v>
      </c>
      <c r="G360" s="29" t="s">
        <v>32</v>
      </c>
      <c r="H360" s="12" t="s">
        <v>224</v>
      </c>
      <c r="I360" s="25" t="s">
        <v>225</v>
      </c>
      <c r="J360" s="55" t="s">
        <v>35</v>
      </c>
      <c r="K360" s="12" t="s">
        <v>226</v>
      </c>
      <c r="L360" s="25" t="s">
        <v>227</v>
      </c>
      <c r="M360" s="29" t="s">
        <v>52</v>
      </c>
      <c r="N360" s="40">
        <v>15725.0</v>
      </c>
      <c r="O360" s="17">
        <f t="shared" si="9"/>
        <v>0.4769475358</v>
      </c>
      <c r="P360" s="39">
        <v>7500.0</v>
      </c>
      <c r="Q360" s="12" t="s">
        <v>52</v>
      </c>
      <c r="R360" s="12" t="s">
        <v>52</v>
      </c>
      <c r="S360" s="29" t="s">
        <v>165</v>
      </c>
      <c r="T360" s="29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</row>
    <row r="361" ht="15.75" customHeight="1">
      <c r="A361" s="9">
        <v>1.0450595E7</v>
      </c>
      <c r="B361" s="10"/>
      <c r="C361" s="11">
        <v>45439.791666666664</v>
      </c>
      <c r="D361" s="12">
        <v>26.0</v>
      </c>
      <c r="E361" s="26">
        <v>31299.0</v>
      </c>
      <c r="F361" s="25" t="s">
        <v>31</v>
      </c>
      <c r="G361" s="29" t="s">
        <v>74</v>
      </c>
      <c r="H361" s="12" t="s">
        <v>349</v>
      </c>
      <c r="I361" s="29" t="s">
        <v>263</v>
      </c>
      <c r="J361" s="12" t="s">
        <v>35</v>
      </c>
      <c r="K361" s="12" t="s">
        <v>264</v>
      </c>
      <c r="L361" s="28" t="s">
        <v>59</v>
      </c>
      <c r="M361" s="29" t="s">
        <v>143</v>
      </c>
      <c r="N361" s="40">
        <v>4650.0</v>
      </c>
      <c r="O361" s="17">
        <f t="shared" si="9"/>
        <v>0.6451612903</v>
      </c>
      <c r="P361" s="39">
        <v>3000.0</v>
      </c>
      <c r="Q361" s="12" t="s">
        <v>39</v>
      </c>
      <c r="R361" s="12">
        <v>1328881.0</v>
      </c>
      <c r="S361" s="29" t="s">
        <v>40</v>
      </c>
      <c r="T361" s="19">
        <v>5197272.0</v>
      </c>
      <c r="U361" s="12"/>
      <c r="V361" s="12"/>
      <c r="W361" s="12"/>
      <c r="X361" s="12"/>
      <c r="Y361" s="57">
        <v>45440.302777777775</v>
      </c>
      <c r="Z361" s="57">
        <v>45440.46041666667</v>
      </c>
      <c r="AA361" s="12"/>
      <c r="AB361" s="12"/>
      <c r="AC361" s="12"/>
      <c r="AD361" s="12"/>
      <c r="AE361" s="12" t="s">
        <v>39</v>
      </c>
      <c r="AF361" s="1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</row>
    <row r="362" ht="15.75" customHeight="1">
      <c r="A362" s="9">
        <v>1.0450738E7</v>
      </c>
      <c r="B362" s="10"/>
      <c r="C362" s="11">
        <v>45439.541666666664</v>
      </c>
      <c r="D362" s="12">
        <v>26.0</v>
      </c>
      <c r="E362" s="26">
        <v>33400.0</v>
      </c>
      <c r="F362" s="25" t="s">
        <v>31</v>
      </c>
      <c r="G362" s="29" t="s">
        <v>74</v>
      </c>
      <c r="H362" s="12" t="s">
        <v>308</v>
      </c>
      <c r="I362" s="29" t="s">
        <v>309</v>
      </c>
      <c r="J362" s="12" t="s">
        <v>35</v>
      </c>
      <c r="K362" s="12" t="s">
        <v>310</v>
      </c>
      <c r="L362" s="28" t="s">
        <v>94</v>
      </c>
      <c r="M362" s="29" t="s">
        <v>145</v>
      </c>
      <c r="N362" s="40">
        <v>7539.0</v>
      </c>
      <c r="O362" s="17">
        <f t="shared" si="9"/>
        <v>0.5968961401</v>
      </c>
      <c r="P362" s="39">
        <v>4500.0</v>
      </c>
      <c r="Q362" s="12" t="s">
        <v>39</v>
      </c>
      <c r="R362" s="12">
        <v>1329214.0</v>
      </c>
      <c r="S362" s="29" t="s">
        <v>40</v>
      </c>
      <c r="T362" s="19">
        <v>5199567.0</v>
      </c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</row>
    <row r="363" ht="15.75" customHeight="1">
      <c r="A363" s="9">
        <v>1.0450739E7</v>
      </c>
      <c r="B363" s="10"/>
      <c r="C363" s="11">
        <v>45439.541666666664</v>
      </c>
      <c r="D363" s="12">
        <v>26.0</v>
      </c>
      <c r="E363" s="26">
        <v>33400.0</v>
      </c>
      <c r="F363" s="25" t="s">
        <v>31</v>
      </c>
      <c r="G363" s="29" t="s">
        <v>74</v>
      </c>
      <c r="H363" s="12" t="s">
        <v>308</v>
      </c>
      <c r="I363" s="29" t="s">
        <v>309</v>
      </c>
      <c r="J363" s="12" t="s">
        <v>35</v>
      </c>
      <c r="K363" s="12" t="s">
        <v>310</v>
      </c>
      <c r="L363" s="28" t="s">
        <v>94</v>
      </c>
      <c r="M363" s="29" t="s">
        <v>69</v>
      </c>
      <c r="N363" s="40">
        <v>7539.0</v>
      </c>
      <c r="O363" s="17">
        <f t="shared" si="9"/>
        <v>0.5968961401</v>
      </c>
      <c r="P363" s="39">
        <v>4500.0</v>
      </c>
      <c r="Q363" s="12" t="s">
        <v>39</v>
      </c>
      <c r="R363" s="12">
        <v>1329198.0</v>
      </c>
      <c r="S363" s="29" t="s">
        <v>40</v>
      </c>
      <c r="T363" s="19">
        <v>5199352.0</v>
      </c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</row>
    <row r="364" ht="15.75" customHeight="1">
      <c r="A364" s="9">
        <v>1.045074E7</v>
      </c>
      <c r="B364" s="10"/>
      <c r="C364" s="11">
        <v>45439.541666666664</v>
      </c>
      <c r="D364" s="12">
        <v>26.0</v>
      </c>
      <c r="E364" s="26">
        <v>33400.0</v>
      </c>
      <c r="F364" s="25" t="s">
        <v>31</v>
      </c>
      <c r="G364" s="29" t="s">
        <v>74</v>
      </c>
      <c r="H364" s="12" t="s">
        <v>308</v>
      </c>
      <c r="I364" s="29" t="s">
        <v>309</v>
      </c>
      <c r="J364" s="12" t="s">
        <v>35</v>
      </c>
      <c r="K364" s="12" t="s">
        <v>310</v>
      </c>
      <c r="L364" s="28" t="s">
        <v>94</v>
      </c>
      <c r="M364" s="29" t="s">
        <v>278</v>
      </c>
      <c r="N364" s="40">
        <v>7539.0</v>
      </c>
      <c r="O364" s="17">
        <f t="shared" si="9"/>
        <v>0.5968961401</v>
      </c>
      <c r="P364" s="39">
        <v>4500.0</v>
      </c>
      <c r="Q364" s="12" t="s">
        <v>39</v>
      </c>
      <c r="R364" s="12">
        <v>1329197.0</v>
      </c>
      <c r="S364" s="29" t="s">
        <v>40</v>
      </c>
      <c r="T364" s="19">
        <v>5199342.0</v>
      </c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</row>
    <row r="365" ht="15.75" customHeight="1">
      <c r="A365" s="9">
        <v>1.0450741E7</v>
      </c>
      <c r="B365" s="10"/>
      <c r="C365" s="11">
        <v>45439.458333333336</v>
      </c>
      <c r="D365" s="29">
        <v>26.0</v>
      </c>
      <c r="E365" s="37">
        <v>33400.0</v>
      </c>
      <c r="F365" s="29" t="s">
        <v>31</v>
      </c>
      <c r="G365" s="29" t="s">
        <v>74</v>
      </c>
      <c r="H365" s="29" t="s">
        <v>308</v>
      </c>
      <c r="I365" s="25" t="s">
        <v>309</v>
      </c>
      <c r="J365" s="25" t="s">
        <v>35</v>
      </c>
      <c r="K365" s="29" t="s">
        <v>310</v>
      </c>
      <c r="L365" s="28" t="s">
        <v>94</v>
      </c>
      <c r="M365" s="29" t="s">
        <v>348</v>
      </c>
      <c r="N365" s="40">
        <v>7539.0</v>
      </c>
      <c r="O365" s="17">
        <f t="shared" si="9"/>
        <v>0.5968961401</v>
      </c>
      <c r="P365" s="39">
        <v>4500.0</v>
      </c>
      <c r="Q365" s="12" t="s">
        <v>39</v>
      </c>
      <c r="R365" s="12">
        <v>1329115.0</v>
      </c>
      <c r="S365" s="29" t="s">
        <v>40</v>
      </c>
      <c r="T365" s="42">
        <v>5198936.0</v>
      </c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</row>
    <row r="366" ht="15.75" customHeight="1">
      <c r="A366" s="9">
        <v>1.0451167E7</v>
      </c>
      <c r="B366" s="10"/>
      <c r="C366" s="11">
        <v>45435.333333333336</v>
      </c>
      <c r="D366" s="29">
        <v>26.0</v>
      </c>
      <c r="E366" s="37">
        <v>30019.0</v>
      </c>
      <c r="F366" s="38" t="s">
        <v>43</v>
      </c>
      <c r="G366" s="29" t="s">
        <v>44</v>
      </c>
      <c r="H366" s="29" t="s">
        <v>45</v>
      </c>
      <c r="I366" s="25" t="s">
        <v>46</v>
      </c>
      <c r="J366" s="55" t="s">
        <v>35</v>
      </c>
      <c r="K366" s="49" t="s">
        <v>47</v>
      </c>
      <c r="L366" s="28" t="s">
        <v>108</v>
      </c>
      <c r="M366" s="29" t="s">
        <v>278</v>
      </c>
      <c r="N366" s="40">
        <v>2169.28</v>
      </c>
      <c r="O366" s="17">
        <f t="shared" si="9"/>
        <v>0.7836701578</v>
      </c>
      <c r="P366" s="39">
        <v>1700.0</v>
      </c>
      <c r="Q366" s="12" t="s">
        <v>39</v>
      </c>
      <c r="R366" s="12">
        <v>1326997.0</v>
      </c>
      <c r="S366" s="29" t="s">
        <v>40</v>
      </c>
      <c r="T366" s="42">
        <v>5186760.0</v>
      </c>
      <c r="U366" s="12"/>
      <c r="V366" s="12"/>
      <c r="W366" s="12"/>
      <c r="X366" s="12"/>
      <c r="Y366" s="57">
        <v>45436.29583333333</v>
      </c>
      <c r="Z366" s="57">
        <v>45436.37569444445</v>
      </c>
      <c r="AA366" s="12"/>
      <c r="AB366" s="12"/>
      <c r="AC366" s="12"/>
      <c r="AD366" s="12"/>
      <c r="AE366" s="12" t="s">
        <v>39</v>
      </c>
      <c r="AF366" s="1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</row>
    <row r="367" ht="15.75" customHeight="1">
      <c r="A367" s="9">
        <v>1.0451168E7</v>
      </c>
      <c r="B367" s="10"/>
      <c r="C367" s="11">
        <v>45435.333333333336</v>
      </c>
      <c r="D367" s="29" t="s">
        <v>52</v>
      </c>
      <c r="E367" s="37" t="s">
        <v>52</v>
      </c>
      <c r="F367" s="38" t="s">
        <v>43</v>
      </c>
      <c r="G367" s="29" t="s">
        <v>44</v>
      </c>
      <c r="H367" s="12" t="s">
        <v>350</v>
      </c>
      <c r="I367" s="12" t="s">
        <v>46</v>
      </c>
      <c r="J367" s="14" t="s">
        <v>47</v>
      </c>
      <c r="K367" s="14" t="s">
        <v>35</v>
      </c>
      <c r="L367" s="28" t="s">
        <v>188</v>
      </c>
      <c r="M367" s="29"/>
      <c r="N367" s="40">
        <v>1446.19</v>
      </c>
      <c r="O367" s="17">
        <f t="shared" si="9"/>
        <v>0.4840304524</v>
      </c>
      <c r="P367" s="39">
        <v>700.0</v>
      </c>
      <c r="Q367" s="12"/>
      <c r="R367" s="12">
        <v>1327905.0</v>
      </c>
      <c r="S367" s="29" t="s">
        <v>40</v>
      </c>
      <c r="T367" s="19">
        <v>5192698.0</v>
      </c>
      <c r="U367" s="12"/>
      <c r="V367" s="12"/>
      <c r="W367" s="12"/>
      <c r="X367" s="12"/>
      <c r="Y367" s="12"/>
      <c r="Z367" s="80"/>
      <c r="AA367" s="12"/>
      <c r="AB367" s="12"/>
      <c r="AC367" s="12"/>
      <c r="AD367" s="12"/>
      <c r="AE367" s="12"/>
      <c r="AF367" s="1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</row>
    <row r="368" ht="15.75" customHeight="1">
      <c r="A368" s="9">
        <v>1.0454855E7</v>
      </c>
      <c r="B368" s="10"/>
      <c r="C368" s="11">
        <v>45443.125</v>
      </c>
      <c r="D368" s="29">
        <v>26.0</v>
      </c>
      <c r="E368" s="37">
        <v>31808.0</v>
      </c>
      <c r="F368" s="29" t="s">
        <v>31</v>
      </c>
      <c r="G368" s="29" t="s">
        <v>32</v>
      </c>
      <c r="H368" s="12" t="s">
        <v>224</v>
      </c>
      <c r="I368" s="15" t="s">
        <v>225</v>
      </c>
      <c r="J368" s="12" t="s">
        <v>35</v>
      </c>
      <c r="K368" s="12" t="s">
        <v>226</v>
      </c>
      <c r="L368" s="28" t="s">
        <v>227</v>
      </c>
      <c r="M368" s="29" t="s">
        <v>184</v>
      </c>
      <c r="N368" s="40">
        <v>15376.0</v>
      </c>
      <c r="O368" s="17">
        <f t="shared" si="9"/>
        <v>0.5202913632</v>
      </c>
      <c r="P368" s="39">
        <v>8000.0</v>
      </c>
      <c r="Q368" s="12" t="s">
        <v>39</v>
      </c>
      <c r="R368" s="12">
        <v>1331637.0</v>
      </c>
      <c r="S368" s="29" t="s">
        <v>40</v>
      </c>
      <c r="T368" s="19">
        <v>5213921.0</v>
      </c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</row>
    <row r="369" ht="15.75" customHeight="1">
      <c r="A369" s="9">
        <v>1.0455225E7</v>
      </c>
      <c r="B369" s="10"/>
      <c r="C369" s="11">
        <v>45437.083333333336</v>
      </c>
      <c r="D369" s="29">
        <v>21.0</v>
      </c>
      <c r="E369" s="37">
        <v>25783.0</v>
      </c>
      <c r="F369" s="29" t="s">
        <v>31</v>
      </c>
      <c r="G369" s="29" t="s">
        <v>74</v>
      </c>
      <c r="H369" s="12" t="s">
        <v>337</v>
      </c>
      <c r="I369" s="12" t="s">
        <v>338</v>
      </c>
      <c r="J369" s="12" t="s">
        <v>35</v>
      </c>
      <c r="K369" s="12" t="s">
        <v>339</v>
      </c>
      <c r="L369" s="28" t="s">
        <v>340</v>
      </c>
      <c r="M369" s="29" t="s">
        <v>351</v>
      </c>
      <c r="N369" s="40">
        <v>29800.0</v>
      </c>
      <c r="O369" s="17">
        <f t="shared" si="9"/>
        <v>0.8053691275</v>
      </c>
      <c r="P369" s="39">
        <v>24000.0</v>
      </c>
      <c r="Q369" s="12" t="s">
        <v>39</v>
      </c>
      <c r="R369" s="12">
        <v>1328085.0</v>
      </c>
      <c r="S369" s="29" t="s">
        <v>40</v>
      </c>
      <c r="T369" s="19">
        <v>5194026.0</v>
      </c>
      <c r="U369" s="12"/>
      <c r="V369" s="12"/>
      <c r="W369" s="12"/>
      <c r="X369" s="12"/>
      <c r="Y369" s="12"/>
      <c r="Z369" s="57"/>
      <c r="AA369" s="12"/>
      <c r="AB369" s="12"/>
      <c r="AC369" s="12"/>
      <c r="AD369" s="12"/>
      <c r="AE369" s="12"/>
      <c r="AF369" s="1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</row>
    <row r="370" ht="15.75" customHeight="1">
      <c r="A370" s="9">
        <v>1.0457296E7</v>
      </c>
      <c r="B370" s="10"/>
      <c r="C370" s="11">
        <v>45441.875</v>
      </c>
      <c r="D370" s="29">
        <v>26.0</v>
      </c>
      <c r="E370" s="37">
        <v>31625.0</v>
      </c>
      <c r="F370" s="29" t="s">
        <v>31</v>
      </c>
      <c r="G370" s="29" t="s">
        <v>74</v>
      </c>
      <c r="H370" s="12" t="s">
        <v>352</v>
      </c>
      <c r="I370" s="12" t="s">
        <v>353</v>
      </c>
      <c r="J370" s="12" t="s">
        <v>35</v>
      </c>
      <c r="K370" s="14" t="s">
        <v>354</v>
      </c>
      <c r="L370" s="28" t="s">
        <v>94</v>
      </c>
      <c r="M370" s="29" t="s">
        <v>355</v>
      </c>
      <c r="N370" s="40">
        <v>6141.0</v>
      </c>
      <c r="O370" s="17">
        <f t="shared" si="9"/>
        <v>0.6920696955</v>
      </c>
      <c r="P370" s="39">
        <v>4250.0</v>
      </c>
      <c r="Q370" s="12" t="s">
        <v>39</v>
      </c>
      <c r="R370" s="12">
        <v>1330562.0</v>
      </c>
      <c r="S370" s="29" t="s">
        <v>40</v>
      </c>
      <c r="T370" s="19">
        <v>5208459.0</v>
      </c>
      <c r="U370" s="12"/>
      <c r="V370" s="12"/>
      <c r="W370" s="12"/>
      <c r="X370" s="12"/>
      <c r="Y370" s="57">
        <v>45443.373611111114</v>
      </c>
      <c r="Z370" s="57">
        <v>45444.44375</v>
      </c>
      <c r="AA370" s="12"/>
      <c r="AB370" s="12"/>
      <c r="AC370" s="12"/>
      <c r="AD370" s="12"/>
      <c r="AE370" s="12" t="s">
        <v>39</v>
      </c>
      <c r="AF370" s="1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</row>
    <row r="371" ht="15.75" customHeight="1">
      <c r="A371" s="9">
        <v>1.0457297E7</v>
      </c>
      <c r="B371" s="10"/>
      <c r="C371" s="11">
        <v>45441.875</v>
      </c>
      <c r="D371" s="29">
        <v>26.0</v>
      </c>
      <c r="E371" s="37">
        <v>31922.0</v>
      </c>
      <c r="F371" s="29" t="s">
        <v>31</v>
      </c>
      <c r="G371" s="29" t="s">
        <v>74</v>
      </c>
      <c r="H371" s="12" t="s">
        <v>318</v>
      </c>
      <c r="I371" s="12" t="s">
        <v>319</v>
      </c>
      <c r="J371" s="12" t="s">
        <v>35</v>
      </c>
      <c r="K371" s="14" t="s">
        <v>320</v>
      </c>
      <c r="L371" s="28" t="s">
        <v>94</v>
      </c>
      <c r="M371" s="29" t="s">
        <v>229</v>
      </c>
      <c r="N371" s="40">
        <v>6700.0</v>
      </c>
      <c r="O371" s="17">
        <f t="shared" si="9"/>
        <v>0.6343283582</v>
      </c>
      <c r="P371" s="39">
        <v>4250.0</v>
      </c>
      <c r="Q371" s="12" t="s">
        <v>39</v>
      </c>
      <c r="R371" s="12">
        <v>1330686.0</v>
      </c>
      <c r="S371" s="29" t="s">
        <v>40</v>
      </c>
      <c r="T371" s="19">
        <v>5209202.0</v>
      </c>
      <c r="U371" s="12"/>
      <c r="V371" s="12"/>
      <c r="W371" s="12"/>
      <c r="X371" s="12"/>
      <c r="Y371" s="57">
        <v>45444.32013888889</v>
      </c>
      <c r="Z371" s="57">
        <v>45444.46319444444</v>
      </c>
      <c r="AA371" s="12"/>
      <c r="AB371" s="12"/>
      <c r="AC371" s="12"/>
      <c r="AD371" s="12"/>
      <c r="AE371" s="12" t="s">
        <v>39</v>
      </c>
      <c r="AF371" s="1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</row>
    <row r="372" ht="15.75" customHeight="1">
      <c r="A372" s="9">
        <v>1.0457298E7</v>
      </c>
      <c r="B372" s="10"/>
      <c r="C372" s="11">
        <v>45441.875</v>
      </c>
      <c r="D372" s="29">
        <v>26.0</v>
      </c>
      <c r="E372" s="37">
        <v>31922.0</v>
      </c>
      <c r="F372" s="29" t="s">
        <v>31</v>
      </c>
      <c r="G372" s="29" t="s">
        <v>74</v>
      </c>
      <c r="H372" s="12" t="s">
        <v>318</v>
      </c>
      <c r="I372" s="12" t="s">
        <v>319</v>
      </c>
      <c r="J372" s="12" t="s">
        <v>35</v>
      </c>
      <c r="K372" s="14" t="s">
        <v>320</v>
      </c>
      <c r="L372" s="28" t="s">
        <v>94</v>
      </c>
      <c r="M372" s="29" t="s">
        <v>52</v>
      </c>
      <c r="N372" s="40">
        <v>6700.0</v>
      </c>
      <c r="O372" s="17">
        <f t="shared" si="9"/>
        <v>0.6343283582</v>
      </c>
      <c r="P372" s="39">
        <v>4250.0</v>
      </c>
      <c r="Q372" s="12" t="s">
        <v>52</v>
      </c>
      <c r="R372" s="12" t="s">
        <v>52</v>
      </c>
      <c r="S372" s="29" t="s">
        <v>131</v>
      </c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</row>
    <row r="373" ht="15.75" customHeight="1">
      <c r="A373" s="9">
        <v>1.0457299E7</v>
      </c>
      <c r="B373" s="10"/>
      <c r="C373" s="11">
        <v>45441.875</v>
      </c>
      <c r="D373" s="29">
        <v>26.0</v>
      </c>
      <c r="E373" s="37">
        <v>31922.0</v>
      </c>
      <c r="F373" s="29" t="s">
        <v>31</v>
      </c>
      <c r="G373" s="29" t="s">
        <v>74</v>
      </c>
      <c r="H373" s="12" t="s">
        <v>318</v>
      </c>
      <c r="I373" s="12" t="s">
        <v>319</v>
      </c>
      <c r="J373" s="12" t="s">
        <v>35</v>
      </c>
      <c r="K373" s="14" t="s">
        <v>320</v>
      </c>
      <c r="L373" s="28" t="s">
        <v>94</v>
      </c>
      <c r="M373" s="29" t="s">
        <v>52</v>
      </c>
      <c r="N373" s="40">
        <v>6700.0</v>
      </c>
      <c r="O373" s="17">
        <f t="shared" si="9"/>
        <v>0.6343283582</v>
      </c>
      <c r="P373" s="39">
        <v>4250.0</v>
      </c>
      <c r="Q373" s="12" t="s">
        <v>52</v>
      </c>
      <c r="R373" s="12" t="s">
        <v>52</v>
      </c>
      <c r="S373" s="29" t="s">
        <v>131</v>
      </c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</row>
    <row r="374" ht="15.75" customHeight="1">
      <c r="A374" s="9">
        <v>1.0461276E7</v>
      </c>
      <c r="B374" s="10"/>
      <c r="C374" s="11">
        <v>45440.541666666664</v>
      </c>
      <c r="D374" s="29">
        <v>26.0</v>
      </c>
      <c r="E374" s="37">
        <v>32553.0</v>
      </c>
      <c r="F374" s="38" t="s">
        <v>43</v>
      </c>
      <c r="G374" s="29" t="s">
        <v>32</v>
      </c>
      <c r="H374" s="12" t="s">
        <v>265</v>
      </c>
      <c r="I374" s="15" t="s">
        <v>266</v>
      </c>
      <c r="J374" s="12" t="s">
        <v>35</v>
      </c>
      <c r="K374" s="12" t="s">
        <v>267</v>
      </c>
      <c r="L374" s="28" t="s">
        <v>114</v>
      </c>
      <c r="M374" s="29" t="s">
        <v>52</v>
      </c>
      <c r="N374" s="40">
        <v>5880.0</v>
      </c>
      <c r="O374" s="17">
        <f t="shared" si="9"/>
        <v>0.7227891156</v>
      </c>
      <c r="P374" s="39">
        <v>4250.0</v>
      </c>
      <c r="Q374" s="12" t="s">
        <v>52</v>
      </c>
      <c r="R374" s="12" t="s">
        <v>52</v>
      </c>
      <c r="S374" s="29" t="s">
        <v>165</v>
      </c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</row>
    <row r="375" ht="15.75" customHeight="1">
      <c r="A375" s="9">
        <v>1.0461277E7</v>
      </c>
      <c r="B375" s="10"/>
      <c r="C375" s="11">
        <v>45440.583333333336</v>
      </c>
      <c r="D375" s="29">
        <v>26.0</v>
      </c>
      <c r="E375" s="37">
        <v>32553.0</v>
      </c>
      <c r="F375" s="38" t="s">
        <v>43</v>
      </c>
      <c r="G375" s="29" t="s">
        <v>32</v>
      </c>
      <c r="H375" s="12" t="s">
        <v>265</v>
      </c>
      <c r="I375" s="39" t="s">
        <v>266</v>
      </c>
      <c r="J375" s="12" t="s">
        <v>35</v>
      </c>
      <c r="K375" s="12" t="s">
        <v>267</v>
      </c>
      <c r="L375" s="28" t="s">
        <v>114</v>
      </c>
      <c r="M375" s="29" t="s">
        <v>52</v>
      </c>
      <c r="N375" s="40">
        <v>5880.0</v>
      </c>
      <c r="O375" s="17">
        <f t="shared" si="9"/>
        <v>0.7227891156</v>
      </c>
      <c r="P375" s="39">
        <v>4250.0</v>
      </c>
      <c r="Q375" s="12" t="s">
        <v>52</v>
      </c>
      <c r="R375" s="12" t="s">
        <v>52</v>
      </c>
      <c r="S375" s="29" t="s">
        <v>165</v>
      </c>
      <c r="T375" s="12"/>
      <c r="U375" s="12"/>
      <c r="V375" s="12"/>
      <c r="W375" s="12"/>
      <c r="X375" s="12"/>
      <c r="Y375" s="57"/>
      <c r="Z375" s="57"/>
      <c r="AA375" s="12"/>
      <c r="AB375" s="12"/>
      <c r="AC375" s="12"/>
      <c r="AD375" s="12"/>
      <c r="AE375" s="12"/>
      <c r="AF375" s="1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</row>
    <row r="376" ht="15.75" customHeight="1">
      <c r="A376" s="9">
        <v>1.0461278E7</v>
      </c>
      <c r="B376" s="10"/>
      <c r="C376" s="11">
        <v>45440.541666666664</v>
      </c>
      <c r="D376" s="29">
        <v>26.0</v>
      </c>
      <c r="E376" s="37">
        <v>32553.0</v>
      </c>
      <c r="F376" s="38" t="s">
        <v>43</v>
      </c>
      <c r="G376" s="29" t="s">
        <v>32</v>
      </c>
      <c r="H376" s="12" t="s">
        <v>265</v>
      </c>
      <c r="I376" s="15" t="s">
        <v>266</v>
      </c>
      <c r="J376" s="12" t="s">
        <v>35</v>
      </c>
      <c r="K376" s="12" t="s">
        <v>267</v>
      </c>
      <c r="L376" s="15" t="s">
        <v>114</v>
      </c>
      <c r="M376" s="12" t="s">
        <v>52</v>
      </c>
      <c r="N376" s="24">
        <v>5880.0</v>
      </c>
      <c r="O376" s="17">
        <f t="shared" si="9"/>
        <v>0.7227891156</v>
      </c>
      <c r="P376" s="15">
        <v>4250.0</v>
      </c>
      <c r="Q376" s="12" t="s">
        <v>52</v>
      </c>
      <c r="R376" s="12" t="s">
        <v>52</v>
      </c>
      <c r="S376" s="12" t="s">
        <v>165</v>
      </c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</row>
    <row r="377" ht="15.75" customHeight="1">
      <c r="A377" s="9">
        <v>1.0461279E7</v>
      </c>
      <c r="B377" s="10"/>
      <c r="C377" s="11">
        <v>45440.583333333336</v>
      </c>
      <c r="D377" s="29" t="s">
        <v>52</v>
      </c>
      <c r="E377" s="37" t="s">
        <v>52</v>
      </c>
      <c r="F377" s="38" t="s">
        <v>43</v>
      </c>
      <c r="G377" s="29" t="s">
        <v>32</v>
      </c>
      <c r="H377" s="12" t="s">
        <v>356</v>
      </c>
      <c r="I377" s="39" t="s">
        <v>266</v>
      </c>
      <c r="J377" s="12" t="s">
        <v>267</v>
      </c>
      <c r="K377" s="12" t="s">
        <v>35</v>
      </c>
      <c r="L377" s="28" t="s">
        <v>43</v>
      </c>
      <c r="M377" s="29" t="s">
        <v>52</v>
      </c>
      <c r="N377" s="40">
        <v>3920.0</v>
      </c>
      <c r="O377" s="17">
        <f t="shared" si="9"/>
        <v>0.7015306122</v>
      </c>
      <c r="P377" s="39">
        <v>2750.0</v>
      </c>
      <c r="Q377" s="12" t="s">
        <v>52</v>
      </c>
      <c r="R377" s="12" t="s">
        <v>52</v>
      </c>
      <c r="S377" s="29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</row>
    <row r="378" ht="15.75" customHeight="1">
      <c r="A378" s="9">
        <v>1.046128E7</v>
      </c>
      <c r="B378" s="10"/>
      <c r="C378" s="11">
        <v>45440.541666666664</v>
      </c>
      <c r="D378" s="12" t="s">
        <v>52</v>
      </c>
      <c r="E378" s="26" t="s">
        <v>52</v>
      </c>
      <c r="F378" s="38" t="s">
        <v>43</v>
      </c>
      <c r="G378" s="29" t="s">
        <v>32</v>
      </c>
      <c r="H378" s="12" t="s">
        <v>357</v>
      </c>
      <c r="I378" s="28" t="s">
        <v>266</v>
      </c>
      <c r="J378" s="25" t="s">
        <v>267</v>
      </c>
      <c r="K378" s="12" t="s">
        <v>35</v>
      </c>
      <c r="L378" s="28" t="s">
        <v>43</v>
      </c>
      <c r="M378" s="29" t="s">
        <v>52</v>
      </c>
      <c r="N378" s="40">
        <v>3920.0</v>
      </c>
      <c r="O378" s="17">
        <f t="shared" si="9"/>
        <v>0.7015306122</v>
      </c>
      <c r="P378" s="39">
        <v>2750.0</v>
      </c>
      <c r="Q378" s="12" t="s">
        <v>52</v>
      </c>
      <c r="R378" s="12" t="s">
        <v>52</v>
      </c>
      <c r="S378" s="29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</row>
    <row r="379" ht="15.75" customHeight="1">
      <c r="A379" s="9">
        <v>1.0461281E7</v>
      </c>
      <c r="B379" s="10"/>
      <c r="C379" s="11">
        <v>45440.541666666664</v>
      </c>
      <c r="D379" s="29" t="s">
        <v>52</v>
      </c>
      <c r="E379" s="37" t="s">
        <v>52</v>
      </c>
      <c r="F379" s="38" t="s">
        <v>43</v>
      </c>
      <c r="G379" s="29" t="s">
        <v>32</v>
      </c>
      <c r="H379" s="12" t="s">
        <v>358</v>
      </c>
      <c r="I379" s="28" t="s">
        <v>266</v>
      </c>
      <c r="J379" s="25" t="s">
        <v>267</v>
      </c>
      <c r="K379" s="12" t="s">
        <v>35</v>
      </c>
      <c r="L379" s="28" t="s">
        <v>43</v>
      </c>
      <c r="M379" s="29" t="s">
        <v>52</v>
      </c>
      <c r="N379" s="40">
        <v>3920.0</v>
      </c>
      <c r="O379" s="17">
        <f t="shared" si="9"/>
        <v>0.7015306122</v>
      </c>
      <c r="P379" s="39">
        <v>2750.0</v>
      </c>
      <c r="Q379" s="12" t="s">
        <v>52</v>
      </c>
      <c r="R379" s="12" t="s">
        <v>52</v>
      </c>
      <c r="S379" s="29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</row>
    <row r="380" ht="15.75" customHeight="1">
      <c r="A380" s="9">
        <v>1.0464935E7</v>
      </c>
      <c r="B380" s="10"/>
      <c r="C380" s="11">
        <v>45442.416666666664</v>
      </c>
      <c r="D380" s="29">
        <v>26.0</v>
      </c>
      <c r="E380" s="37">
        <v>31625.0</v>
      </c>
      <c r="F380" s="29" t="s">
        <v>31</v>
      </c>
      <c r="G380" s="29" t="s">
        <v>74</v>
      </c>
      <c r="H380" s="12" t="s">
        <v>330</v>
      </c>
      <c r="I380" s="12" t="s">
        <v>331</v>
      </c>
      <c r="J380" s="12" t="s">
        <v>35</v>
      </c>
      <c r="K380" s="12" t="s">
        <v>332</v>
      </c>
      <c r="L380" s="28" t="s">
        <v>188</v>
      </c>
      <c r="M380" s="29" t="s">
        <v>49</v>
      </c>
      <c r="N380" s="40">
        <v>2600.0</v>
      </c>
      <c r="O380" s="17">
        <f t="shared" si="9"/>
        <v>0.6538461538</v>
      </c>
      <c r="P380" s="39">
        <v>1700.0</v>
      </c>
      <c r="Q380" s="12" t="s">
        <v>39</v>
      </c>
      <c r="R380" s="12">
        <v>1330578.0</v>
      </c>
      <c r="S380" s="29" t="s">
        <v>40</v>
      </c>
      <c r="T380" s="19">
        <v>5208576.0</v>
      </c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</row>
    <row r="381" ht="15.75" customHeight="1">
      <c r="A381" s="9">
        <v>1.0465008E7</v>
      </c>
      <c r="B381" s="10"/>
      <c r="C381" s="11">
        <v>45441.208333333336</v>
      </c>
      <c r="D381" s="29">
        <v>26.0</v>
      </c>
      <c r="E381" s="37">
        <v>31900.0</v>
      </c>
      <c r="F381" s="29" t="s">
        <v>31</v>
      </c>
      <c r="G381" s="29" t="s">
        <v>74</v>
      </c>
      <c r="H381" s="12" t="s">
        <v>359</v>
      </c>
      <c r="I381" s="12" t="s">
        <v>305</v>
      </c>
      <c r="J381" s="12" t="s">
        <v>35</v>
      </c>
      <c r="K381" s="12" t="s">
        <v>306</v>
      </c>
      <c r="L381" s="25" t="s">
        <v>94</v>
      </c>
      <c r="M381" s="29" t="s">
        <v>143</v>
      </c>
      <c r="N381" s="40">
        <v>6500.0</v>
      </c>
      <c r="O381" s="17">
        <f t="shared" si="9"/>
        <v>0.6538461538</v>
      </c>
      <c r="P381" s="39">
        <v>4250.0</v>
      </c>
      <c r="Q381" s="12" t="s">
        <v>39</v>
      </c>
      <c r="R381" s="12">
        <v>1330290.0</v>
      </c>
      <c r="S381" s="29" t="s">
        <v>40</v>
      </c>
      <c r="T381" s="19" t="s">
        <v>360</v>
      </c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</row>
    <row r="382" ht="15.75" customHeight="1">
      <c r="A382" s="9">
        <v>1.0465009E7</v>
      </c>
      <c r="B382" s="10"/>
      <c r="C382" s="11">
        <v>45441.208333333336</v>
      </c>
      <c r="D382" s="29">
        <v>26.0</v>
      </c>
      <c r="E382" s="37">
        <v>31900.0</v>
      </c>
      <c r="F382" s="29" t="s">
        <v>31</v>
      </c>
      <c r="G382" s="29" t="s">
        <v>74</v>
      </c>
      <c r="H382" s="12" t="s">
        <v>361</v>
      </c>
      <c r="I382" s="12" t="s">
        <v>305</v>
      </c>
      <c r="J382" s="12" t="s">
        <v>35</v>
      </c>
      <c r="K382" s="12" t="s">
        <v>306</v>
      </c>
      <c r="L382" s="25" t="s">
        <v>94</v>
      </c>
      <c r="M382" s="29" t="s">
        <v>162</v>
      </c>
      <c r="N382" s="40">
        <v>6500.0</v>
      </c>
      <c r="O382" s="17">
        <f t="shared" si="9"/>
        <v>0.6538461538</v>
      </c>
      <c r="P382" s="39">
        <v>4250.0</v>
      </c>
      <c r="Q382" s="12" t="s">
        <v>39</v>
      </c>
      <c r="R382" s="12">
        <v>1330433.0</v>
      </c>
      <c r="S382" s="29" t="s">
        <v>40</v>
      </c>
      <c r="T382" s="19">
        <v>5207122.0</v>
      </c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</row>
    <row r="383" ht="15.75" customHeight="1">
      <c r="A383" s="9">
        <v>1.046501E7</v>
      </c>
      <c r="B383" s="10"/>
      <c r="C383" s="11">
        <v>45441.208333333336</v>
      </c>
      <c r="D383" s="29">
        <v>26.0</v>
      </c>
      <c r="E383" s="37">
        <v>31900.0</v>
      </c>
      <c r="F383" s="29" t="s">
        <v>31</v>
      </c>
      <c r="G383" s="29" t="s">
        <v>74</v>
      </c>
      <c r="H383" s="12" t="s">
        <v>304</v>
      </c>
      <c r="I383" s="12" t="s">
        <v>305</v>
      </c>
      <c r="J383" s="12" t="s">
        <v>35</v>
      </c>
      <c r="K383" s="12" t="s">
        <v>306</v>
      </c>
      <c r="L383" s="25" t="s">
        <v>94</v>
      </c>
      <c r="M383" s="29" t="s">
        <v>183</v>
      </c>
      <c r="N383" s="40">
        <v>6500.0</v>
      </c>
      <c r="O383" s="17">
        <f t="shared" si="9"/>
        <v>0.6538461538</v>
      </c>
      <c r="P383" s="39">
        <v>4250.0</v>
      </c>
      <c r="Q383" s="12" t="s">
        <v>39</v>
      </c>
      <c r="R383" s="12">
        <v>1330094.0</v>
      </c>
      <c r="S383" s="29" t="s">
        <v>40</v>
      </c>
      <c r="T383" s="19">
        <v>5205807.0</v>
      </c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</row>
    <row r="384" ht="15.75" customHeight="1">
      <c r="A384" s="9">
        <v>1.0467965E7</v>
      </c>
      <c r="B384" s="10"/>
      <c r="C384" s="11">
        <v>45446.875</v>
      </c>
      <c r="D384" s="12">
        <v>26.0</v>
      </c>
      <c r="E384" s="37">
        <v>31775.0</v>
      </c>
      <c r="F384" s="29" t="s">
        <v>31</v>
      </c>
      <c r="G384" s="29" t="s">
        <v>44</v>
      </c>
      <c r="H384" s="12" t="s">
        <v>268</v>
      </c>
      <c r="I384" s="29" t="s">
        <v>269</v>
      </c>
      <c r="J384" s="12" t="s">
        <v>35</v>
      </c>
      <c r="K384" s="12" t="s">
        <v>270</v>
      </c>
      <c r="L384" s="28" t="s">
        <v>94</v>
      </c>
      <c r="M384" s="29" t="s">
        <v>362</v>
      </c>
      <c r="N384" s="40">
        <v>6200.0</v>
      </c>
      <c r="O384" s="17">
        <f t="shared" si="9"/>
        <v>0.685483871</v>
      </c>
      <c r="P384" s="39">
        <v>4250.0</v>
      </c>
      <c r="Q384" s="12" t="s">
        <v>39</v>
      </c>
      <c r="R384" s="12">
        <v>1332853.0</v>
      </c>
      <c r="S384" s="29" t="s">
        <v>40</v>
      </c>
      <c r="T384" s="19">
        <v>5219030.0</v>
      </c>
      <c r="U384" s="12"/>
      <c r="V384" s="12"/>
      <c r="W384" s="12"/>
      <c r="X384" s="12"/>
      <c r="Y384" s="57">
        <v>45448.77777777778</v>
      </c>
      <c r="Z384" s="57">
        <v>45448.910416666666</v>
      </c>
      <c r="AA384" s="12"/>
      <c r="AB384" s="12"/>
      <c r="AC384" s="12"/>
      <c r="AD384" s="12"/>
      <c r="AE384" s="12" t="s">
        <v>39</v>
      </c>
      <c r="AF384" s="1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</row>
    <row r="385" ht="15.75" customHeight="1">
      <c r="A385" s="9">
        <v>1.046901E7</v>
      </c>
      <c r="B385" s="10"/>
      <c r="C385" s="11">
        <v>45444.75</v>
      </c>
      <c r="D385" s="12">
        <v>26.0</v>
      </c>
      <c r="E385" s="26">
        <v>32553.0</v>
      </c>
      <c r="F385" s="38" t="s">
        <v>43</v>
      </c>
      <c r="G385" s="29" t="s">
        <v>44</v>
      </c>
      <c r="H385" s="12" t="s">
        <v>268</v>
      </c>
      <c r="I385" s="25" t="s">
        <v>269</v>
      </c>
      <c r="J385" s="25" t="s">
        <v>35</v>
      </c>
      <c r="K385" s="12" t="s">
        <v>270</v>
      </c>
      <c r="L385" s="28" t="s">
        <v>94</v>
      </c>
      <c r="M385" s="29" t="s">
        <v>278</v>
      </c>
      <c r="N385" s="40">
        <v>5880.0</v>
      </c>
      <c r="O385" s="17">
        <f t="shared" si="9"/>
        <v>0.7227891156</v>
      </c>
      <c r="P385" s="39">
        <v>4250.0</v>
      </c>
      <c r="Q385" s="12" t="s">
        <v>39</v>
      </c>
      <c r="R385" s="12">
        <v>1332028.0</v>
      </c>
      <c r="S385" s="29" t="s">
        <v>40</v>
      </c>
      <c r="T385" s="19">
        <v>5216505.0</v>
      </c>
      <c r="U385" s="12"/>
      <c r="V385" s="12"/>
      <c r="W385" s="12"/>
      <c r="X385" s="12"/>
      <c r="Y385" s="57">
        <v>45446.31875</v>
      </c>
      <c r="Z385" s="57">
        <v>45446.41805555556</v>
      </c>
      <c r="AA385" s="12"/>
      <c r="AB385" s="12"/>
      <c r="AC385" s="12"/>
      <c r="AD385" s="12"/>
      <c r="AE385" s="12" t="s">
        <v>39</v>
      </c>
      <c r="AF385" s="1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</row>
    <row r="386" ht="15.75" customHeight="1">
      <c r="A386" s="9">
        <v>1.0469011E7</v>
      </c>
      <c r="B386" s="10"/>
      <c r="C386" s="11">
        <v>45444.75</v>
      </c>
      <c r="D386" s="12" t="s">
        <v>52</v>
      </c>
      <c r="E386" s="26" t="s">
        <v>52</v>
      </c>
      <c r="F386" s="38" t="s">
        <v>43</v>
      </c>
      <c r="G386" s="29" t="s">
        <v>44</v>
      </c>
      <c r="H386" s="12" t="s">
        <v>363</v>
      </c>
      <c r="I386" s="25" t="s">
        <v>269</v>
      </c>
      <c r="J386" s="25" t="s">
        <v>270</v>
      </c>
      <c r="K386" s="12" t="s">
        <v>35</v>
      </c>
      <c r="L386" s="28" t="s">
        <v>188</v>
      </c>
      <c r="M386" s="29" t="s">
        <v>52</v>
      </c>
      <c r="N386" s="40">
        <v>3920.0</v>
      </c>
      <c r="O386" s="17">
        <f t="shared" si="9"/>
        <v>0.7015306122</v>
      </c>
      <c r="P386" s="39">
        <v>2750.0</v>
      </c>
      <c r="Q386" s="12"/>
      <c r="R386" s="12">
        <v>1332994.0</v>
      </c>
      <c r="S386" s="29" t="s">
        <v>40</v>
      </c>
      <c r="T386" s="19">
        <v>5219912.0</v>
      </c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</row>
    <row r="387" ht="15.75" customHeight="1">
      <c r="A387" s="9">
        <v>1.046907E7</v>
      </c>
      <c r="B387" s="10"/>
      <c r="C387" s="11">
        <v>45446.875</v>
      </c>
      <c r="D387" s="12">
        <v>26.0</v>
      </c>
      <c r="E387" s="26">
        <v>31922.0</v>
      </c>
      <c r="F387" s="29" t="s">
        <v>31</v>
      </c>
      <c r="G387" s="29" t="s">
        <v>44</v>
      </c>
      <c r="H387" s="12" t="s">
        <v>268</v>
      </c>
      <c r="I387" s="25" t="s">
        <v>269</v>
      </c>
      <c r="J387" s="25" t="s">
        <v>35</v>
      </c>
      <c r="K387" s="12" t="s">
        <v>270</v>
      </c>
      <c r="L387" s="28" t="s">
        <v>94</v>
      </c>
      <c r="M387" s="29" t="s">
        <v>52</v>
      </c>
      <c r="N387" s="40">
        <v>6200.0</v>
      </c>
      <c r="O387" s="17">
        <f t="shared" si="9"/>
        <v>0.685483871</v>
      </c>
      <c r="P387" s="39">
        <v>4250.0</v>
      </c>
      <c r="Q387" s="12"/>
      <c r="R387" s="12"/>
      <c r="S387" s="29" t="s">
        <v>131</v>
      </c>
      <c r="T387" s="12"/>
      <c r="U387" s="12"/>
      <c r="V387" s="12"/>
      <c r="W387" s="12"/>
      <c r="X387" s="12"/>
      <c r="Y387" s="57"/>
      <c r="Z387" s="57"/>
      <c r="AA387" s="12"/>
      <c r="AB387" s="12"/>
      <c r="AC387" s="12"/>
      <c r="AD387" s="12"/>
      <c r="AE387" s="12"/>
      <c r="AF387" s="1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</row>
    <row r="388" ht="15.75" customHeight="1">
      <c r="A388" s="9">
        <v>1.0469071E7</v>
      </c>
      <c r="B388" s="10"/>
      <c r="C388" s="11">
        <v>45444.75</v>
      </c>
      <c r="D388" s="12">
        <v>26.0</v>
      </c>
      <c r="E388" s="26">
        <v>30996.0</v>
      </c>
      <c r="F388" s="29" t="s">
        <v>31</v>
      </c>
      <c r="G388" s="29" t="s">
        <v>44</v>
      </c>
      <c r="H388" s="12" t="s">
        <v>268</v>
      </c>
      <c r="I388" s="25" t="s">
        <v>269</v>
      </c>
      <c r="J388" s="25" t="s">
        <v>35</v>
      </c>
      <c r="K388" s="12" t="s">
        <v>270</v>
      </c>
      <c r="L388" s="28" t="s">
        <v>94</v>
      </c>
      <c r="M388" s="29" t="s">
        <v>364</v>
      </c>
      <c r="N388" s="40">
        <v>6200.0</v>
      </c>
      <c r="O388" s="17">
        <f t="shared" si="9"/>
        <v>0.685483871</v>
      </c>
      <c r="P388" s="39">
        <v>4250.0</v>
      </c>
      <c r="Q388" s="12" t="s">
        <v>39</v>
      </c>
      <c r="R388" s="12">
        <v>1331703.0</v>
      </c>
      <c r="S388" s="29" t="s">
        <v>40</v>
      </c>
      <c r="T388" s="19">
        <v>5214229.0</v>
      </c>
      <c r="U388" s="12"/>
      <c r="V388" s="12"/>
      <c r="W388" s="12"/>
      <c r="X388" s="12"/>
      <c r="Y388" s="57">
        <v>45446.52777777778</v>
      </c>
      <c r="Z388" s="57">
        <v>45446.59027777778</v>
      </c>
      <c r="AA388" s="12"/>
      <c r="AB388" s="12"/>
      <c r="AC388" s="12"/>
      <c r="AD388" s="12"/>
      <c r="AE388" s="12" t="s">
        <v>39</v>
      </c>
      <c r="AF388" s="1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</row>
    <row r="389" ht="15.75" customHeight="1">
      <c r="A389" s="9">
        <v>1.0469244E7</v>
      </c>
      <c r="B389" s="10"/>
      <c r="C389" s="11">
        <v>45444.708333333336</v>
      </c>
      <c r="D389" s="12">
        <v>26.0</v>
      </c>
      <c r="E389" s="26">
        <v>32553.0</v>
      </c>
      <c r="F389" s="38" t="s">
        <v>43</v>
      </c>
      <c r="G389" s="29" t="s">
        <v>44</v>
      </c>
      <c r="H389" s="12" t="s">
        <v>268</v>
      </c>
      <c r="I389" s="25" t="s">
        <v>269</v>
      </c>
      <c r="J389" s="25" t="s">
        <v>35</v>
      </c>
      <c r="K389" s="12" t="s">
        <v>270</v>
      </c>
      <c r="L389" s="28" t="s">
        <v>94</v>
      </c>
      <c r="M389" s="29" t="s">
        <v>282</v>
      </c>
      <c r="N389" s="40">
        <v>5880.0</v>
      </c>
      <c r="O389" s="17">
        <f t="shared" si="9"/>
        <v>0.7227891156</v>
      </c>
      <c r="P389" s="39">
        <v>4250.0</v>
      </c>
      <c r="Q389" s="12" t="s">
        <v>39</v>
      </c>
      <c r="R389" s="12">
        <v>1332135.0</v>
      </c>
      <c r="S389" s="29" t="s">
        <v>40</v>
      </c>
      <c r="T389" s="19">
        <v>5216957.0</v>
      </c>
      <c r="U389" s="12"/>
      <c r="V389" s="12"/>
      <c r="W389" s="12"/>
      <c r="X389" s="12"/>
      <c r="Y389" s="57">
        <v>45446.657638888886</v>
      </c>
      <c r="Z389" s="57">
        <v>45446.85</v>
      </c>
      <c r="AA389" s="12"/>
      <c r="AB389" s="12"/>
      <c r="AC389" s="12"/>
      <c r="AD389" s="12"/>
      <c r="AE389" s="12" t="s">
        <v>39</v>
      </c>
      <c r="AF389" s="1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</row>
    <row r="390" ht="15.75" customHeight="1">
      <c r="A390" s="9">
        <v>1.0469245E7</v>
      </c>
      <c r="B390" s="10"/>
      <c r="C390" s="11">
        <v>45444.708333333336</v>
      </c>
      <c r="D390" s="12" t="s">
        <v>52</v>
      </c>
      <c r="E390" s="26" t="s">
        <v>52</v>
      </c>
      <c r="F390" s="38" t="s">
        <v>43</v>
      </c>
      <c r="G390" s="29" t="s">
        <v>44</v>
      </c>
      <c r="H390" s="12" t="s">
        <v>365</v>
      </c>
      <c r="I390" s="25" t="s">
        <v>269</v>
      </c>
      <c r="J390" s="25" t="s">
        <v>270</v>
      </c>
      <c r="K390" s="12" t="s">
        <v>35</v>
      </c>
      <c r="L390" s="28" t="s">
        <v>188</v>
      </c>
      <c r="M390" s="29" t="s">
        <v>52</v>
      </c>
      <c r="N390" s="40">
        <v>3920.0</v>
      </c>
      <c r="O390" s="17">
        <f t="shared" si="9"/>
        <v>0.7015306122</v>
      </c>
      <c r="P390" s="39">
        <v>2750.0</v>
      </c>
      <c r="Q390" s="12"/>
      <c r="R390" s="12">
        <v>1333120.0</v>
      </c>
      <c r="S390" s="29" t="s">
        <v>40</v>
      </c>
      <c r="T390" s="19">
        <v>5220709.0</v>
      </c>
      <c r="U390" s="12"/>
      <c r="V390" s="12"/>
      <c r="W390" s="12"/>
      <c r="X390" s="12"/>
      <c r="Y390" s="57"/>
      <c r="Z390" s="57"/>
      <c r="AA390" s="12"/>
      <c r="AB390" s="12"/>
      <c r="AC390" s="12"/>
      <c r="AD390" s="12"/>
      <c r="AE390" s="12"/>
      <c r="AF390" s="1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</row>
    <row r="391" ht="15.75" customHeight="1">
      <c r="A391" s="9">
        <v>1.0471773E7</v>
      </c>
      <c r="B391" s="10"/>
      <c r="C391" s="11">
        <v>45442.416666666664</v>
      </c>
      <c r="D391" s="12">
        <v>26.0</v>
      </c>
      <c r="E391" s="26">
        <v>33100.0</v>
      </c>
      <c r="F391" s="29" t="s">
        <v>31</v>
      </c>
      <c r="G391" s="25" t="s">
        <v>74</v>
      </c>
      <c r="H391" s="12" t="s">
        <v>300</v>
      </c>
      <c r="I391" s="25" t="s">
        <v>301</v>
      </c>
      <c r="J391" s="25" t="s">
        <v>35</v>
      </c>
      <c r="K391" s="12" t="s">
        <v>302</v>
      </c>
      <c r="L391" s="25" t="s">
        <v>59</v>
      </c>
      <c r="M391" s="29" t="s">
        <v>281</v>
      </c>
      <c r="N391" s="40">
        <v>5600.0</v>
      </c>
      <c r="O391" s="17">
        <f t="shared" si="9"/>
        <v>0.5357142857</v>
      </c>
      <c r="P391" s="39">
        <v>3000.0</v>
      </c>
      <c r="Q391" s="12" t="s">
        <v>39</v>
      </c>
      <c r="R391" s="12">
        <v>1330517.0</v>
      </c>
      <c r="S391" s="29" t="s">
        <v>40</v>
      </c>
      <c r="T391" s="19">
        <v>5208133.0</v>
      </c>
      <c r="U391" s="12"/>
      <c r="V391" s="12"/>
      <c r="W391" s="12"/>
      <c r="X391" s="12"/>
      <c r="Y391" s="57">
        <v>45443.25555555556</v>
      </c>
      <c r="Z391" s="57">
        <v>45443.79305555556</v>
      </c>
      <c r="AA391" s="12"/>
      <c r="AB391" s="12"/>
      <c r="AC391" s="12"/>
      <c r="AD391" s="12"/>
      <c r="AE391" s="12" t="s">
        <v>39</v>
      </c>
      <c r="AF391" s="1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</row>
    <row r="392" ht="15.75" customHeight="1">
      <c r="A392" s="9">
        <v>1.0471774E7</v>
      </c>
      <c r="B392" s="10"/>
      <c r="C392" s="11">
        <v>45442.416666666664</v>
      </c>
      <c r="D392" s="12">
        <v>26.0</v>
      </c>
      <c r="E392" s="26">
        <v>33100.0</v>
      </c>
      <c r="F392" s="29" t="s">
        <v>31</v>
      </c>
      <c r="G392" s="25" t="s">
        <v>74</v>
      </c>
      <c r="H392" s="12" t="s">
        <v>300</v>
      </c>
      <c r="I392" s="25" t="s">
        <v>301</v>
      </c>
      <c r="J392" s="25" t="s">
        <v>35</v>
      </c>
      <c r="K392" s="12" t="s">
        <v>302</v>
      </c>
      <c r="L392" s="25" t="s">
        <v>59</v>
      </c>
      <c r="M392" s="29" t="s">
        <v>282</v>
      </c>
      <c r="N392" s="40">
        <v>5600.0</v>
      </c>
      <c r="O392" s="17">
        <f t="shared" si="9"/>
        <v>0.5357142857</v>
      </c>
      <c r="P392" s="39">
        <v>3000.0</v>
      </c>
      <c r="Q392" s="12" t="s">
        <v>39</v>
      </c>
      <c r="R392" s="12">
        <v>1330566.0</v>
      </c>
      <c r="S392" s="29" t="s">
        <v>40</v>
      </c>
      <c r="T392" s="19">
        <v>5208484.0</v>
      </c>
      <c r="U392" s="12"/>
      <c r="V392" s="12"/>
      <c r="W392" s="12"/>
      <c r="X392" s="12"/>
      <c r="Y392" s="57">
        <v>45442.85902777778</v>
      </c>
      <c r="Z392" s="57">
        <v>45443.8</v>
      </c>
      <c r="AA392" s="12"/>
      <c r="AB392" s="12"/>
      <c r="AC392" s="12"/>
      <c r="AD392" s="12"/>
      <c r="AE392" s="12" t="s">
        <v>39</v>
      </c>
      <c r="AF392" s="1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</row>
    <row r="393" ht="15.75" customHeight="1">
      <c r="A393" s="9">
        <v>1.0471869E7</v>
      </c>
      <c r="B393" s="10"/>
      <c r="C393" s="11">
        <v>45442.416666666664</v>
      </c>
      <c r="D393" s="12">
        <v>26.0</v>
      </c>
      <c r="E393" s="26">
        <v>33100.0</v>
      </c>
      <c r="F393" s="29" t="s">
        <v>31</v>
      </c>
      <c r="G393" s="25" t="s">
        <v>74</v>
      </c>
      <c r="H393" s="12" t="s">
        <v>300</v>
      </c>
      <c r="I393" s="25" t="s">
        <v>301</v>
      </c>
      <c r="J393" s="25" t="s">
        <v>35</v>
      </c>
      <c r="K393" s="12" t="s">
        <v>302</v>
      </c>
      <c r="L393" s="25" t="s">
        <v>59</v>
      </c>
      <c r="M393" s="29" t="s">
        <v>169</v>
      </c>
      <c r="N393" s="40">
        <v>5600.0</v>
      </c>
      <c r="O393" s="17">
        <f t="shared" si="9"/>
        <v>0.5357142857</v>
      </c>
      <c r="P393" s="39">
        <v>3000.0</v>
      </c>
      <c r="Q393" s="12" t="s">
        <v>39</v>
      </c>
      <c r="R393" s="12">
        <v>1330533.0</v>
      </c>
      <c r="S393" s="29" t="s">
        <v>40</v>
      </c>
      <c r="T393" s="19">
        <v>5208222.0</v>
      </c>
      <c r="U393" s="12"/>
      <c r="V393" s="12"/>
      <c r="W393" s="12"/>
      <c r="X393" s="12"/>
      <c r="Y393" s="57">
        <v>45443.302083333336</v>
      </c>
      <c r="Z393" s="57">
        <v>45444.399305555555</v>
      </c>
      <c r="AA393" s="12"/>
      <c r="AB393" s="12"/>
      <c r="AC393" s="12"/>
      <c r="AD393" s="12"/>
      <c r="AE393" s="12" t="s">
        <v>39</v>
      </c>
      <c r="AF393" s="1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</row>
    <row r="394" ht="15.75" customHeight="1">
      <c r="A394" s="9">
        <v>1.0480236E7</v>
      </c>
      <c r="B394" s="10"/>
      <c r="C394" s="11">
        <v>45449.416666666664</v>
      </c>
      <c r="D394" s="12">
        <v>26.0</v>
      </c>
      <c r="E394" s="26">
        <v>31625.0</v>
      </c>
      <c r="F394" s="29" t="s">
        <v>31</v>
      </c>
      <c r="G394" s="25" t="s">
        <v>74</v>
      </c>
      <c r="H394" s="12" t="s">
        <v>262</v>
      </c>
      <c r="I394" s="25" t="s">
        <v>263</v>
      </c>
      <c r="J394" s="25" t="s">
        <v>35</v>
      </c>
      <c r="K394" s="12" t="s">
        <v>264</v>
      </c>
      <c r="L394" s="28" t="s">
        <v>59</v>
      </c>
      <c r="M394" s="29" t="s">
        <v>282</v>
      </c>
      <c r="N394" s="40">
        <v>4650.0</v>
      </c>
      <c r="O394" s="17">
        <f t="shared" si="9"/>
        <v>0.6451612903</v>
      </c>
      <c r="P394" s="39">
        <v>3000.0</v>
      </c>
      <c r="Q394" s="12" t="s">
        <v>39</v>
      </c>
      <c r="R394" s="12">
        <v>1334462.0</v>
      </c>
      <c r="S394" s="29" t="s">
        <v>40</v>
      </c>
      <c r="T394" s="19">
        <v>5230240.0</v>
      </c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</row>
    <row r="395" ht="15.75" customHeight="1">
      <c r="A395" s="9">
        <v>1.0480644E7</v>
      </c>
      <c r="B395" s="10"/>
      <c r="C395" s="11">
        <v>45448.875</v>
      </c>
      <c r="D395" s="12">
        <v>26.0</v>
      </c>
      <c r="E395" s="26">
        <v>31522.0</v>
      </c>
      <c r="F395" s="29" t="s">
        <v>31</v>
      </c>
      <c r="G395" s="25" t="s">
        <v>44</v>
      </c>
      <c r="H395" s="12" t="s">
        <v>136</v>
      </c>
      <c r="I395" s="28" t="s">
        <v>137</v>
      </c>
      <c r="J395" s="25" t="s">
        <v>35</v>
      </c>
      <c r="K395" s="12" t="s">
        <v>138</v>
      </c>
      <c r="L395" s="28" t="s">
        <v>114</v>
      </c>
      <c r="M395" s="29"/>
      <c r="N395" s="40">
        <v>5174.0</v>
      </c>
      <c r="O395" s="17">
        <f t="shared" si="9"/>
        <v>0.7730962505</v>
      </c>
      <c r="P395" s="39">
        <v>4000.0</v>
      </c>
      <c r="Q395" s="12"/>
      <c r="R395" s="12"/>
      <c r="S395" s="29" t="s">
        <v>131</v>
      </c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</row>
    <row r="396" ht="15.75" customHeight="1">
      <c r="A396" s="9">
        <v>1.048165E7</v>
      </c>
      <c r="B396" s="10"/>
      <c r="C396" s="11">
        <v>45449.875</v>
      </c>
      <c r="D396" s="12">
        <v>26.0</v>
      </c>
      <c r="E396" s="26">
        <v>30933.0</v>
      </c>
      <c r="F396" s="38" t="s">
        <v>43</v>
      </c>
      <c r="G396" s="25" t="s">
        <v>44</v>
      </c>
      <c r="H396" s="12" t="s">
        <v>45</v>
      </c>
      <c r="I396" s="12" t="s">
        <v>46</v>
      </c>
      <c r="J396" s="14" t="s">
        <v>35</v>
      </c>
      <c r="K396" s="14" t="s">
        <v>47</v>
      </c>
      <c r="L396" s="28" t="s">
        <v>108</v>
      </c>
      <c r="M396" s="29"/>
      <c r="N396" s="40">
        <v>2169.28</v>
      </c>
      <c r="O396" s="17">
        <f t="shared" si="9"/>
        <v>0.7836701578</v>
      </c>
      <c r="P396" s="39">
        <v>1700.0</v>
      </c>
      <c r="Q396" s="12"/>
      <c r="R396" s="12"/>
      <c r="S396" s="29" t="s">
        <v>131</v>
      </c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</row>
    <row r="397" ht="15.75" customHeight="1">
      <c r="A397" s="9">
        <v>1.0481651E7</v>
      </c>
      <c r="B397" s="10"/>
      <c r="C397" s="11">
        <v>45449.875</v>
      </c>
      <c r="D397" s="12" t="s">
        <v>52</v>
      </c>
      <c r="E397" s="25" t="s">
        <v>52</v>
      </c>
      <c r="F397" s="38" t="s">
        <v>43</v>
      </c>
      <c r="G397" s="25" t="s">
        <v>44</v>
      </c>
      <c r="H397" s="12" t="s">
        <v>366</v>
      </c>
      <c r="I397" s="12" t="s">
        <v>46</v>
      </c>
      <c r="J397" s="14" t="s">
        <v>47</v>
      </c>
      <c r="K397" s="14" t="s">
        <v>35</v>
      </c>
      <c r="L397" s="28" t="s">
        <v>188</v>
      </c>
      <c r="M397" s="29"/>
      <c r="N397" s="40">
        <v>1446.19</v>
      </c>
      <c r="O397" s="17">
        <f t="shared" si="9"/>
        <v>0.4840304524</v>
      </c>
      <c r="P397" s="39">
        <v>700.0</v>
      </c>
      <c r="Q397" s="12"/>
      <c r="R397" s="12"/>
      <c r="S397" s="29" t="s">
        <v>131</v>
      </c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</row>
    <row r="398" ht="15.75" customHeight="1">
      <c r="A398" s="9">
        <v>1.0481937E7</v>
      </c>
      <c r="B398" s="10"/>
      <c r="C398" s="11">
        <v>45449.875</v>
      </c>
      <c r="D398" s="12">
        <v>26.0</v>
      </c>
      <c r="E398" s="26">
        <v>32553.0</v>
      </c>
      <c r="F398" s="38" t="s">
        <v>43</v>
      </c>
      <c r="G398" s="25" t="s">
        <v>44</v>
      </c>
      <c r="H398" s="12" t="s">
        <v>45</v>
      </c>
      <c r="I398" s="12" t="s">
        <v>46</v>
      </c>
      <c r="J398" s="14" t="s">
        <v>35</v>
      </c>
      <c r="K398" s="14" t="s">
        <v>47</v>
      </c>
      <c r="L398" s="28" t="s">
        <v>108</v>
      </c>
      <c r="M398" s="29"/>
      <c r="N398" s="40">
        <v>2336.24</v>
      </c>
      <c r="O398" s="17">
        <f t="shared" si="9"/>
        <v>0.7276649659</v>
      </c>
      <c r="P398" s="39">
        <v>1700.0</v>
      </c>
      <c r="Q398" s="12"/>
      <c r="R398" s="12"/>
      <c r="S398" s="29" t="s">
        <v>131</v>
      </c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</row>
    <row r="399" ht="15.75" customHeight="1">
      <c r="A399" s="9">
        <v>1.0481968E7</v>
      </c>
      <c r="B399" s="10"/>
      <c r="C399" s="11">
        <v>45449.875</v>
      </c>
      <c r="D399" s="12" t="s">
        <v>52</v>
      </c>
      <c r="E399" s="25" t="s">
        <v>52</v>
      </c>
      <c r="F399" s="38" t="s">
        <v>43</v>
      </c>
      <c r="G399" s="25" t="s">
        <v>44</v>
      </c>
      <c r="H399" s="12" t="s">
        <v>367</v>
      </c>
      <c r="I399" s="25" t="s">
        <v>46</v>
      </c>
      <c r="J399" s="55" t="s">
        <v>47</v>
      </c>
      <c r="K399" s="55" t="s">
        <v>35</v>
      </c>
      <c r="L399" s="28" t="s">
        <v>188</v>
      </c>
      <c r="M399" s="29"/>
      <c r="N399" s="40">
        <v>1557.5</v>
      </c>
      <c r="O399" s="17">
        <f t="shared" si="9"/>
        <v>0.4494382022</v>
      </c>
      <c r="P399" s="39">
        <v>700.0</v>
      </c>
      <c r="Q399" s="12"/>
      <c r="R399" s="12"/>
      <c r="S399" s="29" t="s">
        <v>131</v>
      </c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</row>
    <row r="400" ht="15.75" customHeight="1">
      <c r="A400" s="9">
        <v>1.0482981E7</v>
      </c>
      <c r="B400" s="10"/>
      <c r="C400" s="11">
        <v>45453.875</v>
      </c>
      <c r="D400" s="12">
        <v>26.0</v>
      </c>
      <c r="E400" s="26">
        <v>31625.0</v>
      </c>
      <c r="F400" s="29" t="s">
        <v>31</v>
      </c>
      <c r="G400" s="25" t="s">
        <v>44</v>
      </c>
      <c r="H400" s="12" t="s">
        <v>268</v>
      </c>
      <c r="I400" s="25" t="s">
        <v>269</v>
      </c>
      <c r="J400" s="25" t="s">
        <v>35</v>
      </c>
      <c r="K400" s="25" t="s">
        <v>270</v>
      </c>
      <c r="L400" s="28" t="s">
        <v>94</v>
      </c>
      <c r="M400" s="29" t="s">
        <v>52</v>
      </c>
      <c r="N400" s="40">
        <v>6200.0</v>
      </c>
      <c r="O400" s="17">
        <f t="shared" si="9"/>
        <v>0.685483871</v>
      </c>
      <c r="P400" s="39">
        <v>4250.0</v>
      </c>
      <c r="Q400" s="12"/>
      <c r="R400" s="12"/>
      <c r="S400" s="29" t="s">
        <v>131</v>
      </c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</row>
    <row r="401" ht="15.75" customHeight="1">
      <c r="A401" s="9">
        <v>1.0482982E7</v>
      </c>
      <c r="B401" s="10"/>
      <c r="C401" s="11">
        <v>45453.875</v>
      </c>
      <c r="D401" s="12">
        <v>26.0</v>
      </c>
      <c r="E401" s="26">
        <v>31625.0</v>
      </c>
      <c r="F401" s="29" t="s">
        <v>31</v>
      </c>
      <c r="G401" s="25" t="s">
        <v>44</v>
      </c>
      <c r="H401" s="12" t="s">
        <v>268</v>
      </c>
      <c r="I401" s="25" t="s">
        <v>269</v>
      </c>
      <c r="J401" s="25" t="s">
        <v>35</v>
      </c>
      <c r="K401" s="25" t="s">
        <v>270</v>
      </c>
      <c r="L401" s="28" t="s">
        <v>94</v>
      </c>
      <c r="M401" s="29" t="s">
        <v>52</v>
      </c>
      <c r="N401" s="40">
        <v>6200.0</v>
      </c>
      <c r="O401" s="17">
        <f t="shared" si="9"/>
        <v>0.685483871</v>
      </c>
      <c r="P401" s="39">
        <v>4250.0</v>
      </c>
      <c r="Q401" s="12"/>
      <c r="R401" s="12"/>
      <c r="S401" s="29" t="s">
        <v>131</v>
      </c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</row>
    <row r="402" ht="15.75" customHeight="1">
      <c r="A402" s="9">
        <v>1.048684E7</v>
      </c>
      <c r="B402" s="51"/>
      <c r="C402" s="11">
        <v>45450.458333333336</v>
      </c>
      <c r="D402" s="12">
        <v>26.0</v>
      </c>
      <c r="E402" s="26">
        <v>32553.0</v>
      </c>
      <c r="F402" s="38" t="s">
        <v>43</v>
      </c>
      <c r="G402" s="25" t="s">
        <v>32</v>
      </c>
      <c r="H402" s="12" t="s">
        <v>265</v>
      </c>
      <c r="I402" s="28" t="s">
        <v>266</v>
      </c>
      <c r="J402" s="25" t="s">
        <v>35</v>
      </c>
      <c r="K402" s="25" t="s">
        <v>267</v>
      </c>
      <c r="L402" s="28" t="s">
        <v>114</v>
      </c>
      <c r="M402" s="29"/>
      <c r="N402" s="40">
        <v>5880.0</v>
      </c>
      <c r="O402" s="17">
        <f t="shared" si="9"/>
        <v>0.7227891156</v>
      </c>
      <c r="P402" s="39">
        <v>4250.0</v>
      </c>
      <c r="Q402" s="12"/>
      <c r="R402" s="12"/>
      <c r="S402" s="29" t="s">
        <v>131</v>
      </c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</row>
    <row r="403" ht="15.75" customHeight="1">
      <c r="A403" s="9">
        <v>1.0486841E7</v>
      </c>
      <c r="B403" s="51"/>
      <c r="C403" s="11">
        <v>45450.458333333336</v>
      </c>
      <c r="D403" s="12" t="s">
        <v>52</v>
      </c>
      <c r="E403" s="25" t="s">
        <v>52</v>
      </c>
      <c r="F403" s="38" t="s">
        <v>43</v>
      </c>
      <c r="G403" s="25" t="s">
        <v>32</v>
      </c>
      <c r="H403" s="12" t="s">
        <v>368</v>
      </c>
      <c r="I403" s="28" t="s">
        <v>266</v>
      </c>
      <c r="J403" s="25" t="s">
        <v>267</v>
      </c>
      <c r="K403" s="25" t="s">
        <v>35</v>
      </c>
      <c r="L403" s="28" t="s">
        <v>43</v>
      </c>
      <c r="M403" s="29"/>
      <c r="N403" s="40">
        <v>3920.0</v>
      </c>
      <c r="O403" s="17">
        <f t="shared" si="9"/>
        <v>0.7015306122</v>
      </c>
      <c r="P403" s="39">
        <v>2750.0</v>
      </c>
      <c r="Q403" s="12"/>
      <c r="R403" s="12"/>
      <c r="S403" s="29" t="s">
        <v>131</v>
      </c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</row>
    <row r="404" ht="15.75" customHeight="1">
      <c r="A404" s="9">
        <v>1.0487057E7</v>
      </c>
      <c r="B404" s="51"/>
      <c r="C404" s="11">
        <v>45451.583333333336</v>
      </c>
      <c r="D404" s="12">
        <v>26.0</v>
      </c>
      <c r="E404" s="26">
        <v>31922.0</v>
      </c>
      <c r="F404" s="29" t="s">
        <v>31</v>
      </c>
      <c r="G404" s="25" t="s">
        <v>74</v>
      </c>
      <c r="H404" s="29" t="s">
        <v>352</v>
      </c>
      <c r="I404" s="39" t="s">
        <v>369</v>
      </c>
      <c r="J404" s="25" t="s">
        <v>35</v>
      </c>
      <c r="K404" s="12" t="s">
        <v>370</v>
      </c>
      <c r="L404" s="28" t="s">
        <v>94</v>
      </c>
      <c r="M404" s="29" t="s">
        <v>128</v>
      </c>
      <c r="N404" s="40">
        <v>6590.0</v>
      </c>
      <c r="O404" s="17">
        <f t="shared" si="9"/>
        <v>0.6449165402</v>
      </c>
      <c r="P404" s="39">
        <v>4250.0</v>
      </c>
      <c r="Q404" s="12" t="s">
        <v>39</v>
      </c>
      <c r="R404" s="12">
        <v>1335912.0</v>
      </c>
      <c r="S404" s="29" t="s">
        <v>40</v>
      </c>
      <c r="T404" s="19">
        <v>5239806.0</v>
      </c>
      <c r="U404" s="12"/>
      <c r="V404" s="12"/>
      <c r="W404" s="12"/>
      <c r="X404" s="12"/>
      <c r="Y404" s="57">
        <v>45453.342361111114</v>
      </c>
      <c r="Z404" s="57">
        <v>45453.652083333334</v>
      </c>
      <c r="AA404" s="12"/>
      <c r="AB404" s="12"/>
      <c r="AC404" s="12"/>
      <c r="AD404" s="12"/>
      <c r="AE404" s="12" t="s">
        <v>39</v>
      </c>
      <c r="AF404" s="1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</row>
    <row r="405" ht="15.75" customHeight="1">
      <c r="A405" s="9">
        <v>1.0487058E7</v>
      </c>
      <c r="B405" s="51"/>
      <c r="C405" s="11">
        <v>45451.583333333336</v>
      </c>
      <c r="D405" s="12">
        <v>26.0</v>
      </c>
      <c r="E405" s="26">
        <v>31922.0</v>
      </c>
      <c r="F405" s="29" t="s">
        <v>31</v>
      </c>
      <c r="G405" s="25" t="s">
        <v>44</v>
      </c>
      <c r="H405" s="29" t="s">
        <v>136</v>
      </c>
      <c r="I405" s="39" t="s">
        <v>137</v>
      </c>
      <c r="J405" s="25" t="s">
        <v>35</v>
      </c>
      <c r="K405" s="12" t="s">
        <v>138</v>
      </c>
      <c r="L405" s="28" t="s">
        <v>114</v>
      </c>
      <c r="M405" s="29" t="s">
        <v>52</v>
      </c>
      <c r="N405" s="40">
        <v>5174.0</v>
      </c>
      <c r="O405" s="17">
        <f t="shared" si="9"/>
        <v>0.7730962505</v>
      </c>
      <c r="P405" s="39">
        <v>4000.0</v>
      </c>
      <c r="Q405" s="12"/>
      <c r="R405" s="12"/>
      <c r="S405" s="29" t="s">
        <v>131</v>
      </c>
      <c r="T405" s="12"/>
      <c r="U405" s="12"/>
      <c r="V405" s="12"/>
      <c r="W405" s="12"/>
      <c r="X405" s="12"/>
      <c r="Y405" s="12"/>
      <c r="Z405" s="22"/>
      <c r="AA405" s="12"/>
      <c r="AB405" s="12"/>
      <c r="AC405" s="12"/>
      <c r="AD405" s="12"/>
      <c r="AE405" s="12"/>
      <c r="AF405" s="1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</row>
    <row r="406" ht="15.75" customHeight="1">
      <c r="A406" s="9">
        <v>1.0487194E7</v>
      </c>
      <c r="B406" s="10"/>
      <c r="C406" s="11">
        <v>45453.666666666664</v>
      </c>
      <c r="D406" s="12">
        <v>26.0</v>
      </c>
      <c r="E406" s="26">
        <v>31625.0</v>
      </c>
      <c r="F406" s="29" t="s">
        <v>31</v>
      </c>
      <c r="G406" s="25" t="s">
        <v>44</v>
      </c>
      <c r="H406" s="29" t="s">
        <v>268</v>
      </c>
      <c r="I406" s="29" t="s">
        <v>269</v>
      </c>
      <c r="J406" s="25" t="s">
        <v>35</v>
      </c>
      <c r="K406" s="12" t="s">
        <v>270</v>
      </c>
      <c r="L406" s="28" t="s">
        <v>94</v>
      </c>
      <c r="M406" s="29" t="s">
        <v>52</v>
      </c>
      <c r="N406" s="40">
        <v>6200.0</v>
      </c>
      <c r="O406" s="17">
        <f t="shared" si="9"/>
        <v>0.685483871</v>
      </c>
      <c r="P406" s="39">
        <v>4250.0</v>
      </c>
      <c r="Q406" s="12"/>
      <c r="R406" s="12"/>
      <c r="S406" s="29" t="s">
        <v>131</v>
      </c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</row>
    <row r="407" ht="15.75" customHeight="1">
      <c r="A407" s="9">
        <v>1.0487195E7</v>
      </c>
      <c r="B407" s="51"/>
      <c r="C407" s="11">
        <v>45451.625</v>
      </c>
      <c r="D407" s="12">
        <v>26.0</v>
      </c>
      <c r="E407" s="26">
        <v>31625.0</v>
      </c>
      <c r="F407" s="29" t="s">
        <v>31</v>
      </c>
      <c r="G407" s="25" t="s">
        <v>44</v>
      </c>
      <c r="H407" s="29" t="s">
        <v>268</v>
      </c>
      <c r="I407" s="29" t="s">
        <v>269</v>
      </c>
      <c r="J407" s="25" t="s">
        <v>35</v>
      </c>
      <c r="K407" s="12" t="s">
        <v>270</v>
      </c>
      <c r="L407" s="28" t="s">
        <v>94</v>
      </c>
      <c r="M407" s="29" t="s">
        <v>282</v>
      </c>
      <c r="N407" s="40">
        <v>6200.0</v>
      </c>
      <c r="O407" s="17">
        <f t="shared" si="9"/>
        <v>0.685483871</v>
      </c>
      <c r="P407" s="39">
        <v>4250.0</v>
      </c>
      <c r="Q407" s="12" t="s">
        <v>39</v>
      </c>
      <c r="R407" s="12">
        <v>1335905.0</v>
      </c>
      <c r="S407" s="29" t="s">
        <v>40</v>
      </c>
      <c r="T407" s="19">
        <v>5239756.0</v>
      </c>
      <c r="U407" s="12"/>
      <c r="V407" s="12"/>
      <c r="W407" s="12"/>
      <c r="X407" s="12"/>
      <c r="Y407" s="57">
        <v>45453.569444444445</v>
      </c>
      <c r="Z407" s="57">
        <v>45453.666666666664</v>
      </c>
      <c r="AA407" s="12"/>
      <c r="AB407" s="12"/>
      <c r="AC407" s="12"/>
      <c r="AD407" s="12"/>
      <c r="AE407" s="12" t="s">
        <v>39</v>
      </c>
      <c r="AF407" s="1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</row>
    <row r="408" ht="15.75" customHeight="1">
      <c r="A408" s="9">
        <v>1.0487217E7</v>
      </c>
      <c r="B408" s="51"/>
      <c r="C408" s="11">
        <v>45451.625</v>
      </c>
      <c r="D408" s="12">
        <v>26.0</v>
      </c>
      <c r="E408" s="26">
        <v>31625.0</v>
      </c>
      <c r="F408" s="29" t="s">
        <v>31</v>
      </c>
      <c r="G408" s="25" t="s">
        <v>44</v>
      </c>
      <c r="H408" s="12" t="s">
        <v>268</v>
      </c>
      <c r="I408" s="25" t="s">
        <v>269</v>
      </c>
      <c r="J408" s="25" t="s">
        <v>35</v>
      </c>
      <c r="K408" s="12" t="s">
        <v>270</v>
      </c>
      <c r="L408" s="28" t="s">
        <v>94</v>
      </c>
      <c r="M408" s="29" t="s">
        <v>281</v>
      </c>
      <c r="N408" s="40">
        <v>6200.0</v>
      </c>
      <c r="O408" s="17">
        <f t="shared" si="9"/>
        <v>0.685483871</v>
      </c>
      <c r="P408" s="39">
        <v>4250.0</v>
      </c>
      <c r="Q408" s="12" t="s">
        <v>39</v>
      </c>
      <c r="R408" s="12">
        <v>1335554.0</v>
      </c>
      <c r="S408" s="29" t="s">
        <v>40</v>
      </c>
      <c r="T408" s="19">
        <v>5237433.0</v>
      </c>
      <c r="U408" s="12"/>
      <c r="V408" s="12"/>
      <c r="W408" s="12"/>
      <c r="X408" s="12"/>
      <c r="Y408" s="57">
        <v>45453.24236111111</v>
      </c>
      <c r="Z408" s="57">
        <v>45453.30347222222</v>
      </c>
      <c r="AA408" s="12"/>
      <c r="AB408" s="12"/>
      <c r="AC408" s="12"/>
      <c r="AD408" s="12"/>
      <c r="AE408" s="12" t="s">
        <v>39</v>
      </c>
      <c r="AF408" s="1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</row>
    <row r="409" ht="15.75" customHeight="1">
      <c r="A409" s="9">
        <v>1.0489833E7</v>
      </c>
      <c r="B409" s="51"/>
      <c r="C409" s="11">
        <v>45450.916666666664</v>
      </c>
      <c r="D409" s="12">
        <v>1.0</v>
      </c>
      <c r="E409" s="25">
        <v>962.0</v>
      </c>
      <c r="F409" s="29" t="s">
        <v>31</v>
      </c>
      <c r="G409" s="25" t="s">
        <v>74</v>
      </c>
      <c r="H409" s="12" t="s">
        <v>262</v>
      </c>
      <c r="I409" s="25" t="s">
        <v>263</v>
      </c>
      <c r="J409" s="25" t="s">
        <v>35</v>
      </c>
      <c r="K409" s="12" t="s">
        <v>264</v>
      </c>
      <c r="L409" s="28" t="s">
        <v>59</v>
      </c>
      <c r="M409" s="29"/>
      <c r="N409" s="40">
        <v>3004.0</v>
      </c>
      <c r="O409" s="17">
        <f t="shared" si="9"/>
        <v>0.9986684421</v>
      </c>
      <c r="P409" s="39">
        <v>3000.0</v>
      </c>
      <c r="Q409" s="12"/>
      <c r="R409" s="12"/>
      <c r="S409" s="29" t="s">
        <v>131</v>
      </c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</row>
    <row r="410" ht="15.75" customHeight="1">
      <c r="A410" s="9">
        <v>1.0489966E7</v>
      </c>
      <c r="B410" s="10"/>
      <c r="C410" s="11">
        <v>45453.666666666664</v>
      </c>
      <c r="D410" s="12">
        <v>26.0</v>
      </c>
      <c r="E410" s="26">
        <v>31922.0</v>
      </c>
      <c r="F410" s="29" t="s">
        <v>31</v>
      </c>
      <c r="G410" s="25" t="s">
        <v>44</v>
      </c>
      <c r="H410" s="12" t="s">
        <v>136</v>
      </c>
      <c r="I410" s="28" t="s">
        <v>137</v>
      </c>
      <c r="J410" s="25" t="s">
        <v>35</v>
      </c>
      <c r="K410" s="12" t="s">
        <v>138</v>
      </c>
      <c r="L410" s="28" t="s">
        <v>114</v>
      </c>
      <c r="M410" s="29" t="s">
        <v>52</v>
      </c>
      <c r="N410" s="40">
        <v>5174.0</v>
      </c>
      <c r="O410" s="17">
        <f t="shared" si="9"/>
        <v>0.7730962505</v>
      </c>
      <c r="P410" s="39">
        <v>4000.0</v>
      </c>
      <c r="Q410" s="12"/>
      <c r="R410" s="12"/>
      <c r="S410" s="29" t="s">
        <v>131</v>
      </c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</row>
    <row r="411" ht="15.75" customHeight="1">
      <c r="A411" s="9">
        <v>1.0489967E7</v>
      </c>
      <c r="B411" s="10"/>
      <c r="C411" s="11">
        <v>45453.75</v>
      </c>
      <c r="D411" s="12">
        <v>26.0</v>
      </c>
      <c r="E411" s="26">
        <v>31078.0</v>
      </c>
      <c r="F411" s="38" t="s">
        <v>43</v>
      </c>
      <c r="G411" s="25" t="s">
        <v>44</v>
      </c>
      <c r="H411" s="12" t="s">
        <v>45</v>
      </c>
      <c r="I411" s="12" t="s">
        <v>46</v>
      </c>
      <c r="J411" s="14" t="s">
        <v>35</v>
      </c>
      <c r="K411" s="14" t="s">
        <v>47</v>
      </c>
      <c r="L411" s="28" t="s">
        <v>108</v>
      </c>
      <c r="M411" s="29" t="s">
        <v>52</v>
      </c>
      <c r="N411" s="40">
        <v>2169.28</v>
      </c>
      <c r="O411" s="17">
        <f t="shared" si="9"/>
        <v>0.7836701578</v>
      </c>
      <c r="P411" s="39">
        <v>1700.0</v>
      </c>
      <c r="Q411" s="12"/>
      <c r="R411" s="12"/>
      <c r="S411" s="29" t="s">
        <v>131</v>
      </c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</row>
    <row r="412" ht="15.75" customHeight="1">
      <c r="A412" s="9">
        <v>1.0489968E7</v>
      </c>
      <c r="B412" s="10"/>
      <c r="C412" s="11">
        <v>45453.75</v>
      </c>
      <c r="D412" s="12" t="s">
        <v>52</v>
      </c>
      <c r="E412" s="25" t="s">
        <v>52</v>
      </c>
      <c r="F412" s="38" t="s">
        <v>43</v>
      </c>
      <c r="G412" s="25" t="s">
        <v>44</v>
      </c>
      <c r="H412" s="12" t="s">
        <v>371</v>
      </c>
      <c r="I412" s="12" t="s">
        <v>46</v>
      </c>
      <c r="J412" s="14" t="s">
        <v>47</v>
      </c>
      <c r="K412" s="14" t="s">
        <v>35</v>
      </c>
      <c r="L412" s="28" t="s">
        <v>188</v>
      </c>
      <c r="M412" s="29" t="s">
        <v>52</v>
      </c>
      <c r="N412" s="40">
        <v>1446.19</v>
      </c>
      <c r="O412" s="17">
        <f t="shared" si="9"/>
        <v>0.4840304524</v>
      </c>
      <c r="P412" s="39">
        <v>700.0</v>
      </c>
      <c r="Q412" s="12"/>
      <c r="R412" s="12"/>
      <c r="S412" s="29" t="s">
        <v>131</v>
      </c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</row>
    <row r="413" ht="15.75" customHeight="1">
      <c r="A413" s="9">
        <v>1.049026E7</v>
      </c>
      <c r="B413" s="10"/>
      <c r="C413" s="11">
        <v>45453.666666666664</v>
      </c>
      <c r="D413" s="12">
        <v>26.0</v>
      </c>
      <c r="E413" s="26">
        <v>31625.0</v>
      </c>
      <c r="F413" s="29" t="s">
        <v>31</v>
      </c>
      <c r="G413" s="25" t="s">
        <v>44</v>
      </c>
      <c r="H413" s="12" t="s">
        <v>104</v>
      </c>
      <c r="I413" s="12" t="s">
        <v>105</v>
      </c>
      <c r="J413" s="12" t="s">
        <v>35</v>
      </c>
      <c r="K413" s="12" t="s">
        <v>106</v>
      </c>
      <c r="L413" s="25" t="s">
        <v>59</v>
      </c>
      <c r="M413" s="29" t="s">
        <v>52</v>
      </c>
      <c r="N413" s="40">
        <v>5053.0</v>
      </c>
      <c r="O413" s="17">
        <f t="shared" si="9"/>
        <v>0.5937067089</v>
      </c>
      <c r="P413" s="39">
        <v>3000.0</v>
      </c>
      <c r="Q413" s="12"/>
      <c r="R413" s="12"/>
      <c r="S413" s="29" t="s">
        <v>131</v>
      </c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</row>
    <row r="414" ht="15.75" customHeight="1">
      <c r="A414" s="9">
        <v>1.0490261E7</v>
      </c>
      <c r="B414" s="10"/>
      <c r="C414" s="11">
        <v>45453.625</v>
      </c>
      <c r="D414" s="12">
        <v>26.0</v>
      </c>
      <c r="E414" s="26">
        <v>31625.0</v>
      </c>
      <c r="F414" s="29" t="s">
        <v>31</v>
      </c>
      <c r="G414" s="25" t="s">
        <v>44</v>
      </c>
      <c r="H414" s="25" t="s">
        <v>104</v>
      </c>
      <c r="I414" s="25" t="s">
        <v>105</v>
      </c>
      <c r="J414" s="25" t="s">
        <v>35</v>
      </c>
      <c r="K414" s="25" t="s">
        <v>106</v>
      </c>
      <c r="L414" s="25" t="s">
        <v>59</v>
      </c>
      <c r="M414" s="12" t="s">
        <v>52</v>
      </c>
      <c r="N414" s="40">
        <v>5053.0</v>
      </c>
      <c r="O414" s="17">
        <f t="shared" si="9"/>
        <v>0.5937067089</v>
      </c>
      <c r="P414" s="39">
        <v>3000.0</v>
      </c>
      <c r="Q414" s="12"/>
      <c r="R414" s="12"/>
      <c r="S414" s="29" t="s">
        <v>131</v>
      </c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</row>
    <row r="415" ht="15.75" customHeight="1">
      <c r="A415" s="9">
        <v>1.0490262E7</v>
      </c>
      <c r="B415" s="10"/>
      <c r="C415" s="11">
        <v>45453.75</v>
      </c>
      <c r="D415" s="12">
        <v>26.0</v>
      </c>
      <c r="E415" s="26">
        <v>31625.0</v>
      </c>
      <c r="F415" s="29" t="s">
        <v>31</v>
      </c>
      <c r="G415" s="25" t="s">
        <v>44</v>
      </c>
      <c r="H415" s="29" t="s">
        <v>104</v>
      </c>
      <c r="I415" s="29" t="s">
        <v>105</v>
      </c>
      <c r="J415" s="25" t="s">
        <v>35</v>
      </c>
      <c r="K415" s="29" t="s">
        <v>106</v>
      </c>
      <c r="L415" s="25" t="s">
        <v>59</v>
      </c>
      <c r="M415" s="29" t="s">
        <v>52</v>
      </c>
      <c r="N415" s="40">
        <v>5053.0</v>
      </c>
      <c r="O415" s="17">
        <f t="shared" si="9"/>
        <v>0.5937067089</v>
      </c>
      <c r="P415" s="39">
        <v>3000.0</v>
      </c>
      <c r="Q415" s="12"/>
      <c r="R415" s="12"/>
      <c r="S415" s="29" t="s">
        <v>131</v>
      </c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</row>
    <row r="416" ht="15.75" customHeight="1">
      <c r="A416" s="9">
        <v>1.049036E7</v>
      </c>
      <c r="B416" s="10"/>
      <c r="C416" s="11">
        <v>45456.875</v>
      </c>
      <c r="D416" s="12">
        <v>26.0</v>
      </c>
      <c r="E416" s="26">
        <v>31625.0</v>
      </c>
      <c r="F416" s="29" t="s">
        <v>31</v>
      </c>
      <c r="G416" s="25" t="s">
        <v>44</v>
      </c>
      <c r="H416" s="29" t="s">
        <v>268</v>
      </c>
      <c r="I416" s="29" t="s">
        <v>269</v>
      </c>
      <c r="J416" s="25" t="s">
        <v>35</v>
      </c>
      <c r="K416" s="29" t="s">
        <v>270</v>
      </c>
      <c r="L416" s="28" t="s">
        <v>94</v>
      </c>
      <c r="M416" s="29" t="s">
        <v>52</v>
      </c>
      <c r="N416" s="40">
        <v>6200.0</v>
      </c>
      <c r="O416" s="17">
        <f t="shared" si="9"/>
        <v>0.685483871</v>
      </c>
      <c r="P416" s="39">
        <v>4250.0</v>
      </c>
      <c r="Q416" s="12"/>
      <c r="R416" s="12"/>
      <c r="S416" s="29" t="s">
        <v>131</v>
      </c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</row>
    <row r="417" ht="15.75" customHeight="1">
      <c r="A417" s="9">
        <v>1.0496544E7</v>
      </c>
      <c r="B417" s="10"/>
      <c r="C417" s="11">
        <v>45455.833333333336</v>
      </c>
      <c r="D417" s="12" t="s">
        <v>52</v>
      </c>
      <c r="E417" s="26" t="s">
        <v>52</v>
      </c>
      <c r="F417" s="38" t="s">
        <v>43</v>
      </c>
      <c r="G417" s="25" t="s">
        <v>44</v>
      </c>
      <c r="H417" s="12" t="s">
        <v>372</v>
      </c>
      <c r="I417" s="12" t="s">
        <v>46</v>
      </c>
      <c r="J417" s="55" t="s">
        <v>47</v>
      </c>
      <c r="K417" s="55" t="s">
        <v>35</v>
      </c>
      <c r="L417" s="28" t="s">
        <v>188</v>
      </c>
      <c r="M417" s="29" t="s">
        <v>52</v>
      </c>
      <c r="N417" s="40">
        <v>1446.19</v>
      </c>
      <c r="O417" s="17">
        <f t="shared" si="9"/>
        <v>0.4840304524</v>
      </c>
      <c r="P417" s="39">
        <v>700.0</v>
      </c>
      <c r="Q417" s="12"/>
      <c r="R417" s="12"/>
      <c r="S417" s="29" t="s">
        <v>131</v>
      </c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</row>
    <row r="418" ht="15.75" customHeight="1">
      <c r="A418" s="9">
        <v>1.0496545E7</v>
      </c>
      <c r="B418" s="10"/>
      <c r="C418" s="11">
        <v>45455.833333333336</v>
      </c>
      <c r="D418" s="12">
        <v>26.0</v>
      </c>
      <c r="E418" s="26">
        <v>30742.0</v>
      </c>
      <c r="F418" s="38" t="s">
        <v>43</v>
      </c>
      <c r="G418" s="25" t="s">
        <v>44</v>
      </c>
      <c r="H418" s="12" t="s">
        <v>45</v>
      </c>
      <c r="I418" s="29" t="s">
        <v>46</v>
      </c>
      <c r="J418" s="14" t="s">
        <v>35</v>
      </c>
      <c r="K418" s="14" t="s">
        <v>47</v>
      </c>
      <c r="L418" s="28" t="s">
        <v>108</v>
      </c>
      <c r="M418" s="29" t="s">
        <v>52</v>
      </c>
      <c r="N418" s="40">
        <v>2169.28</v>
      </c>
      <c r="O418" s="17">
        <f t="shared" si="9"/>
        <v>0.7836701578</v>
      </c>
      <c r="P418" s="39">
        <v>1700.0</v>
      </c>
      <c r="Q418" s="12"/>
      <c r="R418" s="12"/>
      <c r="S418" s="29" t="s">
        <v>131</v>
      </c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</row>
    <row r="419" ht="17.25" customHeight="1">
      <c r="A419" s="9">
        <v>1.0497126E7</v>
      </c>
      <c r="B419" s="10"/>
      <c r="C419" s="11">
        <v>45460.875</v>
      </c>
      <c r="D419" s="12">
        <v>26.0</v>
      </c>
      <c r="E419" s="26">
        <v>31796.0</v>
      </c>
      <c r="F419" s="25" t="s">
        <v>31</v>
      </c>
      <c r="G419" s="25" t="s">
        <v>44</v>
      </c>
      <c r="H419" s="25" t="s">
        <v>268</v>
      </c>
      <c r="I419" s="25" t="s">
        <v>269</v>
      </c>
      <c r="J419" s="25" t="s">
        <v>35</v>
      </c>
      <c r="K419" s="25" t="s">
        <v>270</v>
      </c>
      <c r="L419" s="28" t="s">
        <v>94</v>
      </c>
      <c r="M419" s="29" t="s">
        <v>52</v>
      </c>
      <c r="N419" s="30">
        <v>6200.0</v>
      </c>
      <c r="O419" s="78">
        <f t="shared" si="9"/>
        <v>0.685483871</v>
      </c>
      <c r="P419" s="28">
        <v>4250.0</v>
      </c>
      <c r="Q419" s="12"/>
      <c r="R419" s="12"/>
      <c r="S419" s="29" t="s">
        <v>131</v>
      </c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</row>
    <row r="420" ht="15.75" customHeight="1">
      <c r="A420" s="9">
        <v>1.049948E7</v>
      </c>
      <c r="B420" s="10"/>
      <c r="C420" s="11">
        <v>45456.833333333336</v>
      </c>
      <c r="D420" s="12">
        <v>26.0</v>
      </c>
      <c r="E420" s="26">
        <v>31922.0</v>
      </c>
      <c r="F420" s="29" t="s">
        <v>31</v>
      </c>
      <c r="G420" s="25" t="s">
        <v>74</v>
      </c>
      <c r="H420" s="29" t="s">
        <v>304</v>
      </c>
      <c r="I420" s="29" t="s">
        <v>305</v>
      </c>
      <c r="J420" s="25" t="s">
        <v>35</v>
      </c>
      <c r="K420" s="29" t="s">
        <v>306</v>
      </c>
      <c r="L420" s="25" t="s">
        <v>94</v>
      </c>
      <c r="M420" s="29" t="s">
        <v>52</v>
      </c>
      <c r="N420" s="40">
        <v>6500.0</v>
      </c>
      <c r="O420" s="17">
        <f t="shared" si="9"/>
        <v>0.6538461538</v>
      </c>
      <c r="P420" s="39">
        <v>4250.0</v>
      </c>
      <c r="Q420" s="12"/>
      <c r="R420" s="12"/>
      <c r="S420" s="29" t="s">
        <v>131</v>
      </c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</row>
    <row r="421" ht="15.75" customHeight="1">
      <c r="A421" s="9">
        <v>1.0499481E7</v>
      </c>
      <c r="B421" s="10"/>
      <c r="C421" s="11">
        <v>45456.833333333336</v>
      </c>
      <c r="D421" s="12">
        <v>26.0</v>
      </c>
      <c r="E421" s="26">
        <v>31922.0</v>
      </c>
      <c r="F421" s="29" t="s">
        <v>31</v>
      </c>
      <c r="G421" s="25" t="s">
        <v>74</v>
      </c>
      <c r="H421" s="29" t="s">
        <v>304</v>
      </c>
      <c r="I421" s="29" t="s">
        <v>305</v>
      </c>
      <c r="J421" s="29" t="s">
        <v>35</v>
      </c>
      <c r="K421" s="25" t="s">
        <v>306</v>
      </c>
      <c r="L421" s="25" t="s">
        <v>94</v>
      </c>
      <c r="M421" s="29" t="s">
        <v>52</v>
      </c>
      <c r="N421" s="40">
        <v>6500.0</v>
      </c>
      <c r="O421" s="17">
        <f t="shared" si="9"/>
        <v>0.6538461538</v>
      </c>
      <c r="P421" s="39">
        <v>4250.0</v>
      </c>
      <c r="Q421" s="12"/>
      <c r="R421" s="12"/>
      <c r="S421" s="29" t="s">
        <v>131</v>
      </c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</row>
    <row r="422" ht="15.75" customHeight="1">
      <c r="A422" s="9">
        <v>1.0500147E7</v>
      </c>
      <c r="B422" s="10"/>
      <c r="C422" s="11">
        <v>45456.833333333336</v>
      </c>
      <c r="D422" s="12">
        <v>26.0</v>
      </c>
      <c r="E422" s="26">
        <v>31625.0</v>
      </c>
      <c r="F422" s="29" t="s">
        <v>31</v>
      </c>
      <c r="G422" s="25" t="s">
        <v>32</v>
      </c>
      <c r="H422" s="29" t="s">
        <v>265</v>
      </c>
      <c r="I422" s="39" t="s">
        <v>266</v>
      </c>
      <c r="J422" s="25" t="s">
        <v>35</v>
      </c>
      <c r="K422" s="29" t="s">
        <v>267</v>
      </c>
      <c r="L422" s="28" t="s">
        <v>94</v>
      </c>
      <c r="M422" s="29" t="s">
        <v>128</v>
      </c>
      <c r="N422" s="40">
        <v>6200.0</v>
      </c>
      <c r="O422" s="17">
        <f t="shared" si="9"/>
        <v>0.685483871</v>
      </c>
      <c r="P422" s="39">
        <v>4250.0</v>
      </c>
      <c r="Q422" s="12" t="s">
        <v>39</v>
      </c>
      <c r="R422" s="12">
        <v>1338629.0</v>
      </c>
      <c r="S422" s="29" t="s">
        <v>40</v>
      </c>
      <c r="T422" s="19">
        <v>5256038.0</v>
      </c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</row>
    <row r="423" ht="15.75" customHeight="1">
      <c r="A423" s="9">
        <v>1.0500469E7</v>
      </c>
      <c r="B423" s="10"/>
      <c r="C423" s="11">
        <v>45456.833333333336</v>
      </c>
      <c r="D423" s="12">
        <v>26.0</v>
      </c>
      <c r="E423" s="26">
        <v>31279.0</v>
      </c>
      <c r="F423" s="38" t="s">
        <v>43</v>
      </c>
      <c r="G423" s="25" t="s">
        <v>44</v>
      </c>
      <c r="H423" s="29" t="s">
        <v>45</v>
      </c>
      <c r="I423" s="29" t="s">
        <v>46</v>
      </c>
      <c r="J423" s="49" t="s">
        <v>35</v>
      </c>
      <c r="K423" s="55" t="s">
        <v>47</v>
      </c>
      <c r="L423" s="28" t="s">
        <v>108</v>
      </c>
      <c r="M423" s="29" t="s">
        <v>52</v>
      </c>
      <c r="N423" s="40">
        <v>2169.28</v>
      </c>
      <c r="O423" s="17">
        <f t="shared" si="9"/>
        <v>0.7836701578</v>
      </c>
      <c r="P423" s="39">
        <v>1700.0</v>
      </c>
      <c r="Q423" s="12"/>
      <c r="R423" s="12"/>
      <c r="S423" s="29" t="s">
        <v>131</v>
      </c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</row>
    <row r="424" ht="15.75" customHeight="1">
      <c r="A424" s="9">
        <v>1.050047E7</v>
      </c>
      <c r="B424" s="10"/>
      <c r="C424" s="11">
        <v>45458.625</v>
      </c>
      <c r="D424" s="12">
        <v>26.0</v>
      </c>
      <c r="E424" s="26">
        <v>32553.0</v>
      </c>
      <c r="F424" s="38" t="s">
        <v>43</v>
      </c>
      <c r="G424" s="25" t="s">
        <v>44</v>
      </c>
      <c r="H424" s="29" t="s">
        <v>268</v>
      </c>
      <c r="I424" s="25" t="s">
        <v>269</v>
      </c>
      <c r="J424" s="25" t="s">
        <v>35</v>
      </c>
      <c r="K424" s="29" t="s">
        <v>270</v>
      </c>
      <c r="L424" s="28" t="s">
        <v>94</v>
      </c>
      <c r="M424" s="29" t="s">
        <v>52</v>
      </c>
      <c r="N424" s="40">
        <v>5880.0</v>
      </c>
      <c r="O424" s="17">
        <f t="shared" si="9"/>
        <v>0.7227891156</v>
      </c>
      <c r="P424" s="39">
        <v>4250.0</v>
      </c>
      <c r="Q424" s="12"/>
      <c r="R424" s="12"/>
      <c r="S424" s="29" t="s">
        <v>131</v>
      </c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</row>
    <row r="425" ht="15.75" customHeight="1">
      <c r="A425" s="9">
        <v>1.0500471E7</v>
      </c>
      <c r="B425" s="10"/>
      <c r="C425" s="11">
        <v>45458.625</v>
      </c>
      <c r="D425" s="12" t="s">
        <v>52</v>
      </c>
      <c r="E425" s="26" t="s">
        <v>52</v>
      </c>
      <c r="F425" s="38" t="s">
        <v>43</v>
      </c>
      <c r="G425" s="25" t="s">
        <v>44</v>
      </c>
      <c r="H425" s="12" t="s">
        <v>373</v>
      </c>
      <c r="I425" s="25" t="s">
        <v>269</v>
      </c>
      <c r="J425" s="25" t="s">
        <v>270</v>
      </c>
      <c r="K425" s="12" t="s">
        <v>35</v>
      </c>
      <c r="L425" s="28" t="s">
        <v>188</v>
      </c>
      <c r="M425" s="29" t="s">
        <v>52</v>
      </c>
      <c r="N425" s="40">
        <v>3920.0</v>
      </c>
      <c r="O425" s="17">
        <f t="shared" si="9"/>
        <v>0.7015306122</v>
      </c>
      <c r="P425" s="39">
        <v>2750.0</v>
      </c>
      <c r="Q425" s="12"/>
      <c r="R425" s="12"/>
      <c r="S425" s="29" t="s">
        <v>131</v>
      </c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</row>
    <row r="426" ht="15.75" customHeight="1">
      <c r="A426" s="9">
        <v>1.0500472E7</v>
      </c>
      <c r="B426" s="10"/>
      <c r="C426" s="11">
        <v>45456.833333333336</v>
      </c>
      <c r="D426" s="12" t="s">
        <v>52</v>
      </c>
      <c r="E426" s="26" t="s">
        <v>52</v>
      </c>
      <c r="F426" s="38" t="s">
        <v>43</v>
      </c>
      <c r="G426" s="25" t="s">
        <v>44</v>
      </c>
      <c r="H426" s="12" t="s">
        <v>374</v>
      </c>
      <c r="I426" s="25" t="s">
        <v>46</v>
      </c>
      <c r="J426" s="55" t="s">
        <v>47</v>
      </c>
      <c r="K426" s="14" t="s">
        <v>35</v>
      </c>
      <c r="L426" s="28" t="s">
        <v>188</v>
      </c>
      <c r="M426" s="29" t="s">
        <v>52</v>
      </c>
      <c r="N426" s="40">
        <v>1446.19</v>
      </c>
      <c r="O426" s="17">
        <f t="shared" si="9"/>
        <v>0.4840304524</v>
      </c>
      <c r="P426" s="39">
        <v>700.0</v>
      </c>
      <c r="Q426" s="12"/>
      <c r="R426" s="12"/>
      <c r="S426" s="29" t="s">
        <v>131</v>
      </c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</row>
    <row r="427" ht="15.75" customHeight="1">
      <c r="A427" s="9">
        <v>1.0501861E7</v>
      </c>
      <c r="B427" s="10"/>
      <c r="C427" s="11">
        <v>45458.375</v>
      </c>
      <c r="D427" s="12">
        <v>26.0</v>
      </c>
      <c r="E427" s="26">
        <v>32553.0</v>
      </c>
      <c r="F427" s="38" t="s">
        <v>43</v>
      </c>
      <c r="G427" s="25" t="s">
        <v>44</v>
      </c>
      <c r="H427" s="12" t="s">
        <v>268</v>
      </c>
      <c r="I427" s="25" t="s">
        <v>269</v>
      </c>
      <c r="J427" s="25" t="s">
        <v>35</v>
      </c>
      <c r="K427" s="12" t="s">
        <v>270</v>
      </c>
      <c r="L427" s="28" t="s">
        <v>94</v>
      </c>
      <c r="M427" s="29" t="s">
        <v>52</v>
      </c>
      <c r="N427" s="40">
        <v>5880.0</v>
      </c>
      <c r="O427" s="17">
        <f t="shared" si="9"/>
        <v>0.7227891156</v>
      </c>
      <c r="P427" s="39">
        <v>4250.0</v>
      </c>
      <c r="Q427" s="12"/>
      <c r="R427" s="12"/>
      <c r="S427" s="29" t="s">
        <v>131</v>
      </c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</row>
    <row r="428" ht="15.75" customHeight="1">
      <c r="A428" s="9">
        <v>1.0501862E7</v>
      </c>
      <c r="B428" s="10"/>
      <c r="C428" s="11">
        <v>45458.375</v>
      </c>
      <c r="D428" s="12">
        <v>26.0</v>
      </c>
      <c r="E428" s="26">
        <v>32553.0</v>
      </c>
      <c r="F428" s="38" t="s">
        <v>43</v>
      </c>
      <c r="G428" s="25" t="s">
        <v>32</v>
      </c>
      <c r="H428" s="12" t="s">
        <v>265</v>
      </c>
      <c r="I428" s="28" t="s">
        <v>266</v>
      </c>
      <c r="J428" s="25" t="s">
        <v>35</v>
      </c>
      <c r="K428" s="12" t="s">
        <v>267</v>
      </c>
      <c r="L428" s="28" t="s">
        <v>114</v>
      </c>
      <c r="M428" s="29" t="s">
        <v>348</v>
      </c>
      <c r="N428" s="40">
        <v>5460.0</v>
      </c>
      <c r="O428" s="17">
        <f t="shared" si="9"/>
        <v>0.7783882784</v>
      </c>
      <c r="P428" s="39">
        <v>4250.0</v>
      </c>
      <c r="Q428" s="12" t="s">
        <v>39</v>
      </c>
      <c r="R428" s="12">
        <v>1339885.0</v>
      </c>
      <c r="S428" s="29" t="s">
        <v>40</v>
      </c>
      <c r="T428" s="19">
        <v>5264674.0</v>
      </c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</row>
    <row r="429" ht="15.75" customHeight="1">
      <c r="A429" s="9">
        <v>1.0501863E7</v>
      </c>
      <c r="B429" s="10"/>
      <c r="C429" s="11">
        <v>45458.375</v>
      </c>
      <c r="D429" s="12">
        <v>26.0</v>
      </c>
      <c r="E429" s="26">
        <v>32553.0</v>
      </c>
      <c r="F429" s="38" t="s">
        <v>43</v>
      </c>
      <c r="G429" s="25" t="s">
        <v>44</v>
      </c>
      <c r="H429" s="12" t="s">
        <v>268</v>
      </c>
      <c r="I429" s="25" t="s">
        <v>269</v>
      </c>
      <c r="J429" s="25" t="s">
        <v>35</v>
      </c>
      <c r="K429" s="12" t="s">
        <v>270</v>
      </c>
      <c r="L429" s="28" t="s">
        <v>94</v>
      </c>
      <c r="M429" s="29" t="s">
        <v>52</v>
      </c>
      <c r="N429" s="40">
        <v>5880.0</v>
      </c>
      <c r="O429" s="17">
        <f t="shared" si="9"/>
        <v>0.7227891156</v>
      </c>
      <c r="P429" s="39">
        <v>4250.0</v>
      </c>
      <c r="Q429" s="12"/>
      <c r="R429" s="12"/>
      <c r="S429" s="29" t="s">
        <v>131</v>
      </c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</row>
    <row r="430" ht="15.75" customHeight="1">
      <c r="A430" s="9">
        <v>1.0501864E7</v>
      </c>
      <c r="B430" s="10"/>
      <c r="C430" s="11">
        <v>45458.375</v>
      </c>
      <c r="D430" s="12" t="s">
        <v>52</v>
      </c>
      <c r="E430" s="26" t="s">
        <v>52</v>
      </c>
      <c r="F430" s="38" t="s">
        <v>43</v>
      </c>
      <c r="G430" s="25" t="s">
        <v>44</v>
      </c>
      <c r="H430" s="12" t="s">
        <v>375</v>
      </c>
      <c r="I430" s="25" t="s">
        <v>269</v>
      </c>
      <c r="J430" s="25" t="s">
        <v>270</v>
      </c>
      <c r="K430" s="12" t="s">
        <v>35</v>
      </c>
      <c r="L430" s="28" t="s">
        <v>188</v>
      </c>
      <c r="M430" s="12" t="s">
        <v>52</v>
      </c>
      <c r="N430" s="40">
        <v>3920.0</v>
      </c>
      <c r="O430" s="17">
        <f t="shared" si="9"/>
        <v>0.7015306122</v>
      </c>
      <c r="P430" s="39">
        <v>2750.0</v>
      </c>
      <c r="Q430" s="12"/>
      <c r="R430" s="12"/>
      <c r="S430" s="29" t="s">
        <v>131</v>
      </c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</row>
    <row r="431" ht="15.75" customHeight="1">
      <c r="A431" s="9">
        <v>1.0501865E7</v>
      </c>
      <c r="B431" s="10"/>
      <c r="C431" s="11">
        <v>45458.375</v>
      </c>
      <c r="D431" s="12" t="s">
        <v>52</v>
      </c>
      <c r="E431" s="26" t="s">
        <v>52</v>
      </c>
      <c r="F431" s="38" t="s">
        <v>43</v>
      </c>
      <c r="G431" s="25" t="s">
        <v>44</v>
      </c>
      <c r="H431" s="12" t="s">
        <v>376</v>
      </c>
      <c r="I431" s="12" t="s">
        <v>269</v>
      </c>
      <c r="J431" s="12" t="s">
        <v>270</v>
      </c>
      <c r="K431" s="12" t="s">
        <v>35</v>
      </c>
      <c r="L431" s="28" t="s">
        <v>188</v>
      </c>
      <c r="M431" s="12" t="s">
        <v>52</v>
      </c>
      <c r="N431" s="40">
        <v>3920.0</v>
      </c>
      <c r="O431" s="17">
        <f t="shared" si="9"/>
        <v>0.7015306122</v>
      </c>
      <c r="P431" s="39">
        <v>2750.0</v>
      </c>
      <c r="Q431" s="12"/>
      <c r="R431" s="12"/>
      <c r="S431" s="29" t="s">
        <v>131</v>
      </c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</row>
    <row r="432" ht="15.75" customHeight="1">
      <c r="A432" s="9">
        <v>1.0501866E7</v>
      </c>
      <c r="B432" s="10"/>
      <c r="C432" s="11">
        <v>45458.375</v>
      </c>
      <c r="D432" s="12" t="s">
        <v>52</v>
      </c>
      <c r="E432" s="25" t="s">
        <v>52</v>
      </c>
      <c r="F432" s="38" t="s">
        <v>43</v>
      </c>
      <c r="G432" s="25" t="s">
        <v>32</v>
      </c>
      <c r="H432" s="12" t="s">
        <v>377</v>
      </c>
      <c r="I432" s="15" t="s">
        <v>266</v>
      </c>
      <c r="J432" s="12" t="s">
        <v>267</v>
      </c>
      <c r="K432" s="12" t="s">
        <v>35</v>
      </c>
      <c r="L432" s="28" t="s">
        <v>43</v>
      </c>
      <c r="M432" s="29"/>
      <c r="N432" s="40">
        <v>3640.0</v>
      </c>
      <c r="O432" s="17">
        <f t="shared" si="9"/>
        <v>0.7554945055</v>
      </c>
      <c r="P432" s="39">
        <v>2750.0</v>
      </c>
      <c r="Q432" s="12"/>
      <c r="R432" s="12">
        <v>1340908.0</v>
      </c>
      <c r="S432" s="29" t="s">
        <v>40</v>
      </c>
      <c r="T432" s="19">
        <v>5268271.0</v>
      </c>
      <c r="U432" s="12"/>
      <c r="V432" s="12"/>
      <c r="W432" s="12"/>
      <c r="X432" s="12"/>
      <c r="Y432" s="12"/>
      <c r="Z432" s="22"/>
      <c r="AA432" s="12"/>
      <c r="AB432" s="12"/>
      <c r="AC432" s="12"/>
      <c r="AD432" s="12"/>
      <c r="AE432" s="12"/>
      <c r="AF432" s="1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</row>
    <row r="433" ht="15.75" customHeight="1">
      <c r="A433" s="9">
        <v>1.0503428E7</v>
      </c>
      <c r="B433" s="10"/>
      <c r="C433" s="11">
        <v>45458.333333333336</v>
      </c>
      <c r="D433" s="12">
        <v>26.0</v>
      </c>
      <c r="E433" s="26">
        <v>31625.0</v>
      </c>
      <c r="F433" s="29" t="s">
        <v>31</v>
      </c>
      <c r="G433" s="25" t="s">
        <v>44</v>
      </c>
      <c r="H433" s="12" t="s">
        <v>268</v>
      </c>
      <c r="I433" s="25" t="s">
        <v>269</v>
      </c>
      <c r="J433" s="25" t="s">
        <v>35</v>
      </c>
      <c r="K433" s="12" t="s">
        <v>270</v>
      </c>
      <c r="L433" s="28" t="s">
        <v>94</v>
      </c>
      <c r="M433" s="29" t="s">
        <v>52</v>
      </c>
      <c r="N433" s="40">
        <v>6200.0</v>
      </c>
      <c r="O433" s="17">
        <f t="shared" si="9"/>
        <v>0.685483871</v>
      </c>
      <c r="P433" s="39">
        <v>4250.0</v>
      </c>
      <c r="Q433" s="12"/>
      <c r="R433" s="12"/>
      <c r="S433" s="29" t="s">
        <v>131</v>
      </c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</row>
    <row r="434" ht="15.75" customHeight="1">
      <c r="A434" s="9">
        <v>1.0503474E7</v>
      </c>
      <c r="B434" s="10"/>
      <c r="C434" s="11">
        <v>45461.875</v>
      </c>
      <c r="D434" s="12">
        <v>28.0</v>
      </c>
      <c r="E434" s="26">
        <v>34058.0</v>
      </c>
      <c r="F434" s="29" t="s">
        <v>31</v>
      </c>
      <c r="G434" s="25" t="s">
        <v>32</v>
      </c>
      <c r="H434" s="12" t="s">
        <v>224</v>
      </c>
      <c r="I434" s="28" t="s">
        <v>225</v>
      </c>
      <c r="J434" s="25" t="s">
        <v>35</v>
      </c>
      <c r="K434" s="12" t="s">
        <v>226</v>
      </c>
      <c r="L434" s="28" t="s">
        <v>227</v>
      </c>
      <c r="M434" s="29" t="s">
        <v>345</v>
      </c>
      <c r="N434" s="40">
        <v>15725.0</v>
      </c>
      <c r="O434" s="17">
        <f t="shared" si="9"/>
        <v>0.4451510334</v>
      </c>
      <c r="P434" s="39">
        <v>7000.0</v>
      </c>
      <c r="Q434" s="12" t="s">
        <v>39</v>
      </c>
      <c r="R434" s="12">
        <v>1341684.0</v>
      </c>
      <c r="S434" s="29" t="s">
        <v>40</v>
      </c>
      <c r="T434" s="19">
        <v>5273946.0</v>
      </c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</row>
    <row r="435" ht="15.75" customHeight="1">
      <c r="A435" s="9">
        <v>1.0503546E7</v>
      </c>
      <c r="B435" s="10"/>
      <c r="C435" s="11">
        <v>45458.291666666664</v>
      </c>
      <c r="D435" s="12">
        <v>26.0</v>
      </c>
      <c r="E435" s="26">
        <v>31625.0</v>
      </c>
      <c r="F435" s="29" t="s">
        <v>31</v>
      </c>
      <c r="G435" s="25" t="s">
        <v>44</v>
      </c>
      <c r="H435" s="12" t="s">
        <v>268</v>
      </c>
      <c r="I435" s="25" t="s">
        <v>269</v>
      </c>
      <c r="J435" s="25" t="s">
        <v>35</v>
      </c>
      <c r="K435" s="12" t="s">
        <v>270</v>
      </c>
      <c r="L435" s="28" t="s">
        <v>94</v>
      </c>
      <c r="M435" s="29" t="s">
        <v>52</v>
      </c>
      <c r="N435" s="40">
        <v>6200.0</v>
      </c>
      <c r="O435" s="17">
        <f t="shared" si="9"/>
        <v>0.685483871</v>
      </c>
      <c r="P435" s="39">
        <v>4250.0</v>
      </c>
      <c r="Q435" s="12"/>
      <c r="R435" s="12"/>
      <c r="S435" s="29" t="s">
        <v>131</v>
      </c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</row>
    <row r="436" ht="15.75" customHeight="1">
      <c r="A436" s="9">
        <v>1.0507213E7</v>
      </c>
      <c r="B436" s="10"/>
      <c r="C436" s="11">
        <v>45460.875</v>
      </c>
      <c r="D436" s="12">
        <v>26.0</v>
      </c>
      <c r="E436" s="26">
        <v>32031.0</v>
      </c>
      <c r="F436" s="38" t="s">
        <v>43</v>
      </c>
      <c r="G436" s="25" t="s">
        <v>44</v>
      </c>
      <c r="H436" s="12" t="s">
        <v>45</v>
      </c>
      <c r="I436" s="25" t="s">
        <v>46</v>
      </c>
      <c r="J436" s="55" t="s">
        <v>35</v>
      </c>
      <c r="K436" s="14" t="s">
        <v>47</v>
      </c>
      <c r="L436" s="28" t="s">
        <v>108</v>
      </c>
      <c r="M436" s="29" t="s">
        <v>52</v>
      </c>
      <c r="N436" s="40">
        <v>2336.24</v>
      </c>
      <c r="O436" s="17">
        <f t="shared" si="9"/>
        <v>0.7276649659</v>
      </c>
      <c r="P436" s="39">
        <v>1700.0</v>
      </c>
      <c r="Q436" s="12"/>
      <c r="R436" s="12"/>
      <c r="S436" s="29" t="s">
        <v>131</v>
      </c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</row>
    <row r="437" ht="15.75" customHeight="1">
      <c r="A437" s="9">
        <v>1.0507214E7</v>
      </c>
      <c r="B437" s="10"/>
      <c r="C437" s="11">
        <v>45460.875</v>
      </c>
      <c r="D437" s="12" t="s">
        <v>52</v>
      </c>
      <c r="E437" s="26" t="s">
        <v>52</v>
      </c>
      <c r="F437" s="38" t="s">
        <v>43</v>
      </c>
      <c r="G437" s="25" t="s">
        <v>44</v>
      </c>
      <c r="H437" s="12" t="s">
        <v>378</v>
      </c>
      <c r="I437" s="25" t="s">
        <v>46</v>
      </c>
      <c r="J437" s="55" t="s">
        <v>47</v>
      </c>
      <c r="K437" s="14" t="s">
        <v>35</v>
      </c>
      <c r="L437" s="28" t="s">
        <v>188</v>
      </c>
      <c r="M437" s="29" t="s">
        <v>52</v>
      </c>
      <c r="N437" s="40">
        <v>1446.19</v>
      </c>
      <c r="O437" s="17">
        <f t="shared" si="9"/>
        <v>0.4840304524</v>
      </c>
      <c r="P437" s="39">
        <v>700.0</v>
      </c>
      <c r="Q437" s="12"/>
      <c r="R437" s="12"/>
      <c r="S437" s="29" t="s">
        <v>131</v>
      </c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</row>
    <row r="438" ht="15.75" customHeight="1">
      <c r="A438" s="9">
        <v>1.0507215E7</v>
      </c>
      <c r="B438" s="10"/>
      <c r="C438" s="11">
        <v>45460.875</v>
      </c>
      <c r="D438" s="12">
        <v>26.0</v>
      </c>
      <c r="E438" s="26">
        <v>31095.0</v>
      </c>
      <c r="F438" s="38" t="s">
        <v>43</v>
      </c>
      <c r="G438" s="25" t="s">
        <v>44</v>
      </c>
      <c r="H438" s="12" t="s">
        <v>45</v>
      </c>
      <c r="I438" s="25" t="s">
        <v>46</v>
      </c>
      <c r="J438" s="55" t="s">
        <v>35</v>
      </c>
      <c r="K438" s="14" t="s">
        <v>47</v>
      </c>
      <c r="L438" s="28" t="s">
        <v>108</v>
      </c>
      <c r="M438" s="29" t="s">
        <v>52</v>
      </c>
      <c r="N438" s="40">
        <v>2169.28</v>
      </c>
      <c r="O438" s="17">
        <f t="shared" si="9"/>
        <v>0.7836701578</v>
      </c>
      <c r="P438" s="39">
        <v>1700.0</v>
      </c>
      <c r="Q438" s="12"/>
      <c r="R438" s="12"/>
      <c r="S438" s="29" t="s">
        <v>131</v>
      </c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</row>
    <row r="439" ht="15.75" customHeight="1">
      <c r="A439" s="9">
        <v>1.0507216E7</v>
      </c>
      <c r="B439" s="10"/>
      <c r="C439" s="11">
        <v>45460.875</v>
      </c>
      <c r="D439" s="12" t="s">
        <v>52</v>
      </c>
      <c r="E439" s="26" t="s">
        <v>52</v>
      </c>
      <c r="F439" s="38" t="s">
        <v>43</v>
      </c>
      <c r="G439" s="25" t="s">
        <v>44</v>
      </c>
      <c r="H439" s="25" t="s">
        <v>379</v>
      </c>
      <c r="I439" s="25" t="s">
        <v>46</v>
      </c>
      <c r="J439" s="55" t="s">
        <v>47</v>
      </c>
      <c r="K439" s="55" t="s">
        <v>35</v>
      </c>
      <c r="L439" s="28" t="s">
        <v>188</v>
      </c>
      <c r="M439" s="29" t="s">
        <v>52</v>
      </c>
      <c r="N439" s="40">
        <v>1557.5</v>
      </c>
      <c r="O439" s="17">
        <f t="shared" si="9"/>
        <v>0.4494382022</v>
      </c>
      <c r="P439" s="39">
        <v>700.0</v>
      </c>
      <c r="Q439" s="12"/>
      <c r="R439" s="12"/>
      <c r="S439" s="29" t="s">
        <v>131</v>
      </c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</row>
    <row r="440" ht="15.75" customHeight="1">
      <c r="A440" s="9">
        <v>1.0510576E7</v>
      </c>
      <c r="B440" s="10"/>
      <c r="C440" s="11">
        <v>45460.541666666664</v>
      </c>
      <c r="D440" s="12">
        <v>26.0</v>
      </c>
      <c r="E440" s="26">
        <v>31625.0</v>
      </c>
      <c r="F440" s="29" t="s">
        <v>31</v>
      </c>
      <c r="G440" s="25" t="s">
        <v>74</v>
      </c>
      <c r="H440" s="29" t="s">
        <v>262</v>
      </c>
      <c r="I440" s="29" t="s">
        <v>263</v>
      </c>
      <c r="J440" s="25" t="s">
        <v>35</v>
      </c>
      <c r="K440" s="12" t="s">
        <v>264</v>
      </c>
      <c r="L440" s="28" t="s">
        <v>59</v>
      </c>
      <c r="M440" s="29" t="s">
        <v>282</v>
      </c>
      <c r="N440" s="40">
        <v>4650.0</v>
      </c>
      <c r="O440" s="73">
        <f t="shared" si="9"/>
        <v>0.6451612903</v>
      </c>
      <c r="P440" s="39">
        <v>3000.0</v>
      </c>
      <c r="Q440" s="12" t="s">
        <v>39</v>
      </c>
      <c r="R440" s="12">
        <v>1340860.0</v>
      </c>
      <c r="S440" s="29" t="s">
        <v>40</v>
      </c>
      <c r="T440" s="19">
        <v>5267742.0</v>
      </c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</row>
    <row r="441" ht="15.75" customHeight="1">
      <c r="A441" s="9">
        <v>1.0515584E7</v>
      </c>
      <c r="B441" s="10"/>
      <c r="C441" s="11">
        <v>45461.708333333336</v>
      </c>
      <c r="D441" s="12">
        <v>26.0</v>
      </c>
      <c r="E441" s="26">
        <v>31678.0</v>
      </c>
      <c r="F441" s="12" t="s">
        <v>31</v>
      </c>
      <c r="G441" s="29" t="s">
        <v>44</v>
      </c>
      <c r="H441" s="12" t="s">
        <v>268</v>
      </c>
      <c r="I441" s="12" t="s">
        <v>269</v>
      </c>
      <c r="J441" s="25" t="s">
        <v>35</v>
      </c>
      <c r="K441" s="25" t="s">
        <v>270</v>
      </c>
      <c r="L441" s="28" t="s">
        <v>94</v>
      </c>
      <c r="M441" s="29" t="s">
        <v>362</v>
      </c>
      <c r="N441" s="40">
        <v>6200.0</v>
      </c>
      <c r="O441" s="17">
        <f t="shared" si="9"/>
        <v>0.685483871</v>
      </c>
      <c r="P441" s="39">
        <v>4250.0</v>
      </c>
      <c r="Q441" s="12" t="s">
        <v>39</v>
      </c>
      <c r="R441" s="12">
        <v>1341691.0</v>
      </c>
      <c r="S441" s="29" t="s">
        <v>40</v>
      </c>
      <c r="T441" s="19">
        <v>5274056.0</v>
      </c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</row>
    <row r="442" ht="15.75" customHeight="1">
      <c r="A442" s="9">
        <v>1.0515617E7</v>
      </c>
      <c r="B442" s="10"/>
      <c r="C442" s="11">
        <v>45464.625</v>
      </c>
      <c r="D442" s="13">
        <v>28.0</v>
      </c>
      <c r="E442" s="26">
        <v>34058.0</v>
      </c>
      <c r="F442" s="12" t="s">
        <v>31</v>
      </c>
      <c r="G442" s="29" t="s">
        <v>32</v>
      </c>
      <c r="H442" s="12" t="s">
        <v>124</v>
      </c>
      <c r="I442" s="12" t="s">
        <v>125</v>
      </c>
      <c r="J442" s="25" t="s">
        <v>35</v>
      </c>
      <c r="K442" s="25" t="s">
        <v>126</v>
      </c>
      <c r="L442" s="28" t="s">
        <v>114</v>
      </c>
      <c r="M442" s="29" t="s">
        <v>380</v>
      </c>
      <c r="N442" s="40">
        <v>6161.0</v>
      </c>
      <c r="O442" s="17">
        <f t="shared" si="9"/>
        <v>0.6086674241</v>
      </c>
      <c r="P442" s="39">
        <v>3750.0</v>
      </c>
      <c r="Q442" s="12" t="s">
        <v>39</v>
      </c>
      <c r="R442" s="12">
        <v>1343870.0</v>
      </c>
      <c r="S442" s="29" t="s">
        <v>40</v>
      </c>
      <c r="T442" s="19">
        <v>5288623.0</v>
      </c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</row>
    <row r="443" ht="15.75" customHeight="1">
      <c r="A443" s="9">
        <v>1.0515618E7</v>
      </c>
      <c r="B443" s="10"/>
      <c r="C443" s="11">
        <v>45464.625</v>
      </c>
      <c r="D443" s="13">
        <v>28.0</v>
      </c>
      <c r="E443" s="26">
        <v>34058.0</v>
      </c>
      <c r="F443" s="12" t="s">
        <v>31</v>
      </c>
      <c r="G443" s="29" t="s">
        <v>32</v>
      </c>
      <c r="H443" s="12" t="s">
        <v>111</v>
      </c>
      <c r="I443" s="12" t="s">
        <v>112</v>
      </c>
      <c r="J443" s="25" t="s">
        <v>35</v>
      </c>
      <c r="K443" s="25" t="s">
        <v>113</v>
      </c>
      <c r="L443" s="25" t="s">
        <v>114</v>
      </c>
      <c r="M443" s="29" t="s">
        <v>346</v>
      </c>
      <c r="N443" s="40">
        <v>5726.0</v>
      </c>
      <c r="O443" s="17">
        <f t="shared" si="9"/>
        <v>0.7684247293</v>
      </c>
      <c r="P443" s="39">
        <v>4400.0</v>
      </c>
      <c r="Q443" s="12" t="s">
        <v>39</v>
      </c>
      <c r="R443" s="12">
        <v>1343757.0</v>
      </c>
      <c r="S443" s="29" t="s">
        <v>40</v>
      </c>
      <c r="T443" s="19">
        <v>5287497.0</v>
      </c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</row>
    <row r="444" ht="15.75" customHeight="1">
      <c r="A444" s="9">
        <v>1.0515682E7</v>
      </c>
      <c r="B444" s="10"/>
      <c r="C444" s="11">
        <v>45465.625</v>
      </c>
      <c r="D444" s="13">
        <v>28.0</v>
      </c>
      <c r="E444" s="26">
        <v>34058.0</v>
      </c>
      <c r="F444" s="12" t="s">
        <v>31</v>
      </c>
      <c r="G444" s="29" t="s">
        <v>32</v>
      </c>
      <c r="H444" s="12" t="s">
        <v>224</v>
      </c>
      <c r="I444" s="15" t="s">
        <v>225</v>
      </c>
      <c r="J444" s="25" t="s">
        <v>35</v>
      </c>
      <c r="K444" s="25" t="s">
        <v>226</v>
      </c>
      <c r="L444" s="28" t="s">
        <v>227</v>
      </c>
      <c r="M444" s="29" t="s">
        <v>348</v>
      </c>
      <c r="N444" s="40">
        <v>15725.0</v>
      </c>
      <c r="O444" s="17">
        <f t="shared" si="9"/>
        <v>0.4451510334</v>
      </c>
      <c r="P444" s="39">
        <v>7000.0</v>
      </c>
      <c r="Q444" s="12" t="s">
        <v>39</v>
      </c>
      <c r="R444" s="12" t="s">
        <v>381</v>
      </c>
      <c r="S444" s="29" t="s">
        <v>40</v>
      </c>
      <c r="T444" s="19" t="s">
        <v>382</v>
      </c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</row>
    <row r="445" ht="15.75" customHeight="1">
      <c r="A445" s="9">
        <v>1.051605E7</v>
      </c>
      <c r="B445" s="10"/>
      <c r="C445" s="11">
        <v>45463.875</v>
      </c>
      <c r="D445" s="12">
        <v>26.0</v>
      </c>
      <c r="E445" s="26">
        <v>30985.0</v>
      </c>
      <c r="F445" s="38" t="s">
        <v>43</v>
      </c>
      <c r="G445" s="25" t="s">
        <v>44</v>
      </c>
      <c r="H445" s="29" t="s">
        <v>45</v>
      </c>
      <c r="I445" s="25" t="s">
        <v>46</v>
      </c>
      <c r="J445" s="55" t="s">
        <v>35</v>
      </c>
      <c r="K445" s="49" t="s">
        <v>47</v>
      </c>
      <c r="L445" s="28" t="s">
        <v>108</v>
      </c>
      <c r="M445" s="29"/>
      <c r="N445" s="40">
        <v>2169.28</v>
      </c>
      <c r="O445" s="17">
        <f t="shared" si="9"/>
        <v>0.7836701578</v>
      </c>
      <c r="P445" s="39">
        <v>1700.0</v>
      </c>
      <c r="Q445" s="12"/>
      <c r="R445" s="12"/>
      <c r="S445" s="29" t="s">
        <v>131</v>
      </c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</row>
    <row r="446" ht="15.75" customHeight="1">
      <c r="A446" s="9">
        <v>1.0516051E7</v>
      </c>
      <c r="B446" s="10"/>
      <c r="C446" s="11">
        <v>45463.875</v>
      </c>
      <c r="D446" s="12" t="s">
        <v>52</v>
      </c>
      <c r="E446" s="26" t="s">
        <v>52</v>
      </c>
      <c r="F446" s="9" t="s">
        <v>43</v>
      </c>
      <c r="G446" s="29" t="s">
        <v>44</v>
      </c>
      <c r="H446" s="12" t="s">
        <v>383</v>
      </c>
      <c r="I446" s="25" t="s">
        <v>46</v>
      </c>
      <c r="J446" s="55" t="s">
        <v>47</v>
      </c>
      <c r="K446" s="14" t="s">
        <v>35</v>
      </c>
      <c r="L446" s="28" t="s">
        <v>188</v>
      </c>
      <c r="M446" s="29"/>
      <c r="N446" s="40">
        <v>1446.19</v>
      </c>
      <c r="O446" s="17">
        <f t="shared" si="9"/>
        <v>0.4840304524</v>
      </c>
      <c r="P446" s="39">
        <v>700.0</v>
      </c>
      <c r="Q446" s="12"/>
      <c r="R446" s="12"/>
      <c r="S446" s="29" t="s">
        <v>131</v>
      </c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</row>
    <row r="447" ht="15.75" customHeight="1">
      <c r="A447" s="9">
        <v>1.0518995E7</v>
      </c>
      <c r="B447" s="10"/>
      <c r="C447" s="11">
        <v>45465.291666666664</v>
      </c>
      <c r="D447" s="12">
        <v>26.0</v>
      </c>
      <c r="E447" s="26">
        <v>31625.0</v>
      </c>
      <c r="F447" s="29" t="s">
        <v>31</v>
      </c>
      <c r="G447" s="25" t="s">
        <v>74</v>
      </c>
      <c r="H447" s="12" t="s">
        <v>262</v>
      </c>
      <c r="I447" s="25" t="s">
        <v>263</v>
      </c>
      <c r="J447" s="25" t="s">
        <v>35</v>
      </c>
      <c r="K447" s="12" t="s">
        <v>264</v>
      </c>
      <c r="L447" s="28" t="s">
        <v>59</v>
      </c>
      <c r="M447" s="29" t="s">
        <v>49</v>
      </c>
      <c r="N447" s="40">
        <v>4650.0</v>
      </c>
      <c r="O447" s="17">
        <f t="shared" si="9"/>
        <v>0.6451612903</v>
      </c>
      <c r="P447" s="39">
        <v>3000.0</v>
      </c>
      <c r="Q447" s="29" t="s">
        <v>39</v>
      </c>
      <c r="R447" s="29">
        <v>1344231.0</v>
      </c>
      <c r="S447" s="29" t="s">
        <v>40</v>
      </c>
      <c r="T447" s="19">
        <v>5291051.0</v>
      </c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</row>
    <row r="448" ht="15.75" customHeight="1">
      <c r="A448" s="9">
        <v>1.0518996E7</v>
      </c>
      <c r="B448" s="10"/>
      <c r="C448" s="11">
        <v>45465.333333333336</v>
      </c>
      <c r="D448" s="12">
        <v>26.0</v>
      </c>
      <c r="E448" s="26">
        <v>31625.0</v>
      </c>
      <c r="F448" s="29" t="s">
        <v>31</v>
      </c>
      <c r="G448" s="25" t="s">
        <v>74</v>
      </c>
      <c r="H448" s="12" t="s">
        <v>262</v>
      </c>
      <c r="I448" s="25" t="s">
        <v>263</v>
      </c>
      <c r="J448" s="25" t="s">
        <v>35</v>
      </c>
      <c r="K448" s="12" t="s">
        <v>264</v>
      </c>
      <c r="L448" s="28" t="s">
        <v>59</v>
      </c>
      <c r="M448" s="29" t="s">
        <v>345</v>
      </c>
      <c r="N448" s="40">
        <v>4650.0</v>
      </c>
      <c r="O448" s="17">
        <f t="shared" si="9"/>
        <v>0.6451612903</v>
      </c>
      <c r="P448" s="39">
        <v>3000.0</v>
      </c>
      <c r="Q448" s="29" t="s">
        <v>39</v>
      </c>
      <c r="R448" s="29">
        <v>1344140.0</v>
      </c>
      <c r="S448" s="29" t="s">
        <v>40</v>
      </c>
      <c r="T448" s="19">
        <v>5290377.0</v>
      </c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</row>
    <row r="449" ht="15.75" customHeight="1">
      <c r="A449" s="9">
        <v>1.0518997E7</v>
      </c>
      <c r="B449" s="10"/>
      <c r="C449" s="11">
        <v>45464.291666666664</v>
      </c>
      <c r="D449" s="12">
        <v>26.0</v>
      </c>
      <c r="E449" s="26">
        <v>31625.0</v>
      </c>
      <c r="F449" s="29" t="s">
        <v>31</v>
      </c>
      <c r="G449" s="25" t="s">
        <v>74</v>
      </c>
      <c r="H449" s="12" t="s">
        <v>262</v>
      </c>
      <c r="I449" s="25" t="s">
        <v>263</v>
      </c>
      <c r="J449" s="25" t="s">
        <v>35</v>
      </c>
      <c r="K449" s="12" t="s">
        <v>264</v>
      </c>
      <c r="L449" s="28" t="s">
        <v>59</v>
      </c>
      <c r="M449" s="29" t="s">
        <v>169</v>
      </c>
      <c r="N449" s="40">
        <v>4650.0</v>
      </c>
      <c r="O449" s="17">
        <f t="shared" si="9"/>
        <v>0.6451612903</v>
      </c>
      <c r="P449" s="39">
        <v>3000.0</v>
      </c>
      <c r="Q449" s="29" t="s">
        <v>39</v>
      </c>
      <c r="R449" s="29">
        <v>1343770.0</v>
      </c>
      <c r="S449" s="29" t="s">
        <v>40</v>
      </c>
      <c r="T449" s="19">
        <v>5287576.0</v>
      </c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</row>
    <row r="450" ht="15.75" customHeight="1">
      <c r="A450" s="9">
        <v>1.0518998E7</v>
      </c>
      <c r="B450" s="10"/>
      <c r="C450" s="11">
        <v>45464.291666666664</v>
      </c>
      <c r="D450" s="12">
        <v>26.0</v>
      </c>
      <c r="E450" s="26">
        <v>31625.0</v>
      </c>
      <c r="F450" s="29" t="s">
        <v>31</v>
      </c>
      <c r="G450" s="25" t="s">
        <v>74</v>
      </c>
      <c r="H450" s="12" t="s">
        <v>262</v>
      </c>
      <c r="I450" s="25" t="s">
        <v>263</v>
      </c>
      <c r="J450" s="25" t="s">
        <v>35</v>
      </c>
      <c r="K450" s="12" t="s">
        <v>264</v>
      </c>
      <c r="L450" s="28" t="s">
        <v>59</v>
      </c>
      <c r="M450" s="29" t="s">
        <v>282</v>
      </c>
      <c r="N450" s="40">
        <v>4650.0</v>
      </c>
      <c r="O450" s="17">
        <f t="shared" si="9"/>
        <v>0.6451612903</v>
      </c>
      <c r="P450" s="39">
        <v>3000.0</v>
      </c>
      <c r="Q450" s="29" t="s">
        <v>39</v>
      </c>
      <c r="R450" s="29">
        <v>1343736.0</v>
      </c>
      <c r="S450" s="29" t="s">
        <v>40</v>
      </c>
      <c r="T450" s="19">
        <v>5287278.0</v>
      </c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</row>
    <row r="451" ht="15.75" customHeight="1">
      <c r="A451" s="9">
        <v>1.0518999E7</v>
      </c>
      <c r="B451" s="10"/>
      <c r="C451" s="11">
        <v>45464.291666666664</v>
      </c>
      <c r="D451" s="12">
        <v>26.0</v>
      </c>
      <c r="E451" s="26">
        <v>31625.0</v>
      </c>
      <c r="F451" s="29" t="s">
        <v>31</v>
      </c>
      <c r="G451" s="25" t="s">
        <v>74</v>
      </c>
      <c r="H451" s="12" t="s">
        <v>262</v>
      </c>
      <c r="I451" s="25" t="s">
        <v>263</v>
      </c>
      <c r="J451" s="25" t="s">
        <v>35</v>
      </c>
      <c r="K451" s="12" t="s">
        <v>264</v>
      </c>
      <c r="L451" s="28" t="s">
        <v>59</v>
      </c>
      <c r="M451" s="29" t="s">
        <v>128</v>
      </c>
      <c r="N451" s="40">
        <v>4650.0</v>
      </c>
      <c r="O451" s="17">
        <f t="shared" si="9"/>
        <v>0.6451612903</v>
      </c>
      <c r="P451" s="39">
        <v>3000.0</v>
      </c>
      <c r="Q451" s="29" t="s">
        <v>39</v>
      </c>
      <c r="R451" s="29">
        <v>1343724.0</v>
      </c>
      <c r="S451" s="29" t="s">
        <v>40</v>
      </c>
      <c r="T451" s="19">
        <v>5287168.0</v>
      </c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</row>
    <row r="452" ht="15.75" customHeight="1">
      <c r="A452" s="9">
        <v>1.0519057E7</v>
      </c>
      <c r="B452" s="10"/>
      <c r="C452" s="11">
        <v>45467.833333333336</v>
      </c>
      <c r="D452" s="12">
        <v>26.0</v>
      </c>
      <c r="E452" s="26">
        <v>33139.0</v>
      </c>
      <c r="F452" s="29" t="s">
        <v>31</v>
      </c>
      <c r="G452" s="25" t="s">
        <v>74</v>
      </c>
      <c r="H452" s="12" t="s">
        <v>262</v>
      </c>
      <c r="I452" s="25" t="s">
        <v>263</v>
      </c>
      <c r="J452" s="25" t="s">
        <v>35</v>
      </c>
      <c r="K452" s="12" t="s">
        <v>264</v>
      </c>
      <c r="L452" s="28" t="s">
        <v>59</v>
      </c>
      <c r="M452" s="29" t="s">
        <v>384</v>
      </c>
      <c r="N452" s="40">
        <v>5008.0</v>
      </c>
      <c r="O452" s="17">
        <f t="shared" si="9"/>
        <v>0.5990415335</v>
      </c>
      <c r="P452" s="39">
        <v>3000.0</v>
      </c>
      <c r="Q452" s="29" t="s">
        <v>39</v>
      </c>
      <c r="R452" s="29">
        <v>1345297.0</v>
      </c>
      <c r="S452" s="29" t="s">
        <v>40</v>
      </c>
      <c r="T452" s="19">
        <v>5294419.0</v>
      </c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</row>
    <row r="453" ht="15.75" customHeight="1">
      <c r="A453" s="9">
        <v>1.0519068E7</v>
      </c>
      <c r="B453" s="10"/>
      <c r="C453" s="11">
        <v>45467.833333333336</v>
      </c>
      <c r="D453" s="12">
        <v>26.0</v>
      </c>
      <c r="E453" s="26">
        <v>33139.0</v>
      </c>
      <c r="F453" s="12" t="s">
        <v>31</v>
      </c>
      <c r="G453" s="29" t="s">
        <v>74</v>
      </c>
      <c r="H453" s="12" t="s">
        <v>262</v>
      </c>
      <c r="I453" s="25" t="s">
        <v>263</v>
      </c>
      <c r="J453" s="25" t="s">
        <v>35</v>
      </c>
      <c r="K453" s="25" t="s">
        <v>264</v>
      </c>
      <c r="L453" s="28" t="s">
        <v>59</v>
      </c>
      <c r="M453" s="29" t="s">
        <v>184</v>
      </c>
      <c r="N453" s="40">
        <v>5008.0</v>
      </c>
      <c r="O453" s="17">
        <f t="shared" si="9"/>
        <v>0.5990415335</v>
      </c>
      <c r="P453" s="39">
        <v>3000.0</v>
      </c>
      <c r="Q453" s="12" t="s">
        <v>39</v>
      </c>
      <c r="R453" s="12">
        <v>1345149.0</v>
      </c>
      <c r="S453" s="29" t="s">
        <v>40</v>
      </c>
      <c r="T453" s="19">
        <v>5293342.0</v>
      </c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</row>
    <row r="454" ht="15.75" customHeight="1">
      <c r="A454" s="9">
        <v>1.0519069E7</v>
      </c>
      <c r="B454" s="10"/>
      <c r="C454" s="11">
        <v>45467.833333333336</v>
      </c>
      <c r="D454" s="12">
        <v>26.0</v>
      </c>
      <c r="E454" s="26">
        <v>33139.0</v>
      </c>
      <c r="F454" s="12" t="s">
        <v>31</v>
      </c>
      <c r="G454" s="29" t="s">
        <v>74</v>
      </c>
      <c r="H454" s="12" t="s">
        <v>262</v>
      </c>
      <c r="I454" s="25" t="s">
        <v>263</v>
      </c>
      <c r="J454" s="25" t="s">
        <v>35</v>
      </c>
      <c r="K454" s="25" t="s">
        <v>264</v>
      </c>
      <c r="L454" s="28" t="s">
        <v>59</v>
      </c>
      <c r="M454" s="29" t="s">
        <v>385</v>
      </c>
      <c r="N454" s="40">
        <v>5008.0</v>
      </c>
      <c r="O454" s="17">
        <f t="shared" si="9"/>
        <v>0.5990415335</v>
      </c>
      <c r="P454" s="39">
        <v>3000.0</v>
      </c>
      <c r="Q454" s="12" t="s">
        <v>39</v>
      </c>
      <c r="R454" s="12">
        <v>1345307.0</v>
      </c>
      <c r="S454" s="29" t="s">
        <v>40</v>
      </c>
      <c r="T454" s="19">
        <v>5294495.0</v>
      </c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</row>
    <row r="455" ht="15.75" customHeight="1">
      <c r="A455" s="9">
        <v>1.051907E7</v>
      </c>
      <c r="B455" s="10"/>
      <c r="C455" s="11">
        <v>45467.833333333336</v>
      </c>
      <c r="D455" s="12">
        <v>26.0</v>
      </c>
      <c r="E455" s="26">
        <v>33139.0</v>
      </c>
      <c r="F455" s="12" t="s">
        <v>31</v>
      </c>
      <c r="G455" s="29" t="s">
        <v>74</v>
      </c>
      <c r="H455" s="12" t="s">
        <v>262</v>
      </c>
      <c r="I455" s="25" t="s">
        <v>263</v>
      </c>
      <c r="J455" s="25" t="s">
        <v>35</v>
      </c>
      <c r="K455" s="25" t="s">
        <v>264</v>
      </c>
      <c r="L455" s="28" t="s">
        <v>59</v>
      </c>
      <c r="M455" s="29" t="s">
        <v>386</v>
      </c>
      <c r="N455" s="40">
        <v>5008.0</v>
      </c>
      <c r="O455" s="17">
        <f t="shared" si="9"/>
        <v>0.5990415335</v>
      </c>
      <c r="P455" s="39">
        <v>3000.0</v>
      </c>
      <c r="Q455" s="12" t="s">
        <v>39</v>
      </c>
      <c r="R455" s="12">
        <v>1345329.0</v>
      </c>
      <c r="S455" s="29" t="s">
        <v>40</v>
      </c>
      <c r="T455" s="19">
        <v>5294741.0</v>
      </c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</row>
    <row r="456" ht="15.75" customHeight="1">
      <c r="A456" s="9">
        <v>1.0521436E7</v>
      </c>
      <c r="B456" s="10"/>
      <c r="C456" s="11">
        <v>45464.625</v>
      </c>
      <c r="D456" s="12">
        <v>26.0</v>
      </c>
      <c r="E456" s="26">
        <v>33139.0</v>
      </c>
      <c r="F456" s="12" t="s">
        <v>31</v>
      </c>
      <c r="G456" s="29" t="s">
        <v>74</v>
      </c>
      <c r="H456" s="12" t="s">
        <v>262</v>
      </c>
      <c r="I456" s="25" t="s">
        <v>263</v>
      </c>
      <c r="J456" s="25" t="s">
        <v>35</v>
      </c>
      <c r="K456" s="12" t="s">
        <v>264</v>
      </c>
      <c r="L456" s="28" t="s">
        <v>59</v>
      </c>
      <c r="M456" s="29" t="s">
        <v>348</v>
      </c>
      <c r="N456" s="40">
        <v>5008.0</v>
      </c>
      <c r="O456" s="73">
        <f t="shared" si="9"/>
        <v>0.5990415335</v>
      </c>
      <c r="P456" s="39">
        <v>3000.0</v>
      </c>
      <c r="Q456" s="12" t="s">
        <v>39</v>
      </c>
      <c r="R456" s="12">
        <v>1343213.0</v>
      </c>
      <c r="S456" s="29" t="s">
        <v>40</v>
      </c>
      <c r="T456" s="19">
        <v>5284128.0</v>
      </c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</row>
    <row r="457" ht="15.75" customHeight="1">
      <c r="A457" s="9">
        <v>1.0521437E7</v>
      </c>
      <c r="B457" s="10"/>
      <c r="C457" s="11">
        <v>45468.833333333336</v>
      </c>
      <c r="D457" s="12">
        <v>26.0</v>
      </c>
      <c r="E457" s="26">
        <v>33139.0</v>
      </c>
      <c r="F457" s="29" t="s">
        <v>31</v>
      </c>
      <c r="G457" s="25" t="s">
        <v>74</v>
      </c>
      <c r="H457" s="12" t="s">
        <v>262</v>
      </c>
      <c r="I457" s="12" t="s">
        <v>263</v>
      </c>
      <c r="J457" s="12" t="s">
        <v>35</v>
      </c>
      <c r="K457" s="12" t="s">
        <v>264</v>
      </c>
      <c r="L457" s="28" t="s">
        <v>59</v>
      </c>
      <c r="M457" s="29" t="s">
        <v>49</v>
      </c>
      <c r="N457" s="40">
        <v>5008.0</v>
      </c>
      <c r="O457" s="17">
        <f t="shared" si="9"/>
        <v>0.5990415335</v>
      </c>
      <c r="P457" s="39">
        <v>3000.0</v>
      </c>
      <c r="Q457" s="29" t="s">
        <v>39</v>
      </c>
      <c r="R457" s="29">
        <v>1346065.0</v>
      </c>
      <c r="S457" s="29" t="s">
        <v>40</v>
      </c>
      <c r="T457" s="19">
        <v>5299362.0</v>
      </c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</row>
    <row r="458" ht="15.75" customHeight="1">
      <c r="A458" s="9">
        <v>1.0521438E7</v>
      </c>
      <c r="B458" s="10"/>
      <c r="C458" s="11">
        <v>45468.833333333336</v>
      </c>
      <c r="D458" s="12">
        <v>26.0</v>
      </c>
      <c r="E458" s="26">
        <v>33139.0</v>
      </c>
      <c r="F458" s="29" t="s">
        <v>31</v>
      </c>
      <c r="G458" s="25" t="s">
        <v>74</v>
      </c>
      <c r="H458" s="12" t="s">
        <v>262</v>
      </c>
      <c r="I458" s="12" t="s">
        <v>263</v>
      </c>
      <c r="J458" s="12" t="s">
        <v>35</v>
      </c>
      <c r="K458" s="12" t="s">
        <v>264</v>
      </c>
      <c r="L458" s="28" t="s">
        <v>59</v>
      </c>
      <c r="M458" s="29" t="s">
        <v>184</v>
      </c>
      <c r="N458" s="40">
        <v>5008.0</v>
      </c>
      <c r="O458" s="17">
        <f t="shared" si="9"/>
        <v>0.5990415335</v>
      </c>
      <c r="P458" s="39">
        <v>3000.0</v>
      </c>
      <c r="Q458" s="12" t="s">
        <v>39</v>
      </c>
      <c r="R458" s="12">
        <v>1346223.0</v>
      </c>
      <c r="S458" s="29" t="s">
        <v>40</v>
      </c>
      <c r="T458" s="19">
        <v>5300315.0</v>
      </c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</row>
    <row r="459" ht="15.75" customHeight="1">
      <c r="A459" s="9">
        <v>1.0521885E7</v>
      </c>
      <c r="B459" s="10"/>
      <c r="C459" s="11">
        <v>45464.208333333336</v>
      </c>
      <c r="D459" s="12">
        <v>26.0</v>
      </c>
      <c r="E459" s="26">
        <v>30042.0</v>
      </c>
      <c r="F459" s="38" t="s">
        <v>43</v>
      </c>
      <c r="G459" s="25" t="s">
        <v>44</v>
      </c>
      <c r="H459" s="12" t="s">
        <v>45</v>
      </c>
      <c r="I459" s="12" t="s">
        <v>46</v>
      </c>
      <c r="J459" s="14" t="s">
        <v>35</v>
      </c>
      <c r="K459" s="14" t="s">
        <v>47</v>
      </c>
      <c r="L459" s="28" t="s">
        <v>108</v>
      </c>
      <c r="M459" s="29" t="s">
        <v>52</v>
      </c>
      <c r="N459" s="40">
        <v>2169.28</v>
      </c>
      <c r="O459" s="17">
        <f t="shared" si="9"/>
        <v>0.7836701578</v>
      </c>
      <c r="P459" s="39">
        <v>1700.0</v>
      </c>
      <c r="Q459" s="29" t="s">
        <v>52</v>
      </c>
      <c r="R459" s="29" t="s">
        <v>52</v>
      </c>
      <c r="S459" s="29" t="s">
        <v>131</v>
      </c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</row>
    <row r="460" ht="15.75" customHeight="1">
      <c r="A460" s="9">
        <v>1.0521886E7</v>
      </c>
      <c r="B460" s="10"/>
      <c r="C460" s="11">
        <v>45464.208333333336</v>
      </c>
      <c r="D460" s="12" t="s">
        <v>52</v>
      </c>
      <c r="E460" s="26" t="s">
        <v>52</v>
      </c>
      <c r="F460" s="9" t="s">
        <v>43</v>
      </c>
      <c r="G460" s="29" t="s">
        <v>44</v>
      </c>
      <c r="H460" s="12" t="s">
        <v>387</v>
      </c>
      <c r="I460" s="12" t="s">
        <v>46</v>
      </c>
      <c r="J460" s="14" t="s">
        <v>47</v>
      </c>
      <c r="K460" s="14" t="s">
        <v>35</v>
      </c>
      <c r="L460" s="15" t="s">
        <v>188</v>
      </c>
      <c r="M460" s="29" t="s">
        <v>52</v>
      </c>
      <c r="N460" s="40">
        <v>1446.19</v>
      </c>
      <c r="O460" s="17">
        <f t="shared" si="9"/>
        <v>0.4840304524</v>
      </c>
      <c r="P460" s="39">
        <v>700.0</v>
      </c>
      <c r="Q460" s="12" t="s">
        <v>52</v>
      </c>
      <c r="R460" s="12" t="s">
        <v>52</v>
      </c>
      <c r="S460" s="29" t="s">
        <v>131</v>
      </c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</row>
    <row r="461" ht="15.75" customHeight="1">
      <c r="A461" s="9">
        <v>1.0522263E7</v>
      </c>
      <c r="B461" s="10"/>
      <c r="C461" s="11">
        <v>45464.208333333336</v>
      </c>
      <c r="D461" s="12">
        <v>26.0</v>
      </c>
      <c r="E461" s="26">
        <v>27030.0</v>
      </c>
      <c r="F461" s="9" t="s">
        <v>43</v>
      </c>
      <c r="G461" s="29" t="s">
        <v>44</v>
      </c>
      <c r="H461" s="12" t="s">
        <v>45</v>
      </c>
      <c r="I461" s="12" t="s">
        <v>46</v>
      </c>
      <c r="J461" s="14" t="s">
        <v>35</v>
      </c>
      <c r="K461" s="14" t="s">
        <v>47</v>
      </c>
      <c r="L461" s="15" t="s">
        <v>108</v>
      </c>
      <c r="M461" s="29" t="s">
        <v>52</v>
      </c>
      <c r="N461" s="40">
        <v>2169.28</v>
      </c>
      <c r="O461" s="17">
        <f t="shared" si="9"/>
        <v>0.7836701578</v>
      </c>
      <c r="P461" s="39">
        <v>1700.0</v>
      </c>
      <c r="Q461" s="12" t="s">
        <v>52</v>
      </c>
      <c r="R461" s="12" t="s">
        <v>52</v>
      </c>
      <c r="S461" s="12" t="s">
        <v>131</v>
      </c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</row>
    <row r="462" ht="15.75" customHeight="1">
      <c r="A462" s="9">
        <v>1.0522264E7</v>
      </c>
      <c r="B462" s="10"/>
      <c r="C462" s="11">
        <v>45464.208333333336</v>
      </c>
      <c r="D462" s="12" t="s">
        <v>52</v>
      </c>
      <c r="E462" s="26" t="s">
        <v>52</v>
      </c>
      <c r="F462" s="9" t="s">
        <v>43</v>
      </c>
      <c r="G462" s="29" t="s">
        <v>44</v>
      </c>
      <c r="H462" s="12" t="s">
        <v>388</v>
      </c>
      <c r="I462" s="12" t="s">
        <v>46</v>
      </c>
      <c r="J462" s="14" t="s">
        <v>47</v>
      </c>
      <c r="K462" s="14" t="s">
        <v>35</v>
      </c>
      <c r="L462" s="15" t="s">
        <v>188</v>
      </c>
      <c r="M462" s="29" t="s">
        <v>52</v>
      </c>
      <c r="N462" s="40">
        <v>1446.19</v>
      </c>
      <c r="O462" s="17">
        <f t="shared" si="9"/>
        <v>0.4840304524</v>
      </c>
      <c r="P462" s="39">
        <v>700.0</v>
      </c>
      <c r="Q462" s="12" t="s">
        <v>52</v>
      </c>
      <c r="R462" s="12" t="s">
        <v>52</v>
      </c>
      <c r="S462" s="12" t="s">
        <v>131</v>
      </c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</row>
    <row r="463" ht="15.75" customHeight="1">
      <c r="A463" s="9">
        <v>1.052452E7</v>
      </c>
      <c r="B463" s="10"/>
      <c r="C463" s="11">
        <v>45469.875</v>
      </c>
      <c r="D463" s="12">
        <v>28.0</v>
      </c>
      <c r="E463" s="26">
        <v>34058.0</v>
      </c>
      <c r="F463" s="12" t="s">
        <v>31</v>
      </c>
      <c r="G463" s="29" t="s">
        <v>32</v>
      </c>
      <c r="H463" s="12" t="s">
        <v>224</v>
      </c>
      <c r="I463" s="28" t="s">
        <v>225</v>
      </c>
      <c r="J463" s="25" t="s">
        <v>35</v>
      </c>
      <c r="K463" s="25" t="s">
        <v>226</v>
      </c>
      <c r="L463" s="28" t="s">
        <v>227</v>
      </c>
      <c r="M463" s="29" t="s">
        <v>345</v>
      </c>
      <c r="N463" s="40">
        <v>15725.0</v>
      </c>
      <c r="O463" s="17">
        <f t="shared" si="9"/>
        <v>0.4451510334</v>
      </c>
      <c r="P463" s="39">
        <v>7000.0</v>
      </c>
      <c r="Q463" s="12" t="s">
        <v>39</v>
      </c>
      <c r="R463" s="12">
        <v>1347094.0</v>
      </c>
      <c r="S463" s="12" t="s">
        <v>40</v>
      </c>
      <c r="T463" s="19">
        <v>5305313.0</v>
      </c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</row>
    <row r="464" ht="15.75" customHeight="1">
      <c r="A464" s="9">
        <v>1.0524521E7</v>
      </c>
      <c r="B464" s="10"/>
      <c r="C464" s="11">
        <v>45468.875</v>
      </c>
      <c r="D464" s="12">
        <v>26.0</v>
      </c>
      <c r="E464" s="26">
        <v>32528.0</v>
      </c>
      <c r="F464" s="12" t="s">
        <v>31</v>
      </c>
      <c r="G464" s="25" t="s">
        <v>32</v>
      </c>
      <c r="H464" s="25" t="s">
        <v>224</v>
      </c>
      <c r="I464" s="28" t="s">
        <v>225</v>
      </c>
      <c r="J464" s="25" t="s">
        <v>35</v>
      </c>
      <c r="K464" s="25" t="s">
        <v>226</v>
      </c>
      <c r="L464" s="28" t="s">
        <v>227</v>
      </c>
      <c r="M464" s="29" t="s">
        <v>389</v>
      </c>
      <c r="N464" s="40">
        <v>15725.0</v>
      </c>
      <c r="O464" s="73">
        <f t="shared" si="9"/>
        <v>0.4451510334</v>
      </c>
      <c r="P464" s="39">
        <v>7000.0</v>
      </c>
      <c r="Q464" s="12" t="s">
        <v>39</v>
      </c>
      <c r="R464" s="12">
        <v>1346075.0</v>
      </c>
      <c r="S464" s="29" t="s">
        <v>40</v>
      </c>
      <c r="T464" s="19">
        <v>5299407.0</v>
      </c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</row>
    <row r="465" ht="15.75" customHeight="1">
      <c r="A465" s="9">
        <v>1.0524552E7</v>
      </c>
      <c r="B465" s="10"/>
      <c r="C465" s="11">
        <v>45464.583333333336</v>
      </c>
      <c r="D465" s="12">
        <v>26.0</v>
      </c>
      <c r="E465" s="26">
        <v>33139.0</v>
      </c>
      <c r="F465" s="12" t="s">
        <v>31</v>
      </c>
      <c r="G465" s="29" t="s">
        <v>74</v>
      </c>
      <c r="H465" s="12" t="s">
        <v>262</v>
      </c>
      <c r="I465" s="29" t="s">
        <v>263</v>
      </c>
      <c r="J465" s="12" t="s">
        <v>35</v>
      </c>
      <c r="K465" s="12" t="s">
        <v>264</v>
      </c>
      <c r="L465" s="28" t="s">
        <v>59</v>
      </c>
      <c r="M465" s="29" t="s">
        <v>278</v>
      </c>
      <c r="N465" s="40">
        <v>5008.0</v>
      </c>
      <c r="O465" s="17">
        <f t="shared" si="9"/>
        <v>0.5990415335</v>
      </c>
      <c r="P465" s="39">
        <v>3000.0</v>
      </c>
      <c r="Q465" s="12" t="s">
        <v>39</v>
      </c>
      <c r="R465" s="12">
        <v>1343196.0</v>
      </c>
      <c r="S465" s="29" t="s">
        <v>40</v>
      </c>
      <c r="T465" s="19">
        <v>5284128.0</v>
      </c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</row>
    <row r="466" ht="15.75" customHeight="1">
      <c r="A466" s="9">
        <v>1.0525047E7</v>
      </c>
      <c r="B466" s="10"/>
      <c r="C466" s="11">
        <v>45469.0</v>
      </c>
      <c r="D466" s="12">
        <v>26.0</v>
      </c>
      <c r="E466" s="26">
        <v>33139.0</v>
      </c>
      <c r="F466" s="29" t="s">
        <v>31</v>
      </c>
      <c r="G466" s="29" t="s">
        <v>74</v>
      </c>
      <c r="H466" s="12" t="s">
        <v>262</v>
      </c>
      <c r="I466" s="29" t="s">
        <v>263</v>
      </c>
      <c r="J466" s="12" t="s">
        <v>35</v>
      </c>
      <c r="K466" s="12" t="s">
        <v>264</v>
      </c>
      <c r="L466" s="28" t="s">
        <v>59</v>
      </c>
      <c r="M466" s="29" t="s">
        <v>52</v>
      </c>
      <c r="N466" s="40">
        <v>5008.0</v>
      </c>
      <c r="O466" s="17">
        <f t="shared" si="9"/>
        <v>0.5990415335</v>
      </c>
      <c r="P466" s="39">
        <v>3000.0</v>
      </c>
      <c r="Q466" s="12" t="s">
        <v>52</v>
      </c>
      <c r="R466" s="12" t="s">
        <v>52</v>
      </c>
      <c r="S466" s="29" t="s">
        <v>131</v>
      </c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</row>
    <row r="467" ht="15.75" customHeight="1">
      <c r="A467" s="9">
        <v>1.0525048E7</v>
      </c>
      <c r="B467" s="10"/>
      <c r="C467" s="11">
        <v>45469.0</v>
      </c>
      <c r="D467" s="12">
        <v>26.0</v>
      </c>
      <c r="E467" s="26">
        <v>33139.0</v>
      </c>
      <c r="F467" s="29" t="s">
        <v>31</v>
      </c>
      <c r="G467" s="29" t="s">
        <v>74</v>
      </c>
      <c r="H467" s="12" t="s">
        <v>262</v>
      </c>
      <c r="I467" s="29" t="s">
        <v>263</v>
      </c>
      <c r="J467" s="25" t="s">
        <v>35</v>
      </c>
      <c r="K467" s="25" t="s">
        <v>264</v>
      </c>
      <c r="L467" s="28" t="s">
        <v>59</v>
      </c>
      <c r="M467" s="29" t="s">
        <v>52</v>
      </c>
      <c r="N467" s="40">
        <v>5008.0</v>
      </c>
      <c r="O467" s="17">
        <f t="shared" si="9"/>
        <v>0.5990415335</v>
      </c>
      <c r="P467" s="39">
        <v>3000.0</v>
      </c>
      <c r="Q467" s="12" t="s">
        <v>52</v>
      </c>
      <c r="R467" s="12" t="s">
        <v>52</v>
      </c>
      <c r="S467" s="29" t="s">
        <v>131</v>
      </c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</row>
    <row r="468" ht="15.75" customHeight="1">
      <c r="A468" s="9">
        <v>1.0527843E7</v>
      </c>
      <c r="B468" s="10"/>
      <c r="C468" s="11">
        <v>45468.666666666664</v>
      </c>
      <c r="D468" s="12">
        <v>26.0</v>
      </c>
      <c r="E468" s="26">
        <v>33430.0</v>
      </c>
      <c r="F468" s="29" t="s">
        <v>31</v>
      </c>
      <c r="G468" s="29" t="s">
        <v>44</v>
      </c>
      <c r="H468" s="12" t="s">
        <v>45</v>
      </c>
      <c r="I468" s="29" t="s">
        <v>46</v>
      </c>
      <c r="J468" s="14" t="s">
        <v>35</v>
      </c>
      <c r="K468" s="14" t="s">
        <v>47</v>
      </c>
      <c r="L468" s="28" t="s">
        <v>108</v>
      </c>
      <c r="M468" s="29" t="s">
        <v>52</v>
      </c>
      <c r="N468" s="40">
        <v>2800.0</v>
      </c>
      <c r="O468" s="73">
        <f t="shared" si="9"/>
        <v>0.6071428571</v>
      </c>
      <c r="P468" s="39">
        <v>1700.0</v>
      </c>
      <c r="Q468" s="12" t="s">
        <v>52</v>
      </c>
      <c r="R468" s="12" t="s">
        <v>52</v>
      </c>
      <c r="S468" s="29" t="s">
        <v>131</v>
      </c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</row>
    <row r="469" ht="15.75" customHeight="1">
      <c r="A469" s="9">
        <v>1.0529563E7</v>
      </c>
      <c r="B469" s="10"/>
      <c r="C469" s="11">
        <v>45470.0</v>
      </c>
      <c r="D469" s="12">
        <v>26.0</v>
      </c>
      <c r="E469" s="26">
        <v>32553.0</v>
      </c>
      <c r="F469" s="38" t="s">
        <v>43</v>
      </c>
      <c r="G469" s="29" t="s">
        <v>32</v>
      </c>
      <c r="H469" s="12" t="s">
        <v>265</v>
      </c>
      <c r="I469" s="39" t="s">
        <v>266</v>
      </c>
      <c r="J469" s="25" t="s">
        <v>35</v>
      </c>
      <c r="K469" s="25" t="s">
        <v>267</v>
      </c>
      <c r="L469" s="28" t="s">
        <v>114</v>
      </c>
      <c r="M469" s="29" t="s">
        <v>346</v>
      </c>
      <c r="N469" s="40">
        <v>5880.0</v>
      </c>
      <c r="O469" s="17">
        <f t="shared" si="9"/>
        <v>0.8163265306</v>
      </c>
      <c r="P469" s="39">
        <v>4800.0</v>
      </c>
      <c r="Q469" s="12" t="s">
        <v>39</v>
      </c>
      <c r="R469" s="12">
        <v>1347071.0</v>
      </c>
      <c r="S469" s="29" t="s">
        <v>40</v>
      </c>
      <c r="T469" s="19">
        <v>5305122.0</v>
      </c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</row>
    <row r="470" ht="15.75" customHeight="1">
      <c r="A470" s="9">
        <v>1.0529564E7</v>
      </c>
      <c r="B470" s="10"/>
      <c r="C470" s="11">
        <v>45470.0</v>
      </c>
      <c r="D470" s="12">
        <v>26.0</v>
      </c>
      <c r="E470" s="26">
        <v>32553.0</v>
      </c>
      <c r="F470" s="9" t="s">
        <v>43</v>
      </c>
      <c r="G470" s="29" t="s">
        <v>32</v>
      </c>
      <c r="H470" s="12" t="s">
        <v>265</v>
      </c>
      <c r="I470" s="39" t="s">
        <v>266</v>
      </c>
      <c r="J470" s="12" t="s">
        <v>35</v>
      </c>
      <c r="K470" s="12" t="s">
        <v>267</v>
      </c>
      <c r="L470" s="28" t="s">
        <v>114</v>
      </c>
      <c r="M470" s="29" t="s">
        <v>278</v>
      </c>
      <c r="N470" s="40">
        <v>5880.0</v>
      </c>
      <c r="O470" s="17">
        <f t="shared" si="9"/>
        <v>0.7227891156</v>
      </c>
      <c r="P470" s="39">
        <v>4250.0</v>
      </c>
      <c r="Q470" s="12" t="s">
        <v>39</v>
      </c>
      <c r="R470" s="12">
        <v>1347542.0</v>
      </c>
      <c r="S470" s="29" t="s">
        <v>40</v>
      </c>
      <c r="T470" s="19">
        <v>5308134.0</v>
      </c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</row>
    <row r="471" ht="15.75" customHeight="1">
      <c r="A471" s="9">
        <v>1.0529565E7</v>
      </c>
      <c r="B471" s="10"/>
      <c r="C471" s="11">
        <v>45470.0</v>
      </c>
      <c r="D471" s="12" t="s">
        <v>52</v>
      </c>
      <c r="E471" s="25" t="s">
        <v>52</v>
      </c>
      <c r="F471" s="9" t="s">
        <v>43</v>
      </c>
      <c r="G471" s="29" t="s">
        <v>32</v>
      </c>
      <c r="H471" s="12" t="s">
        <v>390</v>
      </c>
      <c r="I471" s="39" t="s">
        <v>266</v>
      </c>
      <c r="J471" s="12" t="s">
        <v>267</v>
      </c>
      <c r="K471" s="12" t="s">
        <v>35</v>
      </c>
      <c r="L471" s="28" t="s">
        <v>43</v>
      </c>
      <c r="M471" s="29" t="s">
        <v>346</v>
      </c>
      <c r="N471" s="40">
        <v>3920.0</v>
      </c>
      <c r="O471" s="17">
        <f t="shared" si="9"/>
        <v>0.8163265306</v>
      </c>
      <c r="P471" s="39">
        <v>3200.0</v>
      </c>
      <c r="Q471" s="12" t="s">
        <v>39</v>
      </c>
      <c r="R471" s="12">
        <v>1350378.0</v>
      </c>
      <c r="S471" s="29" t="s">
        <v>40</v>
      </c>
      <c r="T471" s="19">
        <v>5326118.0</v>
      </c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</row>
    <row r="472" ht="15.75" customHeight="1">
      <c r="A472" s="9">
        <v>1.0529566E7</v>
      </c>
      <c r="B472" s="10"/>
      <c r="C472" s="11">
        <v>45470.0</v>
      </c>
      <c r="D472" s="12" t="s">
        <v>52</v>
      </c>
      <c r="E472" s="25" t="s">
        <v>52</v>
      </c>
      <c r="F472" s="38" t="s">
        <v>43</v>
      </c>
      <c r="G472" s="25" t="s">
        <v>32</v>
      </c>
      <c r="H472" s="29" t="s">
        <v>391</v>
      </c>
      <c r="I472" s="39" t="s">
        <v>266</v>
      </c>
      <c r="J472" s="25" t="s">
        <v>267</v>
      </c>
      <c r="K472" s="12" t="s">
        <v>35</v>
      </c>
      <c r="L472" s="28" t="s">
        <v>43</v>
      </c>
      <c r="M472" s="29"/>
      <c r="N472" s="40">
        <v>3920.0</v>
      </c>
      <c r="O472" s="17">
        <f t="shared" si="9"/>
        <v>0.7015306122</v>
      </c>
      <c r="P472" s="39">
        <v>2750.0</v>
      </c>
      <c r="Q472" s="12"/>
      <c r="R472" s="12">
        <v>1348425.0</v>
      </c>
      <c r="S472" s="29" t="s">
        <v>40</v>
      </c>
      <c r="T472" s="19">
        <v>5313934.0</v>
      </c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</row>
    <row r="473" ht="15.75" customHeight="1">
      <c r="A473" s="9">
        <v>1.0532759E7</v>
      </c>
      <c r="B473" s="10"/>
      <c r="C473" s="11">
        <v>45472.0</v>
      </c>
      <c r="D473" s="12">
        <v>26.0</v>
      </c>
      <c r="E473" s="26">
        <v>31625.0</v>
      </c>
      <c r="F473" s="12" t="s">
        <v>31</v>
      </c>
      <c r="G473" s="29" t="s">
        <v>74</v>
      </c>
      <c r="H473" s="12" t="s">
        <v>262</v>
      </c>
      <c r="I473" s="25" t="s">
        <v>263</v>
      </c>
      <c r="J473" s="25" t="s">
        <v>35</v>
      </c>
      <c r="K473" s="12" t="s">
        <v>264</v>
      </c>
      <c r="L473" s="28" t="s">
        <v>59</v>
      </c>
      <c r="M473" s="29" t="s">
        <v>278</v>
      </c>
      <c r="N473" s="40">
        <v>4650.0</v>
      </c>
      <c r="O473" s="17">
        <f t="shared" si="9"/>
        <v>0.6451612903</v>
      </c>
      <c r="P473" s="39">
        <v>3000.0</v>
      </c>
      <c r="Q473" s="12" t="s">
        <v>39</v>
      </c>
      <c r="R473" s="12">
        <v>1348912.0</v>
      </c>
      <c r="S473" s="29" t="s">
        <v>40</v>
      </c>
      <c r="T473" s="19">
        <v>5317532.0</v>
      </c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</row>
    <row r="474" ht="18.75" customHeight="1">
      <c r="A474" s="9">
        <v>1.053276E7</v>
      </c>
      <c r="B474" s="10"/>
      <c r="C474" s="11">
        <v>45472.0</v>
      </c>
      <c r="D474" s="12">
        <v>26.0</v>
      </c>
      <c r="E474" s="26">
        <v>31625.0</v>
      </c>
      <c r="F474" s="12" t="s">
        <v>31</v>
      </c>
      <c r="G474" s="29" t="s">
        <v>74</v>
      </c>
      <c r="H474" s="12" t="s">
        <v>262</v>
      </c>
      <c r="I474" s="12" t="s">
        <v>263</v>
      </c>
      <c r="J474" s="12" t="s">
        <v>35</v>
      </c>
      <c r="K474" s="12" t="s">
        <v>264</v>
      </c>
      <c r="L474" s="28" t="s">
        <v>59</v>
      </c>
      <c r="M474" s="29" t="s">
        <v>345</v>
      </c>
      <c r="N474" s="40">
        <v>4650.0</v>
      </c>
      <c r="O474" s="17">
        <f t="shared" si="9"/>
        <v>0.6451612903</v>
      </c>
      <c r="P474" s="39">
        <v>3000.0</v>
      </c>
      <c r="Q474" s="12" t="s">
        <v>39</v>
      </c>
      <c r="R474" s="12">
        <v>1348901.0</v>
      </c>
      <c r="S474" s="29" t="s">
        <v>40</v>
      </c>
      <c r="T474" s="19">
        <v>5317487.0</v>
      </c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</row>
    <row r="475" ht="15.75" customHeight="1">
      <c r="A475" s="9">
        <v>1.0532761E7</v>
      </c>
      <c r="B475" s="10"/>
      <c r="C475" s="11">
        <v>45472.0</v>
      </c>
      <c r="D475" s="12">
        <v>26.0</v>
      </c>
      <c r="E475" s="26">
        <v>31625.0</v>
      </c>
      <c r="F475" s="12" t="s">
        <v>31</v>
      </c>
      <c r="G475" s="25" t="s">
        <v>74</v>
      </c>
      <c r="H475" s="12" t="s">
        <v>262</v>
      </c>
      <c r="I475" s="12" t="s">
        <v>263</v>
      </c>
      <c r="J475" s="12" t="s">
        <v>35</v>
      </c>
      <c r="K475" s="12" t="s">
        <v>264</v>
      </c>
      <c r="L475" s="28" t="s">
        <v>59</v>
      </c>
      <c r="M475" s="29" t="s">
        <v>49</v>
      </c>
      <c r="N475" s="40">
        <v>4650.0</v>
      </c>
      <c r="O475" s="17">
        <f t="shared" si="9"/>
        <v>0.6451612903</v>
      </c>
      <c r="P475" s="39">
        <v>3000.0</v>
      </c>
      <c r="Q475" s="12" t="s">
        <v>39</v>
      </c>
      <c r="R475" s="12">
        <v>1348452.0</v>
      </c>
      <c r="S475" s="29" t="s">
        <v>40</v>
      </c>
      <c r="T475" s="19">
        <v>5314263.0</v>
      </c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</row>
    <row r="476" ht="15.75" customHeight="1">
      <c r="A476" s="9">
        <v>1.0532762E7</v>
      </c>
      <c r="B476" s="10"/>
      <c r="C476" s="11">
        <v>45472.0</v>
      </c>
      <c r="D476" s="12">
        <v>26.0</v>
      </c>
      <c r="E476" s="26">
        <v>31625.0</v>
      </c>
      <c r="F476" s="12" t="s">
        <v>31</v>
      </c>
      <c r="G476" s="29" t="s">
        <v>74</v>
      </c>
      <c r="H476" s="12" t="s">
        <v>262</v>
      </c>
      <c r="I476" s="12" t="s">
        <v>263</v>
      </c>
      <c r="J476" s="12" t="s">
        <v>35</v>
      </c>
      <c r="K476" s="12" t="s">
        <v>264</v>
      </c>
      <c r="L476" s="28" t="s">
        <v>59</v>
      </c>
      <c r="M476" s="29" t="s">
        <v>128</v>
      </c>
      <c r="N476" s="40">
        <v>4650.0</v>
      </c>
      <c r="O476" s="17">
        <f t="shared" si="9"/>
        <v>0.6451612903</v>
      </c>
      <c r="P476" s="39">
        <v>3000.0</v>
      </c>
      <c r="Q476" s="12" t="s">
        <v>39</v>
      </c>
      <c r="R476" s="12">
        <v>1348400.0</v>
      </c>
      <c r="S476" s="29" t="s">
        <v>40</v>
      </c>
      <c r="T476" s="19">
        <v>5313711.0</v>
      </c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</row>
    <row r="477" ht="15.75" customHeight="1">
      <c r="A477" s="9">
        <v>1.0532764E7</v>
      </c>
      <c r="B477" s="10"/>
      <c r="C477" s="11">
        <v>45472.0</v>
      </c>
      <c r="D477" s="12">
        <v>26.0</v>
      </c>
      <c r="E477" s="26">
        <v>31625.0</v>
      </c>
      <c r="F477" s="12" t="s">
        <v>31</v>
      </c>
      <c r="G477" s="25" t="s">
        <v>74</v>
      </c>
      <c r="H477" s="12" t="s">
        <v>262</v>
      </c>
      <c r="I477" s="12" t="s">
        <v>263</v>
      </c>
      <c r="J477" s="12" t="s">
        <v>35</v>
      </c>
      <c r="K477" s="12" t="s">
        <v>264</v>
      </c>
      <c r="L477" s="28" t="s">
        <v>59</v>
      </c>
      <c r="M477" s="29" t="s">
        <v>184</v>
      </c>
      <c r="N477" s="40">
        <v>4650.0</v>
      </c>
      <c r="O477" s="17">
        <f t="shared" si="9"/>
        <v>0.6451612903</v>
      </c>
      <c r="P477" s="39">
        <v>3000.0</v>
      </c>
      <c r="Q477" s="12" t="s">
        <v>39</v>
      </c>
      <c r="R477" s="12">
        <v>1348755.0</v>
      </c>
      <c r="S477" s="29" t="s">
        <v>40</v>
      </c>
      <c r="T477" s="19">
        <v>5316351.0</v>
      </c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</row>
    <row r="478" ht="15.75" customHeight="1">
      <c r="A478" s="9">
        <v>1.0553641E7</v>
      </c>
      <c r="B478" s="81"/>
      <c r="C478" s="11">
        <v>45477.0</v>
      </c>
      <c r="D478" s="12">
        <v>26.0</v>
      </c>
      <c r="E478" s="25">
        <v>31922.0</v>
      </c>
      <c r="F478" s="29" t="s">
        <v>31</v>
      </c>
      <c r="G478" s="25" t="s">
        <v>44</v>
      </c>
      <c r="H478" s="12" t="s">
        <v>136</v>
      </c>
      <c r="I478" s="28" t="s">
        <v>137</v>
      </c>
      <c r="J478" s="25" t="s">
        <v>35</v>
      </c>
      <c r="K478" s="12" t="s">
        <v>138</v>
      </c>
      <c r="L478" s="28" t="s">
        <v>114</v>
      </c>
      <c r="M478" s="29" t="s">
        <v>52</v>
      </c>
      <c r="N478" s="40">
        <v>5174.0</v>
      </c>
      <c r="O478" s="17">
        <f t="shared" si="9"/>
        <v>0.7730962505</v>
      </c>
      <c r="P478" s="39">
        <v>4000.0</v>
      </c>
      <c r="Q478" s="12" t="s">
        <v>52</v>
      </c>
      <c r="R478" s="12" t="s">
        <v>52</v>
      </c>
      <c r="S478" s="29" t="s">
        <v>131</v>
      </c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</row>
    <row r="479" ht="15.75" customHeight="1">
      <c r="A479" s="9">
        <v>1.0554447E7</v>
      </c>
      <c r="B479" s="81"/>
      <c r="C479" s="11">
        <v>45479.0</v>
      </c>
      <c r="D479" s="12">
        <v>26.0</v>
      </c>
      <c r="E479" s="26">
        <v>31922.0</v>
      </c>
      <c r="F479" s="29" t="s">
        <v>31</v>
      </c>
      <c r="G479" s="25" t="s">
        <v>32</v>
      </c>
      <c r="H479" s="12" t="s">
        <v>265</v>
      </c>
      <c r="I479" s="28" t="s">
        <v>266</v>
      </c>
      <c r="J479" s="25" t="s">
        <v>35</v>
      </c>
      <c r="K479" s="12" t="s">
        <v>267</v>
      </c>
      <c r="L479" s="28" t="s">
        <v>114</v>
      </c>
      <c r="M479" s="29" t="s">
        <v>346</v>
      </c>
      <c r="N479" s="40">
        <v>6200.0</v>
      </c>
      <c r="O479" s="17">
        <f t="shared" si="9"/>
        <v>0.8064516129</v>
      </c>
      <c r="P479" s="39">
        <v>5000.0</v>
      </c>
      <c r="Q479" s="12" t="s">
        <v>39</v>
      </c>
      <c r="R479" s="12">
        <v>1352166.0</v>
      </c>
      <c r="S479" s="29" t="s">
        <v>40</v>
      </c>
      <c r="T479" s="19">
        <v>5338568.0</v>
      </c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</row>
    <row r="480" ht="15.75" customHeight="1">
      <c r="A480" s="9">
        <v>1.0554448E7</v>
      </c>
      <c r="B480" s="81"/>
      <c r="C480" s="11">
        <v>45479.0</v>
      </c>
      <c r="D480" s="12">
        <v>26.0</v>
      </c>
      <c r="E480" s="26">
        <v>31922.0</v>
      </c>
      <c r="F480" s="12" t="s">
        <v>31</v>
      </c>
      <c r="G480" s="29" t="s">
        <v>32</v>
      </c>
      <c r="H480" s="12" t="s">
        <v>265</v>
      </c>
      <c r="I480" s="28" t="s">
        <v>266</v>
      </c>
      <c r="J480" s="25" t="s">
        <v>35</v>
      </c>
      <c r="K480" s="12" t="s">
        <v>267</v>
      </c>
      <c r="L480" s="28" t="s">
        <v>114</v>
      </c>
      <c r="M480" s="29" t="s">
        <v>128</v>
      </c>
      <c r="N480" s="40">
        <v>6200.0</v>
      </c>
      <c r="O480" s="17">
        <f t="shared" si="9"/>
        <v>0.685483871</v>
      </c>
      <c r="P480" s="39">
        <v>4250.0</v>
      </c>
      <c r="Q480" s="12" t="s">
        <v>39</v>
      </c>
      <c r="R480" s="12">
        <v>1352125.0</v>
      </c>
      <c r="S480" s="29" t="s">
        <v>40</v>
      </c>
      <c r="T480" s="19">
        <v>5338346.0</v>
      </c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</row>
    <row r="481" ht="15.75" customHeight="1">
      <c r="A481" s="9">
        <v>1.0555871E7</v>
      </c>
      <c r="B481" s="81"/>
      <c r="C481" s="11">
        <v>45479.0</v>
      </c>
      <c r="D481" s="12">
        <v>26.0</v>
      </c>
      <c r="E481" s="26">
        <v>32553.0</v>
      </c>
      <c r="F481" s="9" t="s">
        <v>43</v>
      </c>
      <c r="G481" s="29" t="s">
        <v>44</v>
      </c>
      <c r="H481" s="12" t="s">
        <v>268</v>
      </c>
      <c r="I481" s="29" t="s">
        <v>269</v>
      </c>
      <c r="J481" s="12" t="s">
        <v>35</v>
      </c>
      <c r="K481" s="12" t="s">
        <v>270</v>
      </c>
      <c r="L481" s="28" t="s">
        <v>94</v>
      </c>
      <c r="M481" s="29" t="s">
        <v>52</v>
      </c>
      <c r="N481" s="40">
        <v>5880.0</v>
      </c>
      <c r="O481" s="17">
        <f t="shared" si="9"/>
        <v>0.7227891156</v>
      </c>
      <c r="P481" s="39">
        <v>4250.0</v>
      </c>
      <c r="Q481" s="12" t="s">
        <v>52</v>
      </c>
      <c r="R481" s="12" t="s">
        <v>52</v>
      </c>
      <c r="S481" s="29" t="s">
        <v>131</v>
      </c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</row>
    <row r="482" ht="15.75" customHeight="1">
      <c r="A482" s="9">
        <v>1.0555872E7</v>
      </c>
      <c r="B482" s="81"/>
      <c r="C482" s="11">
        <v>45481.0</v>
      </c>
      <c r="D482" s="12">
        <v>26.0</v>
      </c>
      <c r="E482" s="26">
        <v>31900.0</v>
      </c>
      <c r="F482" s="12" t="s">
        <v>31</v>
      </c>
      <c r="G482" s="29" t="s">
        <v>44</v>
      </c>
      <c r="H482" s="12" t="s">
        <v>268</v>
      </c>
      <c r="I482" s="29" t="s">
        <v>269</v>
      </c>
      <c r="J482" s="12" t="s">
        <v>35</v>
      </c>
      <c r="K482" s="12" t="s">
        <v>270</v>
      </c>
      <c r="L482" s="28" t="s">
        <v>94</v>
      </c>
      <c r="M482" s="29" t="s">
        <v>52</v>
      </c>
      <c r="N482" s="40">
        <v>6200.0</v>
      </c>
      <c r="O482" s="17">
        <f t="shared" si="9"/>
        <v>0.685483871</v>
      </c>
      <c r="P482" s="39">
        <v>4250.0</v>
      </c>
      <c r="Q482" s="12" t="s">
        <v>52</v>
      </c>
      <c r="R482" s="12" t="s">
        <v>52</v>
      </c>
      <c r="S482" s="29" t="s">
        <v>392</v>
      </c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</row>
    <row r="483" ht="15.75" customHeight="1">
      <c r="A483" s="9">
        <v>1.0555873E7</v>
      </c>
      <c r="B483" s="81"/>
      <c r="C483" s="11">
        <v>45479.0</v>
      </c>
      <c r="D483" s="12">
        <v>26.0</v>
      </c>
      <c r="E483" s="25">
        <v>31600.0</v>
      </c>
      <c r="F483" s="29" t="s">
        <v>31</v>
      </c>
      <c r="G483" s="25" t="s">
        <v>44</v>
      </c>
      <c r="H483" s="29" t="s">
        <v>268</v>
      </c>
      <c r="I483" s="29" t="s">
        <v>269</v>
      </c>
      <c r="J483" s="25" t="s">
        <v>35</v>
      </c>
      <c r="K483" s="12" t="s">
        <v>270</v>
      </c>
      <c r="L483" s="28" t="s">
        <v>94</v>
      </c>
      <c r="M483" s="29" t="s">
        <v>52</v>
      </c>
      <c r="N483" s="40">
        <v>6200.0</v>
      </c>
      <c r="O483" s="17">
        <f t="shared" si="9"/>
        <v>0.685483871</v>
      </c>
      <c r="P483" s="39">
        <v>4250.0</v>
      </c>
      <c r="Q483" s="12" t="s">
        <v>52</v>
      </c>
      <c r="R483" s="12" t="s">
        <v>52</v>
      </c>
      <c r="S483" s="29" t="s">
        <v>131</v>
      </c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</row>
    <row r="484" ht="15.75" customHeight="1">
      <c r="A484" s="9">
        <v>1.0555874E7</v>
      </c>
      <c r="B484" s="81"/>
      <c r="C484" s="11">
        <v>45479.0</v>
      </c>
      <c r="D484" s="12">
        <v>26.0</v>
      </c>
      <c r="E484" s="25">
        <v>31600.0</v>
      </c>
      <c r="F484" s="12" t="s">
        <v>31</v>
      </c>
      <c r="G484" s="29" t="s">
        <v>44</v>
      </c>
      <c r="H484" s="12" t="s">
        <v>268</v>
      </c>
      <c r="I484" s="29" t="s">
        <v>269</v>
      </c>
      <c r="J484" s="25" t="s">
        <v>35</v>
      </c>
      <c r="K484" s="12" t="s">
        <v>270</v>
      </c>
      <c r="L484" s="28" t="s">
        <v>94</v>
      </c>
      <c r="M484" s="29" t="s">
        <v>52</v>
      </c>
      <c r="N484" s="40">
        <v>6200.0</v>
      </c>
      <c r="O484" s="17">
        <f t="shared" si="9"/>
        <v>0.685483871</v>
      </c>
      <c r="P484" s="39">
        <v>4250.0</v>
      </c>
      <c r="Q484" s="12" t="s">
        <v>52</v>
      </c>
      <c r="R484" s="12" t="s">
        <v>52</v>
      </c>
      <c r="S484" s="29" t="s">
        <v>131</v>
      </c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</row>
    <row r="485" ht="15.75" customHeight="1">
      <c r="A485" s="9">
        <v>1.0555875E7</v>
      </c>
      <c r="B485" s="81"/>
      <c r="C485" s="11">
        <v>45479.0</v>
      </c>
      <c r="D485" s="12">
        <v>26.0</v>
      </c>
      <c r="E485" s="26">
        <v>32553.0</v>
      </c>
      <c r="F485" s="9" t="s">
        <v>43</v>
      </c>
      <c r="G485" s="29" t="s">
        <v>44</v>
      </c>
      <c r="H485" s="12" t="s">
        <v>268</v>
      </c>
      <c r="I485" s="29" t="s">
        <v>269</v>
      </c>
      <c r="J485" s="12" t="s">
        <v>35</v>
      </c>
      <c r="K485" s="12" t="s">
        <v>270</v>
      </c>
      <c r="L485" s="28" t="s">
        <v>94</v>
      </c>
      <c r="M485" s="29" t="s">
        <v>52</v>
      </c>
      <c r="N485" s="40">
        <v>5880.0</v>
      </c>
      <c r="O485" s="17">
        <f t="shared" si="9"/>
        <v>0.7227891156</v>
      </c>
      <c r="P485" s="39">
        <v>4250.0</v>
      </c>
      <c r="Q485" s="12" t="s">
        <v>52</v>
      </c>
      <c r="R485" s="12" t="s">
        <v>52</v>
      </c>
      <c r="S485" s="29" t="s">
        <v>131</v>
      </c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</row>
    <row r="486" ht="15.75" customHeight="1">
      <c r="A486" s="9">
        <v>1.0555876E7</v>
      </c>
      <c r="B486" s="81"/>
      <c r="C486" s="11">
        <v>45479.0</v>
      </c>
      <c r="D486" s="12">
        <v>26.0</v>
      </c>
      <c r="E486" s="26">
        <v>32553.0</v>
      </c>
      <c r="F486" s="9" t="s">
        <v>43</v>
      </c>
      <c r="G486" s="29" t="s">
        <v>44</v>
      </c>
      <c r="H486" s="12" t="s">
        <v>268</v>
      </c>
      <c r="I486" s="29" t="s">
        <v>269</v>
      </c>
      <c r="J486" s="12" t="s">
        <v>35</v>
      </c>
      <c r="K486" s="12" t="s">
        <v>270</v>
      </c>
      <c r="L486" s="28" t="s">
        <v>94</v>
      </c>
      <c r="M486" s="29" t="s">
        <v>52</v>
      </c>
      <c r="N486" s="40">
        <v>5880.0</v>
      </c>
      <c r="O486" s="17">
        <f t="shared" si="9"/>
        <v>0.7227891156</v>
      </c>
      <c r="P486" s="39">
        <v>4250.0</v>
      </c>
      <c r="Q486" s="12" t="s">
        <v>52</v>
      </c>
      <c r="R486" s="12" t="s">
        <v>52</v>
      </c>
      <c r="S486" s="29" t="s">
        <v>131</v>
      </c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</row>
    <row r="487" ht="15.75" customHeight="1">
      <c r="A487" s="9">
        <v>1.0556251E7</v>
      </c>
      <c r="B487" s="81"/>
      <c r="C487" s="11">
        <v>45481.0</v>
      </c>
      <c r="D487" s="12">
        <v>26.0</v>
      </c>
      <c r="E487" s="26">
        <v>31900.0</v>
      </c>
      <c r="F487" s="12" t="s">
        <v>31</v>
      </c>
      <c r="G487" s="29" t="s">
        <v>44</v>
      </c>
      <c r="H487" s="12" t="s">
        <v>268</v>
      </c>
      <c r="I487" s="29" t="s">
        <v>269</v>
      </c>
      <c r="J487" s="12" t="s">
        <v>35</v>
      </c>
      <c r="K487" s="12" t="s">
        <v>270</v>
      </c>
      <c r="L487" s="28" t="s">
        <v>94</v>
      </c>
      <c r="M487" s="29" t="s">
        <v>52</v>
      </c>
      <c r="N487" s="40">
        <v>6200.0</v>
      </c>
      <c r="O487" s="17">
        <f t="shared" si="9"/>
        <v>0.685483871</v>
      </c>
      <c r="P487" s="39">
        <v>4250.0</v>
      </c>
      <c r="Q487" s="12" t="s">
        <v>52</v>
      </c>
      <c r="R487" s="12" t="s">
        <v>52</v>
      </c>
      <c r="S487" s="29" t="s">
        <v>392</v>
      </c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</row>
    <row r="488" ht="15.75" customHeight="1">
      <c r="A488" s="9">
        <v>1.0556252E7</v>
      </c>
      <c r="B488" s="81"/>
      <c r="C488" s="11">
        <v>45479.0</v>
      </c>
      <c r="D488" s="12">
        <v>26.0</v>
      </c>
      <c r="E488" s="26">
        <v>31300.0</v>
      </c>
      <c r="F488" s="9" t="s">
        <v>43</v>
      </c>
      <c r="G488" s="29" t="s">
        <v>44</v>
      </c>
      <c r="H488" s="12" t="s">
        <v>45</v>
      </c>
      <c r="I488" s="12" t="s">
        <v>46</v>
      </c>
      <c r="J488" s="14" t="s">
        <v>35</v>
      </c>
      <c r="K488" s="14" t="s">
        <v>47</v>
      </c>
      <c r="L488" s="28" t="s">
        <v>108</v>
      </c>
      <c r="M488" s="29" t="s">
        <v>52</v>
      </c>
      <c r="N488" s="40">
        <v>2169.28</v>
      </c>
      <c r="O488" s="17">
        <f t="shared" si="9"/>
        <v>0.7836701578</v>
      </c>
      <c r="P488" s="39">
        <v>1700.0</v>
      </c>
      <c r="Q488" s="12" t="s">
        <v>52</v>
      </c>
      <c r="R488" s="12" t="s">
        <v>52</v>
      </c>
      <c r="S488" s="29" t="s">
        <v>131</v>
      </c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</row>
    <row r="489" ht="15.75" customHeight="1">
      <c r="A489" s="9">
        <v>1.0557012E7</v>
      </c>
      <c r="B489" s="81"/>
      <c r="C489" s="11">
        <v>45481.0</v>
      </c>
      <c r="D489" s="12" t="s">
        <v>52</v>
      </c>
      <c r="E489" s="26" t="s">
        <v>52</v>
      </c>
      <c r="F489" s="9" t="s">
        <v>43</v>
      </c>
      <c r="G489" s="25" t="s">
        <v>44</v>
      </c>
      <c r="H489" s="12" t="s">
        <v>393</v>
      </c>
      <c r="I489" s="12" t="s">
        <v>46</v>
      </c>
      <c r="J489" s="14" t="s">
        <v>47</v>
      </c>
      <c r="K489" s="14" t="s">
        <v>35</v>
      </c>
      <c r="L489" s="28" t="s">
        <v>188</v>
      </c>
      <c r="M489" s="29"/>
      <c r="N489" s="40">
        <v>1557.5</v>
      </c>
      <c r="O489" s="17">
        <f t="shared" si="9"/>
        <v>0.4494382022</v>
      </c>
      <c r="P489" s="39">
        <v>700.0</v>
      </c>
      <c r="Q489" s="12"/>
      <c r="R489" s="12">
        <v>1354577.0</v>
      </c>
      <c r="S489" s="29" t="s">
        <v>40</v>
      </c>
      <c r="T489" s="19">
        <v>5350710.0</v>
      </c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</row>
    <row r="490" ht="15.75" customHeight="1">
      <c r="A490" s="9">
        <v>1.0557013E7</v>
      </c>
      <c r="B490" s="81"/>
      <c r="C490" s="11">
        <v>45481.0</v>
      </c>
      <c r="D490" s="12">
        <v>26.0</v>
      </c>
      <c r="E490" s="26">
        <v>32500.0</v>
      </c>
      <c r="F490" s="38" t="s">
        <v>43</v>
      </c>
      <c r="G490" s="25" t="s">
        <v>44</v>
      </c>
      <c r="H490" s="29" t="s">
        <v>45</v>
      </c>
      <c r="I490" s="29" t="s">
        <v>46</v>
      </c>
      <c r="J490" s="55" t="s">
        <v>35</v>
      </c>
      <c r="K490" s="14" t="s">
        <v>47</v>
      </c>
      <c r="L490" s="28" t="s">
        <v>108</v>
      </c>
      <c r="M490" s="29" t="s">
        <v>394</v>
      </c>
      <c r="N490" s="40">
        <v>2336.4</v>
      </c>
      <c r="O490" s="17">
        <f t="shared" si="9"/>
        <v>0.7276151344</v>
      </c>
      <c r="P490" s="39">
        <v>1700.0</v>
      </c>
      <c r="Q490" s="12" t="s">
        <v>107</v>
      </c>
      <c r="R490" s="12">
        <v>1353798.0</v>
      </c>
      <c r="S490" s="29" t="s">
        <v>40</v>
      </c>
      <c r="T490" s="19">
        <v>5346325.0</v>
      </c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</row>
    <row r="491" ht="15.75" customHeight="1">
      <c r="A491" s="9">
        <v>1.0557014E7</v>
      </c>
      <c r="B491" s="81"/>
      <c r="C491" s="11">
        <v>45481.0</v>
      </c>
      <c r="D491" s="12">
        <v>26.0</v>
      </c>
      <c r="E491" s="26">
        <v>32500.0</v>
      </c>
      <c r="F491" s="9" t="s">
        <v>43</v>
      </c>
      <c r="G491" s="29" t="s">
        <v>44</v>
      </c>
      <c r="H491" s="29" t="s">
        <v>45</v>
      </c>
      <c r="I491" s="29" t="s">
        <v>46</v>
      </c>
      <c r="J491" s="55" t="s">
        <v>35</v>
      </c>
      <c r="K491" s="49" t="s">
        <v>47</v>
      </c>
      <c r="L491" s="28" t="s">
        <v>108</v>
      </c>
      <c r="M491" s="29" t="s">
        <v>395</v>
      </c>
      <c r="N491" s="40">
        <v>2336.4</v>
      </c>
      <c r="O491" s="17">
        <f t="shared" si="9"/>
        <v>0.7276151344</v>
      </c>
      <c r="P491" s="39">
        <v>1700.0</v>
      </c>
      <c r="Q491" s="12" t="s">
        <v>39</v>
      </c>
      <c r="R491" s="12">
        <v>1353763.0</v>
      </c>
      <c r="S491" s="29" t="s">
        <v>40</v>
      </c>
      <c r="T491" s="19">
        <v>5346051.0</v>
      </c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</row>
    <row r="492" ht="15.75" customHeight="1">
      <c r="A492" s="9">
        <v>1.0557015E7</v>
      </c>
      <c r="B492" s="81"/>
      <c r="C492" s="11">
        <v>45481.0</v>
      </c>
      <c r="D492" s="12" t="s">
        <v>52</v>
      </c>
      <c r="E492" s="26" t="s">
        <v>52</v>
      </c>
      <c r="F492" s="9" t="s">
        <v>43</v>
      </c>
      <c r="G492" s="29" t="s">
        <v>44</v>
      </c>
      <c r="H492" s="29" t="s">
        <v>396</v>
      </c>
      <c r="I492" s="29" t="s">
        <v>46</v>
      </c>
      <c r="J492" s="55" t="s">
        <v>47</v>
      </c>
      <c r="K492" s="49" t="s">
        <v>35</v>
      </c>
      <c r="L492" s="28" t="s">
        <v>188</v>
      </c>
      <c r="M492" s="29" t="s">
        <v>394</v>
      </c>
      <c r="N492" s="40">
        <v>1557.5</v>
      </c>
      <c r="O492" s="17">
        <f t="shared" si="9"/>
        <v>0.4494382022</v>
      </c>
      <c r="P492" s="39">
        <v>700.0</v>
      </c>
      <c r="Q492" s="12"/>
      <c r="R492" s="12">
        <v>1354608.0</v>
      </c>
      <c r="S492" s="29" t="s">
        <v>40</v>
      </c>
      <c r="T492" s="19">
        <v>5351030.0</v>
      </c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</row>
    <row r="493" ht="15.75" customHeight="1">
      <c r="A493" s="9">
        <v>1.0577099E7</v>
      </c>
      <c r="B493" s="81"/>
      <c r="C493" s="11">
        <v>45482.0</v>
      </c>
      <c r="D493" s="12">
        <v>26.0</v>
      </c>
      <c r="E493" s="26">
        <v>32553.0</v>
      </c>
      <c r="F493" s="9" t="s">
        <v>43</v>
      </c>
      <c r="G493" s="29" t="s">
        <v>44</v>
      </c>
      <c r="H493" s="29" t="s">
        <v>268</v>
      </c>
      <c r="I493" s="29" t="s">
        <v>397</v>
      </c>
      <c r="J493" s="25" t="s">
        <v>35</v>
      </c>
      <c r="K493" s="29" t="s">
        <v>270</v>
      </c>
      <c r="L493" s="28" t="s">
        <v>94</v>
      </c>
      <c r="M493" s="29" t="s">
        <v>348</v>
      </c>
      <c r="N493" s="40">
        <v>5880.0</v>
      </c>
      <c r="O493" s="17">
        <f t="shared" si="9"/>
        <v>0.7227891156</v>
      </c>
      <c r="P493" s="39">
        <v>4250.0</v>
      </c>
      <c r="Q493" s="12" t="s">
        <v>39</v>
      </c>
      <c r="R493" s="12">
        <v>1354368.0</v>
      </c>
      <c r="S493" s="29" t="s">
        <v>40</v>
      </c>
      <c r="T493" s="19">
        <v>5349447.0</v>
      </c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</row>
    <row r="494" ht="15.75" customHeight="1">
      <c r="A494" s="9">
        <v>1.05771E7</v>
      </c>
      <c r="B494" s="81"/>
      <c r="C494" s="11">
        <v>45482.0</v>
      </c>
      <c r="D494" s="12" t="s">
        <v>52</v>
      </c>
      <c r="E494" s="25" t="s">
        <v>52</v>
      </c>
      <c r="F494" s="9" t="s">
        <v>43</v>
      </c>
      <c r="G494" s="29" t="s">
        <v>44</v>
      </c>
      <c r="H494" s="12" t="s">
        <v>398</v>
      </c>
      <c r="I494" s="12" t="s">
        <v>397</v>
      </c>
      <c r="J494" s="12" t="s">
        <v>270</v>
      </c>
      <c r="K494" s="12" t="s">
        <v>35</v>
      </c>
      <c r="L494" s="28" t="s">
        <v>43</v>
      </c>
      <c r="M494" s="29"/>
      <c r="N494" s="40">
        <v>3920.0</v>
      </c>
      <c r="O494" s="17">
        <f t="shared" si="9"/>
        <v>0.7015306122</v>
      </c>
      <c r="P494" s="39">
        <v>2750.0</v>
      </c>
      <c r="Q494" s="12"/>
      <c r="R494" s="12">
        <v>1355598.0</v>
      </c>
      <c r="S494" s="29" t="s">
        <v>40</v>
      </c>
      <c r="T494" s="19">
        <v>5357261.0</v>
      </c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</row>
    <row r="495" ht="15.75" customHeight="1">
      <c r="A495" s="9">
        <v>1.0577291E7</v>
      </c>
      <c r="B495" s="81"/>
      <c r="C495" s="11">
        <v>45479.0</v>
      </c>
      <c r="D495" s="12">
        <v>26.0</v>
      </c>
      <c r="E495" s="26">
        <v>31625.0</v>
      </c>
      <c r="F495" s="12" t="s">
        <v>31</v>
      </c>
      <c r="G495" s="25" t="s">
        <v>44</v>
      </c>
      <c r="H495" s="12" t="s">
        <v>268</v>
      </c>
      <c r="I495" s="12" t="s">
        <v>269</v>
      </c>
      <c r="J495" s="12" t="s">
        <v>35</v>
      </c>
      <c r="K495" s="12" t="s">
        <v>270</v>
      </c>
      <c r="L495" s="28" t="s">
        <v>94</v>
      </c>
      <c r="M495" s="29" t="s">
        <v>145</v>
      </c>
      <c r="N495" s="40">
        <v>6200.0</v>
      </c>
      <c r="O495" s="17">
        <f t="shared" si="9"/>
        <v>0.685483871</v>
      </c>
      <c r="P495" s="39">
        <v>4250.0</v>
      </c>
      <c r="Q495" s="12" t="s">
        <v>39</v>
      </c>
      <c r="R495" s="12">
        <v>1352729.0</v>
      </c>
      <c r="S495" s="29" t="s">
        <v>40</v>
      </c>
      <c r="T495" s="19">
        <v>5342627.0</v>
      </c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</row>
    <row r="496" ht="15.75" customHeight="1">
      <c r="A496" s="9">
        <v>1.0577444E7</v>
      </c>
      <c r="B496" s="81"/>
      <c r="C496" s="11">
        <v>45479.0</v>
      </c>
      <c r="D496" s="12">
        <v>26.0</v>
      </c>
      <c r="E496" s="26">
        <v>32553.0</v>
      </c>
      <c r="F496" s="9" t="s">
        <v>43</v>
      </c>
      <c r="G496" s="29" t="s">
        <v>44</v>
      </c>
      <c r="H496" s="12" t="s">
        <v>268</v>
      </c>
      <c r="I496" s="29" t="s">
        <v>269</v>
      </c>
      <c r="J496" s="12" t="s">
        <v>35</v>
      </c>
      <c r="K496" s="12" t="s">
        <v>270</v>
      </c>
      <c r="L496" s="28" t="s">
        <v>94</v>
      </c>
      <c r="M496" s="29" t="s">
        <v>345</v>
      </c>
      <c r="N496" s="40">
        <v>5880.0</v>
      </c>
      <c r="O496" s="17">
        <f t="shared" si="9"/>
        <v>0.7227891156</v>
      </c>
      <c r="P496" s="39">
        <v>4250.0</v>
      </c>
      <c r="Q496" s="12" t="s">
        <v>39</v>
      </c>
      <c r="R496" s="12">
        <v>1352290.0</v>
      </c>
      <c r="S496" s="29" t="s">
        <v>40</v>
      </c>
      <c r="T496" s="19">
        <v>5339634.0</v>
      </c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</row>
    <row r="497" ht="15.75" customHeight="1">
      <c r="A497" s="9">
        <v>1.0577445E7</v>
      </c>
      <c r="B497" s="81"/>
      <c r="C497" s="11">
        <v>45479.0</v>
      </c>
      <c r="D497" s="12">
        <v>26.0</v>
      </c>
      <c r="E497" s="26">
        <v>32553.0</v>
      </c>
      <c r="F497" s="9" t="s">
        <v>43</v>
      </c>
      <c r="G497" s="29" t="s">
        <v>44</v>
      </c>
      <c r="H497" s="12" t="s">
        <v>268</v>
      </c>
      <c r="I497" s="25" t="s">
        <v>397</v>
      </c>
      <c r="J497" s="25" t="s">
        <v>35</v>
      </c>
      <c r="K497" s="25" t="s">
        <v>270</v>
      </c>
      <c r="L497" s="28" t="s">
        <v>94</v>
      </c>
      <c r="M497" s="29" t="s">
        <v>162</v>
      </c>
      <c r="N497" s="40">
        <v>5880.0</v>
      </c>
      <c r="O497" s="17">
        <f t="shared" si="9"/>
        <v>0.7227891156</v>
      </c>
      <c r="P497" s="39">
        <v>4250.0</v>
      </c>
      <c r="Q497" s="12" t="s">
        <v>39</v>
      </c>
      <c r="R497" s="12" t="s">
        <v>399</v>
      </c>
      <c r="S497" s="29" t="s">
        <v>40</v>
      </c>
      <c r="T497" s="19" t="s">
        <v>400</v>
      </c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</row>
    <row r="498" ht="15.75" customHeight="1">
      <c r="A498" s="9">
        <v>1.0577446E7</v>
      </c>
      <c r="B498" s="81"/>
      <c r="C498" s="11">
        <v>45479.0</v>
      </c>
      <c r="D498" s="12">
        <v>26.0</v>
      </c>
      <c r="E498" s="26">
        <v>32553.0</v>
      </c>
      <c r="F498" s="9" t="s">
        <v>43</v>
      </c>
      <c r="G498" s="29" t="s">
        <v>44</v>
      </c>
      <c r="H498" s="12" t="s">
        <v>268</v>
      </c>
      <c r="I498" s="25" t="s">
        <v>269</v>
      </c>
      <c r="J498" s="25" t="s">
        <v>35</v>
      </c>
      <c r="K498" s="25" t="s">
        <v>270</v>
      </c>
      <c r="L498" s="28" t="s">
        <v>94</v>
      </c>
      <c r="M498" s="29" t="s">
        <v>362</v>
      </c>
      <c r="N498" s="40">
        <v>5880.0</v>
      </c>
      <c r="O498" s="17">
        <f t="shared" si="9"/>
        <v>0.7227891156</v>
      </c>
      <c r="P498" s="39">
        <v>4250.0</v>
      </c>
      <c r="Q498" s="12" t="s">
        <v>39</v>
      </c>
      <c r="R498" s="12">
        <v>1352139.0</v>
      </c>
      <c r="S498" s="29" t="s">
        <v>40</v>
      </c>
      <c r="T498" s="19">
        <v>5338441.0</v>
      </c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</row>
    <row r="499" ht="15.75" customHeight="1">
      <c r="A499" s="9">
        <v>1.0577447E7</v>
      </c>
      <c r="B499" s="81"/>
      <c r="C499" s="11">
        <v>45481.0</v>
      </c>
      <c r="D499" s="12">
        <v>26.0</v>
      </c>
      <c r="E499" s="26">
        <v>32553.0</v>
      </c>
      <c r="F499" s="9" t="s">
        <v>43</v>
      </c>
      <c r="G499" s="29" t="s">
        <v>44</v>
      </c>
      <c r="H499" s="12" t="s">
        <v>268</v>
      </c>
      <c r="I499" s="25" t="s">
        <v>397</v>
      </c>
      <c r="J499" s="25" t="s">
        <v>35</v>
      </c>
      <c r="K499" s="12" t="s">
        <v>270</v>
      </c>
      <c r="L499" s="28" t="s">
        <v>94</v>
      </c>
      <c r="M499" s="29" t="s">
        <v>52</v>
      </c>
      <c r="N499" s="40">
        <v>5880.0</v>
      </c>
      <c r="O499" s="17">
        <f t="shared" si="9"/>
        <v>0.7227891156</v>
      </c>
      <c r="P499" s="39">
        <v>4250.0</v>
      </c>
      <c r="Q499" s="12" t="s">
        <v>52</v>
      </c>
      <c r="R499" s="12" t="s">
        <v>52</v>
      </c>
      <c r="S499" s="29" t="s">
        <v>392</v>
      </c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</row>
    <row r="500" ht="15.75" customHeight="1">
      <c r="A500" s="9">
        <v>1.0577458E7</v>
      </c>
      <c r="B500" s="81"/>
      <c r="C500" s="11">
        <v>45481.0</v>
      </c>
      <c r="D500" s="12">
        <v>26.0</v>
      </c>
      <c r="E500" s="26">
        <v>32553.0</v>
      </c>
      <c r="F500" s="9" t="s">
        <v>43</v>
      </c>
      <c r="G500" s="29" t="s">
        <v>44</v>
      </c>
      <c r="H500" s="12" t="s">
        <v>268</v>
      </c>
      <c r="I500" s="12" t="s">
        <v>397</v>
      </c>
      <c r="J500" s="12" t="s">
        <v>35</v>
      </c>
      <c r="K500" s="12" t="s">
        <v>270</v>
      </c>
      <c r="L500" s="28" t="s">
        <v>94</v>
      </c>
      <c r="M500" s="29" t="s">
        <v>401</v>
      </c>
      <c r="N500" s="40">
        <v>5880.0</v>
      </c>
      <c r="O500" s="17">
        <f t="shared" si="9"/>
        <v>0.7227891156</v>
      </c>
      <c r="P500" s="39">
        <v>4250.0</v>
      </c>
      <c r="Q500" s="12" t="s">
        <v>39</v>
      </c>
      <c r="R500" s="12">
        <v>1354006.0</v>
      </c>
      <c r="S500" s="29" t="s">
        <v>40</v>
      </c>
      <c r="T500" s="19">
        <v>5347801.0</v>
      </c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</row>
    <row r="501" ht="15.75" customHeight="1">
      <c r="A501" s="9">
        <v>1.0577459E7</v>
      </c>
      <c r="B501" s="81"/>
      <c r="C501" s="11">
        <v>45479.0</v>
      </c>
      <c r="D501" s="12">
        <v>26.0</v>
      </c>
      <c r="E501" s="26">
        <v>32553.0</v>
      </c>
      <c r="F501" s="9" t="s">
        <v>43</v>
      </c>
      <c r="G501" s="25" t="s">
        <v>44</v>
      </c>
      <c r="H501" s="12" t="s">
        <v>268</v>
      </c>
      <c r="I501" s="12" t="s">
        <v>269</v>
      </c>
      <c r="J501" s="12" t="s">
        <v>35</v>
      </c>
      <c r="K501" s="12" t="s">
        <v>270</v>
      </c>
      <c r="L501" s="28" t="s">
        <v>94</v>
      </c>
      <c r="M501" s="29" t="s">
        <v>49</v>
      </c>
      <c r="N501" s="40">
        <v>5880.0</v>
      </c>
      <c r="O501" s="17">
        <f t="shared" si="9"/>
        <v>0.7227891156</v>
      </c>
      <c r="P501" s="39">
        <v>4250.0</v>
      </c>
      <c r="Q501" s="12" t="s">
        <v>39</v>
      </c>
      <c r="R501" s="12">
        <v>1352219.0</v>
      </c>
      <c r="S501" s="29" t="s">
        <v>40</v>
      </c>
      <c r="T501" s="19">
        <v>5338888.0</v>
      </c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</row>
    <row r="502" ht="15.75" customHeight="1">
      <c r="A502" s="9">
        <v>1.057746E7</v>
      </c>
      <c r="B502" s="81"/>
      <c r="C502" s="11">
        <v>45481.0</v>
      </c>
      <c r="D502" s="12">
        <v>26.0</v>
      </c>
      <c r="E502" s="26">
        <v>32553.0</v>
      </c>
      <c r="F502" s="38" t="s">
        <v>43</v>
      </c>
      <c r="G502" s="29" t="s">
        <v>44</v>
      </c>
      <c r="H502" s="12" t="s">
        <v>268</v>
      </c>
      <c r="I502" s="29" t="s">
        <v>269</v>
      </c>
      <c r="J502" s="12" t="s">
        <v>35</v>
      </c>
      <c r="K502" s="12" t="s">
        <v>270</v>
      </c>
      <c r="L502" s="28" t="s">
        <v>94</v>
      </c>
      <c r="M502" s="29" t="s">
        <v>278</v>
      </c>
      <c r="N502" s="40">
        <v>5880.0</v>
      </c>
      <c r="O502" s="17">
        <f t="shared" si="9"/>
        <v>0.7227891156</v>
      </c>
      <c r="P502" s="39">
        <v>4250.0</v>
      </c>
      <c r="Q502" s="12" t="s">
        <v>39</v>
      </c>
      <c r="R502" s="12">
        <v>1353780.0</v>
      </c>
      <c r="S502" s="29" t="s">
        <v>40</v>
      </c>
      <c r="T502" s="19">
        <v>5346132.0</v>
      </c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</row>
    <row r="503" ht="15.75" customHeight="1">
      <c r="A503" s="9">
        <v>1.0577462E7</v>
      </c>
      <c r="B503" s="81"/>
      <c r="C503" s="11">
        <v>45479.0</v>
      </c>
      <c r="D503" s="12" t="s">
        <v>52</v>
      </c>
      <c r="E503" s="25" t="s">
        <v>52</v>
      </c>
      <c r="F503" s="38" t="s">
        <v>43</v>
      </c>
      <c r="G503" s="29" t="s">
        <v>44</v>
      </c>
      <c r="H503" s="12" t="s">
        <v>402</v>
      </c>
      <c r="I503" s="29" t="s">
        <v>397</v>
      </c>
      <c r="J503" s="25" t="s">
        <v>270</v>
      </c>
      <c r="K503" s="25" t="s">
        <v>35</v>
      </c>
      <c r="L503" s="28" t="s">
        <v>43</v>
      </c>
      <c r="M503" s="29"/>
      <c r="N503" s="40">
        <v>3920.0</v>
      </c>
      <c r="O503" s="17">
        <f t="shared" si="9"/>
        <v>0.7015306122</v>
      </c>
      <c r="P503" s="39">
        <v>2750.0</v>
      </c>
      <c r="Q503" s="12" t="s">
        <v>39</v>
      </c>
      <c r="R503" s="12">
        <v>1353646.0</v>
      </c>
      <c r="S503" s="29" t="s">
        <v>40</v>
      </c>
      <c r="T503" s="19">
        <v>5345387.0</v>
      </c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</row>
    <row r="504" ht="15.75" customHeight="1">
      <c r="A504" s="9">
        <v>1.0577463E7</v>
      </c>
      <c r="B504" s="81"/>
      <c r="C504" s="11">
        <v>45481.0</v>
      </c>
      <c r="D504" s="12" t="s">
        <v>52</v>
      </c>
      <c r="E504" s="25" t="s">
        <v>52</v>
      </c>
      <c r="F504" s="38" t="s">
        <v>43</v>
      </c>
      <c r="G504" s="29" t="s">
        <v>44</v>
      </c>
      <c r="H504" s="12" t="s">
        <v>403</v>
      </c>
      <c r="I504" s="29" t="s">
        <v>269</v>
      </c>
      <c r="J504" s="12" t="s">
        <v>270</v>
      </c>
      <c r="K504" s="12" t="s">
        <v>35</v>
      </c>
      <c r="L504" s="28" t="s">
        <v>43</v>
      </c>
      <c r="M504" s="29" t="s">
        <v>52</v>
      </c>
      <c r="N504" s="40">
        <v>3920.0</v>
      </c>
      <c r="O504" s="17">
        <f t="shared" si="9"/>
        <v>0.7015306122</v>
      </c>
      <c r="P504" s="39">
        <v>2750.0</v>
      </c>
      <c r="Q504" s="12" t="s">
        <v>52</v>
      </c>
      <c r="R504" s="12" t="s">
        <v>52</v>
      </c>
      <c r="S504" s="29" t="s">
        <v>131</v>
      </c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</row>
    <row r="505" ht="15.75" customHeight="1">
      <c r="A505" s="9">
        <v>1.0577464E7</v>
      </c>
      <c r="B505" s="81"/>
      <c r="C505" s="11">
        <v>45479.0</v>
      </c>
      <c r="D505" s="12" t="s">
        <v>52</v>
      </c>
      <c r="E505" s="25" t="s">
        <v>52</v>
      </c>
      <c r="F505" s="38" t="s">
        <v>43</v>
      </c>
      <c r="G505" s="29" t="s">
        <v>44</v>
      </c>
      <c r="H505" s="12" t="s">
        <v>404</v>
      </c>
      <c r="I505" s="29" t="s">
        <v>269</v>
      </c>
      <c r="J505" s="25" t="s">
        <v>270</v>
      </c>
      <c r="K505" s="25" t="s">
        <v>35</v>
      </c>
      <c r="L505" s="28" t="s">
        <v>43</v>
      </c>
      <c r="M505" s="29"/>
      <c r="N505" s="40">
        <v>3920.0</v>
      </c>
      <c r="O505" s="17">
        <f t="shared" si="9"/>
        <v>0.7015306122</v>
      </c>
      <c r="P505" s="39">
        <v>2750.0</v>
      </c>
      <c r="Q505" s="12"/>
      <c r="R505" s="12">
        <v>1356632.0</v>
      </c>
      <c r="S505" s="29" t="s">
        <v>40</v>
      </c>
      <c r="T505" s="19">
        <v>5364173.0</v>
      </c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</row>
    <row r="506" ht="15.75" customHeight="1">
      <c r="A506" s="60">
        <v>1.0577465E7</v>
      </c>
      <c r="B506" s="81"/>
      <c r="C506" s="11">
        <v>45479.0</v>
      </c>
      <c r="D506" s="12" t="s">
        <v>52</v>
      </c>
      <c r="E506" s="25" t="s">
        <v>52</v>
      </c>
      <c r="F506" s="38" t="s">
        <v>43</v>
      </c>
      <c r="G506" s="29" t="s">
        <v>44</v>
      </c>
      <c r="H506" s="12" t="s">
        <v>405</v>
      </c>
      <c r="I506" s="29" t="s">
        <v>269</v>
      </c>
      <c r="J506" s="12" t="s">
        <v>270</v>
      </c>
      <c r="K506" s="12" t="s">
        <v>35</v>
      </c>
      <c r="L506" s="28" t="s">
        <v>43</v>
      </c>
      <c r="M506" s="29"/>
      <c r="N506" s="40">
        <v>3920.0</v>
      </c>
      <c r="O506" s="17">
        <f t="shared" si="9"/>
        <v>0.7015306122</v>
      </c>
      <c r="P506" s="39">
        <v>2750.0</v>
      </c>
      <c r="Q506" s="12"/>
      <c r="R506" s="12">
        <v>1354094.0</v>
      </c>
      <c r="S506" s="29" t="s">
        <v>40</v>
      </c>
      <c r="T506" s="19">
        <v>5348094.0</v>
      </c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</row>
    <row r="507" ht="15.75" customHeight="1">
      <c r="A507" s="60">
        <v>1.0577466E7</v>
      </c>
      <c r="B507" s="81"/>
      <c r="C507" s="11">
        <v>45479.0</v>
      </c>
      <c r="D507" s="12" t="s">
        <v>52</v>
      </c>
      <c r="E507" s="25" t="s">
        <v>52</v>
      </c>
      <c r="F507" s="38" t="s">
        <v>43</v>
      </c>
      <c r="G507" s="29" t="s">
        <v>44</v>
      </c>
      <c r="H507" s="12" t="s">
        <v>406</v>
      </c>
      <c r="I507" s="29" t="s">
        <v>269</v>
      </c>
      <c r="J507" s="25" t="s">
        <v>270</v>
      </c>
      <c r="K507" s="25" t="s">
        <v>35</v>
      </c>
      <c r="L507" s="28" t="s">
        <v>43</v>
      </c>
      <c r="M507" s="29"/>
      <c r="N507" s="40">
        <v>3920.0</v>
      </c>
      <c r="O507" s="17">
        <f t="shared" si="9"/>
        <v>0.7015306122</v>
      </c>
      <c r="P507" s="39">
        <v>2750.0</v>
      </c>
      <c r="Q507" s="12"/>
      <c r="R507" s="12">
        <v>1358571.0</v>
      </c>
      <c r="S507" s="29" t="s">
        <v>40</v>
      </c>
      <c r="T507" s="19">
        <v>5373805.0</v>
      </c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</row>
    <row r="508" ht="15.75" customHeight="1">
      <c r="A508" s="9">
        <v>1.0577467E7</v>
      </c>
      <c r="B508" s="81"/>
      <c r="C508" s="11">
        <v>45481.0</v>
      </c>
      <c r="D508" s="12" t="s">
        <v>52</v>
      </c>
      <c r="E508" s="25" t="s">
        <v>52</v>
      </c>
      <c r="F508" s="38" t="s">
        <v>43</v>
      </c>
      <c r="G508" s="25" t="s">
        <v>44</v>
      </c>
      <c r="H508" s="12" t="s">
        <v>407</v>
      </c>
      <c r="I508" s="25" t="s">
        <v>397</v>
      </c>
      <c r="J508" s="25" t="s">
        <v>270</v>
      </c>
      <c r="K508" s="12" t="s">
        <v>35</v>
      </c>
      <c r="L508" s="28" t="s">
        <v>43</v>
      </c>
      <c r="M508" s="29"/>
      <c r="N508" s="40">
        <v>3920.0</v>
      </c>
      <c r="O508" s="17">
        <f t="shared" si="9"/>
        <v>0.7015306122</v>
      </c>
      <c r="P508" s="39">
        <v>2750.0</v>
      </c>
      <c r="Q508" s="12"/>
      <c r="R508" s="12">
        <v>1355594.0</v>
      </c>
      <c r="S508" s="29" t="s">
        <v>40</v>
      </c>
      <c r="T508" s="19">
        <v>5357248.0</v>
      </c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</row>
    <row r="509" ht="15.75" customHeight="1">
      <c r="A509" s="9">
        <v>1.0581847E7</v>
      </c>
      <c r="B509" s="81"/>
      <c r="C509" s="11">
        <v>45482.0</v>
      </c>
      <c r="D509" s="12">
        <v>26.0</v>
      </c>
      <c r="E509" s="26">
        <v>32500.0</v>
      </c>
      <c r="F509" s="38" t="s">
        <v>43</v>
      </c>
      <c r="G509" s="25" t="s">
        <v>44</v>
      </c>
      <c r="H509" s="12" t="s">
        <v>45</v>
      </c>
      <c r="I509" s="25" t="s">
        <v>46</v>
      </c>
      <c r="J509" s="55" t="s">
        <v>35</v>
      </c>
      <c r="K509" s="14" t="s">
        <v>47</v>
      </c>
      <c r="L509" s="28" t="s">
        <v>108</v>
      </c>
      <c r="M509" s="29" t="s">
        <v>52</v>
      </c>
      <c r="N509" s="40">
        <v>2336.4</v>
      </c>
      <c r="O509" s="17">
        <f t="shared" si="9"/>
        <v>0.7276151344</v>
      </c>
      <c r="P509" s="39">
        <v>1700.0</v>
      </c>
      <c r="Q509" s="12" t="s">
        <v>52</v>
      </c>
      <c r="R509" s="12" t="s">
        <v>52</v>
      </c>
      <c r="S509" s="29" t="s">
        <v>165</v>
      </c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</row>
    <row r="510" ht="15.75" customHeight="1">
      <c r="A510" s="9">
        <v>1.0584152E7</v>
      </c>
      <c r="B510" s="81"/>
      <c r="C510" s="11">
        <v>45483.0</v>
      </c>
      <c r="D510" s="12">
        <v>26.0</v>
      </c>
      <c r="E510" s="26">
        <v>31900.0</v>
      </c>
      <c r="F510" s="12" t="s">
        <v>31</v>
      </c>
      <c r="G510" s="29" t="s">
        <v>44</v>
      </c>
      <c r="H510" s="12" t="s">
        <v>268</v>
      </c>
      <c r="I510" s="29" t="s">
        <v>397</v>
      </c>
      <c r="J510" s="12" t="s">
        <v>35</v>
      </c>
      <c r="K510" s="12" t="s">
        <v>270</v>
      </c>
      <c r="L510" s="28" t="s">
        <v>94</v>
      </c>
      <c r="M510" s="29" t="s">
        <v>362</v>
      </c>
      <c r="N510" s="40">
        <v>6200.0</v>
      </c>
      <c r="O510" s="17">
        <f t="shared" si="9"/>
        <v>0.685483871</v>
      </c>
      <c r="P510" s="39">
        <v>4250.0</v>
      </c>
      <c r="Q510" s="12" t="s">
        <v>39</v>
      </c>
      <c r="R510" s="12">
        <v>1355281.0</v>
      </c>
      <c r="S510" s="29" t="s">
        <v>40</v>
      </c>
      <c r="T510" s="19">
        <v>5355396.0</v>
      </c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</row>
    <row r="511" ht="15.75" customHeight="1">
      <c r="A511" s="9">
        <v>1.0584153E7</v>
      </c>
      <c r="B511" s="81"/>
      <c r="C511" s="11">
        <v>45484.0</v>
      </c>
      <c r="D511" s="12">
        <v>26.0</v>
      </c>
      <c r="E511" s="26">
        <v>31900.0</v>
      </c>
      <c r="F511" s="12" t="s">
        <v>31</v>
      </c>
      <c r="G511" s="29" t="s">
        <v>44</v>
      </c>
      <c r="H511" s="12" t="s">
        <v>268</v>
      </c>
      <c r="I511" s="29" t="s">
        <v>397</v>
      </c>
      <c r="J511" s="12" t="s">
        <v>35</v>
      </c>
      <c r="K511" s="12" t="s">
        <v>270</v>
      </c>
      <c r="L511" s="28" t="s">
        <v>94</v>
      </c>
      <c r="M511" s="29" t="s">
        <v>162</v>
      </c>
      <c r="N511" s="40">
        <v>6200.0</v>
      </c>
      <c r="O511" s="17">
        <f t="shared" si="9"/>
        <v>0.685483871</v>
      </c>
      <c r="P511" s="39">
        <v>4250.0</v>
      </c>
      <c r="Q511" s="12" t="s">
        <v>39</v>
      </c>
      <c r="R511" s="12">
        <v>1355666.0</v>
      </c>
      <c r="S511" s="29" t="s">
        <v>40</v>
      </c>
      <c r="T511" s="19">
        <v>5357662.0</v>
      </c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</row>
    <row r="512" ht="15.75" customHeight="1">
      <c r="A512" s="9">
        <v>1.0584443E7</v>
      </c>
      <c r="B512" s="81"/>
      <c r="C512" s="11">
        <v>45483.0</v>
      </c>
      <c r="D512" s="25">
        <v>26.0</v>
      </c>
      <c r="E512" s="26">
        <v>31900.0</v>
      </c>
      <c r="F512" s="25" t="s">
        <v>31</v>
      </c>
      <c r="G512" s="25" t="s">
        <v>44</v>
      </c>
      <c r="H512" s="25" t="s">
        <v>408</v>
      </c>
      <c r="I512" s="25" t="s">
        <v>397</v>
      </c>
      <c r="J512" s="25" t="s">
        <v>35</v>
      </c>
      <c r="K512" s="25" t="s">
        <v>270</v>
      </c>
      <c r="L512" s="28" t="s">
        <v>94</v>
      </c>
      <c r="M512" s="29" t="s">
        <v>52</v>
      </c>
      <c r="N512" s="30">
        <v>6200.0</v>
      </c>
      <c r="O512" s="78">
        <f t="shared" si="9"/>
        <v>0.5873548387</v>
      </c>
      <c r="P512" s="28">
        <v>3641.6</v>
      </c>
      <c r="Q512" s="25" t="s">
        <v>52</v>
      </c>
      <c r="R512" s="12" t="s">
        <v>52</v>
      </c>
      <c r="S512" s="25" t="s">
        <v>131</v>
      </c>
      <c r="T512" s="12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</row>
    <row r="513" ht="15.75" customHeight="1">
      <c r="A513" s="9">
        <v>1.0584444E7</v>
      </c>
      <c r="B513" s="81"/>
      <c r="C513" s="11">
        <v>45484.0</v>
      </c>
      <c r="D513" s="12">
        <v>26.0</v>
      </c>
      <c r="E513" s="26">
        <v>31900.0</v>
      </c>
      <c r="F513" s="12" t="s">
        <v>31</v>
      </c>
      <c r="G513" s="29" t="s">
        <v>44</v>
      </c>
      <c r="H513" s="12" t="s">
        <v>268</v>
      </c>
      <c r="I513" s="29" t="s">
        <v>397</v>
      </c>
      <c r="J513" s="12" t="s">
        <v>35</v>
      </c>
      <c r="K513" s="12" t="s">
        <v>270</v>
      </c>
      <c r="L513" s="28" t="s">
        <v>94</v>
      </c>
      <c r="M513" s="29" t="s">
        <v>52</v>
      </c>
      <c r="N513" s="40">
        <v>6200.0</v>
      </c>
      <c r="O513" s="17">
        <f t="shared" si="9"/>
        <v>0.5873548387</v>
      </c>
      <c r="P513" s="39">
        <v>3641.6</v>
      </c>
      <c r="Q513" s="12" t="s">
        <v>52</v>
      </c>
      <c r="R513" s="12" t="s">
        <v>52</v>
      </c>
      <c r="S513" s="29" t="s">
        <v>131</v>
      </c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</row>
    <row r="514" ht="15.75" customHeight="1">
      <c r="A514" s="9">
        <v>1.0584445E7</v>
      </c>
      <c r="B514" s="81"/>
      <c r="C514" s="11">
        <v>45483.0</v>
      </c>
      <c r="D514" s="12">
        <v>26.0</v>
      </c>
      <c r="E514" s="26">
        <v>31900.0</v>
      </c>
      <c r="F514" s="12" t="s">
        <v>31</v>
      </c>
      <c r="G514" s="29" t="s">
        <v>44</v>
      </c>
      <c r="H514" s="12" t="s">
        <v>268</v>
      </c>
      <c r="I514" s="12" t="s">
        <v>397</v>
      </c>
      <c r="J514" s="12" t="s">
        <v>35</v>
      </c>
      <c r="K514" s="12" t="s">
        <v>270</v>
      </c>
      <c r="L514" s="28" t="s">
        <v>94</v>
      </c>
      <c r="M514" s="29" t="s">
        <v>52</v>
      </c>
      <c r="N514" s="40">
        <v>6200.0</v>
      </c>
      <c r="O514" s="17">
        <f t="shared" si="9"/>
        <v>0.5873548387</v>
      </c>
      <c r="P514" s="39">
        <v>3641.6</v>
      </c>
      <c r="Q514" s="12" t="s">
        <v>52</v>
      </c>
      <c r="R514" s="12" t="s">
        <v>52</v>
      </c>
      <c r="S514" s="29" t="s">
        <v>131</v>
      </c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</row>
    <row r="515" ht="15.75" customHeight="1">
      <c r="A515" s="9">
        <v>1.0584446E7</v>
      </c>
      <c r="B515" s="81"/>
      <c r="C515" s="11">
        <v>45484.0</v>
      </c>
      <c r="D515" s="12">
        <v>26.0</v>
      </c>
      <c r="E515" s="26">
        <v>31900.0</v>
      </c>
      <c r="F515" s="12" t="s">
        <v>31</v>
      </c>
      <c r="G515" s="25" t="s">
        <v>44</v>
      </c>
      <c r="H515" s="12" t="s">
        <v>268</v>
      </c>
      <c r="I515" s="12" t="s">
        <v>397</v>
      </c>
      <c r="J515" s="12" t="s">
        <v>35</v>
      </c>
      <c r="K515" s="12" t="s">
        <v>270</v>
      </c>
      <c r="L515" s="28" t="s">
        <v>94</v>
      </c>
      <c r="M515" s="29" t="s">
        <v>394</v>
      </c>
      <c r="N515" s="40">
        <v>6200.0</v>
      </c>
      <c r="O515" s="17">
        <f t="shared" si="9"/>
        <v>0.5873548387</v>
      </c>
      <c r="P515" s="39">
        <v>3641.6</v>
      </c>
      <c r="Q515" s="12" t="s">
        <v>39</v>
      </c>
      <c r="R515" s="12">
        <v>1355887.0</v>
      </c>
      <c r="S515" s="29" t="s">
        <v>40</v>
      </c>
      <c r="T515" s="19">
        <v>5359046.0</v>
      </c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</row>
    <row r="516" ht="15.75" customHeight="1">
      <c r="A516" s="9">
        <v>1.061068E7</v>
      </c>
      <c r="B516" s="81"/>
      <c r="C516" s="11">
        <v>45486.0</v>
      </c>
      <c r="D516" s="12">
        <v>26.0</v>
      </c>
      <c r="E516" s="26">
        <v>31900.0</v>
      </c>
      <c r="F516" s="12" t="s">
        <v>31</v>
      </c>
      <c r="G516" s="29" t="s">
        <v>44</v>
      </c>
      <c r="H516" s="12" t="s">
        <v>136</v>
      </c>
      <c r="I516" s="15" t="s">
        <v>137</v>
      </c>
      <c r="J516" s="12" t="s">
        <v>35</v>
      </c>
      <c r="K516" s="12" t="s">
        <v>138</v>
      </c>
      <c r="L516" s="28" t="s">
        <v>114</v>
      </c>
      <c r="M516" s="29" t="s">
        <v>52</v>
      </c>
      <c r="N516" s="40">
        <v>5174.0</v>
      </c>
      <c r="O516" s="17">
        <f t="shared" si="9"/>
        <v>0.7730962505</v>
      </c>
      <c r="P516" s="39">
        <v>4000.0</v>
      </c>
      <c r="Q516" s="12" t="s">
        <v>52</v>
      </c>
      <c r="R516" s="12" t="s">
        <v>52</v>
      </c>
      <c r="S516" s="29" t="s">
        <v>131</v>
      </c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</row>
    <row r="517" ht="15.75" customHeight="1">
      <c r="A517" s="9">
        <v>1.061515E7</v>
      </c>
      <c r="B517" s="81"/>
      <c r="C517" s="11">
        <v>45488.0</v>
      </c>
      <c r="D517" s="12">
        <v>26.0</v>
      </c>
      <c r="E517" s="26">
        <v>31750.0</v>
      </c>
      <c r="F517" s="12" t="s">
        <v>31</v>
      </c>
      <c r="G517" s="25" t="s">
        <v>44</v>
      </c>
      <c r="H517" s="12" t="s">
        <v>268</v>
      </c>
      <c r="I517" s="12" t="s">
        <v>397</v>
      </c>
      <c r="J517" s="12" t="s">
        <v>35</v>
      </c>
      <c r="K517" s="12" t="s">
        <v>270</v>
      </c>
      <c r="L517" s="28" t="s">
        <v>94</v>
      </c>
      <c r="M517" s="29" t="s">
        <v>52</v>
      </c>
      <c r="N517" s="40">
        <v>6200.0</v>
      </c>
      <c r="O517" s="17">
        <f t="shared" si="9"/>
        <v>0.685483871</v>
      </c>
      <c r="P517" s="39">
        <v>4250.0</v>
      </c>
      <c r="Q517" s="12" t="s">
        <v>52</v>
      </c>
      <c r="R517" s="12" t="s">
        <v>52</v>
      </c>
      <c r="S517" s="29" t="s">
        <v>131</v>
      </c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</row>
    <row r="518" ht="15.75" customHeight="1">
      <c r="A518" s="9">
        <v>1.0615151E7</v>
      </c>
      <c r="B518" s="81"/>
      <c r="C518" s="11">
        <v>45489.0</v>
      </c>
      <c r="D518" s="12">
        <v>26.0</v>
      </c>
      <c r="E518" s="26">
        <v>31922.0</v>
      </c>
      <c r="F518" s="12" t="s">
        <v>31</v>
      </c>
      <c r="G518" s="25" t="s">
        <v>44</v>
      </c>
      <c r="H518" s="25" t="s">
        <v>268</v>
      </c>
      <c r="I518" s="25" t="s">
        <v>397</v>
      </c>
      <c r="J518" s="25" t="s">
        <v>35</v>
      </c>
      <c r="K518" s="25" t="s">
        <v>270</v>
      </c>
      <c r="L518" s="28" t="s">
        <v>94</v>
      </c>
      <c r="M518" s="29" t="s">
        <v>52</v>
      </c>
      <c r="N518" s="40">
        <v>6200.0</v>
      </c>
      <c r="O518" s="17">
        <f t="shared" si="9"/>
        <v>0.685483871</v>
      </c>
      <c r="P518" s="39">
        <v>4250.0</v>
      </c>
      <c r="Q518" s="25" t="s">
        <v>52</v>
      </c>
      <c r="R518" s="12" t="s">
        <v>52</v>
      </c>
      <c r="S518" s="29" t="s">
        <v>131</v>
      </c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</row>
    <row r="519" ht="15.75" customHeight="1">
      <c r="A519" s="9">
        <v>1.0615152E7</v>
      </c>
      <c r="B519" s="81"/>
      <c r="C519" s="11">
        <v>45490.0</v>
      </c>
      <c r="D519" s="12">
        <v>26.0</v>
      </c>
      <c r="E519" s="26">
        <v>31857.0</v>
      </c>
      <c r="F519" s="12" t="s">
        <v>31</v>
      </c>
      <c r="G519" s="29" t="s">
        <v>44</v>
      </c>
      <c r="H519" s="12" t="s">
        <v>268</v>
      </c>
      <c r="I519" s="29" t="s">
        <v>397</v>
      </c>
      <c r="J519" s="12" t="s">
        <v>35</v>
      </c>
      <c r="K519" s="12" t="s">
        <v>270</v>
      </c>
      <c r="L519" s="28" t="s">
        <v>94</v>
      </c>
      <c r="M519" s="29" t="s">
        <v>52</v>
      </c>
      <c r="N519" s="40">
        <v>6200.0</v>
      </c>
      <c r="O519" s="17">
        <f t="shared" si="9"/>
        <v>0.685483871</v>
      </c>
      <c r="P519" s="39">
        <v>4250.0</v>
      </c>
      <c r="Q519" s="25" t="s">
        <v>52</v>
      </c>
      <c r="R519" s="12" t="s">
        <v>52</v>
      </c>
      <c r="S519" s="29" t="s">
        <v>131</v>
      </c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</row>
    <row r="520" ht="15.75" customHeight="1">
      <c r="A520" s="9">
        <v>1.0615766E7</v>
      </c>
      <c r="B520" s="81"/>
      <c r="C520" s="11">
        <v>45490.0</v>
      </c>
      <c r="D520" s="25">
        <v>26.0</v>
      </c>
      <c r="E520" s="26">
        <v>32553.0</v>
      </c>
      <c r="F520" s="9" t="s">
        <v>43</v>
      </c>
      <c r="G520" s="29" t="s">
        <v>44</v>
      </c>
      <c r="H520" s="12" t="s">
        <v>268</v>
      </c>
      <c r="I520" s="12" t="s">
        <v>397</v>
      </c>
      <c r="J520" s="12" t="s">
        <v>35</v>
      </c>
      <c r="K520" s="12" t="s">
        <v>270</v>
      </c>
      <c r="L520" s="28" t="s">
        <v>94</v>
      </c>
      <c r="M520" s="29" t="s">
        <v>52</v>
      </c>
      <c r="N520" s="40">
        <v>5880.0</v>
      </c>
      <c r="O520" s="17">
        <f t="shared" si="9"/>
        <v>0.7227891156</v>
      </c>
      <c r="P520" s="39">
        <v>4250.0</v>
      </c>
      <c r="Q520" s="12" t="s">
        <v>52</v>
      </c>
      <c r="R520" s="12" t="s">
        <v>52</v>
      </c>
      <c r="S520" s="29" t="s">
        <v>131</v>
      </c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</row>
    <row r="521" ht="15.75" customHeight="1">
      <c r="A521" s="9">
        <v>1.0615767E7</v>
      </c>
      <c r="B521" s="81"/>
      <c r="C521" s="11">
        <v>45489.0</v>
      </c>
      <c r="D521" s="25">
        <v>26.0</v>
      </c>
      <c r="E521" s="26">
        <v>32553.0</v>
      </c>
      <c r="F521" s="9" t="s">
        <v>43</v>
      </c>
      <c r="G521" s="25" t="s">
        <v>44</v>
      </c>
      <c r="H521" s="12" t="s">
        <v>268</v>
      </c>
      <c r="I521" s="12" t="s">
        <v>397</v>
      </c>
      <c r="J521" s="12" t="s">
        <v>35</v>
      </c>
      <c r="K521" s="12" t="s">
        <v>270</v>
      </c>
      <c r="L521" s="28" t="s">
        <v>94</v>
      </c>
      <c r="M521" s="29" t="s">
        <v>52</v>
      </c>
      <c r="N521" s="40">
        <v>5880.0</v>
      </c>
      <c r="O521" s="17">
        <f t="shared" si="9"/>
        <v>0.7227891156</v>
      </c>
      <c r="P521" s="39">
        <v>4250.0</v>
      </c>
      <c r="Q521" s="12" t="s">
        <v>52</v>
      </c>
      <c r="R521" s="12" t="s">
        <v>52</v>
      </c>
      <c r="S521" s="29" t="s">
        <v>131</v>
      </c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</row>
    <row r="522" ht="15.75" customHeight="1">
      <c r="A522" s="9">
        <v>1.0615768E7</v>
      </c>
      <c r="B522" s="81"/>
      <c r="C522" s="11">
        <v>45488.0</v>
      </c>
      <c r="D522" s="12">
        <v>26.0</v>
      </c>
      <c r="E522" s="26">
        <v>32553.0</v>
      </c>
      <c r="F522" s="27" t="s">
        <v>43</v>
      </c>
      <c r="G522" s="25" t="s">
        <v>44</v>
      </c>
      <c r="H522" s="25" t="s">
        <v>268</v>
      </c>
      <c r="I522" s="25" t="s">
        <v>397</v>
      </c>
      <c r="J522" s="25" t="s">
        <v>35</v>
      </c>
      <c r="K522" s="25" t="s">
        <v>270</v>
      </c>
      <c r="L522" s="28" t="s">
        <v>94</v>
      </c>
      <c r="M522" s="29" t="s">
        <v>52</v>
      </c>
      <c r="N522" s="40">
        <v>5880.0</v>
      </c>
      <c r="O522" s="17">
        <f t="shared" si="9"/>
        <v>0.7227891156</v>
      </c>
      <c r="P522" s="39">
        <v>4250.0</v>
      </c>
      <c r="Q522" s="12" t="s">
        <v>52</v>
      </c>
      <c r="R522" s="12" t="s">
        <v>52</v>
      </c>
      <c r="S522" s="29" t="s">
        <v>131</v>
      </c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</row>
    <row r="523" ht="15.75" customHeight="1">
      <c r="A523" s="9">
        <v>1.0617767E7</v>
      </c>
      <c r="B523" s="81"/>
      <c r="C523" s="11">
        <v>45489.0</v>
      </c>
      <c r="D523" s="12">
        <v>26.0</v>
      </c>
      <c r="E523" s="26">
        <v>32716.0</v>
      </c>
      <c r="F523" s="27" t="s">
        <v>43</v>
      </c>
      <c r="G523" s="25" t="s">
        <v>44</v>
      </c>
      <c r="H523" s="25" t="s">
        <v>45</v>
      </c>
      <c r="I523" s="25" t="s">
        <v>46</v>
      </c>
      <c r="J523" s="55" t="s">
        <v>35</v>
      </c>
      <c r="K523" s="55" t="s">
        <v>47</v>
      </c>
      <c r="L523" s="28" t="s">
        <v>108</v>
      </c>
      <c r="M523" s="29" t="s">
        <v>52</v>
      </c>
      <c r="N523" s="40">
        <v>2336.24</v>
      </c>
      <c r="O523" s="17">
        <f t="shared" si="9"/>
        <v>0.7276649659</v>
      </c>
      <c r="P523" s="39">
        <v>1700.0</v>
      </c>
      <c r="Q523" s="12" t="s">
        <v>52</v>
      </c>
      <c r="R523" s="12" t="s">
        <v>52</v>
      </c>
      <c r="S523" s="29" t="s">
        <v>131</v>
      </c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</row>
    <row r="524" ht="15.75" customHeight="1">
      <c r="A524" s="9">
        <v>1.0617769E7</v>
      </c>
      <c r="B524" s="81"/>
      <c r="C524" s="11">
        <v>45489.0</v>
      </c>
      <c r="D524" s="25">
        <v>26.0</v>
      </c>
      <c r="E524" s="26">
        <v>32553.0</v>
      </c>
      <c r="F524" s="9" t="s">
        <v>43</v>
      </c>
      <c r="G524" s="29" t="s">
        <v>44</v>
      </c>
      <c r="H524" s="12" t="s">
        <v>45</v>
      </c>
      <c r="I524" s="12" t="s">
        <v>46</v>
      </c>
      <c r="J524" s="14" t="s">
        <v>35</v>
      </c>
      <c r="K524" s="14" t="s">
        <v>47</v>
      </c>
      <c r="L524" s="28" t="s">
        <v>108</v>
      </c>
      <c r="M524" s="29" t="s">
        <v>52</v>
      </c>
      <c r="N524" s="40">
        <v>2336.24</v>
      </c>
      <c r="O524" s="17">
        <f t="shared" si="9"/>
        <v>0.7276649659</v>
      </c>
      <c r="P524" s="39">
        <v>1700.0</v>
      </c>
      <c r="Q524" s="12" t="s">
        <v>52</v>
      </c>
      <c r="R524" s="12" t="s">
        <v>52</v>
      </c>
      <c r="S524" s="29" t="s">
        <v>131</v>
      </c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</row>
    <row r="525" ht="15.75" customHeight="1">
      <c r="A525" s="9">
        <v>1.061787E7</v>
      </c>
      <c r="B525" s="81"/>
      <c r="C525" s="11">
        <v>45490.0</v>
      </c>
      <c r="D525" s="25">
        <v>28.0</v>
      </c>
      <c r="E525" s="26">
        <v>34058.0</v>
      </c>
      <c r="F525" s="12" t="s">
        <v>31</v>
      </c>
      <c r="G525" s="25" t="s">
        <v>32</v>
      </c>
      <c r="H525" s="12" t="s">
        <v>224</v>
      </c>
      <c r="I525" s="15" t="s">
        <v>225</v>
      </c>
      <c r="J525" s="12" t="s">
        <v>35</v>
      </c>
      <c r="K525" s="12" t="s">
        <v>226</v>
      </c>
      <c r="L525" s="28" t="s">
        <v>227</v>
      </c>
      <c r="M525" s="29" t="s">
        <v>346</v>
      </c>
      <c r="N525" s="40">
        <v>15725.0</v>
      </c>
      <c r="O525" s="17">
        <f t="shared" si="9"/>
        <v>0.7631160572</v>
      </c>
      <c r="P525" s="39">
        <v>12000.0</v>
      </c>
      <c r="Q525" s="12" t="s">
        <v>39</v>
      </c>
      <c r="R525" s="12">
        <v>1359397.0</v>
      </c>
      <c r="S525" s="29" t="s">
        <v>40</v>
      </c>
      <c r="T525" s="19">
        <v>5380699.0</v>
      </c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</row>
    <row r="526" ht="15.75" customHeight="1">
      <c r="A526" s="9">
        <v>1.06187E7</v>
      </c>
      <c r="B526" s="81"/>
      <c r="C526" s="11">
        <v>45488.0</v>
      </c>
      <c r="D526" s="25">
        <v>26.0</v>
      </c>
      <c r="E526" s="26">
        <v>31625.0</v>
      </c>
      <c r="F526" s="12" t="s">
        <v>31</v>
      </c>
      <c r="G526" s="29" t="s">
        <v>44</v>
      </c>
      <c r="H526" s="12" t="s">
        <v>268</v>
      </c>
      <c r="I526" s="12" t="s">
        <v>397</v>
      </c>
      <c r="J526" s="12" t="s">
        <v>35</v>
      </c>
      <c r="K526" s="12" t="s">
        <v>270</v>
      </c>
      <c r="L526" s="28" t="s">
        <v>94</v>
      </c>
      <c r="M526" s="29" t="s">
        <v>52</v>
      </c>
      <c r="N526" s="40">
        <v>6200.0</v>
      </c>
      <c r="O526" s="17">
        <f t="shared" si="9"/>
        <v>0.685483871</v>
      </c>
      <c r="P526" s="39">
        <v>4250.0</v>
      </c>
      <c r="Q526" s="12" t="s">
        <v>52</v>
      </c>
      <c r="R526" s="12" t="s">
        <v>52</v>
      </c>
      <c r="S526" s="29" t="s">
        <v>131</v>
      </c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</row>
    <row r="527" ht="15.75" customHeight="1">
      <c r="A527" s="9">
        <v>1.0618702E7</v>
      </c>
      <c r="B527" s="81"/>
      <c r="C527" s="11">
        <v>45489.0</v>
      </c>
      <c r="D527" s="25">
        <v>26.0</v>
      </c>
      <c r="E527" s="26">
        <v>31625.0</v>
      </c>
      <c r="F527" s="12" t="s">
        <v>31</v>
      </c>
      <c r="G527" s="25" t="s">
        <v>44</v>
      </c>
      <c r="H527" s="12" t="s">
        <v>268</v>
      </c>
      <c r="I527" s="12" t="s">
        <v>397</v>
      </c>
      <c r="J527" s="12" t="s">
        <v>35</v>
      </c>
      <c r="K527" s="12" t="s">
        <v>270</v>
      </c>
      <c r="L527" s="28" t="s">
        <v>94</v>
      </c>
      <c r="M527" s="29" t="s">
        <v>52</v>
      </c>
      <c r="N527" s="40">
        <v>6200.0</v>
      </c>
      <c r="O527" s="17">
        <f t="shared" si="9"/>
        <v>0.685483871</v>
      </c>
      <c r="P527" s="39">
        <v>4250.0</v>
      </c>
      <c r="Q527" s="12" t="s">
        <v>52</v>
      </c>
      <c r="R527" s="12" t="s">
        <v>52</v>
      </c>
      <c r="S527" s="29" t="s">
        <v>131</v>
      </c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</row>
    <row r="528" ht="15.75" customHeight="1">
      <c r="A528" s="9">
        <v>1.0619251E7</v>
      </c>
      <c r="B528" s="81"/>
      <c r="C528" s="11">
        <v>45488.0</v>
      </c>
      <c r="D528" s="25">
        <v>26.0</v>
      </c>
      <c r="E528" s="26">
        <v>33139.0</v>
      </c>
      <c r="F528" s="12" t="s">
        <v>31</v>
      </c>
      <c r="G528" s="29" t="s">
        <v>74</v>
      </c>
      <c r="H528" s="29" t="s">
        <v>262</v>
      </c>
      <c r="I528" s="25" t="s">
        <v>263</v>
      </c>
      <c r="J528" s="25" t="s">
        <v>35</v>
      </c>
      <c r="K528" s="29" t="s">
        <v>264</v>
      </c>
      <c r="L528" s="28" t="s">
        <v>59</v>
      </c>
      <c r="M528" s="29" t="s">
        <v>128</v>
      </c>
      <c r="N528" s="40">
        <v>5008.0</v>
      </c>
      <c r="O528" s="17">
        <f t="shared" si="9"/>
        <v>0.5990415335</v>
      </c>
      <c r="P528" s="39">
        <v>3000.0</v>
      </c>
      <c r="Q528" s="12" t="s">
        <v>39</v>
      </c>
      <c r="R528" s="12">
        <v>1357844.0</v>
      </c>
      <c r="S528" s="29" t="s">
        <v>40</v>
      </c>
      <c r="T528" s="19">
        <v>5369697.0</v>
      </c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</row>
    <row r="529" ht="15.75" customHeight="1">
      <c r="A529" s="9">
        <v>1.0619252E7</v>
      </c>
      <c r="B529" s="81"/>
      <c r="C529" s="11">
        <v>45488.0</v>
      </c>
      <c r="D529" s="25">
        <v>26.0</v>
      </c>
      <c r="E529" s="26">
        <v>33139.0</v>
      </c>
      <c r="F529" s="12" t="s">
        <v>31</v>
      </c>
      <c r="G529" s="25" t="s">
        <v>74</v>
      </c>
      <c r="H529" s="29" t="s">
        <v>262</v>
      </c>
      <c r="I529" s="29" t="s">
        <v>263</v>
      </c>
      <c r="J529" s="25" t="s">
        <v>35</v>
      </c>
      <c r="K529" s="29" t="s">
        <v>264</v>
      </c>
      <c r="L529" s="28" t="s">
        <v>59</v>
      </c>
      <c r="M529" s="29" t="s">
        <v>346</v>
      </c>
      <c r="N529" s="40">
        <v>5008.0</v>
      </c>
      <c r="O529" s="17">
        <f t="shared" si="9"/>
        <v>0.7987220447</v>
      </c>
      <c r="P529" s="39">
        <v>4000.0</v>
      </c>
      <c r="Q529" s="12" t="s">
        <v>39</v>
      </c>
      <c r="R529" s="12">
        <v>1357975.0</v>
      </c>
      <c r="S529" s="29" t="s">
        <v>40</v>
      </c>
      <c r="T529" s="19">
        <v>5370371.0</v>
      </c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</row>
    <row r="530" ht="15.75" customHeight="1">
      <c r="A530" s="9">
        <v>1.0626115E7</v>
      </c>
      <c r="B530" s="81"/>
      <c r="C530" s="11">
        <v>45493.0</v>
      </c>
      <c r="D530" s="12">
        <v>26.0</v>
      </c>
      <c r="E530" s="26">
        <v>33430.0</v>
      </c>
      <c r="F530" s="25" t="s">
        <v>31</v>
      </c>
      <c r="G530" s="25" t="s">
        <v>32</v>
      </c>
      <c r="H530" s="25" t="s">
        <v>224</v>
      </c>
      <c r="I530" s="28" t="s">
        <v>225</v>
      </c>
      <c r="J530" s="25" t="s">
        <v>35</v>
      </c>
      <c r="K530" s="25" t="s">
        <v>226</v>
      </c>
      <c r="L530" s="28" t="s">
        <v>227</v>
      </c>
      <c r="M530" s="29" t="s">
        <v>128</v>
      </c>
      <c r="N530" s="40">
        <v>15725.0</v>
      </c>
      <c r="O530" s="17">
        <f t="shared" si="9"/>
        <v>0.7631160572</v>
      </c>
      <c r="P530" s="39">
        <v>12000.0</v>
      </c>
      <c r="Q530" s="12" t="s">
        <v>39</v>
      </c>
      <c r="R530" s="12">
        <v>1361214.0</v>
      </c>
      <c r="S530" s="29" t="s">
        <v>40</v>
      </c>
      <c r="T530" s="19">
        <v>5403548.0</v>
      </c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</row>
    <row r="531" ht="15.75" customHeight="1">
      <c r="A531" s="9">
        <v>1.0629368E7</v>
      </c>
      <c r="B531" s="81"/>
      <c r="C531" s="11">
        <v>45491.0</v>
      </c>
      <c r="D531" s="12">
        <v>26.0</v>
      </c>
      <c r="E531" s="26">
        <v>31625.0</v>
      </c>
      <c r="F531" s="25" t="s">
        <v>31</v>
      </c>
      <c r="G531" s="25" t="s">
        <v>74</v>
      </c>
      <c r="H531" s="25" t="s">
        <v>409</v>
      </c>
      <c r="I531" s="28" t="s">
        <v>410</v>
      </c>
      <c r="J531" s="25" t="s">
        <v>35</v>
      </c>
      <c r="K531" s="25" t="s">
        <v>320</v>
      </c>
      <c r="L531" s="28" t="s">
        <v>94</v>
      </c>
      <c r="M531" s="29" t="s">
        <v>362</v>
      </c>
      <c r="N531" s="40">
        <v>6700.0</v>
      </c>
      <c r="O531" s="17">
        <f t="shared" si="9"/>
        <v>0.6343283582</v>
      </c>
      <c r="P531" s="39">
        <v>4250.0</v>
      </c>
      <c r="Q531" s="12" t="s">
        <v>39</v>
      </c>
      <c r="R531" s="12">
        <v>1359738.0</v>
      </c>
      <c r="S531" s="29" t="s">
        <v>40</v>
      </c>
      <c r="T531" s="19">
        <v>5392686.0</v>
      </c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</row>
    <row r="532" ht="15.75" customHeight="1">
      <c r="A532" s="9">
        <v>1.0629369E7</v>
      </c>
      <c r="B532" s="81"/>
      <c r="C532" s="11">
        <v>45491.0</v>
      </c>
      <c r="D532" s="12">
        <v>26.0</v>
      </c>
      <c r="E532" s="26">
        <v>31922.0</v>
      </c>
      <c r="F532" s="25" t="s">
        <v>31</v>
      </c>
      <c r="G532" s="25" t="s">
        <v>74</v>
      </c>
      <c r="H532" s="25" t="s">
        <v>409</v>
      </c>
      <c r="I532" s="28" t="s">
        <v>410</v>
      </c>
      <c r="J532" s="25" t="s">
        <v>35</v>
      </c>
      <c r="K532" s="25" t="s">
        <v>320</v>
      </c>
      <c r="L532" s="28" t="s">
        <v>94</v>
      </c>
      <c r="M532" s="29" t="s">
        <v>411</v>
      </c>
      <c r="N532" s="40">
        <v>6700.0</v>
      </c>
      <c r="O532" s="17">
        <f t="shared" si="9"/>
        <v>0.4910447761</v>
      </c>
      <c r="P532" s="39">
        <v>3290.0</v>
      </c>
      <c r="Q532" s="12" t="s">
        <v>39</v>
      </c>
      <c r="R532" s="12">
        <v>1359737.0</v>
      </c>
      <c r="S532" s="29" t="s">
        <v>40</v>
      </c>
      <c r="T532" s="19">
        <v>5392682.0</v>
      </c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</row>
    <row r="533" ht="15.75" customHeight="1">
      <c r="A533" s="9">
        <v>1.0630386E7</v>
      </c>
      <c r="B533" s="81"/>
      <c r="C533" s="11">
        <v>45495.0</v>
      </c>
      <c r="D533" s="12">
        <v>26.0</v>
      </c>
      <c r="E533" s="26">
        <v>32553.0</v>
      </c>
      <c r="F533" s="27" t="s">
        <v>43</v>
      </c>
      <c r="G533" s="25" t="s">
        <v>44</v>
      </c>
      <c r="H533" s="25" t="s">
        <v>268</v>
      </c>
      <c r="I533" s="25" t="s">
        <v>397</v>
      </c>
      <c r="J533" s="25" t="s">
        <v>35</v>
      </c>
      <c r="K533" s="25" t="s">
        <v>270</v>
      </c>
      <c r="L533" s="28" t="s">
        <v>94</v>
      </c>
      <c r="M533" s="29" t="s">
        <v>52</v>
      </c>
      <c r="N533" s="40">
        <v>5880.0</v>
      </c>
      <c r="O533" s="17">
        <f t="shared" si="9"/>
        <v>0.7227891156</v>
      </c>
      <c r="P533" s="39">
        <v>4250.0</v>
      </c>
      <c r="Q533" s="12" t="s">
        <v>52</v>
      </c>
      <c r="R533" s="12" t="s">
        <v>52</v>
      </c>
      <c r="S533" s="29" t="s">
        <v>131</v>
      </c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</row>
    <row r="534" ht="15.75" customHeight="1">
      <c r="A534" s="9">
        <v>1.0630387E7</v>
      </c>
      <c r="B534" s="81"/>
      <c r="C534" s="11">
        <v>45495.0</v>
      </c>
      <c r="D534" s="12">
        <v>26.0</v>
      </c>
      <c r="E534" s="26">
        <v>32553.0</v>
      </c>
      <c r="F534" s="27" t="s">
        <v>43</v>
      </c>
      <c r="G534" s="25" t="s">
        <v>44</v>
      </c>
      <c r="H534" s="25" t="s">
        <v>268</v>
      </c>
      <c r="I534" s="25" t="s">
        <v>397</v>
      </c>
      <c r="J534" s="25" t="s">
        <v>35</v>
      </c>
      <c r="K534" s="25" t="s">
        <v>270</v>
      </c>
      <c r="L534" s="28" t="s">
        <v>94</v>
      </c>
      <c r="M534" s="29" t="s">
        <v>52</v>
      </c>
      <c r="N534" s="40">
        <v>5880.0</v>
      </c>
      <c r="O534" s="17">
        <f t="shared" si="9"/>
        <v>0.7227891156</v>
      </c>
      <c r="P534" s="39">
        <v>4250.0</v>
      </c>
      <c r="Q534" s="12" t="s">
        <v>52</v>
      </c>
      <c r="R534" s="12" t="s">
        <v>52</v>
      </c>
      <c r="S534" s="29" t="s">
        <v>131</v>
      </c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</row>
    <row r="535" ht="15.75" customHeight="1">
      <c r="A535" s="9">
        <v>1.0630388E7</v>
      </c>
      <c r="B535" s="81"/>
      <c r="C535" s="11">
        <v>45495.0</v>
      </c>
      <c r="D535" s="25" t="s">
        <v>52</v>
      </c>
      <c r="E535" s="26" t="s">
        <v>52</v>
      </c>
      <c r="F535" s="9" t="s">
        <v>43</v>
      </c>
      <c r="G535" s="25" t="s">
        <v>44</v>
      </c>
      <c r="H535" s="25" t="s">
        <v>412</v>
      </c>
      <c r="I535" s="25" t="s">
        <v>397</v>
      </c>
      <c r="J535" s="25" t="s">
        <v>270</v>
      </c>
      <c r="K535" s="25" t="s">
        <v>35</v>
      </c>
      <c r="L535" s="28" t="s">
        <v>43</v>
      </c>
      <c r="M535" s="29" t="s">
        <v>52</v>
      </c>
      <c r="N535" s="40">
        <v>3920.0</v>
      </c>
      <c r="O535" s="17">
        <f t="shared" si="9"/>
        <v>0.7015306122</v>
      </c>
      <c r="P535" s="39">
        <v>2750.0</v>
      </c>
      <c r="Q535" s="12" t="s">
        <v>52</v>
      </c>
      <c r="R535" s="12" t="s">
        <v>52</v>
      </c>
      <c r="S535" s="29" t="s">
        <v>131</v>
      </c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</row>
    <row r="536" ht="15.75" customHeight="1">
      <c r="A536" s="9">
        <v>1.0630389E7</v>
      </c>
      <c r="B536" s="81"/>
      <c r="C536" s="11">
        <v>45495.0</v>
      </c>
      <c r="D536" s="12" t="s">
        <v>52</v>
      </c>
      <c r="E536" s="26" t="s">
        <v>52</v>
      </c>
      <c r="F536" s="27" t="s">
        <v>43</v>
      </c>
      <c r="G536" s="25" t="s">
        <v>44</v>
      </c>
      <c r="H536" s="25" t="s">
        <v>413</v>
      </c>
      <c r="I536" s="25" t="s">
        <v>397</v>
      </c>
      <c r="J536" s="25" t="s">
        <v>270</v>
      </c>
      <c r="K536" s="25" t="s">
        <v>35</v>
      </c>
      <c r="L536" s="28" t="s">
        <v>43</v>
      </c>
      <c r="M536" s="29" t="s">
        <v>52</v>
      </c>
      <c r="N536" s="40">
        <v>3920.0</v>
      </c>
      <c r="O536" s="17">
        <f t="shared" si="9"/>
        <v>0.7015306122</v>
      </c>
      <c r="P536" s="39">
        <v>2750.0</v>
      </c>
      <c r="Q536" s="12" t="s">
        <v>52</v>
      </c>
      <c r="R536" s="12" t="s">
        <v>52</v>
      </c>
      <c r="S536" s="29" t="s">
        <v>131</v>
      </c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</row>
    <row r="537" ht="15.75" customHeight="1">
      <c r="A537" s="9">
        <v>1.0630651E7</v>
      </c>
      <c r="B537" s="81"/>
      <c r="C537" s="11">
        <v>45495.0</v>
      </c>
      <c r="D537" s="12">
        <v>26.0</v>
      </c>
      <c r="E537" s="26">
        <v>33430.0</v>
      </c>
      <c r="F537" s="25" t="s">
        <v>31</v>
      </c>
      <c r="G537" s="25" t="s">
        <v>74</v>
      </c>
      <c r="H537" s="25" t="s">
        <v>409</v>
      </c>
      <c r="I537" s="28" t="s">
        <v>410</v>
      </c>
      <c r="J537" s="25" t="s">
        <v>35</v>
      </c>
      <c r="K537" s="25" t="s">
        <v>320</v>
      </c>
      <c r="L537" s="28" t="s">
        <v>94</v>
      </c>
      <c r="M537" s="29" t="s">
        <v>162</v>
      </c>
      <c r="N537" s="40">
        <v>7216.0</v>
      </c>
      <c r="O537" s="17">
        <f t="shared" si="9"/>
        <v>0.4559312639</v>
      </c>
      <c r="P537" s="39">
        <v>3290.0</v>
      </c>
      <c r="Q537" s="12" t="s">
        <v>39</v>
      </c>
      <c r="R537" s="12">
        <v>1361514.0</v>
      </c>
      <c r="S537" s="29" t="s">
        <v>40</v>
      </c>
      <c r="T537" s="19">
        <v>5405820.0</v>
      </c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</row>
    <row r="538" ht="15.75" customHeight="1">
      <c r="A538" s="9">
        <v>1.0630652E7</v>
      </c>
      <c r="B538" s="81"/>
      <c r="C538" s="11">
        <v>45495.0</v>
      </c>
      <c r="D538" s="12">
        <v>26.0</v>
      </c>
      <c r="E538" s="26">
        <v>33430.0</v>
      </c>
      <c r="F538" s="25" t="s">
        <v>31</v>
      </c>
      <c r="G538" s="25" t="s">
        <v>74</v>
      </c>
      <c r="H538" s="25" t="s">
        <v>409</v>
      </c>
      <c r="I538" s="28" t="s">
        <v>410</v>
      </c>
      <c r="J538" s="25" t="s">
        <v>35</v>
      </c>
      <c r="K538" s="25" t="s">
        <v>320</v>
      </c>
      <c r="L538" s="28" t="s">
        <v>94</v>
      </c>
      <c r="M538" s="29" t="s">
        <v>278</v>
      </c>
      <c r="N538" s="40">
        <v>7216.0</v>
      </c>
      <c r="O538" s="17">
        <f t="shared" si="9"/>
        <v>0.7608093126</v>
      </c>
      <c r="P538" s="39">
        <v>5490.0</v>
      </c>
      <c r="Q538" s="12" t="s">
        <v>39</v>
      </c>
      <c r="R538" s="12">
        <v>1361640.0</v>
      </c>
      <c r="S538" s="29" t="s">
        <v>40</v>
      </c>
      <c r="T538" s="19">
        <v>5407211.0</v>
      </c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</row>
    <row r="539" ht="15.75" customHeight="1">
      <c r="A539" s="9">
        <v>1.0630756E7</v>
      </c>
      <c r="B539" s="81"/>
      <c r="C539" s="11">
        <v>45493.0</v>
      </c>
      <c r="D539" s="12">
        <v>26.0</v>
      </c>
      <c r="E539" s="26">
        <v>31922.0</v>
      </c>
      <c r="F539" s="25" t="s">
        <v>31</v>
      </c>
      <c r="G539" s="25" t="s">
        <v>74</v>
      </c>
      <c r="H539" s="25" t="s">
        <v>409</v>
      </c>
      <c r="I539" s="28" t="s">
        <v>410</v>
      </c>
      <c r="J539" s="25" t="s">
        <v>35</v>
      </c>
      <c r="K539" s="25" t="s">
        <v>320</v>
      </c>
      <c r="L539" s="28" t="s">
        <v>94</v>
      </c>
      <c r="M539" s="29" t="s">
        <v>52</v>
      </c>
      <c r="N539" s="40">
        <v>6700.0</v>
      </c>
      <c r="O539" s="17">
        <f t="shared" si="9"/>
        <v>0.6343283582</v>
      </c>
      <c r="P539" s="39">
        <v>4250.0</v>
      </c>
      <c r="Q539" s="12" t="s">
        <v>52</v>
      </c>
      <c r="R539" s="12" t="s">
        <v>52</v>
      </c>
      <c r="S539" s="29" t="s">
        <v>165</v>
      </c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</row>
    <row r="540" ht="15.75" customHeight="1">
      <c r="A540" s="9">
        <v>1.0637632E7</v>
      </c>
      <c r="B540" s="81"/>
      <c r="C540" s="11">
        <v>45493.0</v>
      </c>
      <c r="D540" s="12">
        <v>23.0</v>
      </c>
      <c r="E540" s="26">
        <v>28747.0</v>
      </c>
      <c r="F540" s="25" t="s">
        <v>31</v>
      </c>
      <c r="G540" s="25" t="s">
        <v>74</v>
      </c>
      <c r="H540" s="25" t="s">
        <v>414</v>
      </c>
      <c r="I540" s="28" t="s">
        <v>415</v>
      </c>
      <c r="J540" s="25" t="s">
        <v>35</v>
      </c>
      <c r="K540" s="25" t="s">
        <v>302</v>
      </c>
      <c r="L540" s="28" t="s">
        <v>59</v>
      </c>
      <c r="M540" s="29" t="s">
        <v>416</v>
      </c>
      <c r="N540" s="40">
        <v>5200.0</v>
      </c>
      <c r="O540" s="17">
        <f t="shared" si="9"/>
        <v>0.5769230769</v>
      </c>
      <c r="P540" s="39">
        <v>3000.0</v>
      </c>
      <c r="Q540" s="12" t="s">
        <v>39</v>
      </c>
      <c r="R540" s="12">
        <v>1360965.0</v>
      </c>
      <c r="S540" s="29" t="s">
        <v>40</v>
      </c>
      <c r="T540" s="19">
        <v>5392686.0</v>
      </c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</row>
    <row r="541" ht="15.75" customHeight="1">
      <c r="A541" s="9">
        <v>1.0637828E7</v>
      </c>
      <c r="B541" s="81"/>
      <c r="C541" s="11">
        <v>45498.0</v>
      </c>
      <c r="D541" s="12">
        <v>26.0</v>
      </c>
      <c r="E541" s="26">
        <v>31625.0</v>
      </c>
      <c r="F541" s="25" t="s">
        <v>31</v>
      </c>
      <c r="G541" s="25" t="s">
        <v>44</v>
      </c>
      <c r="H541" s="25" t="s">
        <v>268</v>
      </c>
      <c r="I541" s="25" t="s">
        <v>397</v>
      </c>
      <c r="J541" s="25" t="s">
        <v>35</v>
      </c>
      <c r="K541" s="25" t="s">
        <v>270</v>
      </c>
      <c r="L541" s="28" t="s">
        <v>94</v>
      </c>
      <c r="M541" s="29" t="s">
        <v>52</v>
      </c>
      <c r="N541" s="40">
        <v>6200.0</v>
      </c>
      <c r="O541" s="17">
        <f t="shared" si="9"/>
        <v>0.685483871</v>
      </c>
      <c r="P541" s="39">
        <v>4250.0</v>
      </c>
      <c r="Q541" s="12" t="s">
        <v>52</v>
      </c>
      <c r="R541" s="12" t="s">
        <v>52</v>
      </c>
      <c r="S541" s="29" t="s">
        <v>131</v>
      </c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</row>
    <row r="542" ht="15.75" customHeight="1">
      <c r="A542" s="9">
        <v>1.0637829E7</v>
      </c>
      <c r="B542" s="81"/>
      <c r="C542" s="11">
        <v>45498.0</v>
      </c>
      <c r="D542" s="12">
        <v>26.0</v>
      </c>
      <c r="E542" s="26">
        <v>31625.0</v>
      </c>
      <c r="F542" s="12" t="s">
        <v>31</v>
      </c>
      <c r="G542" s="25" t="s">
        <v>44</v>
      </c>
      <c r="H542" s="25" t="s">
        <v>268</v>
      </c>
      <c r="I542" s="25" t="s">
        <v>397</v>
      </c>
      <c r="J542" s="25" t="s">
        <v>35</v>
      </c>
      <c r="K542" s="25" t="s">
        <v>270</v>
      </c>
      <c r="L542" s="28" t="s">
        <v>94</v>
      </c>
      <c r="M542" s="29" t="s">
        <v>52</v>
      </c>
      <c r="N542" s="40">
        <v>6200.0</v>
      </c>
      <c r="O542" s="17">
        <f t="shared" si="9"/>
        <v>0.685483871</v>
      </c>
      <c r="P542" s="39">
        <v>4250.0</v>
      </c>
      <c r="Q542" s="12" t="s">
        <v>52</v>
      </c>
      <c r="R542" s="12" t="s">
        <v>52</v>
      </c>
      <c r="S542" s="29" t="s">
        <v>131</v>
      </c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</row>
    <row r="543" ht="15.75" customHeight="1">
      <c r="A543" s="9">
        <v>1.063783E7</v>
      </c>
      <c r="B543" s="81"/>
      <c r="C543" s="11">
        <v>45498.0</v>
      </c>
      <c r="D543" s="12">
        <v>26.0</v>
      </c>
      <c r="E543" s="26">
        <v>31625.0</v>
      </c>
      <c r="F543" s="12" t="s">
        <v>31</v>
      </c>
      <c r="G543" s="29" t="s">
        <v>44</v>
      </c>
      <c r="H543" s="12" t="s">
        <v>268</v>
      </c>
      <c r="I543" s="12" t="s">
        <v>397</v>
      </c>
      <c r="J543" s="12" t="s">
        <v>35</v>
      </c>
      <c r="K543" s="12" t="s">
        <v>270</v>
      </c>
      <c r="L543" s="28" t="s">
        <v>94</v>
      </c>
      <c r="M543" s="29" t="s">
        <v>278</v>
      </c>
      <c r="N543" s="40">
        <v>6200.0</v>
      </c>
      <c r="O543" s="17">
        <f t="shared" si="9"/>
        <v>0.685483871</v>
      </c>
      <c r="P543" s="39">
        <v>4250.0</v>
      </c>
      <c r="Q543" s="12" t="s">
        <v>39</v>
      </c>
      <c r="R543" s="12">
        <v>1363517.0</v>
      </c>
      <c r="S543" s="29" t="s">
        <v>40</v>
      </c>
      <c r="T543" s="19">
        <v>5420553.0</v>
      </c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</row>
    <row r="544" ht="15.75" customHeight="1">
      <c r="A544" s="9">
        <v>1.0637837E7</v>
      </c>
      <c r="B544" s="81"/>
      <c r="C544" s="11">
        <v>45495.0</v>
      </c>
      <c r="D544" s="12">
        <v>26.0</v>
      </c>
      <c r="E544" s="26">
        <v>31625.0</v>
      </c>
      <c r="F544" s="12" t="s">
        <v>31</v>
      </c>
      <c r="G544" s="25" t="s">
        <v>44</v>
      </c>
      <c r="H544" s="25" t="s">
        <v>268</v>
      </c>
      <c r="I544" s="25" t="s">
        <v>397</v>
      </c>
      <c r="J544" s="25" t="s">
        <v>35</v>
      </c>
      <c r="K544" s="25" t="s">
        <v>270</v>
      </c>
      <c r="L544" s="28" t="s">
        <v>94</v>
      </c>
      <c r="M544" s="12" t="s">
        <v>52</v>
      </c>
      <c r="N544" s="40">
        <v>6200.0</v>
      </c>
      <c r="O544" s="17">
        <f t="shared" si="9"/>
        <v>0.685483871</v>
      </c>
      <c r="P544" s="39">
        <v>4250.0</v>
      </c>
      <c r="Q544" s="12" t="s">
        <v>52</v>
      </c>
      <c r="R544" s="12" t="s">
        <v>52</v>
      </c>
      <c r="S544" s="29" t="s">
        <v>131</v>
      </c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</row>
    <row r="545" ht="15.75" customHeight="1">
      <c r="A545" s="9">
        <v>1.0637868E7</v>
      </c>
      <c r="B545" s="81"/>
      <c r="C545" s="11">
        <v>45496.0</v>
      </c>
      <c r="D545" s="12">
        <v>26.0</v>
      </c>
      <c r="E545" s="26">
        <v>31625.0</v>
      </c>
      <c r="F545" s="25" t="s">
        <v>31</v>
      </c>
      <c r="G545" s="25" t="s">
        <v>44</v>
      </c>
      <c r="H545" s="25" t="s">
        <v>268</v>
      </c>
      <c r="I545" s="25" t="s">
        <v>397</v>
      </c>
      <c r="J545" s="25" t="s">
        <v>35</v>
      </c>
      <c r="K545" s="25" t="s">
        <v>270</v>
      </c>
      <c r="L545" s="28" t="s">
        <v>94</v>
      </c>
      <c r="M545" s="29" t="s">
        <v>52</v>
      </c>
      <c r="N545" s="40">
        <v>6200.0</v>
      </c>
      <c r="O545" s="17">
        <f t="shared" si="9"/>
        <v>0.685483871</v>
      </c>
      <c r="P545" s="39">
        <v>4250.0</v>
      </c>
      <c r="Q545" s="12" t="s">
        <v>52</v>
      </c>
      <c r="R545" s="12" t="s">
        <v>52</v>
      </c>
      <c r="S545" s="29" t="s">
        <v>131</v>
      </c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</row>
    <row r="546" ht="15.75" customHeight="1">
      <c r="A546" s="9">
        <v>1.0637869E7</v>
      </c>
      <c r="B546" s="81"/>
      <c r="C546" s="11">
        <v>45496.0</v>
      </c>
      <c r="D546" s="12">
        <v>26.0</v>
      </c>
      <c r="E546" s="26">
        <v>31625.0</v>
      </c>
      <c r="F546" s="25" t="s">
        <v>31</v>
      </c>
      <c r="G546" s="25" t="s">
        <v>44</v>
      </c>
      <c r="H546" s="25" t="s">
        <v>268</v>
      </c>
      <c r="I546" s="25" t="s">
        <v>397</v>
      </c>
      <c r="J546" s="25" t="s">
        <v>35</v>
      </c>
      <c r="K546" s="25" t="s">
        <v>270</v>
      </c>
      <c r="L546" s="28" t="s">
        <v>94</v>
      </c>
      <c r="M546" s="29" t="s">
        <v>52</v>
      </c>
      <c r="N546" s="40">
        <v>6200.0</v>
      </c>
      <c r="O546" s="17">
        <f t="shared" si="9"/>
        <v>0.685483871</v>
      </c>
      <c r="P546" s="39">
        <v>4250.0</v>
      </c>
      <c r="Q546" s="12" t="s">
        <v>52</v>
      </c>
      <c r="R546" s="12" t="s">
        <v>52</v>
      </c>
      <c r="S546" s="29" t="s">
        <v>131</v>
      </c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</row>
    <row r="547" ht="15.75" customHeight="1">
      <c r="A547" s="9">
        <v>1.0637871E7</v>
      </c>
      <c r="B547" s="81"/>
      <c r="C547" s="11">
        <v>45497.0</v>
      </c>
      <c r="D547" s="12">
        <v>26.0</v>
      </c>
      <c r="E547" s="26">
        <v>31625.0</v>
      </c>
      <c r="F547" s="29" t="s">
        <v>31</v>
      </c>
      <c r="G547" s="25" t="s">
        <v>44</v>
      </c>
      <c r="H547" s="12" t="s">
        <v>268</v>
      </c>
      <c r="I547" s="25" t="s">
        <v>397</v>
      </c>
      <c r="J547" s="25" t="s">
        <v>35</v>
      </c>
      <c r="K547" s="12" t="s">
        <v>270</v>
      </c>
      <c r="L547" s="28" t="s">
        <v>94</v>
      </c>
      <c r="M547" s="29" t="s">
        <v>52</v>
      </c>
      <c r="N547" s="40">
        <v>6200.0</v>
      </c>
      <c r="O547" s="17">
        <f t="shared" si="9"/>
        <v>0.685483871</v>
      </c>
      <c r="P547" s="39">
        <v>4250.0</v>
      </c>
      <c r="Q547" s="12" t="s">
        <v>52</v>
      </c>
      <c r="R547" s="12" t="s">
        <v>52</v>
      </c>
      <c r="S547" s="29" t="s">
        <v>131</v>
      </c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</row>
    <row r="548" ht="15.75" customHeight="1">
      <c r="A548" s="9">
        <v>1.0637873E7</v>
      </c>
      <c r="B548" s="81"/>
      <c r="C548" s="11">
        <v>45497.0</v>
      </c>
      <c r="D548" s="12">
        <v>26.0</v>
      </c>
      <c r="E548" s="26">
        <v>31625.0</v>
      </c>
      <c r="F548" s="29" t="s">
        <v>31</v>
      </c>
      <c r="G548" s="25" t="s">
        <v>44</v>
      </c>
      <c r="H548" s="12" t="s">
        <v>268</v>
      </c>
      <c r="I548" s="25" t="s">
        <v>397</v>
      </c>
      <c r="J548" s="25" t="s">
        <v>35</v>
      </c>
      <c r="K548" s="12" t="s">
        <v>270</v>
      </c>
      <c r="L548" s="28" t="s">
        <v>94</v>
      </c>
      <c r="M548" s="29" t="s">
        <v>52</v>
      </c>
      <c r="N548" s="40">
        <v>6200.0</v>
      </c>
      <c r="O548" s="17">
        <f t="shared" si="9"/>
        <v>0.685483871</v>
      </c>
      <c r="P548" s="39">
        <v>4250.0</v>
      </c>
      <c r="Q548" s="12" t="s">
        <v>52</v>
      </c>
      <c r="R548" s="12" t="s">
        <v>52</v>
      </c>
      <c r="S548" s="29" t="s">
        <v>131</v>
      </c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</row>
    <row r="549" ht="15.75" customHeight="1">
      <c r="A549" s="9">
        <v>1.0640516E7</v>
      </c>
      <c r="B549" s="81"/>
      <c r="C549" s="11">
        <v>45496.0</v>
      </c>
      <c r="D549" s="12">
        <v>26.0</v>
      </c>
      <c r="E549" s="26">
        <v>32553.0</v>
      </c>
      <c r="F549" s="38" t="s">
        <v>43</v>
      </c>
      <c r="G549" s="25" t="s">
        <v>44</v>
      </c>
      <c r="H549" s="12" t="s">
        <v>268</v>
      </c>
      <c r="I549" s="25" t="s">
        <v>397</v>
      </c>
      <c r="J549" s="25" t="s">
        <v>35</v>
      </c>
      <c r="K549" s="12" t="s">
        <v>270</v>
      </c>
      <c r="L549" s="28" t="s">
        <v>94</v>
      </c>
      <c r="M549" s="29" t="s">
        <v>52</v>
      </c>
      <c r="N549" s="40">
        <v>5880.0</v>
      </c>
      <c r="O549" s="17">
        <f t="shared" si="9"/>
        <v>0.7227891156</v>
      </c>
      <c r="P549" s="39">
        <v>4250.0</v>
      </c>
      <c r="Q549" s="12" t="s">
        <v>52</v>
      </c>
      <c r="R549" s="12" t="s">
        <v>52</v>
      </c>
      <c r="S549" s="29" t="s">
        <v>131</v>
      </c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</row>
    <row r="550" ht="15.75" customHeight="1">
      <c r="A550" s="9">
        <v>1.0640897E7</v>
      </c>
      <c r="B550" s="81"/>
      <c r="C550" s="11">
        <v>45496.0</v>
      </c>
      <c r="D550" s="12">
        <v>26.0</v>
      </c>
      <c r="E550" s="26">
        <v>33139.0</v>
      </c>
      <c r="F550" s="29" t="s">
        <v>31</v>
      </c>
      <c r="G550" s="25" t="s">
        <v>74</v>
      </c>
      <c r="H550" s="12" t="s">
        <v>262</v>
      </c>
      <c r="I550" s="25" t="s">
        <v>263</v>
      </c>
      <c r="J550" s="25" t="s">
        <v>35</v>
      </c>
      <c r="K550" s="12" t="s">
        <v>264</v>
      </c>
      <c r="L550" s="28" t="s">
        <v>59</v>
      </c>
      <c r="M550" s="29" t="s">
        <v>145</v>
      </c>
      <c r="N550" s="40">
        <v>5008.0</v>
      </c>
      <c r="O550" s="17">
        <f t="shared" si="9"/>
        <v>0.4664536741</v>
      </c>
      <c r="P550" s="39">
        <v>2336.0</v>
      </c>
      <c r="Q550" s="12" t="s">
        <v>39</v>
      </c>
      <c r="R550" s="12" t="s">
        <v>417</v>
      </c>
      <c r="S550" s="29" t="s">
        <v>40</v>
      </c>
      <c r="T550" s="19" t="s">
        <v>418</v>
      </c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</row>
    <row r="551" ht="15.75" customHeight="1">
      <c r="A551" s="9">
        <v>1.0640898E7</v>
      </c>
      <c r="B551" s="81"/>
      <c r="C551" s="11">
        <v>45497.0</v>
      </c>
      <c r="D551" s="12">
        <v>26.0</v>
      </c>
      <c r="E551" s="26">
        <v>33139.0</v>
      </c>
      <c r="F551" s="25" t="s">
        <v>31</v>
      </c>
      <c r="G551" s="25" t="s">
        <v>74</v>
      </c>
      <c r="H551" s="25" t="s">
        <v>262</v>
      </c>
      <c r="I551" s="25" t="s">
        <v>263</v>
      </c>
      <c r="J551" s="25" t="s">
        <v>35</v>
      </c>
      <c r="K551" s="25" t="s">
        <v>264</v>
      </c>
      <c r="L551" s="28" t="s">
        <v>59</v>
      </c>
      <c r="M551" s="29" t="s">
        <v>362</v>
      </c>
      <c r="N551" s="40">
        <v>5008.0</v>
      </c>
      <c r="O551" s="17">
        <f t="shared" si="9"/>
        <v>0.5990415335</v>
      </c>
      <c r="P551" s="39">
        <v>3000.0</v>
      </c>
      <c r="Q551" s="12" t="s">
        <v>39</v>
      </c>
      <c r="R551" s="12">
        <v>1362901.0</v>
      </c>
      <c r="S551" s="29" t="s">
        <v>40</v>
      </c>
      <c r="T551" s="19">
        <v>5416974.0</v>
      </c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</row>
    <row r="552" ht="15.75" customHeight="1">
      <c r="A552" s="9">
        <v>1.0640899E7</v>
      </c>
      <c r="B552" s="81"/>
      <c r="C552" s="11">
        <v>45497.0</v>
      </c>
      <c r="D552" s="12">
        <v>26.0</v>
      </c>
      <c r="E552" s="26">
        <v>33139.0</v>
      </c>
      <c r="F552" s="25" t="s">
        <v>31</v>
      </c>
      <c r="G552" s="25" t="s">
        <v>74</v>
      </c>
      <c r="H552" s="25" t="s">
        <v>262</v>
      </c>
      <c r="I552" s="25" t="s">
        <v>263</v>
      </c>
      <c r="J552" s="25" t="s">
        <v>35</v>
      </c>
      <c r="K552" s="25" t="s">
        <v>264</v>
      </c>
      <c r="L552" s="28" t="s">
        <v>59</v>
      </c>
      <c r="M552" s="29" t="s">
        <v>419</v>
      </c>
      <c r="N552" s="40">
        <v>5008.0</v>
      </c>
      <c r="O552" s="17">
        <f t="shared" si="9"/>
        <v>0.4664536741</v>
      </c>
      <c r="P552" s="39">
        <v>2336.0</v>
      </c>
      <c r="Q552" s="12" t="s">
        <v>39</v>
      </c>
      <c r="R552" s="12">
        <v>1362644.0</v>
      </c>
      <c r="S552" s="29" t="s">
        <v>40</v>
      </c>
      <c r="T552" s="19">
        <v>5414674.0</v>
      </c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</row>
    <row r="553" ht="15.75" customHeight="1">
      <c r="A553" s="9">
        <v>1.0644998E7</v>
      </c>
      <c r="B553" s="82"/>
      <c r="C553" s="11">
        <v>45500.0</v>
      </c>
      <c r="D553" s="12">
        <v>26.0</v>
      </c>
      <c r="E553" s="26">
        <v>33139.0</v>
      </c>
      <c r="F553" s="25" t="s">
        <v>31</v>
      </c>
      <c r="G553" s="25" t="s">
        <v>74</v>
      </c>
      <c r="H553" s="25" t="s">
        <v>262</v>
      </c>
      <c r="I553" s="25" t="s">
        <v>263</v>
      </c>
      <c r="J553" s="25" t="s">
        <v>35</v>
      </c>
      <c r="K553" s="25" t="s">
        <v>264</v>
      </c>
      <c r="L553" s="28" t="s">
        <v>59</v>
      </c>
      <c r="M553" s="29" t="s">
        <v>184</v>
      </c>
      <c r="N553" s="40">
        <v>5008.0</v>
      </c>
      <c r="O553" s="17">
        <f t="shared" si="9"/>
        <v>0.5990415335</v>
      </c>
      <c r="P553" s="39">
        <v>3000.0</v>
      </c>
      <c r="Q553" s="12" t="s">
        <v>39</v>
      </c>
      <c r="R553" s="12">
        <v>1364006.0</v>
      </c>
      <c r="S553" s="29" t="s">
        <v>40</v>
      </c>
      <c r="T553" s="19">
        <v>5423320.0</v>
      </c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</row>
    <row r="554" ht="15.75" customHeight="1">
      <c r="A554" s="9">
        <v>1.0644999E7</v>
      </c>
      <c r="B554" s="82"/>
      <c r="C554" s="11">
        <v>45500.0</v>
      </c>
      <c r="D554" s="12">
        <v>26.0</v>
      </c>
      <c r="E554" s="26">
        <v>33139.0</v>
      </c>
      <c r="F554" s="25" t="s">
        <v>31</v>
      </c>
      <c r="G554" s="25" t="s">
        <v>74</v>
      </c>
      <c r="H554" s="25" t="s">
        <v>262</v>
      </c>
      <c r="I554" s="25" t="s">
        <v>263</v>
      </c>
      <c r="J554" s="25" t="s">
        <v>35</v>
      </c>
      <c r="K554" s="25" t="s">
        <v>264</v>
      </c>
      <c r="L554" s="28" t="s">
        <v>59</v>
      </c>
      <c r="M554" s="29" t="s">
        <v>345</v>
      </c>
      <c r="N554" s="40">
        <v>5008.0</v>
      </c>
      <c r="O554" s="17">
        <f t="shared" si="9"/>
        <v>0.5990415335</v>
      </c>
      <c r="P554" s="39">
        <v>3000.0</v>
      </c>
      <c r="Q554" s="12" t="s">
        <v>39</v>
      </c>
      <c r="R554" s="12">
        <v>1364366.0</v>
      </c>
      <c r="S554" s="29" t="s">
        <v>40</v>
      </c>
      <c r="T554" s="19">
        <v>5426254.0</v>
      </c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</row>
    <row r="555" ht="15.75" customHeight="1">
      <c r="A555" s="9">
        <v>1.0645E7</v>
      </c>
      <c r="B555" s="82"/>
      <c r="C555" s="11">
        <v>45500.0</v>
      </c>
      <c r="D555" s="12">
        <v>26.0</v>
      </c>
      <c r="E555" s="26">
        <v>33139.0</v>
      </c>
      <c r="F555" s="25" t="s">
        <v>31</v>
      </c>
      <c r="G555" s="25" t="s">
        <v>74</v>
      </c>
      <c r="H555" s="25" t="s">
        <v>262</v>
      </c>
      <c r="I555" s="25" t="s">
        <v>263</v>
      </c>
      <c r="J555" s="25" t="s">
        <v>35</v>
      </c>
      <c r="K555" s="25" t="s">
        <v>264</v>
      </c>
      <c r="L555" s="28" t="s">
        <v>59</v>
      </c>
      <c r="M555" s="29" t="s">
        <v>49</v>
      </c>
      <c r="N555" s="40">
        <v>5008.0</v>
      </c>
      <c r="O555" s="17">
        <f t="shared" si="9"/>
        <v>0.5990415335</v>
      </c>
      <c r="P555" s="39">
        <v>3000.0</v>
      </c>
      <c r="Q555" s="12" t="s">
        <v>39</v>
      </c>
      <c r="R555" s="12">
        <v>1364105.0</v>
      </c>
      <c r="S555" s="29" t="s">
        <v>40</v>
      </c>
      <c r="T555" s="19">
        <v>5423917.0</v>
      </c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</row>
    <row r="556" ht="15.75" customHeight="1">
      <c r="A556" s="9">
        <v>1.0645001E7</v>
      </c>
      <c r="B556" s="82"/>
      <c r="C556" s="11">
        <v>45498.0</v>
      </c>
      <c r="D556" s="12">
        <v>26.0</v>
      </c>
      <c r="E556" s="26">
        <v>33139.0</v>
      </c>
      <c r="F556" s="25" t="s">
        <v>31</v>
      </c>
      <c r="G556" s="25" t="s">
        <v>74</v>
      </c>
      <c r="H556" s="29" t="s">
        <v>262</v>
      </c>
      <c r="I556" s="29" t="s">
        <v>263</v>
      </c>
      <c r="J556" s="25" t="s">
        <v>35</v>
      </c>
      <c r="K556" s="12" t="s">
        <v>264</v>
      </c>
      <c r="L556" s="28" t="s">
        <v>59</v>
      </c>
      <c r="M556" s="29" t="s">
        <v>394</v>
      </c>
      <c r="N556" s="40">
        <v>5008.0</v>
      </c>
      <c r="O556" s="17">
        <f t="shared" si="9"/>
        <v>0.4664536741</v>
      </c>
      <c r="P556" s="39">
        <v>2336.0</v>
      </c>
      <c r="Q556" s="12" t="s">
        <v>39</v>
      </c>
      <c r="R556" s="12">
        <v>1363199.0</v>
      </c>
      <c r="S556" s="29" t="s">
        <v>40</v>
      </c>
      <c r="T556" s="19">
        <v>5418636.0</v>
      </c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</row>
    <row r="557" ht="15.75" customHeight="1">
      <c r="A557" s="9">
        <v>1.0645425E7</v>
      </c>
      <c r="B557" s="83"/>
      <c r="C557" s="11">
        <v>45499.0</v>
      </c>
      <c r="D557" s="12">
        <v>28.0</v>
      </c>
      <c r="E557" s="26">
        <v>34058.0</v>
      </c>
      <c r="F557" s="29" t="s">
        <v>31</v>
      </c>
      <c r="G557" s="29" t="s">
        <v>32</v>
      </c>
      <c r="H557" s="12" t="s">
        <v>224</v>
      </c>
      <c r="I557" s="39" t="s">
        <v>225</v>
      </c>
      <c r="J557" s="12" t="s">
        <v>35</v>
      </c>
      <c r="K557" s="12" t="s">
        <v>226</v>
      </c>
      <c r="L557" s="28" t="s">
        <v>227</v>
      </c>
      <c r="M557" s="29" t="s">
        <v>420</v>
      </c>
      <c r="N557" s="40">
        <v>15725.0</v>
      </c>
      <c r="O557" s="17">
        <f t="shared" si="9"/>
        <v>0.6995230525</v>
      </c>
      <c r="P557" s="39">
        <v>11000.0</v>
      </c>
      <c r="Q557" s="12" t="s">
        <v>39</v>
      </c>
      <c r="R557" s="12">
        <v>1363560.0</v>
      </c>
      <c r="S557" s="29" t="s">
        <v>40</v>
      </c>
      <c r="T557" s="19">
        <v>5420857.0</v>
      </c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</row>
    <row r="558" ht="15.75" customHeight="1">
      <c r="A558" s="9">
        <v>1.064744E7</v>
      </c>
      <c r="B558" s="82"/>
      <c r="C558" s="11">
        <v>45502.0</v>
      </c>
      <c r="D558" s="12">
        <v>26.0</v>
      </c>
      <c r="E558" s="26">
        <v>31625.0</v>
      </c>
      <c r="F558" s="29" t="s">
        <v>31</v>
      </c>
      <c r="G558" s="29" t="s">
        <v>32</v>
      </c>
      <c r="H558" s="12" t="s">
        <v>265</v>
      </c>
      <c r="I558" s="39" t="s">
        <v>266</v>
      </c>
      <c r="J558" s="12" t="s">
        <v>35</v>
      </c>
      <c r="K558" s="12" t="s">
        <v>267</v>
      </c>
      <c r="L558" s="28" t="s">
        <v>94</v>
      </c>
      <c r="M558" s="29" t="s">
        <v>52</v>
      </c>
      <c r="N558" s="40">
        <v>6200.0</v>
      </c>
      <c r="O558" s="17">
        <f t="shared" si="9"/>
        <v>0.685483871</v>
      </c>
      <c r="P558" s="39">
        <v>4250.0</v>
      </c>
      <c r="Q558" s="12" t="s">
        <v>52</v>
      </c>
      <c r="R558" s="12" t="s">
        <v>52</v>
      </c>
      <c r="S558" s="29" t="s">
        <v>131</v>
      </c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</row>
    <row r="559" ht="15.75" customHeight="1">
      <c r="A559" s="9">
        <v>1.0647441E7</v>
      </c>
      <c r="B559" s="82"/>
      <c r="C559" s="11">
        <v>45502.0</v>
      </c>
      <c r="D559" s="12">
        <v>26.0</v>
      </c>
      <c r="E559" s="26">
        <v>31625.0</v>
      </c>
      <c r="F559" s="29" t="s">
        <v>31</v>
      </c>
      <c r="G559" s="29" t="s">
        <v>32</v>
      </c>
      <c r="H559" s="12" t="s">
        <v>265</v>
      </c>
      <c r="I559" s="39" t="s">
        <v>266</v>
      </c>
      <c r="J559" s="12" t="s">
        <v>35</v>
      </c>
      <c r="K559" s="12" t="s">
        <v>267</v>
      </c>
      <c r="L559" s="28" t="s">
        <v>94</v>
      </c>
      <c r="M559" s="29" t="s">
        <v>52</v>
      </c>
      <c r="N559" s="40">
        <v>6200.0</v>
      </c>
      <c r="O559" s="17">
        <f t="shared" si="9"/>
        <v>0.685483871</v>
      </c>
      <c r="P559" s="39">
        <v>4250.0</v>
      </c>
      <c r="Q559" s="12" t="s">
        <v>52</v>
      </c>
      <c r="R559" s="12" t="s">
        <v>52</v>
      </c>
      <c r="S559" s="29" t="s">
        <v>131</v>
      </c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</row>
    <row r="560" ht="15.75" customHeight="1">
      <c r="A560" s="9">
        <v>1.0648884E7</v>
      </c>
      <c r="B560" s="81"/>
      <c r="C560" s="11">
        <v>45498.0</v>
      </c>
      <c r="D560" s="12">
        <v>26.0</v>
      </c>
      <c r="E560" s="26">
        <v>32241.0</v>
      </c>
      <c r="F560" s="38" t="s">
        <v>43</v>
      </c>
      <c r="G560" s="29" t="s">
        <v>44</v>
      </c>
      <c r="H560" s="12" t="s">
        <v>45</v>
      </c>
      <c r="I560" s="29" t="s">
        <v>46</v>
      </c>
      <c r="J560" s="14" t="s">
        <v>35</v>
      </c>
      <c r="K560" s="14" t="s">
        <v>47</v>
      </c>
      <c r="L560" s="28" t="s">
        <v>108</v>
      </c>
      <c r="M560" s="29" t="s">
        <v>52</v>
      </c>
      <c r="N560" s="40">
        <v>2336.4</v>
      </c>
      <c r="O560" s="17">
        <f t="shared" si="9"/>
        <v>0.7276151344</v>
      </c>
      <c r="P560" s="39">
        <v>1700.0</v>
      </c>
      <c r="Q560" s="12" t="s">
        <v>52</v>
      </c>
      <c r="R560" s="12" t="s">
        <v>52</v>
      </c>
      <c r="S560" s="29" t="s">
        <v>131</v>
      </c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</row>
    <row r="561" ht="15.75" customHeight="1">
      <c r="A561" s="9">
        <v>1.0648885E7</v>
      </c>
      <c r="B561" s="81"/>
      <c r="C561" s="11">
        <v>45498.0</v>
      </c>
      <c r="D561" s="12" t="s">
        <v>52</v>
      </c>
      <c r="E561" s="26" t="s">
        <v>52</v>
      </c>
      <c r="F561" s="38" t="s">
        <v>43</v>
      </c>
      <c r="G561" s="29" t="s">
        <v>44</v>
      </c>
      <c r="H561" s="12" t="s">
        <v>421</v>
      </c>
      <c r="I561" s="29" t="s">
        <v>46</v>
      </c>
      <c r="J561" s="14" t="s">
        <v>47</v>
      </c>
      <c r="K561" s="14" t="s">
        <v>35</v>
      </c>
      <c r="L561" s="28" t="s">
        <v>188</v>
      </c>
      <c r="M561" s="29" t="s">
        <v>52</v>
      </c>
      <c r="N561" s="40">
        <v>1557.5</v>
      </c>
      <c r="O561" s="17">
        <f t="shared" si="9"/>
        <v>0.4494382022</v>
      </c>
      <c r="P561" s="39">
        <v>700.0</v>
      </c>
      <c r="Q561" s="12" t="s">
        <v>52</v>
      </c>
      <c r="R561" s="12" t="s">
        <v>52</v>
      </c>
      <c r="S561" s="29" t="s">
        <v>131</v>
      </c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</row>
    <row r="562" ht="15.75" customHeight="1">
      <c r="A562" s="9">
        <v>1.0651138E7</v>
      </c>
      <c r="B562" s="82"/>
      <c r="C562" s="11">
        <v>45502.0</v>
      </c>
      <c r="D562" s="12">
        <v>26.0</v>
      </c>
      <c r="E562" s="26">
        <v>33430.0</v>
      </c>
      <c r="F562" s="29" t="s">
        <v>31</v>
      </c>
      <c r="G562" s="29" t="s">
        <v>74</v>
      </c>
      <c r="H562" s="12" t="s">
        <v>422</v>
      </c>
      <c r="I562" s="39" t="s">
        <v>423</v>
      </c>
      <c r="J562" s="12" t="s">
        <v>35</v>
      </c>
      <c r="K562" s="12" t="s">
        <v>424</v>
      </c>
      <c r="L562" s="28" t="s">
        <v>188</v>
      </c>
      <c r="M562" s="29" t="s">
        <v>52</v>
      </c>
      <c r="N562" s="40">
        <v>3124.0</v>
      </c>
      <c r="O562" s="17">
        <f t="shared" si="9"/>
        <v>0.5441741357</v>
      </c>
      <c r="P562" s="39">
        <v>1700.0</v>
      </c>
      <c r="Q562" s="12" t="s">
        <v>52</v>
      </c>
      <c r="R562" s="12" t="s">
        <v>52</v>
      </c>
      <c r="S562" s="29" t="s">
        <v>131</v>
      </c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</row>
    <row r="563" ht="15.75" customHeight="1">
      <c r="A563" s="9">
        <v>1.0651801E7</v>
      </c>
      <c r="B563" s="82"/>
      <c r="C563" s="11">
        <v>45503.0</v>
      </c>
      <c r="D563" s="12">
        <v>26.0</v>
      </c>
      <c r="E563" s="26">
        <v>31625.0</v>
      </c>
      <c r="F563" s="25" t="s">
        <v>31</v>
      </c>
      <c r="G563" s="25" t="s">
        <v>44</v>
      </c>
      <c r="H563" s="12" t="s">
        <v>268</v>
      </c>
      <c r="I563" s="25" t="s">
        <v>397</v>
      </c>
      <c r="J563" s="25" t="s">
        <v>35</v>
      </c>
      <c r="K563" s="12" t="s">
        <v>270</v>
      </c>
      <c r="L563" s="28" t="s">
        <v>94</v>
      </c>
      <c r="M563" s="29" t="s">
        <v>52</v>
      </c>
      <c r="N563" s="40">
        <v>6200.0</v>
      </c>
      <c r="O563" s="17">
        <f t="shared" si="9"/>
        <v>0.685483871</v>
      </c>
      <c r="P563" s="39">
        <v>4250.0</v>
      </c>
      <c r="Q563" s="12" t="s">
        <v>52</v>
      </c>
      <c r="R563" s="12" t="s">
        <v>52</v>
      </c>
      <c r="S563" s="29" t="s">
        <v>131</v>
      </c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</row>
    <row r="564" ht="15.75" customHeight="1">
      <c r="A564" s="9">
        <v>1.0652067E7</v>
      </c>
      <c r="B564" s="82"/>
      <c r="C564" s="11">
        <v>45504.0</v>
      </c>
      <c r="D564" s="12">
        <v>26.0</v>
      </c>
      <c r="E564" s="26">
        <v>32553.0</v>
      </c>
      <c r="F564" s="27" t="s">
        <v>43</v>
      </c>
      <c r="G564" s="25" t="s">
        <v>44</v>
      </c>
      <c r="H564" s="12" t="s">
        <v>268</v>
      </c>
      <c r="I564" s="25" t="s">
        <v>397</v>
      </c>
      <c r="J564" s="25" t="s">
        <v>35</v>
      </c>
      <c r="K564" s="12" t="s">
        <v>270</v>
      </c>
      <c r="L564" s="28" t="s">
        <v>94</v>
      </c>
      <c r="M564" s="29" t="s">
        <v>52</v>
      </c>
      <c r="N564" s="40">
        <v>5880.0</v>
      </c>
      <c r="O564" s="17">
        <f t="shared" si="9"/>
        <v>0.7227891156</v>
      </c>
      <c r="P564" s="39">
        <v>4250.0</v>
      </c>
      <c r="Q564" s="12" t="s">
        <v>52</v>
      </c>
      <c r="R564" s="12" t="s">
        <v>52</v>
      </c>
      <c r="S564" s="29" t="s">
        <v>131</v>
      </c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</row>
    <row r="565" ht="15.75" customHeight="1">
      <c r="A565" s="9">
        <v>1.065208E7</v>
      </c>
      <c r="B565" s="82"/>
      <c r="C565" s="11">
        <v>45504.0</v>
      </c>
      <c r="D565" s="12">
        <v>26.0</v>
      </c>
      <c r="E565" s="26">
        <v>32553.0</v>
      </c>
      <c r="F565" s="38" t="s">
        <v>43</v>
      </c>
      <c r="G565" s="29" t="s">
        <v>44</v>
      </c>
      <c r="H565" s="12" t="s">
        <v>268</v>
      </c>
      <c r="I565" s="29" t="s">
        <v>397</v>
      </c>
      <c r="J565" s="12" t="s">
        <v>35</v>
      </c>
      <c r="K565" s="12" t="s">
        <v>270</v>
      </c>
      <c r="L565" s="28" t="s">
        <v>94</v>
      </c>
      <c r="M565" s="29" t="s">
        <v>52</v>
      </c>
      <c r="N565" s="40">
        <v>5880.0</v>
      </c>
      <c r="O565" s="73">
        <f t="shared" si="9"/>
        <v>0.7227891156</v>
      </c>
      <c r="P565" s="39">
        <v>4250.0</v>
      </c>
      <c r="Q565" s="12" t="s">
        <v>52</v>
      </c>
      <c r="R565" s="12" t="s">
        <v>52</v>
      </c>
      <c r="S565" s="64" t="s">
        <v>131</v>
      </c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</row>
    <row r="566" ht="15.75" customHeight="1">
      <c r="A566" s="9">
        <v>1.06537E7</v>
      </c>
      <c r="B566" s="82"/>
      <c r="C566" s="11">
        <v>45502.0</v>
      </c>
      <c r="D566" s="12">
        <v>26.0</v>
      </c>
      <c r="E566" s="26">
        <v>33430.0</v>
      </c>
      <c r="F566" s="29" t="s">
        <v>31</v>
      </c>
      <c r="G566" s="29" t="s">
        <v>74</v>
      </c>
      <c r="H566" s="12" t="s">
        <v>422</v>
      </c>
      <c r="I566" s="39" t="s">
        <v>423</v>
      </c>
      <c r="J566" s="12" t="s">
        <v>35</v>
      </c>
      <c r="K566" s="12" t="s">
        <v>424</v>
      </c>
      <c r="L566" s="28" t="s">
        <v>188</v>
      </c>
      <c r="M566" s="29" t="s">
        <v>345</v>
      </c>
      <c r="N566" s="40">
        <v>3124.0</v>
      </c>
      <c r="O566" s="73">
        <f t="shared" si="9"/>
        <v>0.5441741357</v>
      </c>
      <c r="P566" s="39">
        <v>1700.0</v>
      </c>
      <c r="Q566" s="12" t="s">
        <v>39</v>
      </c>
      <c r="R566" s="12">
        <v>1365861.0</v>
      </c>
      <c r="S566" s="29" t="s">
        <v>40</v>
      </c>
      <c r="T566" s="19">
        <v>5433534.0</v>
      </c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</row>
    <row r="567" ht="15.75" customHeight="1">
      <c r="A567" s="9">
        <v>1.06539E7</v>
      </c>
      <c r="B567" s="82"/>
      <c r="C567" s="11">
        <v>45504.0</v>
      </c>
      <c r="D567" s="12">
        <v>26.0</v>
      </c>
      <c r="E567" s="26">
        <v>33430.0</v>
      </c>
      <c r="F567" s="29" t="s">
        <v>31</v>
      </c>
      <c r="G567" s="25" t="s">
        <v>74</v>
      </c>
      <c r="H567" s="12" t="s">
        <v>262</v>
      </c>
      <c r="I567" s="29" t="s">
        <v>263</v>
      </c>
      <c r="J567" s="12" t="s">
        <v>35</v>
      </c>
      <c r="K567" s="12" t="s">
        <v>264</v>
      </c>
      <c r="L567" s="28" t="s">
        <v>59</v>
      </c>
      <c r="M567" s="29" t="s">
        <v>52</v>
      </c>
      <c r="N567" s="40">
        <v>5008.0</v>
      </c>
      <c r="O567" s="17">
        <f t="shared" si="9"/>
        <v>0.5990415335</v>
      </c>
      <c r="P567" s="39">
        <v>3000.0</v>
      </c>
      <c r="Q567" s="12" t="s">
        <v>52</v>
      </c>
      <c r="R567" s="12" t="s">
        <v>52</v>
      </c>
      <c r="S567" s="29" t="s">
        <v>131</v>
      </c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</row>
    <row r="568" ht="15.75" customHeight="1">
      <c r="A568" s="9">
        <v>1.0654343E7</v>
      </c>
      <c r="B568" s="82"/>
      <c r="C568" s="11">
        <v>45505.0</v>
      </c>
      <c r="D568" s="12">
        <v>26.0</v>
      </c>
      <c r="E568" s="26">
        <v>31922.0</v>
      </c>
      <c r="F568" s="29" t="s">
        <v>31</v>
      </c>
      <c r="G568" s="25" t="s">
        <v>44</v>
      </c>
      <c r="H568" s="12" t="s">
        <v>268</v>
      </c>
      <c r="I568" s="29" t="s">
        <v>397</v>
      </c>
      <c r="J568" s="12" t="s">
        <v>35</v>
      </c>
      <c r="K568" s="12" t="s">
        <v>270</v>
      </c>
      <c r="L568" s="28" t="s">
        <v>94</v>
      </c>
      <c r="M568" s="29" t="s">
        <v>52</v>
      </c>
      <c r="N568" s="40">
        <v>6200.0</v>
      </c>
      <c r="O568" s="17">
        <f t="shared" si="9"/>
        <v>0.685483871</v>
      </c>
      <c r="P568" s="39">
        <v>4250.0</v>
      </c>
      <c r="Q568" s="12" t="s">
        <v>52</v>
      </c>
      <c r="R568" s="12" t="s">
        <v>52</v>
      </c>
      <c r="S568" s="29" t="s">
        <v>165</v>
      </c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</row>
    <row r="569" ht="15.75" customHeight="1">
      <c r="A569" s="9">
        <v>1.0654344E7</v>
      </c>
      <c r="B569" s="82"/>
      <c r="C569" s="11">
        <v>45505.0</v>
      </c>
      <c r="D569" s="12">
        <v>26.0</v>
      </c>
      <c r="E569" s="26">
        <v>31922.0</v>
      </c>
      <c r="F569" s="29" t="s">
        <v>31</v>
      </c>
      <c r="G569" s="25" t="s">
        <v>44</v>
      </c>
      <c r="H569" s="12" t="s">
        <v>268</v>
      </c>
      <c r="I569" s="29" t="s">
        <v>397</v>
      </c>
      <c r="J569" s="12" t="s">
        <v>35</v>
      </c>
      <c r="K569" s="12" t="s">
        <v>270</v>
      </c>
      <c r="L569" s="28" t="s">
        <v>94</v>
      </c>
      <c r="M569" s="29" t="s">
        <v>52</v>
      </c>
      <c r="N569" s="40">
        <v>6200.0</v>
      </c>
      <c r="O569" s="17">
        <f t="shared" si="9"/>
        <v>0.685483871</v>
      </c>
      <c r="P569" s="39">
        <v>4250.0</v>
      </c>
      <c r="Q569" s="12" t="s">
        <v>52</v>
      </c>
      <c r="R569" s="12" t="s">
        <v>52</v>
      </c>
      <c r="S569" s="29" t="s">
        <v>165</v>
      </c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</row>
    <row r="570" ht="15.75" customHeight="1">
      <c r="A570" s="9">
        <v>1.0654574E7</v>
      </c>
      <c r="B570" s="82"/>
      <c r="C570" s="11">
        <v>45504.0</v>
      </c>
      <c r="D570" s="12">
        <v>26.0</v>
      </c>
      <c r="E570" s="26">
        <v>31625.0</v>
      </c>
      <c r="F570" s="29" t="s">
        <v>31</v>
      </c>
      <c r="G570" s="29" t="s">
        <v>74</v>
      </c>
      <c r="H570" s="12" t="s">
        <v>262</v>
      </c>
      <c r="I570" s="29" t="s">
        <v>263</v>
      </c>
      <c r="J570" s="12" t="s">
        <v>35</v>
      </c>
      <c r="K570" s="12" t="s">
        <v>264</v>
      </c>
      <c r="L570" s="28" t="s">
        <v>59</v>
      </c>
      <c r="M570" s="29" t="s">
        <v>49</v>
      </c>
      <c r="N570" s="40">
        <v>4650.0</v>
      </c>
      <c r="O570" s="73">
        <f t="shared" si="9"/>
        <v>0.6451612903</v>
      </c>
      <c r="P570" s="39">
        <v>3000.0</v>
      </c>
      <c r="Q570" s="12" t="s">
        <v>39</v>
      </c>
      <c r="R570" s="12">
        <v>1366486.0</v>
      </c>
      <c r="S570" s="29" t="s">
        <v>40</v>
      </c>
      <c r="T570" s="19">
        <v>5437878.0</v>
      </c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</row>
    <row r="571" ht="15.75" customHeight="1">
      <c r="A571" s="9">
        <v>1.0654575E7</v>
      </c>
      <c r="B571" s="82"/>
      <c r="C571" s="11">
        <v>45504.0</v>
      </c>
      <c r="D571" s="12">
        <v>26.0</v>
      </c>
      <c r="E571" s="26">
        <v>31625.0</v>
      </c>
      <c r="F571" s="29" t="s">
        <v>31</v>
      </c>
      <c r="G571" s="29" t="s">
        <v>74</v>
      </c>
      <c r="H571" s="12" t="s">
        <v>262</v>
      </c>
      <c r="I571" s="29" t="s">
        <v>263</v>
      </c>
      <c r="J571" s="12" t="s">
        <v>35</v>
      </c>
      <c r="K571" s="12" t="s">
        <v>264</v>
      </c>
      <c r="L571" s="28" t="s">
        <v>59</v>
      </c>
      <c r="M571" s="29" t="s">
        <v>145</v>
      </c>
      <c r="N571" s="40">
        <v>4650.0</v>
      </c>
      <c r="O571" s="73">
        <f t="shared" si="9"/>
        <v>0.6451612903</v>
      </c>
      <c r="P571" s="39">
        <v>3000.0</v>
      </c>
      <c r="Q571" s="12" t="s">
        <v>39</v>
      </c>
      <c r="R571" s="12">
        <v>1367039.0</v>
      </c>
      <c r="S571" s="29" t="s">
        <v>40</v>
      </c>
      <c r="T571" s="19">
        <v>5440706.0</v>
      </c>
      <c r="U571" s="12"/>
      <c r="V571" s="12"/>
      <c r="W571" s="12"/>
      <c r="X571" s="12"/>
      <c r="Y571" s="12"/>
      <c r="Z571" s="12"/>
      <c r="AA571" s="12"/>
      <c r="AB571" s="84">
        <v>745606.0</v>
      </c>
      <c r="AC571" s="12"/>
      <c r="AD571" s="12"/>
      <c r="AE571" s="12"/>
      <c r="AF571" s="1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</row>
    <row r="572" ht="15.75" customHeight="1">
      <c r="A572" s="9">
        <v>1.0654576E7</v>
      </c>
      <c r="B572" s="82"/>
      <c r="C572" s="11">
        <v>45504.0</v>
      </c>
      <c r="D572" s="12">
        <v>26.0</v>
      </c>
      <c r="E572" s="26">
        <v>31625.0</v>
      </c>
      <c r="F572" s="29" t="s">
        <v>31</v>
      </c>
      <c r="G572" s="29" t="s">
        <v>74</v>
      </c>
      <c r="H572" s="12" t="s">
        <v>262</v>
      </c>
      <c r="I572" s="29" t="s">
        <v>263</v>
      </c>
      <c r="J572" s="12" t="s">
        <v>35</v>
      </c>
      <c r="K572" s="12" t="s">
        <v>264</v>
      </c>
      <c r="L572" s="28" t="s">
        <v>59</v>
      </c>
      <c r="M572" s="29" t="s">
        <v>184</v>
      </c>
      <c r="N572" s="40">
        <v>4650.0</v>
      </c>
      <c r="O572" s="73">
        <f t="shared" si="9"/>
        <v>0.6451612903</v>
      </c>
      <c r="P572" s="39">
        <v>3000.0</v>
      </c>
      <c r="Q572" s="12" t="s">
        <v>39</v>
      </c>
      <c r="R572" s="12">
        <v>1366501.0</v>
      </c>
      <c r="S572" s="29" t="s">
        <v>40</v>
      </c>
      <c r="T572" s="19">
        <v>5437958.0</v>
      </c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</row>
    <row r="573" ht="15.75" customHeight="1">
      <c r="A573" s="9">
        <v>1.0654577E7</v>
      </c>
      <c r="B573" s="82"/>
      <c r="C573" s="11">
        <v>45504.0</v>
      </c>
      <c r="D573" s="12">
        <v>26.0</v>
      </c>
      <c r="E573" s="26">
        <v>31625.0</v>
      </c>
      <c r="F573" s="29" t="s">
        <v>31</v>
      </c>
      <c r="G573" s="29" t="s">
        <v>74</v>
      </c>
      <c r="H573" s="12" t="s">
        <v>262</v>
      </c>
      <c r="I573" s="12" t="s">
        <v>263</v>
      </c>
      <c r="J573" s="12" t="s">
        <v>35</v>
      </c>
      <c r="K573" s="12" t="s">
        <v>264</v>
      </c>
      <c r="L573" s="28" t="s">
        <v>59</v>
      </c>
      <c r="M573" s="29" t="s">
        <v>128</v>
      </c>
      <c r="N573" s="40">
        <v>4650.0</v>
      </c>
      <c r="O573" s="73">
        <f t="shared" si="9"/>
        <v>0.6451612903</v>
      </c>
      <c r="P573" s="39">
        <v>3000.0</v>
      </c>
      <c r="Q573" s="12" t="s">
        <v>107</v>
      </c>
      <c r="R573" s="12">
        <v>1367270.0</v>
      </c>
      <c r="S573" s="29" t="s">
        <v>40</v>
      </c>
      <c r="T573" s="19">
        <v>5442227.0</v>
      </c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</row>
    <row r="574" ht="15.75" customHeight="1">
      <c r="A574" s="9">
        <v>1.0659724E7</v>
      </c>
      <c r="B574" s="82"/>
      <c r="C574" s="11">
        <v>45506.0</v>
      </c>
      <c r="D574" s="12">
        <v>26.0</v>
      </c>
      <c r="E574" s="26">
        <v>31922.0</v>
      </c>
      <c r="F574" s="29" t="s">
        <v>31</v>
      </c>
      <c r="G574" s="25" t="s">
        <v>74</v>
      </c>
      <c r="H574" s="12" t="s">
        <v>318</v>
      </c>
      <c r="I574" s="29" t="s">
        <v>319</v>
      </c>
      <c r="J574" s="12" t="s">
        <v>35</v>
      </c>
      <c r="K574" s="14" t="s">
        <v>320</v>
      </c>
      <c r="L574" s="28" t="s">
        <v>94</v>
      </c>
      <c r="M574" s="29" t="s">
        <v>52</v>
      </c>
      <c r="N574" s="40">
        <v>6700.0</v>
      </c>
      <c r="O574" s="17">
        <f t="shared" si="9"/>
        <v>0.6343283582</v>
      </c>
      <c r="P574" s="39">
        <v>4250.0</v>
      </c>
      <c r="Q574" s="12" t="s">
        <v>52</v>
      </c>
      <c r="R574" s="12" t="s">
        <v>52</v>
      </c>
      <c r="S574" s="29" t="s">
        <v>165</v>
      </c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</row>
    <row r="575" ht="15.75" customHeight="1">
      <c r="A575" s="9">
        <v>1.0659725E7</v>
      </c>
      <c r="B575" s="82"/>
      <c r="C575" s="11">
        <v>45506.0</v>
      </c>
      <c r="D575" s="12">
        <v>26.0</v>
      </c>
      <c r="E575" s="26">
        <v>31922.0</v>
      </c>
      <c r="F575" s="29" t="s">
        <v>31</v>
      </c>
      <c r="G575" s="25" t="s">
        <v>74</v>
      </c>
      <c r="H575" s="12" t="s">
        <v>318</v>
      </c>
      <c r="I575" s="29" t="s">
        <v>319</v>
      </c>
      <c r="J575" s="12" t="s">
        <v>35</v>
      </c>
      <c r="K575" s="14" t="s">
        <v>320</v>
      </c>
      <c r="L575" s="28" t="s">
        <v>94</v>
      </c>
      <c r="M575" s="29" t="s">
        <v>52</v>
      </c>
      <c r="N575" s="40">
        <v>6700.0</v>
      </c>
      <c r="O575" s="17">
        <f t="shared" si="9"/>
        <v>0.6343283582</v>
      </c>
      <c r="P575" s="39">
        <v>4250.0</v>
      </c>
      <c r="Q575" s="12" t="s">
        <v>52</v>
      </c>
      <c r="R575" s="12" t="s">
        <v>52</v>
      </c>
      <c r="S575" s="29" t="s">
        <v>165</v>
      </c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</row>
    <row r="576" ht="15.75" customHeight="1">
      <c r="A576" s="9">
        <v>1.0661287E7</v>
      </c>
      <c r="B576" s="82"/>
      <c r="C576" s="11">
        <v>45509.0</v>
      </c>
      <c r="D576" s="12">
        <v>26.0</v>
      </c>
      <c r="E576" s="26">
        <v>31634.0</v>
      </c>
      <c r="F576" s="29" t="s">
        <v>31</v>
      </c>
      <c r="G576" s="29" t="s">
        <v>44</v>
      </c>
      <c r="H576" s="12" t="s">
        <v>268</v>
      </c>
      <c r="I576" s="12" t="s">
        <v>397</v>
      </c>
      <c r="J576" s="12" t="s">
        <v>35</v>
      </c>
      <c r="K576" s="12" t="s">
        <v>270</v>
      </c>
      <c r="L576" s="28" t="s">
        <v>94</v>
      </c>
      <c r="M576" s="29" t="s">
        <v>52</v>
      </c>
      <c r="N576" s="40">
        <v>6200.0</v>
      </c>
      <c r="O576" s="17">
        <f t="shared" si="9"/>
        <v>0.685483871</v>
      </c>
      <c r="P576" s="39">
        <v>4250.0</v>
      </c>
      <c r="Q576" s="12" t="s">
        <v>52</v>
      </c>
      <c r="R576" s="12" t="s">
        <v>52</v>
      </c>
      <c r="S576" s="29" t="s">
        <v>165</v>
      </c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</row>
    <row r="577" ht="15.75" customHeight="1">
      <c r="A577" s="9">
        <v>1.0661288E7</v>
      </c>
      <c r="B577" s="82"/>
      <c r="C577" s="11">
        <v>45507.0</v>
      </c>
      <c r="D577" s="12">
        <v>26.0</v>
      </c>
      <c r="E577" s="26">
        <v>31785.0</v>
      </c>
      <c r="F577" s="29" t="s">
        <v>31</v>
      </c>
      <c r="G577" s="29" t="s">
        <v>44</v>
      </c>
      <c r="H577" s="12" t="s">
        <v>268</v>
      </c>
      <c r="I577" s="12" t="s">
        <v>397</v>
      </c>
      <c r="J577" s="12" t="s">
        <v>35</v>
      </c>
      <c r="K577" s="12" t="s">
        <v>270</v>
      </c>
      <c r="L577" s="28" t="s">
        <v>94</v>
      </c>
      <c r="M577" s="29" t="s">
        <v>52</v>
      </c>
      <c r="N577" s="40">
        <v>6200.0</v>
      </c>
      <c r="O577" s="17">
        <f t="shared" si="9"/>
        <v>0.685483871</v>
      </c>
      <c r="P577" s="39">
        <v>4250.0</v>
      </c>
      <c r="Q577" s="12" t="s">
        <v>52</v>
      </c>
      <c r="R577" s="12" t="s">
        <v>52</v>
      </c>
      <c r="S577" s="29" t="s">
        <v>165</v>
      </c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</row>
    <row r="578" ht="15.75" customHeight="1">
      <c r="A578" s="9">
        <v>1.0663586E7</v>
      </c>
      <c r="B578" s="82"/>
      <c r="C578" s="11">
        <v>45507.0</v>
      </c>
      <c r="D578" s="12">
        <v>26.0</v>
      </c>
      <c r="E578" s="26">
        <v>31922.0</v>
      </c>
      <c r="F578" s="29" t="s">
        <v>31</v>
      </c>
      <c r="G578" s="29" t="s">
        <v>74</v>
      </c>
      <c r="H578" s="12" t="s">
        <v>318</v>
      </c>
      <c r="I578" s="12" t="s">
        <v>319</v>
      </c>
      <c r="J578" s="12" t="s">
        <v>35</v>
      </c>
      <c r="K578" s="14" t="s">
        <v>320</v>
      </c>
      <c r="L578" s="28" t="s">
        <v>94</v>
      </c>
      <c r="M578" s="29" t="s">
        <v>278</v>
      </c>
      <c r="N578" s="40">
        <v>6700.0</v>
      </c>
      <c r="O578" s="17">
        <f t="shared" si="9"/>
        <v>0.6343283582</v>
      </c>
      <c r="P578" s="39">
        <v>4250.0</v>
      </c>
      <c r="Q578" s="12" t="s">
        <v>39</v>
      </c>
      <c r="R578" s="12">
        <v>1369315.0</v>
      </c>
      <c r="S578" s="29" t="s">
        <v>40</v>
      </c>
      <c r="T578" s="19">
        <v>5451502.0</v>
      </c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</row>
    <row r="579" ht="15.75" customHeight="1">
      <c r="A579" s="9">
        <v>1.0663683E7</v>
      </c>
      <c r="B579" s="82"/>
      <c r="C579" s="11">
        <v>45507.0</v>
      </c>
      <c r="D579" s="12">
        <v>26.0</v>
      </c>
      <c r="E579" s="26">
        <v>31922.0</v>
      </c>
      <c r="F579" s="29" t="s">
        <v>31</v>
      </c>
      <c r="G579" s="29" t="s">
        <v>44</v>
      </c>
      <c r="H579" s="12" t="s">
        <v>136</v>
      </c>
      <c r="I579" s="15" t="s">
        <v>137</v>
      </c>
      <c r="J579" s="12" t="s">
        <v>35</v>
      </c>
      <c r="K579" s="12" t="s">
        <v>138</v>
      </c>
      <c r="L579" s="28" t="s">
        <v>114</v>
      </c>
      <c r="M579" s="29" t="s">
        <v>52</v>
      </c>
      <c r="N579" s="40">
        <v>5174.0</v>
      </c>
      <c r="O579" s="17">
        <f t="shared" si="9"/>
        <v>0.7730962505</v>
      </c>
      <c r="P579" s="39">
        <v>4000.0</v>
      </c>
      <c r="Q579" s="12" t="s">
        <v>52</v>
      </c>
      <c r="R579" s="12" t="s">
        <v>52</v>
      </c>
      <c r="S579" s="29" t="s">
        <v>165</v>
      </c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</row>
    <row r="580" ht="15.75" customHeight="1">
      <c r="A580" s="9">
        <v>1.0668355E7</v>
      </c>
      <c r="B580" s="82"/>
      <c r="C580" s="11">
        <v>45509.0</v>
      </c>
      <c r="D580" s="12">
        <v>26.0</v>
      </c>
      <c r="E580" s="26">
        <v>31922.0</v>
      </c>
      <c r="F580" s="29" t="s">
        <v>31</v>
      </c>
      <c r="G580" s="29" t="s">
        <v>44</v>
      </c>
      <c r="H580" s="12" t="s">
        <v>268</v>
      </c>
      <c r="I580" s="29" t="s">
        <v>397</v>
      </c>
      <c r="J580" s="12" t="s">
        <v>35</v>
      </c>
      <c r="K580" s="12" t="s">
        <v>270</v>
      </c>
      <c r="L580" s="28" t="s">
        <v>94</v>
      </c>
      <c r="M580" s="29" t="s">
        <v>52</v>
      </c>
      <c r="N580" s="40">
        <v>6200.0</v>
      </c>
      <c r="O580" s="17">
        <f t="shared" si="9"/>
        <v>0.685483871</v>
      </c>
      <c r="P580" s="39">
        <v>4250.0</v>
      </c>
      <c r="Q580" s="12" t="s">
        <v>52</v>
      </c>
      <c r="R580" s="12" t="s">
        <v>52</v>
      </c>
      <c r="S580" s="29" t="s">
        <v>165</v>
      </c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</row>
    <row r="581" ht="15.75" customHeight="1">
      <c r="A581" s="9">
        <v>1.0669532E7</v>
      </c>
      <c r="B581" s="82"/>
      <c r="C581" s="11">
        <v>45509.0</v>
      </c>
      <c r="D581" s="12">
        <v>26.0</v>
      </c>
      <c r="E581" s="26">
        <v>31792.0</v>
      </c>
      <c r="F581" s="38" t="s">
        <v>43</v>
      </c>
      <c r="G581" s="29" t="s">
        <v>32</v>
      </c>
      <c r="H581" s="12" t="s">
        <v>265</v>
      </c>
      <c r="I581" s="39" t="s">
        <v>266</v>
      </c>
      <c r="J581" s="12" t="s">
        <v>35</v>
      </c>
      <c r="K581" s="12" t="s">
        <v>267</v>
      </c>
      <c r="L581" s="28" t="s">
        <v>94</v>
      </c>
      <c r="M581" s="29" t="s">
        <v>128</v>
      </c>
      <c r="N581" s="40">
        <v>5460.0</v>
      </c>
      <c r="O581" s="17">
        <f t="shared" si="9"/>
        <v>0.7783882784</v>
      </c>
      <c r="P581" s="39">
        <v>4250.0</v>
      </c>
      <c r="Q581" s="12" t="s">
        <v>39</v>
      </c>
      <c r="R581" s="12">
        <v>1370450.0</v>
      </c>
      <c r="S581" s="29" t="s">
        <v>40</v>
      </c>
      <c r="T581" s="19">
        <v>5456869.0</v>
      </c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</row>
    <row r="582" ht="15.75" customHeight="1">
      <c r="A582" s="9">
        <v>1.0669533E7</v>
      </c>
      <c r="B582" s="82"/>
      <c r="C582" s="11">
        <v>45509.0</v>
      </c>
      <c r="D582" s="12" t="s">
        <v>52</v>
      </c>
      <c r="E582" s="26" t="s">
        <v>52</v>
      </c>
      <c r="F582" s="38" t="s">
        <v>43</v>
      </c>
      <c r="G582" s="29" t="s">
        <v>32</v>
      </c>
      <c r="H582" s="12" t="s">
        <v>425</v>
      </c>
      <c r="I582" s="39" t="s">
        <v>266</v>
      </c>
      <c r="J582" s="12" t="s">
        <v>267</v>
      </c>
      <c r="K582" s="12" t="s">
        <v>35</v>
      </c>
      <c r="L582" s="28" t="s">
        <v>43</v>
      </c>
      <c r="M582" s="29"/>
      <c r="N582" s="40">
        <v>3640.0</v>
      </c>
      <c r="O582" s="17">
        <f t="shared" si="9"/>
        <v>0.7554945055</v>
      </c>
      <c r="P582" s="39">
        <v>2750.0</v>
      </c>
      <c r="Q582" s="12"/>
      <c r="R582" s="12">
        <v>1371196.0</v>
      </c>
      <c r="S582" s="29" t="s">
        <v>40</v>
      </c>
      <c r="T582" s="19">
        <v>5461846.0</v>
      </c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</row>
    <row r="583" ht="15.75" customHeight="1">
      <c r="A583" s="9">
        <v>1.0672676E7</v>
      </c>
      <c r="B583" s="82"/>
      <c r="C583" s="11">
        <v>45509.0</v>
      </c>
      <c r="D583" s="12">
        <v>20.0</v>
      </c>
      <c r="E583" s="26">
        <v>24368.0</v>
      </c>
      <c r="F583" s="29" t="s">
        <v>31</v>
      </c>
      <c r="G583" s="85" t="s">
        <v>74</v>
      </c>
      <c r="H583" s="12" t="s">
        <v>426</v>
      </c>
      <c r="I583" s="29" t="s">
        <v>427</v>
      </c>
      <c r="J583" s="12" t="s">
        <v>35</v>
      </c>
      <c r="K583" s="12" t="s">
        <v>428</v>
      </c>
      <c r="L583" s="28" t="s">
        <v>188</v>
      </c>
      <c r="M583" s="29" t="s">
        <v>49</v>
      </c>
      <c r="N583" s="40">
        <v>2231.0</v>
      </c>
      <c r="O583" s="17">
        <f t="shared" si="9"/>
        <v>0.761990139</v>
      </c>
      <c r="P583" s="39">
        <v>1700.0</v>
      </c>
      <c r="Q583" s="12" t="s">
        <v>39</v>
      </c>
      <c r="R583" s="12">
        <v>1371133.0</v>
      </c>
      <c r="S583" s="29" t="s">
        <v>40</v>
      </c>
      <c r="T583" s="19">
        <v>5461261.0</v>
      </c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</row>
    <row r="584" ht="15.75" customHeight="1">
      <c r="A584" s="9">
        <v>1.0673424E7</v>
      </c>
      <c r="B584" s="82"/>
      <c r="C584" s="11">
        <v>45507.0</v>
      </c>
      <c r="D584" s="12">
        <v>26.0</v>
      </c>
      <c r="E584" s="26">
        <v>31922.0</v>
      </c>
      <c r="F584" s="29" t="s">
        <v>31</v>
      </c>
      <c r="G584" s="29" t="s">
        <v>74</v>
      </c>
      <c r="H584" s="12" t="s">
        <v>318</v>
      </c>
      <c r="I584" s="29" t="s">
        <v>319</v>
      </c>
      <c r="J584" s="12" t="s">
        <v>35</v>
      </c>
      <c r="K584" s="14" t="s">
        <v>320</v>
      </c>
      <c r="L584" s="28" t="s">
        <v>94</v>
      </c>
      <c r="M584" s="29" t="s">
        <v>362</v>
      </c>
      <c r="N584" s="40">
        <v>6700.0</v>
      </c>
      <c r="O584" s="17">
        <f t="shared" si="9"/>
        <v>0.6343283582</v>
      </c>
      <c r="P584" s="39">
        <v>4250.0</v>
      </c>
      <c r="Q584" s="12" t="s">
        <v>39</v>
      </c>
      <c r="R584" s="12">
        <v>1369318.0</v>
      </c>
      <c r="S584" s="29" t="s">
        <v>40</v>
      </c>
      <c r="T584" s="19">
        <v>5451533.0</v>
      </c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</row>
    <row r="585" ht="15.75" customHeight="1">
      <c r="A585" s="9">
        <v>1.067634E7</v>
      </c>
      <c r="B585" s="82"/>
      <c r="C585" s="11">
        <v>45509.0</v>
      </c>
      <c r="D585" s="12">
        <v>26.0</v>
      </c>
      <c r="E585" s="26">
        <v>27033.0</v>
      </c>
      <c r="F585" s="38" t="s">
        <v>43</v>
      </c>
      <c r="G585" s="29" t="s">
        <v>44</v>
      </c>
      <c r="H585" s="12" t="s">
        <v>268</v>
      </c>
      <c r="I585" s="29" t="s">
        <v>397</v>
      </c>
      <c r="J585" s="12" t="s">
        <v>35</v>
      </c>
      <c r="K585" s="12" t="s">
        <v>270</v>
      </c>
      <c r="L585" s="28" t="s">
        <v>94</v>
      </c>
      <c r="M585" s="29" t="s">
        <v>52</v>
      </c>
      <c r="N585" s="40">
        <v>5460.0</v>
      </c>
      <c r="O585" s="17">
        <f t="shared" si="9"/>
        <v>0.7783882784</v>
      </c>
      <c r="P585" s="39">
        <v>4250.0</v>
      </c>
      <c r="Q585" s="12" t="s">
        <v>52</v>
      </c>
      <c r="R585" s="12" t="s">
        <v>52</v>
      </c>
      <c r="S585" s="29" t="s">
        <v>165</v>
      </c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</row>
    <row r="586" ht="15.75" customHeight="1">
      <c r="A586" s="9">
        <v>1.0676341E7</v>
      </c>
      <c r="B586" s="82"/>
      <c r="C586" s="11">
        <v>45509.0</v>
      </c>
      <c r="D586" s="12">
        <v>26.0</v>
      </c>
      <c r="E586" s="26">
        <v>32119.0</v>
      </c>
      <c r="F586" s="38" t="s">
        <v>43</v>
      </c>
      <c r="G586" s="29" t="s">
        <v>44</v>
      </c>
      <c r="H586" s="12" t="s">
        <v>268</v>
      </c>
      <c r="I586" s="29" t="s">
        <v>397</v>
      </c>
      <c r="J586" s="12" t="s">
        <v>35</v>
      </c>
      <c r="K586" s="12" t="s">
        <v>270</v>
      </c>
      <c r="L586" s="28" t="s">
        <v>94</v>
      </c>
      <c r="M586" s="29" t="s">
        <v>52</v>
      </c>
      <c r="N586" s="40">
        <v>5880.0</v>
      </c>
      <c r="O586" s="17">
        <f t="shared" si="9"/>
        <v>0.7227891156</v>
      </c>
      <c r="P586" s="39">
        <v>4250.0</v>
      </c>
      <c r="Q586" s="12" t="s">
        <v>52</v>
      </c>
      <c r="R586" s="12" t="s">
        <v>52</v>
      </c>
      <c r="S586" s="29" t="s">
        <v>165</v>
      </c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</row>
    <row r="587" ht="15.75" customHeight="1">
      <c r="A587" s="9">
        <v>1.0676342E7</v>
      </c>
      <c r="B587" s="82"/>
      <c r="C587" s="11">
        <v>45509.0</v>
      </c>
      <c r="D587" s="12" t="s">
        <v>52</v>
      </c>
      <c r="E587" s="26" t="s">
        <v>52</v>
      </c>
      <c r="F587" s="38" t="s">
        <v>43</v>
      </c>
      <c r="G587" s="29" t="s">
        <v>44</v>
      </c>
      <c r="H587" s="12" t="s">
        <v>429</v>
      </c>
      <c r="I587" s="12" t="s">
        <v>397</v>
      </c>
      <c r="J587" s="12" t="s">
        <v>270</v>
      </c>
      <c r="K587" s="12" t="s">
        <v>35</v>
      </c>
      <c r="L587" s="28" t="s">
        <v>43</v>
      </c>
      <c r="M587" s="29" t="s">
        <v>52</v>
      </c>
      <c r="N587" s="40">
        <v>3920.0</v>
      </c>
      <c r="O587" s="17">
        <f t="shared" si="9"/>
        <v>0.7015306122</v>
      </c>
      <c r="P587" s="39">
        <v>2750.0</v>
      </c>
      <c r="Q587" s="12" t="s">
        <v>52</v>
      </c>
      <c r="R587" s="12" t="s">
        <v>52</v>
      </c>
      <c r="S587" s="29" t="s">
        <v>165</v>
      </c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</row>
    <row r="588" ht="15.75" customHeight="1">
      <c r="A588" s="9">
        <v>1.0676343E7</v>
      </c>
      <c r="B588" s="82"/>
      <c r="C588" s="11">
        <v>45509.0</v>
      </c>
      <c r="D588" s="12" t="s">
        <v>52</v>
      </c>
      <c r="E588" s="26" t="s">
        <v>52</v>
      </c>
      <c r="F588" s="38" t="s">
        <v>43</v>
      </c>
      <c r="G588" s="25" t="s">
        <v>44</v>
      </c>
      <c r="H588" s="12" t="s">
        <v>430</v>
      </c>
      <c r="I588" s="29" t="s">
        <v>397</v>
      </c>
      <c r="J588" s="12" t="s">
        <v>270</v>
      </c>
      <c r="K588" s="12" t="s">
        <v>35</v>
      </c>
      <c r="L588" s="28" t="s">
        <v>43</v>
      </c>
      <c r="M588" s="29" t="s">
        <v>52</v>
      </c>
      <c r="N588" s="40">
        <v>3640.0</v>
      </c>
      <c r="O588" s="17">
        <f t="shared" si="9"/>
        <v>0.7554945055</v>
      </c>
      <c r="P588" s="39">
        <v>2750.0</v>
      </c>
      <c r="Q588" s="12" t="s">
        <v>52</v>
      </c>
      <c r="R588" s="12" t="s">
        <v>52</v>
      </c>
      <c r="S588" s="29" t="s">
        <v>165</v>
      </c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</row>
    <row r="589" ht="15.75" customHeight="1">
      <c r="A589" s="9">
        <v>1.067681E7</v>
      </c>
      <c r="B589" s="82"/>
      <c r="C589" s="11">
        <v>45519.0</v>
      </c>
      <c r="D589" s="12">
        <v>26.0</v>
      </c>
      <c r="E589" s="26">
        <v>30646.0</v>
      </c>
      <c r="F589" s="29" t="s">
        <v>31</v>
      </c>
      <c r="G589" s="25" t="s">
        <v>74</v>
      </c>
      <c r="H589" s="12" t="s">
        <v>308</v>
      </c>
      <c r="I589" s="29" t="s">
        <v>309</v>
      </c>
      <c r="J589" s="12" t="s">
        <v>35</v>
      </c>
      <c r="K589" s="12" t="s">
        <v>310</v>
      </c>
      <c r="L589" s="28" t="s">
        <v>94</v>
      </c>
      <c r="M589" s="29" t="s">
        <v>142</v>
      </c>
      <c r="N589" s="40">
        <v>7000.0</v>
      </c>
      <c r="O589" s="17">
        <f t="shared" si="9"/>
        <v>0.6071428571</v>
      </c>
      <c r="P589" s="39">
        <v>4250.0</v>
      </c>
      <c r="Q589" s="12" t="s">
        <v>39</v>
      </c>
      <c r="R589" s="12">
        <v>1376972.0</v>
      </c>
      <c r="S589" s="29" t="s">
        <v>40</v>
      </c>
      <c r="T589" s="19">
        <v>5494770.0</v>
      </c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</row>
    <row r="590" ht="15.75" customHeight="1">
      <c r="A590" s="9">
        <v>1.0677105E7</v>
      </c>
      <c r="B590" s="82"/>
      <c r="C590" s="11">
        <v>45511.0</v>
      </c>
      <c r="D590" s="12">
        <v>26.0</v>
      </c>
      <c r="E590" s="26">
        <v>31625.0</v>
      </c>
      <c r="F590" s="29" t="s">
        <v>31</v>
      </c>
      <c r="G590" s="25" t="s">
        <v>44</v>
      </c>
      <c r="H590" s="12" t="s">
        <v>268</v>
      </c>
      <c r="I590" s="29" t="s">
        <v>397</v>
      </c>
      <c r="J590" s="12" t="s">
        <v>35</v>
      </c>
      <c r="K590" s="12" t="s">
        <v>270</v>
      </c>
      <c r="L590" s="28" t="s">
        <v>94</v>
      </c>
      <c r="M590" s="29" t="s">
        <v>52</v>
      </c>
      <c r="N590" s="40">
        <v>6200.0</v>
      </c>
      <c r="O590" s="17">
        <f t="shared" si="9"/>
        <v>0.685483871</v>
      </c>
      <c r="P590" s="39">
        <v>4250.0</v>
      </c>
      <c r="Q590" s="12" t="s">
        <v>52</v>
      </c>
      <c r="R590" s="12" t="s">
        <v>52</v>
      </c>
      <c r="S590" s="29" t="s">
        <v>165</v>
      </c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</row>
    <row r="591" ht="15.75" customHeight="1">
      <c r="A591" s="9">
        <v>1.0677106E7</v>
      </c>
      <c r="B591" s="82"/>
      <c r="C591" s="11">
        <v>45509.0</v>
      </c>
      <c r="D591" s="12">
        <v>26.0</v>
      </c>
      <c r="E591" s="26">
        <v>31625.0</v>
      </c>
      <c r="F591" s="29" t="s">
        <v>31</v>
      </c>
      <c r="G591" s="25" t="s">
        <v>44</v>
      </c>
      <c r="H591" s="12" t="s">
        <v>268</v>
      </c>
      <c r="I591" s="29" t="s">
        <v>397</v>
      </c>
      <c r="J591" s="12" t="s">
        <v>35</v>
      </c>
      <c r="K591" s="12" t="s">
        <v>270</v>
      </c>
      <c r="L591" s="28" t="s">
        <v>94</v>
      </c>
      <c r="M591" s="29" t="s">
        <v>431</v>
      </c>
      <c r="N591" s="40">
        <v>6200.0</v>
      </c>
      <c r="O591" s="17">
        <f t="shared" si="9"/>
        <v>0.685483871</v>
      </c>
      <c r="P591" s="39">
        <v>4250.0</v>
      </c>
      <c r="Q591" s="12" t="s">
        <v>39</v>
      </c>
      <c r="R591" s="12">
        <v>1370793.0</v>
      </c>
      <c r="S591" s="29" t="s">
        <v>40</v>
      </c>
      <c r="T591" s="19">
        <v>5458658.0</v>
      </c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</row>
    <row r="592" ht="15.75" customHeight="1">
      <c r="A592" s="9">
        <v>1.0677107E7</v>
      </c>
      <c r="B592" s="82"/>
      <c r="C592" s="11">
        <v>45509.0</v>
      </c>
      <c r="D592" s="12">
        <v>26.0</v>
      </c>
      <c r="E592" s="26">
        <v>31625.0</v>
      </c>
      <c r="F592" s="29" t="s">
        <v>31</v>
      </c>
      <c r="G592" s="25" t="s">
        <v>44</v>
      </c>
      <c r="H592" s="12" t="s">
        <v>268</v>
      </c>
      <c r="I592" s="29" t="s">
        <v>397</v>
      </c>
      <c r="J592" s="12" t="s">
        <v>35</v>
      </c>
      <c r="K592" s="12" t="s">
        <v>270</v>
      </c>
      <c r="L592" s="28" t="s">
        <v>94</v>
      </c>
      <c r="M592" s="29" t="s">
        <v>345</v>
      </c>
      <c r="N592" s="40">
        <v>6200.0</v>
      </c>
      <c r="O592" s="17">
        <f t="shared" si="9"/>
        <v>0.685483871</v>
      </c>
      <c r="P592" s="39">
        <v>4250.0</v>
      </c>
      <c r="Q592" s="12" t="s">
        <v>39</v>
      </c>
      <c r="R592" s="12">
        <v>1370871.0</v>
      </c>
      <c r="S592" s="29" t="s">
        <v>40</v>
      </c>
      <c r="T592" s="19">
        <v>5459531.0</v>
      </c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</row>
    <row r="593" ht="15.75" customHeight="1">
      <c r="A593" s="9">
        <v>1.0677108E7</v>
      </c>
      <c r="B593" s="82"/>
      <c r="C593" s="11">
        <v>45512.0</v>
      </c>
      <c r="D593" s="12">
        <v>26.0</v>
      </c>
      <c r="E593" s="26">
        <v>31625.0</v>
      </c>
      <c r="F593" s="29" t="s">
        <v>31</v>
      </c>
      <c r="G593" s="25" t="s">
        <v>44</v>
      </c>
      <c r="H593" s="12" t="s">
        <v>268</v>
      </c>
      <c r="I593" s="29" t="s">
        <v>397</v>
      </c>
      <c r="J593" s="12" t="s">
        <v>35</v>
      </c>
      <c r="K593" s="12" t="s">
        <v>270</v>
      </c>
      <c r="L593" s="28" t="s">
        <v>94</v>
      </c>
      <c r="M593" s="29" t="s">
        <v>52</v>
      </c>
      <c r="N593" s="40">
        <v>6200.0</v>
      </c>
      <c r="O593" s="17">
        <f t="shared" si="9"/>
        <v>0.685483871</v>
      </c>
      <c r="P593" s="39">
        <v>4250.0</v>
      </c>
      <c r="Q593" s="12" t="s">
        <v>52</v>
      </c>
      <c r="R593" s="12" t="s">
        <v>52</v>
      </c>
      <c r="S593" s="29" t="s">
        <v>392</v>
      </c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</row>
    <row r="594" ht="15.75" customHeight="1">
      <c r="A594" s="9">
        <v>1.0677109E7</v>
      </c>
      <c r="B594" s="82"/>
      <c r="C594" s="11">
        <v>45510.0</v>
      </c>
      <c r="D594" s="12">
        <v>26.0</v>
      </c>
      <c r="E594" s="26">
        <v>31625.0</v>
      </c>
      <c r="F594" s="29" t="s">
        <v>31</v>
      </c>
      <c r="G594" s="25" t="s">
        <v>44</v>
      </c>
      <c r="H594" s="29" t="s">
        <v>268</v>
      </c>
      <c r="I594" s="29" t="s">
        <v>397</v>
      </c>
      <c r="J594" s="25" t="s">
        <v>35</v>
      </c>
      <c r="K594" s="12" t="s">
        <v>270</v>
      </c>
      <c r="L594" s="28" t="s">
        <v>94</v>
      </c>
      <c r="M594" s="29" t="s">
        <v>162</v>
      </c>
      <c r="N594" s="40">
        <v>6200.0</v>
      </c>
      <c r="O594" s="17">
        <f t="shared" si="9"/>
        <v>0.685483871</v>
      </c>
      <c r="P594" s="39">
        <v>4250.0</v>
      </c>
      <c r="Q594" s="12" t="s">
        <v>39</v>
      </c>
      <c r="R594" s="12">
        <v>1371923.0</v>
      </c>
      <c r="S594" s="29" t="s">
        <v>40</v>
      </c>
      <c r="T594" s="19">
        <v>5466235.0</v>
      </c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</row>
    <row r="595" ht="15.75" customHeight="1">
      <c r="A595" s="9">
        <v>1.067711E7</v>
      </c>
      <c r="B595" s="82"/>
      <c r="C595" s="11">
        <v>45512.0</v>
      </c>
      <c r="D595" s="12">
        <v>26.0</v>
      </c>
      <c r="E595" s="26">
        <v>31922.0</v>
      </c>
      <c r="F595" s="25" t="s">
        <v>31</v>
      </c>
      <c r="G595" s="25" t="s">
        <v>44</v>
      </c>
      <c r="H595" s="25" t="s">
        <v>268</v>
      </c>
      <c r="I595" s="25" t="s">
        <v>397</v>
      </c>
      <c r="J595" s="25" t="s">
        <v>35</v>
      </c>
      <c r="K595" s="25" t="s">
        <v>270</v>
      </c>
      <c r="L595" s="28" t="s">
        <v>94</v>
      </c>
      <c r="M595" s="29" t="s">
        <v>52</v>
      </c>
      <c r="N595" s="40">
        <v>6200.0</v>
      </c>
      <c r="O595" s="17">
        <f t="shared" si="9"/>
        <v>0.685483871</v>
      </c>
      <c r="P595" s="39">
        <v>4250.0</v>
      </c>
      <c r="Q595" s="12" t="s">
        <v>52</v>
      </c>
      <c r="R595" s="12" t="s">
        <v>52</v>
      </c>
      <c r="S595" s="29" t="s">
        <v>392</v>
      </c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</row>
    <row r="596" ht="15.75" customHeight="1">
      <c r="A596" s="9">
        <v>1.0677443E7</v>
      </c>
      <c r="B596" s="82"/>
      <c r="C596" s="11">
        <v>45512.0</v>
      </c>
      <c r="D596" s="12">
        <v>26.0</v>
      </c>
      <c r="E596" s="26">
        <v>32553.0</v>
      </c>
      <c r="F596" s="27" t="s">
        <v>43</v>
      </c>
      <c r="G596" s="25" t="s">
        <v>44</v>
      </c>
      <c r="H596" s="25" t="s">
        <v>268</v>
      </c>
      <c r="I596" s="25" t="s">
        <v>397</v>
      </c>
      <c r="J596" s="25" t="s">
        <v>35</v>
      </c>
      <c r="K596" s="25" t="s">
        <v>270</v>
      </c>
      <c r="L596" s="28" t="s">
        <v>94</v>
      </c>
      <c r="M596" s="29" t="s">
        <v>52</v>
      </c>
      <c r="N596" s="40">
        <v>5880.0</v>
      </c>
      <c r="O596" s="17">
        <f t="shared" si="9"/>
        <v>0.7227891156</v>
      </c>
      <c r="P596" s="39">
        <v>4250.0</v>
      </c>
      <c r="Q596" s="12" t="s">
        <v>52</v>
      </c>
      <c r="R596" s="12" t="s">
        <v>52</v>
      </c>
      <c r="S596" s="29" t="s">
        <v>165</v>
      </c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</row>
    <row r="597" ht="15.75" customHeight="1">
      <c r="A597" s="9">
        <v>1.0677444E7</v>
      </c>
      <c r="B597" s="82"/>
      <c r="C597" s="11">
        <v>45512.0</v>
      </c>
      <c r="D597" s="12" t="s">
        <v>52</v>
      </c>
      <c r="E597" s="26" t="s">
        <v>52</v>
      </c>
      <c r="F597" s="38" t="s">
        <v>43</v>
      </c>
      <c r="G597" s="25" t="s">
        <v>44</v>
      </c>
      <c r="H597" s="12" t="s">
        <v>432</v>
      </c>
      <c r="I597" s="29" t="s">
        <v>397</v>
      </c>
      <c r="J597" s="12" t="s">
        <v>270</v>
      </c>
      <c r="K597" s="12" t="s">
        <v>35</v>
      </c>
      <c r="L597" s="28" t="s">
        <v>43</v>
      </c>
      <c r="M597" s="29" t="s">
        <v>52</v>
      </c>
      <c r="N597" s="40">
        <v>3920.0</v>
      </c>
      <c r="O597" s="17">
        <f t="shared" si="9"/>
        <v>0.7015306122</v>
      </c>
      <c r="P597" s="39">
        <v>2750.0</v>
      </c>
      <c r="Q597" s="12" t="s">
        <v>52</v>
      </c>
      <c r="R597" s="12" t="s">
        <v>52</v>
      </c>
      <c r="S597" s="29" t="s">
        <v>165</v>
      </c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</row>
    <row r="598" ht="15.75" customHeight="1">
      <c r="A598" s="9">
        <v>1.0679628E7</v>
      </c>
      <c r="B598" s="82"/>
      <c r="C598" s="11">
        <v>45510.0</v>
      </c>
      <c r="D598" s="12">
        <v>26.0</v>
      </c>
      <c r="E598" s="26">
        <v>31922.0</v>
      </c>
      <c r="F598" s="29" t="s">
        <v>31</v>
      </c>
      <c r="G598" s="29" t="s">
        <v>74</v>
      </c>
      <c r="H598" s="12" t="s">
        <v>304</v>
      </c>
      <c r="I598" s="29" t="s">
        <v>305</v>
      </c>
      <c r="J598" s="12" t="s">
        <v>35</v>
      </c>
      <c r="K598" s="12" t="s">
        <v>306</v>
      </c>
      <c r="L598" s="25" t="s">
        <v>94</v>
      </c>
      <c r="M598" s="29" t="s">
        <v>184</v>
      </c>
      <c r="N598" s="40">
        <v>6500.0</v>
      </c>
      <c r="O598" s="17">
        <f t="shared" si="9"/>
        <v>0.6538461538</v>
      </c>
      <c r="P598" s="39">
        <v>4250.0</v>
      </c>
      <c r="Q598" s="12" t="s">
        <v>39</v>
      </c>
      <c r="R598" s="12">
        <v>1371921.0</v>
      </c>
      <c r="S598" s="29" t="s">
        <v>40</v>
      </c>
      <c r="T598" s="19">
        <v>5466220.0</v>
      </c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</row>
    <row r="599" ht="15.75" customHeight="1">
      <c r="A599" s="9">
        <v>1.0680721E7</v>
      </c>
      <c r="B599" s="82"/>
      <c r="C599" s="11">
        <v>45514.0</v>
      </c>
      <c r="D599" s="12">
        <v>20.0</v>
      </c>
      <c r="E599" s="26">
        <v>25716.0</v>
      </c>
      <c r="F599" s="29" t="s">
        <v>31</v>
      </c>
      <c r="G599" s="25" t="s">
        <v>74</v>
      </c>
      <c r="H599" s="12" t="s">
        <v>308</v>
      </c>
      <c r="I599" s="29" t="s">
        <v>309</v>
      </c>
      <c r="J599" s="12" t="s">
        <v>35</v>
      </c>
      <c r="K599" s="12" t="s">
        <v>310</v>
      </c>
      <c r="L599" s="28" t="s">
        <v>94</v>
      </c>
      <c r="M599" s="29" t="s">
        <v>433</v>
      </c>
      <c r="N599" s="40">
        <v>7000.0</v>
      </c>
      <c r="O599" s="17">
        <f t="shared" si="9"/>
        <v>0.6428571429</v>
      </c>
      <c r="P599" s="39">
        <v>4500.0</v>
      </c>
      <c r="Q599" s="12" t="s">
        <v>39</v>
      </c>
      <c r="R599" s="12">
        <v>1374150.0</v>
      </c>
      <c r="S599" s="29" t="s">
        <v>40</v>
      </c>
      <c r="T599" s="19">
        <v>5479719.0</v>
      </c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</row>
    <row r="600" ht="15.75" customHeight="1">
      <c r="A600" s="9">
        <v>1.0680808E7</v>
      </c>
      <c r="B600" s="82"/>
      <c r="C600" s="11">
        <v>45513.0</v>
      </c>
      <c r="D600" s="12">
        <v>20.0</v>
      </c>
      <c r="E600" s="26">
        <v>24327.0</v>
      </c>
      <c r="F600" s="29" t="s">
        <v>31</v>
      </c>
      <c r="G600" s="25" t="s">
        <v>32</v>
      </c>
      <c r="H600" s="12" t="s">
        <v>426</v>
      </c>
      <c r="I600" s="29" t="s">
        <v>427</v>
      </c>
      <c r="J600" s="12" t="s">
        <v>35</v>
      </c>
      <c r="K600" s="12" t="s">
        <v>428</v>
      </c>
      <c r="L600" s="28" t="s">
        <v>188</v>
      </c>
      <c r="M600" s="29" t="s">
        <v>49</v>
      </c>
      <c r="N600" s="40">
        <v>2231.0</v>
      </c>
      <c r="O600" s="17">
        <f t="shared" si="9"/>
        <v>0.761990139</v>
      </c>
      <c r="P600" s="39">
        <v>1700.0</v>
      </c>
      <c r="Q600" s="29" t="s">
        <v>39</v>
      </c>
      <c r="R600" s="29">
        <v>1373529.0</v>
      </c>
      <c r="S600" s="29" t="s">
        <v>40</v>
      </c>
      <c r="T600" s="19">
        <v>5475656.0</v>
      </c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</row>
    <row r="601" ht="15.75" customHeight="1">
      <c r="A601" s="9">
        <v>1.0681506E7</v>
      </c>
      <c r="B601" s="82"/>
      <c r="C601" s="11">
        <v>45516.0</v>
      </c>
      <c r="D601" s="12">
        <v>26.0</v>
      </c>
      <c r="E601" s="26">
        <v>32553.0</v>
      </c>
      <c r="F601" s="38" t="s">
        <v>43</v>
      </c>
      <c r="G601" s="25" t="s">
        <v>44</v>
      </c>
      <c r="H601" s="12" t="s">
        <v>268</v>
      </c>
      <c r="I601" s="29" t="s">
        <v>397</v>
      </c>
      <c r="J601" s="12" t="s">
        <v>35</v>
      </c>
      <c r="K601" s="12" t="s">
        <v>270</v>
      </c>
      <c r="L601" s="28" t="s">
        <v>94</v>
      </c>
      <c r="M601" s="29" t="s">
        <v>52</v>
      </c>
      <c r="N601" s="40">
        <v>5880.0</v>
      </c>
      <c r="O601" s="17">
        <f t="shared" si="9"/>
        <v>0.7227891156</v>
      </c>
      <c r="P601" s="39">
        <v>4250.0</v>
      </c>
      <c r="Q601" s="29" t="s">
        <v>52</v>
      </c>
      <c r="R601" s="29" t="s">
        <v>52</v>
      </c>
      <c r="S601" s="29" t="s">
        <v>165</v>
      </c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</row>
    <row r="602" ht="15.75" customHeight="1">
      <c r="A602" s="9">
        <v>1.0681507E7</v>
      </c>
      <c r="B602" s="82"/>
      <c r="C602" s="11">
        <v>45514.0</v>
      </c>
      <c r="D602" s="12">
        <v>26.0</v>
      </c>
      <c r="E602" s="26">
        <v>32553.0</v>
      </c>
      <c r="F602" s="38" t="s">
        <v>43</v>
      </c>
      <c r="G602" s="29" t="s">
        <v>44</v>
      </c>
      <c r="H602" s="12" t="s">
        <v>268</v>
      </c>
      <c r="I602" s="29" t="s">
        <v>397</v>
      </c>
      <c r="J602" s="12" t="s">
        <v>35</v>
      </c>
      <c r="K602" s="12" t="s">
        <v>270</v>
      </c>
      <c r="L602" s="28" t="s">
        <v>94</v>
      </c>
      <c r="M602" s="29" t="s">
        <v>52</v>
      </c>
      <c r="N602" s="40">
        <v>5880.0</v>
      </c>
      <c r="O602" s="17">
        <f t="shared" si="9"/>
        <v>0.7227891156</v>
      </c>
      <c r="P602" s="39">
        <v>4250.0</v>
      </c>
      <c r="Q602" s="12" t="s">
        <v>52</v>
      </c>
      <c r="R602" s="12" t="s">
        <v>52</v>
      </c>
      <c r="S602" s="29" t="s">
        <v>165</v>
      </c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</row>
    <row r="603" ht="15.75" customHeight="1">
      <c r="A603" s="9">
        <v>1.0683355E7</v>
      </c>
      <c r="B603" s="82"/>
      <c r="C603" s="11">
        <v>45516.0</v>
      </c>
      <c r="D603" s="12">
        <v>20.0</v>
      </c>
      <c r="E603" s="26">
        <v>25716.0</v>
      </c>
      <c r="F603" s="29" t="s">
        <v>31</v>
      </c>
      <c r="G603" s="29" t="s">
        <v>74</v>
      </c>
      <c r="H603" s="12" t="s">
        <v>308</v>
      </c>
      <c r="I603" s="12" t="s">
        <v>309</v>
      </c>
      <c r="J603" s="12" t="s">
        <v>35</v>
      </c>
      <c r="K603" s="12" t="s">
        <v>310</v>
      </c>
      <c r="L603" s="28" t="s">
        <v>94</v>
      </c>
      <c r="M603" s="12" t="s">
        <v>362</v>
      </c>
      <c r="N603" s="40">
        <v>7000.0</v>
      </c>
      <c r="O603" s="17">
        <f t="shared" si="9"/>
        <v>0.6071428571</v>
      </c>
      <c r="P603" s="39">
        <v>4250.0</v>
      </c>
      <c r="Q603" s="12" t="s">
        <v>39</v>
      </c>
      <c r="R603" s="12">
        <v>1375191.0</v>
      </c>
      <c r="S603" s="29" t="s">
        <v>40</v>
      </c>
      <c r="T603" s="19">
        <v>5483920.0</v>
      </c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</row>
    <row r="604" ht="15.75" customHeight="1">
      <c r="A604" s="9">
        <v>1.0683356E7</v>
      </c>
      <c r="B604" s="82"/>
      <c r="C604" s="11">
        <v>45516.0</v>
      </c>
      <c r="D604" s="12">
        <v>26.0</v>
      </c>
      <c r="E604" s="26">
        <v>33430.0</v>
      </c>
      <c r="F604" s="29" t="s">
        <v>31</v>
      </c>
      <c r="G604" s="29" t="s">
        <v>74</v>
      </c>
      <c r="H604" s="12" t="s">
        <v>308</v>
      </c>
      <c r="I604" s="12" t="s">
        <v>309</v>
      </c>
      <c r="J604" s="12" t="s">
        <v>35</v>
      </c>
      <c r="K604" s="12" t="s">
        <v>310</v>
      </c>
      <c r="L604" s="28" t="s">
        <v>94</v>
      </c>
      <c r="M604" s="12" t="s">
        <v>431</v>
      </c>
      <c r="N604" s="40">
        <v>7539.0</v>
      </c>
      <c r="O604" s="17">
        <f t="shared" si="9"/>
        <v>0.5637352434</v>
      </c>
      <c r="P604" s="39">
        <v>4250.0</v>
      </c>
      <c r="Q604" s="12" t="s">
        <v>39</v>
      </c>
      <c r="R604" s="12">
        <v>1375043.0</v>
      </c>
      <c r="S604" s="29" t="s">
        <v>40</v>
      </c>
      <c r="T604" s="19">
        <v>5483413.0</v>
      </c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</row>
    <row r="605" ht="15.75" customHeight="1">
      <c r="A605" s="9">
        <v>1.0684166E7</v>
      </c>
      <c r="B605" s="82"/>
      <c r="C605" s="11">
        <v>45517.0</v>
      </c>
      <c r="D605" s="12">
        <v>26.0</v>
      </c>
      <c r="E605" s="26">
        <v>32553.0</v>
      </c>
      <c r="F605" s="38" t="s">
        <v>43</v>
      </c>
      <c r="G605" s="25" t="s">
        <v>44</v>
      </c>
      <c r="H605" s="12" t="s">
        <v>268</v>
      </c>
      <c r="I605" s="29" t="s">
        <v>397</v>
      </c>
      <c r="J605" s="12" t="s">
        <v>35</v>
      </c>
      <c r="K605" s="12" t="s">
        <v>270</v>
      </c>
      <c r="L605" s="28" t="s">
        <v>94</v>
      </c>
      <c r="M605" s="29" t="s">
        <v>52</v>
      </c>
      <c r="N605" s="40">
        <v>5880.0</v>
      </c>
      <c r="O605" s="17">
        <f t="shared" si="9"/>
        <v>0.7227891156</v>
      </c>
      <c r="P605" s="39">
        <v>4250.0</v>
      </c>
      <c r="Q605" s="12" t="s">
        <v>52</v>
      </c>
      <c r="R605" s="12" t="s">
        <v>52</v>
      </c>
      <c r="S605" s="29" t="s">
        <v>165</v>
      </c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</row>
    <row r="606" ht="15.75" customHeight="1">
      <c r="A606" s="9">
        <v>1.0687945E7</v>
      </c>
      <c r="B606" s="82"/>
      <c r="C606" s="11">
        <v>45517.0</v>
      </c>
      <c r="D606" s="12">
        <v>26.0</v>
      </c>
      <c r="E606" s="26">
        <v>30969.0</v>
      </c>
      <c r="F606" s="38" t="s">
        <v>43</v>
      </c>
      <c r="G606" s="29" t="s">
        <v>32</v>
      </c>
      <c r="H606" s="12" t="s">
        <v>111</v>
      </c>
      <c r="I606" s="29" t="s">
        <v>112</v>
      </c>
      <c r="J606" s="12" t="s">
        <v>35</v>
      </c>
      <c r="K606" s="12" t="s">
        <v>113</v>
      </c>
      <c r="L606" s="25" t="s">
        <v>114</v>
      </c>
      <c r="M606" s="12" t="s">
        <v>52</v>
      </c>
      <c r="N606" s="40">
        <v>5226.0</v>
      </c>
      <c r="O606" s="17">
        <f t="shared" si="9"/>
        <v>0.6314580941</v>
      </c>
      <c r="P606" s="39">
        <v>3300.0</v>
      </c>
      <c r="Q606" s="12" t="s">
        <v>52</v>
      </c>
      <c r="R606" s="12" t="s">
        <v>52</v>
      </c>
      <c r="S606" s="29" t="s">
        <v>165</v>
      </c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</row>
    <row r="607" ht="15.75" customHeight="1">
      <c r="A607" s="9">
        <v>1.0688239E7</v>
      </c>
      <c r="B607" s="82"/>
      <c r="C607" s="11">
        <v>45516.0</v>
      </c>
      <c r="D607" s="12">
        <v>26.0</v>
      </c>
      <c r="E607" s="26">
        <v>32046.0</v>
      </c>
      <c r="F607" s="9" t="s">
        <v>43</v>
      </c>
      <c r="G607" s="25" t="s">
        <v>32</v>
      </c>
      <c r="H607" s="25" t="s">
        <v>265</v>
      </c>
      <c r="I607" s="28" t="s">
        <v>266</v>
      </c>
      <c r="J607" s="25" t="s">
        <v>35</v>
      </c>
      <c r="K607" s="25" t="s">
        <v>267</v>
      </c>
      <c r="L607" s="28" t="s">
        <v>94</v>
      </c>
      <c r="M607" s="29" t="s">
        <v>52</v>
      </c>
      <c r="N607" s="40">
        <v>5880.0</v>
      </c>
      <c r="O607" s="17">
        <f t="shared" si="9"/>
        <v>0.7227891156</v>
      </c>
      <c r="P607" s="39">
        <v>4250.0</v>
      </c>
      <c r="Q607" s="12" t="s">
        <v>52</v>
      </c>
      <c r="R607" s="12" t="s">
        <v>52</v>
      </c>
      <c r="S607" s="29" t="s">
        <v>165</v>
      </c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</row>
    <row r="608" ht="15.75" customHeight="1">
      <c r="A608" s="9">
        <v>1.069383E7</v>
      </c>
      <c r="B608" s="82"/>
      <c r="C608" s="11">
        <v>45518.0</v>
      </c>
      <c r="D608" s="12">
        <v>26.0</v>
      </c>
      <c r="E608" s="26">
        <v>33430.0</v>
      </c>
      <c r="F608" s="25" t="s">
        <v>31</v>
      </c>
      <c r="G608" s="25" t="s">
        <v>74</v>
      </c>
      <c r="H608" s="25" t="s">
        <v>422</v>
      </c>
      <c r="I608" s="28" t="s">
        <v>423</v>
      </c>
      <c r="J608" s="25" t="s">
        <v>35</v>
      </c>
      <c r="K608" s="25" t="s">
        <v>424</v>
      </c>
      <c r="L608" s="28" t="s">
        <v>188</v>
      </c>
      <c r="M608" s="12" t="s">
        <v>49</v>
      </c>
      <c r="N608" s="40">
        <v>3124.0</v>
      </c>
      <c r="O608" s="73">
        <f t="shared" si="9"/>
        <v>0.5441741357</v>
      </c>
      <c r="P608" s="39">
        <v>1700.0</v>
      </c>
      <c r="Q608" s="12" t="s">
        <v>39</v>
      </c>
      <c r="R608" s="12">
        <v>1376789.0</v>
      </c>
      <c r="S608" s="29" t="s">
        <v>40</v>
      </c>
      <c r="T608" s="19">
        <v>5493199.0</v>
      </c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</row>
    <row r="609" ht="15.75" customHeight="1">
      <c r="A609" s="9">
        <v>1.0695505E7</v>
      </c>
      <c r="B609" s="82"/>
      <c r="C609" s="11">
        <v>45518.0</v>
      </c>
      <c r="D609" s="12">
        <v>26.0</v>
      </c>
      <c r="E609" s="26">
        <v>32553.0</v>
      </c>
      <c r="F609" s="27" t="s">
        <v>43</v>
      </c>
      <c r="G609" s="25" t="s">
        <v>44</v>
      </c>
      <c r="H609" s="25" t="s">
        <v>268</v>
      </c>
      <c r="I609" s="25" t="s">
        <v>397</v>
      </c>
      <c r="J609" s="25" t="s">
        <v>35</v>
      </c>
      <c r="K609" s="25" t="s">
        <v>270</v>
      </c>
      <c r="L609" s="28" t="s">
        <v>94</v>
      </c>
      <c r="M609" s="12" t="s">
        <v>52</v>
      </c>
      <c r="N609" s="40">
        <v>5880.0</v>
      </c>
      <c r="O609" s="17">
        <f t="shared" si="9"/>
        <v>0.7227891156</v>
      </c>
      <c r="P609" s="39">
        <v>4250.0</v>
      </c>
      <c r="Q609" s="12" t="s">
        <v>52</v>
      </c>
      <c r="R609" s="12" t="s">
        <v>52</v>
      </c>
      <c r="S609" s="29" t="s">
        <v>165</v>
      </c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</row>
    <row r="610" ht="15.75" customHeight="1">
      <c r="A610" s="9">
        <v>1.0698191E7</v>
      </c>
      <c r="B610" s="82"/>
      <c r="C610" s="11">
        <v>45518.0</v>
      </c>
      <c r="D610" s="12">
        <v>26.0</v>
      </c>
      <c r="E610" s="26">
        <v>33430.0</v>
      </c>
      <c r="F610" s="25" t="s">
        <v>31</v>
      </c>
      <c r="G610" s="25" t="s">
        <v>44</v>
      </c>
      <c r="H610" s="25" t="s">
        <v>136</v>
      </c>
      <c r="I610" s="28" t="s">
        <v>137</v>
      </c>
      <c r="J610" s="25" t="s">
        <v>35</v>
      </c>
      <c r="K610" s="25" t="s">
        <v>138</v>
      </c>
      <c r="L610" s="28" t="s">
        <v>114</v>
      </c>
      <c r="M610" s="29" t="s">
        <v>128</v>
      </c>
      <c r="N610" s="40">
        <v>5446.0</v>
      </c>
      <c r="O610" s="73">
        <f t="shared" si="9"/>
        <v>0.734484025</v>
      </c>
      <c r="P610" s="39">
        <v>4000.0</v>
      </c>
      <c r="Q610" s="12" t="s">
        <v>39</v>
      </c>
      <c r="R610" s="12">
        <v>1376724.0</v>
      </c>
      <c r="S610" s="29" t="s">
        <v>40</v>
      </c>
      <c r="T610" s="19">
        <v>5492711.0</v>
      </c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</row>
    <row r="611" ht="15.75" customHeight="1">
      <c r="A611" s="9">
        <v>1.0700048E7</v>
      </c>
      <c r="B611" s="82"/>
      <c r="C611" s="11">
        <v>45518.0</v>
      </c>
      <c r="D611" s="12">
        <v>26.0</v>
      </c>
      <c r="E611" s="26">
        <v>32553.0</v>
      </c>
      <c r="F611" s="9" t="s">
        <v>43</v>
      </c>
      <c r="G611" s="25" t="s">
        <v>44</v>
      </c>
      <c r="H611" s="25" t="s">
        <v>45</v>
      </c>
      <c r="I611" s="25" t="s">
        <v>46</v>
      </c>
      <c r="J611" s="55" t="s">
        <v>35</v>
      </c>
      <c r="K611" s="55" t="s">
        <v>47</v>
      </c>
      <c r="L611" s="28" t="s">
        <v>108</v>
      </c>
      <c r="M611" s="12" t="s">
        <v>184</v>
      </c>
      <c r="N611" s="40">
        <v>2336.4</v>
      </c>
      <c r="O611" s="17">
        <f t="shared" si="9"/>
        <v>0.7276151344</v>
      </c>
      <c r="P611" s="39">
        <v>1700.0</v>
      </c>
      <c r="Q611" s="12" t="s">
        <v>39</v>
      </c>
      <c r="R611" s="12">
        <v>1376876.0</v>
      </c>
      <c r="S611" s="29" t="s">
        <v>40</v>
      </c>
      <c r="T611" s="19">
        <v>5493971.0</v>
      </c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</row>
    <row r="612" ht="15.75" customHeight="1">
      <c r="A612" s="9">
        <v>1.0700049E7</v>
      </c>
      <c r="B612" s="82"/>
      <c r="C612" s="11">
        <v>45518.0</v>
      </c>
      <c r="D612" s="12" t="s">
        <v>52</v>
      </c>
      <c r="E612" s="26" t="s">
        <v>52</v>
      </c>
      <c r="F612" s="27" t="s">
        <v>43</v>
      </c>
      <c r="G612" s="29" t="s">
        <v>44</v>
      </c>
      <c r="H612" s="12" t="s">
        <v>434</v>
      </c>
      <c r="I612" s="29" t="s">
        <v>46</v>
      </c>
      <c r="J612" s="55" t="s">
        <v>47</v>
      </c>
      <c r="K612" s="55" t="s">
        <v>35</v>
      </c>
      <c r="L612" s="28" t="s">
        <v>188</v>
      </c>
      <c r="M612" s="12"/>
      <c r="N612" s="40">
        <v>1557.5</v>
      </c>
      <c r="O612" s="17">
        <f t="shared" si="9"/>
        <v>0.4494382022</v>
      </c>
      <c r="P612" s="39">
        <v>700.0</v>
      </c>
      <c r="Q612" s="12"/>
      <c r="R612" s="12">
        <v>1377689.0</v>
      </c>
      <c r="S612" s="29" t="s">
        <v>40</v>
      </c>
      <c r="T612" s="19">
        <v>5498891.0</v>
      </c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</row>
    <row r="613" ht="15.75" customHeight="1">
      <c r="A613" s="9">
        <v>1.070005E7</v>
      </c>
      <c r="B613" s="82"/>
      <c r="C613" s="11">
        <v>45519.0</v>
      </c>
      <c r="D613" s="12">
        <v>26.0</v>
      </c>
      <c r="E613" s="26">
        <v>32553.0</v>
      </c>
      <c r="F613" s="38" t="s">
        <v>43</v>
      </c>
      <c r="G613" s="29" t="s">
        <v>44</v>
      </c>
      <c r="H613" s="12" t="s">
        <v>45</v>
      </c>
      <c r="I613" s="29" t="s">
        <v>46</v>
      </c>
      <c r="J613" s="14" t="s">
        <v>35</v>
      </c>
      <c r="K613" s="14" t="s">
        <v>47</v>
      </c>
      <c r="L613" s="28" t="s">
        <v>108</v>
      </c>
      <c r="M613" s="29" t="s">
        <v>52</v>
      </c>
      <c r="N613" s="40">
        <v>2336.4</v>
      </c>
      <c r="O613" s="17">
        <f t="shared" si="9"/>
        <v>0.7276151344</v>
      </c>
      <c r="P613" s="39">
        <v>1700.0</v>
      </c>
      <c r="Q613" s="12" t="s">
        <v>52</v>
      </c>
      <c r="R613" s="12" t="s">
        <v>52</v>
      </c>
      <c r="S613" s="29" t="s">
        <v>165</v>
      </c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</row>
    <row r="614" ht="15.75" customHeight="1">
      <c r="A614" s="9">
        <v>1.070226E7</v>
      </c>
      <c r="B614" s="82"/>
      <c r="C614" s="11">
        <v>45521.0</v>
      </c>
      <c r="D614" s="12">
        <v>26.0</v>
      </c>
      <c r="E614" s="26">
        <v>29861.0</v>
      </c>
      <c r="F614" s="38" t="s">
        <v>43</v>
      </c>
      <c r="G614" s="29" t="s">
        <v>44</v>
      </c>
      <c r="H614" s="12" t="s">
        <v>45</v>
      </c>
      <c r="I614" s="29" t="s">
        <v>46</v>
      </c>
      <c r="J614" s="14" t="s">
        <v>35</v>
      </c>
      <c r="K614" s="14" t="s">
        <v>47</v>
      </c>
      <c r="L614" s="28" t="s">
        <v>108</v>
      </c>
      <c r="M614" s="29" t="s">
        <v>52</v>
      </c>
      <c r="N614" s="40">
        <v>2169.28</v>
      </c>
      <c r="O614" s="17">
        <f t="shared" si="9"/>
        <v>0.7836701578</v>
      </c>
      <c r="P614" s="39">
        <v>1700.0</v>
      </c>
      <c r="Q614" s="12" t="s">
        <v>52</v>
      </c>
      <c r="R614" s="12" t="s">
        <v>52</v>
      </c>
      <c r="S614" s="29" t="s">
        <v>165</v>
      </c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</row>
    <row r="615" ht="15.75" customHeight="1">
      <c r="A615" s="9">
        <v>1.0702899E7</v>
      </c>
      <c r="B615" s="82"/>
      <c r="C615" s="11">
        <v>45524.0</v>
      </c>
      <c r="D615" s="12">
        <v>26.0</v>
      </c>
      <c r="E615" s="26">
        <v>31922.0</v>
      </c>
      <c r="F615" s="29" t="s">
        <v>31</v>
      </c>
      <c r="G615" s="29" t="s">
        <v>44</v>
      </c>
      <c r="H615" s="12" t="s">
        <v>268</v>
      </c>
      <c r="I615" s="29" t="s">
        <v>397</v>
      </c>
      <c r="J615" s="12" t="s">
        <v>35</v>
      </c>
      <c r="K615" s="12" t="s">
        <v>270</v>
      </c>
      <c r="L615" s="28" t="s">
        <v>94</v>
      </c>
      <c r="M615" s="29" t="s">
        <v>52</v>
      </c>
      <c r="N615" s="40">
        <v>6200.0</v>
      </c>
      <c r="O615" s="17">
        <f t="shared" si="9"/>
        <v>0.685483871</v>
      </c>
      <c r="P615" s="39">
        <v>4250.0</v>
      </c>
      <c r="Q615" s="12" t="s">
        <v>52</v>
      </c>
      <c r="R615" s="12" t="s">
        <v>52</v>
      </c>
      <c r="S615" s="29" t="s">
        <v>165</v>
      </c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</row>
    <row r="616" ht="15.75" customHeight="1">
      <c r="A616" s="9">
        <v>1.07029E7</v>
      </c>
      <c r="B616" s="82"/>
      <c r="C616" s="11">
        <v>45523.0</v>
      </c>
      <c r="D616" s="12">
        <v>26.0</v>
      </c>
      <c r="E616" s="26">
        <v>31922.0</v>
      </c>
      <c r="F616" s="29" t="s">
        <v>31</v>
      </c>
      <c r="G616" s="29" t="s">
        <v>74</v>
      </c>
      <c r="H616" s="12" t="s">
        <v>318</v>
      </c>
      <c r="I616" s="29" t="s">
        <v>319</v>
      </c>
      <c r="J616" s="12" t="s">
        <v>35</v>
      </c>
      <c r="K616" s="14" t="s">
        <v>320</v>
      </c>
      <c r="L616" s="28" t="s">
        <v>94</v>
      </c>
      <c r="M616" s="29" t="s">
        <v>184</v>
      </c>
      <c r="N616" s="40">
        <v>6700.0</v>
      </c>
      <c r="O616" s="17">
        <f t="shared" si="9"/>
        <v>0.7462686567</v>
      </c>
      <c r="P616" s="39">
        <v>5000.0</v>
      </c>
      <c r="Q616" s="12" t="s">
        <v>39</v>
      </c>
      <c r="R616" s="12">
        <v>1380017.0</v>
      </c>
      <c r="S616" s="29" t="s">
        <v>40</v>
      </c>
      <c r="T616" s="19">
        <v>5510055.0</v>
      </c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</row>
    <row r="617" ht="15.75" customHeight="1">
      <c r="A617" s="9">
        <v>1.0703031E7</v>
      </c>
      <c r="B617" s="82"/>
      <c r="C617" s="11">
        <v>45524.0</v>
      </c>
      <c r="D617" s="12">
        <v>26.0</v>
      </c>
      <c r="E617" s="26">
        <v>31922.0</v>
      </c>
      <c r="F617" s="25" t="s">
        <v>31</v>
      </c>
      <c r="G617" s="25" t="s">
        <v>44</v>
      </c>
      <c r="H617" s="25" t="s">
        <v>268</v>
      </c>
      <c r="I617" s="25" t="s">
        <v>397</v>
      </c>
      <c r="J617" s="25" t="s">
        <v>35</v>
      </c>
      <c r="K617" s="25" t="s">
        <v>270</v>
      </c>
      <c r="L617" s="28" t="s">
        <v>94</v>
      </c>
      <c r="M617" s="12" t="s">
        <v>52</v>
      </c>
      <c r="N617" s="40">
        <v>6200.0</v>
      </c>
      <c r="O617" s="17">
        <f t="shared" si="9"/>
        <v>0.685483871</v>
      </c>
      <c r="P617" s="39">
        <v>4250.0</v>
      </c>
      <c r="Q617" s="12" t="s">
        <v>52</v>
      </c>
      <c r="R617" s="12" t="s">
        <v>52</v>
      </c>
      <c r="S617" s="29" t="s">
        <v>165</v>
      </c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</row>
    <row r="618" ht="15.75" customHeight="1">
      <c r="A618" s="9">
        <v>1.0705157E7</v>
      </c>
      <c r="B618" s="82"/>
      <c r="C618" s="11">
        <v>45523.0</v>
      </c>
      <c r="D618" s="12">
        <v>26.0</v>
      </c>
      <c r="E618" s="26">
        <v>31922.0</v>
      </c>
      <c r="F618" s="25" t="s">
        <v>31</v>
      </c>
      <c r="G618" s="25" t="s">
        <v>74</v>
      </c>
      <c r="H618" s="25" t="s">
        <v>318</v>
      </c>
      <c r="I618" s="25" t="s">
        <v>319</v>
      </c>
      <c r="J618" s="25" t="s">
        <v>35</v>
      </c>
      <c r="K618" s="55" t="s">
        <v>320</v>
      </c>
      <c r="L618" s="28" t="s">
        <v>94</v>
      </c>
      <c r="M618" s="12" t="s">
        <v>52</v>
      </c>
      <c r="N618" s="40">
        <v>6700.0</v>
      </c>
      <c r="O618" s="17">
        <f t="shared" si="9"/>
        <v>0.6343283582</v>
      </c>
      <c r="P618" s="39">
        <v>4250.0</v>
      </c>
      <c r="Q618" s="12" t="s">
        <v>52</v>
      </c>
      <c r="R618" s="12" t="s">
        <v>52</v>
      </c>
      <c r="S618" s="29" t="s">
        <v>165</v>
      </c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</row>
    <row r="619" ht="15.75" customHeight="1">
      <c r="A619" s="9">
        <v>1.0705158E7</v>
      </c>
      <c r="B619" s="82"/>
      <c r="C619" s="11">
        <v>45524.0</v>
      </c>
      <c r="D619" s="12">
        <v>26.0</v>
      </c>
      <c r="E619" s="26">
        <v>31922.0</v>
      </c>
      <c r="F619" s="29" t="s">
        <v>31</v>
      </c>
      <c r="G619" s="25" t="s">
        <v>74</v>
      </c>
      <c r="H619" s="12" t="s">
        <v>318</v>
      </c>
      <c r="I619" s="29" t="s">
        <v>319</v>
      </c>
      <c r="J619" s="12" t="s">
        <v>35</v>
      </c>
      <c r="K619" s="12" t="s">
        <v>320</v>
      </c>
      <c r="L619" s="28" t="s">
        <v>94</v>
      </c>
      <c r="M619" s="29" t="s">
        <v>52</v>
      </c>
      <c r="N619" s="40">
        <v>6700.0</v>
      </c>
      <c r="O619" s="73">
        <f t="shared" si="9"/>
        <v>0.6343283582</v>
      </c>
      <c r="P619" s="39">
        <v>4250.0</v>
      </c>
      <c r="Q619" s="12" t="s">
        <v>52</v>
      </c>
      <c r="R619" s="12" t="s">
        <v>52</v>
      </c>
      <c r="S619" s="29" t="s">
        <v>165</v>
      </c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</row>
    <row r="620" ht="15.75" customHeight="1">
      <c r="A620" s="9">
        <v>1.0705399E7</v>
      </c>
      <c r="B620" s="82"/>
      <c r="C620" s="11">
        <v>45523.0</v>
      </c>
      <c r="D620" s="12">
        <v>26.0</v>
      </c>
      <c r="E620" s="26">
        <v>31922.0</v>
      </c>
      <c r="F620" s="29" t="s">
        <v>31</v>
      </c>
      <c r="G620" s="25" t="s">
        <v>74</v>
      </c>
      <c r="H620" s="12" t="s">
        <v>318</v>
      </c>
      <c r="I620" s="29" t="s">
        <v>319</v>
      </c>
      <c r="J620" s="12" t="s">
        <v>35</v>
      </c>
      <c r="K620" s="14" t="s">
        <v>320</v>
      </c>
      <c r="L620" s="28" t="s">
        <v>94</v>
      </c>
      <c r="M620" s="29" t="s">
        <v>433</v>
      </c>
      <c r="N620" s="40">
        <v>6700.0</v>
      </c>
      <c r="O620" s="17">
        <f t="shared" si="9"/>
        <v>0.6343283582</v>
      </c>
      <c r="P620" s="39">
        <v>4250.0</v>
      </c>
      <c r="Q620" s="12" t="s">
        <v>39</v>
      </c>
      <c r="R620" s="12">
        <v>1380365.0</v>
      </c>
      <c r="S620" s="29" t="s">
        <v>40</v>
      </c>
      <c r="T620" s="19">
        <v>5512498.0</v>
      </c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</row>
    <row r="621" ht="15.75" customHeight="1">
      <c r="A621" s="9">
        <v>1.0705955E7</v>
      </c>
      <c r="B621" s="82"/>
      <c r="C621" s="11">
        <v>45521.0</v>
      </c>
      <c r="D621" s="12">
        <v>26.0</v>
      </c>
      <c r="E621" s="26">
        <v>31625.0</v>
      </c>
      <c r="F621" s="29" t="s">
        <v>31</v>
      </c>
      <c r="G621" s="25" t="s">
        <v>44</v>
      </c>
      <c r="H621" s="12" t="s">
        <v>268</v>
      </c>
      <c r="I621" s="29" t="s">
        <v>397</v>
      </c>
      <c r="J621" s="12" t="s">
        <v>35</v>
      </c>
      <c r="K621" s="12" t="s">
        <v>270</v>
      </c>
      <c r="L621" s="28" t="s">
        <v>94</v>
      </c>
      <c r="M621" s="29" t="s">
        <v>52</v>
      </c>
      <c r="N621" s="40">
        <v>6200.0</v>
      </c>
      <c r="O621" s="17">
        <f t="shared" si="9"/>
        <v>0.685483871</v>
      </c>
      <c r="P621" s="39">
        <v>4250.0</v>
      </c>
      <c r="Q621" s="12" t="s">
        <v>52</v>
      </c>
      <c r="R621" s="12" t="s">
        <v>52</v>
      </c>
      <c r="S621" s="29" t="s">
        <v>165</v>
      </c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</row>
    <row r="622" ht="15.75" customHeight="1">
      <c r="A622" s="9">
        <v>1.0706356E7</v>
      </c>
      <c r="B622" s="82"/>
      <c r="C622" s="11">
        <v>45521.0</v>
      </c>
      <c r="D622" s="12">
        <v>26.0</v>
      </c>
      <c r="E622" s="26">
        <v>31917.0</v>
      </c>
      <c r="F622" s="29" t="s">
        <v>31</v>
      </c>
      <c r="G622" s="29" t="s">
        <v>44</v>
      </c>
      <c r="H622" s="12" t="s">
        <v>268</v>
      </c>
      <c r="I622" s="29" t="s">
        <v>397</v>
      </c>
      <c r="J622" s="12" t="s">
        <v>35</v>
      </c>
      <c r="K622" s="12" t="s">
        <v>270</v>
      </c>
      <c r="L622" s="28" t="s">
        <v>94</v>
      </c>
      <c r="M622" s="29" t="s">
        <v>52</v>
      </c>
      <c r="N622" s="40">
        <v>6200.0</v>
      </c>
      <c r="O622" s="17">
        <f t="shared" si="9"/>
        <v>0.685483871</v>
      </c>
      <c r="P622" s="39">
        <v>4250.0</v>
      </c>
      <c r="Q622" s="12" t="s">
        <v>52</v>
      </c>
      <c r="R622" s="12" t="s">
        <v>52</v>
      </c>
      <c r="S622" s="29" t="s">
        <v>165</v>
      </c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</row>
    <row r="623" ht="15.75" customHeight="1">
      <c r="A623" s="9">
        <v>1.0706358E7</v>
      </c>
      <c r="B623" s="82"/>
      <c r="C623" s="11">
        <v>45525.0</v>
      </c>
      <c r="D623" s="12">
        <v>26.0</v>
      </c>
      <c r="E623" s="26">
        <v>31625.0</v>
      </c>
      <c r="F623" s="25" t="s">
        <v>31</v>
      </c>
      <c r="G623" s="25" t="s">
        <v>44</v>
      </c>
      <c r="H623" s="25" t="s">
        <v>268</v>
      </c>
      <c r="I623" s="25" t="s">
        <v>397</v>
      </c>
      <c r="J623" s="25" t="s">
        <v>35</v>
      </c>
      <c r="K623" s="25" t="s">
        <v>270</v>
      </c>
      <c r="L623" s="28" t="s">
        <v>94</v>
      </c>
      <c r="M623" s="29" t="s">
        <v>52</v>
      </c>
      <c r="N623" s="40">
        <v>6200.0</v>
      </c>
      <c r="O623" s="17">
        <f t="shared" si="9"/>
        <v>0.685483871</v>
      </c>
      <c r="P623" s="39">
        <v>4250.0</v>
      </c>
      <c r="Q623" s="12" t="s">
        <v>52</v>
      </c>
      <c r="R623" s="12" t="s">
        <v>52</v>
      </c>
      <c r="S623" s="29" t="s">
        <v>165</v>
      </c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</row>
    <row r="624" ht="15.75" customHeight="1">
      <c r="A624" s="9">
        <v>1.0706719E7</v>
      </c>
      <c r="B624" s="82"/>
      <c r="C624" s="11">
        <v>45521.0</v>
      </c>
      <c r="D624" s="12">
        <v>26.0</v>
      </c>
      <c r="E624" s="26">
        <v>31599.0</v>
      </c>
      <c r="F624" s="25" t="s">
        <v>31</v>
      </c>
      <c r="G624" s="25" t="s">
        <v>44</v>
      </c>
      <c r="H624" s="25" t="s">
        <v>104</v>
      </c>
      <c r="I624" s="25" t="s">
        <v>105</v>
      </c>
      <c r="J624" s="25" t="s">
        <v>35</v>
      </c>
      <c r="K624" s="25" t="s">
        <v>106</v>
      </c>
      <c r="L624" s="25" t="s">
        <v>59</v>
      </c>
      <c r="M624" s="29" t="s">
        <v>52</v>
      </c>
      <c r="N624" s="40">
        <v>5053.0</v>
      </c>
      <c r="O624" s="17">
        <f t="shared" si="9"/>
        <v>0.5937067089</v>
      </c>
      <c r="P624" s="39">
        <v>3000.0</v>
      </c>
      <c r="Q624" s="12" t="s">
        <v>52</v>
      </c>
      <c r="R624" s="12" t="s">
        <v>52</v>
      </c>
      <c r="S624" s="29" t="s">
        <v>165</v>
      </c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</row>
    <row r="625" ht="15.75" customHeight="1">
      <c r="A625" s="9">
        <v>1.0706737E7</v>
      </c>
      <c r="B625" s="82"/>
      <c r="C625" s="11">
        <v>45521.0</v>
      </c>
      <c r="D625" s="12">
        <v>26.0</v>
      </c>
      <c r="E625" s="26">
        <v>31625.0</v>
      </c>
      <c r="F625" s="25" t="s">
        <v>31</v>
      </c>
      <c r="G625" s="25" t="s">
        <v>44</v>
      </c>
      <c r="H625" s="25" t="s">
        <v>104</v>
      </c>
      <c r="I625" s="25" t="s">
        <v>105</v>
      </c>
      <c r="J625" s="25" t="s">
        <v>35</v>
      </c>
      <c r="K625" s="25" t="s">
        <v>106</v>
      </c>
      <c r="L625" s="25" t="s">
        <v>59</v>
      </c>
      <c r="M625" s="29" t="s">
        <v>52</v>
      </c>
      <c r="N625" s="40">
        <v>5053.0</v>
      </c>
      <c r="O625" s="73">
        <f t="shared" si="9"/>
        <v>0.5937067089</v>
      </c>
      <c r="P625" s="39">
        <v>3000.0</v>
      </c>
      <c r="Q625" s="12" t="s">
        <v>52</v>
      </c>
      <c r="R625" s="12" t="s">
        <v>52</v>
      </c>
      <c r="S625" s="29" t="s">
        <v>165</v>
      </c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</row>
    <row r="626" ht="15.75" customHeight="1">
      <c r="A626" s="9">
        <v>1.0706738E7</v>
      </c>
      <c r="B626" s="82"/>
      <c r="C626" s="11">
        <v>45521.0</v>
      </c>
      <c r="D626" s="12">
        <v>26.0</v>
      </c>
      <c r="E626" s="26">
        <v>31625.0</v>
      </c>
      <c r="F626" s="29" t="s">
        <v>31</v>
      </c>
      <c r="G626" s="25" t="s">
        <v>44</v>
      </c>
      <c r="H626" s="12" t="s">
        <v>104</v>
      </c>
      <c r="I626" s="29" t="s">
        <v>105</v>
      </c>
      <c r="J626" s="12" t="s">
        <v>35</v>
      </c>
      <c r="K626" s="12" t="s">
        <v>106</v>
      </c>
      <c r="L626" s="25" t="s">
        <v>59</v>
      </c>
      <c r="M626" s="29" t="s">
        <v>52</v>
      </c>
      <c r="N626" s="40">
        <v>5053.0</v>
      </c>
      <c r="O626" s="73">
        <f t="shared" si="9"/>
        <v>0.5937067089</v>
      </c>
      <c r="P626" s="39">
        <v>3000.0</v>
      </c>
      <c r="Q626" s="29" t="s">
        <v>52</v>
      </c>
      <c r="R626" s="29" t="s">
        <v>52</v>
      </c>
      <c r="S626" s="29" t="s">
        <v>165</v>
      </c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</row>
    <row r="627" ht="15.75" customHeight="1">
      <c r="A627" s="9">
        <v>1.0708774E7</v>
      </c>
      <c r="B627" s="82"/>
      <c r="C627" s="11">
        <v>45525.0</v>
      </c>
      <c r="D627" s="12">
        <v>20.0</v>
      </c>
      <c r="E627" s="26">
        <v>24454.0</v>
      </c>
      <c r="F627" s="29" t="s">
        <v>31</v>
      </c>
      <c r="G627" s="25" t="s">
        <v>74</v>
      </c>
      <c r="H627" s="12" t="s">
        <v>414</v>
      </c>
      <c r="I627" s="39" t="s">
        <v>415</v>
      </c>
      <c r="J627" s="12" t="s">
        <v>35</v>
      </c>
      <c r="K627" s="12" t="s">
        <v>302</v>
      </c>
      <c r="L627" s="28" t="s">
        <v>59</v>
      </c>
      <c r="M627" s="29" t="s">
        <v>435</v>
      </c>
      <c r="N627" s="40">
        <v>4000.0</v>
      </c>
      <c r="O627" s="17">
        <f t="shared" si="9"/>
        <v>0.30685</v>
      </c>
      <c r="P627" s="39">
        <v>1227.4</v>
      </c>
      <c r="Q627" s="29" t="s">
        <v>39</v>
      </c>
      <c r="R627" s="29">
        <v>1381828.0</v>
      </c>
      <c r="S627" s="29" t="s">
        <v>40</v>
      </c>
      <c r="T627" s="19">
        <v>5520561.0</v>
      </c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</row>
    <row r="628" ht="15.75" customHeight="1">
      <c r="A628" s="9">
        <v>1.0708906E7</v>
      </c>
      <c r="B628" s="82"/>
      <c r="C628" s="11">
        <v>45521.0</v>
      </c>
      <c r="D628" s="12">
        <v>26.0</v>
      </c>
      <c r="E628" s="26">
        <v>31922.0</v>
      </c>
      <c r="F628" s="29" t="s">
        <v>31</v>
      </c>
      <c r="G628" s="25" t="s">
        <v>74</v>
      </c>
      <c r="H628" s="12" t="s">
        <v>304</v>
      </c>
      <c r="I628" s="29" t="s">
        <v>305</v>
      </c>
      <c r="J628" s="12" t="s">
        <v>35</v>
      </c>
      <c r="K628" s="12" t="s">
        <v>306</v>
      </c>
      <c r="L628" s="25" t="s">
        <v>94</v>
      </c>
      <c r="M628" s="29" t="s">
        <v>436</v>
      </c>
      <c r="N628" s="40">
        <v>6500.0</v>
      </c>
      <c r="O628" s="17">
        <f t="shared" si="9"/>
        <v>0.2782769231</v>
      </c>
      <c r="P628" s="39">
        <v>1808.8</v>
      </c>
      <c r="Q628" s="12" t="s">
        <v>39</v>
      </c>
      <c r="R628" s="12">
        <v>1378465.0</v>
      </c>
      <c r="S628" s="29" t="s">
        <v>40</v>
      </c>
      <c r="T628" s="19">
        <v>5504068.0</v>
      </c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</row>
    <row r="629" ht="15.75" customHeight="1">
      <c r="A629" s="9">
        <v>1.0708907E7</v>
      </c>
      <c r="B629" s="82"/>
      <c r="C629" s="11">
        <v>45521.0</v>
      </c>
      <c r="D629" s="12">
        <v>26.0</v>
      </c>
      <c r="E629" s="26">
        <v>31922.0</v>
      </c>
      <c r="F629" s="25" t="s">
        <v>31</v>
      </c>
      <c r="G629" s="25" t="s">
        <v>74</v>
      </c>
      <c r="H629" s="25" t="s">
        <v>304</v>
      </c>
      <c r="I629" s="25" t="s">
        <v>305</v>
      </c>
      <c r="J629" s="25" t="s">
        <v>35</v>
      </c>
      <c r="K629" s="25" t="s">
        <v>306</v>
      </c>
      <c r="L629" s="25" t="s">
        <v>94</v>
      </c>
      <c r="M629" s="29" t="s">
        <v>345</v>
      </c>
      <c r="N629" s="40">
        <v>6500.0</v>
      </c>
      <c r="O629" s="17">
        <f t="shared" si="9"/>
        <v>0.6538461538</v>
      </c>
      <c r="P629" s="39">
        <v>4250.0</v>
      </c>
      <c r="Q629" s="12" t="s">
        <v>39</v>
      </c>
      <c r="R629" s="12">
        <v>1378439.0</v>
      </c>
      <c r="S629" s="29" t="s">
        <v>40</v>
      </c>
      <c r="T629" s="19">
        <v>5503919.0</v>
      </c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</row>
    <row r="630" ht="15.75" customHeight="1">
      <c r="A630" s="9">
        <v>1.0708918E7</v>
      </c>
      <c r="B630" s="82"/>
      <c r="C630" s="11">
        <v>45521.0</v>
      </c>
      <c r="D630" s="12">
        <v>26.0</v>
      </c>
      <c r="E630" s="26">
        <v>31922.0</v>
      </c>
      <c r="F630" s="29" t="s">
        <v>31</v>
      </c>
      <c r="G630" s="25" t="s">
        <v>74</v>
      </c>
      <c r="H630" s="12" t="s">
        <v>304</v>
      </c>
      <c r="I630" s="29" t="s">
        <v>305</v>
      </c>
      <c r="J630" s="12" t="s">
        <v>35</v>
      </c>
      <c r="K630" s="12" t="s">
        <v>306</v>
      </c>
      <c r="L630" s="25" t="s">
        <v>94</v>
      </c>
      <c r="M630" s="29" t="s">
        <v>162</v>
      </c>
      <c r="N630" s="40">
        <v>6500.0</v>
      </c>
      <c r="O630" s="17">
        <f t="shared" si="9"/>
        <v>0.6538461538</v>
      </c>
      <c r="P630" s="39">
        <v>4250.0</v>
      </c>
      <c r="Q630" s="12" t="s">
        <v>39</v>
      </c>
      <c r="R630" s="12">
        <v>1378370.0</v>
      </c>
      <c r="S630" s="29" t="s">
        <v>40</v>
      </c>
      <c r="T630" s="19">
        <v>5503408.0</v>
      </c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</row>
    <row r="631" ht="15.75" customHeight="1">
      <c r="A631" s="9">
        <v>1.0709468E7</v>
      </c>
      <c r="B631" s="82"/>
      <c r="C631" s="11">
        <v>45524.0</v>
      </c>
      <c r="D631" s="12">
        <v>26.0</v>
      </c>
      <c r="E631" s="26">
        <v>31625.0</v>
      </c>
      <c r="F631" s="29" t="s">
        <v>31</v>
      </c>
      <c r="G631" s="25" t="s">
        <v>44</v>
      </c>
      <c r="H631" s="12" t="s">
        <v>268</v>
      </c>
      <c r="I631" s="29" t="s">
        <v>397</v>
      </c>
      <c r="J631" s="12" t="s">
        <v>35</v>
      </c>
      <c r="K631" s="12" t="s">
        <v>270</v>
      </c>
      <c r="L631" s="28" t="s">
        <v>94</v>
      </c>
      <c r="M631" s="29" t="s">
        <v>52</v>
      </c>
      <c r="N631" s="40">
        <v>6200.0</v>
      </c>
      <c r="O631" s="17">
        <f t="shared" si="9"/>
        <v>0.685483871</v>
      </c>
      <c r="P631" s="39">
        <v>4250.0</v>
      </c>
      <c r="Q631" s="29" t="s">
        <v>52</v>
      </c>
      <c r="R631" s="29" t="s">
        <v>52</v>
      </c>
      <c r="S631" s="29" t="s">
        <v>165</v>
      </c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</row>
    <row r="632" ht="15.75" customHeight="1">
      <c r="A632" s="9">
        <v>1.0709598E7</v>
      </c>
      <c r="B632" s="82"/>
      <c r="C632" s="11">
        <v>45523.0</v>
      </c>
      <c r="D632" s="12">
        <v>26.0</v>
      </c>
      <c r="E632" s="26">
        <v>31625.0</v>
      </c>
      <c r="F632" s="29" t="s">
        <v>31</v>
      </c>
      <c r="G632" s="29" t="s">
        <v>32</v>
      </c>
      <c r="H632" s="12" t="s">
        <v>265</v>
      </c>
      <c r="I632" s="15" t="s">
        <v>266</v>
      </c>
      <c r="J632" s="12" t="s">
        <v>35</v>
      </c>
      <c r="K632" s="12" t="s">
        <v>267</v>
      </c>
      <c r="L632" s="28" t="s">
        <v>114</v>
      </c>
      <c r="M632" s="29" t="s">
        <v>431</v>
      </c>
      <c r="N632" s="40">
        <v>6200.0</v>
      </c>
      <c r="O632" s="17">
        <f t="shared" si="9"/>
        <v>0.685483871</v>
      </c>
      <c r="P632" s="39">
        <v>4250.0</v>
      </c>
      <c r="Q632" s="12" t="s">
        <v>39</v>
      </c>
      <c r="R632" s="12">
        <v>1380031.0</v>
      </c>
      <c r="S632" s="29" t="s">
        <v>40</v>
      </c>
      <c r="T632" s="19">
        <v>5510107.0</v>
      </c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</row>
    <row r="633" ht="15.75" customHeight="1">
      <c r="A633" s="9">
        <v>1.0710192E7</v>
      </c>
      <c r="B633" s="82"/>
      <c r="C633" s="11">
        <v>45524.0</v>
      </c>
      <c r="D633" s="12">
        <v>26.0</v>
      </c>
      <c r="E633" s="26">
        <v>33430.0</v>
      </c>
      <c r="F633" s="29" t="s">
        <v>31</v>
      </c>
      <c r="G633" s="29" t="s">
        <v>74</v>
      </c>
      <c r="H633" s="12" t="s">
        <v>352</v>
      </c>
      <c r="I633" s="15"/>
      <c r="J633" s="12" t="s">
        <v>35</v>
      </c>
      <c r="K633" s="12" t="s">
        <v>437</v>
      </c>
      <c r="L633" s="28" t="s">
        <v>114</v>
      </c>
      <c r="M633" s="29" t="s">
        <v>52</v>
      </c>
      <c r="N633" s="40">
        <v>7581.0</v>
      </c>
      <c r="O633" s="17">
        <f t="shared" si="9"/>
        <v>0.5935892362</v>
      </c>
      <c r="P633" s="39">
        <v>4500.0</v>
      </c>
      <c r="Q633" s="12" t="s">
        <v>52</v>
      </c>
      <c r="R633" s="12" t="s">
        <v>52</v>
      </c>
      <c r="S633" s="29" t="s">
        <v>165</v>
      </c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</row>
    <row r="634" ht="15.75" customHeight="1">
      <c r="A634" s="9">
        <v>1.0712149E7</v>
      </c>
      <c r="B634" s="82"/>
      <c r="C634" s="11">
        <v>45526.0</v>
      </c>
      <c r="D634" s="12">
        <v>26.0</v>
      </c>
      <c r="E634" s="26">
        <v>33430.0</v>
      </c>
      <c r="F634" s="25" t="s">
        <v>31</v>
      </c>
      <c r="G634" s="25" t="s">
        <v>74</v>
      </c>
      <c r="H634" s="25" t="s">
        <v>352</v>
      </c>
      <c r="I634" s="28" t="s">
        <v>369</v>
      </c>
      <c r="J634" s="25" t="s">
        <v>35</v>
      </c>
      <c r="K634" s="25" t="s">
        <v>370</v>
      </c>
      <c r="L634" s="28" t="s">
        <v>94</v>
      </c>
      <c r="M634" s="29" t="s">
        <v>52</v>
      </c>
      <c r="N634" s="40">
        <v>6740.0</v>
      </c>
      <c r="O634" s="17">
        <f t="shared" si="9"/>
        <v>0.2678635015</v>
      </c>
      <c r="P634" s="39">
        <v>1805.4</v>
      </c>
      <c r="Q634" s="12" t="s">
        <v>52</v>
      </c>
      <c r="R634" s="12" t="s">
        <v>52</v>
      </c>
      <c r="S634" s="29" t="s">
        <v>392</v>
      </c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</row>
    <row r="635" ht="15.75" customHeight="1">
      <c r="A635" s="9">
        <v>1.0712157E7</v>
      </c>
      <c r="B635" s="82"/>
      <c r="C635" s="11">
        <v>45526.0</v>
      </c>
      <c r="D635" s="12">
        <v>26.0</v>
      </c>
      <c r="E635" s="26">
        <v>33430.0</v>
      </c>
      <c r="F635" s="25" t="s">
        <v>31</v>
      </c>
      <c r="G635" s="25" t="s">
        <v>74</v>
      </c>
      <c r="H635" s="25" t="s">
        <v>352</v>
      </c>
      <c r="I635" s="25" t="s">
        <v>353</v>
      </c>
      <c r="J635" s="25" t="s">
        <v>35</v>
      </c>
      <c r="K635" s="55" t="s">
        <v>354</v>
      </c>
      <c r="L635" s="28" t="s">
        <v>94</v>
      </c>
      <c r="M635" s="29" t="s">
        <v>128</v>
      </c>
      <c r="N635" s="40">
        <v>6590.0</v>
      </c>
      <c r="O635" s="17">
        <f t="shared" si="9"/>
        <v>0.6449165402</v>
      </c>
      <c r="P635" s="39">
        <v>4250.0</v>
      </c>
      <c r="Q635" s="12" t="s">
        <v>39</v>
      </c>
      <c r="R635" s="12">
        <v>1382829.0</v>
      </c>
      <c r="S635" s="29" t="s">
        <v>40</v>
      </c>
      <c r="T635" s="19">
        <v>5525419.0</v>
      </c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</row>
    <row r="636" ht="15.75" customHeight="1">
      <c r="A636" s="9">
        <v>1.0712737E7</v>
      </c>
      <c r="B636" s="82"/>
      <c r="C636" s="11">
        <v>45524.0</v>
      </c>
      <c r="D636" s="12">
        <v>26.0</v>
      </c>
      <c r="E636" s="26">
        <v>32191.0</v>
      </c>
      <c r="F636" s="27" t="s">
        <v>43</v>
      </c>
      <c r="G636" s="25" t="s">
        <v>32</v>
      </c>
      <c r="H636" s="25" t="s">
        <v>265</v>
      </c>
      <c r="I636" s="28" t="s">
        <v>266</v>
      </c>
      <c r="J636" s="25" t="s">
        <v>35</v>
      </c>
      <c r="K636" s="25" t="s">
        <v>267</v>
      </c>
      <c r="L636" s="28" t="s">
        <v>114</v>
      </c>
      <c r="M636" s="29" t="s">
        <v>52</v>
      </c>
      <c r="N636" s="40">
        <v>5880.0</v>
      </c>
      <c r="O636" s="17">
        <f t="shared" si="9"/>
        <v>0.7227891156</v>
      </c>
      <c r="P636" s="39">
        <v>4250.0</v>
      </c>
      <c r="Q636" s="12" t="s">
        <v>52</v>
      </c>
      <c r="R636" s="12" t="s">
        <v>52</v>
      </c>
      <c r="S636" s="29" t="s">
        <v>165</v>
      </c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</row>
    <row r="637" ht="15.75" customHeight="1">
      <c r="A637" s="9">
        <v>1.0712738E7</v>
      </c>
      <c r="B637" s="82"/>
      <c r="C637" s="11">
        <v>45524.0</v>
      </c>
      <c r="D637" s="12" t="s">
        <v>52</v>
      </c>
      <c r="E637" s="26" t="s">
        <v>52</v>
      </c>
      <c r="F637" s="27" t="s">
        <v>43</v>
      </c>
      <c r="G637" s="25" t="s">
        <v>32</v>
      </c>
      <c r="H637" s="25" t="s">
        <v>438</v>
      </c>
      <c r="I637" s="28" t="s">
        <v>266</v>
      </c>
      <c r="J637" s="25" t="s">
        <v>267</v>
      </c>
      <c r="K637" s="25" t="s">
        <v>35</v>
      </c>
      <c r="L637" s="28" t="s">
        <v>43</v>
      </c>
      <c r="M637" s="29" t="s">
        <v>52</v>
      </c>
      <c r="N637" s="40">
        <v>3920.0</v>
      </c>
      <c r="O637" s="17">
        <f t="shared" si="9"/>
        <v>0.7015306122</v>
      </c>
      <c r="P637" s="39">
        <v>2750.0</v>
      </c>
      <c r="Q637" s="12" t="s">
        <v>52</v>
      </c>
      <c r="R637" s="12" t="s">
        <v>52</v>
      </c>
      <c r="S637" s="29" t="s">
        <v>165</v>
      </c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</row>
    <row r="638" ht="15.75" customHeight="1">
      <c r="A638" s="9">
        <v>1.0712987E7</v>
      </c>
      <c r="B638" s="82"/>
      <c r="C638" s="11">
        <v>45526.0</v>
      </c>
      <c r="D638" s="12">
        <v>26.0</v>
      </c>
      <c r="E638" s="26">
        <v>32014.0</v>
      </c>
      <c r="F638" s="27" t="s">
        <v>43</v>
      </c>
      <c r="G638" s="25" t="s">
        <v>44</v>
      </c>
      <c r="H638" s="25" t="s">
        <v>45</v>
      </c>
      <c r="I638" s="25" t="s">
        <v>46</v>
      </c>
      <c r="J638" s="55" t="s">
        <v>35</v>
      </c>
      <c r="K638" s="55" t="s">
        <v>47</v>
      </c>
      <c r="L638" s="28" t="s">
        <v>108</v>
      </c>
      <c r="M638" s="29" t="s">
        <v>52</v>
      </c>
      <c r="N638" s="40">
        <v>2336.24</v>
      </c>
      <c r="O638" s="17">
        <f t="shared" si="9"/>
        <v>0.7276649659</v>
      </c>
      <c r="P638" s="39">
        <v>1700.0</v>
      </c>
      <c r="Q638" s="12" t="s">
        <v>52</v>
      </c>
      <c r="R638" s="12" t="s">
        <v>52</v>
      </c>
      <c r="S638" s="29" t="s">
        <v>165</v>
      </c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</row>
    <row r="639" ht="15.75" customHeight="1">
      <c r="A639" s="9">
        <v>1.0713008E7</v>
      </c>
      <c r="B639" s="82"/>
      <c r="C639" s="11">
        <v>45526.0</v>
      </c>
      <c r="D639" s="12">
        <v>26.0</v>
      </c>
      <c r="E639" s="26">
        <v>30125.0</v>
      </c>
      <c r="F639" s="9" t="s">
        <v>43</v>
      </c>
      <c r="G639" s="25" t="s">
        <v>44</v>
      </c>
      <c r="H639" s="25" t="s">
        <v>45</v>
      </c>
      <c r="I639" s="25" t="s">
        <v>46</v>
      </c>
      <c r="J639" s="55" t="s">
        <v>35</v>
      </c>
      <c r="K639" s="55" t="s">
        <v>47</v>
      </c>
      <c r="L639" s="28" t="s">
        <v>108</v>
      </c>
      <c r="M639" s="12" t="s">
        <v>52</v>
      </c>
      <c r="N639" s="40">
        <v>2169.28</v>
      </c>
      <c r="O639" s="17">
        <f t="shared" si="9"/>
        <v>0.7836701578</v>
      </c>
      <c r="P639" s="39">
        <v>1700.0</v>
      </c>
      <c r="Q639" s="12" t="s">
        <v>52</v>
      </c>
      <c r="R639" s="12" t="s">
        <v>52</v>
      </c>
      <c r="S639" s="29" t="s">
        <v>165</v>
      </c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</row>
    <row r="640" ht="15.75" customHeight="1">
      <c r="A640" s="9">
        <v>1.0715969E7</v>
      </c>
      <c r="B640" s="82"/>
      <c r="C640" s="11">
        <v>45528.0</v>
      </c>
      <c r="D640" s="12">
        <v>26.0</v>
      </c>
      <c r="E640" s="26">
        <v>33139.0</v>
      </c>
      <c r="F640" s="12" t="s">
        <v>31</v>
      </c>
      <c r="G640" s="29" t="s">
        <v>74</v>
      </c>
      <c r="H640" s="12" t="s">
        <v>262</v>
      </c>
      <c r="I640" s="25" t="s">
        <v>263</v>
      </c>
      <c r="J640" s="25" t="s">
        <v>35</v>
      </c>
      <c r="K640" s="12" t="s">
        <v>264</v>
      </c>
      <c r="L640" s="28" t="s">
        <v>59</v>
      </c>
      <c r="M640" s="29" t="s">
        <v>345</v>
      </c>
      <c r="N640" s="40">
        <v>5008.0</v>
      </c>
      <c r="O640" s="17">
        <f t="shared" si="9"/>
        <v>0.5990415335</v>
      </c>
      <c r="P640" s="39">
        <v>3000.0</v>
      </c>
      <c r="Q640" s="29" t="s">
        <v>39</v>
      </c>
      <c r="R640" s="29">
        <v>1384952.0</v>
      </c>
      <c r="S640" s="29" t="s">
        <v>40</v>
      </c>
      <c r="T640" s="19">
        <v>5532457.0</v>
      </c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</row>
    <row r="641" ht="15.75" customHeight="1">
      <c r="A641" s="9">
        <v>1.0716828E7</v>
      </c>
      <c r="B641" s="82"/>
      <c r="C641" s="11">
        <v>45525.0</v>
      </c>
      <c r="D641" s="12">
        <v>26.0</v>
      </c>
      <c r="E641" s="26">
        <v>31636.0</v>
      </c>
      <c r="F641" s="12" t="s">
        <v>31</v>
      </c>
      <c r="G641" s="29" t="s">
        <v>32</v>
      </c>
      <c r="H641" s="12" t="s">
        <v>265</v>
      </c>
      <c r="I641" s="28" t="s">
        <v>266</v>
      </c>
      <c r="J641" s="25" t="s">
        <v>35</v>
      </c>
      <c r="K641" s="12" t="s">
        <v>267</v>
      </c>
      <c r="L641" s="28" t="s">
        <v>114</v>
      </c>
      <c r="M641" s="29" t="s">
        <v>52</v>
      </c>
      <c r="N641" s="40">
        <v>6200.0</v>
      </c>
      <c r="O641" s="17">
        <f t="shared" si="9"/>
        <v>0.685483871</v>
      </c>
      <c r="P641" s="39">
        <v>4250.0</v>
      </c>
      <c r="Q641" s="29" t="s">
        <v>52</v>
      </c>
      <c r="R641" s="29" t="s">
        <v>52</v>
      </c>
      <c r="S641" s="29" t="s">
        <v>165</v>
      </c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</row>
    <row r="642" ht="15.75" customHeight="1">
      <c r="A642" s="9">
        <v>1.0717104E7</v>
      </c>
      <c r="B642" s="82"/>
      <c r="C642" s="11">
        <v>45530.0</v>
      </c>
      <c r="D642" s="12">
        <v>26.0</v>
      </c>
      <c r="E642" s="26">
        <v>32553.0</v>
      </c>
      <c r="F642" s="9" t="s">
        <v>43</v>
      </c>
      <c r="G642" s="29" t="s">
        <v>44</v>
      </c>
      <c r="H642" s="12" t="s">
        <v>268</v>
      </c>
      <c r="I642" s="25" t="s">
        <v>397</v>
      </c>
      <c r="J642" s="25" t="s">
        <v>35</v>
      </c>
      <c r="K642" s="12" t="s">
        <v>270</v>
      </c>
      <c r="L642" s="28" t="s">
        <v>94</v>
      </c>
      <c r="M642" s="29" t="s">
        <v>433</v>
      </c>
      <c r="N642" s="40">
        <v>5880.0</v>
      </c>
      <c r="O642" s="17">
        <f t="shared" si="9"/>
        <v>0.7227891156</v>
      </c>
      <c r="P642" s="39">
        <v>4250.0</v>
      </c>
      <c r="Q642" s="12" t="s">
        <v>39</v>
      </c>
      <c r="R642" s="12">
        <v>1388390.0</v>
      </c>
      <c r="S642" s="29" t="s">
        <v>40</v>
      </c>
      <c r="T642" s="19">
        <v>5537339.0</v>
      </c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</row>
    <row r="643" ht="15.75" customHeight="1">
      <c r="A643" s="9">
        <v>1.0717105E7</v>
      </c>
      <c r="B643" s="82"/>
      <c r="C643" s="11">
        <v>45530.0</v>
      </c>
      <c r="D643" s="12">
        <v>26.0</v>
      </c>
      <c r="E643" s="26">
        <v>32553.0</v>
      </c>
      <c r="F643" s="9" t="s">
        <v>43</v>
      </c>
      <c r="G643" s="29" t="s">
        <v>44</v>
      </c>
      <c r="H643" s="12" t="s">
        <v>268</v>
      </c>
      <c r="I643" s="25" t="s">
        <v>397</v>
      </c>
      <c r="J643" s="25" t="s">
        <v>35</v>
      </c>
      <c r="K643" s="12" t="s">
        <v>270</v>
      </c>
      <c r="L643" s="28" t="s">
        <v>94</v>
      </c>
      <c r="M643" s="12" t="s">
        <v>52</v>
      </c>
      <c r="N643" s="40">
        <v>5880.0</v>
      </c>
      <c r="O643" s="17">
        <f t="shared" si="9"/>
        <v>0.7227891156</v>
      </c>
      <c r="P643" s="39">
        <v>4250.0</v>
      </c>
      <c r="Q643" s="12" t="s">
        <v>52</v>
      </c>
      <c r="R643" s="12" t="s">
        <v>52</v>
      </c>
      <c r="S643" s="29" t="s">
        <v>165</v>
      </c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</row>
    <row r="644" ht="15.75" customHeight="1">
      <c r="A644" s="9">
        <v>1.0717106E7</v>
      </c>
      <c r="B644" s="82"/>
      <c r="C644" s="11">
        <v>45530.0</v>
      </c>
      <c r="D644" s="12" t="s">
        <v>52</v>
      </c>
      <c r="E644" s="26" t="s">
        <v>52</v>
      </c>
      <c r="F644" s="38" t="s">
        <v>43</v>
      </c>
      <c r="G644" s="25" t="s">
        <v>44</v>
      </c>
      <c r="H644" s="12" t="s">
        <v>439</v>
      </c>
      <c r="I644" s="29" t="s">
        <v>397</v>
      </c>
      <c r="J644" s="12" t="s">
        <v>270</v>
      </c>
      <c r="K644" s="12" t="s">
        <v>35</v>
      </c>
      <c r="L644" s="28" t="s">
        <v>43</v>
      </c>
      <c r="M644" s="29"/>
      <c r="N644" s="40">
        <v>3920.0</v>
      </c>
      <c r="O644" s="17">
        <f t="shared" si="9"/>
        <v>0.7015306122</v>
      </c>
      <c r="P644" s="39">
        <v>2750.0</v>
      </c>
      <c r="Q644" s="12"/>
      <c r="R644" s="12">
        <v>1390556.0</v>
      </c>
      <c r="S644" s="29" t="s">
        <v>40</v>
      </c>
      <c r="T644" s="19">
        <v>5545479.0</v>
      </c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</row>
    <row r="645" ht="15.75" customHeight="1">
      <c r="A645" s="9">
        <v>1.0719824E7</v>
      </c>
      <c r="B645" s="82"/>
      <c r="C645" s="11">
        <v>45530.0</v>
      </c>
      <c r="D645" s="12">
        <v>26.0</v>
      </c>
      <c r="E645" s="26">
        <v>33139.0</v>
      </c>
      <c r="F645" s="29" t="s">
        <v>31</v>
      </c>
      <c r="G645" s="29" t="s">
        <v>74</v>
      </c>
      <c r="H645" s="12" t="s">
        <v>262</v>
      </c>
      <c r="I645" s="29" t="s">
        <v>263</v>
      </c>
      <c r="J645" s="12" t="s">
        <v>35</v>
      </c>
      <c r="K645" s="12" t="s">
        <v>264</v>
      </c>
      <c r="L645" s="28" t="s">
        <v>59</v>
      </c>
      <c r="M645" s="29" t="s">
        <v>278</v>
      </c>
      <c r="N645" s="40">
        <v>5008.0</v>
      </c>
      <c r="O645" s="17">
        <f t="shared" si="9"/>
        <v>0.5990415335</v>
      </c>
      <c r="P645" s="39">
        <v>3000.0</v>
      </c>
      <c r="Q645" s="29" t="s">
        <v>39</v>
      </c>
      <c r="R645" s="29">
        <v>1388965.0</v>
      </c>
      <c r="S645" s="29" t="s">
        <v>40</v>
      </c>
      <c r="T645" s="19">
        <v>5539923.0</v>
      </c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</row>
    <row r="646" ht="15.75" customHeight="1">
      <c r="A646" s="9">
        <v>1.0719825E7</v>
      </c>
      <c r="B646" s="82"/>
      <c r="C646" s="11">
        <v>45530.0</v>
      </c>
      <c r="D646" s="12">
        <v>26.0</v>
      </c>
      <c r="E646" s="26">
        <v>33139.0</v>
      </c>
      <c r="F646" s="29" t="s">
        <v>31</v>
      </c>
      <c r="G646" s="29" t="s">
        <v>74</v>
      </c>
      <c r="H646" s="25" t="s">
        <v>262</v>
      </c>
      <c r="I646" s="25" t="s">
        <v>263</v>
      </c>
      <c r="J646" s="25" t="s">
        <v>35</v>
      </c>
      <c r="K646" s="25" t="s">
        <v>264</v>
      </c>
      <c r="L646" s="28" t="s">
        <v>59</v>
      </c>
      <c r="M646" s="29" t="s">
        <v>159</v>
      </c>
      <c r="N646" s="40">
        <v>5008.0</v>
      </c>
      <c r="O646" s="17">
        <f t="shared" si="9"/>
        <v>0.5990415335</v>
      </c>
      <c r="P646" s="39">
        <v>3000.0</v>
      </c>
      <c r="Q646" s="12" t="s">
        <v>39</v>
      </c>
      <c r="R646" s="12">
        <v>1388492.0</v>
      </c>
      <c r="S646" s="29" t="s">
        <v>40</v>
      </c>
      <c r="T646" s="19">
        <v>5537774.0</v>
      </c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</row>
    <row r="647" ht="15.75" customHeight="1">
      <c r="A647" s="9">
        <v>1.0719826E7</v>
      </c>
      <c r="B647" s="82"/>
      <c r="C647" s="11">
        <v>45530.0</v>
      </c>
      <c r="D647" s="12">
        <v>26.0</v>
      </c>
      <c r="E647" s="26">
        <v>33139.0</v>
      </c>
      <c r="F647" s="29" t="s">
        <v>31</v>
      </c>
      <c r="G647" s="29" t="s">
        <v>74</v>
      </c>
      <c r="H647" s="25" t="s">
        <v>262</v>
      </c>
      <c r="I647" s="25" t="s">
        <v>263</v>
      </c>
      <c r="J647" s="25" t="s">
        <v>35</v>
      </c>
      <c r="K647" s="25" t="s">
        <v>264</v>
      </c>
      <c r="L647" s="28" t="s">
        <v>59</v>
      </c>
      <c r="M647" s="29" t="s">
        <v>184</v>
      </c>
      <c r="N647" s="40">
        <v>5008.0</v>
      </c>
      <c r="O647" s="17">
        <f t="shared" si="9"/>
        <v>0.5990415335</v>
      </c>
      <c r="P647" s="39">
        <v>3000.0</v>
      </c>
      <c r="Q647" s="12" t="s">
        <v>39</v>
      </c>
      <c r="R647" s="12">
        <v>1388395.0</v>
      </c>
      <c r="S647" s="29" t="s">
        <v>40</v>
      </c>
      <c r="T647" s="19">
        <v>5537368.0</v>
      </c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</row>
    <row r="648" ht="15.75" customHeight="1">
      <c r="A648" s="9">
        <v>1.0719827E7</v>
      </c>
      <c r="B648" s="82"/>
      <c r="C648" s="11">
        <v>45530.0</v>
      </c>
      <c r="D648" s="12">
        <v>26.0</v>
      </c>
      <c r="E648" s="26">
        <v>33139.0</v>
      </c>
      <c r="F648" s="29" t="s">
        <v>31</v>
      </c>
      <c r="G648" s="29" t="s">
        <v>74</v>
      </c>
      <c r="H648" s="25" t="s">
        <v>262</v>
      </c>
      <c r="I648" s="25" t="s">
        <v>263</v>
      </c>
      <c r="J648" s="25" t="s">
        <v>35</v>
      </c>
      <c r="K648" s="25" t="s">
        <v>264</v>
      </c>
      <c r="L648" s="28" t="s">
        <v>59</v>
      </c>
      <c r="M648" s="29" t="s">
        <v>162</v>
      </c>
      <c r="N648" s="40">
        <v>5008.0</v>
      </c>
      <c r="O648" s="17">
        <f t="shared" si="9"/>
        <v>0.5990415335</v>
      </c>
      <c r="P648" s="39">
        <v>3000.0</v>
      </c>
      <c r="Q648" s="12" t="s">
        <v>39</v>
      </c>
      <c r="R648" s="12">
        <v>1388408.0</v>
      </c>
      <c r="S648" s="29" t="s">
        <v>40</v>
      </c>
      <c r="T648" s="19">
        <v>5537440.0</v>
      </c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</row>
    <row r="649" ht="15.75" customHeight="1">
      <c r="A649" s="9">
        <v>1.0721158E7</v>
      </c>
      <c r="B649" s="82"/>
      <c r="C649" s="11">
        <v>45526.0</v>
      </c>
      <c r="D649" s="12">
        <v>26.0</v>
      </c>
      <c r="E649" s="26">
        <v>31625.0</v>
      </c>
      <c r="F649" s="29" t="s">
        <v>31</v>
      </c>
      <c r="G649" s="29" t="s">
        <v>44</v>
      </c>
      <c r="H649" s="25" t="s">
        <v>268</v>
      </c>
      <c r="I649" s="25" t="s">
        <v>397</v>
      </c>
      <c r="J649" s="25" t="s">
        <v>35</v>
      </c>
      <c r="K649" s="25" t="s">
        <v>270</v>
      </c>
      <c r="L649" s="28" t="s">
        <v>94</v>
      </c>
      <c r="M649" s="29" t="s">
        <v>440</v>
      </c>
      <c r="N649" s="40">
        <v>6200.0</v>
      </c>
      <c r="O649" s="17">
        <f t="shared" si="9"/>
        <v>0.2911935484</v>
      </c>
      <c r="P649" s="39">
        <v>1805.4</v>
      </c>
      <c r="Q649" s="12" t="s">
        <v>39</v>
      </c>
      <c r="R649" s="12">
        <v>1382810.0</v>
      </c>
      <c r="S649" s="29" t="s">
        <v>40</v>
      </c>
      <c r="T649" s="19">
        <v>5525344.0</v>
      </c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</row>
    <row r="650" ht="15.75" customHeight="1">
      <c r="A650" s="9">
        <v>1.0721159E7</v>
      </c>
      <c r="B650" s="82"/>
      <c r="C650" s="11">
        <v>45526.0</v>
      </c>
      <c r="D650" s="12">
        <v>26.0</v>
      </c>
      <c r="E650" s="26">
        <v>31625.0</v>
      </c>
      <c r="F650" s="25" t="s">
        <v>31</v>
      </c>
      <c r="G650" s="25" t="s">
        <v>44</v>
      </c>
      <c r="H650" s="25" t="s">
        <v>268</v>
      </c>
      <c r="I650" s="25" t="s">
        <v>397</v>
      </c>
      <c r="J650" s="25" t="s">
        <v>35</v>
      </c>
      <c r="K650" s="25" t="s">
        <v>270</v>
      </c>
      <c r="L650" s="28" t="s">
        <v>94</v>
      </c>
      <c r="M650" s="29" t="s">
        <v>441</v>
      </c>
      <c r="N650" s="40">
        <v>6200.0</v>
      </c>
      <c r="O650" s="17">
        <f t="shared" si="9"/>
        <v>0.2911935484</v>
      </c>
      <c r="P650" s="39">
        <v>1805.4</v>
      </c>
      <c r="Q650" s="12" t="s">
        <v>39</v>
      </c>
      <c r="R650" s="12">
        <v>1382863.0</v>
      </c>
      <c r="S650" s="29" t="s">
        <v>40</v>
      </c>
      <c r="T650" s="19">
        <v>5525591.0</v>
      </c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</row>
    <row r="651" ht="15.75" customHeight="1">
      <c r="A651" s="9">
        <v>1.0723122E7</v>
      </c>
      <c r="B651" s="82"/>
      <c r="C651" s="11">
        <v>45527.0</v>
      </c>
      <c r="D651" s="12">
        <v>26.0</v>
      </c>
      <c r="E651" s="26">
        <v>33139.0</v>
      </c>
      <c r="F651" s="29" t="s">
        <v>31</v>
      </c>
      <c r="G651" s="29" t="s">
        <v>74</v>
      </c>
      <c r="H651" s="12" t="s">
        <v>422</v>
      </c>
      <c r="I651" s="39" t="s">
        <v>423</v>
      </c>
      <c r="J651" s="12" t="s">
        <v>35</v>
      </c>
      <c r="K651" s="12" t="s">
        <v>424</v>
      </c>
      <c r="L651" s="28" t="s">
        <v>188</v>
      </c>
      <c r="M651" s="29" t="s">
        <v>49</v>
      </c>
      <c r="N651" s="40">
        <v>3124.0</v>
      </c>
      <c r="O651" s="17">
        <f t="shared" si="9"/>
        <v>0.5441741357</v>
      </c>
      <c r="P651" s="39">
        <v>1700.0</v>
      </c>
      <c r="Q651" s="12" t="s">
        <v>39</v>
      </c>
      <c r="R651" s="12">
        <v>1384689.0</v>
      </c>
      <c r="S651" s="29" t="s">
        <v>40</v>
      </c>
      <c r="T651" s="19">
        <v>5531502.0</v>
      </c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</row>
    <row r="652" ht="15.75" customHeight="1">
      <c r="A652" s="9">
        <v>1.0723123E7</v>
      </c>
      <c r="B652" s="82"/>
      <c r="C652" s="11">
        <v>45528.0</v>
      </c>
      <c r="D652" s="12">
        <v>26.0</v>
      </c>
      <c r="E652" s="26">
        <v>33139.0</v>
      </c>
      <c r="F652" s="29" t="s">
        <v>31</v>
      </c>
      <c r="G652" s="25" t="s">
        <v>74</v>
      </c>
      <c r="H652" s="12" t="s">
        <v>422</v>
      </c>
      <c r="I652" s="39" t="s">
        <v>423</v>
      </c>
      <c r="J652" s="12" t="s">
        <v>35</v>
      </c>
      <c r="K652" s="12" t="s">
        <v>424</v>
      </c>
      <c r="L652" s="28" t="s">
        <v>188</v>
      </c>
      <c r="M652" s="29" t="s">
        <v>442</v>
      </c>
      <c r="N652" s="40">
        <v>3124.0</v>
      </c>
      <c r="O652" s="17">
        <f t="shared" si="9"/>
        <v>0.1458386684</v>
      </c>
      <c r="P652" s="39">
        <v>455.6</v>
      </c>
      <c r="Q652" s="29" t="s">
        <v>39</v>
      </c>
      <c r="R652" s="29">
        <v>1385690.0</v>
      </c>
      <c r="S652" s="29" t="s">
        <v>40</v>
      </c>
      <c r="T652" s="19">
        <v>5533617.0</v>
      </c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</row>
    <row r="653" ht="15.75" customHeight="1">
      <c r="A653" s="9">
        <v>1.0723124E7</v>
      </c>
      <c r="B653" s="82"/>
      <c r="C653" s="11">
        <v>45527.0</v>
      </c>
      <c r="D653" s="12">
        <v>26.0</v>
      </c>
      <c r="E653" s="26">
        <v>33139.0</v>
      </c>
      <c r="F653" s="29" t="s">
        <v>31</v>
      </c>
      <c r="G653" s="25" t="s">
        <v>74</v>
      </c>
      <c r="H653" s="12" t="s">
        <v>422</v>
      </c>
      <c r="I653" s="39" t="s">
        <v>423</v>
      </c>
      <c r="J653" s="12" t="s">
        <v>35</v>
      </c>
      <c r="K653" s="12" t="s">
        <v>424</v>
      </c>
      <c r="L653" s="28" t="s">
        <v>188</v>
      </c>
      <c r="M653" s="29" t="s">
        <v>443</v>
      </c>
      <c r="N653" s="40">
        <v>3124.0</v>
      </c>
      <c r="O653" s="17">
        <f t="shared" si="9"/>
        <v>0.1458386684</v>
      </c>
      <c r="P653" s="39">
        <v>455.6</v>
      </c>
      <c r="Q653" s="29" t="s">
        <v>39</v>
      </c>
      <c r="R653" s="29">
        <v>1384548.0</v>
      </c>
      <c r="S653" s="29" t="s">
        <v>40</v>
      </c>
      <c r="T653" s="19">
        <v>5531002.0</v>
      </c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</row>
    <row r="654" ht="15.75" customHeight="1">
      <c r="A654" s="9">
        <v>1.0723125E7</v>
      </c>
      <c r="B654" s="82"/>
      <c r="C654" s="11">
        <v>45527.0</v>
      </c>
      <c r="D654" s="12">
        <v>26.0</v>
      </c>
      <c r="E654" s="26">
        <v>33139.0</v>
      </c>
      <c r="F654" s="29" t="s">
        <v>31</v>
      </c>
      <c r="G654" s="29" t="s">
        <v>74</v>
      </c>
      <c r="H654" s="12" t="s">
        <v>422</v>
      </c>
      <c r="I654" s="15" t="s">
        <v>423</v>
      </c>
      <c r="J654" s="12" t="s">
        <v>35</v>
      </c>
      <c r="K654" s="12" t="s">
        <v>424</v>
      </c>
      <c r="L654" s="28" t="s">
        <v>188</v>
      </c>
      <c r="M654" s="29" t="s">
        <v>278</v>
      </c>
      <c r="N654" s="40">
        <v>3436.0</v>
      </c>
      <c r="O654" s="17">
        <f t="shared" si="9"/>
        <v>0.4947613504</v>
      </c>
      <c r="P654" s="39">
        <v>1700.0</v>
      </c>
      <c r="Q654" s="29" t="s">
        <v>39</v>
      </c>
      <c r="R654" s="29">
        <v>1384876.0</v>
      </c>
      <c r="S654" s="29" t="s">
        <v>40</v>
      </c>
      <c r="T654" s="19">
        <v>5532215.0</v>
      </c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</row>
    <row r="655" ht="15.75" customHeight="1">
      <c r="A655" s="9">
        <v>1.0723127E7</v>
      </c>
      <c r="B655" s="82"/>
      <c r="C655" s="11">
        <v>45531.0</v>
      </c>
      <c r="D655" s="12">
        <v>26.0</v>
      </c>
      <c r="E655" s="26">
        <v>31900.0</v>
      </c>
      <c r="F655" s="29" t="s">
        <v>31</v>
      </c>
      <c r="G655" s="29" t="s">
        <v>74</v>
      </c>
      <c r="H655" s="12" t="s">
        <v>318</v>
      </c>
      <c r="I655" s="12" t="s">
        <v>319</v>
      </c>
      <c r="J655" s="12" t="s">
        <v>35</v>
      </c>
      <c r="K655" s="12" t="s">
        <v>320</v>
      </c>
      <c r="L655" s="28" t="s">
        <v>94</v>
      </c>
      <c r="M655" s="29" t="s">
        <v>52</v>
      </c>
      <c r="N655" s="40">
        <v>6700.0</v>
      </c>
      <c r="O655" s="17">
        <f t="shared" si="9"/>
        <v>0.6343283582</v>
      </c>
      <c r="P655" s="39">
        <v>4250.0</v>
      </c>
      <c r="Q655" s="29" t="s">
        <v>52</v>
      </c>
      <c r="R655" s="29" t="s">
        <v>52</v>
      </c>
      <c r="S655" s="29" t="s">
        <v>165</v>
      </c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</row>
    <row r="656" ht="15.75" customHeight="1">
      <c r="A656" s="9">
        <v>1.0723128E7</v>
      </c>
      <c r="B656" s="82"/>
      <c r="C656" s="11">
        <v>45531.0</v>
      </c>
      <c r="D656" s="12">
        <v>26.0</v>
      </c>
      <c r="E656" s="26">
        <v>31900.0</v>
      </c>
      <c r="F656" s="29" t="s">
        <v>31</v>
      </c>
      <c r="G656" s="25" t="s">
        <v>74</v>
      </c>
      <c r="H656" s="12" t="s">
        <v>318</v>
      </c>
      <c r="I656" s="29" t="s">
        <v>319</v>
      </c>
      <c r="J656" s="12" t="s">
        <v>35</v>
      </c>
      <c r="K656" s="12" t="s">
        <v>320</v>
      </c>
      <c r="L656" s="28" t="s">
        <v>94</v>
      </c>
      <c r="M656" s="29" t="s">
        <v>52</v>
      </c>
      <c r="N656" s="40">
        <v>6700.0</v>
      </c>
      <c r="O656" s="17">
        <f t="shared" si="9"/>
        <v>0.6343283582</v>
      </c>
      <c r="P656" s="39">
        <v>4250.0</v>
      </c>
      <c r="Q656" s="29" t="s">
        <v>52</v>
      </c>
      <c r="R656" s="29" t="s">
        <v>52</v>
      </c>
      <c r="S656" s="29" t="s">
        <v>165</v>
      </c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</row>
    <row r="657" ht="15.75" customHeight="1">
      <c r="A657" s="9">
        <v>1.0723137E7</v>
      </c>
      <c r="B657" s="82"/>
      <c r="C657" s="11">
        <v>45531.0</v>
      </c>
      <c r="D657" s="12">
        <v>26.0</v>
      </c>
      <c r="E657" s="26">
        <v>31900.0</v>
      </c>
      <c r="F657" s="29" t="s">
        <v>31</v>
      </c>
      <c r="G657" s="29" t="s">
        <v>74</v>
      </c>
      <c r="H657" s="12" t="s">
        <v>318</v>
      </c>
      <c r="I657" s="12" t="s">
        <v>319</v>
      </c>
      <c r="J657" s="12" t="s">
        <v>35</v>
      </c>
      <c r="K657" s="12" t="s">
        <v>320</v>
      </c>
      <c r="L657" s="28" t="s">
        <v>94</v>
      </c>
      <c r="M657" s="29" t="s">
        <v>52</v>
      </c>
      <c r="N657" s="40">
        <v>6700.0</v>
      </c>
      <c r="O657" s="17">
        <f t="shared" si="9"/>
        <v>0.6343283582</v>
      </c>
      <c r="P657" s="39">
        <v>4250.0</v>
      </c>
      <c r="Q657" s="12" t="s">
        <v>52</v>
      </c>
      <c r="R657" s="12" t="s">
        <v>52</v>
      </c>
      <c r="S657" s="29" t="s">
        <v>165</v>
      </c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</row>
    <row r="658" ht="15.75" customHeight="1">
      <c r="A658" s="86">
        <v>1.0723193E7</v>
      </c>
      <c r="B658" s="82"/>
      <c r="C658" s="11">
        <v>45531.0</v>
      </c>
      <c r="D658" s="12">
        <v>26.0</v>
      </c>
      <c r="E658" s="26">
        <v>33139.0</v>
      </c>
      <c r="F658" s="29" t="s">
        <v>31</v>
      </c>
      <c r="G658" s="29" t="s">
        <v>74</v>
      </c>
      <c r="H658" s="12" t="s">
        <v>262</v>
      </c>
      <c r="I658" s="12" t="s">
        <v>263</v>
      </c>
      <c r="J658" s="12" t="s">
        <v>35</v>
      </c>
      <c r="K658" s="12" t="s">
        <v>264</v>
      </c>
      <c r="L658" s="28" t="s">
        <v>59</v>
      </c>
      <c r="M658" s="29" t="s">
        <v>49</v>
      </c>
      <c r="N658" s="40">
        <v>5008.0</v>
      </c>
      <c r="O658" s="17">
        <f t="shared" si="9"/>
        <v>0.5990415335</v>
      </c>
      <c r="P658" s="39">
        <v>3000.0</v>
      </c>
      <c r="Q658" s="12" t="s">
        <v>39</v>
      </c>
      <c r="R658" s="12">
        <v>1389754.0</v>
      </c>
      <c r="S658" s="29" t="s">
        <v>40</v>
      </c>
      <c r="T658" s="19">
        <v>5542058.0</v>
      </c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</row>
    <row r="659" ht="15.75" customHeight="1">
      <c r="A659" s="86">
        <v>1.0723194E7</v>
      </c>
      <c r="B659" s="82"/>
      <c r="C659" s="11">
        <v>45531.0</v>
      </c>
      <c r="D659" s="12">
        <v>26.0</v>
      </c>
      <c r="E659" s="26">
        <v>33139.0</v>
      </c>
      <c r="F659" s="25" t="s">
        <v>31</v>
      </c>
      <c r="G659" s="25" t="s">
        <v>74</v>
      </c>
      <c r="H659" s="29" t="s">
        <v>262</v>
      </c>
      <c r="I659" s="29" t="s">
        <v>263</v>
      </c>
      <c r="J659" s="25" t="s">
        <v>35</v>
      </c>
      <c r="K659" s="12" t="s">
        <v>264</v>
      </c>
      <c r="L659" s="28" t="s">
        <v>59</v>
      </c>
      <c r="M659" s="29" t="s">
        <v>443</v>
      </c>
      <c r="N659" s="40">
        <v>5008.0</v>
      </c>
      <c r="O659" s="17">
        <f t="shared" si="9"/>
        <v>0.2484824281</v>
      </c>
      <c r="P659" s="39">
        <v>1244.4</v>
      </c>
      <c r="Q659" s="29" t="s">
        <v>39</v>
      </c>
      <c r="R659" s="12">
        <v>1389749.0</v>
      </c>
      <c r="S659" s="29" t="s">
        <v>40</v>
      </c>
      <c r="T659" s="19">
        <v>5542038.0</v>
      </c>
      <c r="U659" s="12"/>
      <c r="V659" s="12"/>
      <c r="W659" s="12"/>
      <c r="X659" s="12"/>
      <c r="Y659" s="12"/>
      <c r="Z659" s="12"/>
      <c r="AA659" s="12"/>
      <c r="AB659" s="84">
        <v>745612.0</v>
      </c>
      <c r="AC659" s="12"/>
      <c r="AD659" s="12"/>
      <c r="AE659" s="12"/>
      <c r="AF659" s="1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</row>
    <row r="660" ht="15.75" customHeight="1">
      <c r="A660" s="9">
        <v>1.0727005E7</v>
      </c>
      <c r="B660" s="82"/>
      <c r="C660" s="11">
        <v>45532.0</v>
      </c>
      <c r="D660" s="12">
        <v>25.0</v>
      </c>
      <c r="E660" s="26">
        <v>31865.0</v>
      </c>
      <c r="F660" s="29" t="s">
        <v>31</v>
      </c>
      <c r="G660" s="25" t="s">
        <v>74</v>
      </c>
      <c r="H660" s="12" t="s">
        <v>262</v>
      </c>
      <c r="I660" s="29" t="s">
        <v>263</v>
      </c>
      <c r="J660" s="12" t="s">
        <v>35</v>
      </c>
      <c r="K660" s="12" t="s">
        <v>264</v>
      </c>
      <c r="L660" s="28" t="s">
        <v>59</v>
      </c>
      <c r="M660" s="29" t="s">
        <v>444</v>
      </c>
      <c r="N660" s="40">
        <v>4650.0</v>
      </c>
      <c r="O660" s="73">
        <f t="shared" si="9"/>
        <v>0.2676129032</v>
      </c>
      <c r="P660" s="39">
        <v>1244.4</v>
      </c>
      <c r="Q660" s="29" t="s">
        <v>107</v>
      </c>
      <c r="R660" s="12">
        <v>1391282.0</v>
      </c>
      <c r="S660" s="29" t="s">
        <v>40</v>
      </c>
      <c r="T660" s="19">
        <v>5547681.0</v>
      </c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</row>
    <row r="661" ht="15.75" customHeight="1">
      <c r="A661" s="9">
        <v>1.0727114E7</v>
      </c>
      <c r="B661" s="82"/>
      <c r="C661" s="11">
        <v>45532.0</v>
      </c>
      <c r="D661" s="12">
        <v>26.0</v>
      </c>
      <c r="E661" s="26">
        <v>32553.0</v>
      </c>
      <c r="F661" s="38" t="s">
        <v>43</v>
      </c>
      <c r="G661" s="25" t="s">
        <v>32</v>
      </c>
      <c r="H661" s="12" t="s">
        <v>265</v>
      </c>
      <c r="I661" s="39" t="s">
        <v>266</v>
      </c>
      <c r="J661" s="12" t="s">
        <v>35</v>
      </c>
      <c r="K661" s="12" t="s">
        <v>267</v>
      </c>
      <c r="L661" s="28" t="s">
        <v>114</v>
      </c>
      <c r="M661" s="29" t="s">
        <v>445</v>
      </c>
      <c r="N661" s="40">
        <v>5880.0</v>
      </c>
      <c r="O661" s="73">
        <f t="shared" si="9"/>
        <v>0.7227891156</v>
      </c>
      <c r="P661" s="39">
        <v>4250.0</v>
      </c>
      <c r="Q661" s="29" t="s">
        <v>107</v>
      </c>
      <c r="R661" s="12">
        <v>1391309.0</v>
      </c>
      <c r="S661" s="29" t="s">
        <v>40</v>
      </c>
      <c r="T661" s="19">
        <v>5547807.0</v>
      </c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</row>
    <row r="662" ht="15.75" customHeight="1">
      <c r="A662" s="9">
        <v>1.0727115E7</v>
      </c>
      <c r="B662" s="82"/>
      <c r="C662" s="11">
        <v>45532.0</v>
      </c>
      <c r="D662" s="12" t="s">
        <v>52</v>
      </c>
      <c r="E662" s="26" t="s">
        <v>52</v>
      </c>
      <c r="F662" s="38" t="s">
        <v>43</v>
      </c>
      <c r="G662" s="29" t="s">
        <v>32</v>
      </c>
      <c r="H662" s="12" t="s">
        <v>446</v>
      </c>
      <c r="I662" s="28" t="s">
        <v>266</v>
      </c>
      <c r="J662" s="25" t="s">
        <v>267</v>
      </c>
      <c r="K662" s="12" t="s">
        <v>35</v>
      </c>
      <c r="L662" s="28" t="s">
        <v>43</v>
      </c>
      <c r="M662" s="29"/>
      <c r="N662" s="40">
        <v>3920.0</v>
      </c>
      <c r="O662" s="73">
        <f t="shared" si="9"/>
        <v>0.7015306122</v>
      </c>
      <c r="P662" s="39">
        <v>2750.0</v>
      </c>
      <c r="Q662" s="12"/>
      <c r="R662" s="12">
        <v>1392346.0</v>
      </c>
      <c r="S662" s="29" t="s">
        <v>40</v>
      </c>
      <c r="T662" s="19">
        <v>5553278.0</v>
      </c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</row>
    <row r="663" ht="15.75" customHeight="1">
      <c r="A663" s="9">
        <v>1.0728353E7</v>
      </c>
      <c r="B663" s="82"/>
      <c r="C663" s="11">
        <v>45529.0</v>
      </c>
      <c r="D663" s="12">
        <v>26.0</v>
      </c>
      <c r="E663" s="26">
        <v>31922.0</v>
      </c>
      <c r="F663" s="29" t="s">
        <v>31</v>
      </c>
      <c r="G663" s="29" t="s">
        <v>44</v>
      </c>
      <c r="H663" s="12" t="s">
        <v>268</v>
      </c>
      <c r="I663" s="25" t="s">
        <v>397</v>
      </c>
      <c r="J663" s="12" t="s">
        <v>35</v>
      </c>
      <c r="K663" s="25" t="s">
        <v>270</v>
      </c>
      <c r="L663" s="28" t="s">
        <v>94</v>
      </c>
      <c r="M663" s="29" t="s">
        <v>52</v>
      </c>
      <c r="N663" s="40">
        <v>6200.0</v>
      </c>
      <c r="O663" s="17">
        <f t="shared" si="9"/>
        <v>0.685483871</v>
      </c>
      <c r="P663" s="39">
        <v>4250.0</v>
      </c>
      <c r="Q663" s="12" t="s">
        <v>52</v>
      </c>
      <c r="R663" s="12" t="s">
        <v>52</v>
      </c>
      <c r="S663" s="29" t="s">
        <v>165</v>
      </c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</row>
    <row r="664" ht="15.75" customHeight="1">
      <c r="A664" s="9">
        <v>1.0730231E7</v>
      </c>
      <c r="B664" s="82"/>
      <c r="C664" s="11">
        <v>45534.0</v>
      </c>
      <c r="D664" s="12">
        <v>26.0</v>
      </c>
      <c r="E664" s="26">
        <v>32597.0</v>
      </c>
      <c r="F664" s="29" t="s">
        <v>31</v>
      </c>
      <c r="G664" s="29" t="s">
        <v>32</v>
      </c>
      <c r="H664" s="12" t="s">
        <v>265</v>
      </c>
      <c r="I664" s="39" t="s">
        <v>266</v>
      </c>
      <c r="J664" s="12" t="s">
        <v>35</v>
      </c>
      <c r="K664" s="12" t="s">
        <v>267</v>
      </c>
      <c r="L664" s="28" t="s">
        <v>114</v>
      </c>
      <c r="M664" s="29" t="s">
        <v>433</v>
      </c>
      <c r="N664" s="40">
        <v>6677.0</v>
      </c>
      <c r="O664" s="17">
        <f t="shared" si="9"/>
        <v>0.6365134042</v>
      </c>
      <c r="P664" s="39">
        <v>4250.0</v>
      </c>
      <c r="Q664" s="29" t="s">
        <v>39</v>
      </c>
      <c r="R664" s="29">
        <v>1393102.0</v>
      </c>
      <c r="S664" s="29" t="s">
        <v>40</v>
      </c>
      <c r="T664" s="19">
        <v>5557292.0</v>
      </c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</row>
    <row r="665" ht="15.75" customHeight="1">
      <c r="A665" s="9">
        <v>1.0730525E7</v>
      </c>
      <c r="B665" s="82"/>
      <c r="C665" s="11">
        <v>45532.0</v>
      </c>
      <c r="D665" s="12">
        <v>26.0</v>
      </c>
      <c r="E665" s="26">
        <v>33430.0</v>
      </c>
      <c r="F665" s="29" t="s">
        <v>31</v>
      </c>
      <c r="G665" s="29" t="s">
        <v>74</v>
      </c>
      <c r="H665" s="12" t="s">
        <v>304</v>
      </c>
      <c r="I665" s="29" t="s">
        <v>305</v>
      </c>
      <c r="J665" s="12" t="s">
        <v>35</v>
      </c>
      <c r="K665" s="12" t="s">
        <v>306</v>
      </c>
      <c r="L665" s="25" t="s">
        <v>94</v>
      </c>
      <c r="M665" s="29" t="s">
        <v>52</v>
      </c>
      <c r="N665" s="40">
        <v>7000.0</v>
      </c>
      <c r="O665" s="17">
        <f t="shared" si="9"/>
        <v>0.6071428571</v>
      </c>
      <c r="P665" s="39">
        <v>4250.0</v>
      </c>
      <c r="Q665" s="29" t="s">
        <v>52</v>
      </c>
      <c r="R665" s="29" t="s">
        <v>52</v>
      </c>
      <c r="S665" s="29" t="s">
        <v>165</v>
      </c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</row>
    <row r="666" ht="15.75" customHeight="1">
      <c r="A666" s="9">
        <v>1.0730526E7</v>
      </c>
      <c r="B666" s="82"/>
      <c r="C666" s="11">
        <v>45539.0</v>
      </c>
      <c r="D666" s="12">
        <v>26.0</v>
      </c>
      <c r="E666" s="26">
        <v>33430.0</v>
      </c>
      <c r="F666" s="29" t="s">
        <v>31</v>
      </c>
      <c r="G666" s="29" t="s">
        <v>74</v>
      </c>
      <c r="H666" s="12" t="s">
        <v>304</v>
      </c>
      <c r="I666" s="39" t="s">
        <v>305</v>
      </c>
      <c r="J666" s="12" t="s">
        <v>35</v>
      </c>
      <c r="K666" s="12" t="s">
        <v>306</v>
      </c>
      <c r="L666" s="28" t="s">
        <v>94</v>
      </c>
      <c r="M666" s="29" t="s">
        <v>441</v>
      </c>
      <c r="N666" s="40">
        <v>7000.0</v>
      </c>
      <c r="O666" s="73">
        <f t="shared" si="9"/>
        <v>0.2583428571</v>
      </c>
      <c r="P666" s="39">
        <v>1808.4</v>
      </c>
      <c r="Q666" s="29" t="s">
        <v>39</v>
      </c>
      <c r="R666" s="29">
        <v>1396981.0</v>
      </c>
      <c r="S666" s="29" t="s">
        <v>40</v>
      </c>
      <c r="T666" s="19">
        <v>5575766.0</v>
      </c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</row>
    <row r="667" ht="15.75" customHeight="1">
      <c r="A667" s="9">
        <v>1.0730527E7</v>
      </c>
      <c r="B667" s="82"/>
      <c r="C667" s="11">
        <v>45532.0</v>
      </c>
      <c r="D667" s="12">
        <v>26.0</v>
      </c>
      <c r="E667" s="26">
        <v>33430.0</v>
      </c>
      <c r="F667" s="29" t="s">
        <v>31</v>
      </c>
      <c r="G667" s="29" t="s">
        <v>74</v>
      </c>
      <c r="H667" s="12" t="s">
        <v>304</v>
      </c>
      <c r="I667" s="29" t="s">
        <v>305</v>
      </c>
      <c r="J667" s="12" t="s">
        <v>35</v>
      </c>
      <c r="K667" s="12" t="s">
        <v>306</v>
      </c>
      <c r="L667" s="25" t="s">
        <v>94</v>
      </c>
      <c r="M667" s="29" t="s">
        <v>52</v>
      </c>
      <c r="N667" s="40">
        <v>7000.0</v>
      </c>
      <c r="O667" s="17">
        <f t="shared" si="9"/>
        <v>0.6071428571</v>
      </c>
      <c r="P667" s="39">
        <v>4250.0</v>
      </c>
      <c r="Q667" s="29" t="s">
        <v>52</v>
      </c>
      <c r="R667" s="29" t="s">
        <v>52</v>
      </c>
      <c r="S667" s="29" t="s">
        <v>165</v>
      </c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</row>
    <row r="668" ht="15.75" customHeight="1">
      <c r="A668" s="9">
        <v>1.0735098E7</v>
      </c>
      <c r="B668" s="82"/>
      <c r="C668" s="11">
        <v>45535.0</v>
      </c>
      <c r="D668" s="12">
        <v>26.0</v>
      </c>
      <c r="E668" s="26">
        <v>33430.0</v>
      </c>
      <c r="F668" s="29" t="s">
        <v>31</v>
      </c>
      <c r="G668" s="29" t="s">
        <v>74</v>
      </c>
      <c r="H668" s="12" t="s">
        <v>447</v>
      </c>
      <c r="I668" s="39" t="s">
        <v>448</v>
      </c>
      <c r="J668" s="25" t="s">
        <v>35</v>
      </c>
      <c r="K668" s="25" t="s">
        <v>332</v>
      </c>
      <c r="L668" s="28" t="s">
        <v>188</v>
      </c>
      <c r="M668" s="29" t="s">
        <v>52</v>
      </c>
      <c r="N668" s="40">
        <v>2800.0</v>
      </c>
      <c r="O668" s="17">
        <f t="shared" si="9"/>
        <v>0.6071428571</v>
      </c>
      <c r="P668" s="39">
        <v>1700.0</v>
      </c>
      <c r="Q668" s="12" t="s">
        <v>52</v>
      </c>
      <c r="R668" s="12" t="s">
        <v>52</v>
      </c>
      <c r="S668" s="29" t="s">
        <v>165</v>
      </c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</row>
    <row r="669" ht="15.75" customHeight="1">
      <c r="A669" s="9">
        <v>1.0735099E7</v>
      </c>
      <c r="B669" s="82"/>
      <c r="C669" s="11">
        <v>45540.0</v>
      </c>
      <c r="D669" s="12">
        <v>26.0</v>
      </c>
      <c r="E669" s="26">
        <v>31922.0</v>
      </c>
      <c r="F669" s="29" t="s">
        <v>31</v>
      </c>
      <c r="G669" s="25" t="s">
        <v>32</v>
      </c>
      <c r="H669" s="12" t="s">
        <v>449</v>
      </c>
      <c r="I669" s="39" t="s">
        <v>450</v>
      </c>
      <c r="J669" s="12" t="s">
        <v>35</v>
      </c>
      <c r="K669" s="12" t="s">
        <v>320</v>
      </c>
      <c r="L669" s="28" t="s">
        <v>94</v>
      </c>
      <c r="M669" s="29" t="s">
        <v>52</v>
      </c>
      <c r="N669" s="40">
        <v>6700.0</v>
      </c>
      <c r="O669" s="17">
        <f t="shared" si="9"/>
        <v>0.6343283582</v>
      </c>
      <c r="P669" s="39">
        <v>4250.0</v>
      </c>
      <c r="Q669" s="12" t="s">
        <v>52</v>
      </c>
      <c r="R669" s="12" t="s">
        <v>52</v>
      </c>
      <c r="S669" s="29" t="s">
        <v>165</v>
      </c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</row>
    <row r="670" ht="15.75" customHeight="1">
      <c r="A670" s="9">
        <v>1.0735744E7</v>
      </c>
      <c r="B670" s="82"/>
      <c r="C670" s="11">
        <v>45534.0</v>
      </c>
      <c r="D670" s="12">
        <v>26.0</v>
      </c>
      <c r="E670" s="26">
        <v>31922.0</v>
      </c>
      <c r="F670" s="29" t="s">
        <v>31</v>
      </c>
      <c r="G670" s="25" t="s">
        <v>32</v>
      </c>
      <c r="H670" s="12" t="s">
        <v>265</v>
      </c>
      <c r="I670" s="39" t="s">
        <v>266</v>
      </c>
      <c r="J670" s="12" t="s">
        <v>35</v>
      </c>
      <c r="K670" s="12" t="s">
        <v>267</v>
      </c>
      <c r="L670" s="28" t="s">
        <v>114</v>
      </c>
      <c r="M670" s="29" t="s">
        <v>451</v>
      </c>
      <c r="N670" s="40">
        <v>6200.0</v>
      </c>
      <c r="O670" s="17">
        <f t="shared" si="9"/>
        <v>0.685483871</v>
      </c>
      <c r="P670" s="39">
        <v>4250.0</v>
      </c>
      <c r="Q670" s="12" t="s">
        <v>107</v>
      </c>
      <c r="R670" s="12">
        <v>1393254.0</v>
      </c>
      <c r="S670" s="29" t="s">
        <v>40</v>
      </c>
      <c r="T670" s="19">
        <v>5558611.0</v>
      </c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</row>
    <row r="671" ht="15.75" customHeight="1">
      <c r="A671" s="9">
        <v>1.0738109E7</v>
      </c>
      <c r="B671" s="82"/>
      <c r="C671" s="11">
        <v>45534.0</v>
      </c>
      <c r="D671" s="12">
        <v>26.0</v>
      </c>
      <c r="E671" s="26">
        <v>31635.0</v>
      </c>
      <c r="F671" s="12" t="s">
        <v>31</v>
      </c>
      <c r="G671" s="29" t="s">
        <v>74</v>
      </c>
      <c r="H671" s="12" t="s">
        <v>300</v>
      </c>
      <c r="I671" s="25" t="s">
        <v>301</v>
      </c>
      <c r="J671" s="25" t="s">
        <v>35</v>
      </c>
      <c r="K671" s="25" t="s">
        <v>302</v>
      </c>
      <c r="L671" s="25" t="s">
        <v>59</v>
      </c>
      <c r="M671" s="29" t="s">
        <v>52</v>
      </c>
      <c r="N671" s="40">
        <v>5200.0</v>
      </c>
      <c r="O671" s="17">
        <f t="shared" si="9"/>
        <v>0.5769230769</v>
      </c>
      <c r="P671" s="39">
        <v>3000.0</v>
      </c>
      <c r="Q671" s="12" t="s">
        <v>52</v>
      </c>
      <c r="R671" s="12" t="s">
        <v>52</v>
      </c>
      <c r="S671" s="29" t="s">
        <v>392</v>
      </c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</row>
    <row r="672" ht="15.75" customHeight="1">
      <c r="A672" s="9">
        <v>1.073811E7</v>
      </c>
      <c r="B672" s="82"/>
      <c r="C672" s="11">
        <v>45534.0</v>
      </c>
      <c r="D672" s="12">
        <v>26.0</v>
      </c>
      <c r="E672" s="26">
        <v>31635.0</v>
      </c>
      <c r="F672" s="29" t="s">
        <v>31</v>
      </c>
      <c r="G672" s="25" t="s">
        <v>74</v>
      </c>
      <c r="H672" s="12" t="s">
        <v>300</v>
      </c>
      <c r="I672" s="29" t="s">
        <v>301</v>
      </c>
      <c r="J672" s="12" t="s">
        <v>35</v>
      </c>
      <c r="K672" s="12" t="s">
        <v>302</v>
      </c>
      <c r="L672" s="25" t="s">
        <v>59</v>
      </c>
      <c r="M672" s="29" t="s">
        <v>49</v>
      </c>
      <c r="N672" s="40">
        <v>5200.0</v>
      </c>
      <c r="O672" s="17">
        <f t="shared" si="9"/>
        <v>0.5769230769</v>
      </c>
      <c r="P672" s="39">
        <v>3000.0</v>
      </c>
      <c r="Q672" s="12" t="s">
        <v>39</v>
      </c>
      <c r="R672" s="12">
        <v>1393262.0</v>
      </c>
      <c r="S672" s="29" t="s">
        <v>40</v>
      </c>
      <c r="T672" s="19">
        <v>5558709.0</v>
      </c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</row>
    <row r="673" ht="15.75" customHeight="1">
      <c r="A673" s="9">
        <v>1.0738115E7</v>
      </c>
      <c r="B673" s="82"/>
      <c r="C673" s="11">
        <v>45533.0</v>
      </c>
      <c r="D673" s="12">
        <v>26.0</v>
      </c>
      <c r="E673" s="26">
        <v>33139.0</v>
      </c>
      <c r="F673" s="29" t="s">
        <v>31</v>
      </c>
      <c r="G673" s="25" t="s">
        <v>74</v>
      </c>
      <c r="H673" s="12" t="s">
        <v>300</v>
      </c>
      <c r="I673" s="29" t="s">
        <v>301</v>
      </c>
      <c r="J673" s="12" t="s">
        <v>35</v>
      </c>
      <c r="K673" s="12" t="s">
        <v>302</v>
      </c>
      <c r="L673" s="25" t="s">
        <v>59</v>
      </c>
      <c r="M673" s="29" t="s">
        <v>411</v>
      </c>
      <c r="N673" s="40">
        <v>5600.0</v>
      </c>
      <c r="O673" s="17">
        <f t="shared" si="9"/>
        <v>0.5357142857</v>
      </c>
      <c r="P673" s="39">
        <v>3000.0</v>
      </c>
      <c r="Q673" s="29" t="s">
        <v>39</v>
      </c>
      <c r="R673" s="29">
        <v>1391895.0</v>
      </c>
      <c r="S673" s="29" t="s">
        <v>40</v>
      </c>
      <c r="T673" s="19">
        <v>5550781.0</v>
      </c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</row>
    <row r="674" ht="15.75" customHeight="1">
      <c r="A674" s="9">
        <v>1.0738116E7</v>
      </c>
      <c r="B674" s="82"/>
      <c r="C674" s="11">
        <v>45533.0</v>
      </c>
      <c r="D674" s="12">
        <v>26.0</v>
      </c>
      <c r="E674" s="26">
        <v>33139.0</v>
      </c>
      <c r="F674" s="29" t="s">
        <v>31</v>
      </c>
      <c r="G674" s="25" t="s">
        <v>74</v>
      </c>
      <c r="H674" s="12" t="s">
        <v>300</v>
      </c>
      <c r="I674" s="29" t="s">
        <v>301</v>
      </c>
      <c r="J674" s="12" t="s">
        <v>35</v>
      </c>
      <c r="K674" s="12" t="s">
        <v>302</v>
      </c>
      <c r="L674" s="25" t="s">
        <v>59</v>
      </c>
      <c r="M674" s="29" t="s">
        <v>452</v>
      </c>
      <c r="N674" s="40">
        <v>5600.0</v>
      </c>
      <c r="O674" s="17">
        <f t="shared" si="9"/>
        <v>0.2191785714</v>
      </c>
      <c r="P674" s="39">
        <v>1227.4</v>
      </c>
      <c r="Q674" s="29" t="s">
        <v>39</v>
      </c>
      <c r="R674" s="29" t="s">
        <v>453</v>
      </c>
      <c r="S674" s="29" t="s">
        <v>40</v>
      </c>
      <c r="T674" s="19" t="s">
        <v>454</v>
      </c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</row>
    <row r="675" ht="15.75" customHeight="1">
      <c r="A675" s="9">
        <v>1.0738334E7</v>
      </c>
      <c r="B675" s="82"/>
      <c r="C675" s="11">
        <v>45532.0</v>
      </c>
      <c r="D675" s="12">
        <v>26.0</v>
      </c>
      <c r="E675" s="26">
        <v>31922.0</v>
      </c>
      <c r="F675" s="29" t="s">
        <v>31</v>
      </c>
      <c r="G675" s="25" t="s">
        <v>74</v>
      </c>
      <c r="H675" s="12" t="s">
        <v>304</v>
      </c>
      <c r="I675" s="29" t="s">
        <v>305</v>
      </c>
      <c r="J675" s="12" t="s">
        <v>35</v>
      </c>
      <c r="K675" s="12" t="s">
        <v>306</v>
      </c>
      <c r="L675" s="25" t="s">
        <v>94</v>
      </c>
      <c r="M675" s="29" t="s">
        <v>345</v>
      </c>
      <c r="N675" s="40">
        <v>6500.0</v>
      </c>
      <c r="O675" s="17">
        <f t="shared" si="9"/>
        <v>0.6538461538</v>
      </c>
      <c r="P675" s="39">
        <v>4250.0</v>
      </c>
      <c r="Q675" s="29" t="s">
        <v>107</v>
      </c>
      <c r="R675" s="29">
        <v>1391880.0</v>
      </c>
      <c r="S675" s="29" t="s">
        <v>40</v>
      </c>
      <c r="T675" s="19">
        <v>5550668.0</v>
      </c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</row>
    <row r="676" ht="15.75" customHeight="1">
      <c r="A676" s="9">
        <v>1.0738335E7</v>
      </c>
      <c r="B676" s="82"/>
      <c r="C676" s="11">
        <v>45532.0</v>
      </c>
      <c r="D676" s="12">
        <v>26.0</v>
      </c>
      <c r="E676" s="26">
        <v>31922.0</v>
      </c>
      <c r="F676" s="29" t="s">
        <v>31</v>
      </c>
      <c r="G676" s="29" t="s">
        <v>74</v>
      </c>
      <c r="H676" s="12" t="s">
        <v>304</v>
      </c>
      <c r="I676" s="29" t="s">
        <v>305</v>
      </c>
      <c r="J676" s="12" t="s">
        <v>35</v>
      </c>
      <c r="K676" s="12" t="s">
        <v>306</v>
      </c>
      <c r="L676" s="25" t="s">
        <v>94</v>
      </c>
      <c r="M676" s="29" t="s">
        <v>184</v>
      </c>
      <c r="N676" s="40">
        <v>6500.0</v>
      </c>
      <c r="O676" s="17">
        <f t="shared" si="9"/>
        <v>0.6538461538</v>
      </c>
      <c r="P676" s="39">
        <v>4250.0</v>
      </c>
      <c r="Q676" s="29" t="s">
        <v>107</v>
      </c>
      <c r="R676" s="29">
        <v>1391307.0</v>
      </c>
      <c r="S676" s="29" t="s">
        <v>40</v>
      </c>
      <c r="T676" s="19">
        <v>5547804.0</v>
      </c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</row>
    <row r="677" ht="15.75" customHeight="1">
      <c r="A677" s="9">
        <v>1.0738336E7</v>
      </c>
      <c r="B677" s="82"/>
      <c r="C677" s="11">
        <v>45532.0</v>
      </c>
      <c r="D677" s="12">
        <v>26.0</v>
      </c>
      <c r="E677" s="26">
        <v>31922.0</v>
      </c>
      <c r="F677" s="29" t="s">
        <v>31</v>
      </c>
      <c r="G677" s="29" t="s">
        <v>74</v>
      </c>
      <c r="H677" s="12" t="s">
        <v>304</v>
      </c>
      <c r="I677" s="29" t="s">
        <v>305</v>
      </c>
      <c r="J677" s="12" t="s">
        <v>35</v>
      </c>
      <c r="K677" s="12" t="s">
        <v>306</v>
      </c>
      <c r="L677" s="25" t="s">
        <v>94</v>
      </c>
      <c r="M677" s="29" t="s">
        <v>159</v>
      </c>
      <c r="N677" s="40">
        <v>6500.0</v>
      </c>
      <c r="O677" s="17">
        <f t="shared" si="9"/>
        <v>0.6538461538</v>
      </c>
      <c r="P677" s="39">
        <v>4250.0</v>
      </c>
      <c r="Q677" s="29" t="s">
        <v>107</v>
      </c>
      <c r="R677" s="29">
        <v>1391356.0</v>
      </c>
      <c r="S677" s="29" t="s">
        <v>40</v>
      </c>
      <c r="T677" s="19">
        <v>5548049.0</v>
      </c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</row>
    <row r="678" ht="15.75" customHeight="1">
      <c r="A678" s="38">
        <v>1.0739015E7</v>
      </c>
      <c r="B678" s="87"/>
      <c r="C678" s="11">
        <v>45534.0</v>
      </c>
      <c r="D678" s="12">
        <v>19.0</v>
      </c>
      <c r="E678" s="26">
        <v>23180.0</v>
      </c>
      <c r="F678" s="29" t="s">
        <v>31</v>
      </c>
      <c r="G678" s="29" t="s">
        <v>74</v>
      </c>
      <c r="H678" s="12" t="s">
        <v>455</v>
      </c>
      <c r="I678" s="39" t="s">
        <v>76</v>
      </c>
      <c r="J678" s="25" t="s">
        <v>35</v>
      </c>
      <c r="K678" s="25" t="s">
        <v>77</v>
      </c>
      <c r="L678" s="28" t="s">
        <v>78</v>
      </c>
      <c r="M678" s="29" t="s">
        <v>384</v>
      </c>
      <c r="N678" s="40">
        <v>9203.69</v>
      </c>
      <c r="O678" s="17">
        <f t="shared" si="9"/>
        <v>0.5367412418</v>
      </c>
      <c r="P678" s="39">
        <v>4940.0</v>
      </c>
      <c r="Q678" s="12" t="s">
        <v>39</v>
      </c>
      <c r="R678" s="12">
        <v>1393496.0</v>
      </c>
      <c r="S678" s="29" t="s">
        <v>40</v>
      </c>
      <c r="T678" s="19">
        <v>5560021.0</v>
      </c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</row>
    <row r="679" ht="15.75" customHeight="1">
      <c r="A679" s="38">
        <v>1.0742649E7</v>
      </c>
      <c r="B679" s="87"/>
      <c r="C679" s="11">
        <v>45538.0</v>
      </c>
      <c r="D679" s="12">
        <v>26.0</v>
      </c>
      <c r="E679" s="26">
        <v>32553.0</v>
      </c>
      <c r="F679" s="9" t="s">
        <v>43</v>
      </c>
      <c r="G679" s="29" t="s">
        <v>44</v>
      </c>
      <c r="H679" s="12" t="s">
        <v>268</v>
      </c>
      <c r="I679" s="12" t="s">
        <v>269</v>
      </c>
      <c r="J679" s="25" t="s">
        <v>35</v>
      </c>
      <c r="K679" s="25" t="s">
        <v>270</v>
      </c>
      <c r="L679" s="28" t="s">
        <v>94</v>
      </c>
      <c r="M679" s="29" t="s">
        <v>52</v>
      </c>
      <c r="N679" s="40">
        <v>5880.0</v>
      </c>
      <c r="O679" s="17">
        <f t="shared" si="9"/>
        <v>0.7227891156</v>
      </c>
      <c r="P679" s="39">
        <v>4250.0</v>
      </c>
      <c r="Q679" s="12" t="s">
        <v>52</v>
      </c>
      <c r="R679" s="12" t="s">
        <v>52</v>
      </c>
      <c r="S679" s="29" t="s">
        <v>165</v>
      </c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</row>
    <row r="680" ht="15.75" customHeight="1">
      <c r="A680" s="38">
        <v>1.074265E7</v>
      </c>
      <c r="B680" s="87"/>
      <c r="C680" s="11">
        <v>45538.0</v>
      </c>
      <c r="D680" s="12" t="s">
        <v>52</v>
      </c>
      <c r="E680" s="25" t="s">
        <v>52</v>
      </c>
      <c r="F680" s="38" t="s">
        <v>43</v>
      </c>
      <c r="G680" s="29" t="s">
        <v>44</v>
      </c>
      <c r="H680" s="12" t="s">
        <v>456</v>
      </c>
      <c r="I680" s="29" t="s">
        <v>269</v>
      </c>
      <c r="J680" s="12" t="s">
        <v>270</v>
      </c>
      <c r="K680" s="12" t="s">
        <v>35</v>
      </c>
      <c r="L680" s="28" t="s">
        <v>188</v>
      </c>
      <c r="M680" s="29" t="s">
        <v>52</v>
      </c>
      <c r="N680" s="40">
        <v>3920.0</v>
      </c>
      <c r="O680" s="17">
        <f t="shared" si="9"/>
        <v>0.7015306122</v>
      </c>
      <c r="P680" s="39">
        <v>2750.0</v>
      </c>
      <c r="Q680" s="29" t="s">
        <v>52</v>
      </c>
      <c r="R680" s="29" t="s">
        <v>52</v>
      </c>
      <c r="S680" s="29" t="s">
        <v>165</v>
      </c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</row>
    <row r="681" ht="15.75" customHeight="1">
      <c r="A681" s="38">
        <v>1.0742731E7</v>
      </c>
      <c r="B681" s="87"/>
      <c r="C681" s="11">
        <v>45537.0</v>
      </c>
      <c r="D681" s="12">
        <v>26.0</v>
      </c>
      <c r="E681" s="26">
        <v>31625.0</v>
      </c>
      <c r="F681" s="29" t="s">
        <v>31</v>
      </c>
      <c r="G681" s="29" t="s">
        <v>74</v>
      </c>
      <c r="H681" s="12" t="s">
        <v>447</v>
      </c>
      <c r="I681" s="28" t="s">
        <v>448</v>
      </c>
      <c r="J681" s="25" t="s">
        <v>35</v>
      </c>
      <c r="K681" s="12" t="s">
        <v>332</v>
      </c>
      <c r="L681" s="28" t="s">
        <v>188</v>
      </c>
      <c r="M681" s="29" t="s">
        <v>162</v>
      </c>
      <c r="N681" s="40">
        <v>2600.0</v>
      </c>
      <c r="O681" s="17">
        <f t="shared" si="9"/>
        <v>0.6538461538</v>
      </c>
      <c r="P681" s="39">
        <v>1700.0</v>
      </c>
      <c r="Q681" s="29" t="s">
        <v>39</v>
      </c>
      <c r="R681" s="29">
        <v>1395172.0</v>
      </c>
      <c r="S681" s="29" t="s">
        <v>40</v>
      </c>
      <c r="T681" s="19">
        <v>5566951.0</v>
      </c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</row>
    <row r="682" ht="15.75" customHeight="1">
      <c r="A682" s="38">
        <v>1.0742732E7</v>
      </c>
      <c r="B682" s="87"/>
      <c r="C682" s="11">
        <v>45537.0</v>
      </c>
      <c r="D682" s="12">
        <v>26.0</v>
      </c>
      <c r="E682" s="26">
        <v>31625.0</v>
      </c>
      <c r="F682" s="12" t="s">
        <v>31</v>
      </c>
      <c r="G682" s="29" t="s">
        <v>44</v>
      </c>
      <c r="H682" s="12" t="s">
        <v>268</v>
      </c>
      <c r="I682" s="12" t="s">
        <v>397</v>
      </c>
      <c r="J682" s="25" t="s">
        <v>35</v>
      </c>
      <c r="K682" s="25" t="s">
        <v>270</v>
      </c>
      <c r="L682" s="28" t="s">
        <v>94</v>
      </c>
      <c r="M682" s="29" t="s">
        <v>457</v>
      </c>
      <c r="N682" s="40">
        <v>6200.0</v>
      </c>
      <c r="O682" s="17">
        <f t="shared" si="9"/>
        <v>0.3125806452</v>
      </c>
      <c r="P682" s="39">
        <v>1938.0</v>
      </c>
      <c r="Q682" s="12" t="s">
        <v>39</v>
      </c>
      <c r="R682" s="12">
        <v>1395217.0</v>
      </c>
      <c r="S682" s="29" t="s">
        <v>40</v>
      </c>
      <c r="T682" s="19">
        <v>5567254.0</v>
      </c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</row>
    <row r="683" ht="15.75" customHeight="1">
      <c r="A683" s="38">
        <v>1.0742735E7</v>
      </c>
      <c r="B683" s="87"/>
      <c r="C683" s="11">
        <v>45537.0</v>
      </c>
      <c r="D683" s="12">
        <v>26.0</v>
      </c>
      <c r="E683" s="26">
        <v>31903.0</v>
      </c>
      <c r="F683" s="12" t="s">
        <v>31</v>
      </c>
      <c r="G683" s="29" t="s">
        <v>44</v>
      </c>
      <c r="H683" s="12" t="s">
        <v>268</v>
      </c>
      <c r="I683" s="12" t="s">
        <v>397</v>
      </c>
      <c r="J683" s="25" t="s">
        <v>35</v>
      </c>
      <c r="K683" s="25" t="s">
        <v>270</v>
      </c>
      <c r="L683" s="28" t="s">
        <v>94</v>
      </c>
      <c r="M683" s="29" t="s">
        <v>278</v>
      </c>
      <c r="N683" s="40">
        <v>6200.0</v>
      </c>
      <c r="O683" s="17">
        <f t="shared" si="9"/>
        <v>0.685483871</v>
      </c>
      <c r="P683" s="39">
        <v>4250.0</v>
      </c>
      <c r="Q683" s="12" t="s">
        <v>39</v>
      </c>
      <c r="R683" s="12">
        <v>1395058.0</v>
      </c>
      <c r="S683" s="29" t="s">
        <v>40</v>
      </c>
      <c r="T683" s="19">
        <v>5566080.0</v>
      </c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</row>
    <row r="684" ht="15.75" customHeight="1">
      <c r="A684" s="38">
        <v>1.0743011E7</v>
      </c>
      <c r="B684" s="87"/>
      <c r="C684" s="11">
        <v>45538.0</v>
      </c>
      <c r="D684" s="12">
        <v>26.0</v>
      </c>
      <c r="E684" s="26">
        <v>33430.0</v>
      </c>
      <c r="F684" s="29" t="s">
        <v>31</v>
      </c>
      <c r="G684" s="29" t="s">
        <v>44</v>
      </c>
      <c r="H684" s="12" t="s">
        <v>268</v>
      </c>
      <c r="I684" s="29" t="s">
        <v>397</v>
      </c>
      <c r="J684" s="12" t="s">
        <v>35</v>
      </c>
      <c r="K684" s="12" t="s">
        <v>270</v>
      </c>
      <c r="L684" s="28" t="s">
        <v>94</v>
      </c>
      <c r="M684" s="29" t="s">
        <v>52</v>
      </c>
      <c r="N684" s="40">
        <v>6677.0</v>
      </c>
      <c r="O684" s="17">
        <f t="shared" si="9"/>
        <v>0.6365134042</v>
      </c>
      <c r="P684" s="39">
        <v>4250.0</v>
      </c>
      <c r="Q684" s="29" t="s">
        <v>52</v>
      </c>
      <c r="R684" s="29" t="s">
        <v>52</v>
      </c>
      <c r="S684" s="29" t="s">
        <v>165</v>
      </c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</row>
    <row r="685" ht="15.75" customHeight="1">
      <c r="A685" s="9">
        <v>1.0743012E7</v>
      </c>
      <c r="B685" s="82"/>
      <c r="C685" s="11">
        <v>45538.0</v>
      </c>
      <c r="D685" s="12">
        <v>26.0</v>
      </c>
      <c r="E685" s="26">
        <v>33430.0</v>
      </c>
      <c r="F685" s="29" t="s">
        <v>31</v>
      </c>
      <c r="G685" s="29" t="s">
        <v>74</v>
      </c>
      <c r="H685" s="12" t="s">
        <v>447</v>
      </c>
      <c r="I685" s="39" t="s">
        <v>448</v>
      </c>
      <c r="J685" s="12" t="s">
        <v>35</v>
      </c>
      <c r="K685" s="12" t="s">
        <v>332</v>
      </c>
      <c r="L685" s="28" t="s">
        <v>188</v>
      </c>
      <c r="M685" s="29" t="s">
        <v>128</v>
      </c>
      <c r="N685" s="40">
        <v>2800.0</v>
      </c>
      <c r="O685" s="17">
        <f t="shared" si="9"/>
        <v>0.6071428571</v>
      </c>
      <c r="P685" s="39">
        <v>1700.0</v>
      </c>
      <c r="Q685" s="29" t="s">
        <v>39</v>
      </c>
      <c r="R685" s="29">
        <v>1395815.0</v>
      </c>
      <c r="S685" s="29" t="s">
        <v>40</v>
      </c>
      <c r="T685" s="19">
        <v>5570861.0</v>
      </c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</row>
    <row r="686" ht="15.75" customHeight="1">
      <c r="A686" s="9">
        <v>1.0746518E7</v>
      </c>
      <c r="B686" s="82"/>
      <c r="C686" s="11">
        <v>45539.0</v>
      </c>
      <c r="D686" s="12">
        <v>26.0</v>
      </c>
      <c r="E686" s="26">
        <v>31625.0</v>
      </c>
      <c r="F686" s="29" t="s">
        <v>31</v>
      </c>
      <c r="G686" s="29" t="s">
        <v>44</v>
      </c>
      <c r="H686" s="29" t="s">
        <v>268</v>
      </c>
      <c r="I686" s="25" t="s">
        <v>397</v>
      </c>
      <c r="J686" s="25" t="s">
        <v>35</v>
      </c>
      <c r="K686" s="29" t="s">
        <v>270</v>
      </c>
      <c r="L686" s="28" t="s">
        <v>94</v>
      </c>
      <c r="M686" s="29" t="s">
        <v>52</v>
      </c>
      <c r="N686" s="40">
        <v>6200.0</v>
      </c>
      <c r="O686" s="17">
        <f t="shared" si="9"/>
        <v>0.685483871</v>
      </c>
      <c r="P686" s="39">
        <v>4250.0</v>
      </c>
      <c r="Q686" s="29" t="s">
        <v>52</v>
      </c>
      <c r="R686" s="29" t="s">
        <v>52</v>
      </c>
      <c r="S686" s="29" t="s">
        <v>165</v>
      </c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</row>
    <row r="687" ht="15.75" customHeight="1">
      <c r="A687" s="9">
        <v>1.0746519E7</v>
      </c>
      <c r="B687" s="82"/>
      <c r="C687" s="11">
        <v>45539.0</v>
      </c>
      <c r="D687" s="12">
        <v>26.0</v>
      </c>
      <c r="E687" s="26">
        <v>31625.0</v>
      </c>
      <c r="F687" s="12" t="s">
        <v>31</v>
      </c>
      <c r="G687" s="29" t="s">
        <v>44</v>
      </c>
      <c r="H687" s="12" t="s">
        <v>268</v>
      </c>
      <c r="I687" s="25" t="s">
        <v>397</v>
      </c>
      <c r="J687" s="25" t="s">
        <v>35</v>
      </c>
      <c r="K687" s="12" t="s">
        <v>270</v>
      </c>
      <c r="L687" s="28" t="s">
        <v>94</v>
      </c>
      <c r="M687" s="29" t="s">
        <v>52</v>
      </c>
      <c r="N687" s="40">
        <v>6200.0</v>
      </c>
      <c r="O687" s="17">
        <f t="shared" si="9"/>
        <v>0.685483871</v>
      </c>
      <c r="P687" s="39">
        <v>4250.0</v>
      </c>
      <c r="Q687" s="12" t="s">
        <v>52</v>
      </c>
      <c r="R687" s="12" t="s">
        <v>52</v>
      </c>
      <c r="S687" s="29" t="s">
        <v>165</v>
      </c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</row>
    <row r="688" ht="15.75" customHeight="1">
      <c r="A688" s="9">
        <v>1.0749459E7</v>
      </c>
      <c r="B688" s="82"/>
      <c r="C688" s="11">
        <v>45542.0</v>
      </c>
      <c r="D688" s="12">
        <v>26.0</v>
      </c>
      <c r="E688" s="26">
        <v>31625.0</v>
      </c>
      <c r="F688" s="25" t="s">
        <v>31</v>
      </c>
      <c r="G688" s="25" t="s">
        <v>44</v>
      </c>
      <c r="H688" s="29" t="s">
        <v>268</v>
      </c>
      <c r="I688" s="29" t="s">
        <v>397</v>
      </c>
      <c r="J688" s="25" t="s">
        <v>35</v>
      </c>
      <c r="K688" s="12" t="s">
        <v>270</v>
      </c>
      <c r="L688" s="28" t="s">
        <v>94</v>
      </c>
      <c r="M688" s="29" t="s">
        <v>52</v>
      </c>
      <c r="N688" s="40">
        <v>6200.0</v>
      </c>
      <c r="O688" s="17">
        <f t="shared" si="9"/>
        <v>0.685483871</v>
      </c>
      <c r="P688" s="39">
        <v>4250.0</v>
      </c>
      <c r="Q688" s="12" t="s">
        <v>52</v>
      </c>
      <c r="R688" s="12" t="s">
        <v>52</v>
      </c>
      <c r="S688" s="29" t="s">
        <v>165</v>
      </c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</row>
    <row r="689" ht="15.75" customHeight="1">
      <c r="A689" s="9">
        <v>1.074946E7</v>
      </c>
      <c r="B689" s="82"/>
      <c r="C689" s="11">
        <v>45539.0</v>
      </c>
      <c r="D689" s="12">
        <v>26.0</v>
      </c>
      <c r="E689" s="26">
        <v>31625.0</v>
      </c>
      <c r="F689" s="29" t="s">
        <v>31</v>
      </c>
      <c r="G689" s="29" t="s">
        <v>44</v>
      </c>
      <c r="H689" s="12" t="s">
        <v>268</v>
      </c>
      <c r="I689" s="15" t="s">
        <v>397</v>
      </c>
      <c r="J689" s="12" t="s">
        <v>35</v>
      </c>
      <c r="K689" s="12" t="s">
        <v>270</v>
      </c>
      <c r="L689" s="28" t="s">
        <v>94</v>
      </c>
      <c r="M689" s="29" t="s">
        <v>162</v>
      </c>
      <c r="N689" s="40">
        <v>6200.0</v>
      </c>
      <c r="O689" s="73">
        <f t="shared" si="9"/>
        <v>0.685483871</v>
      </c>
      <c r="P689" s="39">
        <v>4250.0</v>
      </c>
      <c r="Q689" s="12" t="s">
        <v>39</v>
      </c>
      <c r="R689" s="12">
        <v>1396999.0</v>
      </c>
      <c r="S689" s="29" t="s">
        <v>40</v>
      </c>
      <c r="T689" s="19">
        <v>5575856.0</v>
      </c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</row>
    <row r="690" ht="15.75" customHeight="1">
      <c r="A690" s="9">
        <v>1.0755398E7</v>
      </c>
      <c r="B690" s="82"/>
      <c r="C690" s="11">
        <v>45544.0</v>
      </c>
      <c r="D690" s="12">
        <v>26.0</v>
      </c>
      <c r="E690" s="26">
        <v>32262.0</v>
      </c>
      <c r="F690" s="38" t="s">
        <v>43</v>
      </c>
      <c r="G690" s="29" t="s">
        <v>44</v>
      </c>
      <c r="H690" s="12" t="s">
        <v>268</v>
      </c>
      <c r="I690" s="12" t="s">
        <v>269</v>
      </c>
      <c r="J690" s="12" t="s">
        <v>35</v>
      </c>
      <c r="K690" s="12" t="s">
        <v>270</v>
      </c>
      <c r="L690" s="28" t="s">
        <v>94</v>
      </c>
      <c r="M690" s="29" t="s">
        <v>52</v>
      </c>
      <c r="N690" s="40">
        <v>5880.0</v>
      </c>
      <c r="O690" s="17">
        <f t="shared" si="9"/>
        <v>0.7227891156</v>
      </c>
      <c r="P690" s="39">
        <v>4250.0</v>
      </c>
      <c r="Q690" s="29" t="s">
        <v>52</v>
      </c>
      <c r="R690" s="12" t="s">
        <v>52</v>
      </c>
      <c r="S690" s="29" t="s">
        <v>165</v>
      </c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</row>
    <row r="691" ht="15.75" customHeight="1">
      <c r="A691" s="9">
        <v>1.0755405E7</v>
      </c>
      <c r="B691" s="82"/>
      <c r="C691" s="11">
        <v>45544.0</v>
      </c>
      <c r="D691" s="12" t="s">
        <v>52</v>
      </c>
      <c r="E691" s="25" t="s">
        <v>52</v>
      </c>
      <c r="F691" s="38" t="s">
        <v>43</v>
      </c>
      <c r="G691" s="29" t="s">
        <v>44</v>
      </c>
      <c r="H691" s="12" t="s">
        <v>458</v>
      </c>
      <c r="I691" s="29" t="s">
        <v>269</v>
      </c>
      <c r="J691" s="12" t="s">
        <v>270</v>
      </c>
      <c r="K691" s="12" t="s">
        <v>35</v>
      </c>
      <c r="L691" s="28" t="s">
        <v>188</v>
      </c>
      <c r="M691" s="29" t="s">
        <v>52</v>
      </c>
      <c r="N691" s="40">
        <v>3920.0</v>
      </c>
      <c r="O691" s="17">
        <f t="shared" si="9"/>
        <v>0.7015306122</v>
      </c>
      <c r="P691" s="39">
        <v>2750.0</v>
      </c>
      <c r="Q691" s="29" t="s">
        <v>52</v>
      </c>
      <c r="R691" s="29" t="s">
        <v>52</v>
      </c>
      <c r="S691" s="29" t="s">
        <v>165</v>
      </c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</row>
    <row r="692" ht="15.75" customHeight="1">
      <c r="A692" s="9">
        <v>1.0755457E7</v>
      </c>
      <c r="B692" s="82"/>
      <c r="C692" s="11">
        <v>45544.0</v>
      </c>
      <c r="D692" s="12">
        <v>26.0</v>
      </c>
      <c r="E692" s="26">
        <v>31922.0</v>
      </c>
      <c r="F692" s="29" t="s">
        <v>31</v>
      </c>
      <c r="G692" s="29" t="s">
        <v>44</v>
      </c>
      <c r="H692" s="12" t="s">
        <v>268</v>
      </c>
      <c r="I692" s="12" t="s">
        <v>397</v>
      </c>
      <c r="J692" s="12" t="s">
        <v>35</v>
      </c>
      <c r="K692" s="12" t="s">
        <v>270</v>
      </c>
      <c r="L692" s="28" t="s">
        <v>94</v>
      </c>
      <c r="M692" s="29" t="s">
        <v>52</v>
      </c>
      <c r="N692" s="40">
        <v>6200.0</v>
      </c>
      <c r="O692" s="17">
        <f t="shared" si="9"/>
        <v>0.685483871</v>
      </c>
      <c r="P692" s="39">
        <v>4250.0</v>
      </c>
      <c r="Q692" s="29" t="s">
        <v>52</v>
      </c>
      <c r="R692" s="29" t="s">
        <v>52</v>
      </c>
      <c r="S692" s="29" t="s">
        <v>165</v>
      </c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</row>
    <row r="693" ht="15.75" customHeight="1">
      <c r="A693" s="9">
        <v>1.0755458E7</v>
      </c>
      <c r="B693" s="82"/>
      <c r="C693" s="11">
        <v>45544.0</v>
      </c>
      <c r="D693" s="12">
        <v>26.0</v>
      </c>
      <c r="E693" s="26">
        <v>31922.0</v>
      </c>
      <c r="F693" s="12" t="s">
        <v>31</v>
      </c>
      <c r="G693" s="29" t="s">
        <v>44</v>
      </c>
      <c r="H693" s="12" t="s">
        <v>268</v>
      </c>
      <c r="I693" s="12" t="s">
        <v>397</v>
      </c>
      <c r="J693" s="25" t="s">
        <v>35</v>
      </c>
      <c r="K693" s="25" t="s">
        <v>270</v>
      </c>
      <c r="L693" s="28" t="s">
        <v>94</v>
      </c>
      <c r="M693" s="29" t="s">
        <v>52</v>
      </c>
      <c r="N693" s="40">
        <v>6200.0</v>
      </c>
      <c r="O693" s="17">
        <f t="shared" si="9"/>
        <v>0.685483871</v>
      </c>
      <c r="P693" s="39">
        <v>4250.0</v>
      </c>
      <c r="Q693" s="29" t="s">
        <v>52</v>
      </c>
      <c r="R693" s="12" t="s">
        <v>52</v>
      </c>
      <c r="S693" s="29" t="s">
        <v>165</v>
      </c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</row>
    <row r="694" ht="15.75" customHeight="1">
      <c r="A694" s="9">
        <v>1.0755929E7</v>
      </c>
      <c r="B694" s="82"/>
      <c r="C694" s="11">
        <v>45540.0</v>
      </c>
      <c r="D694" s="12">
        <v>26.0</v>
      </c>
      <c r="E694" s="26">
        <v>31345.0</v>
      </c>
      <c r="F694" s="38" t="s">
        <v>43</v>
      </c>
      <c r="G694" s="29" t="s">
        <v>32</v>
      </c>
      <c r="H694" s="12" t="s">
        <v>265</v>
      </c>
      <c r="I694" s="15" t="s">
        <v>266</v>
      </c>
      <c r="J694" s="12" t="s">
        <v>35</v>
      </c>
      <c r="K694" s="12" t="s">
        <v>267</v>
      </c>
      <c r="L694" s="28" t="s">
        <v>114</v>
      </c>
      <c r="M694" s="29" t="s">
        <v>128</v>
      </c>
      <c r="N694" s="40">
        <v>5460.0</v>
      </c>
      <c r="O694" s="17">
        <f t="shared" si="9"/>
        <v>0.7783882784</v>
      </c>
      <c r="P694" s="39">
        <v>4250.0</v>
      </c>
      <c r="Q694" s="29" t="s">
        <v>39</v>
      </c>
      <c r="R694" s="29">
        <v>1397851.0</v>
      </c>
      <c r="S694" s="29" t="s">
        <v>40</v>
      </c>
      <c r="T694" s="19">
        <v>5580531.0</v>
      </c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</row>
    <row r="695" ht="15.75" customHeight="1">
      <c r="A695" s="9">
        <v>1.075593E7</v>
      </c>
      <c r="B695" s="82"/>
      <c r="C695" s="11">
        <v>45540.0</v>
      </c>
      <c r="D695" s="12" t="s">
        <v>52</v>
      </c>
      <c r="E695" s="25" t="s">
        <v>52</v>
      </c>
      <c r="F695" s="9" t="s">
        <v>43</v>
      </c>
      <c r="G695" s="29" t="s">
        <v>32</v>
      </c>
      <c r="H695" s="29" t="s">
        <v>459</v>
      </c>
      <c r="I695" s="39" t="s">
        <v>266</v>
      </c>
      <c r="J695" s="25" t="s">
        <v>267</v>
      </c>
      <c r="K695" s="29" t="s">
        <v>35</v>
      </c>
      <c r="L695" s="28" t="s">
        <v>43</v>
      </c>
      <c r="M695" s="29"/>
      <c r="N695" s="40">
        <v>3640.0</v>
      </c>
      <c r="O695" s="17">
        <f t="shared" si="9"/>
        <v>0.7554945055</v>
      </c>
      <c r="P695" s="39">
        <v>2750.0</v>
      </c>
      <c r="Q695" s="29"/>
      <c r="R695" s="29">
        <v>1399020.0</v>
      </c>
      <c r="S695" s="29" t="s">
        <v>40</v>
      </c>
      <c r="T695" s="19">
        <v>5585799.0</v>
      </c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</row>
    <row r="696" ht="15.75" customHeight="1">
      <c r="A696" s="9">
        <v>1.0759748E7</v>
      </c>
      <c r="B696" s="82"/>
      <c r="C696" s="11">
        <v>45545.0</v>
      </c>
      <c r="D696" s="12">
        <v>26.0</v>
      </c>
      <c r="E696" s="26">
        <v>31625.0</v>
      </c>
      <c r="F696" s="12" t="s">
        <v>31</v>
      </c>
      <c r="G696" s="29" t="s">
        <v>44</v>
      </c>
      <c r="H696" s="29" t="s">
        <v>268</v>
      </c>
      <c r="I696" s="29" t="s">
        <v>397</v>
      </c>
      <c r="J696" s="25" t="s">
        <v>35</v>
      </c>
      <c r="K696" s="29" t="s">
        <v>270</v>
      </c>
      <c r="L696" s="28" t="s">
        <v>94</v>
      </c>
      <c r="M696" s="29" t="s">
        <v>52</v>
      </c>
      <c r="N696" s="40">
        <v>6200.0</v>
      </c>
      <c r="O696" s="17">
        <f t="shared" si="9"/>
        <v>0.685483871</v>
      </c>
      <c r="P696" s="39">
        <v>4250.0</v>
      </c>
      <c r="Q696" s="29" t="s">
        <v>52</v>
      </c>
      <c r="R696" s="29" t="s">
        <v>52</v>
      </c>
      <c r="S696" s="29" t="s">
        <v>165</v>
      </c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</row>
    <row r="697" ht="15.75" customHeight="1">
      <c r="A697" s="9">
        <v>1.0759749E7</v>
      </c>
      <c r="B697" s="82"/>
      <c r="C697" s="11">
        <v>45545.0</v>
      </c>
      <c r="D697" s="12">
        <v>26.0</v>
      </c>
      <c r="E697" s="26">
        <v>31625.0</v>
      </c>
      <c r="F697" s="12" t="s">
        <v>31</v>
      </c>
      <c r="G697" s="29" t="s">
        <v>44</v>
      </c>
      <c r="H697" s="29" t="s">
        <v>268</v>
      </c>
      <c r="I697" s="29" t="s">
        <v>397</v>
      </c>
      <c r="J697" s="25" t="s">
        <v>35</v>
      </c>
      <c r="K697" s="29" t="s">
        <v>270</v>
      </c>
      <c r="L697" s="28" t="s">
        <v>94</v>
      </c>
      <c r="M697" s="29" t="s">
        <v>52</v>
      </c>
      <c r="N697" s="40">
        <v>6200.0</v>
      </c>
      <c r="O697" s="17">
        <f t="shared" si="9"/>
        <v>0.685483871</v>
      </c>
      <c r="P697" s="39">
        <v>4250.0</v>
      </c>
      <c r="Q697" s="29" t="s">
        <v>52</v>
      </c>
      <c r="R697" s="29" t="s">
        <v>52</v>
      </c>
      <c r="S697" s="29" t="s">
        <v>165</v>
      </c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</row>
    <row r="698" ht="15.75" customHeight="1">
      <c r="A698" s="9">
        <v>1.0759888E7</v>
      </c>
      <c r="B698" s="82"/>
      <c r="C698" s="11">
        <v>45540.0</v>
      </c>
      <c r="D698" s="12">
        <v>26.0</v>
      </c>
      <c r="E698" s="26">
        <v>31625.0</v>
      </c>
      <c r="F698" s="29" t="s">
        <v>31</v>
      </c>
      <c r="G698" s="25" t="s">
        <v>44</v>
      </c>
      <c r="H698" s="12" t="s">
        <v>104</v>
      </c>
      <c r="I698" s="29" t="s">
        <v>105</v>
      </c>
      <c r="J698" s="12" t="s">
        <v>35</v>
      </c>
      <c r="K698" s="12" t="s">
        <v>106</v>
      </c>
      <c r="L698" s="25" t="s">
        <v>59</v>
      </c>
      <c r="M698" s="29" t="s">
        <v>49</v>
      </c>
      <c r="N698" s="40">
        <v>5053.0</v>
      </c>
      <c r="O698" s="73">
        <f t="shared" si="9"/>
        <v>0.5937067089</v>
      </c>
      <c r="P698" s="39">
        <v>3000.0</v>
      </c>
      <c r="Q698" s="29" t="s">
        <v>39</v>
      </c>
      <c r="R698" s="29">
        <v>1397859.0</v>
      </c>
      <c r="S698" s="29" t="s">
        <v>40</v>
      </c>
      <c r="T698" s="19">
        <v>5580550.0</v>
      </c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</row>
    <row r="699" ht="15.75" customHeight="1">
      <c r="A699" s="9">
        <v>1.0759889E7</v>
      </c>
      <c r="B699" s="82"/>
      <c r="C699" s="11">
        <v>45540.0</v>
      </c>
      <c r="D699" s="12">
        <v>26.0</v>
      </c>
      <c r="E699" s="26">
        <v>31625.0</v>
      </c>
      <c r="F699" s="12" t="s">
        <v>31</v>
      </c>
      <c r="G699" s="29" t="s">
        <v>44</v>
      </c>
      <c r="H699" s="12" t="s">
        <v>104</v>
      </c>
      <c r="I699" s="25" t="s">
        <v>105</v>
      </c>
      <c r="J699" s="25" t="s">
        <v>35</v>
      </c>
      <c r="K699" s="25" t="s">
        <v>106</v>
      </c>
      <c r="L699" s="25" t="s">
        <v>59</v>
      </c>
      <c r="M699" s="29" t="s">
        <v>444</v>
      </c>
      <c r="N699" s="40">
        <v>5053.0</v>
      </c>
      <c r="O699" s="73">
        <f t="shared" si="9"/>
        <v>0.2772214526</v>
      </c>
      <c r="P699" s="39">
        <v>1400.8</v>
      </c>
      <c r="Q699" s="29" t="s">
        <v>39</v>
      </c>
      <c r="R699" s="29">
        <v>1397879.0</v>
      </c>
      <c r="S699" s="29" t="s">
        <v>40</v>
      </c>
      <c r="T699" s="19">
        <v>5580663.0</v>
      </c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</row>
    <row r="700" ht="15.75" customHeight="1">
      <c r="A700" s="9">
        <v>1.075989E7</v>
      </c>
      <c r="B700" s="82"/>
      <c r="C700" s="11">
        <v>45540.0</v>
      </c>
      <c r="D700" s="12">
        <v>26.0</v>
      </c>
      <c r="E700" s="26">
        <v>31625.0</v>
      </c>
      <c r="F700" s="29" t="s">
        <v>31</v>
      </c>
      <c r="G700" s="25" t="s">
        <v>44</v>
      </c>
      <c r="H700" s="12" t="s">
        <v>104</v>
      </c>
      <c r="I700" s="29" t="s">
        <v>105</v>
      </c>
      <c r="J700" s="12" t="s">
        <v>35</v>
      </c>
      <c r="K700" s="12" t="s">
        <v>106</v>
      </c>
      <c r="L700" s="25" t="s">
        <v>59</v>
      </c>
      <c r="M700" s="29" t="s">
        <v>460</v>
      </c>
      <c r="N700" s="40">
        <v>5053.0</v>
      </c>
      <c r="O700" s="73">
        <f t="shared" si="9"/>
        <v>0.5937067089</v>
      </c>
      <c r="P700" s="39">
        <v>3000.0</v>
      </c>
      <c r="Q700" s="29" t="s">
        <v>39</v>
      </c>
      <c r="R700" s="29">
        <v>1397855.0</v>
      </c>
      <c r="S700" s="29" t="s">
        <v>40</v>
      </c>
      <c r="T700" s="19">
        <v>5580541.0</v>
      </c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</row>
    <row r="701" ht="15.75" customHeight="1">
      <c r="A701" s="9">
        <v>1.0769246E7</v>
      </c>
      <c r="B701" s="82"/>
      <c r="C701" s="11">
        <v>45545.0</v>
      </c>
      <c r="D701" s="12">
        <v>26.0</v>
      </c>
      <c r="E701" s="26">
        <v>32553.0</v>
      </c>
      <c r="F701" s="9" t="s">
        <v>43</v>
      </c>
      <c r="G701" s="29" t="s">
        <v>44</v>
      </c>
      <c r="H701" s="12" t="s">
        <v>268</v>
      </c>
      <c r="I701" s="25" t="s">
        <v>269</v>
      </c>
      <c r="J701" s="25" t="s">
        <v>35</v>
      </c>
      <c r="K701" s="25" t="s">
        <v>270</v>
      </c>
      <c r="L701" s="28" t="s">
        <v>94</v>
      </c>
      <c r="M701" s="29" t="s">
        <v>461</v>
      </c>
      <c r="N701" s="40">
        <v>5880.0</v>
      </c>
      <c r="O701" s="17">
        <f t="shared" si="9"/>
        <v>0.3070408163</v>
      </c>
      <c r="P701" s="39">
        <v>1805.4</v>
      </c>
      <c r="Q701" s="29" t="s">
        <v>39</v>
      </c>
      <c r="R701" s="29">
        <v>1401383.0</v>
      </c>
      <c r="S701" s="29" t="s">
        <v>40</v>
      </c>
      <c r="T701" s="19">
        <v>5606858.0</v>
      </c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</row>
    <row r="702" ht="15.75" customHeight="1">
      <c r="A702" s="9">
        <v>1.0769247E7</v>
      </c>
      <c r="B702" s="82"/>
      <c r="C702" s="11">
        <v>45545.0</v>
      </c>
      <c r="D702" s="12">
        <v>26.0</v>
      </c>
      <c r="E702" s="26">
        <v>32553.0</v>
      </c>
      <c r="F702" s="9" t="s">
        <v>43</v>
      </c>
      <c r="G702" s="29" t="s">
        <v>44</v>
      </c>
      <c r="H702" s="12" t="s">
        <v>268</v>
      </c>
      <c r="I702" s="25" t="s">
        <v>269</v>
      </c>
      <c r="J702" s="25" t="s">
        <v>35</v>
      </c>
      <c r="K702" s="25" t="s">
        <v>270</v>
      </c>
      <c r="L702" s="28" t="s">
        <v>94</v>
      </c>
      <c r="M702" s="29" t="s">
        <v>345</v>
      </c>
      <c r="N702" s="40">
        <v>5880.0</v>
      </c>
      <c r="O702" s="17">
        <f t="shared" si="9"/>
        <v>0.7653061224</v>
      </c>
      <c r="P702" s="39">
        <v>4500.0</v>
      </c>
      <c r="Q702" s="29" t="s">
        <v>39</v>
      </c>
      <c r="R702" s="29">
        <v>1401791.0</v>
      </c>
      <c r="S702" s="29" t="s">
        <v>40</v>
      </c>
      <c r="T702" s="19">
        <v>5609550.0</v>
      </c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</row>
    <row r="703" ht="15.75" customHeight="1">
      <c r="A703" s="9">
        <v>1.0769268E7</v>
      </c>
      <c r="B703" s="82"/>
      <c r="C703" s="11">
        <v>45545.0</v>
      </c>
      <c r="D703" s="12" t="s">
        <v>52</v>
      </c>
      <c r="E703" s="25" t="s">
        <v>52</v>
      </c>
      <c r="F703" s="38" t="s">
        <v>43</v>
      </c>
      <c r="G703" s="29" t="s">
        <v>44</v>
      </c>
      <c r="H703" s="12" t="s">
        <v>462</v>
      </c>
      <c r="I703" s="12" t="s">
        <v>269</v>
      </c>
      <c r="J703" s="12" t="s">
        <v>270</v>
      </c>
      <c r="K703" s="12" t="s">
        <v>35</v>
      </c>
      <c r="L703" s="28" t="s">
        <v>188</v>
      </c>
      <c r="M703" s="29"/>
      <c r="N703" s="40">
        <v>3920.0</v>
      </c>
      <c r="O703" s="17">
        <f t="shared" si="9"/>
        <v>0.4605612245</v>
      </c>
      <c r="P703" s="39">
        <v>1805.4</v>
      </c>
      <c r="Q703" s="29"/>
      <c r="R703" s="29">
        <v>1402402.0</v>
      </c>
      <c r="S703" s="29" t="s">
        <v>40</v>
      </c>
      <c r="T703" s="19">
        <v>5612941.0</v>
      </c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</row>
    <row r="704" ht="15.75" customHeight="1">
      <c r="A704" s="9">
        <v>1.0769269E7</v>
      </c>
      <c r="B704" s="82"/>
      <c r="C704" s="11">
        <v>45545.0</v>
      </c>
      <c r="D704" s="12" t="s">
        <v>52</v>
      </c>
      <c r="E704" s="25" t="s">
        <v>52</v>
      </c>
      <c r="F704" s="38" t="s">
        <v>43</v>
      </c>
      <c r="G704" s="29" t="s">
        <v>44</v>
      </c>
      <c r="H704" s="84" t="s">
        <v>463</v>
      </c>
      <c r="I704" s="12" t="s">
        <v>269</v>
      </c>
      <c r="J704" s="12" t="s">
        <v>270</v>
      </c>
      <c r="K704" s="12" t="s">
        <v>35</v>
      </c>
      <c r="L704" s="28" t="s">
        <v>188</v>
      </c>
      <c r="M704" s="29"/>
      <c r="N704" s="40">
        <v>3920.0</v>
      </c>
      <c r="O704" s="17">
        <f t="shared" si="9"/>
        <v>0.7015306122</v>
      </c>
      <c r="P704" s="39">
        <v>2750.0</v>
      </c>
      <c r="Q704" s="29"/>
      <c r="R704" s="29">
        <v>1403586.0</v>
      </c>
      <c r="S704" s="29" t="s">
        <v>40</v>
      </c>
      <c r="T704" s="19">
        <v>5619149.0</v>
      </c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</row>
    <row r="705" ht="15.75" customHeight="1">
      <c r="A705" s="9">
        <v>1.0770936E7</v>
      </c>
      <c r="B705" s="82"/>
      <c r="C705" s="11">
        <v>45545.0</v>
      </c>
      <c r="D705" s="12">
        <v>26.0</v>
      </c>
      <c r="E705" s="26">
        <v>31625.0</v>
      </c>
      <c r="F705" s="29" t="s">
        <v>31</v>
      </c>
      <c r="G705" s="29" t="s">
        <v>44</v>
      </c>
      <c r="H705" s="12" t="s">
        <v>136</v>
      </c>
      <c r="I705" s="15" t="s">
        <v>137</v>
      </c>
      <c r="J705" s="12" t="s">
        <v>35</v>
      </c>
      <c r="K705" s="12" t="s">
        <v>138</v>
      </c>
      <c r="L705" s="28" t="s">
        <v>114</v>
      </c>
      <c r="M705" s="29" t="s">
        <v>128</v>
      </c>
      <c r="N705" s="40">
        <v>5174.0</v>
      </c>
      <c r="O705" s="17">
        <f t="shared" si="9"/>
        <v>0.7730962505</v>
      </c>
      <c r="P705" s="39">
        <v>4000.0</v>
      </c>
      <c r="Q705" s="29" t="s">
        <v>39</v>
      </c>
      <c r="R705" s="29">
        <v>1401790.0</v>
      </c>
      <c r="S705" s="29" t="s">
        <v>40</v>
      </c>
      <c r="T705" s="19">
        <v>5609540.0</v>
      </c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</row>
    <row r="706" ht="15.75" customHeight="1">
      <c r="A706" s="9">
        <v>1.0772669E7</v>
      </c>
      <c r="B706" s="82"/>
      <c r="C706" s="11">
        <v>45547.0</v>
      </c>
      <c r="D706" s="12">
        <v>26.0</v>
      </c>
      <c r="E706" s="26">
        <v>32553.0</v>
      </c>
      <c r="F706" s="27" t="s">
        <v>43</v>
      </c>
      <c r="G706" s="25" t="s">
        <v>44</v>
      </c>
      <c r="H706" s="12" t="s">
        <v>268</v>
      </c>
      <c r="I706" s="25" t="s">
        <v>269</v>
      </c>
      <c r="J706" s="25" t="s">
        <v>35</v>
      </c>
      <c r="K706" s="12" t="s">
        <v>270</v>
      </c>
      <c r="L706" s="28" t="s">
        <v>94</v>
      </c>
      <c r="M706" s="29" t="s">
        <v>433</v>
      </c>
      <c r="N706" s="40">
        <v>5880.0</v>
      </c>
      <c r="O706" s="17">
        <f t="shared" si="9"/>
        <v>0.7227891156</v>
      </c>
      <c r="P706" s="39">
        <v>4250.0</v>
      </c>
      <c r="Q706" s="29" t="s">
        <v>39</v>
      </c>
      <c r="R706" s="29">
        <v>1403437.0</v>
      </c>
      <c r="S706" s="29" t="s">
        <v>40</v>
      </c>
      <c r="T706" s="19">
        <v>5618202.0</v>
      </c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</row>
    <row r="707" ht="15.75" customHeight="1">
      <c r="A707" s="9">
        <v>1.077267E7</v>
      </c>
      <c r="B707" s="82"/>
      <c r="C707" s="11">
        <v>45547.0</v>
      </c>
      <c r="D707" s="12" t="s">
        <v>52</v>
      </c>
      <c r="E707" s="25" t="s">
        <v>52</v>
      </c>
      <c r="F707" s="9" t="s">
        <v>43</v>
      </c>
      <c r="G707" s="29" t="s">
        <v>44</v>
      </c>
      <c r="H707" s="12" t="s">
        <v>464</v>
      </c>
      <c r="I707" s="25" t="s">
        <v>269</v>
      </c>
      <c r="J707" s="25" t="s">
        <v>270</v>
      </c>
      <c r="K707" s="12" t="s">
        <v>35</v>
      </c>
      <c r="L707" s="28" t="s">
        <v>188</v>
      </c>
      <c r="M707" s="29"/>
      <c r="N707" s="40">
        <v>3920.0</v>
      </c>
      <c r="O707" s="17">
        <f t="shared" si="9"/>
        <v>0.7015306122</v>
      </c>
      <c r="P707" s="39">
        <v>2750.0</v>
      </c>
      <c r="Q707" s="29"/>
      <c r="R707" s="29">
        <v>1404386.0</v>
      </c>
      <c r="S707" s="29" t="s">
        <v>40</v>
      </c>
      <c r="T707" s="19">
        <v>5623971.0</v>
      </c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</row>
    <row r="708" ht="15.75" customHeight="1">
      <c r="A708" s="9">
        <v>1.0776599E7</v>
      </c>
      <c r="B708" s="82"/>
      <c r="C708" s="11">
        <v>45547.0</v>
      </c>
      <c r="D708" s="12">
        <v>26.0</v>
      </c>
      <c r="E708" s="26">
        <v>31625.0</v>
      </c>
      <c r="F708" s="29" t="s">
        <v>31</v>
      </c>
      <c r="G708" s="29" t="s">
        <v>74</v>
      </c>
      <c r="H708" s="12" t="s">
        <v>262</v>
      </c>
      <c r="I708" s="25" t="s">
        <v>263</v>
      </c>
      <c r="J708" s="25" t="s">
        <v>35</v>
      </c>
      <c r="K708" s="12" t="s">
        <v>264</v>
      </c>
      <c r="L708" s="28" t="s">
        <v>59</v>
      </c>
      <c r="M708" s="29" t="s">
        <v>159</v>
      </c>
      <c r="N708" s="40">
        <v>4650.0</v>
      </c>
      <c r="O708" s="17">
        <f t="shared" si="9"/>
        <v>0.6451612903</v>
      </c>
      <c r="P708" s="39">
        <v>3000.0</v>
      </c>
      <c r="Q708" s="49" t="s">
        <v>39</v>
      </c>
      <c r="R708" s="29">
        <v>1403433.0</v>
      </c>
      <c r="S708" s="29" t="s">
        <v>40</v>
      </c>
      <c r="T708" s="19">
        <v>5618188.0</v>
      </c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</row>
    <row r="709" ht="15.75" customHeight="1">
      <c r="A709" s="9">
        <v>1.07766E7</v>
      </c>
      <c r="B709" s="82"/>
      <c r="C709" s="11">
        <v>45546.0</v>
      </c>
      <c r="D709" s="12">
        <v>26.0</v>
      </c>
      <c r="E709" s="26">
        <v>31293.0</v>
      </c>
      <c r="F709" s="29" t="s">
        <v>31</v>
      </c>
      <c r="G709" s="29" t="s">
        <v>74</v>
      </c>
      <c r="H709" s="12" t="s">
        <v>262</v>
      </c>
      <c r="I709" s="25" t="s">
        <v>263</v>
      </c>
      <c r="J709" s="12" t="s">
        <v>35</v>
      </c>
      <c r="K709" s="25" t="s">
        <v>264</v>
      </c>
      <c r="L709" s="28" t="s">
        <v>59</v>
      </c>
      <c r="M709" s="29" t="s">
        <v>49</v>
      </c>
      <c r="N709" s="40">
        <v>4650.0</v>
      </c>
      <c r="O709" s="17">
        <f t="shared" si="9"/>
        <v>0.6451612903</v>
      </c>
      <c r="P709" s="39">
        <v>3000.0</v>
      </c>
      <c r="Q709" s="29" t="s">
        <v>39</v>
      </c>
      <c r="R709" s="29" t="s">
        <v>465</v>
      </c>
      <c r="S709" s="29" t="s">
        <v>40</v>
      </c>
      <c r="T709" s="19" t="s">
        <v>466</v>
      </c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</row>
    <row r="710" ht="15.75" customHeight="1">
      <c r="A710" s="9">
        <v>1.0776601E7</v>
      </c>
      <c r="B710" s="82"/>
      <c r="C710" s="11">
        <v>45547.0</v>
      </c>
      <c r="D710" s="12">
        <v>26.0</v>
      </c>
      <c r="E710" s="26">
        <v>31625.0</v>
      </c>
      <c r="F710" s="29" t="s">
        <v>31</v>
      </c>
      <c r="G710" s="29" t="s">
        <v>74</v>
      </c>
      <c r="H710" s="12" t="s">
        <v>262</v>
      </c>
      <c r="I710" s="12" t="s">
        <v>263</v>
      </c>
      <c r="J710" s="12" t="s">
        <v>35</v>
      </c>
      <c r="K710" s="12" t="s">
        <v>264</v>
      </c>
      <c r="L710" s="28" t="s">
        <v>59</v>
      </c>
      <c r="M710" s="29" t="s">
        <v>467</v>
      </c>
      <c r="N710" s="40">
        <v>4650.0</v>
      </c>
      <c r="O710" s="17">
        <f t="shared" si="9"/>
        <v>0.2676129032</v>
      </c>
      <c r="P710" s="39">
        <v>1244.4</v>
      </c>
      <c r="Q710" s="49" t="s">
        <v>39</v>
      </c>
      <c r="R710" s="29">
        <v>1403435.0</v>
      </c>
      <c r="S710" s="29" t="s">
        <v>40</v>
      </c>
      <c r="T710" s="19">
        <v>5618195.0</v>
      </c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</row>
    <row r="711" ht="15.75" customHeight="1">
      <c r="A711" s="9">
        <v>1.0780326E7</v>
      </c>
      <c r="B711" s="82"/>
      <c r="C711" s="11">
        <v>45549.0</v>
      </c>
      <c r="D711" s="12">
        <v>23.0</v>
      </c>
      <c r="E711" s="26">
        <v>29274.0</v>
      </c>
      <c r="F711" s="29" t="s">
        <v>31</v>
      </c>
      <c r="G711" s="25" t="s">
        <v>32</v>
      </c>
      <c r="H711" s="12" t="s">
        <v>426</v>
      </c>
      <c r="I711" s="29" t="s">
        <v>427</v>
      </c>
      <c r="J711" s="12" t="s">
        <v>35</v>
      </c>
      <c r="K711" s="12" t="s">
        <v>428</v>
      </c>
      <c r="L711" s="28" t="s">
        <v>188</v>
      </c>
      <c r="M711" s="29" t="s">
        <v>52</v>
      </c>
      <c r="N711" s="40">
        <v>2900.0</v>
      </c>
      <c r="O711" s="17">
        <f t="shared" si="9"/>
        <v>0.5862068966</v>
      </c>
      <c r="P711" s="39">
        <v>1700.0</v>
      </c>
      <c r="Q711" s="29" t="s">
        <v>52</v>
      </c>
      <c r="R711" s="29" t="s">
        <v>52</v>
      </c>
      <c r="S711" s="29" t="s">
        <v>165</v>
      </c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</row>
    <row r="712" ht="15.75" customHeight="1">
      <c r="A712" s="9">
        <v>1.0780327E7</v>
      </c>
      <c r="B712" s="82"/>
      <c r="C712" s="11">
        <v>45549.0</v>
      </c>
      <c r="D712" s="12">
        <v>24.0</v>
      </c>
      <c r="E712" s="26">
        <v>29222.0</v>
      </c>
      <c r="F712" s="29" t="s">
        <v>31</v>
      </c>
      <c r="G712" s="25" t="s">
        <v>32</v>
      </c>
      <c r="H712" s="12" t="s">
        <v>426</v>
      </c>
      <c r="I712" s="29" t="s">
        <v>427</v>
      </c>
      <c r="J712" s="12" t="s">
        <v>35</v>
      </c>
      <c r="K712" s="12" t="s">
        <v>428</v>
      </c>
      <c r="L712" s="28" t="s">
        <v>188</v>
      </c>
      <c r="M712" s="29" t="s">
        <v>184</v>
      </c>
      <c r="N712" s="40">
        <v>2900.0</v>
      </c>
      <c r="O712" s="17">
        <f t="shared" si="9"/>
        <v>0.5862068966</v>
      </c>
      <c r="P712" s="39">
        <v>1700.0</v>
      </c>
      <c r="Q712" s="29" t="s">
        <v>39</v>
      </c>
      <c r="R712" s="29">
        <v>1405797.0</v>
      </c>
      <c r="S712" s="29" t="s">
        <v>40</v>
      </c>
      <c r="T712" s="19">
        <v>5628663.0</v>
      </c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</row>
    <row r="713" ht="15.75" customHeight="1">
      <c r="A713" s="9">
        <v>1.078249E7</v>
      </c>
      <c r="B713" s="82"/>
      <c r="C713" s="11">
        <v>45547.0</v>
      </c>
      <c r="D713" s="12">
        <v>26.0</v>
      </c>
      <c r="E713" s="26">
        <v>33430.0</v>
      </c>
      <c r="F713" s="29" t="s">
        <v>31</v>
      </c>
      <c r="G713" s="25" t="s">
        <v>74</v>
      </c>
      <c r="H713" s="12" t="s">
        <v>318</v>
      </c>
      <c r="I713" s="85" t="s">
        <v>468</v>
      </c>
      <c r="J713" s="12" t="s">
        <v>35</v>
      </c>
      <c r="K713" s="12" t="s">
        <v>320</v>
      </c>
      <c r="L713" s="28" t="s">
        <v>94</v>
      </c>
      <c r="M713" s="29" t="s">
        <v>469</v>
      </c>
      <c r="N713" s="40">
        <v>7216.0</v>
      </c>
      <c r="O713" s="73">
        <f t="shared" si="9"/>
        <v>0.2539634146</v>
      </c>
      <c r="P713" s="39">
        <v>1832.6</v>
      </c>
      <c r="Q713" s="29" t="s">
        <v>39</v>
      </c>
      <c r="R713" s="29" t="s">
        <v>470</v>
      </c>
      <c r="S713" s="29" t="s">
        <v>40</v>
      </c>
      <c r="T713" s="19" t="s">
        <v>471</v>
      </c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</row>
    <row r="714" ht="15.75" customHeight="1">
      <c r="A714" s="9">
        <v>1.0786831E7</v>
      </c>
      <c r="B714" s="82"/>
      <c r="C714" s="11">
        <v>45551.0</v>
      </c>
      <c r="D714" s="12">
        <v>26.0</v>
      </c>
      <c r="E714" s="26">
        <v>31625.0</v>
      </c>
      <c r="F714" s="38" t="s">
        <v>43</v>
      </c>
      <c r="G714" s="29" t="s">
        <v>44</v>
      </c>
      <c r="H714" s="12" t="s">
        <v>268</v>
      </c>
      <c r="I714" s="25" t="s">
        <v>397</v>
      </c>
      <c r="J714" s="25" t="s">
        <v>35</v>
      </c>
      <c r="K714" s="12" t="s">
        <v>270</v>
      </c>
      <c r="L714" s="28" t="s">
        <v>94</v>
      </c>
      <c r="M714" s="29" t="s">
        <v>472</v>
      </c>
      <c r="N714" s="40">
        <v>6200.0</v>
      </c>
      <c r="O714" s="17">
        <f t="shared" si="9"/>
        <v>0.2911935484</v>
      </c>
      <c r="P714" s="39">
        <v>1805.4</v>
      </c>
      <c r="Q714" s="29" t="s">
        <v>39</v>
      </c>
      <c r="R714" s="29">
        <v>1406539.0</v>
      </c>
      <c r="S714" s="29" t="s">
        <v>40</v>
      </c>
      <c r="T714" s="19">
        <v>5632320.0</v>
      </c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</row>
    <row r="715" ht="15.75" customHeight="1">
      <c r="A715" s="9">
        <v>1.0789597E7</v>
      </c>
      <c r="B715" s="84"/>
      <c r="C715" s="11" t="s">
        <v>473</v>
      </c>
      <c r="D715" s="84">
        <v>26.0</v>
      </c>
      <c r="E715" s="26">
        <v>31625.0</v>
      </c>
      <c r="F715" s="29" t="s">
        <v>31</v>
      </c>
      <c r="G715" s="25" t="s">
        <v>32</v>
      </c>
      <c r="H715" s="12" t="s">
        <v>124</v>
      </c>
      <c r="I715" s="29" t="s">
        <v>125</v>
      </c>
      <c r="J715" s="12" t="s">
        <v>35</v>
      </c>
      <c r="K715" s="12" t="s">
        <v>126</v>
      </c>
      <c r="L715" s="28" t="s">
        <v>114</v>
      </c>
      <c r="M715" s="85" t="s">
        <v>142</v>
      </c>
      <c r="N715" s="88">
        <v>5782.0</v>
      </c>
      <c r="O715" s="17">
        <f t="shared" si="9"/>
        <v>0.6918021446</v>
      </c>
      <c r="P715" s="89">
        <v>4000.0</v>
      </c>
      <c r="Q715" s="29" t="s">
        <v>39</v>
      </c>
      <c r="R715" s="85">
        <v>1409213.0</v>
      </c>
      <c r="S715" s="85" t="s">
        <v>40</v>
      </c>
      <c r="T715" s="90">
        <v>5648419.0</v>
      </c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</row>
    <row r="716" ht="15.75" customHeight="1">
      <c r="A716" s="9">
        <v>1.0789814E7</v>
      </c>
      <c r="B716" s="84"/>
      <c r="C716" s="11" t="s">
        <v>473</v>
      </c>
      <c r="D716" s="84">
        <v>26.0</v>
      </c>
      <c r="E716" s="91">
        <v>30.0</v>
      </c>
      <c r="F716" s="27" t="s">
        <v>43</v>
      </c>
      <c r="G716" s="29" t="s">
        <v>44</v>
      </c>
      <c r="H716" s="12" t="s">
        <v>136</v>
      </c>
      <c r="I716" s="39" t="s">
        <v>137</v>
      </c>
      <c r="J716" s="25" t="s">
        <v>35</v>
      </c>
      <c r="K716" s="25" t="s">
        <v>138</v>
      </c>
      <c r="L716" s="28" t="s">
        <v>114</v>
      </c>
      <c r="M716" s="85" t="s">
        <v>128</v>
      </c>
      <c r="N716" s="88">
        <v>4901.0</v>
      </c>
      <c r="O716" s="17">
        <f t="shared" si="9"/>
        <v>0.7855539686</v>
      </c>
      <c r="P716" s="89">
        <v>3850.0</v>
      </c>
      <c r="Q716" s="12" t="s">
        <v>39</v>
      </c>
      <c r="R716" s="85">
        <v>1408964.0</v>
      </c>
      <c r="S716" s="85" t="s">
        <v>40</v>
      </c>
      <c r="T716" s="90">
        <v>5646611.0</v>
      </c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</row>
    <row r="717" ht="15.75" customHeight="1">
      <c r="A717" s="9">
        <v>1.0789845E7</v>
      </c>
      <c r="B717" s="84"/>
      <c r="C717" s="11" t="s">
        <v>473</v>
      </c>
      <c r="D717" s="12" t="s">
        <v>52</v>
      </c>
      <c r="E717" s="25" t="s">
        <v>52</v>
      </c>
      <c r="F717" s="38" t="s">
        <v>43</v>
      </c>
      <c r="G717" s="25" t="s">
        <v>44</v>
      </c>
      <c r="H717" s="12" t="s">
        <v>474</v>
      </c>
      <c r="I717" s="39" t="s">
        <v>137</v>
      </c>
      <c r="J717" s="12" t="s">
        <v>138</v>
      </c>
      <c r="K717" s="12" t="s">
        <v>35</v>
      </c>
      <c r="L717" s="28" t="s">
        <v>43</v>
      </c>
      <c r="M717" s="85"/>
      <c r="N717" s="88">
        <v>3267.0</v>
      </c>
      <c r="O717" s="17">
        <f t="shared" si="9"/>
        <v>0.7805325987</v>
      </c>
      <c r="P717" s="89">
        <v>2550.0</v>
      </c>
      <c r="Q717" s="12"/>
      <c r="R717" s="85">
        <v>1410332.0</v>
      </c>
      <c r="S717" s="85" t="s">
        <v>40</v>
      </c>
      <c r="T717" s="90">
        <v>5654481.0</v>
      </c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</row>
    <row r="718" ht="15.75" customHeight="1">
      <c r="A718" s="9">
        <v>1.0790051E7</v>
      </c>
      <c r="B718" s="82"/>
      <c r="C718" s="11">
        <v>45556.0</v>
      </c>
      <c r="D718" s="12">
        <v>23.0</v>
      </c>
      <c r="E718" s="26">
        <v>29274.0</v>
      </c>
      <c r="F718" s="29" t="s">
        <v>31</v>
      </c>
      <c r="G718" s="25" t="s">
        <v>32</v>
      </c>
      <c r="H718" s="12" t="s">
        <v>426</v>
      </c>
      <c r="I718" s="29" t="s">
        <v>427</v>
      </c>
      <c r="J718" s="12" t="s">
        <v>35</v>
      </c>
      <c r="K718" s="12" t="s">
        <v>428</v>
      </c>
      <c r="L718" s="28" t="s">
        <v>188</v>
      </c>
      <c r="M718" s="85" t="s">
        <v>452</v>
      </c>
      <c r="N718" s="40">
        <v>2900.0</v>
      </c>
      <c r="O718" s="17">
        <f t="shared" si="9"/>
        <v>0.1571034483</v>
      </c>
      <c r="P718" s="89">
        <v>455.6</v>
      </c>
      <c r="Q718" s="84" t="s">
        <v>39</v>
      </c>
      <c r="R718" s="85">
        <v>1410277.0</v>
      </c>
      <c r="S718" s="85" t="s">
        <v>40</v>
      </c>
      <c r="T718" s="19">
        <v>5654309.0</v>
      </c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</row>
    <row r="719" ht="15.75" customHeight="1">
      <c r="A719" s="9">
        <v>1.079039E7</v>
      </c>
      <c r="B719" s="82"/>
      <c r="C719" s="11">
        <v>45552.0</v>
      </c>
      <c r="D719" s="12">
        <v>26.0</v>
      </c>
      <c r="E719" s="26">
        <v>31625.0</v>
      </c>
      <c r="F719" s="12" t="s">
        <v>31</v>
      </c>
      <c r="G719" s="29" t="s">
        <v>32</v>
      </c>
      <c r="H719" s="12" t="s">
        <v>265</v>
      </c>
      <c r="I719" s="39" t="s">
        <v>266</v>
      </c>
      <c r="J719" s="25" t="s">
        <v>35</v>
      </c>
      <c r="K719" s="12" t="s">
        <v>267</v>
      </c>
      <c r="L719" s="28" t="s">
        <v>94</v>
      </c>
      <c r="M719" s="29" t="s">
        <v>184</v>
      </c>
      <c r="N719" s="40">
        <v>6200.0</v>
      </c>
      <c r="O719" s="17">
        <f t="shared" si="9"/>
        <v>0.685483871</v>
      </c>
      <c r="P719" s="39">
        <v>4250.0</v>
      </c>
      <c r="Q719" s="29" t="s">
        <v>39</v>
      </c>
      <c r="R719" s="29">
        <v>1407053.0</v>
      </c>
      <c r="S719" s="29" t="s">
        <v>40</v>
      </c>
      <c r="T719" s="19">
        <v>5634898.0</v>
      </c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</row>
    <row r="720" ht="15.75" customHeight="1">
      <c r="A720" s="9">
        <v>1.0798003E7</v>
      </c>
      <c r="B720" s="82"/>
      <c r="C720" s="11">
        <v>45556.0</v>
      </c>
      <c r="D720" s="12">
        <v>26.0</v>
      </c>
      <c r="E720" s="26">
        <v>31625.0</v>
      </c>
      <c r="F720" s="12" t="s">
        <v>31</v>
      </c>
      <c r="G720" s="29" t="s">
        <v>44</v>
      </c>
      <c r="H720" s="12" t="s">
        <v>136</v>
      </c>
      <c r="I720" s="28" t="s">
        <v>137</v>
      </c>
      <c r="J720" s="25" t="s">
        <v>35</v>
      </c>
      <c r="K720" s="12" t="s">
        <v>138</v>
      </c>
      <c r="L720" s="28" t="s">
        <v>114</v>
      </c>
      <c r="M720" s="85" t="s">
        <v>345</v>
      </c>
      <c r="N720" s="40">
        <v>5174.0</v>
      </c>
      <c r="O720" s="17">
        <f t="shared" si="9"/>
        <v>0.7730962505</v>
      </c>
      <c r="P720" s="89">
        <v>4000.0</v>
      </c>
      <c r="Q720" s="84" t="s">
        <v>39</v>
      </c>
      <c r="R720" s="85">
        <v>1410811.0</v>
      </c>
      <c r="S720" s="85" t="s">
        <v>40</v>
      </c>
      <c r="T720" s="90">
        <v>5656153.0</v>
      </c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</row>
    <row r="721" ht="15.75" customHeight="1">
      <c r="A721" s="9">
        <v>1.0798932E7</v>
      </c>
      <c r="B721" s="82"/>
      <c r="C721" s="11">
        <v>45558.0</v>
      </c>
      <c r="D721" s="12">
        <v>26.0</v>
      </c>
      <c r="E721" s="26">
        <v>30960.0</v>
      </c>
      <c r="F721" s="29" t="s">
        <v>31</v>
      </c>
      <c r="G721" s="29" t="s">
        <v>74</v>
      </c>
      <c r="H721" s="12" t="s">
        <v>337</v>
      </c>
      <c r="I721" s="12" t="s">
        <v>338</v>
      </c>
      <c r="J721" s="12" t="s">
        <v>35</v>
      </c>
      <c r="K721" s="12" t="s">
        <v>339</v>
      </c>
      <c r="L721" s="28" t="s">
        <v>340</v>
      </c>
      <c r="M721" s="85" t="s">
        <v>475</v>
      </c>
      <c r="N721" s="40">
        <v>29800.0</v>
      </c>
      <c r="O721" s="17">
        <f t="shared" si="9"/>
        <v>0.8724832215</v>
      </c>
      <c r="P721" s="89">
        <v>26000.0</v>
      </c>
      <c r="Q721" s="85" t="s">
        <v>39</v>
      </c>
      <c r="R721" s="84" t="s">
        <v>476</v>
      </c>
      <c r="S721" s="85" t="s">
        <v>40</v>
      </c>
      <c r="T721" s="90" t="s">
        <v>477</v>
      </c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</row>
    <row r="722" ht="15.75" customHeight="1">
      <c r="A722" s="92">
        <v>1.0804246E7</v>
      </c>
      <c r="B722" s="82"/>
      <c r="C722" s="11">
        <v>45551.0</v>
      </c>
      <c r="D722" s="84" t="s">
        <v>52</v>
      </c>
      <c r="E722" s="91" t="s">
        <v>52</v>
      </c>
      <c r="F722" s="38" t="s">
        <v>43</v>
      </c>
      <c r="G722" s="29" t="s">
        <v>44</v>
      </c>
      <c r="H722" s="84" t="s">
        <v>478</v>
      </c>
      <c r="I722" s="12" t="s">
        <v>269</v>
      </c>
      <c r="J722" s="12" t="s">
        <v>270</v>
      </c>
      <c r="K722" s="12" t="s">
        <v>35</v>
      </c>
      <c r="L722" s="28" t="s">
        <v>188</v>
      </c>
      <c r="M722" s="29"/>
      <c r="N722" s="88">
        <v>4960.0</v>
      </c>
      <c r="O722" s="17">
        <f t="shared" si="9"/>
        <v>0.3639919355</v>
      </c>
      <c r="P722" s="39">
        <v>1805.4</v>
      </c>
      <c r="Q722" s="29"/>
      <c r="R722" s="85">
        <v>1408439.0</v>
      </c>
      <c r="S722" s="85" t="s">
        <v>40</v>
      </c>
      <c r="T722" s="90">
        <v>5643202.0</v>
      </c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</row>
    <row r="723" ht="15.75" customHeight="1">
      <c r="A723" s="9">
        <v>1.0807413E7</v>
      </c>
      <c r="B723" s="82"/>
      <c r="C723" s="11">
        <v>45556.0</v>
      </c>
      <c r="D723" s="12">
        <v>26.0</v>
      </c>
      <c r="E723" s="26">
        <v>31625.0</v>
      </c>
      <c r="F723" s="12" t="s">
        <v>31</v>
      </c>
      <c r="G723" s="29" t="s">
        <v>44</v>
      </c>
      <c r="H723" s="12" t="s">
        <v>268</v>
      </c>
      <c r="I723" s="25" t="s">
        <v>397</v>
      </c>
      <c r="J723" s="25" t="s">
        <v>35</v>
      </c>
      <c r="K723" s="12" t="s">
        <v>270</v>
      </c>
      <c r="L723" s="28" t="s">
        <v>94</v>
      </c>
      <c r="M723" s="85" t="s">
        <v>479</v>
      </c>
      <c r="N723" s="40">
        <v>6200.0</v>
      </c>
      <c r="O723" s="17">
        <f t="shared" si="9"/>
        <v>0.3120322581</v>
      </c>
      <c r="P723" s="89">
        <v>1934.6</v>
      </c>
      <c r="Q723" s="84" t="s">
        <v>39</v>
      </c>
      <c r="R723" s="85">
        <v>1410297.0</v>
      </c>
      <c r="S723" s="85" t="s">
        <v>40</v>
      </c>
      <c r="T723" s="19">
        <v>5654358.0</v>
      </c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</row>
    <row r="724" ht="15.75" customHeight="1">
      <c r="A724" s="9">
        <v>1.080931E7</v>
      </c>
      <c r="B724" s="82"/>
      <c r="C724" s="11">
        <v>45556.0</v>
      </c>
      <c r="D724" s="12">
        <v>26.0</v>
      </c>
      <c r="E724" s="26">
        <v>31625.0</v>
      </c>
      <c r="F724" s="12" t="s">
        <v>31</v>
      </c>
      <c r="G724" s="29" t="s">
        <v>44</v>
      </c>
      <c r="H724" s="12" t="s">
        <v>268</v>
      </c>
      <c r="I724" s="25" t="s">
        <v>397</v>
      </c>
      <c r="J724" s="25" t="s">
        <v>35</v>
      </c>
      <c r="K724" s="12" t="s">
        <v>270</v>
      </c>
      <c r="L724" s="28" t="s">
        <v>94</v>
      </c>
      <c r="M724" s="85" t="s">
        <v>480</v>
      </c>
      <c r="N724" s="40">
        <v>6200.0</v>
      </c>
      <c r="O724" s="17">
        <f t="shared" si="9"/>
        <v>0.3120322581</v>
      </c>
      <c r="P724" s="89">
        <v>1934.6</v>
      </c>
      <c r="Q724" s="84" t="s">
        <v>39</v>
      </c>
      <c r="R724" s="85">
        <v>1410315.0</v>
      </c>
      <c r="S724" s="85" t="s">
        <v>40</v>
      </c>
      <c r="T724" s="19">
        <v>5654420.0</v>
      </c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</row>
    <row r="725" ht="15.75" customHeight="1">
      <c r="A725" s="9">
        <v>1.0809604E7</v>
      </c>
      <c r="B725" s="82"/>
      <c r="C725" s="11">
        <v>45556.0</v>
      </c>
      <c r="D725" s="12">
        <v>26.0</v>
      </c>
      <c r="E725" s="26">
        <v>31625.0</v>
      </c>
      <c r="F725" s="12" t="s">
        <v>31</v>
      </c>
      <c r="G725" s="29" t="s">
        <v>44</v>
      </c>
      <c r="H725" s="12" t="s">
        <v>268</v>
      </c>
      <c r="I725" s="25" t="s">
        <v>397</v>
      </c>
      <c r="J725" s="25" t="s">
        <v>35</v>
      </c>
      <c r="K725" s="12" t="s">
        <v>270</v>
      </c>
      <c r="L725" s="28" t="s">
        <v>94</v>
      </c>
      <c r="M725" s="85" t="s">
        <v>481</v>
      </c>
      <c r="N725" s="40">
        <v>6200.0</v>
      </c>
      <c r="O725" s="17">
        <f t="shared" si="9"/>
        <v>0.3120322581</v>
      </c>
      <c r="P725" s="89">
        <v>1934.6</v>
      </c>
      <c r="Q725" s="84" t="s">
        <v>39</v>
      </c>
      <c r="R725" s="85">
        <v>1410425.0</v>
      </c>
      <c r="S725" s="85" t="s">
        <v>40</v>
      </c>
      <c r="T725" s="19">
        <v>5655070.0</v>
      </c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</row>
    <row r="726" ht="15.75" customHeight="1">
      <c r="A726" s="9">
        <v>1.0810342E7</v>
      </c>
      <c r="B726" s="84"/>
      <c r="C726" s="11" t="s">
        <v>482</v>
      </c>
      <c r="D726" s="84">
        <v>26.0</v>
      </c>
      <c r="E726" s="91">
        <v>31922.0</v>
      </c>
      <c r="F726" s="12" t="s">
        <v>31</v>
      </c>
      <c r="G726" s="29" t="s">
        <v>44</v>
      </c>
      <c r="H726" s="12" t="s">
        <v>268</v>
      </c>
      <c r="I726" s="25" t="s">
        <v>397</v>
      </c>
      <c r="J726" s="25" t="s">
        <v>35</v>
      </c>
      <c r="K726" s="12" t="s">
        <v>270</v>
      </c>
      <c r="L726" s="28" t="s">
        <v>94</v>
      </c>
      <c r="M726" s="85" t="s">
        <v>52</v>
      </c>
      <c r="N726" s="40">
        <v>6200.0</v>
      </c>
      <c r="O726" s="17">
        <f t="shared" si="9"/>
        <v>0.685483871</v>
      </c>
      <c r="P726" s="89">
        <v>4250.0</v>
      </c>
      <c r="Q726" s="84" t="s">
        <v>52</v>
      </c>
      <c r="R726" s="85" t="s">
        <v>52</v>
      </c>
      <c r="S726" s="85" t="s">
        <v>165</v>
      </c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</row>
    <row r="727" ht="15.75" customHeight="1">
      <c r="A727" s="9">
        <v>1.0812263E7</v>
      </c>
      <c r="B727" s="83"/>
      <c r="C727" s="11">
        <v>45560.0</v>
      </c>
      <c r="D727" s="84">
        <v>23.0</v>
      </c>
      <c r="E727" s="91">
        <v>28234.0</v>
      </c>
      <c r="F727" s="12" t="s">
        <v>31</v>
      </c>
      <c r="G727" s="85" t="s">
        <v>74</v>
      </c>
      <c r="H727" s="84" t="s">
        <v>483</v>
      </c>
      <c r="I727" s="93" t="s">
        <v>484</v>
      </c>
      <c r="J727" s="25" t="s">
        <v>35</v>
      </c>
      <c r="K727" s="94" t="s">
        <v>485</v>
      </c>
      <c r="L727" s="95" t="s">
        <v>188</v>
      </c>
      <c r="M727" s="85" t="s">
        <v>486</v>
      </c>
      <c r="N727" s="88">
        <v>7629.0</v>
      </c>
      <c r="O727" s="17">
        <f t="shared" si="9"/>
        <v>0.2424433084</v>
      </c>
      <c r="P727" s="89">
        <v>1849.6</v>
      </c>
      <c r="Q727" s="84" t="s">
        <v>39</v>
      </c>
      <c r="R727" s="85">
        <v>1414305.0</v>
      </c>
      <c r="S727" s="85" t="s">
        <v>40</v>
      </c>
      <c r="T727" s="90">
        <v>5671657.0</v>
      </c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</row>
    <row r="728" ht="15.75" customHeight="1">
      <c r="A728" s="9">
        <v>1.0812265E7</v>
      </c>
      <c r="B728" s="83"/>
      <c r="C728" s="11">
        <v>45560.0</v>
      </c>
      <c r="D728" s="84">
        <v>26.0</v>
      </c>
      <c r="E728" s="91">
        <v>31903.0</v>
      </c>
      <c r="F728" s="29" t="s">
        <v>31</v>
      </c>
      <c r="G728" s="93" t="s">
        <v>32</v>
      </c>
      <c r="H728" s="84" t="s">
        <v>487</v>
      </c>
      <c r="I728" s="85" t="s">
        <v>488</v>
      </c>
      <c r="J728" s="12" t="s">
        <v>35</v>
      </c>
      <c r="K728" s="94" t="s">
        <v>489</v>
      </c>
      <c r="L728" s="95" t="s">
        <v>114</v>
      </c>
      <c r="M728" s="85" t="s">
        <v>440</v>
      </c>
      <c r="N728" s="88">
        <v>4854.0</v>
      </c>
      <c r="O728" s="17">
        <f t="shared" si="9"/>
        <v>0.2451586321</v>
      </c>
      <c r="P728" s="89">
        <v>1190.0</v>
      </c>
      <c r="Q728" s="85" t="s">
        <v>39</v>
      </c>
      <c r="R728" s="85">
        <v>1414306.0</v>
      </c>
      <c r="S728" s="85" t="s">
        <v>40</v>
      </c>
      <c r="T728" s="90">
        <v>5671659.0</v>
      </c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</row>
    <row r="729" ht="15.75" customHeight="1">
      <c r="A729" s="9">
        <v>1.0815955E7</v>
      </c>
      <c r="B729" s="83"/>
      <c r="C729" s="11">
        <v>45559.0</v>
      </c>
      <c r="D729" s="94">
        <v>26.0</v>
      </c>
      <c r="E729" s="26">
        <v>31625.0</v>
      </c>
      <c r="F729" s="96" t="s">
        <v>31</v>
      </c>
      <c r="G729" s="97" t="s">
        <v>44</v>
      </c>
      <c r="H729" s="94" t="s">
        <v>268</v>
      </c>
      <c r="I729" s="96" t="s">
        <v>397</v>
      </c>
      <c r="J729" s="12" t="s">
        <v>35</v>
      </c>
      <c r="K729" s="94" t="s">
        <v>270</v>
      </c>
      <c r="L729" s="28" t="s">
        <v>94</v>
      </c>
      <c r="M729" s="85" t="s">
        <v>467</v>
      </c>
      <c r="N729" s="40">
        <v>6200.0</v>
      </c>
      <c r="O729" s="73">
        <f>IFERROR(P729/N729,0)</f>
        <v>0.3120322581</v>
      </c>
      <c r="P729" s="89">
        <v>1934.6</v>
      </c>
      <c r="Q729" s="84" t="s">
        <v>39</v>
      </c>
      <c r="R729" s="85">
        <v>1413195.0</v>
      </c>
      <c r="S729" s="85" t="s">
        <v>40</v>
      </c>
      <c r="T729" s="90">
        <v>5666523.0</v>
      </c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</row>
    <row r="730" ht="15.75" customHeight="1">
      <c r="A730" s="9">
        <v>1.0815956E7</v>
      </c>
      <c r="B730" s="84"/>
      <c r="C730" s="11" t="s">
        <v>490</v>
      </c>
      <c r="D730" s="12">
        <v>26.0</v>
      </c>
      <c r="E730" s="26">
        <v>31625.0</v>
      </c>
      <c r="F730" s="29" t="s">
        <v>31</v>
      </c>
      <c r="G730" s="29" t="s">
        <v>44</v>
      </c>
      <c r="H730" s="12" t="s">
        <v>268</v>
      </c>
      <c r="I730" s="29" t="s">
        <v>397</v>
      </c>
      <c r="J730" s="12" t="s">
        <v>35</v>
      </c>
      <c r="K730" s="12" t="s">
        <v>270</v>
      </c>
      <c r="L730" s="28" t="s">
        <v>94</v>
      </c>
      <c r="M730" s="85" t="s">
        <v>52</v>
      </c>
      <c r="N730" s="40">
        <v>6200.0</v>
      </c>
      <c r="O730" s="17">
        <f t="shared" ref="O730:O741" si="10">IFERROR(P730/N730,0)</f>
        <v>0.685483871</v>
      </c>
      <c r="P730" s="89">
        <v>4250.0</v>
      </c>
      <c r="Q730" s="98" t="s">
        <v>52</v>
      </c>
      <c r="R730" s="85" t="s">
        <v>52</v>
      </c>
      <c r="S730" s="85" t="s">
        <v>165</v>
      </c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</row>
    <row r="731" ht="15.75" customHeight="1">
      <c r="A731" s="9">
        <v>1.0815957E7</v>
      </c>
      <c r="B731" s="83"/>
      <c r="C731" s="11">
        <v>45561.0</v>
      </c>
      <c r="D731" s="84">
        <v>26.0</v>
      </c>
      <c r="E731" s="91">
        <v>33139.0</v>
      </c>
      <c r="F731" s="29" t="s">
        <v>31</v>
      </c>
      <c r="G731" s="29" t="s">
        <v>44</v>
      </c>
      <c r="H731" s="12" t="s">
        <v>268</v>
      </c>
      <c r="I731" s="29" t="s">
        <v>397</v>
      </c>
      <c r="J731" s="12" t="s">
        <v>35</v>
      </c>
      <c r="K731" s="12" t="s">
        <v>270</v>
      </c>
      <c r="L731" s="28" t="s">
        <v>94</v>
      </c>
      <c r="M731" s="85" t="s">
        <v>441</v>
      </c>
      <c r="N731" s="88">
        <v>6677.0</v>
      </c>
      <c r="O731" s="17">
        <f t="shared" si="10"/>
        <v>0.2897409016</v>
      </c>
      <c r="P731" s="89">
        <v>1934.6</v>
      </c>
      <c r="Q731" s="85" t="s">
        <v>39</v>
      </c>
      <c r="R731" s="85">
        <v>1414928.0</v>
      </c>
      <c r="S731" s="85" t="s">
        <v>40</v>
      </c>
      <c r="T731" s="90">
        <v>5674599.0</v>
      </c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</row>
    <row r="732" ht="15.75" customHeight="1">
      <c r="A732" s="9">
        <v>1.0815958E7</v>
      </c>
      <c r="B732" s="83"/>
      <c r="C732" s="11">
        <v>45559.0</v>
      </c>
      <c r="D732" s="84">
        <v>26.0</v>
      </c>
      <c r="E732" s="91">
        <v>33139.0</v>
      </c>
      <c r="F732" s="12" t="s">
        <v>31</v>
      </c>
      <c r="G732" s="29" t="s">
        <v>44</v>
      </c>
      <c r="H732" s="12" t="s">
        <v>268</v>
      </c>
      <c r="I732" s="25" t="s">
        <v>397</v>
      </c>
      <c r="J732" s="25" t="s">
        <v>35</v>
      </c>
      <c r="K732" s="94" t="s">
        <v>270</v>
      </c>
      <c r="L732" s="28" t="s">
        <v>94</v>
      </c>
      <c r="M732" s="84" t="s">
        <v>491</v>
      </c>
      <c r="N732" s="88">
        <v>6677.0</v>
      </c>
      <c r="O732" s="17">
        <f t="shared" si="10"/>
        <v>0.2897409016</v>
      </c>
      <c r="P732" s="89">
        <v>1934.6</v>
      </c>
      <c r="Q732" s="84" t="s">
        <v>39</v>
      </c>
      <c r="R732" s="85">
        <v>1413245.0</v>
      </c>
      <c r="S732" s="85" t="s">
        <v>40</v>
      </c>
      <c r="T732" s="90">
        <v>5666682.0</v>
      </c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</row>
    <row r="733" ht="15.75" customHeight="1">
      <c r="A733" s="9">
        <v>1.08161E7</v>
      </c>
      <c r="B733" s="83"/>
      <c r="C733" s="11">
        <v>45559.0</v>
      </c>
      <c r="D733" s="84">
        <v>26.0</v>
      </c>
      <c r="E733" s="91">
        <v>32250.0</v>
      </c>
      <c r="F733" s="84" t="s">
        <v>31</v>
      </c>
      <c r="G733" s="85" t="s">
        <v>74</v>
      </c>
      <c r="H733" s="84" t="s">
        <v>492</v>
      </c>
      <c r="I733" s="93" t="s">
        <v>493</v>
      </c>
      <c r="J733" s="25" t="s">
        <v>35</v>
      </c>
      <c r="K733" s="84" t="s">
        <v>306</v>
      </c>
      <c r="L733" s="95" t="s">
        <v>94</v>
      </c>
      <c r="M733" s="84" t="s">
        <v>184</v>
      </c>
      <c r="N733" s="88">
        <v>7000.0</v>
      </c>
      <c r="O733" s="17">
        <f t="shared" si="10"/>
        <v>0.6071428571</v>
      </c>
      <c r="P733" s="89">
        <v>4250.0</v>
      </c>
      <c r="Q733" s="84" t="s">
        <v>39</v>
      </c>
      <c r="R733" s="85">
        <v>1413120.0</v>
      </c>
      <c r="S733" s="85" t="s">
        <v>40</v>
      </c>
      <c r="T733" s="90">
        <v>5666154.0</v>
      </c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</row>
    <row r="734" ht="15.75" customHeight="1">
      <c r="A734" s="9">
        <v>1.0818207E7</v>
      </c>
      <c r="B734" s="84"/>
      <c r="C734" s="11" t="s">
        <v>490</v>
      </c>
      <c r="D734" s="84">
        <v>26.0</v>
      </c>
      <c r="E734" s="91">
        <v>26937.0</v>
      </c>
      <c r="F734" s="12" t="s">
        <v>31</v>
      </c>
      <c r="G734" s="29" t="s">
        <v>74</v>
      </c>
      <c r="H734" s="12" t="s">
        <v>330</v>
      </c>
      <c r="I734" s="25" t="s">
        <v>331</v>
      </c>
      <c r="J734" s="25" t="s">
        <v>35</v>
      </c>
      <c r="K734" s="12" t="s">
        <v>332</v>
      </c>
      <c r="L734" s="28" t="s">
        <v>188</v>
      </c>
      <c r="M734" s="84" t="s">
        <v>52</v>
      </c>
      <c r="N734" s="88">
        <v>2600.0</v>
      </c>
      <c r="O734" s="17">
        <f t="shared" si="10"/>
        <v>0.7692307692</v>
      </c>
      <c r="P734" s="89">
        <v>2000.0</v>
      </c>
      <c r="Q734" s="98" t="s">
        <v>52</v>
      </c>
      <c r="R734" s="85" t="s">
        <v>52</v>
      </c>
      <c r="S734" s="85" t="s">
        <v>165</v>
      </c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</row>
    <row r="735" ht="15.75" customHeight="1">
      <c r="A735" s="9">
        <v>1.0818933E7</v>
      </c>
      <c r="B735" s="84"/>
      <c r="C735" s="11" t="s">
        <v>482</v>
      </c>
      <c r="D735" s="84">
        <v>21.0</v>
      </c>
      <c r="E735" s="91">
        <v>26537.0</v>
      </c>
      <c r="F735" s="12" t="s">
        <v>31</v>
      </c>
      <c r="G735" s="29" t="s">
        <v>74</v>
      </c>
      <c r="H735" s="12" t="s">
        <v>274</v>
      </c>
      <c r="I735" s="28" t="s">
        <v>275</v>
      </c>
      <c r="J735" s="25" t="s">
        <v>35</v>
      </c>
      <c r="K735" s="56" t="s">
        <v>276</v>
      </c>
      <c r="L735" s="28" t="s">
        <v>94</v>
      </c>
      <c r="M735" s="84" t="s">
        <v>433</v>
      </c>
      <c r="N735" s="88">
        <v>7000.0</v>
      </c>
      <c r="O735" s="17">
        <f t="shared" si="10"/>
        <v>0.6071428571</v>
      </c>
      <c r="P735" s="39">
        <v>4250.0</v>
      </c>
      <c r="Q735" s="84" t="s">
        <v>39</v>
      </c>
      <c r="R735" s="85">
        <v>1414817.0</v>
      </c>
      <c r="S735" s="85" t="s">
        <v>40</v>
      </c>
      <c r="T735" s="90">
        <v>5674120.0</v>
      </c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</row>
    <row r="736" ht="15.75" customHeight="1">
      <c r="A736" s="9">
        <v>1.0818934E7</v>
      </c>
      <c r="B736" s="84"/>
      <c r="C736" s="11" t="s">
        <v>482</v>
      </c>
      <c r="D736" s="84">
        <v>26.0</v>
      </c>
      <c r="E736" s="91">
        <v>31922.0</v>
      </c>
      <c r="F736" s="12" t="s">
        <v>31</v>
      </c>
      <c r="G736" s="29" t="s">
        <v>74</v>
      </c>
      <c r="H736" s="12" t="s">
        <v>274</v>
      </c>
      <c r="I736" s="15" t="s">
        <v>275</v>
      </c>
      <c r="J736" s="12" t="s">
        <v>35</v>
      </c>
      <c r="K736" s="56" t="s">
        <v>276</v>
      </c>
      <c r="L736" s="28" t="s">
        <v>94</v>
      </c>
      <c r="M736" s="85" t="s">
        <v>142</v>
      </c>
      <c r="N736" s="88">
        <v>7000.0</v>
      </c>
      <c r="O736" s="17">
        <f t="shared" si="10"/>
        <v>0.6071428571</v>
      </c>
      <c r="P736" s="39">
        <v>4250.0</v>
      </c>
      <c r="Q736" s="85" t="s">
        <v>39</v>
      </c>
      <c r="R736" s="85">
        <v>1414833.0</v>
      </c>
      <c r="S736" s="85" t="s">
        <v>40</v>
      </c>
      <c r="T736" s="90">
        <v>5674197.0</v>
      </c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</row>
    <row r="737" ht="15.75" customHeight="1">
      <c r="A737" s="9">
        <v>1.0820011E7</v>
      </c>
      <c r="B737" s="99"/>
      <c r="C737" s="11">
        <v>45301.0</v>
      </c>
      <c r="D737" s="84">
        <v>26.0</v>
      </c>
      <c r="E737" s="93">
        <v>32.553</v>
      </c>
      <c r="F737" s="9" t="s">
        <v>43</v>
      </c>
      <c r="G737" s="29" t="s">
        <v>44</v>
      </c>
      <c r="H737" s="12" t="s">
        <v>268</v>
      </c>
      <c r="I737" s="12" t="s">
        <v>397</v>
      </c>
      <c r="J737" s="12" t="s">
        <v>35</v>
      </c>
      <c r="K737" s="12" t="s">
        <v>270</v>
      </c>
      <c r="L737" s="28" t="s">
        <v>94</v>
      </c>
      <c r="M737" s="85" t="s">
        <v>494</v>
      </c>
      <c r="N737" s="88">
        <v>5880.0</v>
      </c>
      <c r="O737" s="17">
        <f t="shared" si="10"/>
        <v>0.3207244898</v>
      </c>
      <c r="P737" s="89">
        <v>1885.86</v>
      </c>
      <c r="Q737" s="85" t="s">
        <v>39</v>
      </c>
      <c r="R737" s="85">
        <v>1420228.0</v>
      </c>
      <c r="S737" s="85" t="s">
        <v>40</v>
      </c>
      <c r="T737" s="90">
        <v>5699510.0</v>
      </c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</row>
    <row r="738" ht="15.75" customHeight="1">
      <c r="A738" s="9">
        <v>1.0820012E7</v>
      </c>
      <c r="B738" s="99"/>
      <c r="C738" s="11">
        <v>45301.0</v>
      </c>
      <c r="D738" s="84">
        <v>26.0</v>
      </c>
      <c r="E738" s="93">
        <v>32.553</v>
      </c>
      <c r="F738" s="9" t="s">
        <v>43</v>
      </c>
      <c r="G738" s="29" t="s">
        <v>44</v>
      </c>
      <c r="H738" s="12" t="s">
        <v>268</v>
      </c>
      <c r="I738" s="12" t="s">
        <v>397</v>
      </c>
      <c r="J738" s="12" t="s">
        <v>35</v>
      </c>
      <c r="K738" s="12" t="s">
        <v>270</v>
      </c>
      <c r="L738" s="28" t="s">
        <v>94</v>
      </c>
      <c r="M738" s="85" t="s">
        <v>495</v>
      </c>
      <c r="N738" s="88">
        <v>5880.0</v>
      </c>
      <c r="O738" s="17">
        <f t="shared" si="10"/>
        <v>0.3290136054</v>
      </c>
      <c r="P738" s="89">
        <v>1934.6</v>
      </c>
      <c r="Q738" s="85" t="s">
        <v>39</v>
      </c>
      <c r="R738" s="85">
        <v>1419996.0</v>
      </c>
      <c r="S738" s="85" t="s">
        <v>40</v>
      </c>
      <c r="T738" s="90">
        <v>5698394.0</v>
      </c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</row>
    <row r="739" ht="15.75" customHeight="1">
      <c r="A739" s="9">
        <v>1.0820015E7</v>
      </c>
      <c r="B739" s="99"/>
      <c r="C739" s="11">
        <v>45301.0</v>
      </c>
      <c r="D739" s="84" t="s">
        <v>52</v>
      </c>
      <c r="E739" s="91" t="s">
        <v>52</v>
      </c>
      <c r="F739" s="9" t="s">
        <v>43</v>
      </c>
      <c r="G739" s="29" t="s">
        <v>44</v>
      </c>
      <c r="H739" s="12" t="s">
        <v>496</v>
      </c>
      <c r="I739" s="25" t="s">
        <v>269</v>
      </c>
      <c r="J739" s="25" t="s">
        <v>270</v>
      </c>
      <c r="K739" s="12" t="s">
        <v>35</v>
      </c>
      <c r="L739" s="28" t="s">
        <v>188</v>
      </c>
      <c r="M739" s="84"/>
      <c r="N739" s="88">
        <v>3920.0</v>
      </c>
      <c r="O739" s="17">
        <f t="shared" si="10"/>
        <v>0.4935204082</v>
      </c>
      <c r="P739" s="89">
        <v>1934.6</v>
      </c>
      <c r="Q739" s="84"/>
      <c r="R739" s="85">
        <v>1421697.0</v>
      </c>
      <c r="S739" s="85" t="s">
        <v>40</v>
      </c>
      <c r="T739" s="90">
        <v>5705907.0</v>
      </c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</row>
    <row r="740" ht="15.75" customHeight="1">
      <c r="A740" s="9">
        <v>1.0820017E7</v>
      </c>
      <c r="B740" s="99"/>
      <c r="C740" s="11">
        <v>45301.0</v>
      </c>
      <c r="D740" s="84" t="s">
        <v>52</v>
      </c>
      <c r="E740" s="91" t="s">
        <v>52</v>
      </c>
      <c r="F740" s="9" t="s">
        <v>43</v>
      </c>
      <c r="G740" s="29" t="s">
        <v>44</v>
      </c>
      <c r="H740" s="12" t="s">
        <v>497</v>
      </c>
      <c r="I740" s="25" t="s">
        <v>269</v>
      </c>
      <c r="J740" s="25" t="s">
        <v>270</v>
      </c>
      <c r="K740" s="12" t="s">
        <v>35</v>
      </c>
      <c r="L740" s="28" t="s">
        <v>188</v>
      </c>
      <c r="M740" s="84"/>
      <c r="N740" s="88">
        <v>3920.0</v>
      </c>
      <c r="O740" s="17">
        <f t="shared" si="10"/>
        <v>0.4810867347</v>
      </c>
      <c r="P740" s="89">
        <v>1885.86</v>
      </c>
      <c r="Q740" s="84"/>
      <c r="R740" s="85">
        <v>1421906.0</v>
      </c>
      <c r="S740" s="85" t="s">
        <v>40</v>
      </c>
      <c r="T740" s="90">
        <v>5706674.0</v>
      </c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</row>
    <row r="741" ht="15.75" customHeight="1">
      <c r="A741" s="9">
        <v>1.08205E7</v>
      </c>
      <c r="B741" s="94"/>
      <c r="C741" s="11" t="s">
        <v>498</v>
      </c>
      <c r="D741" s="84">
        <v>26.0</v>
      </c>
      <c r="E741" s="91">
        <v>31922.0</v>
      </c>
      <c r="F741" s="12" t="s">
        <v>31</v>
      </c>
      <c r="G741" s="29" t="s">
        <v>74</v>
      </c>
      <c r="H741" s="12" t="s">
        <v>304</v>
      </c>
      <c r="I741" s="25" t="s">
        <v>305</v>
      </c>
      <c r="J741" s="25" t="s">
        <v>35</v>
      </c>
      <c r="K741" s="25" t="s">
        <v>306</v>
      </c>
      <c r="L741" s="25" t="s">
        <v>94</v>
      </c>
      <c r="M741" s="85" t="s">
        <v>499</v>
      </c>
      <c r="N741" s="40">
        <v>6500.0</v>
      </c>
      <c r="O741" s="17">
        <f t="shared" si="10"/>
        <v>0.6538461538</v>
      </c>
      <c r="P741" s="39">
        <v>4250.0</v>
      </c>
      <c r="Q741" s="84" t="s">
        <v>39</v>
      </c>
      <c r="R741" s="85" t="s">
        <v>500</v>
      </c>
      <c r="S741" s="85" t="s">
        <v>40</v>
      </c>
      <c r="T741" s="90" t="s">
        <v>501</v>
      </c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</row>
    <row r="742" ht="15.75" customHeight="1">
      <c r="A742" s="9">
        <v>1.0820501E7</v>
      </c>
      <c r="B742" s="94"/>
      <c r="C742" s="11" t="s">
        <v>498</v>
      </c>
      <c r="D742" s="94">
        <v>26.0</v>
      </c>
      <c r="E742" s="26">
        <v>31625.0</v>
      </c>
      <c r="F742" s="12" t="s">
        <v>31</v>
      </c>
      <c r="G742" s="100" t="s">
        <v>74</v>
      </c>
      <c r="H742" s="12" t="s">
        <v>502</v>
      </c>
      <c r="I742" s="95" t="s">
        <v>503</v>
      </c>
      <c r="J742" s="25" t="s">
        <v>35</v>
      </c>
      <c r="K742" s="25" t="s">
        <v>504</v>
      </c>
      <c r="L742" s="28" t="s">
        <v>188</v>
      </c>
      <c r="M742" s="96" t="s">
        <v>505</v>
      </c>
      <c r="N742" s="40">
        <v>7629.0</v>
      </c>
      <c r="O742" s="73">
        <f>IFERROR(P742/N742,0)</f>
        <v>0.2424433084</v>
      </c>
      <c r="P742" s="89">
        <v>1849.6</v>
      </c>
      <c r="Q742" s="84" t="s">
        <v>39</v>
      </c>
      <c r="R742" s="85">
        <v>1416611.0</v>
      </c>
      <c r="S742" s="85" t="s">
        <v>40</v>
      </c>
      <c r="T742" s="90">
        <v>5683468.0</v>
      </c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</row>
    <row r="743" ht="15.75" customHeight="1">
      <c r="A743" s="9">
        <v>1.0822233E7</v>
      </c>
      <c r="B743" s="84"/>
      <c r="C743" s="11" t="s">
        <v>490</v>
      </c>
      <c r="D743" s="84">
        <v>26.0</v>
      </c>
      <c r="E743" s="26">
        <v>31625.0</v>
      </c>
      <c r="F743" s="9"/>
      <c r="G743" s="29"/>
      <c r="H743" s="84" t="s">
        <v>506</v>
      </c>
      <c r="I743" s="25"/>
      <c r="J743" s="25" t="s">
        <v>35</v>
      </c>
      <c r="K743" s="93" t="s">
        <v>507</v>
      </c>
      <c r="L743" s="95" t="s">
        <v>114</v>
      </c>
      <c r="M743" s="85" t="s">
        <v>52</v>
      </c>
      <c r="N743" s="88">
        <v>5317.0</v>
      </c>
      <c r="O743" s="17">
        <f>IFERROR(P743/N743,0)</f>
        <v>0.7711115291</v>
      </c>
      <c r="P743" s="89">
        <v>4100.0</v>
      </c>
      <c r="Q743" s="98" t="s">
        <v>52</v>
      </c>
      <c r="R743" s="85" t="s">
        <v>52</v>
      </c>
      <c r="S743" s="85" t="s">
        <v>165</v>
      </c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</row>
    <row r="744" ht="15.75" customHeight="1">
      <c r="A744" s="9">
        <v>1.0823082E7</v>
      </c>
      <c r="B744" s="94"/>
      <c r="C744" s="11" t="s">
        <v>508</v>
      </c>
      <c r="D744" s="94">
        <v>26.0</v>
      </c>
      <c r="E744" s="26">
        <v>31625.0</v>
      </c>
      <c r="F744" s="12" t="s">
        <v>31</v>
      </c>
      <c r="G744" s="100" t="s">
        <v>74</v>
      </c>
      <c r="H744" s="12" t="s">
        <v>274</v>
      </c>
      <c r="I744" s="28" t="s">
        <v>275</v>
      </c>
      <c r="J744" s="25" t="s">
        <v>35</v>
      </c>
      <c r="K744" s="12" t="s">
        <v>276</v>
      </c>
      <c r="L744" s="28" t="s">
        <v>94</v>
      </c>
      <c r="M744" s="85" t="s">
        <v>509</v>
      </c>
      <c r="N744" s="40">
        <v>7000.0</v>
      </c>
      <c r="O744" s="73">
        <f>IFERROR(P744/N744,0)</f>
        <v>0.2689528571</v>
      </c>
      <c r="P744" s="89">
        <v>1882.67</v>
      </c>
      <c r="Q744" s="84" t="s">
        <v>39</v>
      </c>
      <c r="R744" s="85">
        <v>1415979.0</v>
      </c>
      <c r="S744" s="85" t="s">
        <v>40</v>
      </c>
      <c r="T744" s="90">
        <v>5680362.0</v>
      </c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</row>
    <row r="745" ht="15.75" customHeight="1">
      <c r="A745" s="9">
        <v>1.0823754E7</v>
      </c>
      <c r="B745" s="84"/>
      <c r="C745" s="11" t="s">
        <v>482</v>
      </c>
      <c r="D745" s="84">
        <v>26.0</v>
      </c>
      <c r="E745" s="91">
        <v>31489.0</v>
      </c>
      <c r="F745" s="29" t="s">
        <v>31</v>
      </c>
      <c r="G745" s="29" t="s">
        <v>74</v>
      </c>
      <c r="H745" s="12" t="s">
        <v>300</v>
      </c>
      <c r="I745" s="25" t="s">
        <v>301</v>
      </c>
      <c r="J745" s="25" t="s">
        <v>35</v>
      </c>
      <c r="K745" s="12" t="s">
        <v>302</v>
      </c>
      <c r="L745" s="25" t="s">
        <v>59</v>
      </c>
      <c r="M745" s="85" t="s">
        <v>162</v>
      </c>
      <c r="N745" s="40">
        <v>5200.0</v>
      </c>
      <c r="O745" s="17">
        <f t="shared" ref="O745:O770" si="11">IFERROR(P745/N745,0)</f>
        <v>0.2360384615</v>
      </c>
      <c r="P745" s="89">
        <v>1227.4</v>
      </c>
      <c r="Q745" s="84" t="s">
        <v>39</v>
      </c>
      <c r="R745" s="85">
        <v>1415689.0</v>
      </c>
      <c r="S745" s="85" t="s">
        <v>40</v>
      </c>
      <c r="T745" s="90">
        <v>5678662.0</v>
      </c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</row>
    <row r="746" ht="15.75" customHeight="1">
      <c r="A746" s="9">
        <v>1.0823755E7</v>
      </c>
      <c r="B746" s="84"/>
      <c r="C746" s="11" t="s">
        <v>482</v>
      </c>
      <c r="D746" s="84">
        <v>26.0</v>
      </c>
      <c r="E746" s="91">
        <v>31489.0</v>
      </c>
      <c r="F746" s="29" t="s">
        <v>31</v>
      </c>
      <c r="G746" s="29" t="s">
        <v>74</v>
      </c>
      <c r="H746" s="12" t="s">
        <v>300</v>
      </c>
      <c r="I746" s="25" t="s">
        <v>301</v>
      </c>
      <c r="J746" s="12" t="s">
        <v>35</v>
      </c>
      <c r="K746" s="25" t="s">
        <v>302</v>
      </c>
      <c r="L746" s="25" t="s">
        <v>59</v>
      </c>
      <c r="M746" s="85" t="s">
        <v>49</v>
      </c>
      <c r="N746" s="40">
        <v>5200.0</v>
      </c>
      <c r="O746" s="17">
        <f t="shared" si="11"/>
        <v>0.5769230769</v>
      </c>
      <c r="P746" s="39">
        <v>3000.0</v>
      </c>
      <c r="Q746" s="84" t="s">
        <v>39</v>
      </c>
      <c r="R746" s="85">
        <v>1415684.0</v>
      </c>
      <c r="S746" s="85" t="s">
        <v>40</v>
      </c>
      <c r="T746" s="90">
        <v>5678618.0</v>
      </c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</row>
    <row r="747" ht="15.75" customHeight="1">
      <c r="A747" s="9">
        <v>1.0831867E7</v>
      </c>
      <c r="B747" s="84"/>
      <c r="C747" s="11" t="s">
        <v>490</v>
      </c>
      <c r="D747" s="84">
        <v>26.0</v>
      </c>
      <c r="E747" s="26">
        <v>32458.0</v>
      </c>
      <c r="F747" s="12" t="s">
        <v>31</v>
      </c>
      <c r="G747" s="29" t="s">
        <v>32</v>
      </c>
      <c r="H747" s="12" t="s">
        <v>449</v>
      </c>
      <c r="I747" s="28" t="s">
        <v>450</v>
      </c>
      <c r="J747" s="25" t="s">
        <v>35</v>
      </c>
      <c r="K747" s="25" t="s">
        <v>320</v>
      </c>
      <c r="L747" s="28" t="s">
        <v>94</v>
      </c>
      <c r="M747" s="85" t="s">
        <v>52</v>
      </c>
      <c r="N747" s="88">
        <v>7216.0</v>
      </c>
      <c r="O747" s="17">
        <f t="shared" si="11"/>
        <v>0.5889689579</v>
      </c>
      <c r="P747" s="89">
        <v>4250.0</v>
      </c>
      <c r="Q747" s="89" t="s">
        <v>52</v>
      </c>
      <c r="R747" s="85" t="s">
        <v>52</v>
      </c>
      <c r="S747" s="85" t="s">
        <v>165</v>
      </c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</row>
    <row r="748" ht="15.75" customHeight="1">
      <c r="A748" s="9">
        <v>1.0831888E7</v>
      </c>
      <c r="B748" s="84"/>
      <c r="C748" s="11" t="s">
        <v>490</v>
      </c>
      <c r="D748" s="84">
        <v>26.0</v>
      </c>
      <c r="E748" s="26">
        <v>31625.0</v>
      </c>
      <c r="F748" s="12" t="s">
        <v>31</v>
      </c>
      <c r="G748" s="29" t="s">
        <v>32</v>
      </c>
      <c r="H748" s="12" t="s">
        <v>449</v>
      </c>
      <c r="I748" s="28" t="s">
        <v>450</v>
      </c>
      <c r="J748" s="25" t="s">
        <v>35</v>
      </c>
      <c r="K748" s="25" t="s">
        <v>320</v>
      </c>
      <c r="L748" s="28" t="s">
        <v>94</v>
      </c>
      <c r="M748" s="85" t="s">
        <v>435</v>
      </c>
      <c r="N748" s="88">
        <v>6700.0</v>
      </c>
      <c r="O748" s="17">
        <f t="shared" si="11"/>
        <v>0.2735223881</v>
      </c>
      <c r="P748" s="89">
        <v>1832.6</v>
      </c>
      <c r="Q748" s="85" t="s">
        <v>39</v>
      </c>
      <c r="R748" s="85">
        <v>1418166.0</v>
      </c>
      <c r="S748" s="85" t="s">
        <v>40</v>
      </c>
      <c r="T748" s="90">
        <v>5688920.0</v>
      </c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</row>
    <row r="749" ht="15.75" customHeight="1">
      <c r="A749" s="9">
        <v>1.0834528E7</v>
      </c>
      <c r="B749" s="99"/>
      <c r="C749" s="11">
        <v>45361.0</v>
      </c>
      <c r="D749" s="84">
        <v>26.0</v>
      </c>
      <c r="E749" s="93">
        <v>32.553</v>
      </c>
      <c r="F749" s="38" t="s">
        <v>43</v>
      </c>
      <c r="G749" s="29" t="s">
        <v>44</v>
      </c>
      <c r="H749" s="12" t="s">
        <v>45</v>
      </c>
      <c r="I749" s="12" t="s">
        <v>46</v>
      </c>
      <c r="J749" s="14" t="s">
        <v>35</v>
      </c>
      <c r="K749" s="14" t="s">
        <v>47</v>
      </c>
      <c r="L749" s="98" t="s">
        <v>108</v>
      </c>
      <c r="M749" s="85" t="s">
        <v>128</v>
      </c>
      <c r="N749" s="88">
        <v>2402.0</v>
      </c>
      <c r="O749" s="17">
        <f t="shared" si="11"/>
        <v>0.707743547</v>
      </c>
      <c r="P749" s="89">
        <v>1700.0</v>
      </c>
      <c r="Q749" s="85" t="s">
        <v>39</v>
      </c>
      <c r="R749" s="85">
        <v>1421181.0</v>
      </c>
      <c r="S749" s="85" t="s">
        <v>40</v>
      </c>
      <c r="T749" s="90">
        <v>5703644.0</v>
      </c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</row>
    <row r="750" ht="15.75" customHeight="1">
      <c r="A750" s="9">
        <v>1.0834529E7</v>
      </c>
      <c r="B750" s="99"/>
      <c r="C750" s="11">
        <v>45361.0</v>
      </c>
      <c r="D750" s="84" t="s">
        <v>52</v>
      </c>
      <c r="E750" s="93" t="s">
        <v>52</v>
      </c>
      <c r="F750" s="38" t="s">
        <v>43</v>
      </c>
      <c r="G750" s="29" t="s">
        <v>44</v>
      </c>
      <c r="H750" s="12" t="s">
        <v>510</v>
      </c>
      <c r="I750" s="12" t="s">
        <v>46</v>
      </c>
      <c r="J750" s="14" t="s">
        <v>47</v>
      </c>
      <c r="K750" s="14" t="s">
        <v>35</v>
      </c>
      <c r="L750" s="15" t="s">
        <v>188</v>
      </c>
      <c r="M750" s="29"/>
      <c r="N750" s="88">
        <v>1601.0</v>
      </c>
      <c r="O750" s="17">
        <f t="shared" si="11"/>
        <v>0.4372267333</v>
      </c>
      <c r="P750" s="89">
        <v>700.0</v>
      </c>
      <c r="Q750" s="29"/>
      <c r="R750" s="85">
        <v>1421513.0</v>
      </c>
      <c r="S750" s="85" t="s">
        <v>40</v>
      </c>
      <c r="T750" s="90">
        <v>5705108.0</v>
      </c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</row>
    <row r="751" ht="15.75" customHeight="1">
      <c r="A751" s="9">
        <v>1.083468E7</v>
      </c>
      <c r="B751" s="99"/>
      <c r="C751" s="11">
        <v>45361.0</v>
      </c>
      <c r="D751" s="84">
        <v>26.0</v>
      </c>
      <c r="E751" s="93">
        <v>32.553</v>
      </c>
      <c r="F751" s="9" t="s">
        <v>43</v>
      </c>
      <c r="G751" s="29" t="s">
        <v>44</v>
      </c>
      <c r="H751" s="12" t="s">
        <v>45</v>
      </c>
      <c r="I751" s="25" t="s">
        <v>46</v>
      </c>
      <c r="J751" s="55" t="s">
        <v>35</v>
      </c>
      <c r="K751" s="14" t="s">
        <v>47</v>
      </c>
      <c r="L751" s="95" t="s">
        <v>108</v>
      </c>
      <c r="M751" s="85" t="s">
        <v>433</v>
      </c>
      <c r="N751" s="88">
        <v>2402.0</v>
      </c>
      <c r="O751" s="17">
        <f t="shared" si="11"/>
        <v>0.707743547</v>
      </c>
      <c r="P751" s="89">
        <v>1700.0</v>
      </c>
      <c r="Q751" s="84" t="s">
        <v>39</v>
      </c>
      <c r="R751" s="85">
        <v>1421133.0</v>
      </c>
      <c r="S751" s="85" t="s">
        <v>40</v>
      </c>
      <c r="T751" s="90">
        <v>5703189.0</v>
      </c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</row>
    <row r="752" ht="15.75" customHeight="1">
      <c r="A752" s="9">
        <v>1.0834681E7</v>
      </c>
      <c r="B752" s="99"/>
      <c r="C752" s="11">
        <v>45361.0</v>
      </c>
      <c r="D752" s="84" t="s">
        <v>52</v>
      </c>
      <c r="E752" s="93" t="s">
        <v>52</v>
      </c>
      <c r="F752" s="38" t="s">
        <v>43</v>
      </c>
      <c r="G752" s="29" t="s">
        <v>44</v>
      </c>
      <c r="H752" s="12" t="s">
        <v>511</v>
      </c>
      <c r="I752" s="12" t="s">
        <v>46</v>
      </c>
      <c r="J752" s="14" t="s">
        <v>47</v>
      </c>
      <c r="K752" s="14" t="s">
        <v>35</v>
      </c>
      <c r="L752" s="15" t="s">
        <v>188</v>
      </c>
      <c r="M752" s="29"/>
      <c r="N752" s="88">
        <v>1601.0</v>
      </c>
      <c r="O752" s="17">
        <f t="shared" si="11"/>
        <v>0.4372267333</v>
      </c>
      <c r="P752" s="89">
        <v>700.0</v>
      </c>
      <c r="Q752" s="12"/>
      <c r="R752" s="85">
        <v>1423460.0</v>
      </c>
      <c r="S752" s="85" t="s">
        <v>40</v>
      </c>
      <c r="T752" s="90">
        <v>5714430.0</v>
      </c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</row>
    <row r="753" ht="15.75" customHeight="1">
      <c r="A753" s="101">
        <v>1.0843616E7</v>
      </c>
      <c r="B753" s="99"/>
      <c r="C753" s="11">
        <v>45514.0</v>
      </c>
      <c r="D753" s="84">
        <v>26.0</v>
      </c>
      <c r="E753" s="93">
        <v>32.553</v>
      </c>
      <c r="F753" s="38" t="s">
        <v>43</v>
      </c>
      <c r="G753" s="29" t="s">
        <v>44</v>
      </c>
      <c r="H753" s="12" t="s">
        <v>268</v>
      </c>
      <c r="I753" s="12" t="s">
        <v>397</v>
      </c>
      <c r="J753" s="12" t="s">
        <v>35</v>
      </c>
      <c r="K753" s="12" t="s">
        <v>270</v>
      </c>
      <c r="L753" s="15" t="s">
        <v>94</v>
      </c>
      <c r="M753" s="85" t="s">
        <v>509</v>
      </c>
      <c r="N753" s="88">
        <v>5880.0</v>
      </c>
      <c r="O753" s="17">
        <f t="shared" si="11"/>
        <v>0.3290136054</v>
      </c>
      <c r="P753" s="89">
        <v>1934.6</v>
      </c>
      <c r="Q753" s="84" t="s">
        <v>39</v>
      </c>
      <c r="R753" s="85">
        <v>1425714.0</v>
      </c>
      <c r="S753" s="85" t="s">
        <v>40</v>
      </c>
      <c r="T753" s="90">
        <v>5723689.0</v>
      </c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</row>
    <row r="754" ht="15.75" customHeight="1">
      <c r="A754" s="102">
        <v>1.0843617E7</v>
      </c>
      <c r="B754" s="99"/>
      <c r="C754" s="11">
        <v>45514.0</v>
      </c>
      <c r="D754" s="84">
        <v>26.0</v>
      </c>
      <c r="E754" s="93">
        <v>32.553</v>
      </c>
      <c r="F754" s="9" t="s">
        <v>43</v>
      </c>
      <c r="G754" s="29" t="s">
        <v>44</v>
      </c>
      <c r="H754" s="12" t="s">
        <v>268</v>
      </c>
      <c r="I754" s="25" t="s">
        <v>397</v>
      </c>
      <c r="J754" s="25" t="s">
        <v>35</v>
      </c>
      <c r="K754" s="12" t="s">
        <v>270</v>
      </c>
      <c r="L754" s="28" t="s">
        <v>94</v>
      </c>
      <c r="M754" s="85" t="s">
        <v>512</v>
      </c>
      <c r="N754" s="88">
        <v>5880.0</v>
      </c>
      <c r="O754" s="17">
        <f t="shared" si="11"/>
        <v>0.3290136054</v>
      </c>
      <c r="P754" s="89">
        <v>1934.6</v>
      </c>
      <c r="Q754" s="84" t="s">
        <v>39</v>
      </c>
      <c r="R754" s="85">
        <v>1425786.0</v>
      </c>
      <c r="S754" s="85" t="s">
        <v>40</v>
      </c>
      <c r="T754" s="90">
        <v>5724110.0</v>
      </c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</row>
    <row r="755" ht="15.75" customHeight="1">
      <c r="A755" s="102">
        <v>1.0843678E7</v>
      </c>
      <c r="B755" s="99"/>
      <c r="C755" s="11">
        <v>45514.0</v>
      </c>
      <c r="D755" s="84">
        <v>26.0</v>
      </c>
      <c r="E755" s="93">
        <v>32.553</v>
      </c>
      <c r="F755" s="9" t="s">
        <v>43</v>
      </c>
      <c r="G755" s="29" t="s">
        <v>44</v>
      </c>
      <c r="H755" s="12" t="s">
        <v>268</v>
      </c>
      <c r="I755" s="25" t="s">
        <v>397</v>
      </c>
      <c r="J755" s="25" t="s">
        <v>35</v>
      </c>
      <c r="K755" s="12" t="s">
        <v>270</v>
      </c>
      <c r="L755" s="28" t="s">
        <v>94</v>
      </c>
      <c r="M755" s="85" t="s">
        <v>441</v>
      </c>
      <c r="N755" s="88">
        <v>5880.0</v>
      </c>
      <c r="O755" s="17">
        <f t="shared" si="11"/>
        <v>0.3290136054</v>
      </c>
      <c r="P755" s="89">
        <v>1934.6</v>
      </c>
      <c r="Q755" s="84" t="s">
        <v>39</v>
      </c>
      <c r="R755" s="85">
        <v>1425723.0</v>
      </c>
      <c r="S755" s="85" t="s">
        <v>40</v>
      </c>
      <c r="T755" s="90">
        <v>5723758.0</v>
      </c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</row>
    <row r="756" ht="15.75" customHeight="1">
      <c r="A756" s="102">
        <v>1.0843679E7</v>
      </c>
      <c r="B756" s="99"/>
      <c r="C756" s="11">
        <v>45422.0</v>
      </c>
      <c r="D756" s="84">
        <v>26.0</v>
      </c>
      <c r="E756" s="93">
        <v>31.027</v>
      </c>
      <c r="F756" s="103" t="s">
        <v>31</v>
      </c>
      <c r="G756" s="29" t="s">
        <v>44</v>
      </c>
      <c r="H756" s="29" t="s">
        <v>268</v>
      </c>
      <c r="I756" s="25" t="s">
        <v>397</v>
      </c>
      <c r="J756" s="25" t="s">
        <v>35</v>
      </c>
      <c r="K756" s="12" t="s">
        <v>270</v>
      </c>
      <c r="L756" s="28" t="s">
        <v>94</v>
      </c>
      <c r="M756" s="85" t="s">
        <v>184</v>
      </c>
      <c r="N756" s="40">
        <v>6200.0</v>
      </c>
      <c r="O756" s="17">
        <f t="shared" si="11"/>
        <v>0.685483871</v>
      </c>
      <c r="P756" s="89">
        <v>4250.0</v>
      </c>
      <c r="Q756" s="85" t="s">
        <v>39</v>
      </c>
      <c r="R756" s="85">
        <v>1422540.0</v>
      </c>
      <c r="S756" s="85" t="s">
        <v>40</v>
      </c>
      <c r="T756" s="90">
        <v>5709850.0</v>
      </c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</row>
    <row r="757" ht="15.75" customHeight="1">
      <c r="A757" s="102">
        <v>1.084368E7</v>
      </c>
      <c r="B757" s="99"/>
      <c r="C757" s="11">
        <v>45514.0</v>
      </c>
      <c r="D757" s="84">
        <v>26.0</v>
      </c>
      <c r="E757" s="93">
        <v>32.553</v>
      </c>
      <c r="F757" s="38" t="s">
        <v>43</v>
      </c>
      <c r="G757" s="25" t="s">
        <v>44</v>
      </c>
      <c r="H757" s="12" t="s">
        <v>268</v>
      </c>
      <c r="I757" s="29" t="s">
        <v>397</v>
      </c>
      <c r="J757" s="12" t="s">
        <v>35</v>
      </c>
      <c r="K757" s="12" t="s">
        <v>270</v>
      </c>
      <c r="L757" s="28" t="s">
        <v>94</v>
      </c>
      <c r="M757" s="85" t="s">
        <v>486</v>
      </c>
      <c r="N757" s="88">
        <v>5880.0</v>
      </c>
      <c r="O757" s="17">
        <f t="shared" si="11"/>
        <v>0.3290136054</v>
      </c>
      <c r="P757" s="89">
        <v>1934.6</v>
      </c>
      <c r="Q757" s="84" t="s">
        <v>39</v>
      </c>
      <c r="R757" s="85">
        <v>1425734.0</v>
      </c>
      <c r="S757" s="85" t="s">
        <v>40</v>
      </c>
      <c r="T757" s="90">
        <v>5723876.0</v>
      </c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</row>
    <row r="758" ht="15.75" customHeight="1">
      <c r="A758" s="102">
        <v>1.0843681E7</v>
      </c>
      <c r="B758" s="99"/>
      <c r="C758" s="11">
        <v>45514.0</v>
      </c>
      <c r="D758" s="84" t="s">
        <v>52</v>
      </c>
      <c r="E758" s="93" t="s">
        <v>52</v>
      </c>
      <c r="F758" s="38" t="s">
        <v>43</v>
      </c>
      <c r="G758" s="25" t="s">
        <v>44</v>
      </c>
      <c r="H758" s="12" t="s">
        <v>513</v>
      </c>
      <c r="I758" s="29" t="s">
        <v>269</v>
      </c>
      <c r="J758" s="12" t="s">
        <v>270</v>
      </c>
      <c r="K758" s="12" t="s">
        <v>35</v>
      </c>
      <c r="L758" s="28" t="s">
        <v>188</v>
      </c>
      <c r="M758" s="85"/>
      <c r="N758" s="88">
        <v>3920.0</v>
      </c>
      <c r="O758" s="17">
        <f t="shared" si="11"/>
        <v>0.4935204082</v>
      </c>
      <c r="P758" s="89">
        <v>1934.6</v>
      </c>
      <c r="Q758" s="12"/>
      <c r="R758" s="85">
        <v>1427718.0</v>
      </c>
      <c r="S758" s="85" t="s">
        <v>40</v>
      </c>
      <c r="T758" s="90">
        <v>5733777.0</v>
      </c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</row>
    <row r="759" ht="15.75" customHeight="1">
      <c r="A759" s="101">
        <v>1.0843682E7</v>
      </c>
      <c r="B759" s="99"/>
      <c r="C759" s="11">
        <v>45514.0</v>
      </c>
      <c r="D759" s="84" t="s">
        <v>52</v>
      </c>
      <c r="E759" s="93" t="s">
        <v>52</v>
      </c>
      <c r="F759" s="9" t="s">
        <v>43</v>
      </c>
      <c r="G759" s="29" t="s">
        <v>44</v>
      </c>
      <c r="H759" s="29" t="s">
        <v>514</v>
      </c>
      <c r="I759" s="25" t="s">
        <v>269</v>
      </c>
      <c r="J759" s="25" t="s">
        <v>270</v>
      </c>
      <c r="K759" s="12" t="s">
        <v>35</v>
      </c>
      <c r="L759" s="28" t="s">
        <v>188</v>
      </c>
      <c r="M759" s="85"/>
      <c r="N759" s="88">
        <v>3920.0</v>
      </c>
      <c r="O759" s="17">
        <f t="shared" si="11"/>
        <v>0.4935204082</v>
      </c>
      <c r="P759" s="89">
        <v>1934.6</v>
      </c>
      <c r="Q759" s="12"/>
      <c r="R759" s="85">
        <v>1428361.0</v>
      </c>
      <c r="S759" s="85" t="s">
        <v>40</v>
      </c>
      <c r="T759" s="90">
        <v>5737335.0</v>
      </c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</row>
    <row r="760" ht="15.75" customHeight="1">
      <c r="A760" s="102">
        <v>1.0843683E7</v>
      </c>
      <c r="B760" s="99"/>
      <c r="C760" s="11">
        <v>45514.0</v>
      </c>
      <c r="D760" s="84" t="s">
        <v>52</v>
      </c>
      <c r="E760" s="93" t="s">
        <v>52</v>
      </c>
      <c r="F760" s="38" t="s">
        <v>43</v>
      </c>
      <c r="G760" s="25" t="s">
        <v>44</v>
      </c>
      <c r="H760" s="12" t="s">
        <v>515</v>
      </c>
      <c r="I760" s="29" t="s">
        <v>269</v>
      </c>
      <c r="J760" s="12" t="s">
        <v>270</v>
      </c>
      <c r="K760" s="12" t="s">
        <v>35</v>
      </c>
      <c r="L760" s="28" t="s">
        <v>188</v>
      </c>
      <c r="M760" s="85"/>
      <c r="N760" s="88">
        <v>3920.0</v>
      </c>
      <c r="O760" s="17">
        <f t="shared" si="11"/>
        <v>0.4935204082</v>
      </c>
      <c r="P760" s="89">
        <v>1934.6</v>
      </c>
      <c r="Q760" s="29"/>
      <c r="R760" s="85">
        <v>1428314.0</v>
      </c>
      <c r="S760" s="85" t="s">
        <v>40</v>
      </c>
      <c r="T760" s="90">
        <v>5736920.0</v>
      </c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</row>
    <row r="761" ht="15.75" customHeight="1">
      <c r="A761" s="102">
        <v>1.0843684E7</v>
      </c>
      <c r="B761" s="99"/>
      <c r="C761" s="11">
        <v>45514.0</v>
      </c>
      <c r="D761" s="84" t="s">
        <v>52</v>
      </c>
      <c r="E761" s="93" t="s">
        <v>52</v>
      </c>
      <c r="F761" s="9" t="s">
        <v>43</v>
      </c>
      <c r="G761" s="29" t="s">
        <v>44</v>
      </c>
      <c r="H761" s="29" t="s">
        <v>516</v>
      </c>
      <c r="I761" s="25" t="s">
        <v>269</v>
      </c>
      <c r="J761" s="25" t="s">
        <v>270</v>
      </c>
      <c r="K761" s="12" t="s">
        <v>35</v>
      </c>
      <c r="L761" s="28" t="s">
        <v>188</v>
      </c>
      <c r="M761" s="85"/>
      <c r="N761" s="88">
        <v>3920.0</v>
      </c>
      <c r="O761" s="17">
        <f t="shared" si="11"/>
        <v>0.4935204082</v>
      </c>
      <c r="P761" s="89">
        <v>1934.6</v>
      </c>
      <c r="Q761" s="12"/>
      <c r="R761" s="29"/>
      <c r="S761" s="85" t="s">
        <v>131</v>
      </c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</row>
    <row r="762" ht="15.75" customHeight="1">
      <c r="A762" s="102">
        <v>1.085552E7</v>
      </c>
      <c r="B762" s="99"/>
      <c r="C762" s="11">
        <v>45606.0</v>
      </c>
      <c r="D762" s="84">
        <v>26.0</v>
      </c>
      <c r="E762" s="91">
        <v>29830.0</v>
      </c>
      <c r="F762" s="38" t="s">
        <v>43</v>
      </c>
      <c r="G762" s="29" t="s">
        <v>32</v>
      </c>
      <c r="H762" s="12" t="s">
        <v>265</v>
      </c>
      <c r="I762" s="39" t="s">
        <v>266</v>
      </c>
      <c r="J762" s="12" t="s">
        <v>35</v>
      </c>
      <c r="K762" s="12" t="s">
        <v>267</v>
      </c>
      <c r="L762" s="28" t="s">
        <v>114</v>
      </c>
      <c r="M762" s="85" t="s">
        <v>52</v>
      </c>
      <c r="N762" s="88">
        <v>5880.0</v>
      </c>
      <c r="O762" s="17">
        <f t="shared" si="11"/>
        <v>0.7227891156</v>
      </c>
      <c r="P762" s="39">
        <v>4250.0</v>
      </c>
      <c r="Q762" s="85" t="s">
        <v>52</v>
      </c>
      <c r="R762" s="85" t="s">
        <v>52</v>
      </c>
      <c r="S762" s="85" t="s">
        <v>165</v>
      </c>
      <c r="T762" s="84" t="s">
        <v>52</v>
      </c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</row>
    <row r="763" ht="15.75" customHeight="1">
      <c r="A763" s="102">
        <v>1.0855523E7</v>
      </c>
      <c r="B763" s="99"/>
      <c r="C763" s="11">
        <v>45606.0</v>
      </c>
      <c r="D763" s="84" t="s">
        <v>52</v>
      </c>
      <c r="E763" s="93" t="s">
        <v>52</v>
      </c>
      <c r="F763" s="38" t="s">
        <v>43</v>
      </c>
      <c r="G763" s="29" t="s">
        <v>32</v>
      </c>
      <c r="H763" s="12" t="s">
        <v>517</v>
      </c>
      <c r="I763" s="39" t="s">
        <v>266</v>
      </c>
      <c r="J763" s="25" t="s">
        <v>267</v>
      </c>
      <c r="K763" s="25" t="s">
        <v>35</v>
      </c>
      <c r="L763" s="28" t="s">
        <v>43</v>
      </c>
      <c r="M763" s="85" t="s">
        <v>52</v>
      </c>
      <c r="N763" s="88">
        <v>3920.0</v>
      </c>
      <c r="O763" s="17">
        <f t="shared" si="11"/>
        <v>0.7015306122</v>
      </c>
      <c r="P763" s="39">
        <v>2750.0</v>
      </c>
      <c r="Q763" s="85" t="s">
        <v>52</v>
      </c>
      <c r="R763" s="85" t="s">
        <v>52</v>
      </c>
      <c r="S763" s="85" t="s">
        <v>165</v>
      </c>
      <c r="T763" s="84" t="s">
        <v>52</v>
      </c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</row>
    <row r="764" ht="15.75" customHeight="1">
      <c r="A764" s="103">
        <v>1.0864972E7</v>
      </c>
      <c r="B764" s="84"/>
      <c r="C764" s="11" t="s">
        <v>518</v>
      </c>
      <c r="D764" s="84">
        <v>26.0</v>
      </c>
      <c r="E764" s="93">
        <v>31.922</v>
      </c>
      <c r="F764" s="12" t="s">
        <v>31</v>
      </c>
      <c r="G764" s="29" t="s">
        <v>74</v>
      </c>
      <c r="H764" s="12" t="s">
        <v>318</v>
      </c>
      <c r="I764" s="93" t="s">
        <v>468</v>
      </c>
      <c r="J764" s="25" t="s">
        <v>35</v>
      </c>
      <c r="K764" s="25" t="s">
        <v>320</v>
      </c>
      <c r="L764" s="28" t="s">
        <v>94</v>
      </c>
      <c r="M764" s="85" t="s">
        <v>519</v>
      </c>
      <c r="N764" s="88">
        <v>6700.0</v>
      </c>
      <c r="O764" s="73">
        <f t="shared" si="11"/>
        <v>0.3034626866</v>
      </c>
      <c r="P764" s="89">
        <v>2033.2</v>
      </c>
      <c r="Q764" s="85" t="s">
        <v>39</v>
      </c>
      <c r="R764" s="85">
        <v>1433175.0</v>
      </c>
      <c r="S764" s="85" t="s">
        <v>40</v>
      </c>
      <c r="T764" s="90">
        <v>5758209.0</v>
      </c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</row>
    <row r="765" ht="15.75" customHeight="1">
      <c r="A765" s="103">
        <v>1.0864973E7</v>
      </c>
      <c r="B765" s="84"/>
      <c r="C765" s="11" t="s">
        <v>518</v>
      </c>
      <c r="D765" s="84">
        <v>26.0</v>
      </c>
      <c r="E765" s="93">
        <v>31.922</v>
      </c>
      <c r="F765" s="29" t="s">
        <v>31</v>
      </c>
      <c r="G765" s="25" t="s">
        <v>74</v>
      </c>
      <c r="H765" s="12" t="s">
        <v>318</v>
      </c>
      <c r="I765" s="85" t="s">
        <v>468</v>
      </c>
      <c r="J765" s="12" t="s">
        <v>35</v>
      </c>
      <c r="K765" s="12" t="s">
        <v>320</v>
      </c>
      <c r="L765" s="28" t="s">
        <v>94</v>
      </c>
      <c r="M765" s="85" t="s">
        <v>52</v>
      </c>
      <c r="N765" s="88">
        <v>6700.0</v>
      </c>
      <c r="O765" s="73">
        <f t="shared" si="11"/>
        <v>0.671641791</v>
      </c>
      <c r="P765" s="89">
        <v>4500.0</v>
      </c>
      <c r="Q765" s="84" t="s">
        <v>52</v>
      </c>
      <c r="R765" s="85" t="s">
        <v>52</v>
      </c>
      <c r="S765" s="85" t="s">
        <v>165</v>
      </c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</row>
    <row r="766" ht="15.75" customHeight="1">
      <c r="A766" s="103">
        <v>1.0864974E7</v>
      </c>
      <c r="B766" s="84"/>
      <c r="C766" s="11" t="s">
        <v>518</v>
      </c>
      <c r="D766" s="84">
        <v>26.0</v>
      </c>
      <c r="E766" s="93">
        <v>31.922</v>
      </c>
      <c r="F766" s="29" t="s">
        <v>31</v>
      </c>
      <c r="G766" s="25" t="s">
        <v>74</v>
      </c>
      <c r="H766" s="12" t="s">
        <v>318</v>
      </c>
      <c r="I766" s="85" t="s">
        <v>468</v>
      </c>
      <c r="J766" s="12" t="s">
        <v>35</v>
      </c>
      <c r="K766" s="12" t="s">
        <v>320</v>
      </c>
      <c r="L766" s="28" t="s">
        <v>94</v>
      </c>
      <c r="M766" s="85" t="s">
        <v>52</v>
      </c>
      <c r="N766" s="88">
        <v>6700.0</v>
      </c>
      <c r="O766" s="73">
        <f t="shared" si="11"/>
        <v>0.671641791</v>
      </c>
      <c r="P766" s="89">
        <v>4500.0</v>
      </c>
      <c r="Q766" s="85" t="s">
        <v>52</v>
      </c>
      <c r="R766" s="85" t="s">
        <v>52</v>
      </c>
      <c r="S766" s="85" t="s">
        <v>165</v>
      </c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</row>
    <row r="767" ht="15.75" customHeight="1">
      <c r="A767" s="102">
        <v>1.0865885E7</v>
      </c>
      <c r="B767" s="84"/>
      <c r="C767" s="11" t="s">
        <v>520</v>
      </c>
      <c r="D767" s="84">
        <v>26.0</v>
      </c>
      <c r="E767" s="93">
        <v>32.553</v>
      </c>
      <c r="F767" s="38" t="s">
        <v>43</v>
      </c>
      <c r="G767" s="25" t="s">
        <v>32</v>
      </c>
      <c r="H767" s="12" t="s">
        <v>111</v>
      </c>
      <c r="I767" s="29" t="s">
        <v>112</v>
      </c>
      <c r="J767" s="12" t="s">
        <v>35</v>
      </c>
      <c r="K767" s="12" t="s">
        <v>113</v>
      </c>
      <c r="L767" s="25" t="s">
        <v>114</v>
      </c>
      <c r="M767" s="85" t="s">
        <v>128</v>
      </c>
      <c r="N767" s="88">
        <v>5613.0</v>
      </c>
      <c r="O767" s="17">
        <f t="shared" si="11"/>
        <v>0.6235524675</v>
      </c>
      <c r="P767" s="89">
        <v>3500.0</v>
      </c>
      <c r="Q767" s="85" t="s">
        <v>107</v>
      </c>
      <c r="R767" s="85">
        <v>1430821.0</v>
      </c>
      <c r="S767" s="85" t="s">
        <v>40</v>
      </c>
      <c r="T767" s="90">
        <v>5747616.0</v>
      </c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</row>
    <row r="768" ht="15.75" customHeight="1">
      <c r="A768" s="102">
        <v>1.0865886E7</v>
      </c>
      <c r="B768" s="84"/>
      <c r="C768" s="11" t="s">
        <v>520</v>
      </c>
      <c r="D768" s="84" t="s">
        <v>52</v>
      </c>
      <c r="E768" s="93" t="s">
        <v>52</v>
      </c>
      <c r="F768" s="38" t="s">
        <v>43</v>
      </c>
      <c r="G768" s="29" t="s">
        <v>32</v>
      </c>
      <c r="H768" s="12" t="s">
        <v>521</v>
      </c>
      <c r="I768" s="25" t="s">
        <v>112</v>
      </c>
      <c r="J768" s="25" t="s">
        <v>113</v>
      </c>
      <c r="K768" s="12" t="s">
        <v>35</v>
      </c>
      <c r="L768" s="25" t="s">
        <v>43</v>
      </c>
      <c r="M768" s="29"/>
      <c r="N768" s="88">
        <v>3742.0</v>
      </c>
      <c r="O768" s="17">
        <f t="shared" si="11"/>
        <v>0.6680919294</v>
      </c>
      <c r="P768" s="89">
        <v>2500.0</v>
      </c>
      <c r="Q768" s="85"/>
      <c r="R768" s="85">
        <v>1432759.0</v>
      </c>
      <c r="S768" s="85" t="s">
        <v>40</v>
      </c>
      <c r="T768" s="90">
        <v>5756158.0</v>
      </c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</row>
    <row r="769" ht="15.75" customHeight="1">
      <c r="A769" s="103">
        <v>1.0873659E7</v>
      </c>
      <c r="B769" s="84"/>
      <c r="C769" s="11" t="s">
        <v>522</v>
      </c>
      <c r="D769" s="84">
        <v>26.0</v>
      </c>
      <c r="E769" s="93">
        <v>33.597</v>
      </c>
      <c r="F769" s="29" t="s">
        <v>31</v>
      </c>
      <c r="G769" s="85" t="s">
        <v>74</v>
      </c>
      <c r="H769" s="84" t="s">
        <v>523</v>
      </c>
      <c r="I769" s="93" t="s">
        <v>524</v>
      </c>
      <c r="J769" s="12" t="s">
        <v>35</v>
      </c>
      <c r="K769" s="25" t="s">
        <v>525</v>
      </c>
      <c r="L769" s="95" t="s">
        <v>114</v>
      </c>
      <c r="M769" s="85" t="s">
        <v>184</v>
      </c>
      <c r="N769" s="88">
        <v>5317.0</v>
      </c>
      <c r="O769" s="73">
        <f t="shared" si="11"/>
        <v>0.6206507429</v>
      </c>
      <c r="P769" s="89">
        <v>3300.0</v>
      </c>
      <c r="Q769" s="85" t="s">
        <v>39</v>
      </c>
      <c r="R769" s="85">
        <v>1434412.0</v>
      </c>
      <c r="S769" s="85" t="s">
        <v>40</v>
      </c>
      <c r="T769" s="90">
        <v>5764002.0</v>
      </c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</row>
    <row r="770" ht="15.75" customHeight="1">
      <c r="A770" s="103">
        <v>1.087366E7</v>
      </c>
      <c r="B770" s="84"/>
      <c r="C770" s="11" t="s">
        <v>522</v>
      </c>
      <c r="D770" s="84">
        <v>26.0</v>
      </c>
      <c r="E770" s="93">
        <v>29.251</v>
      </c>
      <c r="F770" s="12" t="s">
        <v>31</v>
      </c>
      <c r="G770" s="85" t="s">
        <v>74</v>
      </c>
      <c r="H770" s="85" t="s">
        <v>526</v>
      </c>
      <c r="I770" s="85" t="s">
        <v>527</v>
      </c>
      <c r="J770" s="25" t="s">
        <v>35</v>
      </c>
      <c r="K770" s="29" t="s">
        <v>528</v>
      </c>
      <c r="L770" s="95" t="s">
        <v>114</v>
      </c>
      <c r="M770" s="85" t="s">
        <v>486</v>
      </c>
      <c r="N770" s="88">
        <v>5625.0</v>
      </c>
      <c r="O770" s="73">
        <f t="shared" si="11"/>
        <v>0.4048</v>
      </c>
      <c r="P770" s="89">
        <v>2277.0</v>
      </c>
      <c r="Q770" s="85" t="s">
        <v>39</v>
      </c>
      <c r="R770" s="85">
        <v>1435547.0</v>
      </c>
      <c r="S770" s="85" t="s">
        <v>40</v>
      </c>
      <c r="T770" s="90">
        <v>5769805.0</v>
      </c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</row>
    <row r="771" ht="15.75" customHeight="1">
      <c r="A771" s="104">
        <v>1.0877781E7</v>
      </c>
      <c r="B771" s="94"/>
      <c r="C771" s="11" t="s">
        <v>529</v>
      </c>
      <c r="D771" s="94">
        <v>26.0</v>
      </c>
      <c r="E771" s="26">
        <v>31625.0</v>
      </c>
      <c r="F771" s="12" t="s">
        <v>31</v>
      </c>
      <c r="G771" s="97" t="s">
        <v>44</v>
      </c>
      <c r="H771" s="96" t="s">
        <v>268</v>
      </c>
      <c r="I771" s="96" t="s">
        <v>397</v>
      </c>
      <c r="J771" s="25" t="s">
        <v>35</v>
      </c>
      <c r="K771" s="96" t="s">
        <v>270</v>
      </c>
      <c r="L771" s="28" t="s">
        <v>94</v>
      </c>
      <c r="M771" s="96" t="s">
        <v>52</v>
      </c>
      <c r="N771" s="40">
        <v>6200.0</v>
      </c>
      <c r="O771" s="73">
        <f>IFERROR(P771/N771,0)</f>
        <v>0.685483871</v>
      </c>
      <c r="P771" s="39">
        <v>4250.0</v>
      </c>
      <c r="Q771" s="96" t="s">
        <v>52</v>
      </c>
      <c r="R771" s="96" t="s">
        <v>52</v>
      </c>
      <c r="S771" s="105" t="s">
        <v>165</v>
      </c>
      <c r="T771" s="94" t="s">
        <v>52</v>
      </c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</row>
    <row r="772" ht="15.75" customHeight="1">
      <c r="A772" s="102">
        <v>1.0877782E7</v>
      </c>
      <c r="B772" s="84"/>
      <c r="C772" s="11" t="s">
        <v>529</v>
      </c>
      <c r="D772" s="12">
        <v>26.0</v>
      </c>
      <c r="E772" s="26">
        <v>31625.0</v>
      </c>
      <c r="F772" s="12" t="s">
        <v>31</v>
      </c>
      <c r="G772" s="29" t="s">
        <v>44</v>
      </c>
      <c r="H772" s="29" t="s">
        <v>268</v>
      </c>
      <c r="I772" s="29" t="s">
        <v>397</v>
      </c>
      <c r="J772" s="25" t="s">
        <v>35</v>
      </c>
      <c r="K772" s="29" t="s">
        <v>270</v>
      </c>
      <c r="L772" s="28" t="s">
        <v>94</v>
      </c>
      <c r="M772" s="85" t="s">
        <v>530</v>
      </c>
      <c r="N772" s="40">
        <v>6200.0</v>
      </c>
      <c r="O772" s="17">
        <f t="shared" ref="O772:O784" si="12">IFERROR(P772/N772,0)</f>
        <v>0.685483871</v>
      </c>
      <c r="P772" s="89">
        <v>4250.0</v>
      </c>
      <c r="Q772" s="85" t="s">
        <v>39</v>
      </c>
      <c r="R772" s="106">
        <v>1436543.0</v>
      </c>
      <c r="S772" s="85" t="s">
        <v>40</v>
      </c>
      <c r="T772" s="90">
        <v>5773621.0</v>
      </c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07" t="s">
        <v>39</v>
      </c>
      <c r="AF772" s="1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</row>
    <row r="773" ht="15.75" customHeight="1">
      <c r="A773" s="102">
        <v>1.0877783E7</v>
      </c>
      <c r="B773" s="84"/>
      <c r="C773" s="11" t="s">
        <v>529</v>
      </c>
      <c r="D773" s="12">
        <v>26.0</v>
      </c>
      <c r="E773" s="26">
        <v>31625.0</v>
      </c>
      <c r="F773" s="12" t="s">
        <v>31</v>
      </c>
      <c r="G773" s="29" t="s">
        <v>44</v>
      </c>
      <c r="H773" s="12" t="s">
        <v>268</v>
      </c>
      <c r="I773" s="25" t="s">
        <v>397</v>
      </c>
      <c r="J773" s="25" t="s">
        <v>35</v>
      </c>
      <c r="K773" s="12" t="s">
        <v>270</v>
      </c>
      <c r="L773" s="28" t="s">
        <v>94</v>
      </c>
      <c r="M773" s="85" t="s">
        <v>512</v>
      </c>
      <c r="N773" s="40">
        <v>6200.0</v>
      </c>
      <c r="O773" s="17">
        <f t="shared" si="12"/>
        <v>0.685483871</v>
      </c>
      <c r="P773" s="89">
        <v>4250.0</v>
      </c>
      <c r="Q773" s="85" t="s">
        <v>39</v>
      </c>
      <c r="R773" s="85">
        <v>1435845.0</v>
      </c>
      <c r="S773" s="85" t="s">
        <v>40</v>
      </c>
      <c r="T773" s="90">
        <v>5771200.0</v>
      </c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07" t="s">
        <v>39</v>
      </c>
      <c r="AF773" s="1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</row>
    <row r="774" ht="15.75" customHeight="1">
      <c r="A774" s="102">
        <v>1.0880778E7</v>
      </c>
      <c r="B774" s="84"/>
      <c r="C774" s="11" t="s">
        <v>531</v>
      </c>
      <c r="D774" s="12">
        <v>26.0</v>
      </c>
      <c r="E774" s="26">
        <v>31625.0</v>
      </c>
      <c r="F774" s="29" t="s">
        <v>31</v>
      </c>
      <c r="G774" s="25" t="s">
        <v>74</v>
      </c>
      <c r="H774" s="12" t="s">
        <v>318</v>
      </c>
      <c r="I774" s="85" t="s">
        <v>468</v>
      </c>
      <c r="J774" s="12" t="s">
        <v>35</v>
      </c>
      <c r="K774" s="12" t="s">
        <v>320</v>
      </c>
      <c r="L774" s="28" t="s">
        <v>94</v>
      </c>
      <c r="M774" s="96" t="s">
        <v>52</v>
      </c>
      <c r="N774" s="88">
        <v>6700.0</v>
      </c>
      <c r="O774" s="73">
        <f t="shared" si="12"/>
        <v>0.671641791</v>
      </c>
      <c r="P774" s="89">
        <v>4500.0</v>
      </c>
      <c r="Q774" s="96" t="s">
        <v>52</v>
      </c>
      <c r="R774" s="96" t="s">
        <v>52</v>
      </c>
      <c r="S774" s="85" t="s">
        <v>165</v>
      </c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</row>
    <row r="775" ht="15.75" customHeight="1">
      <c r="A775" s="102">
        <v>1.0880779E7</v>
      </c>
      <c r="B775" s="84"/>
      <c r="C775" s="11" t="s">
        <v>531</v>
      </c>
      <c r="D775" s="12">
        <v>26.0</v>
      </c>
      <c r="E775" s="26">
        <v>31625.0</v>
      </c>
      <c r="F775" s="29" t="s">
        <v>31</v>
      </c>
      <c r="G775" s="29" t="s">
        <v>74</v>
      </c>
      <c r="H775" s="12" t="s">
        <v>318</v>
      </c>
      <c r="I775" s="85" t="s">
        <v>468</v>
      </c>
      <c r="J775" s="12" t="s">
        <v>35</v>
      </c>
      <c r="K775" s="12" t="s">
        <v>320</v>
      </c>
      <c r="L775" s="28" t="s">
        <v>94</v>
      </c>
      <c r="M775" s="96" t="s">
        <v>52</v>
      </c>
      <c r="N775" s="88">
        <v>6700.0</v>
      </c>
      <c r="O775" s="73">
        <f t="shared" si="12"/>
        <v>0.671641791</v>
      </c>
      <c r="P775" s="89">
        <v>4500.0</v>
      </c>
      <c r="Q775" s="96" t="s">
        <v>52</v>
      </c>
      <c r="R775" s="96" t="s">
        <v>52</v>
      </c>
      <c r="S775" s="85" t="s">
        <v>165</v>
      </c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</row>
    <row r="776" ht="15.75" customHeight="1">
      <c r="A776" s="102">
        <v>1.088078E7</v>
      </c>
      <c r="B776" s="84"/>
      <c r="C776" s="11" t="s">
        <v>531</v>
      </c>
      <c r="D776" s="12">
        <v>26.0</v>
      </c>
      <c r="E776" s="26">
        <v>31625.0</v>
      </c>
      <c r="F776" s="29" t="s">
        <v>31</v>
      </c>
      <c r="G776" s="29" t="s">
        <v>74</v>
      </c>
      <c r="H776" s="12" t="s">
        <v>318</v>
      </c>
      <c r="I776" s="85" t="s">
        <v>468</v>
      </c>
      <c r="J776" s="25" t="s">
        <v>35</v>
      </c>
      <c r="K776" s="25" t="s">
        <v>320</v>
      </c>
      <c r="L776" s="28" t="s">
        <v>94</v>
      </c>
      <c r="M776" s="85" t="s">
        <v>52</v>
      </c>
      <c r="N776" s="88">
        <v>6700.0</v>
      </c>
      <c r="O776" s="73">
        <f t="shared" si="12"/>
        <v>0.671641791</v>
      </c>
      <c r="P776" s="89">
        <v>4500.0</v>
      </c>
      <c r="Q776" s="96" t="s">
        <v>52</v>
      </c>
      <c r="R776" s="96" t="s">
        <v>52</v>
      </c>
      <c r="S776" s="85" t="s">
        <v>165</v>
      </c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</row>
    <row r="777" ht="15.75" customHeight="1">
      <c r="A777" s="102">
        <v>1.088248E7</v>
      </c>
      <c r="B777" s="84"/>
      <c r="C777" s="11" t="s">
        <v>532</v>
      </c>
      <c r="D777" s="84">
        <v>26.0</v>
      </c>
      <c r="E777" s="93">
        <v>29.251</v>
      </c>
      <c r="F777" s="29" t="s">
        <v>31</v>
      </c>
      <c r="G777" s="93" t="s">
        <v>74</v>
      </c>
      <c r="H777" s="84" t="s">
        <v>526</v>
      </c>
      <c r="I777" s="85" t="s">
        <v>527</v>
      </c>
      <c r="J777" s="12" t="s">
        <v>35</v>
      </c>
      <c r="K777" s="12" t="s">
        <v>528</v>
      </c>
      <c r="L777" s="95" t="s">
        <v>114</v>
      </c>
      <c r="M777" s="85" t="s">
        <v>142</v>
      </c>
      <c r="N777" s="88">
        <v>5625.0</v>
      </c>
      <c r="O777" s="73">
        <f t="shared" si="12"/>
        <v>0.7377777778</v>
      </c>
      <c r="P777" s="89">
        <v>4150.0</v>
      </c>
      <c r="Q777" s="85" t="s">
        <v>39</v>
      </c>
      <c r="R777" s="85">
        <v>1437426.0</v>
      </c>
      <c r="S777" s="85" t="s">
        <v>40</v>
      </c>
      <c r="T777" s="90">
        <v>5777754.0</v>
      </c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</row>
    <row r="778" ht="15.75" customHeight="1">
      <c r="A778" s="102">
        <v>1.0882481E7</v>
      </c>
      <c r="B778" s="84"/>
      <c r="C778" s="11" t="s">
        <v>532</v>
      </c>
      <c r="D778" s="84">
        <v>26.0</v>
      </c>
      <c r="E778" s="26">
        <v>31625.0</v>
      </c>
      <c r="F778" s="29" t="s">
        <v>31</v>
      </c>
      <c r="G778" s="25" t="s">
        <v>44</v>
      </c>
      <c r="H778" s="12" t="s">
        <v>268</v>
      </c>
      <c r="I778" s="29" t="s">
        <v>397</v>
      </c>
      <c r="J778" s="12" t="s">
        <v>35</v>
      </c>
      <c r="K778" s="12" t="s">
        <v>270</v>
      </c>
      <c r="L778" s="28" t="s">
        <v>94</v>
      </c>
      <c r="M778" s="85" t="s">
        <v>52</v>
      </c>
      <c r="N778" s="40">
        <v>6200.0</v>
      </c>
      <c r="O778" s="17">
        <f t="shared" si="12"/>
        <v>0.685483871</v>
      </c>
      <c r="P778" s="89">
        <v>4250.0</v>
      </c>
      <c r="Q778" s="96" t="s">
        <v>52</v>
      </c>
      <c r="R778" s="96" t="s">
        <v>52</v>
      </c>
      <c r="S778" s="85" t="s">
        <v>165</v>
      </c>
      <c r="T778" s="94" t="s">
        <v>52</v>
      </c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</row>
    <row r="779" ht="15.75" customHeight="1">
      <c r="A779" s="102">
        <v>1.0884643E7</v>
      </c>
      <c r="B779" s="84"/>
      <c r="C779" s="11" t="s">
        <v>533</v>
      </c>
      <c r="D779" s="12">
        <v>26.0</v>
      </c>
      <c r="E779" s="26">
        <v>31625.0</v>
      </c>
      <c r="F779" s="29" t="s">
        <v>31</v>
      </c>
      <c r="G779" s="25" t="s">
        <v>74</v>
      </c>
      <c r="H779" s="12" t="s">
        <v>409</v>
      </c>
      <c r="I779" s="39" t="s">
        <v>410</v>
      </c>
      <c r="J779" s="12" t="s">
        <v>35</v>
      </c>
      <c r="K779" s="12" t="s">
        <v>320</v>
      </c>
      <c r="L779" s="28" t="s">
        <v>94</v>
      </c>
      <c r="M779" s="85" t="s">
        <v>52</v>
      </c>
      <c r="N779" s="40">
        <v>6700.0</v>
      </c>
      <c r="O779" s="17">
        <f t="shared" si="12"/>
        <v>0.6343283582</v>
      </c>
      <c r="P779" s="39">
        <v>4250.0</v>
      </c>
      <c r="Q779" s="85" t="s">
        <v>52</v>
      </c>
      <c r="R779" s="85" t="s">
        <v>52</v>
      </c>
      <c r="S779" s="85" t="s">
        <v>165</v>
      </c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</row>
    <row r="780" ht="15.75" customHeight="1">
      <c r="A780" s="102">
        <v>1.0884644E7</v>
      </c>
      <c r="B780" s="84"/>
      <c r="C780" s="11" t="s">
        <v>533</v>
      </c>
      <c r="D780" s="12">
        <v>26.0</v>
      </c>
      <c r="E780" s="26">
        <v>31625.0</v>
      </c>
      <c r="F780" s="29" t="s">
        <v>31</v>
      </c>
      <c r="G780" s="25" t="s">
        <v>74</v>
      </c>
      <c r="H780" s="12" t="s">
        <v>409</v>
      </c>
      <c r="I780" s="39" t="s">
        <v>410</v>
      </c>
      <c r="J780" s="12" t="s">
        <v>35</v>
      </c>
      <c r="K780" s="12" t="s">
        <v>320</v>
      </c>
      <c r="L780" s="28" t="s">
        <v>94</v>
      </c>
      <c r="M780" s="96" t="s">
        <v>52</v>
      </c>
      <c r="N780" s="40">
        <v>6700.0</v>
      </c>
      <c r="O780" s="17">
        <f t="shared" si="12"/>
        <v>0.6343283582</v>
      </c>
      <c r="P780" s="39">
        <v>4250.0</v>
      </c>
      <c r="Q780" s="96" t="s">
        <v>52</v>
      </c>
      <c r="R780" s="96" t="s">
        <v>52</v>
      </c>
      <c r="S780" s="85" t="s">
        <v>165</v>
      </c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</row>
    <row r="781" ht="15.75" customHeight="1">
      <c r="A781" s="102">
        <v>1.0884645E7</v>
      </c>
      <c r="B781" s="84"/>
      <c r="C781" s="11" t="s">
        <v>533</v>
      </c>
      <c r="D781" s="12">
        <v>26.0</v>
      </c>
      <c r="E781" s="26">
        <v>31625.0</v>
      </c>
      <c r="F781" s="29" t="s">
        <v>31</v>
      </c>
      <c r="G781" s="29" t="s">
        <v>74</v>
      </c>
      <c r="H781" s="12" t="s">
        <v>409</v>
      </c>
      <c r="I781" s="39" t="s">
        <v>410</v>
      </c>
      <c r="J781" s="12" t="s">
        <v>35</v>
      </c>
      <c r="K781" s="12" t="s">
        <v>320</v>
      </c>
      <c r="L781" s="28" t="s">
        <v>94</v>
      </c>
      <c r="M781" s="96" t="s">
        <v>52</v>
      </c>
      <c r="N781" s="40">
        <v>6700.0</v>
      </c>
      <c r="O781" s="17">
        <f t="shared" si="12"/>
        <v>0.6343283582</v>
      </c>
      <c r="P781" s="39">
        <v>4250.0</v>
      </c>
      <c r="Q781" s="94" t="s">
        <v>52</v>
      </c>
      <c r="R781" s="96" t="s">
        <v>52</v>
      </c>
      <c r="S781" s="85" t="s">
        <v>165</v>
      </c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</row>
    <row r="782" ht="15.75" customHeight="1">
      <c r="A782" s="102">
        <v>1.0885758E7</v>
      </c>
      <c r="B782" s="84"/>
      <c r="C782" s="11" t="s">
        <v>529</v>
      </c>
      <c r="D782" s="84">
        <v>26.0</v>
      </c>
      <c r="E782" s="91">
        <v>32458.0</v>
      </c>
      <c r="F782" s="29" t="s">
        <v>31</v>
      </c>
      <c r="G782" s="85" t="s">
        <v>32</v>
      </c>
      <c r="H782" s="84" t="s">
        <v>487</v>
      </c>
      <c r="I782" s="85" t="s">
        <v>488</v>
      </c>
      <c r="J782" s="25" t="s">
        <v>35</v>
      </c>
      <c r="K782" s="108" t="s">
        <v>534</v>
      </c>
      <c r="L782" s="95" t="s">
        <v>114</v>
      </c>
      <c r="M782" s="85" t="s">
        <v>535</v>
      </c>
      <c r="N782" s="88">
        <v>4854.0</v>
      </c>
      <c r="O782" s="17">
        <f t="shared" si="12"/>
        <v>0.6180469716</v>
      </c>
      <c r="P782" s="89">
        <v>3000.0</v>
      </c>
      <c r="Q782" s="84" t="s">
        <v>39</v>
      </c>
      <c r="R782" s="85">
        <v>1435557.0</v>
      </c>
      <c r="S782" s="85" t="s">
        <v>40</v>
      </c>
      <c r="T782" s="90">
        <v>5769849.0</v>
      </c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</row>
    <row r="783" ht="15.75" customHeight="1">
      <c r="A783" s="102">
        <v>1.0894909E7</v>
      </c>
      <c r="B783" s="84"/>
      <c r="C783" s="11" t="s">
        <v>536</v>
      </c>
      <c r="D783" s="84">
        <v>23.0</v>
      </c>
      <c r="E783" s="91">
        <v>28529.0</v>
      </c>
      <c r="F783" s="29" t="s">
        <v>31</v>
      </c>
      <c r="G783" s="100" t="s">
        <v>74</v>
      </c>
      <c r="H783" s="12" t="s">
        <v>274</v>
      </c>
      <c r="I783" s="39" t="s">
        <v>275</v>
      </c>
      <c r="J783" s="12" t="s">
        <v>35</v>
      </c>
      <c r="K783" s="12" t="s">
        <v>276</v>
      </c>
      <c r="L783" s="28" t="s">
        <v>94</v>
      </c>
      <c r="M783" s="85" t="s">
        <v>52</v>
      </c>
      <c r="N783" s="88">
        <v>6500.0</v>
      </c>
      <c r="O783" s="17">
        <f t="shared" si="12"/>
        <v>0.6538461538</v>
      </c>
      <c r="P783" s="39">
        <v>4250.0</v>
      </c>
      <c r="Q783" s="94" t="s">
        <v>52</v>
      </c>
      <c r="R783" s="96" t="s">
        <v>52</v>
      </c>
      <c r="S783" s="85" t="s">
        <v>165</v>
      </c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</row>
    <row r="784" ht="15.75" customHeight="1">
      <c r="A784" s="102">
        <v>1.0897799E7</v>
      </c>
      <c r="B784" s="84"/>
      <c r="C784" s="11" t="s">
        <v>537</v>
      </c>
      <c r="D784" s="84">
        <v>26.0</v>
      </c>
      <c r="E784" s="91">
        <v>30212.0</v>
      </c>
      <c r="F784" s="29" t="s">
        <v>31</v>
      </c>
      <c r="G784" s="29" t="s">
        <v>74</v>
      </c>
      <c r="H784" s="12" t="s">
        <v>409</v>
      </c>
      <c r="I784" s="39" t="s">
        <v>410</v>
      </c>
      <c r="J784" s="25" t="s">
        <v>35</v>
      </c>
      <c r="K784" s="25" t="s">
        <v>320</v>
      </c>
      <c r="L784" s="28" t="s">
        <v>94</v>
      </c>
      <c r="M784" s="85" t="s">
        <v>52</v>
      </c>
      <c r="N784" s="40">
        <v>6700.0</v>
      </c>
      <c r="O784" s="17">
        <f t="shared" si="12"/>
        <v>0.6343283582</v>
      </c>
      <c r="P784" s="39">
        <v>4250.0</v>
      </c>
      <c r="Q784" s="94" t="s">
        <v>52</v>
      </c>
      <c r="R784" s="96" t="s">
        <v>52</v>
      </c>
      <c r="S784" s="85" t="s">
        <v>165</v>
      </c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</row>
    <row r="785" ht="15.75" customHeight="1">
      <c r="A785" s="103">
        <v>1.0898009E7</v>
      </c>
      <c r="B785" s="84"/>
      <c r="C785" s="11" t="s">
        <v>537</v>
      </c>
      <c r="D785" s="84">
        <v>26.0</v>
      </c>
      <c r="E785" s="91">
        <v>33430.0</v>
      </c>
      <c r="F785" s="29" t="s">
        <v>31</v>
      </c>
      <c r="G785" s="109" t="s">
        <v>32</v>
      </c>
      <c r="H785" s="29" t="s">
        <v>487</v>
      </c>
      <c r="I785" s="29" t="s">
        <v>488</v>
      </c>
      <c r="J785" s="25" t="s">
        <v>35</v>
      </c>
      <c r="K785" s="12" t="s">
        <v>538</v>
      </c>
      <c r="L785" s="28" t="s">
        <v>114</v>
      </c>
      <c r="M785" s="85" t="s">
        <v>142</v>
      </c>
      <c r="N785" s="40">
        <v>4854.0</v>
      </c>
      <c r="O785" s="73">
        <f>IFERROR(P785/N785,0)</f>
        <v>0.6798516687</v>
      </c>
      <c r="P785" s="89">
        <v>3300.0</v>
      </c>
      <c r="Q785" s="84" t="s">
        <v>39</v>
      </c>
      <c r="R785" s="85">
        <v>1443899.0</v>
      </c>
      <c r="S785" s="85" t="s">
        <v>40</v>
      </c>
      <c r="T785" s="90">
        <v>5807598.0</v>
      </c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07" t="s">
        <v>39</v>
      </c>
      <c r="AF785" s="1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</row>
    <row r="786" ht="15.75" customHeight="1">
      <c r="A786" s="102">
        <v>1.0898743E7</v>
      </c>
      <c r="B786" s="84"/>
      <c r="C786" s="11" t="s">
        <v>536</v>
      </c>
      <c r="D786" s="84">
        <v>26.0</v>
      </c>
      <c r="E786" s="110">
        <v>33430.0</v>
      </c>
      <c r="F786" s="12" t="s">
        <v>31</v>
      </c>
      <c r="G786" s="29" t="s">
        <v>74</v>
      </c>
      <c r="H786" s="12" t="s">
        <v>422</v>
      </c>
      <c r="I786" s="28" t="s">
        <v>423</v>
      </c>
      <c r="J786" s="25" t="s">
        <v>35</v>
      </c>
      <c r="K786" s="12" t="s">
        <v>424</v>
      </c>
      <c r="L786" s="28" t="s">
        <v>188</v>
      </c>
      <c r="M786" s="84" t="s">
        <v>128</v>
      </c>
      <c r="N786" s="40">
        <v>3124.0</v>
      </c>
      <c r="O786" s="17">
        <f t="shared" ref="O786:O787" si="13">IFERROR(P786/N786,0)</f>
        <v>0.5441741357</v>
      </c>
      <c r="P786" s="89">
        <v>1700.0</v>
      </c>
      <c r="Q786" s="84" t="s">
        <v>39</v>
      </c>
      <c r="R786" s="85">
        <v>1442275.0</v>
      </c>
      <c r="S786" s="85" t="s">
        <v>40</v>
      </c>
      <c r="T786" s="90">
        <v>5801932.0</v>
      </c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</row>
    <row r="787" ht="15.75" customHeight="1">
      <c r="A787" s="102">
        <v>1.0898843E7</v>
      </c>
      <c r="B787" s="84"/>
      <c r="C787" s="11" t="s">
        <v>539</v>
      </c>
      <c r="D787" s="84">
        <v>26.0</v>
      </c>
      <c r="E787" s="110">
        <v>31578.0</v>
      </c>
      <c r="F787" s="12" t="s">
        <v>31</v>
      </c>
      <c r="G787" s="85" t="s">
        <v>32</v>
      </c>
      <c r="H787" s="84" t="s">
        <v>487</v>
      </c>
      <c r="I787" s="93" t="s">
        <v>488</v>
      </c>
      <c r="J787" s="25" t="s">
        <v>35</v>
      </c>
      <c r="K787" s="94" t="s">
        <v>540</v>
      </c>
      <c r="L787" s="95" t="s">
        <v>114</v>
      </c>
      <c r="M787" s="84" t="s">
        <v>184</v>
      </c>
      <c r="N787" s="88">
        <v>4854.0</v>
      </c>
      <c r="O787" s="17">
        <f t="shared" si="13"/>
        <v>0.6798516687</v>
      </c>
      <c r="P787" s="89">
        <v>3300.0</v>
      </c>
      <c r="Q787" s="84" t="s">
        <v>39</v>
      </c>
      <c r="R787" s="85">
        <v>1440519.0</v>
      </c>
      <c r="S787" s="85" t="s">
        <v>40</v>
      </c>
      <c r="T787" s="90">
        <v>5793852.0</v>
      </c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07" t="s">
        <v>39</v>
      </c>
      <c r="AF787" s="1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</row>
    <row r="788" ht="15.75" customHeight="1">
      <c r="A788" s="103">
        <v>1.0901441E7</v>
      </c>
      <c r="B788" s="84"/>
      <c r="C788" s="11" t="s">
        <v>541</v>
      </c>
      <c r="D788" s="84">
        <v>20.0</v>
      </c>
      <c r="E788" s="110">
        <v>24313.0</v>
      </c>
      <c r="F788" s="12" t="s">
        <v>31</v>
      </c>
      <c r="G788" s="29" t="s">
        <v>74</v>
      </c>
      <c r="H788" s="12" t="s">
        <v>308</v>
      </c>
      <c r="I788" s="25" t="s">
        <v>309</v>
      </c>
      <c r="J788" s="25" t="s">
        <v>35</v>
      </c>
      <c r="K788" s="12" t="s">
        <v>310</v>
      </c>
      <c r="L788" s="28" t="s">
        <v>94</v>
      </c>
      <c r="M788" s="84" t="s">
        <v>519</v>
      </c>
      <c r="N788" s="88">
        <v>5385.0</v>
      </c>
      <c r="O788" s="73">
        <f t="shared" ref="O788:O795" si="14">IFERROR(P788/N788,0)</f>
        <v>0.3712534819</v>
      </c>
      <c r="P788" s="89">
        <v>1999.2</v>
      </c>
      <c r="Q788" s="84" t="s">
        <v>39</v>
      </c>
      <c r="R788" s="85">
        <v>1445460.0</v>
      </c>
      <c r="S788" s="85" t="s">
        <v>40</v>
      </c>
      <c r="T788" s="90">
        <v>5816398.0</v>
      </c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07" t="s">
        <v>39</v>
      </c>
      <c r="AF788" s="1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</row>
    <row r="789" ht="15.75" customHeight="1">
      <c r="A789" s="103">
        <v>1.0904917E7</v>
      </c>
      <c r="B789" s="84"/>
      <c r="C789" s="11" t="s">
        <v>542</v>
      </c>
      <c r="D789" s="84">
        <v>26.0</v>
      </c>
      <c r="E789" s="91">
        <v>31922.0</v>
      </c>
      <c r="F789" s="29" t="s">
        <v>31</v>
      </c>
      <c r="G789" s="100" t="s">
        <v>74</v>
      </c>
      <c r="H789" s="12" t="s">
        <v>274</v>
      </c>
      <c r="I789" s="39" t="s">
        <v>275</v>
      </c>
      <c r="J789" s="12" t="s">
        <v>35</v>
      </c>
      <c r="K789" s="12" t="s">
        <v>276</v>
      </c>
      <c r="L789" s="28" t="s">
        <v>94</v>
      </c>
      <c r="M789" s="85" t="s">
        <v>543</v>
      </c>
      <c r="N789" s="88">
        <v>6500.0</v>
      </c>
      <c r="O789" s="73">
        <f t="shared" si="14"/>
        <v>0.6923076923</v>
      </c>
      <c r="P789" s="89">
        <v>4500.0</v>
      </c>
      <c r="Q789" s="84" t="s">
        <v>39</v>
      </c>
      <c r="R789" s="85">
        <v>1445838.0</v>
      </c>
      <c r="S789" s="85" t="s">
        <v>40</v>
      </c>
      <c r="T789" s="90">
        <v>5818450.0</v>
      </c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07" t="s">
        <v>39</v>
      </c>
      <c r="AF789" s="1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</row>
    <row r="790" ht="15.75" customHeight="1">
      <c r="A790" s="103">
        <v>1.0904928E7</v>
      </c>
      <c r="B790" s="84"/>
      <c r="C790" s="11" t="s">
        <v>542</v>
      </c>
      <c r="D790" s="84">
        <v>21.0</v>
      </c>
      <c r="E790" s="91">
        <v>25783.0</v>
      </c>
      <c r="F790" s="29" t="s">
        <v>31</v>
      </c>
      <c r="G790" s="100" t="s">
        <v>74</v>
      </c>
      <c r="H790" s="12" t="s">
        <v>274</v>
      </c>
      <c r="I790" s="39" t="s">
        <v>275</v>
      </c>
      <c r="J790" s="25" t="s">
        <v>35</v>
      </c>
      <c r="K790" s="25" t="s">
        <v>276</v>
      </c>
      <c r="L790" s="28" t="s">
        <v>94</v>
      </c>
      <c r="M790" s="85" t="s">
        <v>52</v>
      </c>
      <c r="N790" s="88">
        <v>6500.0</v>
      </c>
      <c r="O790" s="73">
        <f t="shared" si="14"/>
        <v>0.6923076923</v>
      </c>
      <c r="P790" s="89">
        <v>4500.0</v>
      </c>
      <c r="Q790" s="94" t="s">
        <v>52</v>
      </c>
      <c r="R790" s="96" t="s">
        <v>52</v>
      </c>
      <c r="S790" s="85" t="s">
        <v>165</v>
      </c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</row>
    <row r="791" ht="15.75" customHeight="1">
      <c r="A791" s="103">
        <v>1.0908321E7</v>
      </c>
      <c r="B791" s="84"/>
      <c r="C791" s="11" t="s">
        <v>544</v>
      </c>
      <c r="D791" s="84">
        <v>23.0</v>
      </c>
      <c r="E791" s="91">
        <v>28529.0</v>
      </c>
      <c r="F791" s="12" t="s">
        <v>31</v>
      </c>
      <c r="G791" s="100" t="s">
        <v>74</v>
      </c>
      <c r="H791" s="12" t="s">
        <v>274</v>
      </c>
      <c r="I791" s="39" t="s">
        <v>275</v>
      </c>
      <c r="J791" s="12" t="s">
        <v>35</v>
      </c>
      <c r="K791" s="12" t="s">
        <v>276</v>
      </c>
      <c r="L791" s="28" t="s">
        <v>94</v>
      </c>
      <c r="M791" s="84" t="s">
        <v>52</v>
      </c>
      <c r="N791" s="88">
        <v>6500.0</v>
      </c>
      <c r="O791" s="73">
        <f t="shared" si="14"/>
        <v>0.6923076923</v>
      </c>
      <c r="P791" s="89">
        <v>4500.0</v>
      </c>
      <c r="Q791" s="84" t="s">
        <v>52</v>
      </c>
      <c r="R791" s="85" t="s">
        <v>52</v>
      </c>
      <c r="S791" s="85" t="s">
        <v>165</v>
      </c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</row>
    <row r="792" ht="15.75" customHeight="1">
      <c r="A792" s="102">
        <v>1.0909139E7</v>
      </c>
      <c r="B792" s="84"/>
      <c r="C792" s="11" t="s">
        <v>545</v>
      </c>
      <c r="D792" s="84">
        <v>26.0</v>
      </c>
      <c r="E792" s="91">
        <v>31578.0</v>
      </c>
      <c r="F792" s="29" t="s">
        <v>31</v>
      </c>
      <c r="G792" s="97" t="s">
        <v>74</v>
      </c>
      <c r="H792" s="94" t="s">
        <v>304</v>
      </c>
      <c r="I792" s="96" t="s">
        <v>305</v>
      </c>
      <c r="J792" s="25" t="s">
        <v>35</v>
      </c>
      <c r="K792" s="108" t="s">
        <v>306</v>
      </c>
      <c r="L792" s="28" t="s">
        <v>94</v>
      </c>
      <c r="M792" s="111" t="s">
        <v>546</v>
      </c>
      <c r="N792" s="40">
        <v>6500.0</v>
      </c>
      <c r="O792" s="73">
        <f t="shared" si="14"/>
        <v>0.6538461538</v>
      </c>
      <c r="P792" s="39">
        <v>4250.0</v>
      </c>
      <c r="Q792" s="84" t="s">
        <v>39</v>
      </c>
      <c r="R792" s="85">
        <v>1441489.0</v>
      </c>
      <c r="S792" s="85" t="s">
        <v>40</v>
      </c>
      <c r="T792" s="90">
        <v>5798743.0</v>
      </c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</row>
    <row r="793" ht="15.75" customHeight="1">
      <c r="A793" s="104">
        <v>1.0913846E7</v>
      </c>
      <c r="B793" s="94"/>
      <c r="C793" s="11" t="s">
        <v>544</v>
      </c>
      <c r="D793" s="94">
        <v>26.0</v>
      </c>
      <c r="E793" s="26">
        <v>33.43</v>
      </c>
      <c r="F793" s="29" t="s">
        <v>31</v>
      </c>
      <c r="G793" s="100" t="s">
        <v>74</v>
      </c>
      <c r="H793" s="12" t="s">
        <v>262</v>
      </c>
      <c r="I793" s="39" t="s">
        <v>263</v>
      </c>
      <c r="J793" s="25" t="s">
        <v>35</v>
      </c>
      <c r="K793" s="25" t="s">
        <v>264</v>
      </c>
      <c r="L793" s="28" t="s">
        <v>59</v>
      </c>
      <c r="M793" s="85" t="s">
        <v>547</v>
      </c>
      <c r="N793" s="88">
        <v>5008.0</v>
      </c>
      <c r="O793" s="73">
        <f t="shared" si="14"/>
        <v>0.732028754</v>
      </c>
      <c r="P793" s="89">
        <v>3666.0</v>
      </c>
      <c r="Q793" s="84" t="s">
        <v>39</v>
      </c>
      <c r="R793" s="84">
        <v>1447042.0</v>
      </c>
      <c r="S793" s="85" t="s">
        <v>40</v>
      </c>
      <c r="T793" s="90">
        <v>5824600.0</v>
      </c>
      <c r="U793" s="84" t="s">
        <v>548</v>
      </c>
      <c r="V793" s="84"/>
      <c r="W793" s="12"/>
      <c r="X793" s="112">
        <v>45302.208333333336</v>
      </c>
      <c r="Y793" s="112">
        <v>45302.291666666664</v>
      </c>
      <c r="Z793" s="113">
        <v>45302.625</v>
      </c>
      <c r="AA793" s="12"/>
      <c r="AB793" s="84">
        <v>733779.0</v>
      </c>
      <c r="AC793" s="84" t="s">
        <v>549</v>
      </c>
      <c r="AD793" s="12"/>
      <c r="AE793" s="107" t="s">
        <v>39</v>
      </c>
      <c r="AF793" s="1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</row>
    <row r="794" ht="15.75" customHeight="1">
      <c r="A794" s="104">
        <v>1.0917587E7</v>
      </c>
      <c r="B794" s="94"/>
      <c r="C794" s="11" t="s">
        <v>544</v>
      </c>
      <c r="D794" s="94">
        <v>26.0</v>
      </c>
      <c r="E794" s="26">
        <v>31625.0</v>
      </c>
      <c r="F794" s="29" t="s">
        <v>31</v>
      </c>
      <c r="G794" s="109" t="s">
        <v>74</v>
      </c>
      <c r="H794" s="12" t="s">
        <v>262</v>
      </c>
      <c r="I794" s="39" t="s">
        <v>263</v>
      </c>
      <c r="J794" s="12" t="s">
        <v>35</v>
      </c>
      <c r="K794" s="12" t="s">
        <v>264</v>
      </c>
      <c r="L794" s="28" t="s">
        <v>59</v>
      </c>
      <c r="M794" s="85" t="s">
        <v>550</v>
      </c>
      <c r="N794" s="40">
        <v>4650.0</v>
      </c>
      <c r="O794" s="73">
        <f t="shared" si="14"/>
        <v>0.7883870968</v>
      </c>
      <c r="P794" s="89">
        <v>3666.0</v>
      </c>
      <c r="Q794" s="84" t="s">
        <v>39</v>
      </c>
      <c r="R794" s="85">
        <v>1446846.0</v>
      </c>
      <c r="S794" s="85" t="s">
        <v>40</v>
      </c>
      <c r="T794" s="90">
        <v>5823326.0</v>
      </c>
      <c r="U794" s="84" t="s">
        <v>548</v>
      </c>
      <c r="V794" s="84"/>
      <c r="W794" s="12"/>
      <c r="X794" s="112">
        <v>45302.208333333336</v>
      </c>
      <c r="Y794" s="112">
        <v>45302.291666666664</v>
      </c>
      <c r="Z794" s="112">
        <v>45302.291666666664</v>
      </c>
      <c r="AA794" s="12"/>
      <c r="AB794" s="84" t="s">
        <v>551</v>
      </c>
      <c r="AC794" s="84" t="s">
        <v>552</v>
      </c>
      <c r="AD794" s="12"/>
      <c r="AE794" s="107" t="s">
        <v>39</v>
      </c>
      <c r="AF794" s="1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</row>
    <row r="795" ht="15.75" customHeight="1">
      <c r="A795" s="114">
        <v>1.0920401E7</v>
      </c>
      <c r="B795" s="115">
        <v>1.001521753E9</v>
      </c>
      <c r="C795" s="11">
        <v>45423.0</v>
      </c>
      <c r="D795" s="84">
        <v>26.0</v>
      </c>
      <c r="E795" s="93">
        <v>31.625</v>
      </c>
      <c r="F795" s="29" t="s">
        <v>31</v>
      </c>
      <c r="G795" s="29" t="s">
        <v>74</v>
      </c>
      <c r="H795" s="12" t="s">
        <v>447</v>
      </c>
      <c r="I795" s="39" t="s">
        <v>448</v>
      </c>
      <c r="J795" s="25" t="s">
        <v>35</v>
      </c>
      <c r="K795" s="25" t="s">
        <v>332</v>
      </c>
      <c r="L795" s="28" t="s">
        <v>188</v>
      </c>
      <c r="M795" s="116" t="s">
        <v>128</v>
      </c>
      <c r="N795" s="88">
        <v>2990.0</v>
      </c>
      <c r="O795" s="73">
        <f t="shared" si="14"/>
        <v>0.6989966555</v>
      </c>
      <c r="P795" s="89">
        <v>2090.0</v>
      </c>
      <c r="Q795" s="84" t="s">
        <v>39</v>
      </c>
      <c r="R795" s="117">
        <v>1450450.0</v>
      </c>
      <c r="S795" s="85" t="s">
        <v>40</v>
      </c>
      <c r="T795" s="90">
        <v>5841114.0</v>
      </c>
      <c r="U795" s="112">
        <v>45423.458333333336</v>
      </c>
      <c r="V795" s="12"/>
      <c r="W795" s="12"/>
      <c r="X795" s="112">
        <v>45454.25</v>
      </c>
      <c r="Y795" s="112">
        <v>45423.75</v>
      </c>
      <c r="Z795" s="112">
        <v>45423.791666666664</v>
      </c>
      <c r="AA795" s="12"/>
      <c r="AB795" s="12"/>
      <c r="AC795" s="12"/>
      <c r="AD795" s="12"/>
      <c r="AE795" s="107" t="s">
        <v>39</v>
      </c>
      <c r="AF795" s="1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</row>
    <row r="796" ht="15.75" customHeight="1">
      <c r="A796" s="103">
        <v>1.0925981E7</v>
      </c>
      <c r="B796" s="84">
        <v>1.001527204E9</v>
      </c>
      <c r="C796" s="11">
        <v>45393.0</v>
      </c>
      <c r="D796" s="84">
        <v>26.0</v>
      </c>
      <c r="E796" s="93">
        <v>31.922</v>
      </c>
      <c r="F796" s="84" t="s">
        <v>31</v>
      </c>
      <c r="G796" s="85" t="s">
        <v>44</v>
      </c>
      <c r="H796" s="12" t="s">
        <v>268</v>
      </c>
      <c r="I796" s="25" t="s">
        <v>397</v>
      </c>
      <c r="J796" s="25" t="s">
        <v>35</v>
      </c>
      <c r="K796" s="12" t="s">
        <v>270</v>
      </c>
      <c r="L796" s="28" t="s">
        <v>94</v>
      </c>
      <c r="M796" s="85" t="s">
        <v>553</v>
      </c>
      <c r="N796" s="40">
        <v>6200.0</v>
      </c>
      <c r="O796" s="17">
        <f t="shared" ref="O796:O797" si="15">IFERROR(P796/N796,0)</f>
        <v>0.6909677419</v>
      </c>
      <c r="P796" s="89">
        <v>4284.0</v>
      </c>
      <c r="Q796" s="84" t="s">
        <v>39</v>
      </c>
      <c r="R796" s="85">
        <v>1449611.0</v>
      </c>
      <c r="S796" s="85" t="s">
        <v>40</v>
      </c>
      <c r="T796" s="90">
        <v>5836119.0</v>
      </c>
      <c r="U796" s="112">
        <v>45393.708333333336</v>
      </c>
      <c r="V796" s="12"/>
      <c r="W796" s="12"/>
      <c r="X796" s="12"/>
      <c r="Y796" s="112">
        <v>45454.458333333336</v>
      </c>
      <c r="Z796" s="112">
        <v>45454.625</v>
      </c>
      <c r="AA796" s="12"/>
      <c r="AB796" s="12"/>
      <c r="AC796" s="12"/>
      <c r="AD796" s="12"/>
      <c r="AE796" s="107" t="s">
        <v>39</v>
      </c>
      <c r="AF796" s="1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</row>
    <row r="797" ht="15.75" customHeight="1">
      <c r="A797" s="103">
        <v>1.0925982E7</v>
      </c>
      <c r="B797" s="84">
        <v>1.001527224E9</v>
      </c>
      <c r="C797" s="11">
        <v>45333.0</v>
      </c>
      <c r="D797" s="84">
        <v>26.0</v>
      </c>
      <c r="E797" s="93">
        <v>31.922</v>
      </c>
      <c r="F797" s="84" t="s">
        <v>31</v>
      </c>
      <c r="G797" s="93" t="s">
        <v>44</v>
      </c>
      <c r="H797" s="29" t="s">
        <v>268</v>
      </c>
      <c r="I797" s="29" t="s">
        <v>397</v>
      </c>
      <c r="J797" s="25" t="s">
        <v>35</v>
      </c>
      <c r="K797" s="29" t="s">
        <v>270</v>
      </c>
      <c r="L797" s="28" t="s">
        <v>94</v>
      </c>
      <c r="M797" s="85" t="s">
        <v>550</v>
      </c>
      <c r="N797" s="40">
        <v>6200.0</v>
      </c>
      <c r="O797" s="17">
        <f t="shared" si="15"/>
        <v>0.6209677419</v>
      </c>
      <c r="P797" s="89">
        <v>3850.0</v>
      </c>
      <c r="Q797" s="84" t="s">
        <v>39</v>
      </c>
      <c r="R797" s="85">
        <v>1448677.0</v>
      </c>
      <c r="S797" s="85" t="s">
        <v>40</v>
      </c>
      <c r="T797" s="90">
        <v>5833387.0</v>
      </c>
      <c r="U797" s="112">
        <v>45333.666666666664</v>
      </c>
      <c r="V797" s="12"/>
      <c r="W797" s="12"/>
      <c r="X797" s="12"/>
      <c r="Y797" s="12"/>
      <c r="Z797" s="12"/>
      <c r="AA797" s="12"/>
      <c r="AB797" s="12"/>
      <c r="AC797" s="12"/>
      <c r="AD797" s="12"/>
      <c r="AE797" s="107" t="s">
        <v>39</v>
      </c>
      <c r="AF797" s="1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</row>
    <row r="798" ht="15.75" customHeight="1">
      <c r="A798" s="103">
        <v>1.092847E7</v>
      </c>
      <c r="B798" s="84">
        <v>1.001527666E9</v>
      </c>
      <c r="C798" s="11">
        <v>45484.0</v>
      </c>
      <c r="D798" s="84">
        <v>26.0</v>
      </c>
      <c r="E798" s="93">
        <v>31.625</v>
      </c>
      <c r="F798" s="29" t="s">
        <v>31</v>
      </c>
      <c r="G798" s="25" t="s">
        <v>74</v>
      </c>
      <c r="H798" s="29" t="s">
        <v>447</v>
      </c>
      <c r="I798" s="39" t="s">
        <v>448</v>
      </c>
      <c r="J798" s="25" t="s">
        <v>35</v>
      </c>
      <c r="K798" s="12" t="s">
        <v>332</v>
      </c>
      <c r="L798" s="28" t="s">
        <v>188</v>
      </c>
      <c r="M798" s="85" t="s">
        <v>554</v>
      </c>
      <c r="N798" s="88">
        <v>2990.0</v>
      </c>
      <c r="O798" s="73">
        <f>IFERROR(P798/N798,0)</f>
        <v>0.4324414716</v>
      </c>
      <c r="P798" s="89">
        <v>1293.0</v>
      </c>
      <c r="Q798" s="84" t="s">
        <v>39</v>
      </c>
      <c r="R798" s="117">
        <v>1452675.0</v>
      </c>
      <c r="S798" s="85" t="s">
        <v>40</v>
      </c>
      <c r="T798" s="90">
        <v>5853181.0</v>
      </c>
      <c r="U798" s="112">
        <v>45484.625</v>
      </c>
      <c r="V798" s="12"/>
      <c r="W798" s="12"/>
      <c r="X798" s="113">
        <v>45515.25</v>
      </c>
      <c r="Y798" s="112">
        <v>45515.375</v>
      </c>
      <c r="Z798" s="112">
        <v>45515.833333333336</v>
      </c>
      <c r="AA798" s="12"/>
      <c r="AB798" s="12"/>
      <c r="AC798" s="12"/>
      <c r="AD798" s="12"/>
      <c r="AE798" s="107" t="s">
        <v>39</v>
      </c>
      <c r="AF798" s="1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</row>
    <row r="799" ht="15.75" customHeight="1">
      <c r="A799" s="103">
        <v>1.0929953E7</v>
      </c>
      <c r="B799" s="84">
        <v>1.001528249E9</v>
      </c>
      <c r="C799" s="11">
        <v>45423.0</v>
      </c>
      <c r="D799" s="84">
        <v>26.0</v>
      </c>
      <c r="E799" s="91">
        <v>30847.0</v>
      </c>
      <c r="F799" s="38" t="s">
        <v>43</v>
      </c>
      <c r="G799" s="25" t="s">
        <v>32</v>
      </c>
      <c r="H799" s="29" t="s">
        <v>265</v>
      </c>
      <c r="I799" s="39" t="s">
        <v>266</v>
      </c>
      <c r="J799" s="25" t="s">
        <v>35</v>
      </c>
      <c r="K799" s="12" t="s">
        <v>267</v>
      </c>
      <c r="L799" s="28" t="s">
        <v>114</v>
      </c>
      <c r="M799" s="85" t="s">
        <v>555</v>
      </c>
      <c r="N799" s="88">
        <v>5460.0</v>
      </c>
      <c r="O799" s="17">
        <f t="shared" ref="O799:O800" si="16">IFERROR(P799/N799,0)</f>
        <v>0.3580586081</v>
      </c>
      <c r="P799" s="89">
        <v>1955.0</v>
      </c>
      <c r="Q799" s="84" t="s">
        <v>39</v>
      </c>
      <c r="R799" s="117">
        <v>1450444.0</v>
      </c>
      <c r="S799" s="85" t="s">
        <v>40</v>
      </c>
      <c r="T799" s="90">
        <v>5841063.0</v>
      </c>
      <c r="U799" s="112">
        <v>45423.583333333336</v>
      </c>
      <c r="V799" s="12"/>
      <c r="W799" s="12"/>
      <c r="X799" s="12"/>
      <c r="Y799" s="112">
        <v>45484.583333333336</v>
      </c>
      <c r="Z799" s="112">
        <v>45484.666666666664</v>
      </c>
      <c r="AA799" s="12"/>
      <c r="AB799" s="12"/>
      <c r="AC799" s="12"/>
      <c r="AD799" s="12"/>
      <c r="AE799" s="107" t="s">
        <v>39</v>
      </c>
      <c r="AF799" s="1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</row>
    <row r="800" ht="15.75" customHeight="1">
      <c r="A800" s="103">
        <v>1.0929954E7</v>
      </c>
      <c r="B800" s="84">
        <v>1.00152824E9</v>
      </c>
      <c r="C800" s="11">
        <v>45423.0</v>
      </c>
      <c r="D800" s="84">
        <v>7.0</v>
      </c>
      <c r="E800" s="91">
        <v>13431.0</v>
      </c>
      <c r="F800" s="38" t="s">
        <v>43</v>
      </c>
      <c r="G800" s="29" t="s">
        <v>32</v>
      </c>
      <c r="H800" s="12" t="s">
        <v>556</v>
      </c>
      <c r="I800" s="39" t="s">
        <v>266</v>
      </c>
      <c r="J800" s="25" t="s">
        <v>267</v>
      </c>
      <c r="K800" s="25" t="s">
        <v>35</v>
      </c>
      <c r="L800" s="28" t="s">
        <v>43</v>
      </c>
      <c r="M800" s="85" t="s">
        <v>555</v>
      </c>
      <c r="N800" s="88">
        <v>4360.0</v>
      </c>
      <c r="O800" s="17">
        <f t="shared" si="16"/>
        <v>0.455733945</v>
      </c>
      <c r="P800" s="89">
        <v>1987.0</v>
      </c>
      <c r="Q800" s="84" t="s">
        <v>39</v>
      </c>
      <c r="R800" s="118">
        <v>1452679.0</v>
      </c>
      <c r="S800" s="85" t="s">
        <v>40</v>
      </c>
      <c r="T800" s="90">
        <v>5853186.0</v>
      </c>
      <c r="U800" s="112">
        <v>45484.666666666664</v>
      </c>
      <c r="V800" s="12"/>
      <c r="W800" s="12"/>
      <c r="X800" s="12"/>
      <c r="Y800" s="112">
        <v>45576.333333333336</v>
      </c>
      <c r="Z800" s="113">
        <v>45607.166666666664</v>
      </c>
      <c r="AA800" s="12"/>
      <c r="AB800" s="84">
        <v>739545.0</v>
      </c>
      <c r="AC800" s="84" t="s">
        <v>557</v>
      </c>
      <c r="AD800" s="12"/>
      <c r="AE800" s="107" t="s">
        <v>39</v>
      </c>
      <c r="AF800" s="1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</row>
    <row r="801" ht="15.75" customHeight="1">
      <c r="A801" s="103">
        <v>1.0932124E7</v>
      </c>
      <c r="B801" s="84">
        <v>1.001529882E9</v>
      </c>
      <c r="C801" s="11">
        <v>45546.0</v>
      </c>
      <c r="D801" s="84">
        <v>26.0</v>
      </c>
      <c r="E801" s="93">
        <v>31.625</v>
      </c>
      <c r="F801" s="29" t="s">
        <v>31</v>
      </c>
      <c r="G801" s="25" t="s">
        <v>74</v>
      </c>
      <c r="H801" s="29" t="s">
        <v>447</v>
      </c>
      <c r="I801" s="39" t="s">
        <v>448</v>
      </c>
      <c r="J801" s="25" t="s">
        <v>35</v>
      </c>
      <c r="K801" s="12" t="s">
        <v>332</v>
      </c>
      <c r="L801" s="28" t="s">
        <v>188</v>
      </c>
      <c r="M801" s="85" t="s">
        <v>554</v>
      </c>
      <c r="N801" s="88">
        <v>2990.0</v>
      </c>
      <c r="O801" s="73">
        <f>IFERROR(P801/N801,0)</f>
        <v>0.4963210702</v>
      </c>
      <c r="P801" s="89">
        <v>1484.0</v>
      </c>
      <c r="Q801" s="84" t="s">
        <v>39</v>
      </c>
      <c r="R801" s="85">
        <v>1454256.0</v>
      </c>
      <c r="S801" s="85" t="s">
        <v>40</v>
      </c>
      <c r="T801" s="90">
        <v>5862252.0</v>
      </c>
      <c r="U801" s="112">
        <v>45546.333333333336</v>
      </c>
      <c r="V801" s="12"/>
      <c r="W801" s="12"/>
      <c r="X801" s="113">
        <v>45607.25</v>
      </c>
      <c r="Y801" s="112">
        <v>45607.28125</v>
      </c>
      <c r="Z801" s="113">
        <v>45607.666666666664</v>
      </c>
      <c r="AA801" s="12"/>
      <c r="AB801" s="12"/>
      <c r="AC801" s="12"/>
      <c r="AD801" s="12"/>
      <c r="AE801" s="107" t="s">
        <v>39</v>
      </c>
      <c r="AF801" s="1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</row>
    <row r="802" ht="15.75" customHeight="1">
      <c r="A802" s="103">
        <v>1.0937188E7</v>
      </c>
      <c r="B802" s="84">
        <v>1.001536574E9</v>
      </c>
      <c r="C802" s="11">
        <v>45607.0</v>
      </c>
      <c r="D802" s="84">
        <v>26.0</v>
      </c>
      <c r="E802" s="93">
        <v>31.922</v>
      </c>
      <c r="F802" s="29" t="s">
        <v>31</v>
      </c>
      <c r="G802" s="25" t="s">
        <v>74</v>
      </c>
      <c r="H802" s="12" t="s">
        <v>318</v>
      </c>
      <c r="I802" s="85" t="s">
        <v>558</v>
      </c>
      <c r="J802" s="12" t="s">
        <v>35</v>
      </c>
      <c r="K802" s="12" t="s">
        <v>320</v>
      </c>
      <c r="L802" s="28" t="s">
        <v>94</v>
      </c>
      <c r="M802" s="85" t="s">
        <v>559</v>
      </c>
      <c r="N802" s="88">
        <v>6700.0</v>
      </c>
      <c r="O802" s="73">
        <f t="shared" ref="O802:O804" si="17">IFERROR(P802/N802,0)</f>
        <v>0.2608955224</v>
      </c>
      <c r="P802" s="89">
        <v>1748.0</v>
      </c>
      <c r="Q802" s="84" t="s">
        <v>39</v>
      </c>
      <c r="R802" s="85">
        <v>1455533.0</v>
      </c>
      <c r="S802" s="85" t="s">
        <v>40</v>
      </c>
      <c r="T802" s="90">
        <v>5866063.0</v>
      </c>
      <c r="U802" s="113">
        <v>45607.458333333336</v>
      </c>
      <c r="V802" s="12"/>
      <c r="W802" s="12"/>
      <c r="X802" s="84" t="s">
        <v>560</v>
      </c>
      <c r="Y802" s="84" t="s">
        <v>560</v>
      </c>
      <c r="Z802" s="84" t="s">
        <v>561</v>
      </c>
      <c r="AA802" s="12"/>
      <c r="AB802" s="84">
        <v>742087.0</v>
      </c>
      <c r="AC802" s="12"/>
      <c r="AD802" s="12"/>
      <c r="AE802" s="107" t="s">
        <v>39</v>
      </c>
      <c r="AF802" s="1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</row>
    <row r="803" ht="15.75" customHeight="1">
      <c r="A803" s="103">
        <v>1.0939807E7</v>
      </c>
      <c r="B803" s="84">
        <v>1.001539001E9</v>
      </c>
      <c r="C803" s="11">
        <v>45637.0</v>
      </c>
      <c r="D803" s="84">
        <v>26.0</v>
      </c>
      <c r="E803" s="93">
        <v>31.922</v>
      </c>
      <c r="F803" s="29" t="s">
        <v>31</v>
      </c>
      <c r="G803" s="25" t="s">
        <v>74</v>
      </c>
      <c r="H803" s="12" t="s">
        <v>318</v>
      </c>
      <c r="I803" s="85" t="s">
        <v>558</v>
      </c>
      <c r="J803" s="12" t="s">
        <v>35</v>
      </c>
      <c r="K803" s="12" t="s">
        <v>320</v>
      </c>
      <c r="L803" s="28" t="s">
        <v>94</v>
      </c>
      <c r="M803" s="85" t="s">
        <v>441</v>
      </c>
      <c r="N803" s="88">
        <v>6700.0</v>
      </c>
      <c r="O803" s="73">
        <f t="shared" si="17"/>
        <v>0.2608955224</v>
      </c>
      <c r="P803" s="89">
        <v>1748.0</v>
      </c>
      <c r="Q803" s="84" t="s">
        <v>39</v>
      </c>
      <c r="R803" s="85">
        <v>1456766.0</v>
      </c>
      <c r="S803" s="85" t="s">
        <v>40</v>
      </c>
      <c r="T803" s="119">
        <v>5873153.0</v>
      </c>
      <c r="U803" s="12"/>
      <c r="V803" s="12"/>
      <c r="W803" s="12"/>
      <c r="X803" s="84" t="s">
        <v>562</v>
      </c>
      <c r="Y803" s="84" t="s">
        <v>563</v>
      </c>
      <c r="Z803" s="84" t="s">
        <v>564</v>
      </c>
      <c r="AA803" s="12"/>
      <c r="AB803" s="84">
        <v>742803.0</v>
      </c>
      <c r="AC803" s="12"/>
      <c r="AD803" s="12"/>
      <c r="AE803" s="107" t="s">
        <v>39</v>
      </c>
      <c r="AF803" s="1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</row>
    <row r="804" ht="15.75" customHeight="1">
      <c r="A804" s="103">
        <v>1.0940752E7</v>
      </c>
      <c r="B804" s="84">
        <v>1.001540885E9</v>
      </c>
      <c r="C804" s="11">
        <v>45637.0</v>
      </c>
      <c r="D804" s="84">
        <v>26.0</v>
      </c>
      <c r="E804" s="93">
        <v>31.917</v>
      </c>
      <c r="F804" s="85" t="s">
        <v>31</v>
      </c>
      <c r="G804" s="93" t="s">
        <v>44</v>
      </c>
      <c r="H804" s="12" t="s">
        <v>268</v>
      </c>
      <c r="I804" s="29" t="s">
        <v>397</v>
      </c>
      <c r="J804" s="12" t="s">
        <v>35</v>
      </c>
      <c r="K804" s="12" t="s">
        <v>270</v>
      </c>
      <c r="L804" s="28" t="s">
        <v>94</v>
      </c>
      <c r="M804" s="85" t="s">
        <v>555</v>
      </c>
      <c r="N804" s="40">
        <v>6200.0</v>
      </c>
      <c r="O804" s="17">
        <f t="shared" si="17"/>
        <v>0.3119354839</v>
      </c>
      <c r="P804" s="89">
        <v>1934.0</v>
      </c>
      <c r="Q804" s="84" t="s">
        <v>39</v>
      </c>
      <c r="R804" s="85">
        <v>1456501.0</v>
      </c>
      <c r="S804" s="85" t="s">
        <v>40</v>
      </c>
      <c r="T804" s="90">
        <v>5871769.0</v>
      </c>
      <c r="U804" s="12"/>
      <c r="V804" s="12"/>
      <c r="W804" s="12"/>
      <c r="X804" s="12"/>
      <c r="Y804" s="84" t="s">
        <v>565</v>
      </c>
      <c r="Z804" s="84" t="s">
        <v>566</v>
      </c>
      <c r="AA804" s="12"/>
      <c r="AB804" s="12"/>
      <c r="AC804" s="12"/>
      <c r="AD804" s="12"/>
      <c r="AE804" s="107" t="s">
        <v>39</v>
      </c>
      <c r="AF804" s="1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</row>
    <row r="805" ht="15.75" customHeight="1">
      <c r="A805" s="103">
        <v>1.0961677E7</v>
      </c>
      <c r="B805" s="84">
        <v>1.00155951E9</v>
      </c>
      <c r="C805" s="11" t="s">
        <v>567</v>
      </c>
      <c r="D805" s="84">
        <v>26.0</v>
      </c>
      <c r="E805" s="93">
        <v>32.553</v>
      </c>
      <c r="F805" s="38" t="s">
        <v>43</v>
      </c>
      <c r="G805" s="25" t="s">
        <v>44</v>
      </c>
      <c r="H805" s="25" t="s">
        <v>45</v>
      </c>
      <c r="I805" s="25" t="s">
        <v>46</v>
      </c>
      <c r="J805" s="55" t="s">
        <v>35</v>
      </c>
      <c r="K805" s="55" t="s">
        <v>47</v>
      </c>
      <c r="L805" s="28" t="s">
        <v>48</v>
      </c>
      <c r="M805" s="85" t="s">
        <v>568</v>
      </c>
      <c r="N805" s="88">
        <v>2402.4</v>
      </c>
      <c r="O805" s="73">
        <f t="shared" ref="O805:O847" si="18">IFERROR(P805/N805,0)</f>
        <v>0.7076257076</v>
      </c>
      <c r="P805" s="89">
        <v>1700.0</v>
      </c>
      <c r="Q805" s="84" t="s">
        <v>39</v>
      </c>
      <c r="R805" s="85">
        <v>1463425.0</v>
      </c>
      <c r="S805" s="85" t="s">
        <v>40</v>
      </c>
      <c r="T805" s="90">
        <v>5904741.0</v>
      </c>
      <c r="U805" s="12"/>
      <c r="V805" s="12"/>
      <c r="W805" s="12"/>
      <c r="X805" s="12"/>
      <c r="Y805" s="84" t="s">
        <v>569</v>
      </c>
      <c r="Z805" s="84" t="s">
        <v>570</v>
      </c>
      <c r="AA805" s="12"/>
      <c r="AB805" s="84" t="s">
        <v>571</v>
      </c>
      <c r="AC805" s="84" t="s">
        <v>572</v>
      </c>
      <c r="AD805" s="12"/>
      <c r="AE805" s="107" t="s">
        <v>39</v>
      </c>
      <c r="AF805" s="1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</row>
    <row r="806" ht="15.75" customHeight="1">
      <c r="A806" s="103">
        <v>1.0961709E7</v>
      </c>
      <c r="B806" s="84">
        <v>1.001559448E9</v>
      </c>
      <c r="C806" s="11" t="s">
        <v>573</v>
      </c>
      <c r="D806" s="84">
        <v>26.0</v>
      </c>
      <c r="E806" s="93">
        <v>32.553</v>
      </c>
      <c r="F806" s="38" t="s">
        <v>43</v>
      </c>
      <c r="G806" s="25" t="s">
        <v>44</v>
      </c>
      <c r="H806" s="25" t="s">
        <v>45</v>
      </c>
      <c r="I806" s="29" t="s">
        <v>46</v>
      </c>
      <c r="J806" s="55" t="s">
        <v>35</v>
      </c>
      <c r="K806" s="55" t="s">
        <v>47</v>
      </c>
      <c r="L806" s="28" t="s">
        <v>48</v>
      </c>
      <c r="M806" s="85" t="s">
        <v>554</v>
      </c>
      <c r="N806" s="88">
        <v>2402.4</v>
      </c>
      <c r="O806" s="73">
        <f t="shared" si="18"/>
        <v>0.3396603397</v>
      </c>
      <c r="P806" s="89">
        <v>816.0</v>
      </c>
      <c r="Q806" s="84" t="s">
        <v>39</v>
      </c>
      <c r="R806" s="85">
        <v>1462210.0</v>
      </c>
      <c r="S806" s="85" t="s">
        <v>40</v>
      </c>
      <c r="T806" s="90">
        <v>5899239.0</v>
      </c>
      <c r="U806" s="12"/>
      <c r="V806" s="12"/>
      <c r="W806" s="12"/>
      <c r="X806" s="12"/>
      <c r="Y806" s="84" t="s">
        <v>574</v>
      </c>
      <c r="Z806" s="84" t="s">
        <v>575</v>
      </c>
      <c r="AA806" s="12"/>
      <c r="AB806" s="84" t="s">
        <v>576</v>
      </c>
      <c r="AC806" s="84" t="s">
        <v>577</v>
      </c>
      <c r="AD806" s="12"/>
      <c r="AE806" s="107" t="s">
        <v>39</v>
      </c>
      <c r="AF806" s="1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</row>
    <row r="807" ht="15.75" customHeight="1">
      <c r="A807" s="103">
        <v>1.096171E7</v>
      </c>
      <c r="B807" s="84">
        <v>1.001559594E9</v>
      </c>
      <c r="C807" s="11" t="s">
        <v>573</v>
      </c>
      <c r="D807" s="84" t="s">
        <v>52</v>
      </c>
      <c r="E807" s="93" t="s">
        <v>52</v>
      </c>
      <c r="F807" s="38" t="s">
        <v>43</v>
      </c>
      <c r="G807" s="25" t="s">
        <v>44</v>
      </c>
      <c r="H807" s="84" t="s">
        <v>578</v>
      </c>
      <c r="I807" s="29" t="s">
        <v>46</v>
      </c>
      <c r="J807" s="14" t="s">
        <v>47</v>
      </c>
      <c r="K807" s="14" t="s">
        <v>35</v>
      </c>
      <c r="L807" s="28" t="s">
        <v>48</v>
      </c>
      <c r="M807" s="89" t="s">
        <v>579</v>
      </c>
      <c r="N807" s="88">
        <v>1601.6</v>
      </c>
      <c r="O807" s="73">
        <f t="shared" si="18"/>
        <v>0</v>
      </c>
      <c r="P807" s="89" t="s">
        <v>52</v>
      </c>
      <c r="Q807" s="84" t="s">
        <v>52</v>
      </c>
      <c r="R807" s="85" t="s">
        <v>580</v>
      </c>
      <c r="S807" s="85" t="s">
        <v>131</v>
      </c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84" t="s">
        <v>52</v>
      </c>
      <c r="AF807" s="1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</row>
    <row r="808" ht="15.75" customHeight="1">
      <c r="A808" s="103">
        <v>1.0961711E7</v>
      </c>
      <c r="B808" s="84">
        <v>1.001559522E9</v>
      </c>
      <c r="C808" s="11" t="s">
        <v>567</v>
      </c>
      <c r="D808" s="84" t="s">
        <v>52</v>
      </c>
      <c r="E808" s="93" t="s">
        <v>52</v>
      </c>
      <c r="F808" s="38" t="s">
        <v>43</v>
      </c>
      <c r="G808" s="25" t="s">
        <v>44</v>
      </c>
      <c r="H808" s="12" t="s">
        <v>581</v>
      </c>
      <c r="I808" s="29" t="s">
        <v>46</v>
      </c>
      <c r="J808" s="14" t="s">
        <v>47</v>
      </c>
      <c r="K808" s="14" t="s">
        <v>35</v>
      </c>
      <c r="L808" s="28" t="s">
        <v>48</v>
      </c>
      <c r="M808" s="85" t="s">
        <v>568</v>
      </c>
      <c r="N808" s="88">
        <v>1601.6</v>
      </c>
      <c r="O808" s="73">
        <f t="shared" si="18"/>
        <v>0.4370629371</v>
      </c>
      <c r="P808" s="89">
        <v>700.0</v>
      </c>
      <c r="Q808" s="12"/>
      <c r="R808" s="85">
        <v>1465435.0</v>
      </c>
      <c r="S808" s="85" t="s">
        <v>40</v>
      </c>
      <c r="T808" s="90">
        <v>5913053.0</v>
      </c>
      <c r="U808" s="12"/>
      <c r="V808" s="12"/>
      <c r="W808" s="12"/>
      <c r="X808" s="12"/>
      <c r="Y808" s="84" t="s">
        <v>582</v>
      </c>
      <c r="Z808" s="84" t="s">
        <v>583</v>
      </c>
      <c r="AA808" s="12"/>
      <c r="AB808" s="84">
        <v>748039.0</v>
      </c>
      <c r="AC808" s="84" t="s">
        <v>584</v>
      </c>
      <c r="AD808" s="12"/>
      <c r="AE808" s="107" t="s">
        <v>39</v>
      </c>
      <c r="AF808" s="1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</row>
    <row r="809" ht="15.75" customHeight="1">
      <c r="A809" s="103">
        <v>1.0968118E7</v>
      </c>
      <c r="B809" s="84">
        <v>1.001567562E9</v>
      </c>
      <c r="C809" s="11" t="s">
        <v>585</v>
      </c>
      <c r="D809" s="84">
        <v>26.0</v>
      </c>
      <c r="E809" s="93">
        <v>30.963</v>
      </c>
      <c r="F809" s="38" t="s">
        <v>43</v>
      </c>
      <c r="G809" s="93" t="s">
        <v>44</v>
      </c>
      <c r="H809" s="12" t="s">
        <v>268</v>
      </c>
      <c r="I809" s="29" t="s">
        <v>397</v>
      </c>
      <c r="J809" s="12" t="s">
        <v>35</v>
      </c>
      <c r="K809" s="12" t="s">
        <v>270</v>
      </c>
      <c r="L809" s="28" t="s">
        <v>94</v>
      </c>
      <c r="M809" s="85" t="s">
        <v>586</v>
      </c>
      <c r="N809" s="88">
        <v>5460.0</v>
      </c>
      <c r="O809" s="73">
        <f t="shared" si="18"/>
        <v>0.3554945055</v>
      </c>
      <c r="P809" s="89">
        <v>1941.0</v>
      </c>
      <c r="Q809" s="84" t="s">
        <v>39</v>
      </c>
      <c r="R809" s="85">
        <v>1464585.0</v>
      </c>
      <c r="S809" s="85" t="s">
        <v>40</v>
      </c>
      <c r="T809" s="90">
        <v>5909151.0</v>
      </c>
      <c r="U809" s="12"/>
      <c r="V809" s="12"/>
      <c r="W809" s="12"/>
      <c r="X809" s="12"/>
      <c r="Y809" s="84" t="s">
        <v>587</v>
      </c>
      <c r="Z809" s="84" t="s">
        <v>588</v>
      </c>
      <c r="AA809" s="12"/>
      <c r="AB809" s="12"/>
      <c r="AC809" s="12"/>
      <c r="AD809" s="12"/>
      <c r="AE809" s="107" t="s">
        <v>39</v>
      </c>
      <c r="AF809" s="1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</row>
    <row r="810" ht="15.75" customHeight="1">
      <c r="A810" s="103">
        <v>1.0968119E7</v>
      </c>
      <c r="B810" s="84">
        <v>1.001567509E9</v>
      </c>
      <c r="C810" s="11" t="s">
        <v>585</v>
      </c>
      <c r="D810" s="84" t="s">
        <v>52</v>
      </c>
      <c r="E810" s="93" t="s">
        <v>52</v>
      </c>
      <c r="F810" s="38" t="s">
        <v>43</v>
      </c>
      <c r="G810" s="93" t="s">
        <v>44</v>
      </c>
      <c r="H810" s="84" t="s">
        <v>589</v>
      </c>
      <c r="I810" s="29" t="s">
        <v>397</v>
      </c>
      <c r="J810" s="12" t="s">
        <v>270</v>
      </c>
      <c r="K810" s="84" t="s">
        <v>35</v>
      </c>
      <c r="L810" s="28" t="s">
        <v>94</v>
      </c>
      <c r="M810" s="85" t="s">
        <v>590</v>
      </c>
      <c r="N810" s="88">
        <v>3463.0</v>
      </c>
      <c r="O810" s="73">
        <f t="shared" si="18"/>
        <v>0.5310424487</v>
      </c>
      <c r="P810" s="89">
        <v>1839.0</v>
      </c>
      <c r="Q810" s="12"/>
      <c r="R810" s="85">
        <v>1467712.0</v>
      </c>
      <c r="S810" s="85" t="s">
        <v>40</v>
      </c>
      <c r="T810" s="90">
        <v>5922884.0</v>
      </c>
      <c r="U810" s="12"/>
      <c r="V810" s="12"/>
      <c r="W810" s="12"/>
      <c r="X810" s="12"/>
      <c r="Y810" s="84" t="s">
        <v>591</v>
      </c>
      <c r="Z810" s="84" t="s">
        <v>592</v>
      </c>
      <c r="AA810" s="12"/>
      <c r="AB810" s="84">
        <v>750540.0</v>
      </c>
      <c r="AC810" s="84" t="s">
        <v>593</v>
      </c>
      <c r="AD810" s="12"/>
      <c r="AE810" s="107" t="s">
        <v>39</v>
      </c>
      <c r="AF810" s="1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</row>
    <row r="811" ht="15.75" customHeight="1">
      <c r="A811" s="103">
        <v>1.0974234E7</v>
      </c>
      <c r="B811" s="84">
        <v>1.001574019E9</v>
      </c>
      <c r="C811" s="11" t="s">
        <v>567</v>
      </c>
      <c r="D811" s="84">
        <v>26.0</v>
      </c>
      <c r="E811" s="93">
        <v>27.033</v>
      </c>
      <c r="F811" s="38" t="s">
        <v>43</v>
      </c>
      <c r="G811" s="25" t="s">
        <v>32</v>
      </c>
      <c r="H811" s="12" t="s">
        <v>265</v>
      </c>
      <c r="I811" s="39" t="s">
        <v>266</v>
      </c>
      <c r="J811" s="12" t="s">
        <v>35</v>
      </c>
      <c r="K811" s="12" t="s">
        <v>267</v>
      </c>
      <c r="L811" s="28" t="s">
        <v>114</v>
      </c>
      <c r="M811" s="85" t="s">
        <v>495</v>
      </c>
      <c r="N811" s="88">
        <v>5460.0</v>
      </c>
      <c r="O811" s="73">
        <f t="shared" si="18"/>
        <v>0.4331501832</v>
      </c>
      <c r="P811" s="89">
        <v>2365.0</v>
      </c>
      <c r="Q811" s="84" t="s">
        <v>39</v>
      </c>
      <c r="R811" s="85">
        <v>1463577.0</v>
      </c>
      <c r="S811" s="85" t="s">
        <v>40</v>
      </c>
      <c r="T811" s="90">
        <v>5905182.0</v>
      </c>
      <c r="U811" s="12"/>
      <c r="V811" s="12"/>
      <c r="W811" s="12"/>
      <c r="X811" s="12"/>
      <c r="Y811" s="84" t="s">
        <v>594</v>
      </c>
      <c r="Z811" s="84" t="s">
        <v>595</v>
      </c>
      <c r="AA811" s="12"/>
      <c r="AB811" s="84" t="s">
        <v>596</v>
      </c>
      <c r="AC811" s="84" t="s">
        <v>577</v>
      </c>
      <c r="AD811" s="12"/>
      <c r="AE811" s="107" t="s">
        <v>39</v>
      </c>
      <c r="AF811" s="1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</row>
    <row r="812" ht="15.75" customHeight="1">
      <c r="A812" s="103">
        <v>1.0974236E7</v>
      </c>
      <c r="B812" s="84">
        <v>1.001574065E9</v>
      </c>
      <c r="C812" s="11" t="s">
        <v>597</v>
      </c>
      <c r="D812" s="84">
        <v>26.0</v>
      </c>
      <c r="E812" s="93">
        <v>32.553</v>
      </c>
      <c r="F812" s="9" t="s">
        <v>43</v>
      </c>
      <c r="G812" s="29" t="s">
        <v>32</v>
      </c>
      <c r="H812" s="29" t="s">
        <v>111</v>
      </c>
      <c r="I812" s="25" t="s">
        <v>112</v>
      </c>
      <c r="J812" s="25" t="s">
        <v>35</v>
      </c>
      <c r="K812" s="12" t="s">
        <v>113</v>
      </c>
      <c r="L812" s="25" t="s">
        <v>114</v>
      </c>
      <c r="M812" s="84" t="s">
        <v>598</v>
      </c>
      <c r="N812" s="88">
        <v>5613.0</v>
      </c>
      <c r="O812" s="73">
        <f t="shared" si="18"/>
        <v>0.3026901835</v>
      </c>
      <c r="P812" s="89">
        <v>1699.0</v>
      </c>
      <c r="Q812" s="85" t="s">
        <v>39</v>
      </c>
      <c r="R812" s="85">
        <v>1466489.0</v>
      </c>
      <c r="S812" s="85" t="s">
        <v>40</v>
      </c>
      <c r="T812" s="90">
        <v>5918451.0</v>
      </c>
      <c r="U812" s="12"/>
      <c r="V812" s="12"/>
      <c r="W812" s="12"/>
      <c r="X812" s="12"/>
      <c r="Y812" s="84" t="s">
        <v>599</v>
      </c>
      <c r="Z812" s="84" t="s">
        <v>600</v>
      </c>
      <c r="AA812" s="12"/>
      <c r="AB812" s="84">
        <v>751940.0</v>
      </c>
      <c r="AC812" s="84" t="s">
        <v>601</v>
      </c>
      <c r="AD812" s="12"/>
      <c r="AE812" s="107" t="s">
        <v>39</v>
      </c>
      <c r="AF812" s="1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</row>
    <row r="813" ht="15.75" customHeight="1">
      <c r="A813" s="103">
        <v>1.0974238E7</v>
      </c>
      <c r="B813" s="84">
        <v>1.001574112E9</v>
      </c>
      <c r="C813" s="11" t="s">
        <v>597</v>
      </c>
      <c r="D813" s="84" t="s">
        <v>52</v>
      </c>
      <c r="E813" s="93" t="s">
        <v>52</v>
      </c>
      <c r="F813" s="9" t="s">
        <v>43</v>
      </c>
      <c r="G813" s="29" t="s">
        <v>32</v>
      </c>
      <c r="H813" s="29" t="s">
        <v>602</v>
      </c>
      <c r="I813" s="25" t="s">
        <v>112</v>
      </c>
      <c r="J813" s="25" t="s">
        <v>113</v>
      </c>
      <c r="K813" s="12" t="s">
        <v>35</v>
      </c>
      <c r="L813" s="25" t="s">
        <v>43</v>
      </c>
      <c r="M813" s="84" t="s">
        <v>603</v>
      </c>
      <c r="N813" s="88">
        <v>3742.0</v>
      </c>
      <c r="O813" s="73">
        <f t="shared" si="18"/>
        <v>0.3487439872</v>
      </c>
      <c r="P813" s="89">
        <v>1305.0</v>
      </c>
      <c r="Q813" s="29"/>
      <c r="R813" s="85">
        <v>1468026.0</v>
      </c>
      <c r="S813" s="85" t="s">
        <v>40</v>
      </c>
      <c r="T813" s="90">
        <v>5924896.0</v>
      </c>
      <c r="U813" s="12"/>
      <c r="V813" s="12"/>
      <c r="W813" s="12"/>
      <c r="X813" s="12"/>
      <c r="Y813" s="84" t="s">
        <v>604</v>
      </c>
      <c r="Z813" s="84" t="s">
        <v>605</v>
      </c>
      <c r="AA813" s="12"/>
      <c r="AB813" s="84"/>
      <c r="AC813" s="12"/>
      <c r="AD813" s="12"/>
      <c r="AE813" s="107" t="s">
        <v>39</v>
      </c>
      <c r="AF813" s="1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</row>
    <row r="814" ht="15.75" customHeight="1">
      <c r="A814" s="103">
        <v>1.0974239E7</v>
      </c>
      <c r="B814" s="84">
        <v>1.001574109E9</v>
      </c>
      <c r="C814" s="11" t="s">
        <v>567</v>
      </c>
      <c r="D814" s="84" t="s">
        <v>52</v>
      </c>
      <c r="E814" s="93" t="s">
        <v>52</v>
      </c>
      <c r="F814" s="38" t="s">
        <v>43</v>
      </c>
      <c r="G814" s="25" t="s">
        <v>32</v>
      </c>
      <c r="H814" s="12" t="s">
        <v>606</v>
      </c>
      <c r="I814" s="39" t="s">
        <v>266</v>
      </c>
      <c r="J814" s="12" t="s">
        <v>267</v>
      </c>
      <c r="K814" s="12" t="s">
        <v>35</v>
      </c>
      <c r="L814" s="28" t="s">
        <v>43</v>
      </c>
      <c r="M814" s="89" t="s">
        <v>579</v>
      </c>
      <c r="N814" s="88">
        <v>4360.0</v>
      </c>
      <c r="O814" s="73">
        <f t="shared" si="18"/>
        <v>0</v>
      </c>
      <c r="P814" s="89" t="s">
        <v>52</v>
      </c>
      <c r="Q814" s="84" t="s">
        <v>52</v>
      </c>
      <c r="R814" s="84" t="s">
        <v>580</v>
      </c>
      <c r="S814" s="85" t="s">
        <v>131</v>
      </c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</row>
    <row r="815" ht="15.75" customHeight="1">
      <c r="A815" s="103">
        <v>1.0981833E7</v>
      </c>
      <c r="B815" s="84">
        <v>1.001580878E9</v>
      </c>
      <c r="C815" s="11" t="s">
        <v>607</v>
      </c>
      <c r="D815" s="84">
        <v>26.0</v>
      </c>
      <c r="E815" s="93">
        <v>32.313</v>
      </c>
      <c r="F815" s="85" t="s">
        <v>31</v>
      </c>
      <c r="G815" s="29" t="s">
        <v>32</v>
      </c>
      <c r="H815" s="12" t="s">
        <v>214</v>
      </c>
      <c r="I815" s="12" t="s">
        <v>215</v>
      </c>
      <c r="J815" s="12" t="s">
        <v>35</v>
      </c>
      <c r="K815" s="84" t="s">
        <v>47</v>
      </c>
      <c r="L815" s="15" t="s">
        <v>48</v>
      </c>
      <c r="M815" s="85" t="s">
        <v>486</v>
      </c>
      <c r="N815" s="88">
        <v>2696.0</v>
      </c>
      <c r="O815" s="73">
        <f t="shared" si="18"/>
        <v>0.1513353116</v>
      </c>
      <c r="P815" s="89">
        <v>408.0</v>
      </c>
      <c r="Q815" s="85" t="s">
        <v>39</v>
      </c>
      <c r="R815" s="85">
        <v>1465807.0</v>
      </c>
      <c r="S815" s="85" t="s">
        <v>40</v>
      </c>
      <c r="T815" s="90">
        <v>5915145.0</v>
      </c>
      <c r="U815" s="12"/>
      <c r="V815" s="12"/>
      <c r="W815" s="12"/>
      <c r="X815" s="12"/>
      <c r="Y815" s="84" t="s">
        <v>608</v>
      </c>
      <c r="Z815" s="84" t="s">
        <v>609</v>
      </c>
      <c r="AA815" s="12"/>
      <c r="AB815" s="84">
        <v>749246.0</v>
      </c>
      <c r="AC815" s="84" t="s">
        <v>610</v>
      </c>
      <c r="AD815" s="12"/>
      <c r="AE815" s="107" t="s">
        <v>39</v>
      </c>
      <c r="AF815" s="1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</row>
    <row r="816" ht="15.75" customHeight="1">
      <c r="A816" s="103">
        <v>1.0987836E7</v>
      </c>
      <c r="B816" s="84">
        <v>1.001589287E9</v>
      </c>
      <c r="C816" s="11" t="s">
        <v>611</v>
      </c>
      <c r="D816" s="84">
        <v>22.0</v>
      </c>
      <c r="E816" s="93">
        <v>27.81</v>
      </c>
      <c r="F816" s="85" t="s">
        <v>31</v>
      </c>
      <c r="G816" s="85" t="s">
        <v>74</v>
      </c>
      <c r="H816" s="84" t="s">
        <v>612</v>
      </c>
      <c r="I816" s="9" t="s">
        <v>613</v>
      </c>
      <c r="J816" s="84" t="s">
        <v>35</v>
      </c>
      <c r="K816" s="84" t="s">
        <v>614</v>
      </c>
      <c r="L816" s="98" t="s">
        <v>94</v>
      </c>
      <c r="M816" s="85" t="s">
        <v>598</v>
      </c>
      <c r="N816" s="88">
        <v>5163.0</v>
      </c>
      <c r="O816" s="73">
        <f t="shared" si="18"/>
        <v>0.2643811737</v>
      </c>
      <c r="P816" s="89">
        <v>1365.0</v>
      </c>
      <c r="Q816" s="85" t="s">
        <v>39</v>
      </c>
      <c r="R816" s="85">
        <v>1470957.0</v>
      </c>
      <c r="S816" s="85" t="s">
        <v>40</v>
      </c>
      <c r="T816" s="90">
        <v>5941832.0</v>
      </c>
      <c r="U816" s="12"/>
      <c r="V816" s="12"/>
      <c r="W816" s="12"/>
      <c r="X816" s="84" t="s">
        <v>615</v>
      </c>
      <c r="Y816" s="112">
        <v>45334.333333333336</v>
      </c>
      <c r="Z816" s="112">
        <v>45455.819444444445</v>
      </c>
      <c r="AA816" s="12"/>
      <c r="AB816" s="84" t="s">
        <v>616</v>
      </c>
      <c r="AC816" s="84" t="s">
        <v>617</v>
      </c>
      <c r="AD816" s="12"/>
      <c r="AE816" s="12"/>
      <c r="AF816" s="1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</row>
    <row r="817" ht="15.75" customHeight="1">
      <c r="A817" s="103">
        <v>1.0987911E7</v>
      </c>
      <c r="B817" s="84">
        <v>1.001579098E9</v>
      </c>
      <c r="C817" s="11" t="s">
        <v>597</v>
      </c>
      <c r="D817" s="84">
        <v>26.0</v>
      </c>
      <c r="E817" s="93">
        <v>31.625</v>
      </c>
      <c r="F817" s="84" t="s">
        <v>31</v>
      </c>
      <c r="G817" s="85" t="s">
        <v>44</v>
      </c>
      <c r="H817" s="29" t="s">
        <v>268</v>
      </c>
      <c r="I817" s="25" t="s">
        <v>397</v>
      </c>
      <c r="J817" s="25" t="s">
        <v>35</v>
      </c>
      <c r="K817" s="12" t="s">
        <v>270</v>
      </c>
      <c r="L817" s="28" t="s">
        <v>94</v>
      </c>
      <c r="M817" s="84" t="s">
        <v>618</v>
      </c>
      <c r="N817" s="88">
        <v>6200.0</v>
      </c>
      <c r="O817" s="73">
        <f t="shared" si="18"/>
        <v>0.3733870968</v>
      </c>
      <c r="P817" s="89">
        <v>2315.0</v>
      </c>
      <c r="Q817" s="85" t="s">
        <v>39</v>
      </c>
      <c r="R817" s="85">
        <v>1466482.0</v>
      </c>
      <c r="S817" s="85" t="s">
        <v>40</v>
      </c>
      <c r="T817" s="90">
        <v>5918423.0</v>
      </c>
      <c r="U817" s="12"/>
      <c r="V817" s="12"/>
      <c r="W817" s="12"/>
      <c r="X817" s="12"/>
      <c r="Y817" s="84" t="s">
        <v>619</v>
      </c>
      <c r="Z817" s="84" t="s">
        <v>620</v>
      </c>
      <c r="AA817" s="12"/>
      <c r="AB817" s="84">
        <v>749653.0</v>
      </c>
      <c r="AC817" s="84" t="s">
        <v>621</v>
      </c>
      <c r="AD817" s="12"/>
      <c r="AE817" s="107" t="s">
        <v>39</v>
      </c>
      <c r="AF817" s="1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</row>
    <row r="818" ht="15.75" customHeight="1">
      <c r="A818" s="103">
        <v>1.0987912E7</v>
      </c>
      <c r="B818" s="84">
        <v>1.001579139E9</v>
      </c>
      <c r="C818" s="11" t="s">
        <v>597</v>
      </c>
      <c r="D818" s="84">
        <v>26.0</v>
      </c>
      <c r="E818" s="93">
        <v>31.625</v>
      </c>
      <c r="F818" s="84" t="s">
        <v>31</v>
      </c>
      <c r="G818" s="85" t="s">
        <v>44</v>
      </c>
      <c r="H818" s="29" t="s">
        <v>268</v>
      </c>
      <c r="I818" s="25" t="s">
        <v>397</v>
      </c>
      <c r="J818" s="25" t="s">
        <v>35</v>
      </c>
      <c r="K818" s="12" t="s">
        <v>270</v>
      </c>
      <c r="L818" s="28" t="s">
        <v>94</v>
      </c>
      <c r="M818" s="84" t="s">
        <v>622</v>
      </c>
      <c r="N818" s="88">
        <v>6200.0</v>
      </c>
      <c r="O818" s="73">
        <f t="shared" si="18"/>
        <v>0.3733870968</v>
      </c>
      <c r="P818" s="89">
        <v>2315.0</v>
      </c>
      <c r="Q818" s="85" t="s">
        <v>39</v>
      </c>
      <c r="R818" s="85">
        <v>1466420.0</v>
      </c>
      <c r="S818" s="85" t="s">
        <v>40</v>
      </c>
      <c r="T818" s="90">
        <v>5918110.0</v>
      </c>
      <c r="U818" s="12"/>
      <c r="V818" s="12"/>
      <c r="W818" s="12"/>
      <c r="X818" s="12"/>
      <c r="Y818" s="84" t="s">
        <v>623</v>
      </c>
      <c r="Z818" s="84" t="s">
        <v>624</v>
      </c>
      <c r="AA818" s="12"/>
      <c r="AB818" s="84">
        <v>749650.0</v>
      </c>
      <c r="AC818" s="84" t="s">
        <v>557</v>
      </c>
      <c r="AD818" s="12"/>
      <c r="AE818" s="107" t="s">
        <v>39</v>
      </c>
      <c r="AF818" s="1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</row>
    <row r="819" ht="15.75" customHeight="1">
      <c r="A819" s="103">
        <v>1.0989501E7</v>
      </c>
      <c r="B819" s="84">
        <v>1.001592245E9</v>
      </c>
      <c r="C819" s="11" t="s">
        <v>625</v>
      </c>
      <c r="D819" s="84">
        <v>26.0</v>
      </c>
      <c r="E819" s="93">
        <v>33.139</v>
      </c>
      <c r="F819" s="12" t="s">
        <v>31</v>
      </c>
      <c r="G819" s="29" t="s">
        <v>32</v>
      </c>
      <c r="H819" s="12" t="s">
        <v>111</v>
      </c>
      <c r="I819" s="25" t="s">
        <v>112</v>
      </c>
      <c r="J819" s="25" t="s">
        <v>35</v>
      </c>
      <c r="K819" s="25" t="s">
        <v>113</v>
      </c>
      <c r="L819" s="25" t="s">
        <v>114</v>
      </c>
      <c r="M819" s="84" t="s">
        <v>626</v>
      </c>
      <c r="N819" s="88">
        <v>5726.0</v>
      </c>
      <c r="O819" s="73">
        <f t="shared" si="18"/>
        <v>0.3030038421</v>
      </c>
      <c r="P819" s="89">
        <v>1735.0</v>
      </c>
      <c r="Q819" s="85" t="s">
        <v>39</v>
      </c>
      <c r="R819" s="29">
        <v>1468674.0</v>
      </c>
      <c r="S819" s="85" t="s">
        <v>40</v>
      </c>
      <c r="T819" s="90">
        <v>5928920.0</v>
      </c>
      <c r="U819" s="12"/>
      <c r="V819" s="12"/>
      <c r="W819" s="12"/>
      <c r="X819" s="12"/>
      <c r="Y819" s="84" t="s">
        <v>627</v>
      </c>
      <c r="Z819" s="84" t="s">
        <v>628</v>
      </c>
      <c r="AA819" s="12"/>
      <c r="AB819" s="12"/>
      <c r="AC819" s="12"/>
      <c r="AD819" s="12"/>
      <c r="AE819" s="107" t="s">
        <v>39</v>
      </c>
      <c r="AF819" s="1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</row>
    <row r="820" ht="15.75" customHeight="1">
      <c r="A820" s="103">
        <v>1.0989997E7</v>
      </c>
      <c r="B820" s="84">
        <v>1.001592267E9</v>
      </c>
      <c r="C820" s="11" t="s">
        <v>629</v>
      </c>
      <c r="D820" s="84">
        <v>26.0</v>
      </c>
      <c r="E820" s="93"/>
      <c r="F820" s="38" t="s">
        <v>43</v>
      </c>
      <c r="G820" s="25" t="s">
        <v>32</v>
      </c>
      <c r="H820" s="12" t="s">
        <v>111</v>
      </c>
      <c r="I820" s="29" t="s">
        <v>112</v>
      </c>
      <c r="J820" s="12" t="s">
        <v>35</v>
      </c>
      <c r="K820" s="12" t="s">
        <v>113</v>
      </c>
      <c r="L820" s="25" t="s">
        <v>114</v>
      </c>
      <c r="M820" s="85" t="s">
        <v>630</v>
      </c>
      <c r="N820" s="88">
        <v>5613.0</v>
      </c>
      <c r="O820" s="73">
        <f t="shared" si="18"/>
        <v>0.309103866</v>
      </c>
      <c r="P820" s="89">
        <v>1735.0</v>
      </c>
      <c r="Q820" s="85" t="s">
        <v>39</v>
      </c>
      <c r="R820" s="84">
        <v>1469686.0</v>
      </c>
      <c r="S820" s="85" t="s">
        <v>40</v>
      </c>
      <c r="T820" s="90">
        <v>5952169.0</v>
      </c>
      <c r="U820" s="84" t="s">
        <v>604</v>
      </c>
      <c r="V820" s="84" t="s">
        <v>631</v>
      </c>
      <c r="W820" s="12"/>
      <c r="X820" s="12"/>
      <c r="Y820" s="112">
        <v>45334.333333333336</v>
      </c>
      <c r="Z820" s="112">
        <v>45334.625</v>
      </c>
      <c r="AA820" s="12"/>
      <c r="AB820" s="84" t="s">
        <v>632</v>
      </c>
      <c r="AC820" s="84" t="s">
        <v>633</v>
      </c>
      <c r="AD820" s="12"/>
      <c r="AE820" s="12"/>
      <c r="AF820" s="1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</row>
    <row r="821" ht="15.75" customHeight="1">
      <c r="A821" s="103">
        <v>1.0990028E7</v>
      </c>
      <c r="B821" s="84">
        <v>1.001592255E9</v>
      </c>
      <c r="C821" s="11" t="s">
        <v>629</v>
      </c>
      <c r="D821" s="93" t="s">
        <v>52</v>
      </c>
      <c r="E821" s="93" t="s">
        <v>52</v>
      </c>
      <c r="F821" s="38" t="s">
        <v>43</v>
      </c>
      <c r="G821" s="25" t="s">
        <v>32</v>
      </c>
      <c r="H821" s="12" t="s">
        <v>634</v>
      </c>
      <c r="I821" s="25" t="s">
        <v>112</v>
      </c>
      <c r="J821" s="25" t="s">
        <v>113</v>
      </c>
      <c r="K821" s="25" t="s">
        <v>35</v>
      </c>
      <c r="L821" s="25" t="s">
        <v>43</v>
      </c>
      <c r="M821" s="85" t="s">
        <v>635</v>
      </c>
      <c r="N821" s="88">
        <v>3742.0</v>
      </c>
      <c r="O821" s="73">
        <f t="shared" si="18"/>
        <v>0.3487439872</v>
      </c>
      <c r="P821" s="89">
        <v>1305.0</v>
      </c>
      <c r="Q821" s="29"/>
      <c r="R821" s="120">
        <v>1474217.0</v>
      </c>
      <c r="S821" s="85" t="s">
        <v>40</v>
      </c>
      <c r="T821" s="90">
        <v>5957893.0</v>
      </c>
      <c r="U821" s="12"/>
      <c r="V821" s="12"/>
      <c r="W821" s="12"/>
      <c r="X821" s="12"/>
      <c r="Y821" s="112">
        <v>45363.697916666664</v>
      </c>
      <c r="Z821" s="112">
        <v>45394.6875</v>
      </c>
      <c r="AA821" s="12"/>
      <c r="AB821" s="12"/>
      <c r="AC821" s="12"/>
      <c r="AD821" s="12"/>
      <c r="AE821" s="12"/>
      <c r="AF821" s="1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</row>
    <row r="822" ht="15.75" customHeight="1">
      <c r="A822" s="103">
        <v>1.0994934E7</v>
      </c>
      <c r="B822" s="84">
        <v>1.001596238E9</v>
      </c>
      <c r="C822" s="11" t="s">
        <v>636</v>
      </c>
      <c r="D822" s="84">
        <v>21.0</v>
      </c>
      <c r="E822" s="93">
        <v>25.543</v>
      </c>
      <c r="F822" s="29" t="s">
        <v>31</v>
      </c>
      <c r="G822" s="29" t="s">
        <v>74</v>
      </c>
      <c r="H822" s="12" t="s">
        <v>337</v>
      </c>
      <c r="I822" s="29" t="s">
        <v>338</v>
      </c>
      <c r="J822" s="25" t="s">
        <v>35</v>
      </c>
      <c r="K822" s="12" t="s">
        <v>339</v>
      </c>
      <c r="L822" s="28" t="s">
        <v>340</v>
      </c>
      <c r="M822" s="85" t="s">
        <v>637</v>
      </c>
      <c r="N822" s="40">
        <v>29800.0</v>
      </c>
      <c r="O822" s="73">
        <f t="shared" si="18"/>
        <v>0.822147651</v>
      </c>
      <c r="P822" s="89">
        <v>24500.0</v>
      </c>
      <c r="Q822" s="85" t="s">
        <v>39</v>
      </c>
      <c r="R822" s="84">
        <v>1471916.0</v>
      </c>
      <c r="S822" s="85" t="s">
        <v>40</v>
      </c>
      <c r="T822" s="90">
        <v>5946753.0</v>
      </c>
      <c r="U822" s="84" t="s">
        <v>638</v>
      </c>
      <c r="V822" s="12"/>
      <c r="W822" s="12"/>
      <c r="X822" s="112">
        <v>45547.25</v>
      </c>
      <c r="Y822" s="112">
        <v>45547.25</v>
      </c>
      <c r="Z822" s="112">
        <v>45547.569444444445</v>
      </c>
      <c r="AA822" s="12"/>
      <c r="AB822" s="84">
        <v>762569.0</v>
      </c>
      <c r="AC822" s="84" t="s">
        <v>639</v>
      </c>
      <c r="AD822" s="12"/>
      <c r="AE822" s="107" t="s">
        <v>39</v>
      </c>
      <c r="AF822" s="1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</row>
    <row r="823" ht="15.75" customHeight="1">
      <c r="A823" s="103">
        <v>1.0994936E7</v>
      </c>
      <c r="B823" s="84">
        <v>1.00159624E9</v>
      </c>
      <c r="C823" s="11" t="s">
        <v>636</v>
      </c>
      <c r="D823" s="84">
        <v>26.0</v>
      </c>
      <c r="E823" s="93">
        <v>31.625</v>
      </c>
      <c r="F823" s="12" t="s">
        <v>31</v>
      </c>
      <c r="G823" s="29" t="s">
        <v>74</v>
      </c>
      <c r="H823" s="12" t="s">
        <v>337</v>
      </c>
      <c r="I823" s="25" t="s">
        <v>338</v>
      </c>
      <c r="J823" s="25" t="s">
        <v>35</v>
      </c>
      <c r="K823" s="12" t="s">
        <v>339</v>
      </c>
      <c r="L823" s="28" t="s">
        <v>340</v>
      </c>
      <c r="M823" s="85" t="s">
        <v>640</v>
      </c>
      <c r="N823" s="40">
        <v>29800.0</v>
      </c>
      <c r="O823" s="73">
        <f t="shared" si="18"/>
        <v>0.822147651</v>
      </c>
      <c r="P823" s="89">
        <v>24500.0</v>
      </c>
      <c r="Q823" s="85" t="s">
        <v>39</v>
      </c>
      <c r="R823" s="84">
        <v>1471946.0</v>
      </c>
      <c r="S823" s="85" t="s">
        <v>40</v>
      </c>
      <c r="T823" s="90">
        <v>5946922.0</v>
      </c>
      <c r="U823" s="84" t="s">
        <v>638</v>
      </c>
      <c r="V823" s="12"/>
      <c r="W823" s="12"/>
      <c r="X823" s="112">
        <v>45547.25</v>
      </c>
      <c r="Y823" s="112">
        <v>45547.25</v>
      </c>
      <c r="Z823" s="112">
        <v>45547.569444444445</v>
      </c>
      <c r="AA823" s="12"/>
      <c r="AB823" s="84">
        <v>762571.0</v>
      </c>
      <c r="AC823" s="84" t="s">
        <v>639</v>
      </c>
      <c r="AD823" s="12"/>
      <c r="AE823" s="107" t="s">
        <v>39</v>
      </c>
      <c r="AF823" s="1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</row>
    <row r="824" ht="15.75" customHeight="1">
      <c r="A824" s="103">
        <v>1.100363E7</v>
      </c>
      <c r="B824" s="84">
        <v>1.001605871E9</v>
      </c>
      <c r="C824" s="11" t="s">
        <v>641</v>
      </c>
      <c r="D824" s="84">
        <v>26.0</v>
      </c>
      <c r="E824" s="93"/>
      <c r="F824" s="9" t="s">
        <v>43</v>
      </c>
      <c r="G824" s="85" t="s">
        <v>32</v>
      </c>
      <c r="H824" s="84" t="s">
        <v>487</v>
      </c>
      <c r="I824" s="93" t="s">
        <v>488</v>
      </c>
      <c r="J824" s="25" t="s">
        <v>35</v>
      </c>
      <c r="K824" s="94" t="s">
        <v>642</v>
      </c>
      <c r="L824" s="95" t="s">
        <v>114</v>
      </c>
      <c r="M824" s="85" t="s">
        <v>643</v>
      </c>
      <c r="N824" s="88">
        <v>4900.0</v>
      </c>
      <c r="O824" s="73">
        <f t="shared" si="18"/>
        <v>0.3306122449</v>
      </c>
      <c r="P824" s="89">
        <v>1620.0</v>
      </c>
      <c r="Q824" s="85" t="s">
        <v>39</v>
      </c>
      <c r="R824" s="12">
        <v>1471958.0</v>
      </c>
      <c r="S824" s="85" t="s">
        <v>40</v>
      </c>
      <c r="T824" s="90">
        <v>5947082.0</v>
      </c>
      <c r="U824" s="12"/>
      <c r="V824" s="12"/>
      <c r="W824" s="12"/>
      <c r="X824" s="12"/>
      <c r="Y824" s="112">
        <v>45334.333333333336</v>
      </c>
      <c r="Z824" s="112">
        <v>45334.729166666664</v>
      </c>
      <c r="AA824" s="12"/>
      <c r="AB824" s="12"/>
      <c r="AC824" s="12"/>
      <c r="AD824" s="12"/>
      <c r="AE824" s="107" t="s">
        <v>39</v>
      </c>
      <c r="AF824" s="1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</row>
    <row r="825" ht="15.75" customHeight="1">
      <c r="A825" s="103">
        <v>1.1003631E7</v>
      </c>
      <c r="B825" s="84">
        <v>1.001605861E9</v>
      </c>
      <c r="C825" s="11" t="s">
        <v>641</v>
      </c>
      <c r="D825" s="84" t="s">
        <v>52</v>
      </c>
      <c r="E825" s="93" t="s">
        <v>52</v>
      </c>
      <c r="F825" s="38" t="s">
        <v>43</v>
      </c>
      <c r="G825" s="93" t="s">
        <v>32</v>
      </c>
      <c r="H825" s="84" t="s">
        <v>644</v>
      </c>
      <c r="I825" s="85" t="s">
        <v>488</v>
      </c>
      <c r="J825" s="94" t="s">
        <v>645</v>
      </c>
      <c r="K825" s="12" t="s">
        <v>35</v>
      </c>
      <c r="L825" s="95" t="s">
        <v>188</v>
      </c>
      <c r="M825" s="85" t="s">
        <v>646</v>
      </c>
      <c r="N825" s="88">
        <v>3266.0</v>
      </c>
      <c r="O825" s="73">
        <f t="shared" si="18"/>
        <v>0.7225964483</v>
      </c>
      <c r="P825" s="121">
        <v>2360.0</v>
      </c>
      <c r="Q825" s="29"/>
      <c r="R825" s="85">
        <v>1474259.0</v>
      </c>
      <c r="S825" s="85" t="s">
        <v>40</v>
      </c>
      <c r="T825" s="90">
        <v>5958133.0</v>
      </c>
      <c r="U825" s="12"/>
      <c r="V825" s="12"/>
      <c r="W825" s="12"/>
      <c r="X825" s="12"/>
      <c r="Y825" s="112">
        <v>45363.38888888889</v>
      </c>
      <c r="Z825" s="112">
        <v>45424.805555555555</v>
      </c>
      <c r="AA825" s="12"/>
      <c r="AB825" s="84">
        <v>757028.0</v>
      </c>
      <c r="AC825" s="84" t="s">
        <v>601</v>
      </c>
      <c r="AD825" s="12"/>
      <c r="AE825" s="107" t="s">
        <v>39</v>
      </c>
      <c r="AF825" s="1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</row>
    <row r="826" ht="15.75" customHeight="1">
      <c r="A826" s="103">
        <v>1.100432E7</v>
      </c>
      <c r="B826" s="84">
        <v>1.001606042E9</v>
      </c>
      <c r="C826" s="11" t="s">
        <v>636</v>
      </c>
      <c r="D826" s="84">
        <v>26.0</v>
      </c>
      <c r="E826" s="93">
        <v>31.625</v>
      </c>
      <c r="F826" s="85" t="s">
        <v>31</v>
      </c>
      <c r="G826" s="85" t="s">
        <v>74</v>
      </c>
      <c r="H826" s="84" t="s">
        <v>647</v>
      </c>
      <c r="I826" s="29" t="s">
        <v>503</v>
      </c>
      <c r="J826" s="93" t="s">
        <v>35</v>
      </c>
      <c r="K826" s="93" t="s">
        <v>648</v>
      </c>
      <c r="L826" s="95" t="s">
        <v>188</v>
      </c>
      <c r="M826" s="85" t="s">
        <v>618</v>
      </c>
      <c r="N826" s="88">
        <v>7629.0</v>
      </c>
      <c r="O826" s="73">
        <f t="shared" si="18"/>
        <v>0.3507668109</v>
      </c>
      <c r="P826" s="89">
        <v>2676.0</v>
      </c>
      <c r="Q826" s="85" t="s">
        <v>39</v>
      </c>
      <c r="R826" s="29">
        <v>1472030.0</v>
      </c>
      <c r="S826" s="85" t="s">
        <v>40</v>
      </c>
      <c r="T826" s="90">
        <v>5947498.0</v>
      </c>
      <c r="U826" s="12"/>
      <c r="V826" s="12"/>
      <c r="W826" s="12"/>
      <c r="X826" s="12"/>
      <c r="Y826" s="112">
        <v>45334.291666666664</v>
      </c>
      <c r="Z826" s="112">
        <v>45334.8125</v>
      </c>
      <c r="AA826" s="12"/>
      <c r="AB826" s="84" t="s">
        <v>649</v>
      </c>
      <c r="AC826" s="84" t="s">
        <v>650</v>
      </c>
      <c r="AD826" s="12"/>
      <c r="AE826" s="107" t="s">
        <v>39</v>
      </c>
      <c r="AF826" s="1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</row>
    <row r="827" ht="15.75" customHeight="1">
      <c r="A827" s="103">
        <v>1.1005911E7</v>
      </c>
      <c r="B827" s="84">
        <v>1.001607855E9</v>
      </c>
      <c r="C827" s="11">
        <v>45394.0</v>
      </c>
      <c r="D827" s="84">
        <v>26.0</v>
      </c>
      <c r="E827" s="93">
        <v>31.518</v>
      </c>
      <c r="F827" s="38" t="s">
        <v>43</v>
      </c>
      <c r="G827" s="25" t="s">
        <v>44</v>
      </c>
      <c r="H827" s="12" t="s">
        <v>268</v>
      </c>
      <c r="I827" s="29" t="s">
        <v>397</v>
      </c>
      <c r="J827" s="12" t="s">
        <v>35</v>
      </c>
      <c r="K827" s="12" t="s">
        <v>270</v>
      </c>
      <c r="L827" s="28" t="s">
        <v>94</v>
      </c>
      <c r="M827" s="29" t="s">
        <v>630</v>
      </c>
      <c r="N827" s="88">
        <v>5460.0</v>
      </c>
      <c r="O827" s="73">
        <f t="shared" si="18"/>
        <v>0.710989011</v>
      </c>
      <c r="P827" s="121">
        <v>3882.0</v>
      </c>
      <c r="Q827" s="85" t="s">
        <v>39</v>
      </c>
      <c r="R827" s="118">
        <v>1475896.0</v>
      </c>
      <c r="S827" s="85" t="s">
        <v>40</v>
      </c>
      <c r="T827" s="90">
        <v>5968420.0</v>
      </c>
      <c r="U827" s="112">
        <v>45394.72222222222</v>
      </c>
      <c r="V827" s="12"/>
      <c r="W827" s="12"/>
      <c r="X827" s="12"/>
      <c r="Y827" s="112">
        <v>45455.444444444445</v>
      </c>
      <c r="Z827" s="112">
        <v>45455.666666666664</v>
      </c>
      <c r="AA827" s="12"/>
      <c r="AB827" s="84">
        <v>760873.0</v>
      </c>
      <c r="AC827" s="12"/>
      <c r="AD827" s="12"/>
      <c r="AE827" s="107" t="s">
        <v>39</v>
      </c>
      <c r="AF827" s="1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</row>
    <row r="828" ht="15.75" customHeight="1">
      <c r="A828" s="103">
        <v>1.1005912E7</v>
      </c>
      <c r="B828" s="84">
        <v>1.001607884E9</v>
      </c>
      <c r="C828" s="11">
        <v>45394.0</v>
      </c>
      <c r="D828" s="84">
        <v>26.0</v>
      </c>
      <c r="E828" s="93">
        <v>31.625</v>
      </c>
      <c r="F828" s="85" t="s">
        <v>31</v>
      </c>
      <c r="G828" s="85" t="s">
        <v>44</v>
      </c>
      <c r="H828" s="12" t="s">
        <v>268</v>
      </c>
      <c r="I828" s="29" t="s">
        <v>397</v>
      </c>
      <c r="J828" s="25" t="s">
        <v>35</v>
      </c>
      <c r="K828" s="25" t="s">
        <v>270</v>
      </c>
      <c r="L828" s="28" t="s">
        <v>94</v>
      </c>
      <c r="M828" s="89" t="s">
        <v>651</v>
      </c>
      <c r="N828" s="88">
        <v>6200.0</v>
      </c>
      <c r="O828" s="73">
        <f t="shared" si="18"/>
        <v>0.6229032258</v>
      </c>
      <c r="P828" s="89">
        <v>3862.0</v>
      </c>
      <c r="Q828" s="85" t="s">
        <v>39</v>
      </c>
      <c r="R828" s="118">
        <v>1475587.0</v>
      </c>
      <c r="S828" s="85" t="s">
        <v>40</v>
      </c>
      <c r="T828" s="90">
        <v>5966196.0</v>
      </c>
      <c r="U828" s="12"/>
      <c r="V828" s="12"/>
      <c r="W828" s="12"/>
      <c r="X828" s="12"/>
      <c r="Y828" s="112">
        <v>45485.3125</v>
      </c>
      <c r="Z828" s="112">
        <v>45485.50347222222</v>
      </c>
      <c r="AA828" s="12"/>
      <c r="AB828" s="12"/>
      <c r="AC828" s="12"/>
      <c r="AD828" s="12"/>
      <c r="AE828" s="107" t="s">
        <v>39</v>
      </c>
      <c r="AF828" s="1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</row>
    <row r="829" ht="15.75" customHeight="1">
      <c r="A829" s="103">
        <v>1.1005913E7</v>
      </c>
      <c r="B829" s="84">
        <v>1.001607881E9</v>
      </c>
      <c r="C829" s="11">
        <v>45334.0</v>
      </c>
      <c r="D829" s="84">
        <v>26.0</v>
      </c>
      <c r="E829" s="93">
        <v>31.625</v>
      </c>
      <c r="F829" s="84" t="s">
        <v>31</v>
      </c>
      <c r="G829" s="85" t="s">
        <v>44</v>
      </c>
      <c r="H829" s="12" t="s">
        <v>268</v>
      </c>
      <c r="I829" s="12" t="s">
        <v>397</v>
      </c>
      <c r="J829" s="12" t="s">
        <v>35</v>
      </c>
      <c r="K829" s="12" t="s">
        <v>270</v>
      </c>
      <c r="L829" s="28" t="s">
        <v>94</v>
      </c>
      <c r="M829" s="85" t="s">
        <v>652</v>
      </c>
      <c r="N829" s="88">
        <v>6200.0</v>
      </c>
      <c r="O829" s="73">
        <f t="shared" si="18"/>
        <v>0.7258064516</v>
      </c>
      <c r="P829" s="89">
        <v>4500.0</v>
      </c>
      <c r="Q829" s="84" t="s">
        <v>39</v>
      </c>
      <c r="R829" s="118">
        <v>1474025.0</v>
      </c>
      <c r="S829" s="85" t="s">
        <v>40</v>
      </c>
      <c r="T829" s="90">
        <v>5956994.0</v>
      </c>
      <c r="U829" s="12"/>
      <c r="V829" s="12"/>
      <c r="W829" s="12"/>
      <c r="X829" s="12"/>
      <c r="Y829" s="112">
        <v>45363.958333333336</v>
      </c>
      <c r="Z829" s="112">
        <v>45394.33472222222</v>
      </c>
      <c r="AA829" s="12"/>
      <c r="AB829" s="12"/>
      <c r="AC829" s="12"/>
      <c r="AD829" s="12"/>
      <c r="AE829" s="107" t="s">
        <v>39</v>
      </c>
      <c r="AF829" s="1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</row>
    <row r="830" ht="15.75" customHeight="1">
      <c r="A830" s="103">
        <v>1.1005914E7</v>
      </c>
      <c r="B830" s="84">
        <v>1.0016079E9</v>
      </c>
      <c r="C830" s="11">
        <v>45363.0</v>
      </c>
      <c r="D830" s="84">
        <v>26.0</v>
      </c>
      <c r="E830" s="93">
        <v>31.625</v>
      </c>
      <c r="F830" s="84" t="s">
        <v>31</v>
      </c>
      <c r="G830" s="85" t="s">
        <v>44</v>
      </c>
      <c r="H830" s="12" t="s">
        <v>268</v>
      </c>
      <c r="I830" s="12" t="s">
        <v>397</v>
      </c>
      <c r="J830" s="12" t="s">
        <v>35</v>
      </c>
      <c r="K830" s="12" t="s">
        <v>270</v>
      </c>
      <c r="L830" s="28" t="s">
        <v>94</v>
      </c>
      <c r="M830" s="85" t="s">
        <v>653</v>
      </c>
      <c r="N830" s="88">
        <v>6200.0</v>
      </c>
      <c r="O830" s="73">
        <f t="shared" si="18"/>
        <v>0.6261290323</v>
      </c>
      <c r="P830" s="122">
        <v>3882.0</v>
      </c>
      <c r="Q830" s="84" t="s">
        <v>39</v>
      </c>
      <c r="R830" s="118">
        <v>1474933.0</v>
      </c>
      <c r="S830" s="85" t="s">
        <v>40</v>
      </c>
      <c r="T830" s="90">
        <v>5961816.0</v>
      </c>
      <c r="U830" s="12"/>
      <c r="V830" s="12"/>
      <c r="W830" s="12"/>
      <c r="X830" s="12"/>
      <c r="Y830" s="112">
        <v>45424.375</v>
      </c>
      <c r="Z830" s="112">
        <v>45424.57986111111</v>
      </c>
      <c r="AA830" s="12"/>
      <c r="AB830" s="12"/>
      <c r="AC830" s="12"/>
      <c r="AD830" s="12"/>
      <c r="AE830" s="107" t="s">
        <v>39</v>
      </c>
      <c r="AF830" s="1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</row>
    <row r="831" ht="15.75" customHeight="1">
      <c r="A831" s="103">
        <v>1.1005915E7</v>
      </c>
      <c r="B831" s="84">
        <v>1.001607858E9</v>
      </c>
      <c r="C831" s="11">
        <v>45394.0</v>
      </c>
      <c r="D831" s="84" t="s">
        <v>52</v>
      </c>
      <c r="E831" s="93" t="s">
        <v>52</v>
      </c>
      <c r="F831" s="9" t="s">
        <v>43</v>
      </c>
      <c r="G831" s="29" t="s">
        <v>44</v>
      </c>
      <c r="H831" s="12" t="s">
        <v>654</v>
      </c>
      <c r="I831" s="12" t="s">
        <v>269</v>
      </c>
      <c r="J831" s="12" t="s">
        <v>270</v>
      </c>
      <c r="K831" s="12" t="s">
        <v>35</v>
      </c>
      <c r="L831" s="28" t="s">
        <v>188</v>
      </c>
      <c r="M831" s="89" t="s">
        <v>635</v>
      </c>
      <c r="N831" s="88">
        <v>3920.0</v>
      </c>
      <c r="O831" s="73">
        <f t="shared" si="18"/>
        <v>0.3755102041</v>
      </c>
      <c r="P831" s="89">
        <v>1472.0</v>
      </c>
      <c r="Q831" s="12"/>
      <c r="R831" s="118">
        <v>1477476.0</v>
      </c>
      <c r="S831" s="85" t="s">
        <v>40</v>
      </c>
      <c r="T831" s="90">
        <v>5977704.0</v>
      </c>
      <c r="U831" s="12"/>
      <c r="V831" s="12"/>
      <c r="W831" s="12"/>
      <c r="X831" s="12"/>
      <c r="Y831" s="112">
        <v>45485.854166666664</v>
      </c>
      <c r="Z831" s="112">
        <v>45516.697916666664</v>
      </c>
      <c r="AA831" s="12"/>
      <c r="AB831" s="12"/>
      <c r="AC831" s="12"/>
      <c r="AD831" s="12"/>
      <c r="AE831" s="107" t="s">
        <v>39</v>
      </c>
      <c r="AF831" s="1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</row>
    <row r="832" ht="15.75" customHeight="1">
      <c r="A832" s="103">
        <v>1.1006321E7</v>
      </c>
      <c r="B832" s="84">
        <v>1.001605969E9</v>
      </c>
      <c r="C832" s="11" t="s">
        <v>611</v>
      </c>
      <c r="D832" s="84">
        <v>26.0</v>
      </c>
      <c r="E832" s="93">
        <v>31.922</v>
      </c>
      <c r="F832" s="12" t="s">
        <v>31</v>
      </c>
      <c r="G832" s="29" t="s">
        <v>74</v>
      </c>
      <c r="H832" s="12" t="s">
        <v>318</v>
      </c>
      <c r="I832" s="84" t="s">
        <v>655</v>
      </c>
      <c r="J832" s="12" t="s">
        <v>35</v>
      </c>
      <c r="K832" s="12" t="s">
        <v>320</v>
      </c>
      <c r="L832" s="28" t="s">
        <v>94</v>
      </c>
      <c r="M832" s="85" t="s">
        <v>656</v>
      </c>
      <c r="N832" s="88">
        <v>6700.0</v>
      </c>
      <c r="O832" s="73">
        <f t="shared" si="18"/>
        <v>0.6865671642</v>
      </c>
      <c r="P832" s="89">
        <v>4600.0</v>
      </c>
      <c r="Q832" s="84" t="s">
        <v>39</v>
      </c>
      <c r="R832" s="85">
        <v>1470839.0</v>
      </c>
      <c r="S832" s="85" t="s">
        <v>40</v>
      </c>
      <c r="T832" s="90">
        <v>5941465.0</v>
      </c>
      <c r="U832" s="12"/>
      <c r="V832" s="12"/>
      <c r="W832" s="12"/>
      <c r="X832" s="12"/>
      <c r="Y832" s="112">
        <v>45303.9375</v>
      </c>
      <c r="Z832" s="112">
        <v>45334.51388888889</v>
      </c>
      <c r="AA832" s="12"/>
      <c r="AB832" s="12"/>
      <c r="AC832" s="12"/>
      <c r="AD832" s="12"/>
      <c r="AE832" s="107" t="s">
        <v>39</v>
      </c>
      <c r="AF832" s="1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</row>
    <row r="833" ht="15.75" customHeight="1">
      <c r="A833" s="103">
        <v>1.1011017E7</v>
      </c>
      <c r="B833" s="84">
        <v>1.001613688E9</v>
      </c>
      <c r="C833" s="11">
        <v>45424.0</v>
      </c>
      <c r="D833" s="84">
        <v>26.0</v>
      </c>
      <c r="E833" s="93">
        <v>32.553</v>
      </c>
      <c r="F833" s="38" t="s">
        <v>43</v>
      </c>
      <c r="G833" s="29" t="s">
        <v>32</v>
      </c>
      <c r="H833" s="12" t="s">
        <v>111</v>
      </c>
      <c r="I833" s="29" t="s">
        <v>112</v>
      </c>
      <c r="J833" s="12" t="s">
        <v>35</v>
      </c>
      <c r="K833" s="12" t="s">
        <v>113</v>
      </c>
      <c r="L833" s="25" t="s">
        <v>114</v>
      </c>
      <c r="M833" s="89" t="s">
        <v>643</v>
      </c>
      <c r="N833" s="88">
        <v>5613.0</v>
      </c>
      <c r="O833" s="73">
        <f t="shared" si="18"/>
        <v>0.1888473187</v>
      </c>
      <c r="P833" s="89">
        <v>1060.0</v>
      </c>
      <c r="Q833" s="84" t="s">
        <v>39</v>
      </c>
      <c r="R833" s="120">
        <v>1476500.0</v>
      </c>
      <c r="S833" s="85" t="s">
        <v>40</v>
      </c>
      <c r="T833" s="90">
        <v>5971688.0</v>
      </c>
      <c r="U833" s="12"/>
      <c r="V833" s="12"/>
      <c r="W833" s="12"/>
      <c r="X833" s="12"/>
      <c r="Y833" s="112">
        <v>45455.51388888889</v>
      </c>
      <c r="Z833" s="112">
        <v>45455.78125</v>
      </c>
      <c r="AA833" s="12"/>
      <c r="AB833" s="84">
        <v>760848.0</v>
      </c>
      <c r="AC833" s="84" t="s">
        <v>601</v>
      </c>
      <c r="AD833" s="12"/>
      <c r="AE833" s="107" t="s">
        <v>39</v>
      </c>
      <c r="AF833" s="1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</row>
    <row r="834" ht="15.75" customHeight="1">
      <c r="A834" s="103">
        <v>1.1011068E7</v>
      </c>
      <c r="B834" s="123">
        <v>1.00161368E9</v>
      </c>
      <c r="C834" s="11">
        <v>45424.0</v>
      </c>
      <c r="D834" s="84">
        <v>3.0</v>
      </c>
      <c r="E834" s="93">
        <v>15.911</v>
      </c>
      <c r="F834" s="38" t="s">
        <v>43</v>
      </c>
      <c r="G834" s="25" t="s">
        <v>32</v>
      </c>
      <c r="H834" s="12" t="s">
        <v>657</v>
      </c>
      <c r="I834" s="29" t="s">
        <v>112</v>
      </c>
      <c r="J834" s="12" t="s">
        <v>113</v>
      </c>
      <c r="K834" s="12" t="s">
        <v>35</v>
      </c>
      <c r="L834" s="25" t="s">
        <v>43</v>
      </c>
      <c r="M834" s="85" t="s">
        <v>658</v>
      </c>
      <c r="N834" s="88">
        <v>3742.0</v>
      </c>
      <c r="O834" s="73">
        <f t="shared" si="18"/>
        <v>0.331373597</v>
      </c>
      <c r="P834" s="89">
        <v>1240.0</v>
      </c>
      <c r="Q834" s="12"/>
      <c r="R834" s="120">
        <v>1477828.0</v>
      </c>
      <c r="S834" s="85" t="s">
        <v>40</v>
      </c>
      <c r="T834" s="90">
        <v>5980526.0</v>
      </c>
      <c r="U834" s="12"/>
      <c r="V834" s="12"/>
      <c r="W834" s="12"/>
      <c r="X834" s="12"/>
      <c r="Y834" s="112">
        <v>45485.614583333336</v>
      </c>
      <c r="Z834" s="112">
        <v>45547.625</v>
      </c>
      <c r="AA834" s="12"/>
      <c r="AB834" s="84">
        <v>760848.0</v>
      </c>
      <c r="AC834" s="84" t="s">
        <v>601</v>
      </c>
      <c r="AD834" s="12"/>
      <c r="AE834" s="107" t="s">
        <v>39</v>
      </c>
      <c r="AF834" s="1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</row>
    <row r="835" ht="15.75" customHeight="1">
      <c r="A835" s="103">
        <v>1.1018336E7</v>
      </c>
      <c r="B835" s="84">
        <v>1.001617478E9</v>
      </c>
      <c r="C835" s="11">
        <v>45424.0</v>
      </c>
      <c r="D835" s="84">
        <v>26.0</v>
      </c>
      <c r="E835" s="93">
        <v>31.625</v>
      </c>
      <c r="F835" s="85" t="s">
        <v>31</v>
      </c>
      <c r="G835" s="85" t="s">
        <v>44</v>
      </c>
      <c r="H835" s="12" t="s">
        <v>268</v>
      </c>
      <c r="I835" s="29" t="s">
        <v>397</v>
      </c>
      <c r="J835" s="25" t="s">
        <v>35</v>
      </c>
      <c r="K835" s="25" t="s">
        <v>270</v>
      </c>
      <c r="L835" s="28" t="s">
        <v>94</v>
      </c>
      <c r="M835" s="89" t="s">
        <v>659</v>
      </c>
      <c r="N835" s="88">
        <v>6200.0</v>
      </c>
      <c r="O835" s="73">
        <f t="shared" si="18"/>
        <v>0.3130645161</v>
      </c>
      <c r="P835" s="89">
        <v>1941.0</v>
      </c>
      <c r="Q835" s="84" t="s">
        <v>39</v>
      </c>
      <c r="R835" s="120">
        <v>1476684.0</v>
      </c>
      <c r="S835" s="85" t="s">
        <v>40</v>
      </c>
      <c r="T835" s="90">
        <v>5973163.0</v>
      </c>
      <c r="U835" s="12"/>
      <c r="V835" s="12"/>
      <c r="W835" s="12"/>
      <c r="X835" s="12"/>
      <c r="Y835" s="112">
        <v>45455.92361111111</v>
      </c>
      <c r="Z835" s="112">
        <v>45485.02777777778</v>
      </c>
      <c r="AA835" s="12"/>
      <c r="AB835" s="12"/>
      <c r="AC835" s="12"/>
      <c r="AD835" s="12"/>
      <c r="AE835" s="107" t="s">
        <v>39</v>
      </c>
      <c r="AF835" s="1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</row>
    <row r="836" ht="15.75" customHeight="1">
      <c r="A836" s="103">
        <v>1.1019253E7</v>
      </c>
      <c r="B836" s="84">
        <v>1.001617812E9</v>
      </c>
      <c r="C836" s="11">
        <v>45485.0</v>
      </c>
      <c r="D836" s="84">
        <v>26.0</v>
      </c>
      <c r="E836" s="93">
        <v>32.553</v>
      </c>
      <c r="F836" s="38" t="s">
        <v>43</v>
      </c>
      <c r="G836" s="93" t="s">
        <v>44</v>
      </c>
      <c r="H836" s="12" t="s">
        <v>45</v>
      </c>
      <c r="I836" s="29" t="s">
        <v>46</v>
      </c>
      <c r="J836" s="14" t="s">
        <v>35</v>
      </c>
      <c r="K836" s="14" t="s">
        <v>47</v>
      </c>
      <c r="L836" s="28" t="s">
        <v>48</v>
      </c>
      <c r="M836" s="85" t="s">
        <v>598</v>
      </c>
      <c r="N836" s="88">
        <v>2402.4</v>
      </c>
      <c r="O836" s="73">
        <f t="shared" si="18"/>
        <v>0.675990676</v>
      </c>
      <c r="P836" s="89">
        <v>1624.0</v>
      </c>
      <c r="Q836" s="84" t="s">
        <v>39</v>
      </c>
      <c r="R836" s="120">
        <v>1478353.0</v>
      </c>
      <c r="S836" s="85" t="s">
        <v>40</v>
      </c>
      <c r="T836" s="90">
        <v>5983391.0</v>
      </c>
      <c r="U836" s="112">
        <v>45485.618055555555</v>
      </c>
      <c r="V836" s="12"/>
      <c r="W836" s="12"/>
      <c r="X836" s="12"/>
      <c r="Y836" s="112">
        <v>45547.40277777778</v>
      </c>
      <c r="Z836" s="113">
        <v>45577.458333333336</v>
      </c>
      <c r="AA836" s="12"/>
      <c r="AB836" s="84" t="s">
        <v>660</v>
      </c>
      <c r="AC836" s="84" t="s">
        <v>661</v>
      </c>
      <c r="AD836" s="12"/>
      <c r="AE836" s="107" t="s">
        <v>39</v>
      </c>
      <c r="AF836" s="1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</row>
    <row r="837" ht="15.75" customHeight="1">
      <c r="A837" s="124">
        <v>1.1019254E7</v>
      </c>
      <c r="B837" s="125">
        <v>1.001617902E9</v>
      </c>
      <c r="C837" s="11">
        <v>45485.0</v>
      </c>
      <c r="D837" s="84" t="s">
        <v>52</v>
      </c>
      <c r="E837" s="93" t="s">
        <v>52</v>
      </c>
      <c r="F837" s="38" t="s">
        <v>43</v>
      </c>
      <c r="G837" s="85" t="s">
        <v>44</v>
      </c>
      <c r="H837" s="84" t="s">
        <v>662</v>
      </c>
      <c r="I837" s="29" t="s">
        <v>46</v>
      </c>
      <c r="J837" s="55" t="s">
        <v>47</v>
      </c>
      <c r="K837" s="55" t="s">
        <v>35</v>
      </c>
      <c r="L837" s="28" t="s">
        <v>48</v>
      </c>
      <c r="M837" s="85" t="s">
        <v>603</v>
      </c>
      <c r="N837" s="88">
        <v>1601.6</v>
      </c>
      <c r="O837" s="73">
        <f t="shared" si="18"/>
        <v>0.25620005</v>
      </c>
      <c r="P837" s="89">
        <v>410.33</v>
      </c>
      <c r="Q837" s="12"/>
      <c r="R837" s="120">
        <v>1480233.0</v>
      </c>
      <c r="S837" s="85" t="s">
        <v>40</v>
      </c>
      <c r="T837" s="90">
        <v>6002092.0</v>
      </c>
      <c r="U837" s="12"/>
      <c r="V837" s="12"/>
      <c r="W837" s="12"/>
      <c r="X837" s="12"/>
      <c r="Y837" s="113">
        <v>45577.680555555555</v>
      </c>
      <c r="Z837" s="113">
        <v>45638.65625</v>
      </c>
      <c r="AA837" s="12"/>
      <c r="AB837" s="12"/>
      <c r="AC837" s="12"/>
      <c r="AD837" s="12"/>
      <c r="AE837" s="107" t="s">
        <v>39</v>
      </c>
      <c r="AF837" s="1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</row>
    <row r="838" ht="15.75" customHeight="1">
      <c r="A838" s="126">
        <v>1.1025257E7</v>
      </c>
      <c r="B838" s="123">
        <v>1.001624332E9</v>
      </c>
      <c r="C838" s="11">
        <v>45485.0</v>
      </c>
      <c r="D838" s="84">
        <v>26.0</v>
      </c>
      <c r="E838" s="93">
        <v>31.625</v>
      </c>
      <c r="F838" s="85" t="s">
        <v>31</v>
      </c>
      <c r="G838" s="85" t="s">
        <v>44</v>
      </c>
      <c r="H838" s="12" t="s">
        <v>268</v>
      </c>
      <c r="I838" s="29" t="s">
        <v>397</v>
      </c>
      <c r="J838" s="84" t="s">
        <v>663</v>
      </c>
      <c r="K838" s="12" t="s">
        <v>270</v>
      </c>
      <c r="L838" s="28" t="s">
        <v>94</v>
      </c>
      <c r="M838" s="85" t="s">
        <v>441</v>
      </c>
      <c r="N838" s="88">
        <v>5460.0</v>
      </c>
      <c r="O838" s="73">
        <f t="shared" si="18"/>
        <v>0.613003663</v>
      </c>
      <c r="P838" s="89">
        <v>3347.0</v>
      </c>
      <c r="Q838" s="84" t="s">
        <v>39</v>
      </c>
      <c r="R838" s="120">
        <v>1478564.0</v>
      </c>
      <c r="S838" s="85" t="s">
        <v>40</v>
      </c>
      <c r="T838" s="90">
        <v>5983938.0</v>
      </c>
      <c r="U838" s="112">
        <v>45485.541666666664</v>
      </c>
      <c r="V838" s="112">
        <v>45485.76388888889</v>
      </c>
      <c r="W838" s="12"/>
      <c r="X838" s="12"/>
      <c r="Y838" s="112">
        <v>45547.229166666664</v>
      </c>
      <c r="Z838" s="112">
        <v>45547.54513888889</v>
      </c>
      <c r="AA838" s="12"/>
      <c r="AB838" s="12"/>
      <c r="AC838" s="12"/>
      <c r="AD838" s="12"/>
      <c r="AE838" s="107" t="s">
        <v>39</v>
      </c>
      <c r="AF838" s="1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</row>
    <row r="839" ht="15.75" customHeight="1">
      <c r="A839" s="126">
        <v>1.1025298E7</v>
      </c>
      <c r="B839" s="123">
        <v>1.001624372E9</v>
      </c>
      <c r="C839" s="11">
        <v>45485.0</v>
      </c>
      <c r="D839" s="84">
        <v>3.0</v>
      </c>
      <c r="E839" s="93">
        <v>9.179</v>
      </c>
      <c r="F839" s="38" t="s">
        <v>43</v>
      </c>
      <c r="G839" s="29" t="s">
        <v>44</v>
      </c>
      <c r="H839" s="12" t="s">
        <v>664</v>
      </c>
      <c r="I839" s="29" t="s">
        <v>269</v>
      </c>
      <c r="J839" s="25" t="s">
        <v>270</v>
      </c>
      <c r="K839" s="25" t="s">
        <v>35</v>
      </c>
      <c r="L839" s="28" t="s">
        <v>188</v>
      </c>
      <c r="M839" s="85" t="s">
        <v>665</v>
      </c>
      <c r="N839" s="88">
        <v>3640.0</v>
      </c>
      <c r="O839" s="73">
        <f t="shared" si="18"/>
        <v>0.5052197802</v>
      </c>
      <c r="P839" s="89">
        <v>1839.0</v>
      </c>
      <c r="Q839" s="12"/>
      <c r="R839" s="120">
        <v>1479350.0</v>
      </c>
      <c r="S839" s="85" t="s">
        <v>40</v>
      </c>
      <c r="T839" s="90">
        <v>5986849.0</v>
      </c>
      <c r="U839" s="12"/>
      <c r="V839" s="12"/>
      <c r="W839" s="12"/>
      <c r="X839" s="12"/>
      <c r="Y839" s="113">
        <v>45577.56597222222</v>
      </c>
      <c r="Z839" s="113">
        <v>45638.59722222222</v>
      </c>
      <c r="AA839" s="12"/>
      <c r="AB839" s="84">
        <v>763113.0</v>
      </c>
      <c r="AC839" s="84" t="s">
        <v>601</v>
      </c>
      <c r="AD839" s="12"/>
      <c r="AE839" s="107" t="s">
        <v>39</v>
      </c>
      <c r="AF839" s="1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</row>
    <row r="840" ht="15.75" customHeight="1">
      <c r="A840" s="126">
        <v>1.1026798E7</v>
      </c>
      <c r="B840" s="125">
        <v>1.001626246E9</v>
      </c>
      <c r="C840" s="11" t="s">
        <v>666</v>
      </c>
      <c r="D840" s="84">
        <v>26.0</v>
      </c>
      <c r="E840" s="93">
        <v>31.922</v>
      </c>
      <c r="F840" s="85" t="s">
        <v>31</v>
      </c>
      <c r="G840" s="85" t="s">
        <v>44</v>
      </c>
      <c r="H840" s="12" t="s">
        <v>268</v>
      </c>
      <c r="I840" s="29" t="s">
        <v>397</v>
      </c>
      <c r="J840" s="12" t="s">
        <v>35</v>
      </c>
      <c r="K840" s="12" t="s">
        <v>270</v>
      </c>
      <c r="L840" s="28" t="s">
        <v>94</v>
      </c>
      <c r="M840" s="85" t="s">
        <v>667</v>
      </c>
      <c r="N840" s="127">
        <v>6200.0</v>
      </c>
      <c r="O840" s="73">
        <f t="shared" si="18"/>
        <v>0.6774193548</v>
      </c>
      <c r="P840" s="89">
        <v>4200.0</v>
      </c>
      <c r="Q840" s="84" t="s">
        <v>39</v>
      </c>
      <c r="R840" s="120">
        <v>1483878.0</v>
      </c>
      <c r="S840" s="85" t="s">
        <v>40</v>
      </c>
      <c r="T840" s="90">
        <v>6024157.0</v>
      </c>
      <c r="U840" s="12"/>
      <c r="V840" s="12"/>
      <c r="W840" s="12"/>
      <c r="X840" s="12"/>
      <c r="Y840" s="84" t="s">
        <v>668</v>
      </c>
      <c r="Z840" s="84" t="s">
        <v>669</v>
      </c>
      <c r="AA840" s="12"/>
      <c r="AB840" s="12"/>
      <c r="AC840" s="12"/>
      <c r="AD840" s="12"/>
      <c r="AE840" s="107" t="s">
        <v>39</v>
      </c>
      <c r="AF840" s="1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</row>
    <row r="841" ht="15.75" customHeight="1">
      <c r="A841" s="103">
        <v>1.102696E7</v>
      </c>
      <c r="B841" s="123">
        <v>1.001626841E9</v>
      </c>
      <c r="C841" s="11">
        <v>45547.0</v>
      </c>
      <c r="D841" s="84">
        <v>26.0</v>
      </c>
      <c r="E841" s="84">
        <v>32.553</v>
      </c>
      <c r="F841" s="38" t="s">
        <v>43</v>
      </c>
      <c r="G841" s="85" t="s">
        <v>44</v>
      </c>
      <c r="H841" s="12" t="s">
        <v>268</v>
      </c>
      <c r="I841" s="29" t="s">
        <v>397</v>
      </c>
      <c r="J841" s="25" t="s">
        <v>35</v>
      </c>
      <c r="K841" s="25" t="s">
        <v>270</v>
      </c>
      <c r="L841" s="28" t="s">
        <v>94</v>
      </c>
      <c r="M841" s="85" t="s">
        <v>659</v>
      </c>
      <c r="N841" s="88">
        <v>5880.0</v>
      </c>
      <c r="O841" s="73">
        <f t="shared" si="18"/>
        <v>0.6428571429</v>
      </c>
      <c r="P841" s="89">
        <v>3780.0</v>
      </c>
      <c r="Q841" s="84" t="s">
        <v>39</v>
      </c>
      <c r="R841" s="120">
        <v>1479347.0</v>
      </c>
      <c r="S841" s="85" t="s">
        <v>40</v>
      </c>
      <c r="T841" s="90">
        <v>5986835.0</v>
      </c>
      <c r="U841" s="12"/>
      <c r="V841" s="12"/>
      <c r="W841" s="12"/>
      <c r="X841" s="12"/>
      <c r="Y841" s="113">
        <v>45577.75</v>
      </c>
      <c r="Z841" s="113">
        <v>45608.0625</v>
      </c>
      <c r="AA841" s="12"/>
      <c r="AB841" s="12"/>
      <c r="AC841" s="12"/>
      <c r="AD841" s="12"/>
      <c r="AE841" s="107" t="s">
        <v>39</v>
      </c>
      <c r="AF841" s="1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</row>
    <row r="842" ht="15.75" customHeight="1">
      <c r="A842" s="103">
        <v>1.1026961E7</v>
      </c>
      <c r="B842" s="123">
        <v>1.00162673E9</v>
      </c>
      <c r="C842" s="11">
        <v>45547.0</v>
      </c>
      <c r="D842" s="84">
        <v>3.0</v>
      </c>
      <c r="E842" s="93">
        <v>15.911</v>
      </c>
      <c r="F842" s="38" t="s">
        <v>43</v>
      </c>
      <c r="G842" s="29" t="s">
        <v>44</v>
      </c>
      <c r="H842" s="12" t="s">
        <v>670</v>
      </c>
      <c r="I842" s="25" t="s">
        <v>269</v>
      </c>
      <c r="J842" s="25" t="s">
        <v>270</v>
      </c>
      <c r="K842" s="12" t="s">
        <v>35</v>
      </c>
      <c r="L842" s="28" t="s">
        <v>188</v>
      </c>
      <c r="M842" s="85" t="s">
        <v>671</v>
      </c>
      <c r="N842" s="88">
        <v>3920.0</v>
      </c>
      <c r="O842" s="73">
        <f t="shared" si="18"/>
        <v>0.4864795918</v>
      </c>
      <c r="P842" s="89">
        <v>1907.0</v>
      </c>
      <c r="Q842" s="29"/>
      <c r="R842" s="84">
        <v>1481106.0</v>
      </c>
      <c r="S842" s="85" t="s">
        <v>40</v>
      </c>
      <c r="T842" s="90">
        <v>6007225.0</v>
      </c>
      <c r="U842" s="12"/>
      <c r="V842" s="12"/>
      <c r="W842" s="12"/>
      <c r="X842" s="12"/>
      <c r="Y842" s="113">
        <v>45608.88888888889</v>
      </c>
      <c r="Z842" s="84" t="s">
        <v>672</v>
      </c>
      <c r="AA842" s="12"/>
      <c r="AB842" s="84">
        <v>764208.0</v>
      </c>
      <c r="AC842" s="84" t="s">
        <v>601</v>
      </c>
      <c r="AD842" s="12"/>
      <c r="AE842" s="107" t="s">
        <v>39</v>
      </c>
      <c r="AF842" s="1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</row>
    <row r="843" ht="15.75" customHeight="1">
      <c r="A843" s="103">
        <v>1.1030433E7</v>
      </c>
      <c r="B843" s="84">
        <v>1.001629113E9</v>
      </c>
      <c r="C843" s="11">
        <v>45638.0</v>
      </c>
      <c r="D843" s="84">
        <v>23.0</v>
      </c>
      <c r="E843" s="84">
        <v>28.074</v>
      </c>
      <c r="F843" s="85" t="s">
        <v>31</v>
      </c>
      <c r="G843" s="85" t="s">
        <v>74</v>
      </c>
      <c r="H843" s="84" t="s">
        <v>426</v>
      </c>
      <c r="I843" s="25" t="s">
        <v>427</v>
      </c>
      <c r="J843" s="12" t="s">
        <v>35</v>
      </c>
      <c r="K843" s="93" t="s">
        <v>673</v>
      </c>
      <c r="L843" s="95" t="s">
        <v>188</v>
      </c>
      <c r="M843" s="85" t="s">
        <v>555</v>
      </c>
      <c r="N843" s="88">
        <v>3260.0</v>
      </c>
      <c r="O843" s="73">
        <f t="shared" si="18"/>
        <v>0.3834355828</v>
      </c>
      <c r="P843" s="89">
        <v>1250.0</v>
      </c>
      <c r="Q843" s="85" t="s">
        <v>39</v>
      </c>
      <c r="R843" s="84">
        <v>1482155.0</v>
      </c>
      <c r="S843" s="85" t="s">
        <v>40</v>
      </c>
      <c r="T843" s="90">
        <v>6013807.0</v>
      </c>
      <c r="U843" s="113">
        <v>45638.291666666664</v>
      </c>
      <c r="V843" s="113">
        <v>45638.63888888889</v>
      </c>
      <c r="W843" s="12"/>
      <c r="X843" s="12"/>
      <c r="Y843" s="84" t="s">
        <v>674</v>
      </c>
      <c r="Z843" s="84" t="s">
        <v>675</v>
      </c>
      <c r="AA843" s="12"/>
      <c r="AB843" s="84" t="s">
        <v>676</v>
      </c>
      <c r="AC843" s="84" t="s">
        <v>677</v>
      </c>
      <c r="AD843" s="12"/>
      <c r="AE843" s="12"/>
      <c r="AF843" s="1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</row>
    <row r="844" ht="15.75" customHeight="1">
      <c r="A844" s="103">
        <v>1.1031643E7</v>
      </c>
      <c r="B844" s="125">
        <v>1.001626151E9</v>
      </c>
      <c r="C844" s="11" t="s">
        <v>666</v>
      </c>
      <c r="D844" s="84">
        <v>26.0</v>
      </c>
      <c r="E844" s="84">
        <v>31.922</v>
      </c>
      <c r="F844" s="85" t="s">
        <v>31</v>
      </c>
      <c r="G844" s="85" t="s">
        <v>44</v>
      </c>
      <c r="H844" s="29" t="s">
        <v>268</v>
      </c>
      <c r="I844" s="25" t="s">
        <v>397</v>
      </c>
      <c r="J844" s="25" t="s">
        <v>35</v>
      </c>
      <c r="K844" s="29" t="s">
        <v>270</v>
      </c>
      <c r="L844" s="28" t="s">
        <v>94</v>
      </c>
      <c r="M844" s="85" t="s">
        <v>678</v>
      </c>
      <c r="N844" s="127">
        <v>6200.0</v>
      </c>
      <c r="O844" s="73">
        <f t="shared" si="18"/>
        <v>0.6774193548</v>
      </c>
      <c r="P844" s="89">
        <v>4200.0</v>
      </c>
      <c r="Q844" s="85" t="s">
        <v>39</v>
      </c>
      <c r="R844" s="84">
        <v>1483965.0</v>
      </c>
      <c r="S844" s="128" t="s">
        <v>40</v>
      </c>
      <c r="T844" s="90">
        <v>6024599.0</v>
      </c>
      <c r="U844" s="12"/>
      <c r="V844" s="12"/>
      <c r="W844" s="12"/>
      <c r="X844" s="12"/>
      <c r="Y844" s="84" t="s">
        <v>668</v>
      </c>
      <c r="Z844" s="84" t="s">
        <v>669</v>
      </c>
      <c r="AA844" s="12"/>
      <c r="AB844" s="12"/>
      <c r="AC844" s="12"/>
      <c r="AD844" s="12"/>
      <c r="AE844" s="107" t="s">
        <v>39</v>
      </c>
      <c r="AF844" s="1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</row>
    <row r="845" ht="15.75" customHeight="1">
      <c r="A845" s="103">
        <v>1.103539E7</v>
      </c>
      <c r="B845" s="125">
        <v>1.001634964E9</v>
      </c>
      <c r="C845" s="11">
        <v>45608.0</v>
      </c>
      <c r="D845" s="84">
        <v>26.0</v>
      </c>
      <c r="E845" s="84">
        <v>34.582</v>
      </c>
      <c r="F845" s="85" t="s">
        <v>31</v>
      </c>
      <c r="G845" s="85" t="s">
        <v>32</v>
      </c>
      <c r="H845" s="85" t="s">
        <v>487</v>
      </c>
      <c r="I845" s="93" t="s">
        <v>488</v>
      </c>
      <c r="J845" s="25" t="s">
        <v>35</v>
      </c>
      <c r="K845" s="96" t="s">
        <v>679</v>
      </c>
      <c r="L845" s="95" t="s">
        <v>114</v>
      </c>
      <c r="M845" s="85" t="s">
        <v>512</v>
      </c>
      <c r="N845" s="88">
        <v>4854.0</v>
      </c>
      <c r="O845" s="73">
        <f t="shared" si="18"/>
        <v>0.2492789452</v>
      </c>
      <c r="P845" s="89">
        <v>1210.0</v>
      </c>
      <c r="Q845" s="85" t="s">
        <v>39</v>
      </c>
      <c r="R845" s="84">
        <v>1481148.0</v>
      </c>
      <c r="S845" s="85" t="s">
        <v>40</v>
      </c>
      <c r="T845" s="90">
        <v>6007692.0</v>
      </c>
      <c r="U845" s="113">
        <v>45608.375</v>
      </c>
      <c r="V845" s="113">
        <v>45608.541666666664</v>
      </c>
      <c r="W845" s="12"/>
      <c r="X845" s="12"/>
      <c r="Y845" s="113">
        <v>45638.458333333336</v>
      </c>
      <c r="Z845" s="113">
        <v>45638.61111111111</v>
      </c>
      <c r="AA845" s="12"/>
      <c r="AB845" s="12"/>
      <c r="AC845" s="12"/>
      <c r="AD845" s="12"/>
      <c r="AE845" s="107" t="s">
        <v>39</v>
      </c>
      <c r="AF845" s="1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</row>
    <row r="846" ht="15.75" customHeight="1">
      <c r="A846" s="129">
        <v>1.1040247E7</v>
      </c>
      <c r="B846" s="123">
        <v>1.001637207E9</v>
      </c>
      <c r="C846" s="11">
        <v>45638.0</v>
      </c>
      <c r="D846" s="84">
        <v>26.0</v>
      </c>
      <c r="E846" s="84">
        <v>32.553</v>
      </c>
      <c r="F846" s="9" t="s">
        <v>43</v>
      </c>
      <c r="G846" s="85" t="s">
        <v>44</v>
      </c>
      <c r="H846" s="12" t="s">
        <v>268</v>
      </c>
      <c r="I846" s="29" t="s">
        <v>397</v>
      </c>
      <c r="J846" s="12" t="s">
        <v>35</v>
      </c>
      <c r="K846" s="12" t="s">
        <v>270</v>
      </c>
      <c r="L846" s="28" t="s">
        <v>94</v>
      </c>
      <c r="M846" s="84" t="s">
        <v>680</v>
      </c>
      <c r="N846" s="88">
        <v>5880.0</v>
      </c>
      <c r="O846" s="73">
        <f t="shared" si="18"/>
        <v>0.3301020408</v>
      </c>
      <c r="P846" s="89">
        <v>1941.0</v>
      </c>
      <c r="Q846" s="84" t="s">
        <v>39</v>
      </c>
      <c r="R846" s="84">
        <v>1482372.0</v>
      </c>
      <c r="S846" s="85" t="s">
        <v>40</v>
      </c>
      <c r="T846" s="90">
        <v>6015268.0</v>
      </c>
      <c r="U846" s="113">
        <v>45638.65277777778</v>
      </c>
      <c r="V846" s="84" t="s">
        <v>681</v>
      </c>
      <c r="W846" s="12"/>
      <c r="X846" s="12"/>
      <c r="Y846" s="84" t="s">
        <v>682</v>
      </c>
      <c r="Z846" s="84" t="s">
        <v>683</v>
      </c>
      <c r="AA846" s="12"/>
      <c r="AB846" s="84">
        <v>766044.0</v>
      </c>
      <c r="AC846" s="84" t="s">
        <v>684</v>
      </c>
      <c r="AD846" s="12"/>
      <c r="AE846" s="107" t="s">
        <v>39</v>
      </c>
      <c r="AF846" s="1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</row>
    <row r="847" ht="15.75" customHeight="1">
      <c r="A847" s="129">
        <v>1.1040258E7</v>
      </c>
      <c r="B847" s="123">
        <v>1.001637371E9</v>
      </c>
      <c r="C847" s="11">
        <v>45638.0</v>
      </c>
      <c r="D847" s="84">
        <v>26.0</v>
      </c>
      <c r="E847" s="84">
        <v>32.553</v>
      </c>
      <c r="F847" s="9" t="s">
        <v>43</v>
      </c>
      <c r="G847" s="85" t="s">
        <v>44</v>
      </c>
      <c r="H847" s="12" t="s">
        <v>268</v>
      </c>
      <c r="I847" s="29" t="s">
        <v>397</v>
      </c>
      <c r="J847" s="12" t="s">
        <v>35</v>
      </c>
      <c r="K847" s="12" t="s">
        <v>270</v>
      </c>
      <c r="L847" s="28" t="s">
        <v>94</v>
      </c>
      <c r="M847" s="85" t="s">
        <v>685</v>
      </c>
      <c r="N847" s="88">
        <v>5880.0</v>
      </c>
      <c r="O847" s="73">
        <f t="shared" si="18"/>
        <v>0.3301020408</v>
      </c>
      <c r="P847" s="89">
        <v>1941.0</v>
      </c>
      <c r="Q847" s="85" t="s">
        <v>39</v>
      </c>
      <c r="R847" s="29">
        <v>1482441.0</v>
      </c>
      <c r="S847" s="85" t="s">
        <v>40</v>
      </c>
      <c r="T847" s="90">
        <v>6015625.0</v>
      </c>
      <c r="U847" s="113">
        <v>45638.65972222222</v>
      </c>
      <c r="V847" s="113">
        <v>45638.98611111111</v>
      </c>
      <c r="W847" s="12"/>
      <c r="X847" s="12"/>
      <c r="Y847" s="84" t="s">
        <v>686</v>
      </c>
      <c r="Z847" s="84" t="s">
        <v>687</v>
      </c>
      <c r="AA847" s="12"/>
      <c r="AB847" s="84">
        <v>766047.0</v>
      </c>
      <c r="AC847" s="84" t="s">
        <v>688</v>
      </c>
      <c r="AD847" s="12"/>
      <c r="AE847" s="107" t="s">
        <v>39</v>
      </c>
      <c r="AF847" s="1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</row>
    <row r="848" ht="15.75" customHeight="1">
      <c r="A848" s="130">
        <v>1.1040259E7</v>
      </c>
      <c r="B848" s="123">
        <v>4.503570956E9</v>
      </c>
      <c r="C848" s="11">
        <v>45638.0</v>
      </c>
      <c r="D848" s="84">
        <v>3.0</v>
      </c>
      <c r="E848" s="84">
        <v>15.911</v>
      </c>
      <c r="F848" s="9" t="s">
        <v>43</v>
      </c>
      <c r="G848" s="29" t="s">
        <v>44</v>
      </c>
      <c r="H848" s="12" t="s">
        <v>689</v>
      </c>
      <c r="I848" s="29" t="s">
        <v>269</v>
      </c>
      <c r="J848" s="12" t="s">
        <v>270</v>
      </c>
      <c r="K848" s="12" t="s">
        <v>35</v>
      </c>
      <c r="L848" s="28" t="s">
        <v>188</v>
      </c>
      <c r="M848" s="89" t="s">
        <v>690</v>
      </c>
      <c r="N848" s="88">
        <v>3920.0</v>
      </c>
      <c r="O848" s="131">
        <v>0.0</v>
      </c>
      <c r="P848" s="89"/>
      <c r="Q848" s="29"/>
      <c r="R848" s="132" t="s">
        <v>580</v>
      </c>
      <c r="S848" s="85" t="s">
        <v>131</v>
      </c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84" t="s">
        <v>52</v>
      </c>
      <c r="AF848" s="1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</row>
    <row r="849" ht="15.75" customHeight="1">
      <c r="A849" s="129">
        <v>1.104026E7</v>
      </c>
      <c r="B849" s="123">
        <v>4.503570951E9</v>
      </c>
      <c r="C849" s="11">
        <v>45638.0</v>
      </c>
      <c r="D849" s="84">
        <v>3.0</v>
      </c>
      <c r="E849" s="84">
        <v>15.911</v>
      </c>
      <c r="F849" s="9" t="s">
        <v>43</v>
      </c>
      <c r="G849" s="12" t="s">
        <v>44</v>
      </c>
      <c r="H849" s="12" t="s">
        <v>691</v>
      </c>
      <c r="I849" s="29" t="s">
        <v>269</v>
      </c>
      <c r="J849" s="12" t="s">
        <v>270</v>
      </c>
      <c r="K849" s="12" t="s">
        <v>35</v>
      </c>
      <c r="L849" s="15" t="s">
        <v>188</v>
      </c>
      <c r="M849" s="84" t="s">
        <v>692</v>
      </c>
      <c r="N849" s="133">
        <v>3920.0</v>
      </c>
      <c r="O849" s="131">
        <v>0.0</v>
      </c>
      <c r="P849" s="98">
        <v>1839.0</v>
      </c>
      <c r="Q849" s="12"/>
      <c r="R849" s="84">
        <v>1484540.0</v>
      </c>
      <c r="S849" s="85" t="s">
        <v>40</v>
      </c>
      <c r="T849" s="90">
        <v>6026550.0</v>
      </c>
      <c r="U849" s="12"/>
      <c r="V849" s="12"/>
      <c r="W849" s="12"/>
      <c r="X849" s="12"/>
      <c r="Y849" s="84" t="s">
        <v>693</v>
      </c>
      <c r="Z849" s="84" t="s">
        <v>694</v>
      </c>
      <c r="AA849" s="12"/>
      <c r="AB849" s="84">
        <v>767774.0</v>
      </c>
      <c r="AC849" s="84" t="s">
        <v>601</v>
      </c>
      <c r="AD849" s="12"/>
      <c r="AE849" s="107" t="s">
        <v>39</v>
      </c>
      <c r="AF849" s="1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</row>
    <row r="850" ht="15.75" customHeight="1">
      <c r="A850" s="126">
        <v>1.1041789E7</v>
      </c>
      <c r="B850" s="125">
        <v>1.001640484E9</v>
      </c>
      <c r="C850" s="11" t="s">
        <v>695</v>
      </c>
      <c r="D850" s="84">
        <v>26.0</v>
      </c>
      <c r="E850" s="84">
        <v>30.917</v>
      </c>
      <c r="F850" s="9" t="s">
        <v>43</v>
      </c>
      <c r="G850" s="84" t="s">
        <v>32</v>
      </c>
      <c r="H850" s="84" t="s">
        <v>487</v>
      </c>
      <c r="I850" s="85" t="s">
        <v>488</v>
      </c>
      <c r="J850" s="12" t="s">
        <v>35</v>
      </c>
      <c r="K850" s="94" t="s">
        <v>696</v>
      </c>
      <c r="L850" s="98" t="s">
        <v>114</v>
      </c>
      <c r="M850" s="98" t="s">
        <v>659</v>
      </c>
      <c r="N850" s="133">
        <v>4900.0</v>
      </c>
      <c r="O850" s="131">
        <v>0.0</v>
      </c>
      <c r="P850" s="98">
        <v>1210.0</v>
      </c>
      <c r="Q850" s="84" t="s">
        <v>39</v>
      </c>
      <c r="R850" s="84">
        <v>1483430.0</v>
      </c>
      <c r="S850" s="85" t="s">
        <v>40</v>
      </c>
      <c r="T850" s="90">
        <v>6022015.0</v>
      </c>
      <c r="U850" s="12"/>
      <c r="V850" s="12"/>
      <c r="W850" s="12"/>
      <c r="X850" s="12"/>
      <c r="Y850" s="84" t="s">
        <v>697</v>
      </c>
      <c r="Z850" s="84" t="s">
        <v>698</v>
      </c>
      <c r="AA850" s="12"/>
      <c r="AB850" s="12"/>
      <c r="AC850" s="12"/>
      <c r="AD850" s="12"/>
      <c r="AE850" s="107" t="s">
        <v>39</v>
      </c>
      <c r="AF850" s="1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</row>
    <row r="851" ht="15.75" customHeight="1">
      <c r="A851" s="126">
        <v>1.104179E7</v>
      </c>
      <c r="B851" s="125">
        <v>1.001640492E9</v>
      </c>
      <c r="C851" s="11" t="s">
        <v>695</v>
      </c>
      <c r="D851" s="84">
        <v>5.0</v>
      </c>
      <c r="E851" s="93">
        <v>15.078</v>
      </c>
      <c r="F851" s="38" t="s">
        <v>43</v>
      </c>
      <c r="G851" s="93" t="s">
        <v>32</v>
      </c>
      <c r="H851" s="84" t="s">
        <v>699</v>
      </c>
      <c r="I851" s="85" t="s">
        <v>488</v>
      </c>
      <c r="J851" s="94" t="s">
        <v>700</v>
      </c>
      <c r="K851" s="12" t="s">
        <v>35</v>
      </c>
      <c r="L851" s="95" t="s">
        <v>188</v>
      </c>
      <c r="M851" s="89" t="s">
        <v>671</v>
      </c>
      <c r="N851" s="88">
        <v>3266.0</v>
      </c>
      <c r="O851" s="131">
        <v>0.0</v>
      </c>
      <c r="P851" s="89">
        <v>1210.0</v>
      </c>
      <c r="Q851" s="12"/>
      <c r="R851" s="120">
        <v>1485492.0</v>
      </c>
      <c r="S851" s="85" t="s">
        <v>40</v>
      </c>
      <c r="T851" s="90">
        <v>6030717.0</v>
      </c>
      <c r="U851" s="12"/>
      <c r="V851" s="12"/>
      <c r="W851" s="12"/>
      <c r="X851" s="12"/>
      <c r="Y851" s="84" t="s">
        <v>701</v>
      </c>
      <c r="Z851" s="84" t="s">
        <v>702</v>
      </c>
      <c r="AA851" s="12"/>
      <c r="AB851" s="84">
        <v>767787.0</v>
      </c>
      <c r="AC851" s="84" t="s">
        <v>601</v>
      </c>
      <c r="AD851" s="12"/>
      <c r="AE851" s="107" t="s">
        <v>39</v>
      </c>
      <c r="AF851" s="1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</row>
    <row r="852" ht="15.75" customHeight="1">
      <c r="A852" s="103">
        <v>1.1042324E7</v>
      </c>
      <c r="B852" s="84">
        <v>1.001640031E9</v>
      </c>
      <c r="C852" s="11" t="s">
        <v>703</v>
      </c>
      <c r="D852" s="84">
        <v>26.0</v>
      </c>
      <c r="E852" s="93">
        <v>32.553</v>
      </c>
      <c r="F852" s="38" t="s">
        <v>43</v>
      </c>
      <c r="G852" s="93" t="s">
        <v>44</v>
      </c>
      <c r="H852" s="12" t="s">
        <v>268</v>
      </c>
      <c r="I852" s="29" t="s">
        <v>397</v>
      </c>
      <c r="J852" s="12" t="s">
        <v>35</v>
      </c>
      <c r="K852" s="12" t="s">
        <v>270</v>
      </c>
      <c r="L852" s="28" t="s">
        <v>94</v>
      </c>
      <c r="M852" s="85" t="s">
        <v>704</v>
      </c>
      <c r="N852" s="88">
        <v>5880.0</v>
      </c>
      <c r="O852" s="73">
        <f t="shared" ref="O852:O855" si="19">IFERROR(P852/N852,0)</f>
        <v>0.3994897959</v>
      </c>
      <c r="P852" s="89">
        <v>2349.0</v>
      </c>
      <c r="Q852" s="84" t="s">
        <v>39</v>
      </c>
      <c r="R852" s="84">
        <v>1484977.0</v>
      </c>
      <c r="S852" s="85" t="s">
        <v>40</v>
      </c>
      <c r="T852" s="90">
        <v>6028122.0</v>
      </c>
      <c r="U852" s="12"/>
      <c r="V852" s="12"/>
      <c r="W852" s="12"/>
      <c r="X852" s="12"/>
      <c r="Y852" s="84" t="s">
        <v>705</v>
      </c>
      <c r="Z852" s="84" t="s">
        <v>706</v>
      </c>
      <c r="AA852" s="12"/>
      <c r="AB852" s="12"/>
      <c r="AC852" s="12"/>
      <c r="AD852" s="12"/>
      <c r="AE852" s="107" t="s">
        <v>39</v>
      </c>
      <c r="AF852" s="1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</row>
    <row r="853" ht="15.75" customHeight="1">
      <c r="A853" s="103">
        <v>1.1042325E7</v>
      </c>
      <c r="B853" s="84">
        <v>1.001640021E9</v>
      </c>
      <c r="C853" s="11" t="s">
        <v>703</v>
      </c>
      <c r="D853" s="84">
        <v>26.0</v>
      </c>
      <c r="E853" s="93">
        <v>32.553</v>
      </c>
      <c r="F853" s="38" t="s">
        <v>43</v>
      </c>
      <c r="G853" s="93" t="s">
        <v>44</v>
      </c>
      <c r="H853" s="12" t="s">
        <v>268</v>
      </c>
      <c r="I853" s="29" t="s">
        <v>397</v>
      </c>
      <c r="J853" s="12" t="s">
        <v>35</v>
      </c>
      <c r="K853" s="12" t="s">
        <v>270</v>
      </c>
      <c r="L853" s="28" t="s">
        <v>94</v>
      </c>
      <c r="M853" s="85" t="s">
        <v>707</v>
      </c>
      <c r="N853" s="88">
        <v>5880.0</v>
      </c>
      <c r="O853" s="73">
        <f t="shared" si="19"/>
        <v>0.3994897959</v>
      </c>
      <c r="P853" s="89">
        <v>2349.0</v>
      </c>
      <c r="Q853" s="84" t="s">
        <v>39</v>
      </c>
      <c r="R853" s="84">
        <v>1485485.0</v>
      </c>
      <c r="S853" s="85" t="s">
        <v>40</v>
      </c>
      <c r="T853" s="90">
        <v>6030669.0</v>
      </c>
      <c r="U853" s="12"/>
      <c r="V853" s="12"/>
      <c r="W853" s="12"/>
      <c r="X853" s="12"/>
      <c r="Y853" s="84" t="s">
        <v>708</v>
      </c>
      <c r="Z853" s="84" t="s">
        <v>709</v>
      </c>
      <c r="AA853" s="12"/>
      <c r="AB853" s="12"/>
      <c r="AC853" s="12"/>
      <c r="AD853" s="12"/>
      <c r="AE853" s="107" t="s">
        <v>39</v>
      </c>
      <c r="AF853" s="1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</row>
    <row r="854" ht="15.75" customHeight="1">
      <c r="A854" s="103">
        <v>1.1042326E7</v>
      </c>
      <c r="B854" s="123">
        <v>1.00164001E9</v>
      </c>
      <c r="C854" s="11" t="s">
        <v>703</v>
      </c>
      <c r="D854" s="84">
        <v>3.0</v>
      </c>
      <c r="E854" s="93">
        <v>15.911</v>
      </c>
      <c r="F854" s="38" t="s">
        <v>43</v>
      </c>
      <c r="G854" s="25" t="s">
        <v>44</v>
      </c>
      <c r="H854" s="12" t="s">
        <v>710</v>
      </c>
      <c r="I854" s="29" t="s">
        <v>269</v>
      </c>
      <c r="J854" s="12" t="s">
        <v>270</v>
      </c>
      <c r="K854" s="12" t="s">
        <v>35</v>
      </c>
      <c r="L854" s="28" t="s">
        <v>188</v>
      </c>
      <c r="M854" s="85" t="s">
        <v>711</v>
      </c>
      <c r="N854" s="88">
        <v>3920.0</v>
      </c>
      <c r="O854" s="73">
        <f t="shared" si="19"/>
        <v>0</v>
      </c>
      <c r="P854" s="89" t="s">
        <v>712</v>
      </c>
      <c r="Q854" s="12"/>
      <c r="R854" s="84">
        <v>1487525.0</v>
      </c>
      <c r="S854" s="85" t="s">
        <v>40</v>
      </c>
      <c r="T854" s="134">
        <v>6042972.0</v>
      </c>
      <c r="U854" s="12"/>
      <c r="V854" s="12"/>
      <c r="W854" s="12"/>
      <c r="X854" s="12"/>
      <c r="Y854" s="84" t="s">
        <v>713</v>
      </c>
      <c r="Z854" s="84" t="s">
        <v>714</v>
      </c>
      <c r="AA854" s="12"/>
      <c r="AB854" s="84">
        <v>770253.0</v>
      </c>
      <c r="AC854" s="84" t="s">
        <v>601</v>
      </c>
      <c r="AD854" s="12"/>
      <c r="AE854" s="107" t="s">
        <v>39</v>
      </c>
      <c r="AF854" s="1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</row>
    <row r="855" ht="15.75" customHeight="1">
      <c r="A855" s="103">
        <v>1.1042327E7</v>
      </c>
      <c r="B855" s="123">
        <v>1.001639996E9</v>
      </c>
      <c r="C855" s="11" t="s">
        <v>703</v>
      </c>
      <c r="D855" s="84">
        <v>3.0</v>
      </c>
      <c r="E855" s="93">
        <v>15.911</v>
      </c>
      <c r="F855" s="38" t="s">
        <v>43</v>
      </c>
      <c r="G855" s="25" t="s">
        <v>44</v>
      </c>
      <c r="H855" s="12" t="s">
        <v>715</v>
      </c>
      <c r="I855" s="29" t="s">
        <v>269</v>
      </c>
      <c r="J855" s="12" t="s">
        <v>270</v>
      </c>
      <c r="K855" s="12" t="s">
        <v>35</v>
      </c>
      <c r="L855" s="28" t="s">
        <v>188</v>
      </c>
      <c r="M855" s="85" t="s">
        <v>716</v>
      </c>
      <c r="N855" s="88">
        <v>3920.0</v>
      </c>
      <c r="O855" s="73">
        <f t="shared" si="19"/>
        <v>0.4864795918</v>
      </c>
      <c r="P855" s="89">
        <v>1907.0</v>
      </c>
      <c r="Q855" s="29"/>
      <c r="R855" s="85">
        <v>1486836.0</v>
      </c>
      <c r="S855" s="85" t="s">
        <v>40</v>
      </c>
      <c r="T855" s="134">
        <v>6038802.0</v>
      </c>
      <c r="U855" s="12"/>
      <c r="V855" s="12"/>
      <c r="W855" s="12"/>
      <c r="X855" s="12"/>
      <c r="Y855" s="84" t="s">
        <v>717</v>
      </c>
      <c r="Z855" s="84" t="s">
        <v>718</v>
      </c>
      <c r="AA855" s="12"/>
      <c r="AB855" s="84">
        <v>770250.0</v>
      </c>
      <c r="AC855" s="84" t="s">
        <v>601</v>
      </c>
      <c r="AD855" s="12"/>
      <c r="AE855" s="107" t="s">
        <v>39</v>
      </c>
      <c r="AF855" s="1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</row>
    <row r="856" ht="15.75" customHeight="1">
      <c r="A856" s="103">
        <v>1.1050253E7</v>
      </c>
      <c r="B856" s="84">
        <v>1.001649045E9</v>
      </c>
      <c r="C856" s="11" t="s">
        <v>719</v>
      </c>
      <c r="D856" s="84">
        <v>26.0</v>
      </c>
      <c r="E856" s="84">
        <v>31.922</v>
      </c>
      <c r="F856" s="84" t="s">
        <v>31</v>
      </c>
      <c r="G856" s="84" t="s">
        <v>44</v>
      </c>
      <c r="H856" s="84" t="s">
        <v>268</v>
      </c>
      <c r="I856" s="29" t="s">
        <v>397</v>
      </c>
      <c r="J856" s="12" t="s">
        <v>35</v>
      </c>
      <c r="K856" s="12" t="s">
        <v>270</v>
      </c>
      <c r="L856" s="15" t="s">
        <v>94</v>
      </c>
      <c r="M856" s="84" t="s">
        <v>720</v>
      </c>
      <c r="N856" s="133">
        <v>6200.0</v>
      </c>
      <c r="O856" s="131">
        <v>0.0</v>
      </c>
      <c r="P856" s="98">
        <v>4700.0</v>
      </c>
      <c r="Q856" s="84" t="s">
        <v>39</v>
      </c>
      <c r="R856" s="84">
        <v>1487389.0</v>
      </c>
      <c r="S856" s="85" t="s">
        <v>40</v>
      </c>
      <c r="T856" s="90">
        <v>6042490.0</v>
      </c>
      <c r="U856" s="12"/>
      <c r="V856" s="12"/>
      <c r="W856" s="12"/>
      <c r="X856" s="12"/>
      <c r="Y856" s="84" t="s">
        <v>721</v>
      </c>
      <c r="Z856" s="84" t="s">
        <v>722</v>
      </c>
      <c r="AA856" s="12"/>
      <c r="AB856" s="12"/>
      <c r="AC856" s="12"/>
      <c r="AD856" s="12"/>
      <c r="AE856" s="107" t="s">
        <v>39</v>
      </c>
      <c r="AF856" s="1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</row>
    <row r="857" ht="15.75" customHeight="1">
      <c r="A857" s="103">
        <v>1.1054321E7</v>
      </c>
      <c r="B857" s="84">
        <v>1.001652279E9</v>
      </c>
      <c r="C857" s="11" t="s">
        <v>719</v>
      </c>
      <c r="D857" s="84">
        <v>26.0</v>
      </c>
      <c r="E857" s="93">
        <v>32.553</v>
      </c>
      <c r="F857" s="9" t="s">
        <v>43</v>
      </c>
      <c r="G857" s="29" t="s">
        <v>32</v>
      </c>
      <c r="H857" s="12" t="s">
        <v>111</v>
      </c>
      <c r="I857" s="29" t="s">
        <v>112</v>
      </c>
      <c r="J857" s="12" t="s">
        <v>35</v>
      </c>
      <c r="K857" s="12" t="s">
        <v>113</v>
      </c>
      <c r="L857" s="25" t="s">
        <v>114</v>
      </c>
      <c r="M857" s="85" t="s">
        <v>659</v>
      </c>
      <c r="N857" s="88">
        <v>5613.0</v>
      </c>
      <c r="O857" s="73">
        <f t="shared" ref="O857:O862" si="20">IFERROR(P857/N857,0)</f>
        <v>0</v>
      </c>
      <c r="P857" s="89" t="s">
        <v>723</v>
      </c>
      <c r="Q857" s="85" t="s">
        <v>39</v>
      </c>
      <c r="R857" s="85">
        <v>1487218.0</v>
      </c>
      <c r="S857" s="85" t="s">
        <v>40</v>
      </c>
      <c r="T857" s="90">
        <v>6041614.0</v>
      </c>
      <c r="U857" s="12"/>
      <c r="V857" s="12"/>
      <c r="W857" s="12"/>
      <c r="X857" s="12"/>
      <c r="Y857" s="84" t="s">
        <v>724</v>
      </c>
      <c r="Z857" s="84" t="s">
        <v>722</v>
      </c>
      <c r="AA857" s="12"/>
      <c r="AB857" s="12"/>
      <c r="AC857" s="12"/>
      <c r="AD857" s="12"/>
      <c r="AE857" s="107" t="s">
        <v>39</v>
      </c>
      <c r="AF857" s="1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</row>
    <row r="858" ht="15.75" customHeight="1">
      <c r="A858" s="103">
        <v>1.1054322E7</v>
      </c>
      <c r="B858" s="84">
        <v>1.001652296E9</v>
      </c>
      <c r="C858" s="11" t="s">
        <v>719</v>
      </c>
      <c r="D858" s="84">
        <v>3.0</v>
      </c>
      <c r="E858" s="93">
        <v>15.911</v>
      </c>
      <c r="F858" s="9" t="s">
        <v>43</v>
      </c>
      <c r="G858" s="29" t="s">
        <v>32</v>
      </c>
      <c r="H858" s="12" t="s">
        <v>725</v>
      </c>
      <c r="I858" s="29" t="s">
        <v>112</v>
      </c>
      <c r="J858" s="12" t="s">
        <v>113</v>
      </c>
      <c r="K858" s="12" t="s">
        <v>35</v>
      </c>
      <c r="L858" s="25" t="s">
        <v>43</v>
      </c>
      <c r="M858" s="85" t="s">
        <v>671</v>
      </c>
      <c r="N858" s="88">
        <v>3742.0</v>
      </c>
      <c r="O858" s="135">
        <f t="shared" si="20"/>
        <v>0</v>
      </c>
      <c r="P858" s="89" t="s">
        <v>723</v>
      </c>
      <c r="Q858" s="29"/>
      <c r="R858" s="85">
        <v>1488668.0</v>
      </c>
      <c r="S858" s="85" t="s">
        <v>40</v>
      </c>
      <c r="T858" s="90">
        <v>6050439.0</v>
      </c>
      <c r="U858" s="12"/>
      <c r="V858" s="12"/>
      <c r="W858" s="12"/>
      <c r="X858" s="12"/>
      <c r="Y858" s="84" t="s">
        <v>726</v>
      </c>
      <c r="Z858" s="84" t="s">
        <v>727</v>
      </c>
      <c r="AA858" s="12"/>
      <c r="AB858" s="84">
        <v>771867.0</v>
      </c>
      <c r="AC858" s="84" t="s">
        <v>601</v>
      </c>
      <c r="AD858" s="12"/>
      <c r="AE858" s="107" t="s">
        <v>39</v>
      </c>
      <c r="AF858" s="1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</row>
    <row r="859" ht="15.75" customHeight="1">
      <c r="A859" s="103">
        <v>1.1054928E7</v>
      </c>
      <c r="B859" s="84">
        <v>1.001656555E9</v>
      </c>
      <c r="C859" s="11" t="s">
        <v>728</v>
      </c>
      <c r="D859" s="84">
        <v>26.0</v>
      </c>
      <c r="E859" s="93">
        <v>32.553</v>
      </c>
      <c r="F859" s="9" t="s">
        <v>43</v>
      </c>
      <c r="G859" s="85" t="s">
        <v>44</v>
      </c>
      <c r="H859" s="12" t="s">
        <v>268</v>
      </c>
      <c r="I859" s="29" t="s">
        <v>397</v>
      </c>
      <c r="J859" s="12" t="s">
        <v>35</v>
      </c>
      <c r="K859" s="12" t="s">
        <v>270</v>
      </c>
      <c r="L859" s="28" t="s">
        <v>94</v>
      </c>
      <c r="M859" s="85" t="s">
        <v>729</v>
      </c>
      <c r="N859" s="88">
        <v>5880.0</v>
      </c>
      <c r="O859" s="73">
        <f t="shared" si="20"/>
        <v>0.3994897959</v>
      </c>
      <c r="P859" s="89">
        <v>2349.0</v>
      </c>
      <c r="Q859" s="85" t="s">
        <v>39</v>
      </c>
      <c r="R859" s="85">
        <v>1486072.0</v>
      </c>
      <c r="S859" s="85" t="s">
        <v>40</v>
      </c>
      <c r="T859" s="90">
        <v>6034418.0</v>
      </c>
      <c r="U859" s="84" t="s">
        <v>730</v>
      </c>
      <c r="V859" s="12"/>
      <c r="W859" s="12"/>
      <c r="X859" s="12"/>
      <c r="Y859" s="84" t="s">
        <v>731</v>
      </c>
      <c r="Z859" s="84" t="s">
        <v>732</v>
      </c>
      <c r="AA859" s="12"/>
      <c r="AB859" s="84">
        <v>770687.0</v>
      </c>
      <c r="AC859" s="84" t="s">
        <v>733</v>
      </c>
      <c r="AD859" s="12"/>
      <c r="AE859" s="107" t="s">
        <v>39</v>
      </c>
      <c r="AF859" s="1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</row>
    <row r="860" ht="15.75" customHeight="1">
      <c r="A860" s="103">
        <v>1.1054929E7</v>
      </c>
      <c r="B860" s="84">
        <v>1.001656512E9</v>
      </c>
      <c r="C860" s="11" t="s">
        <v>728</v>
      </c>
      <c r="D860" s="84">
        <v>26.0</v>
      </c>
      <c r="E860" s="93">
        <v>32.553</v>
      </c>
      <c r="F860" s="27" t="s">
        <v>43</v>
      </c>
      <c r="G860" s="93" t="s">
        <v>44</v>
      </c>
      <c r="H860" s="25" t="s">
        <v>268</v>
      </c>
      <c r="I860" s="25" t="s">
        <v>397</v>
      </c>
      <c r="J860" s="25" t="s">
        <v>35</v>
      </c>
      <c r="K860" s="25" t="s">
        <v>270</v>
      </c>
      <c r="L860" s="28" t="s">
        <v>94</v>
      </c>
      <c r="M860" s="85" t="s">
        <v>680</v>
      </c>
      <c r="N860" s="88">
        <v>5880.0</v>
      </c>
      <c r="O860" s="73">
        <f t="shared" si="20"/>
        <v>0.3301020408</v>
      </c>
      <c r="P860" s="89">
        <v>1941.0</v>
      </c>
      <c r="Q860" s="85" t="s">
        <v>39</v>
      </c>
      <c r="R860" s="85">
        <v>1487176.0</v>
      </c>
      <c r="S860" s="85" t="s">
        <v>40</v>
      </c>
      <c r="T860" s="90">
        <v>6041453.0</v>
      </c>
      <c r="U860" s="12"/>
      <c r="V860" s="12"/>
      <c r="W860" s="12"/>
      <c r="X860" s="12"/>
      <c r="Y860" s="84" t="s">
        <v>734</v>
      </c>
      <c r="Z860" s="84" t="s">
        <v>735</v>
      </c>
      <c r="AA860" s="12"/>
      <c r="AB860" s="12"/>
      <c r="AC860" s="12"/>
      <c r="AD860" s="12"/>
      <c r="AE860" s="107" t="s">
        <v>39</v>
      </c>
      <c r="AF860" s="1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</row>
    <row r="861" ht="15.75" customHeight="1">
      <c r="A861" s="103">
        <v>1.105493E7</v>
      </c>
      <c r="B861" s="84">
        <v>1.001656608E9</v>
      </c>
      <c r="C861" s="11" t="s">
        <v>728</v>
      </c>
      <c r="D861" s="84">
        <v>3.0</v>
      </c>
      <c r="E861" s="93">
        <v>15.911</v>
      </c>
      <c r="F861" s="27" t="s">
        <v>43</v>
      </c>
      <c r="G861" s="25" t="s">
        <v>44</v>
      </c>
      <c r="H861" s="25" t="s">
        <v>736</v>
      </c>
      <c r="I861" s="25" t="s">
        <v>269</v>
      </c>
      <c r="J861" s="25" t="s">
        <v>270</v>
      </c>
      <c r="K861" s="25" t="s">
        <v>35</v>
      </c>
      <c r="L861" s="28" t="s">
        <v>188</v>
      </c>
      <c r="M861" s="85" t="s">
        <v>737</v>
      </c>
      <c r="N861" s="88">
        <v>3920.0</v>
      </c>
      <c r="O861" s="73">
        <f t="shared" si="20"/>
        <v>0</v>
      </c>
      <c r="P861" s="89" t="s">
        <v>52</v>
      </c>
      <c r="Q861" s="29"/>
      <c r="R861" s="132" t="s">
        <v>580</v>
      </c>
      <c r="S861" s="85" t="s">
        <v>131</v>
      </c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84" t="s">
        <v>52</v>
      </c>
      <c r="AF861" s="1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</row>
    <row r="862" ht="15.0" customHeight="1">
      <c r="A862" s="103">
        <v>1.1054931E7</v>
      </c>
      <c r="B862" s="84">
        <v>1.001656639E9</v>
      </c>
      <c r="C862" s="11" t="s">
        <v>728</v>
      </c>
      <c r="D862" s="84">
        <v>3.0</v>
      </c>
      <c r="E862" s="93">
        <v>15.911</v>
      </c>
      <c r="F862" s="27" t="s">
        <v>43</v>
      </c>
      <c r="G862" s="25" t="s">
        <v>44</v>
      </c>
      <c r="H862" s="25" t="s">
        <v>738</v>
      </c>
      <c r="I862" s="25" t="s">
        <v>269</v>
      </c>
      <c r="J862" s="25" t="s">
        <v>270</v>
      </c>
      <c r="K862" s="25" t="s">
        <v>35</v>
      </c>
      <c r="L862" s="28" t="s">
        <v>188</v>
      </c>
      <c r="M862" s="85" t="s">
        <v>692</v>
      </c>
      <c r="N862" s="88">
        <v>3920.0</v>
      </c>
      <c r="O862" s="73">
        <f t="shared" si="20"/>
        <v>0.4951530612</v>
      </c>
      <c r="P862" s="89">
        <v>1941.0</v>
      </c>
      <c r="Q862" s="29"/>
      <c r="R862" s="85">
        <v>1488815.0</v>
      </c>
      <c r="S862" s="85" t="s">
        <v>40</v>
      </c>
      <c r="T862" s="90">
        <v>6051282.0</v>
      </c>
      <c r="U862" s="12"/>
      <c r="V862" s="12"/>
      <c r="W862" s="12"/>
      <c r="X862" s="12"/>
      <c r="Y862" s="84" t="s">
        <v>739</v>
      </c>
      <c r="Z862" s="84" t="s">
        <v>740</v>
      </c>
      <c r="AA862" s="12"/>
      <c r="AB862" s="12"/>
      <c r="AC862" s="12"/>
      <c r="AD862" s="12"/>
      <c r="AE862" s="107" t="s">
        <v>39</v>
      </c>
      <c r="AF862" s="1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</row>
    <row r="863" ht="15.0" customHeight="1">
      <c r="A863" s="103">
        <v>1.1057539E7</v>
      </c>
      <c r="B863" s="84">
        <v>1.00165838E9</v>
      </c>
      <c r="C863" s="11" t="s">
        <v>741</v>
      </c>
      <c r="D863" s="84">
        <v>26.0</v>
      </c>
      <c r="E863" s="93">
        <v>32.553</v>
      </c>
      <c r="F863" s="38" t="s">
        <v>43</v>
      </c>
      <c r="G863" s="93" t="s">
        <v>44</v>
      </c>
      <c r="H863" s="12" t="s">
        <v>268</v>
      </c>
      <c r="I863" s="29" t="s">
        <v>397</v>
      </c>
      <c r="J863" s="12" t="s">
        <v>35</v>
      </c>
      <c r="K863" s="12" t="s">
        <v>270</v>
      </c>
      <c r="L863" s="28" t="s">
        <v>94</v>
      </c>
      <c r="M863" s="85" t="s">
        <v>653</v>
      </c>
      <c r="N863" s="88">
        <v>5880.0</v>
      </c>
      <c r="O863" s="131">
        <v>0.0</v>
      </c>
      <c r="P863" s="89">
        <v>1941.0</v>
      </c>
      <c r="Q863" s="85" t="s">
        <v>39</v>
      </c>
      <c r="R863" s="84">
        <v>1488294.0</v>
      </c>
      <c r="S863" s="85" t="s">
        <v>40</v>
      </c>
      <c r="T863" s="90">
        <v>6047971.0</v>
      </c>
      <c r="U863" s="12"/>
      <c r="V863" s="12"/>
      <c r="W863" s="12"/>
      <c r="X863" s="12"/>
      <c r="Y863" s="84" t="s">
        <v>742</v>
      </c>
      <c r="Z863" s="84" t="s">
        <v>743</v>
      </c>
      <c r="AA863" s="12"/>
      <c r="AB863" s="12"/>
      <c r="AC863" s="12"/>
      <c r="AD863" s="12"/>
      <c r="AE863" s="107" t="s">
        <v>39</v>
      </c>
      <c r="AF863" s="1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</row>
    <row r="864" ht="15.0" customHeight="1">
      <c r="A864" s="103">
        <v>1.105754E7</v>
      </c>
      <c r="B864" s="84">
        <v>1.001658533E9</v>
      </c>
      <c r="C864" s="11" t="s">
        <v>741</v>
      </c>
      <c r="D864" s="84">
        <v>3.0</v>
      </c>
      <c r="E864" s="93">
        <v>15.911</v>
      </c>
      <c r="F864" s="9" t="s">
        <v>43</v>
      </c>
      <c r="G864" s="29" t="s">
        <v>44</v>
      </c>
      <c r="H864" s="12" t="s">
        <v>744</v>
      </c>
      <c r="I864" s="25" t="s">
        <v>269</v>
      </c>
      <c r="J864" s="25" t="s">
        <v>270</v>
      </c>
      <c r="K864" s="25" t="s">
        <v>35</v>
      </c>
      <c r="L864" s="28" t="s">
        <v>188</v>
      </c>
      <c r="M864" s="84" t="s">
        <v>745</v>
      </c>
      <c r="N864" s="88">
        <v>3920.0</v>
      </c>
      <c r="O864" s="131">
        <v>0.0</v>
      </c>
      <c r="P864" s="89">
        <v>1941.0</v>
      </c>
      <c r="Q864" s="29"/>
      <c r="R864" s="84">
        <v>1489083.0</v>
      </c>
      <c r="S864" s="85" t="s">
        <v>40</v>
      </c>
      <c r="T864" s="90">
        <v>6052980.0</v>
      </c>
      <c r="U864" s="12"/>
      <c r="V864" s="12"/>
      <c r="W864" s="12"/>
      <c r="X864" s="12"/>
      <c r="Y864" s="84" t="s">
        <v>746</v>
      </c>
      <c r="Z864" s="84" t="s">
        <v>747</v>
      </c>
      <c r="AA864" s="12"/>
      <c r="AB864" s="84">
        <v>772663.0</v>
      </c>
      <c r="AC864" s="84" t="s">
        <v>601</v>
      </c>
      <c r="AD864" s="12"/>
      <c r="AE864" s="107" t="s">
        <v>39</v>
      </c>
      <c r="AF864" s="1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</row>
    <row r="865" ht="15.0" customHeight="1">
      <c r="A865" s="103">
        <v>1.1057543E7</v>
      </c>
      <c r="B865" s="84">
        <v>1.0016583E9</v>
      </c>
      <c r="C865" s="11" t="s">
        <v>748</v>
      </c>
      <c r="D865" s="84">
        <v>26.0</v>
      </c>
      <c r="E865" s="93">
        <v>32.553</v>
      </c>
      <c r="F865" s="9" t="s">
        <v>43</v>
      </c>
      <c r="G865" s="85" t="s">
        <v>44</v>
      </c>
      <c r="H865" s="12" t="s">
        <v>268</v>
      </c>
      <c r="I865" s="25" t="s">
        <v>397</v>
      </c>
      <c r="J865" s="25" t="s">
        <v>35</v>
      </c>
      <c r="K865" s="12" t="s">
        <v>270</v>
      </c>
      <c r="L865" s="28" t="s">
        <v>94</v>
      </c>
      <c r="M865" s="84" t="s">
        <v>749</v>
      </c>
      <c r="N865" s="88">
        <v>5880.0</v>
      </c>
      <c r="O865" s="131">
        <v>0.0</v>
      </c>
      <c r="P865" s="89">
        <v>1941.0</v>
      </c>
      <c r="Q865" s="85" t="s">
        <v>39</v>
      </c>
      <c r="R865" s="84">
        <v>1489409.0</v>
      </c>
      <c r="S865" s="85" t="s">
        <v>40</v>
      </c>
      <c r="T865" s="90">
        <v>6054051.0</v>
      </c>
      <c r="U865" s="12"/>
      <c r="V865" s="12"/>
      <c r="W865" s="12"/>
      <c r="X865" s="12"/>
      <c r="Y865" s="84" t="s">
        <v>750</v>
      </c>
      <c r="Z865" s="84" t="s">
        <v>751</v>
      </c>
      <c r="AA865" s="12"/>
      <c r="AB865" s="12"/>
      <c r="AC865" s="12"/>
      <c r="AD865" s="12"/>
      <c r="AE865" s="107" t="s">
        <v>39</v>
      </c>
      <c r="AF865" s="1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</row>
    <row r="866" ht="15.0" customHeight="1">
      <c r="A866" s="103">
        <v>1.1057544E7</v>
      </c>
      <c r="B866" s="84">
        <v>1.001658501E9</v>
      </c>
      <c r="C866" s="11" t="s">
        <v>748</v>
      </c>
      <c r="D866" s="84">
        <v>3.0</v>
      </c>
      <c r="E866" s="93">
        <v>15.911</v>
      </c>
      <c r="F866" s="9" t="s">
        <v>43</v>
      </c>
      <c r="G866" s="29" t="s">
        <v>44</v>
      </c>
      <c r="H866" s="29" t="s">
        <v>752</v>
      </c>
      <c r="I866" s="25" t="s">
        <v>269</v>
      </c>
      <c r="J866" s="25" t="s">
        <v>270</v>
      </c>
      <c r="K866" s="12" t="s">
        <v>35</v>
      </c>
      <c r="L866" s="28" t="s">
        <v>188</v>
      </c>
      <c r="M866" s="85" t="s">
        <v>753</v>
      </c>
      <c r="N866" s="88">
        <v>3920.0</v>
      </c>
      <c r="O866" s="131">
        <v>0.0</v>
      </c>
      <c r="P866" s="89">
        <v>1941.0</v>
      </c>
      <c r="Q866" s="29"/>
      <c r="R866" s="85">
        <v>1491118.0</v>
      </c>
      <c r="S866" s="85" t="s">
        <v>40</v>
      </c>
      <c r="T866" s="90">
        <v>6060786.0</v>
      </c>
      <c r="U866" s="12"/>
      <c r="V866" s="12"/>
      <c r="W866" s="12"/>
      <c r="X866" s="84" t="s">
        <v>754</v>
      </c>
      <c r="Y866" s="84" t="s">
        <v>755</v>
      </c>
      <c r="Z866" s="84" t="s">
        <v>756</v>
      </c>
      <c r="AA866" s="12"/>
      <c r="AB866" s="84">
        <v>775464.0</v>
      </c>
      <c r="AC866" s="84" t="s">
        <v>601</v>
      </c>
      <c r="AD866" s="12"/>
      <c r="AE866" s="107" t="s">
        <v>39</v>
      </c>
      <c r="AF866" s="1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</row>
    <row r="867" ht="15.75" customHeight="1">
      <c r="A867" s="103">
        <v>1.1064399E7</v>
      </c>
      <c r="B867" s="84">
        <v>1.001664129E9</v>
      </c>
      <c r="C867" s="11" t="s">
        <v>757</v>
      </c>
      <c r="D867" s="84">
        <v>26.0</v>
      </c>
      <c r="E867" s="93">
        <v>32.553</v>
      </c>
      <c r="F867" s="27" t="s">
        <v>43</v>
      </c>
      <c r="G867" s="25" t="s">
        <v>32</v>
      </c>
      <c r="H867" s="25" t="s">
        <v>111</v>
      </c>
      <c r="I867" s="25" t="s">
        <v>112</v>
      </c>
      <c r="J867" s="25" t="s">
        <v>35</v>
      </c>
      <c r="K867" s="25" t="s">
        <v>113</v>
      </c>
      <c r="L867" s="25" t="s">
        <v>114</v>
      </c>
      <c r="M867" s="85" t="s">
        <v>758</v>
      </c>
      <c r="N867" s="88">
        <v>5613.0</v>
      </c>
      <c r="O867" s="73">
        <f t="shared" ref="O867:O868" si="21">IFERROR(P867/N867,0)</f>
        <v>0.3087475503</v>
      </c>
      <c r="P867" s="89">
        <v>1733.0</v>
      </c>
      <c r="Q867" s="85" t="s">
        <v>39</v>
      </c>
      <c r="R867" s="85">
        <v>1489627.0</v>
      </c>
      <c r="S867" s="85" t="s">
        <v>40</v>
      </c>
      <c r="T867" s="90">
        <v>6055082.0</v>
      </c>
      <c r="U867" s="84" t="s">
        <v>759</v>
      </c>
      <c r="V867" s="84" t="s">
        <v>760</v>
      </c>
      <c r="W867" s="12"/>
      <c r="X867" s="12"/>
      <c r="Y867" s="84" t="s">
        <v>761</v>
      </c>
      <c r="Z867" s="84" t="s">
        <v>762</v>
      </c>
      <c r="AA867" s="12"/>
      <c r="AB867" s="12"/>
      <c r="AC867" s="12"/>
      <c r="AD867" s="12"/>
      <c r="AE867" s="107" t="s">
        <v>39</v>
      </c>
      <c r="AF867" s="1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</row>
    <row r="868" ht="15.75" customHeight="1">
      <c r="A868" s="103">
        <v>1.10644E7</v>
      </c>
      <c r="B868" s="84">
        <v>1.001664144E9</v>
      </c>
      <c r="C868" s="11" t="s">
        <v>757</v>
      </c>
      <c r="D868" s="84">
        <v>3.0</v>
      </c>
      <c r="E868" s="93">
        <v>15.911</v>
      </c>
      <c r="F868" s="38" t="s">
        <v>43</v>
      </c>
      <c r="G868" s="25" t="s">
        <v>32</v>
      </c>
      <c r="H868" s="12" t="s">
        <v>763</v>
      </c>
      <c r="I868" s="29" t="s">
        <v>112</v>
      </c>
      <c r="J868" s="12" t="s">
        <v>113</v>
      </c>
      <c r="K868" s="12" t="s">
        <v>35</v>
      </c>
      <c r="L868" s="25" t="s">
        <v>43</v>
      </c>
      <c r="M868" s="85" t="s">
        <v>764</v>
      </c>
      <c r="N868" s="88">
        <v>3742.0</v>
      </c>
      <c r="O868" s="73">
        <f t="shared" si="21"/>
        <v>0.6998931053</v>
      </c>
      <c r="P868" s="121">
        <v>2619.0</v>
      </c>
      <c r="Q868" s="12"/>
      <c r="R868" s="84">
        <v>1490814.0</v>
      </c>
      <c r="S868" s="85" t="s">
        <v>40</v>
      </c>
      <c r="T868" s="90">
        <v>6059644.0</v>
      </c>
      <c r="U868" s="12"/>
      <c r="V868" s="12"/>
      <c r="W868" s="12"/>
      <c r="X868" s="12"/>
      <c r="Y868" s="84" t="s">
        <v>765</v>
      </c>
      <c r="Z868" s="84" t="s">
        <v>766</v>
      </c>
      <c r="AA868" s="12"/>
      <c r="AB868" s="84">
        <v>774783.0</v>
      </c>
      <c r="AC868" s="84" t="s">
        <v>601</v>
      </c>
      <c r="AD868" s="12"/>
      <c r="AE868" s="107" t="s">
        <v>39</v>
      </c>
      <c r="AF868" s="1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</row>
    <row r="869" ht="15.75" customHeight="1">
      <c r="A869" s="103">
        <v>1.106947E7</v>
      </c>
      <c r="B869" s="84">
        <v>1.001671062E9</v>
      </c>
      <c r="C869" s="11" t="s">
        <v>741</v>
      </c>
      <c r="D869" s="84">
        <v>26.0</v>
      </c>
      <c r="E869" s="93">
        <v>32.553</v>
      </c>
      <c r="F869" s="9" t="s">
        <v>43</v>
      </c>
      <c r="G869" s="29" t="s">
        <v>44</v>
      </c>
      <c r="H869" s="12" t="s">
        <v>45</v>
      </c>
      <c r="I869" s="12" t="s">
        <v>46</v>
      </c>
      <c r="J869" s="55" t="s">
        <v>35</v>
      </c>
      <c r="K869" s="55" t="s">
        <v>47</v>
      </c>
      <c r="L869" s="28" t="s">
        <v>48</v>
      </c>
      <c r="M869" s="85" t="s">
        <v>707</v>
      </c>
      <c r="N869" s="88">
        <v>2402.4</v>
      </c>
      <c r="O869" s="131">
        <v>0.0</v>
      </c>
      <c r="P869" s="89">
        <v>408.0</v>
      </c>
      <c r="Q869" s="84" t="s">
        <v>39</v>
      </c>
      <c r="R869" s="12">
        <v>1488316.0</v>
      </c>
      <c r="S869" s="85" t="s">
        <v>40</v>
      </c>
      <c r="T869" s="90">
        <v>6048228.0</v>
      </c>
      <c r="U869" s="12"/>
      <c r="V869" s="12"/>
      <c r="W869" s="12"/>
      <c r="X869" s="12"/>
      <c r="Y869" s="84" t="s">
        <v>767</v>
      </c>
      <c r="Z869" s="84" t="s">
        <v>768</v>
      </c>
      <c r="AA869" s="12"/>
      <c r="AB869" s="12"/>
      <c r="AC869" s="12"/>
      <c r="AD869" s="12"/>
      <c r="AE869" s="107" t="s">
        <v>39</v>
      </c>
      <c r="AF869" s="1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</row>
    <row r="870" ht="15.75" customHeight="1">
      <c r="A870" s="103">
        <v>1.1069471E7</v>
      </c>
      <c r="B870" s="84">
        <v>1.001671213E9</v>
      </c>
      <c r="C870" s="11" t="s">
        <v>741</v>
      </c>
      <c r="D870" s="84">
        <v>3.0</v>
      </c>
      <c r="E870" s="93">
        <v>4.283</v>
      </c>
      <c r="F870" s="9" t="s">
        <v>43</v>
      </c>
      <c r="G870" s="29" t="s">
        <v>44</v>
      </c>
      <c r="H870" s="29" t="s">
        <v>769</v>
      </c>
      <c r="I870" s="25" t="s">
        <v>46</v>
      </c>
      <c r="J870" s="55" t="s">
        <v>47</v>
      </c>
      <c r="K870" s="14" t="s">
        <v>35</v>
      </c>
      <c r="L870" s="28" t="s">
        <v>48</v>
      </c>
      <c r="M870" s="85" t="s">
        <v>716</v>
      </c>
      <c r="N870" s="88">
        <v>1601.6</v>
      </c>
      <c r="O870" s="131">
        <v>0.0</v>
      </c>
      <c r="P870" s="89">
        <v>408.0</v>
      </c>
      <c r="Q870" s="12"/>
      <c r="R870" s="12">
        <v>1488812.0</v>
      </c>
      <c r="S870" s="85" t="s">
        <v>40</v>
      </c>
      <c r="T870" s="90">
        <v>6051265.0</v>
      </c>
      <c r="U870" s="12"/>
      <c r="V870" s="12"/>
      <c r="W870" s="12"/>
      <c r="X870" s="12"/>
      <c r="Y870" s="84" t="s">
        <v>770</v>
      </c>
      <c r="Z870" s="84" t="s">
        <v>771</v>
      </c>
      <c r="AA870" s="12"/>
      <c r="AB870" s="84">
        <v>771856.0</v>
      </c>
      <c r="AC870" s="84" t="s">
        <v>601</v>
      </c>
      <c r="AD870" s="12"/>
      <c r="AE870" s="107" t="s">
        <v>39</v>
      </c>
      <c r="AF870" s="1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</row>
    <row r="871" ht="15.75" customHeight="1">
      <c r="A871" s="136">
        <v>1.1069953E7</v>
      </c>
      <c r="B871" s="137">
        <v>1.001662392E9</v>
      </c>
      <c r="C871" s="11" t="s">
        <v>719</v>
      </c>
      <c r="D871" s="137">
        <v>26.0</v>
      </c>
      <c r="E871" s="138">
        <v>31.922</v>
      </c>
      <c r="F871" s="137" t="s">
        <v>31</v>
      </c>
      <c r="G871" s="106" t="s">
        <v>32</v>
      </c>
      <c r="H871" s="100" t="s">
        <v>265</v>
      </c>
      <c r="I871" s="139" t="s">
        <v>266</v>
      </c>
      <c r="J871" s="138" t="s">
        <v>35</v>
      </c>
      <c r="K871" s="137" t="s">
        <v>267</v>
      </c>
      <c r="L871" s="140" t="s">
        <v>94</v>
      </c>
      <c r="M871" s="85" t="s">
        <v>643</v>
      </c>
      <c r="N871" s="141">
        <v>6200.0</v>
      </c>
      <c r="O871" s="135">
        <f t="shared" ref="O871:O874" si="22">IFERROR(P871/N871,0)</f>
        <v>0.4179032258</v>
      </c>
      <c r="P871" s="142">
        <v>2591.0</v>
      </c>
      <c r="Q871" s="106" t="s">
        <v>39</v>
      </c>
      <c r="R871" s="85">
        <v>1487177.0</v>
      </c>
      <c r="S871" s="106" t="s">
        <v>40</v>
      </c>
      <c r="T871" s="90">
        <v>6041461.0</v>
      </c>
      <c r="U871" s="143"/>
      <c r="V871" s="143"/>
      <c r="W871" s="143"/>
      <c r="X871" s="143"/>
      <c r="Y871" s="137" t="s">
        <v>772</v>
      </c>
      <c r="Z871" s="137" t="s">
        <v>773</v>
      </c>
      <c r="AA871" s="143"/>
      <c r="AB871" s="143"/>
      <c r="AC871" s="143"/>
      <c r="AD871" s="143"/>
      <c r="AE871" s="107" t="s">
        <v>39</v>
      </c>
      <c r="AF871" s="143"/>
      <c r="AG871" s="144"/>
      <c r="AH871" s="144"/>
      <c r="AI871" s="144"/>
      <c r="AJ871" s="144"/>
      <c r="AK871" s="144"/>
      <c r="AL871" s="144"/>
      <c r="AM871" s="144"/>
      <c r="AN871" s="144"/>
      <c r="AO871" s="144"/>
      <c r="AP871" s="144"/>
    </row>
    <row r="872" ht="15.75" customHeight="1">
      <c r="A872" s="103">
        <v>1.1073531E7</v>
      </c>
      <c r="B872" s="84">
        <v>1.00167591E9</v>
      </c>
      <c r="C872" s="11" t="s">
        <v>757</v>
      </c>
      <c r="D872" s="84">
        <v>26.0</v>
      </c>
      <c r="E872" s="93">
        <v>33.431</v>
      </c>
      <c r="F872" s="136" t="s">
        <v>31</v>
      </c>
      <c r="G872" s="85" t="s">
        <v>32</v>
      </c>
      <c r="H872" s="29" t="s">
        <v>45</v>
      </c>
      <c r="I872" s="25" t="s">
        <v>46</v>
      </c>
      <c r="J872" s="55" t="s">
        <v>35</v>
      </c>
      <c r="K872" s="14" t="s">
        <v>47</v>
      </c>
      <c r="L872" s="28" t="s">
        <v>48</v>
      </c>
      <c r="M872" s="85" t="s">
        <v>774</v>
      </c>
      <c r="N872" s="88">
        <v>2696.0</v>
      </c>
      <c r="O872" s="73">
        <f t="shared" si="22"/>
        <v>0.1513353116</v>
      </c>
      <c r="P872" s="89">
        <v>408.0</v>
      </c>
      <c r="Q872" s="85" t="s">
        <v>39</v>
      </c>
      <c r="R872" s="85">
        <v>1489883.0</v>
      </c>
      <c r="S872" s="85" t="s">
        <v>40</v>
      </c>
      <c r="T872" s="90">
        <v>6056026.0</v>
      </c>
      <c r="U872" s="84" t="s">
        <v>775</v>
      </c>
      <c r="V872" s="12"/>
      <c r="W872" s="12"/>
      <c r="X872" s="12"/>
      <c r="Y872" s="84" t="s">
        <v>776</v>
      </c>
      <c r="Z872" s="84" t="s">
        <v>777</v>
      </c>
      <c r="AA872" s="12"/>
      <c r="AB872" s="12"/>
      <c r="AC872" s="12"/>
      <c r="AD872" s="12"/>
      <c r="AE872" s="107" t="s">
        <v>39</v>
      </c>
      <c r="AF872" s="1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</row>
    <row r="873" ht="15.75" customHeight="1">
      <c r="A873" s="103">
        <v>1.1073694E7</v>
      </c>
      <c r="B873" s="84">
        <v>1.001676175E9</v>
      </c>
      <c r="C873" s="11" t="s">
        <v>778</v>
      </c>
      <c r="D873" s="84">
        <v>26.0</v>
      </c>
      <c r="E873" s="93">
        <v>30.917</v>
      </c>
      <c r="F873" s="9" t="s">
        <v>43</v>
      </c>
      <c r="G873" s="93" t="s">
        <v>32</v>
      </c>
      <c r="H873" s="84" t="s">
        <v>487</v>
      </c>
      <c r="I873" s="93" t="s">
        <v>488</v>
      </c>
      <c r="J873" s="25" t="s">
        <v>35</v>
      </c>
      <c r="K873" s="94" t="s">
        <v>779</v>
      </c>
      <c r="L873" s="95" t="s">
        <v>114</v>
      </c>
      <c r="M873" s="84" t="s">
        <v>659</v>
      </c>
      <c r="N873" s="145">
        <v>4900.0</v>
      </c>
      <c r="O873" s="73">
        <f t="shared" si="22"/>
        <v>0.2469387755</v>
      </c>
      <c r="P873" s="95">
        <v>1210.0</v>
      </c>
      <c r="Q873" s="84" t="s">
        <v>39</v>
      </c>
      <c r="R873" s="84">
        <v>1491362.0</v>
      </c>
      <c r="S873" s="93" t="s">
        <v>40</v>
      </c>
      <c r="T873" s="90">
        <v>6061778.0</v>
      </c>
      <c r="U873" s="12"/>
      <c r="V873" s="12"/>
      <c r="W873" s="12"/>
      <c r="X873" s="12"/>
      <c r="Y873" s="84" t="s">
        <v>780</v>
      </c>
      <c r="Z873" s="84" t="s">
        <v>781</v>
      </c>
      <c r="AA873" s="12"/>
      <c r="AB873" s="12"/>
      <c r="AC873" s="12"/>
      <c r="AD873" s="12"/>
      <c r="AE873" s="107" t="s">
        <v>39</v>
      </c>
      <c r="AF873" s="1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</row>
    <row r="874" ht="15.75" customHeight="1">
      <c r="A874" s="103">
        <v>1.1073695E7</v>
      </c>
      <c r="B874" s="84">
        <v>1.001676299E9</v>
      </c>
      <c r="C874" s="11" t="s">
        <v>778</v>
      </c>
      <c r="D874" s="84">
        <v>3.0</v>
      </c>
      <c r="E874" s="84">
        <v>15.078</v>
      </c>
      <c r="F874" s="9" t="s">
        <v>43</v>
      </c>
      <c r="G874" s="85" t="s">
        <v>32</v>
      </c>
      <c r="H874" s="84" t="s">
        <v>782</v>
      </c>
      <c r="I874" s="93" t="s">
        <v>488</v>
      </c>
      <c r="J874" s="108" t="s">
        <v>783</v>
      </c>
      <c r="K874" s="12" t="s">
        <v>35</v>
      </c>
      <c r="L874" s="95" t="s">
        <v>188</v>
      </c>
      <c r="M874" s="84" t="s">
        <v>671</v>
      </c>
      <c r="N874" s="88">
        <v>3266.0</v>
      </c>
      <c r="O874" s="73">
        <f t="shared" si="22"/>
        <v>0.3704837722</v>
      </c>
      <c r="P874" s="89">
        <v>1210.0</v>
      </c>
      <c r="Q874" s="12"/>
      <c r="R874" s="84">
        <v>1493366.0</v>
      </c>
      <c r="S874" s="85" t="s">
        <v>40</v>
      </c>
      <c r="T874" s="90">
        <v>6069110.0</v>
      </c>
      <c r="U874" s="12"/>
      <c r="V874" s="12"/>
      <c r="W874" s="12"/>
      <c r="X874" s="12"/>
      <c r="Y874" s="84" t="s">
        <v>784</v>
      </c>
      <c r="Z874" s="84" t="s">
        <v>785</v>
      </c>
      <c r="AA874" s="12"/>
      <c r="AB874" s="84" t="s">
        <v>786</v>
      </c>
      <c r="AC874" s="84" t="s">
        <v>601</v>
      </c>
      <c r="AD874" s="12"/>
      <c r="AE874" s="107" t="s">
        <v>39</v>
      </c>
      <c r="AF874" s="1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</row>
    <row r="875" ht="15.75" customHeight="1">
      <c r="A875" s="103">
        <v>1.1080757E7</v>
      </c>
      <c r="B875" s="84">
        <v>1.001684943E9</v>
      </c>
      <c r="C875" s="11" t="s">
        <v>719</v>
      </c>
      <c r="D875" s="84">
        <v>390.0</v>
      </c>
      <c r="E875" s="93">
        <v>14.43</v>
      </c>
      <c r="F875" s="9" t="s">
        <v>43</v>
      </c>
      <c r="G875" s="85" t="s">
        <v>44</v>
      </c>
      <c r="H875" s="12" t="s">
        <v>787</v>
      </c>
      <c r="I875" s="29" t="s">
        <v>397</v>
      </c>
      <c r="J875" s="12" t="s">
        <v>270</v>
      </c>
      <c r="K875" s="84" t="s">
        <v>35</v>
      </c>
      <c r="L875" s="93" t="s">
        <v>188</v>
      </c>
      <c r="M875" s="84" t="s">
        <v>788</v>
      </c>
      <c r="N875" s="88">
        <v>3920.0</v>
      </c>
      <c r="O875" s="131">
        <v>0.0</v>
      </c>
      <c r="P875" s="89">
        <v>2500.0</v>
      </c>
      <c r="Q875" s="84"/>
      <c r="R875" s="85">
        <v>1488866.0</v>
      </c>
      <c r="S875" s="85" t="s">
        <v>40</v>
      </c>
      <c r="T875" s="90">
        <v>6051656.0</v>
      </c>
      <c r="U875" s="12"/>
      <c r="V875" s="12"/>
      <c r="W875" s="12"/>
      <c r="X875" s="12"/>
      <c r="Y875" s="84" t="s">
        <v>789</v>
      </c>
      <c r="Z875" s="84" t="s">
        <v>790</v>
      </c>
      <c r="AA875" s="12"/>
      <c r="AB875" s="84" t="s">
        <v>791</v>
      </c>
      <c r="AC875" s="84" t="s">
        <v>601</v>
      </c>
      <c r="AD875" s="12"/>
      <c r="AE875" s="107" t="s">
        <v>39</v>
      </c>
      <c r="AF875" s="1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</row>
    <row r="876" ht="15.75" customHeight="1">
      <c r="A876" s="103">
        <v>1.1081159E7</v>
      </c>
      <c r="B876" s="84">
        <v>1.001684425E9</v>
      </c>
      <c r="C876" s="11" t="s">
        <v>792</v>
      </c>
      <c r="D876" s="84">
        <v>26.0</v>
      </c>
      <c r="E876" s="93">
        <v>32.553</v>
      </c>
      <c r="F876" s="9" t="s">
        <v>43</v>
      </c>
      <c r="G876" s="29" t="s">
        <v>32</v>
      </c>
      <c r="H876" s="12" t="s">
        <v>111</v>
      </c>
      <c r="I876" s="29" t="s">
        <v>112</v>
      </c>
      <c r="J876" s="12" t="s">
        <v>35</v>
      </c>
      <c r="K876" s="12" t="s">
        <v>113</v>
      </c>
      <c r="L876" s="25" t="s">
        <v>114</v>
      </c>
      <c r="M876" s="84" t="s">
        <v>758</v>
      </c>
      <c r="N876" s="88">
        <v>5613.0</v>
      </c>
      <c r="O876" s="73">
        <f t="shared" ref="O876:O1009" si="23">IFERROR(P876/N876,0)</f>
        <v>0.1202565473</v>
      </c>
      <c r="P876" s="89">
        <v>675.0</v>
      </c>
      <c r="Q876" s="84" t="s">
        <v>39</v>
      </c>
      <c r="R876" s="85">
        <v>1492455.0</v>
      </c>
      <c r="S876" s="85" t="s">
        <v>40</v>
      </c>
      <c r="T876" s="90">
        <v>6064751.0</v>
      </c>
      <c r="U876" s="12"/>
      <c r="V876" s="12"/>
      <c r="W876" s="12"/>
      <c r="X876" s="12"/>
      <c r="Y876" s="84" t="s">
        <v>793</v>
      </c>
      <c r="Z876" s="84" t="s">
        <v>794</v>
      </c>
      <c r="AA876" s="12"/>
      <c r="AB876" s="12"/>
      <c r="AC876" s="12"/>
      <c r="AD876" s="12"/>
      <c r="AE876" s="107" t="s">
        <v>39</v>
      </c>
      <c r="AF876" s="1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</row>
    <row r="877" ht="15.75" customHeight="1">
      <c r="A877" s="103">
        <v>1.108116E7</v>
      </c>
      <c r="B877" s="84">
        <v>1.001684461E9</v>
      </c>
      <c r="C877" s="11" t="s">
        <v>792</v>
      </c>
      <c r="D877" s="84">
        <v>3.0</v>
      </c>
      <c r="E877" s="93">
        <v>15.911</v>
      </c>
      <c r="F877" s="9" t="s">
        <v>43</v>
      </c>
      <c r="G877" s="29" t="s">
        <v>32</v>
      </c>
      <c r="H877" s="29" t="s">
        <v>795</v>
      </c>
      <c r="I877" s="25" t="s">
        <v>112</v>
      </c>
      <c r="J877" s="25" t="s">
        <v>113</v>
      </c>
      <c r="K877" s="12" t="s">
        <v>35</v>
      </c>
      <c r="L877" s="25" t="s">
        <v>43</v>
      </c>
      <c r="M877" s="85" t="s">
        <v>764</v>
      </c>
      <c r="N877" s="88">
        <v>3742.0</v>
      </c>
      <c r="O877" s="73">
        <f t="shared" si="23"/>
        <v>0.180384821</v>
      </c>
      <c r="P877" s="89">
        <v>675.0</v>
      </c>
      <c r="Q877" s="12"/>
      <c r="R877" s="84">
        <v>1493602.0</v>
      </c>
      <c r="S877" s="85" t="s">
        <v>40</v>
      </c>
      <c r="T877" s="90">
        <v>6070364.0</v>
      </c>
      <c r="U877" s="12"/>
      <c r="V877" s="12"/>
      <c r="W877" s="12"/>
      <c r="X877" s="12"/>
      <c r="Y877" s="84" t="s">
        <v>796</v>
      </c>
      <c r="Z877" s="84" t="s">
        <v>797</v>
      </c>
      <c r="AA877" s="12"/>
      <c r="AB877" s="84" t="s">
        <v>798</v>
      </c>
      <c r="AC877" s="84" t="s">
        <v>601</v>
      </c>
      <c r="AD877" s="12"/>
      <c r="AE877" s="107" t="s">
        <v>39</v>
      </c>
      <c r="AF877" s="1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</row>
    <row r="878" ht="15.75" customHeight="1">
      <c r="A878" s="103">
        <v>1.1085003E7</v>
      </c>
      <c r="B878" s="84">
        <v>1.00168685E9</v>
      </c>
      <c r="C878" s="11" t="s">
        <v>792</v>
      </c>
      <c r="D878" s="84">
        <v>26.0</v>
      </c>
      <c r="E878" s="93">
        <v>32.482</v>
      </c>
      <c r="F878" s="38" t="s">
        <v>43</v>
      </c>
      <c r="G878" s="85" t="s">
        <v>32</v>
      </c>
      <c r="H878" s="84" t="s">
        <v>487</v>
      </c>
      <c r="I878" s="93" t="s">
        <v>488</v>
      </c>
      <c r="J878" s="25" t="s">
        <v>35</v>
      </c>
      <c r="K878" s="94" t="s">
        <v>799</v>
      </c>
      <c r="L878" s="95" t="s">
        <v>114</v>
      </c>
      <c r="M878" s="85" t="s">
        <v>800</v>
      </c>
      <c r="N878" s="88">
        <v>4900.0</v>
      </c>
      <c r="O878" s="73">
        <f t="shared" si="23"/>
        <v>0.2469387755</v>
      </c>
      <c r="P878" s="89">
        <v>1210.0</v>
      </c>
      <c r="Q878" s="84" t="s">
        <v>39</v>
      </c>
      <c r="R878" s="84">
        <v>1492931.0</v>
      </c>
      <c r="S878" s="85" t="s">
        <v>40</v>
      </c>
      <c r="T878" s="90">
        <v>6066917.0</v>
      </c>
      <c r="U878" s="12"/>
      <c r="V878" s="12"/>
      <c r="W878" s="12"/>
      <c r="X878" s="12"/>
      <c r="Y878" s="84" t="s">
        <v>801</v>
      </c>
      <c r="Z878" s="84" t="s">
        <v>802</v>
      </c>
      <c r="AA878" s="12"/>
      <c r="AB878" s="12"/>
      <c r="AC878" s="12"/>
      <c r="AD878" s="12"/>
      <c r="AE878" s="107" t="s">
        <v>39</v>
      </c>
      <c r="AF878" s="1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</row>
    <row r="879" ht="15.75" customHeight="1">
      <c r="A879" s="103">
        <v>1.1085004E7</v>
      </c>
      <c r="B879" s="84">
        <v>1.001686833E9</v>
      </c>
      <c r="C879" s="11" t="s">
        <v>792</v>
      </c>
      <c r="D879" s="84">
        <v>3.0</v>
      </c>
      <c r="E879" s="84">
        <v>14.687</v>
      </c>
      <c r="F879" s="38" t="s">
        <v>43</v>
      </c>
      <c r="G879" s="85" t="s">
        <v>32</v>
      </c>
      <c r="H879" s="84" t="s">
        <v>803</v>
      </c>
      <c r="I879" s="93" t="s">
        <v>488</v>
      </c>
      <c r="J879" s="94" t="s">
        <v>804</v>
      </c>
      <c r="K879" s="25" t="s">
        <v>35</v>
      </c>
      <c r="L879" s="95" t="s">
        <v>188</v>
      </c>
      <c r="M879" s="85" t="s">
        <v>805</v>
      </c>
      <c r="N879" s="88">
        <v>3266.0</v>
      </c>
      <c r="O879" s="73">
        <f t="shared" si="23"/>
        <v>0.3704837722</v>
      </c>
      <c r="P879" s="89">
        <v>1210.0</v>
      </c>
      <c r="Q879" s="29"/>
      <c r="R879" s="84">
        <v>1494205.0</v>
      </c>
      <c r="S879" s="85" t="s">
        <v>40</v>
      </c>
      <c r="T879" s="90">
        <v>6073736.0</v>
      </c>
      <c r="U879" s="12"/>
      <c r="V879" s="12"/>
      <c r="W879" s="12"/>
      <c r="X879" s="12"/>
      <c r="Y879" s="84" t="s">
        <v>806</v>
      </c>
      <c r="Z879" s="112">
        <v>45689.53472222222</v>
      </c>
      <c r="AA879" s="12"/>
      <c r="AB879" s="84">
        <v>778577.0</v>
      </c>
      <c r="AC879" s="84" t="s">
        <v>601</v>
      </c>
      <c r="AD879" s="12"/>
      <c r="AE879" s="107" t="s">
        <v>39</v>
      </c>
      <c r="AF879" s="1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</row>
    <row r="880" ht="15.75" customHeight="1">
      <c r="A880" s="103">
        <v>1.108542E7</v>
      </c>
      <c r="B880" s="84">
        <v>1.001686059E9</v>
      </c>
      <c r="C880" s="11" t="s">
        <v>778</v>
      </c>
      <c r="D880" s="84">
        <v>26.0</v>
      </c>
      <c r="E880" s="93">
        <v>31.625</v>
      </c>
      <c r="F880" s="84" t="s">
        <v>31</v>
      </c>
      <c r="G880" s="85" t="s">
        <v>74</v>
      </c>
      <c r="H880" s="85" t="s">
        <v>647</v>
      </c>
      <c r="I880" s="25" t="s">
        <v>503</v>
      </c>
      <c r="J880" s="93" t="s">
        <v>35</v>
      </c>
      <c r="K880" s="84" t="s">
        <v>648</v>
      </c>
      <c r="L880" s="95" t="s">
        <v>188</v>
      </c>
      <c r="M880" s="85" t="s">
        <v>441</v>
      </c>
      <c r="N880" s="88">
        <v>7629.0</v>
      </c>
      <c r="O880" s="73">
        <f t="shared" si="23"/>
        <v>0.3440817932</v>
      </c>
      <c r="P880" s="89">
        <v>2625.0</v>
      </c>
      <c r="Q880" s="84" t="s">
        <v>39</v>
      </c>
      <c r="R880" s="84">
        <v>1491364.0</v>
      </c>
      <c r="S880" s="85" t="s">
        <v>40</v>
      </c>
      <c r="T880" s="90">
        <v>6061782.0</v>
      </c>
      <c r="U880" s="12"/>
      <c r="V880" s="12"/>
      <c r="W880" s="12"/>
      <c r="X880" s="84" t="s">
        <v>780</v>
      </c>
      <c r="Y880" s="84" t="s">
        <v>780</v>
      </c>
      <c r="Z880" s="84" t="s">
        <v>807</v>
      </c>
      <c r="AA880" s="12"/>
      <c r="AB880" s="84">
        <v>776689.0</v>
      </c>
      <c r="AC880" s="12"/>
      <c r="AD880" s="12"/>
      <c r="AE880" s="107" t="s">
        <v>39</v>
      </c>
      <c r="AF880" s="1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</row>
    <row r="881" ht="15.75" customHeight="1">
      <c r="A881" s="103">
        <v>1.1087491E7</v>
      </c>
      <c r="B881" s="84">
        <v>1.001686828E9</v>
      </c>
      <c r="C881" s="11" t="s">
        <v>808</v>
      </c>
      <c r="D881" s="84">
        <v>26.0</v>
      </c>
      <c r="E881" s="93">
        <v>31.443</v>
      </c>
      <c r="F881" s="9" t="s">
        <v>43</v>
      </c>
      <c r="G881" s="29" t="s">
        <v>32</v>
      </c>
      <c r="H881" s="29" t="s">
        <v>265</v>
      </c>
      <c r="I881" s="28" t="s">
        <v>266</v>
      </c>
      <c r="J881" s="25" t="s">
        <v>35</v>
      </c>
      <c r="K881" s="12" t="s">
        <v>267</v>
      </c>
      <c r="L881" s="28" t="s">
        <v>114</v>
      </c>
      <c r="M881" s="85" t="s">
        <v>774</v>
      </c>
      <c r="N881" s="88">
        <v>5460.0</v>
      </c>
      <c r="O881" s="73">
        <f t="shared" si="23"/>
        <v>0.3581318681</v>
      </c>
      <c r="P881" s="89">
        <v>1955.4</v>
      </c>
      <c r="Q881" s="84" t="s">
        <v>39</v>
      </c>
      <c r="R881" s="84">
        <v>1493364.0</v>
      </c>
      <c r="S881" s="85" t="s">
        <v>40</v>
      </c>
      <c r="T881" s="90">
        <v>6069102.0</v>
      </c>
      <c r="U881" s="12"/>
      <c r="V881" s="12"/>
      <c r="W881" s="12"/>
      <c r="X881" s="12"/>
      <c r="Y881" s="84" t="s">
        <v>809</v>
      </c>
      <c r="Z881" s="84" t="s">
        <v>810</v>
      </c>
      <c r="AA881" s="12"/>
      <c r="AB881" s="12"/>
      <c r="AC881" s="12"/>
      <c r="AD881" s="12"/>
      <c r="AE881" s="107" t="s">
        <v>39</v>
      </c>
      <c r="AF881" s="1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</row>
    <row r="882" ht="15.75" customHeight="1">
      <c r="A882" s="103">
        <v>1.1087492E7</v>
      </c>
      <c r="B882" s="84">
        <v>1.001686803E9</v>
      </c>
      <c r="C882" s="11" t="s">
        <v>808</v>
      </c>
      <c r="D882" s="84">
        <v>2.0</v>
      </c>
      <c r="E882" s="93">
        <v>634.34</v>
      </c>
      <c r="F882" s="9" t="s">
        <v>43</v>
      </c>
      <c r="G882" s="29" t="s">
        <v>32</v>
      </c>
      <c r="H882" s="12" t="s">
        <v>811</v>
      </c>
      <c r="I882" s="39" t="s">
        <v>266</v>
      </c>
      <c r="J882" s="12" t="s">
        <v>267</v>
      </c>
      <c r="K882" s="12" t="s">
        <v>35</v>
      </c>
      <c r="L882" s="28" t="s">
        <v>43</v>
      </c>
      <c r="M882" s="85" t="s">
        <v>812</v>
      </c>
      <c r="N882" s="88">
        <v>3640.0</v>
      </c>
      <c r="O882" s="73">
        <f t="shared" si="23"/>
        <v>0.5371978022</v>
      </c>
      <c r="P882" s="89">
        <v>1955.4</v>
      </c>
      <c r="Q882" s="12"/>
      <c r="R882" s="84">
        <v>1494192.0</v>
      </c>
      <c r="S882" s="85" t="s">
        <v>40</v>
      </c>
      <c r="T882" s="90">
        <v>6073644.0</v>
      </c>
      <c r="U882" s="12"/>
      <c r="V882" s="12"/>
      <c r="W882" s="12"/>
      <c r="X882" s="12"/>
      <c r="Y882" s="84" t="s">
        <v>813</v>
      </c>
      <c r="Z882" s="84" t="s">
        <v>814</v>
      </c>
      <c r="AA882" s="12"/>
      <c r="AB882" s="12"/>
      <c r="AC882" s="12"/>
      <c r="AD882" s="12"/>
      <c r="AE882" s="107" t="s">
        <v>39</v>
      </c>
      <c r="AF882" s="1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</row>
    <row r="883" ht="15.75" customHeight="1">
      <c r="A883" s="103">
        <v>1.109464E7</v>
      </c>
      <c r="B883" s="84">
        <v>1.001694043E9</v>
      </c>
      <c r="C883" s="11" t="s">
        <v>808</v>
      </c>
      <c r="D883" s="84">
        <v>26.0</v>
      </c>
      <c r="E883" s="93">
        <v>33430.0</v>
      </c>
      <c r="F883" s="137" t="s">
        <v>31</v>
      </c>
      <c r="G883" s="85" t="s">
        <v>44</v>
      </c>
      <c r="H883" s="12" t="s">
        <v>45</v>
      </c>
      <c r="I883" s="29" t="s">
        <v>46</v>
      </c>
      <c r="J883" s="14" t="s">
        <v>35</v>
      </c>
      <c r="K883" s="14" t="s">
        <v>47</v>
      </c>
      <c r="L883" s="28" t="s">
        <v>48</v>
      </c>
      <c r="M883" s="85" t="s">
        <v>530</v>
      </c>
      <c r="N883" s="88">
        <v>2696.0</v>
      </c>
      <c r="O883" s="73">
        <f t="shared" si="23"/>
        <v>0.1513353116</v>
      </c>
      <c r="P883" s="89">
        <v>408.0</v>
      </c>
      <c r="Q883" s="84" t="s">
        <v>39</v>
      </c>
      <c r="R883" s="84">
        <v>1493538.0</v>
      </c>
      <c r="S883" s="85" t="s">
        <v>40</v>
      </c>
      <c r="T883" s="90">
        <v>6070104.0</v>
      </c>
      <c r="U883" s="12"/>
      <c r="V883" s="12"/>
      <c r="W883" s="12"/>
      <c r="X883" s="12"/>
      <c r="Y883" s="84" t="s">
        <v>815</v>
      </c>
      <c r="Z883" s="84" t="s">
        <v>816</v>
      </c>
      <c r="AA883" s="12"/>
      <c r="AB883" s="12"/>
      <c r="AC883" s="12"/>
      <c r="AD883" s="12"/>
      <c r="AE883" s="107" t="s">
        <v>39</v>
      </c>
      <c r="AF883" s="1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</row>
    <row r="884" ht="15.75" customHeight="1">
      <c r="A884" s="103">
        <v>1.1095189E7</v>
      </c>
      <c r="B884" s="84">
        <v>1.001688723E9</v>
      </c>
      <c r="C884" s="11" t="s">
        <v>808</v>
      </c>
      <c r="D884" s="84">
        <v>26.0</v>
      </c>
      <c r="E884" s="93">
        <v>31.922</v>
      </c>
      <c r="F884" s="12" t="s">
        <v>31</v>
      </c>
      <c r="G884" s="29" t="s">
        <v>74</v>
      </c>
      <c r="H884" s="12" t="s">
        <v>318</v>
      </c>
      <c r="I884" s="85" t="s">
        <v>655</v>
      </c>
      <c r="J884" s="12" t="s">
        <v>35</v>
      </c>
      <c r="K884" s="12" t="s">
        <v>320</v>
      </c>
      <c r="L884" s="28" t="s">
        <v>94</v>
      </c>
      <c r="M884" s="84" t="s">
        <v>817</v>
      </c>
      <c r="N884" s="88">
        <v>6700.0</v>
      </c>
      <c r="O884" s="73">
        <f t="shared" si="23"/>
        <v>0.4974626866</v>
      </c>
      <c r="P884" s="89">
        <v>3333.0</v>
      </c>
      <c r="Q884" s="84" t="s">
        <v>39</v>
      </c>
      <c r="R884" s="84">
        <v>1493374.0</v>
      </c>
      <c r="S884" s="85" t="s">
        <v>40</v>
      </c>
      <c r="T884" s="90">
        <v>6069146.0</v>
      </c>
      <c r="U884" s="12"/>
      <c r="V884" s="12"/>
      <c r="W884" s="12"/>
      <c r="X884" s="84" t="s">
        <v>818</v>
      </c>
      <c r="Y884" s="84" t="s">
        <v>819</v>
      </c>
      <c r="Z884" s="84" t="s">
        <v>820</v>
      </c>
      <c r="AA884" s="12"/>
      <c r="AB884" s="12"/>
      <c r="AC884" s="12"/>
      <c r="AD884" s="12"/>
      <c r="AE884" s="107" t="s">
        <v>39</v>
      </c>
      <c r="AF884" s="1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</row>
    <row r="885" ht="15.75" customHeight="1">
      <c r="A885" s="103">
        <v>1.109519E7</v>
      </c>
      <c r="B885" s="84">
        <v>1.001688688E9</v>
      </c>
      <c r="C885" s="11" t="s">
        <v>808</v>
      </c>
      <c r="D885" s="84">
        <v>26.0</v>
      </c>
      <c r="E885" s="93">
        <v>31.922</v>
      </c>
      <c r="F885" s="12" t="s">
        <v>31</v>
      </c>
      <c r="G885" s="12" t="s">
        <v>74</v>
      </c>
      <c r="H885" s="12" t="s">
        <v>318</v>
      </c>
      <c r="I885" s="84" t="s">
        <v>655</v>
      </c>
      <c r="J885" s="12" t="s">
        <v>35</v>
      </c>
      <c r="K885" s="12" t="s">
        <v>320</v>
      </c>
      <c r="L885" s="15" t="s">
        <v>94</v>
      </c>
      <c r="M885" s="85" t="s">
        <v>821</v>
      </c>
      <c r="N885" s="88">
        <v>6700.0</v>
      </c>
      <c r="O885" s="73">
        <f t="shared" si="23"/>
        <v>0.4974626866</v>
      </c>
      <c r="P885" s="89">
        <v>3333.0</v>
      </c>
      <c r="Q885" s="84" t="s">
        <v>39</v>
      </c>
      <c r="R885" s="84">
        <v>1493370.0</v>
      </c>
      <c r="S885" s="85" t="s">
        <v>40</v>
      </c>
      <c r="T885" s="90">
        <v>6069117.0</v>
      </c>
      <c r="U885" s="12"/>
      <c r="V885" s="12"/>
      <c r="W885" s="12"/>
      <c r="X885" s="84" t="s">
        <v>818</v>
      </c>
      <c r="Y885" s="84" t="s">
        <v>819</v>
      </c>
      <c r="Z885" s="84" t="s">
        <v>822</v>
      </c>
      <c r="AA885" s="12"/>
      <c r="AB885" s="84">
        <v>778596.0</v>
      </c>
      <c r="AC885" s="84" t="s">
        <v>823</v>
      </c>
      <c r="AD885" s="12"/>
      <c r="AE885" s="107" t="s">
        <v>39</v>
      </c>
      <c r="AF885" s="1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</row>
    <row r="886" ht="15.75" customHeight="1">
      <c r="A886" s="103">
        <v>1.1096081E7</v>
      </c>
      <c r="B886" s="84">
        <v>1.001695748E9</v>
      </c>
      <c r="C886" s="11">
        <v>45663.0</v>
      </c>
      <c r="D886" s="84">
        <v>26.0</v>
      </c>
      <c r="E886" s="93">
        <v>30.02</v>
      </c>
      <c r="F886" s="9" t="s">
        <v>43</v>
      </c>
      <c r="G886" s="84" t="s">
        <v>44</v>
      </c>
      <c r="H886" s="12" t="s">
        <v>268</v>
      </c>
      <c r="I886" s="12" t="s">
        <v>397</v>
      </c>
      <c r="J886" s="12" t="s">
        <v>35</v>
      </c>
      <c r="K886" s="12" t="s">
        <v>270</v>
      </c>
      <c r="L886" s="15" t="s">
        <v>94</v>
      </c>
      <c r="M886" s="85" t="s">
        <v>559</v>
      </c>
      <c r="N886" s="88">
        <v>5460.0</v>
      </c>
      <c r="O886" s="73">
        <f t="shared" si="23"/>
        <v>0.3524542125</v>
      </c>
      <c r="P886" s="89">
        <v>1924.4</v>
      </c>
      <c r="Q886" s="84" t="s">
        <v>39</v>
      </c>
      <c r="R886" s="84">
        <v>1499039.0</v>
      </c>
      <c r="S886" s="85" t="s">
        <v>40</v>
      </c>
      <c r="T886" s="84">
        <v>6093946.0</v>
      </c>
      <c r="U886" s="12"/>
      <c r="V886" s="12"/>
      <c r="W886" s="12"/>
      <c r="X886" s="12"/>
      <c r="Y886" s="112">
        <v>45870.40277777778</v>
      </c>
      <c r="Z886" s="112">
        <v>45870.5625</v>
      </c>
      <c r="AA886" s="12"/>
      <c r="AB886" s="84" t="s">
        <v>824</v>
      </c>
      <c r="AC886" s="84" t="s">
        <v>825</v>
      </c>
      <c r="AD886" s="12"/>
      <c r="AE886" s="12"/>
      <c r="AF886" s="1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</row>
    <row r="887" ht="15.75" customHeight="1">
      <c r="A887" s="103">
        <v>1.1096082E7</v>
      </c>
      <c r="B887" s="84">
        <v>1.001695777E9</v>
      </c>
      <c r="C887" s="11">
        <v>45663.0</v>
      </c>
      <c r="D887" s="84">
        <v>26.0</v>
      </c>
      <c r="E887" s="93">
        <v>31.922</v>
      </c>
      <c r="F887" s="12" t="s">
        <v>31</v>
      </c>
      <c r="G887" s="84" t="s">
        <v>44</v>
      </c>
      <c r="H887" s="12" t="s">
        <v>268</v>
      </c>
      <c r="I887" s="12" t="s">
        <v>397</v>
      </c>
      <c r="J887" s="12" t="s">
        <v>35</v>
      </c>
      <c r="K887" s="12" t="s">
        <v>270</v>
      </c>
      <c r="L887" s="15" t="s">
        <v>94</v>
      </c>
      <c r="M887" s="85" t="s">
        <v>826</v>
      </c>
      <c r="N887" s="88">
        <v>6200.0</v>
      </c>
      <c r="O887" s="73">
        <f t="shared" si="23"/>
        <v>0.3103870968</v>
      </c>
      <c r="P887" s="89">
        <v>1924.4</v>
      </c>
      <c r="Q887" s="84" t="s">
        <v>39</v>
      </c>
      <c r="R887" s="84">
        <v>1499060.0</v>
      </c>
      <c r="S887" s="85" t="s">
        <v>40</v>
      </c>
      <c r="T887" s="90">
        <v>6094060.0</v>
      </c>
      <c r="U887" s="12"/>
      <c r="V887" s="12"/>
      <c r="W887" s="12"/>
      <c r="X887" s="12"/>
      <c r="Y887" s="112">
        <v>45870.40277777778</v>
      </c>
      <c r="Z887" s="112">
        <v>45870.572916666664</v>
      </c>
      <c r="AA887" s="12"/>
      <c r="AB887" s="84">
        <v>783573.0</v>
      </c>
      <c r="AC887" s="84" t="s">
        <v>827</v>
      </c>
      <c r="AD887" s="12"/>
      <c r="AE887" s="12"/>
      <c r="AF887" s="1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</row>
    <row r="888" ht="15.75" customHeight="1">
      <c r="A888" s="103">
        <v>1.1096083E7</v>
      </c>
      <c r="B888" s="84">
        <v>1.001695945E9</v>
      </c>
      <c r="C888" s="11">
        <v>45663.0</v>
      </c>
      <c r="D888" s="84">
        <v>3.0</v>
      </c>
      <c r="E888" s="93">
        <v>4.819</v>
      </c>
      <c r="F888" s="9" t="s">
        <v>43</v>
      </c>
      <c r="G888" s="12" t="s">
        <v>44</v>
      </c>
      <c r="H888" s="12" t="s">
        <v>828</v>
      </c>
      <c r="I888" s="12" t="s">
        <v>269</v>
      </c>
      <c r="J888" s="12" t="s">
        <v>270</v>
      </c>
      <c r="K888" s="12" t="s">
        <v>35</v>
      </c>
      <c r="L888" s="15" t="s">
        <v>188</v>
      </c>
      <c r="M888" s="85" t="s">
        <v>829</v>
      </c>
      <c r="N888" s="88">
        <v>3640.0</v>
      </c>
      <c r="O888" s="73">
        <f t="shared" si="23"/>
        <v>0</v>
      </c>
      <c r="P888" s="39"/>
      <c r="Q888" s="12"/>
      <c r="R888" s="146" t="s">
        <v>580</v>
      </c>
      <c r="S888" s="85" t="s">
        <v>131</v>
      </c>
      <c r="T888" s="84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</row>
    <row r="889" ht="15.75" customHeight="1">
      <c r="A889" s="103">
        <v>1.1101335E7</v>
      </c>
      <c r="B889" s="84">
        <v>1.001696132E9</v>
      </c>
      <c r="C889" s="11" t="s">
        <v>830</v>
      </c>
      <c r="D889" s="84">
        <v>26.0</v>
      </c>
      <c r="E889" s="93">
        <v>33430.0</v>
      </c>
      <c r="F889" s="29" t="s">
        <v>31</v>
      </c>
      <c r="G889" s="100" t="s">
        <v>74</v>
      </c>
      <c r="H889" s="12" t="s">
        <v>262</v>
      </c>
      <c r="I889" s="28" t="s">
        <v>263</v>
      </c>
      <c r="J889" s="25" t="s">
        <v>35</v>
      </c>
      <c r="K889" s="12" t="s">
        <v>264</v>
      </c>
      <c r="L889" s="28" t="s">
        <v>59</v>
      </c>
      <c r="M889" s="85" t="s">
        <v>831</v>
      </c>
      <c r="N889" s="88">
        <v>5008.0</v>
      </c>
      <c r="O889" s="73">
        <f t="shared" si="23"/>
        <v>0.2653753994</v>
      </c>
      <c r="P889" s="89">
        <v>1329.0</v>
      </c>
      <c r="Q889" s="84" t="s">
        <v>39</v>
      </c>
      <c r="R889" s="84">
        <v>1495225.0</v>
      </c>
      <c r="S889" s="85" t="s">
        <v>40</v>
      </c>
      <c r="T889" s="90">
        <v>6076824.0</v>
      </c>
      <c r="U889" s="12"/>
      <c r="V889" s="12"/>
      <c r="W889" s="12"/>
      <c r="X889" s="147">
        <v>45323.166666666664</v>
      </c>
      <c r="Y889" s="112">
        <v>45689.166666666664</v>
      </c>
      <c r="Z889" s="112">
        <v>45689.458333333336</v>
      </c>
      <c r="AA889" s="12"/>
      <c r="AB889" s="84" t="s">
        <v>832</v>
      </c>
      <c r="AC889" s="84" t="s">
        <v>833</v>
      </c>
      <c r="AD889" s="12"/>
      <c r="AE889" s="12"/>
      <c r="AF889" s="1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</row>
    <row r="890" ht="15.75" customHeight="1">
      <c r="A890" s="103">
        <v>1.1101336E7</v>
      </c>
      <c r="B890" s="84">
        <v>1.001699218E9</v>
      </c>
      <c r="C890" s="11" t="s">
        <v>834</v>
      </c>
      <c r="D890" s="84">
        <v>19.0</v>
      </c>
      <c r="E890" s="93">
        <v>23.15</v>
      </c>
      <c r="F890" s="29" t="s">
        <v>31</v>
      </c>
      <c r="G890" s="29" t="s">
        <v>74</v>
      </c>
      <c r="H890" s="84" t="s">
        <v>835</v>
      </c>
      <c r="I890" s="93" t="s">
        <v>836</v>
      </c>
      <c r="J890" s="12" t="s">
        <v>35</v>
      </c>
      <c r="K890" s="93" t="s">
        <v>837</v>
      </c>
      <c r="L890" s="95" t="s">
        <v>78</v>
      </c>
      <c r="M890" s="85" t="s">
        <v>530</v>
      </c>
      <c r="N890" s="88">
        <v>7688.0</v>
      </c>
      <c r="O890" s="73">
        <f t="shared" si="23"/>
        <v>0.4332726327</v>
      </c>
      <c r="P890" s="89">
        <v>3331.0</v>
      </c>
      <c r="Q890" s="84" t="s">
        <v>39</v>
      </c>
      <c r="R890" s="84">
        <v>1494443.0</v>
      </c>
      <c r="S890" s="85" t="s">
        <v>40</v>
      </c>
      <c r="T890" s="90">
        <v>6074723.0</v>
      </c>
      <c r="U890" s="12"/>
      <c r="V890" s="12"/>
      <c r="W890" s="12"/>
      <c r="X890" s="147">
        <v>45323.25</v>
      </c>
      <c r="Y890" s="112">
        <v>45689.364583333336</v>
      </c>
      <c r="Z890" s="112">
        <v>45689.53472222222</v>
      </c>
      <c r="AA890" s="12"/>
      <c r="AB890" s="84" t="s">
        <v>838</v>
      </c>
      <c r="AC890" s="84" t="s">
        <v>839</v>
      </c>
      <c r="AD890" s="12"/>
      <c r="AE890" s="12"/>
      <c r="AF890" s="1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</row>
    <row r="891" ht="15.75" customHeight="1">
      <c r="A891" s="103">
        <v>1.1106283E7</v>
      </c>
      <c r="B891" s="84">
        <v>1.001703204E9</v>
      </c>
      <c r="C891" s="11">
        <v>45663.0</v>
      </c>
      <c r="D891" s="84">
        <v>26.0</v>
      </c>
      <c r="E891" s="93">
        <v>31.625</v>
      </c>
      <c r="F891" s="9" t="s">
        <v>43</v>
      </c>
      <c r="G891" s="85" t="s">
        <v>44</v>
      </c>
      <c r="H891" s="12" t="s">
        <v>45</v>
      </c>
      <c r="I891" s="29" t="s">
        <v>46</v>
      </c>
      <c r="J891" s="14" t="s">
        <v>35</v>
      </c>
      <c r="K891" s="14" t="s">
        <v>47</v>
      </c>
      <c r="L891" s="28" t="s">
        <v>48</v>
      </c>
      <c r="M891" s="85" t="s">
        <v>840</v>
      </c>
      <c r="N891" s="88">
        <v>2696.0</v>
      </c>
      <c r="O891" s="73">
        <f t="shared" si="23"/>
        <v>0.1513353116</v>
      </c>
      <c r="P891" s="89">
        <v>408.0</v>
      </c>
      <c r="Q891" s="84" t="s">
        <v>39</v>
      </c>
      <c r="R891" s="84">
        <v>1499214.0</v>
      </c>
      <c r="S891" s="85" t="s">
        <v>40</v>
      </c>
      <c r="T891" s="90">
        <v>6095301.0</v>
      </c>
      <c r="U891" s="12"/>
      <c r="V891" s="12"/>
      <c r="W891" s="12"/>
      <c r="X891" s="12"/>
      <c r="Y891" s="112">
        <v>45839.55902777778</v>
      </c>
      <c r="Z891" s="112">
        <v>45839.854166666664</v>
      </c>
      <c r="AA891" s="12"/>
      <c r="AB891" s="84">
        <v>784020.0</v>
      </c>
      <c r="AC891" s="84" t="s">
        <v>827</v>
      </c>
      <c r="AD891" s="12"/>
      <c r="AE891" s="12"/>
      <c r="AF891" s="1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</row>
    <row r="892" ht="15.75" customHeight="1">
      <c r="A892" s="103">
        <v>1.1106284E7</v>
      </c>
      <c r="B892" s="84">
        <v>1.001703437E9</v>
      </c>
      <c r="C892" s="11">
        <v>45663.0</v>
      </c>
      <c r="D892" s="84">
        <v>26.0</v>
      </c>
      <c r="E892" s="93">
        <v>31.625</v>
      </c>
      <c r="F892" s="137" t="s">
        <v>31</v>
      </c>
      <c r="G892" s="85" t="s">
        <v>44</v>
      </c>
      <c r="H892" s="12" t="s">
        <v>45</v>
      </c>
      <c r="I892" s="29" t="s">
        <v>46</v>
      </c>
      <c r="J892" s="14" t="s">
        <v>35</v>
      </c>
      <c r="K892" s="14" t="s">
        <v>47</v>
      </c>
      <c r="L892" s="28" t="s">
        <v>48</v>
      </c>
      <c r="M892" s="85" t="s">
        <v>841</v>
      </c>
      <c r="N892" s="88">
        <v>2696.0</v>
      </c>
      <c r="O892" s="73">
        <f t="shared" si="23"/>
        <v>0.1513353116</v>
      </c>
      <c r="P892" s="89">
        <v>408.0</v>
      </c>
      <c r="Q892" s="84" t="s">
        <v>39</v>
      </c>
      <c r="R892" s="84">
        <v>1499044.0</v>
      </c>
      <c r="S892" s="85" t="s">
        <v>40</v>
      </c>
      <c r="T892" s="90">
        <v>6093977.0</v>
      </c>
      <c r="U892" s="12"/>
      <c r="V892" s="12"/>
      <c r="W892" s="12"/>
      <c r="X892" s="12"/>
      <c r="Y892" s="112">
        <v>45839.333333333336</v>
      </c>
      <c r="Z892" s="112">
        <v>45839.743055555555</v>
      </c>
      <c r="AA892" s="12"/>
      <c r="AB892" s="84" t="s">
        <v>842</v>
      </c>
      <c r="AC892" s="84" t="s">
        <v>843</v>
      </c>
      <c r="AD892" s="12"/>
      <c r="AE892" s="12"/>
      <c r="AF892" s="1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</row>
    <row r="893" ht="15.75" customHeight="1">
      <c r="A893" s="103">
        <v>1.1110446E7</v>
      </c>
      <c r="B893" s="84">
        <v>1.00170619E9</v>
      </c>
      <c r="C893" s="11">
        <v>45663.0</v>
      </c>
      <c r="D893" s="84">
        <v>26.0</v>
      </c>
      <c r="E893" s="93">
        <v>31.625</v>
      </c>
      <c r="F893" s="12" t="s">
        <v>31</v>
      </c>
      <c r="G893" s="85" t="s">
        <v>44</v>
      </c>
      <c r="H893" s="12" t="s">
        <v>268</v>
      </c>
      <c r="I893" s="29" t="s">
        <v>397</v>
      </c>
      <c r="J893" s="12" t="s">
        <v>35</v>
      </c>
      <c r="K893" s="29" t="s">
        <v>270</v>
      </c>
      <c r="L893" s="15" t="s">
        <v>94</v>
      </c>
      <c r="M893" s="85" t="s">
        <v>831</v>
      </c>
      <c r="N893" s="88">
        <v>6200.0</v>
      </c>
      <c r="O893" s="73">
        <f t="shared" si="23"/>
        <v>0.3103870968</v>
      </c>
      <c r="P893" s="89">
        <v>1924.4</v>
      </c>
      <c r="Q893" s="84" t="s">
        <v>107</v>
      </c>
      <c r="R893" s="84">
        <v>1499139.0</v>
      </c>
      <c r="S893" s="85" t="s">
        <v>40</v>
      </c>
      <c r="T893" s="90">
        <v>6094791.0</v>
      </c>
      <c r="U893" s="12"/>
      <c r="V893" s="12"/>
      <c r="W893" s="12"/>
      <c r="X893" s="12"/>
      <c r="Y893" s="112">
        <v>45474.69097222222</v>
      </c>
      <c r="Z893" s="112">
        <v>45839.92361111111</v>
      </c>
      <c r="AA893" s="12"/>
      <c r="AB893" s="84">
        <v>783991.0</v>
      </c>
      <c r="AC893" s="84" t="s">
        <v>827</v>
      </c>
      <c r="AD893" s="12"/>
      <c r="AE893" s="12"/>
      <c r="AF893" s="1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</row>
    <row r="894" ht="15.75" customHeight="1">
      <c r="A894" s="103">
        <v>1.1110447E7</v>
      </c>
      <c r="B894" s="84">
        <v>1.001706237E9</v>
      </c>
      <c r="C894" s="11">
        <v>45660.0</v>
      </c>
      <c r="D894" s="84">
        <v>26.0</v>
      </c>
      <c r="E894" s="93">
        <v>31.625</v>
      </c>
      <c r="F894" s="12" t="s">
        <v>31</v>
      </c>
      <c r="G894" s="85" t="s">
        <v>44</v>
      </c>
      <c r="H894" s="12" t="s">
        <v>268</v>
      </c>
      <c r="I894" s="29" t="s">
        <v>397</v>
      </c>
      <c r="J894" s="12" t="s">
        <v>35</v>
      </c>
      <c r="K894" s="12" t="s">
        <v>270</v>
      </c>
      <c r="L894" s="28" t="s">
        <v>94</v>
      </c>
      <c r="M894" s="85" t="s">
        <v>495</v>
      </c>
      <c r="N894" s="88">
        <v>6200.0</v>
      </c>
      <c r="O894" s="73">
        <f t="shared" si="23"/>
        <v>0.3103870968</v>
      </c>
      <c r="P894" s="89">
        <v>1924.4</v>
      </c>
      <c r="Q894" s="84" t="s">
        <v>39</v>
      </c>
      <c r="R894" s="12">
        <v>1497837.0</v>
      </c>
      <c r="S894" s="85" t="s">
        <v>40</v>
      </c>
      <c r="T894" s="90">
        <v>6088875.0</v>
      </c>
      <c r="U894" s="12"/>
      <c r="V894" s="12"/>
      <c r="W894" s="12"/>
      <c r="X894" s="12"/>
      <c r="Y894" s="112">
        <v>45809.461805555555</v>
      </c>
      <c r="Z894" s="112">
        <v>45809.77777777778</v>
      </c>
      <c r="AA894" s="12"/>
      <c r="AB894" s="84">
        <v>782926.0</v>
      </c>
      <c r="AC894" s="84" t="s">
        <v>827</v>
      </c>
      <c r="AD894" s="12"/>
      <c r="AE894" s="12"/>
      <c r="AF894" s="1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</row>
    <row r="895" ht="15.75" customHeight="1">
      <c r="A895" s="103">
        <v>1.1110908E7</v>
      </c>
      <c r="B895" s="84">
        <v>1.00170618E9</v>
      </c>
      <c r="C895" s="11">
        <v>45660.0</v>
      </c>
      <c r="D895" s="84">
        <v>26.0</v>
      </c>
      <c r="E895" s="93">
        <v>31.625</v>
      </c>
      <c r="F895" s="12" t="s">
        <v>31</v>
      </c>
      <c r="G895" s="85" t="s">
        <v>44</v>
      </c>
      <c r="H895" s="12" t="s">
        <v>268</v>
      </c>
      <c r="I895" s="29" t="s">
        <v>397</v>
      </c>
      <c r="J895" s="12" t="s">
        <v>35</v>
      </c>
      <c r="K895" s="12" t="s">
        <v>270</v>
      </c>
      <c r="L895" s="28" t="s">
        <v>94</v>
      </c>
      <c r="M895" s="85" t="s">
        <v>844</v>
      </c>
      <c r="N895" s="88">
        <v>6200.0</v>
      </c>
      <c r="O895" s="73">
        <f t="shared" si="23"/>
        <v>0.3103870968</v>
      </c>
      <c r="P895" s="89">
        <v>1924.4</v>
      </c>
      <c r="Q895" s="84" t="s">
        <v>39</v>
      </c>
      <c r="R895" s="12">
        <v>1497579.0</v>
      </c>
      <c r="S895" s="85" t="s">
        <v>40</v>
      </c>
      <c r="T895" s="90">
        <v>6087383.0</v>
      </c>
      <c r="U895" s="12"/>
      <c r="V895" s="12"/>
      <c r="W895" s="12"/>
      <c r="X895" s="12"/>
      <c r="Y895" s="112">
        <v>45809.25</v>
      </c>
      <c r="Z895" s="112">
        <v>45809.322916666664</v>
      </c>
      <c r="AA895" s="12"/>
      <c r="AB895" s="84">
        <v>782939.0</v>
      </c>
      <c r="AC895" s="84" t="s">
        <v>827</v>
      </c>
      <c r="AD895" s="12"/>
      <c r="AE895" s="12"/>
      <c r="AF895" s="1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</row>
    <row r="896" ht="15.75" customHeight="1">
      <c r="A896" s="103">
        <v>1.1111033E7</v>
      </c>
      <c r="B896" s="84">
        <v>1.001706234E9</v>
      </c>
      <c r="C896" s="11">
        <v>45659.0</v>
      </c>
      <c r="D896" s="84">
        <v>26.0</v>
      </c>
      <c r="E896" s="93">
        <v>31.922</v>
      </c>
      <c r="F896" s="29" t="s">
        <v>31</v>
      </c>
      <c r="G896" s="85" t="s">
        <v>44</v>
      </c>
      <c r="H896" s="29" t="s">
        <v>268</v>
      </c>
      <c r="I896" s="25" t="s">
        <v>397</v>
      </c>
      <c r="J896" s="25" t="s">
        <v>35</v>
      </c>
      <c r="K896" s="29" t="s">
        <v>270</v>
      </c>
      <c r="L896" s="28" t="s">
        <v>94</v>
      </c>
      <c r="M896" s="85" t="s">
        <v>452</v>
      </c>
      <c r="N896" s="88">
        <v>6200.0</v>
      </c>
      <c r="O896" s="73">
        <f t="shared" si="23"/>
        <v>0.3103870968</v>
      </c>
      <c r="P896" s="89">
        <v>1924.4</v>
      </c>
      <c r="Q896" s="84" t="s">
        <v>39</v>
      </c>
      <c r="R896" s="84">
        <v>1496912.0</v>
      </c>
      <c r="S896" s="85" t="s">
        <v>40</v>
      </c>
      <c r="T896" s="90">
        <v>6083774.0</v>
      </c>
      <c r="U896" s="12"/>
      <c r="V896" s="12"/>
      <c r="W896" s="12"/>
      <c r="X896" s="99"/>
      <c r="Y896" s="112">
        <v>45809.32638888889</v>
      </c>
      <c r="Z896" s="112">
        <v>45444.59722222222</v>
      </c>
      <c r="AA896" s="12"/>
      <c r="AB896" s="84">
        <v>781669.0</v>
      </c>
      <c r="AC896" s="84" t="s">
        <v>827</v>
      </c>
      <c r="AD896" s="12"/>
      <c r="AE896" s="12"/>
      <c r="AF896" s="1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</row>
    <row r="897" ht="15.75" customHeight="1">
      <c r="A897" s="103">
        <v>1.1111034E7</v>
      </c>
      <c r="B897" s="84">
        <v>1.001706156E9</v>
      </c>
      <c r="C897" s="11">
        <v>45660.0</v>
      </c>
      <c r="D897" s="84">
        <v>26.0</v>
      </c>
      <c r="E897" s="93">
        <v>31.625</v>
      </c>
      <c r="F897" s="29" t="s">
        <v>31</v>
      </c>
      <c r="G897" s="85" t="s">
        <v>44</v>
      </c>
      <c r="H897" s="29" t="s">
        <v>268</v>
      </c>
      <c r="I897" s="25" t="s">
        <v>397</v>
      </c>
      <c r="J897" s="25" t="s">
        <v>35</v>
      </c>
      <c r="K897" s="29" t="s">
        <v>270</v>
      </c>
      <c r="L897" s="28" t="s">
        <v>94</v>
      </c>
      <c r="M897" s="85" t="s">
        <v>509</v>
      </c>
      <c r="N897" s="88">
        <v>6200.0</v>
      </c>
      <c r="O897" s="73">
        <f t="shared" si="23"/>
        <v>0.3103870968</v>
      </c>
      <c r="P897" s="89">
        <v>1924.4</v>
      </c>
      <c r="Q897" s="84" t="s">
        <v>39</v>
      </c>
      <c r="R897" s="84">
        <v>1497830.0</v>
      </c>
      <c r="S897" s="85" t="s">
        <v>40</v>
      </c>
      <c r="T897" s="90">
        <v>6088857.0</v>
      </c>
      <c r="U897" s="12"/>
      <c r="V897" s="12"/>
      <c r="W897" s="12"/>
      <c r="X897" s="147"/>
      <c r="Y897" s="112">
        <v>45809.666666666664</v>
      </c>
      <c r="Z897" s="112">
        <v>45809.791666666664</v>
      </c>
      <c r="AA897" s="12"/>
      <c r="AB897" s="84">
        <v>782906.0</v>
      </c>
      <c r="AC897" s="84" t="s">
        <v>827</v>
      </c>
      <c r="AD897" s="12"/>
      <c r="AE897" s="12"/>
      <c r="AF897" s="1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</row>
    <row r="898" ht="15.0" customHeight="1">
      <c r="A898" s="103">
        <v>1.1113012E7</v>
      </c>
      <c r="B898" s="84">
        <v>1.001708127E9</v>
      </c>
      <c r="C898" s="11">
        <v>45663.0</v>
      </c>
      <c r="D898" s="84">
        <v>4.0</v>
      </c>
      <c r="E898" s="93">
        <v>4.008</v>
      </c>
      <c r="F898" s="9" t="s">
        <v>43</v>
      </c>
      <c r="G898" s="29" t="s">
        <v>44</v>
      </c>
      <c r="H898" s="29" t="s">
        <v>845</v>
      </c>
      <c r="I898" s="25" t="s">
        <v>46</v>
      </c>
      <c r="J898" s="55" t="s">
        <v>47</v>
      </c>
      <c r="K898" s="49" t="s">
        <v>35</v>
      </c>
      <c r="L898" s="28" t="s">
        <v>48</v>
      </c>
      <c r="M898" s="85" t="s">
        <v>846</v>
      </c>
      <c r="N898" s="88">
        <v>1601.6</v>
      </c>
      <c r="O898" s="73">
        <f t="shared" si="23"/>
        <v>0</v>
      </c>
      <c r="P898" s="89" t="s">
        <v>52</v>
      </c>
      <c r="Q898" s="84" t="s">
        <v>52</v>
      </c>
      <c r="R898" s="146" t="s">
        <v>580</v>
      </c>
      <c r="S898" s="85" t="s">
        <v>131</v>
      </c>
      <c r="T898" s="84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</row>
    <row r="899" ht="15.75" customHeight="1">
      <c r="A899" s="103">
        <v>1.111511E7</v>
      </c>
      <c r="B899" s="84">
        <v>1.001709778E9</v>
      </c>
      <c r="C899" s="11">
        <v>45664.0</v>
      </c>
      <c r="D899" s="84">
        <v>26.0</v>
      </c>
      <c r="E899" s="93">
        <v>31.625</v>
      </c>
      <c r="F899" s="29" t="s">
        <v>31</v>
      </c>
      <c r="G899" s="85" t="s">
        <v>44</v>
      </c>
      <c r="H899" s="29" t="s">
        <v>268</v>
      </c>
      <c r="I899" s="25" t="s">
        <v>397</v>
      </c>
      <c r="J899" s="25" t="s">
        <v>35</v>
      </c>
      <c r="K899" s="29" t="s">
        <v>270</v>
      </c>
      <c r="L899" s="28" t="s">
        <v>94</v>
      </c>
      <c r="M899" s="85" t="s">
        <v>145</v>
      </c>
      <c r="N899" s="88">
        <v>6200.0</v>
      </c>
      <c r="O899" s="73">
        <f t="shared" si="23"/>
        <v>0.3103870968</v>
      </c>
      <c r="P899" s="89">
        <v>1924.4</v>
      </c>
      <c r="Q899" s="84" t="s">
        <v>39</v>
      </c>
      <c r="R899" s="84">
        <v>1500328.0</v>
      </c>
      <c r="S899" s="85" t="s">
        <v>40</v>
      </c>
      <c r="T899" s="90">
        <v>6100688.0</v>
      </c>
      <c r="U899" s="12"/>
      <c r="V899" s="12"/>
      <c r="W899" s="12"/>
      <c r="X899" s="12"/>
      <c r="Y899" s="112">
        <v>45901.635416666664</v>
      </c>
      <c r="Z899" s="112">
        <v>45901.791666666664</v>
      </c>
      <c r="AA899" s="12"/>
      <c r="AB899" s="84">
        <v>784916.0</v>
      </c>
      <c r="AC899" s="84" t="s">
        <v>827</v>
      </c>
      <c r="AD899" s="12"/>
      <c r="AE899" s="12"/>
      <c r="AF899" s="1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</row>
    <row r="900" ht="15.75" customHeight="1">
      <c r="A900" s="103">
        <v>1.1115111E7</v>
      </c>
      <c r="B900" s="84">
        <v>1.0017098E9</v>
      </c>
      <c r="C900" s="11">
        <v>45664.0</v>
      </c>
      <c r="D900" s="84">
        <v>26.0</v>
      </c>
      <c r="E900" s="93">
        <v>31.625</v>
      </c>
      <c r="F900" s="29" t="s">
        <v>31</v>
      </c>
      <c r="G900" s="85" t="s">
        <v>44</v>
      </c>
      <c r="H900" s="29" t="s">
        <v>268</v>
      </c>
      <c r="I900" s="25" t="s">
        <v>397</v>
      </c>
      <c r="J900" s="25" t="s">
        <v>35</v>
      </c>
      <c r="K900" s="29" t="s">
        <v>270</v>
      </c>
      <c r="L900" s="28" t="s">
        <v>94</v>
      </c>
      <c r="M900" s="85" t="s">
        <v>847</v>
      </c>
      <c r="N900" s="88">
        <v>6200.0</v>
      </c>
      <c r="O900" s="73">
        <f t="shared" si="23"/>
        <v>0.3103870968</v>
      </c>
      <c r="P900" s="89">
        <v>1924.4</v>
      </c>
      <c r="Q900" s="84" t="s">
        <v>39</v>
      </c>
      <c r="R900" s="115">
        <v>1499988.0</v>
      </c>
      <c r="S900" s="85" t="s">
        <v>40</v>
      </c>
      <c r="T900" s="90">
        <v>6098472.0</v>
      </c>
      <c r="U900" s="12"/>
      <c r="V900" s="12"/>
      <c r="W900" s="12"/>
      <c r="X900" s="12"/>
      <c r="Y900" s="112">
        <v>45870.711805555555</v>
      </c>
      <c r="Z900" s="112">
        <v>45870.74652777778</v>
      </c>
      <c r="AA900" s="12"/>
      <c r="AB900" s="84">
        <v>784904.0</v>
      </c>
      <c r="AC900" s="84" t="s">
        <v>827</v>
      </c>
      <c r="AD900" s="12"/>
      <c r="AE900" s="12"/>
      <c r="AF900" s="1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</row>
    <row r="901" ht="15.75" customHeight="1">
      <c r="A901" s="103">
        <v>1.1116445E7</v>
      </c>
      <c r="B901" s="84">
        <v>1.001712038E9</v>
      </c>
      <c r="C901" s="11">
        <v>45664.0</v>
      </c>
      <c r="D901" s="84">
        <v>26.0</v>
      </c>
      <c r="E901" s="93">
        <v>32.553</v>
      </c>
      <c r="F901" s="9" t="s">
        <v>43</v>
      </c>
      <c r="G901" s="29" t="s">
        <v>32</v>
      </c>
      <c r="H901" s="12" t="s">
        <v>111</v>
      </c>
      <c r="I901" s="25" t="s">
        <v>112</v>
      </c>
      <c r="J901" s="12" t="s">
        <v>35</v>
      </c>
      <c r="K901" s="12" t="s">
        <v>113</v>
      </c>
      <c r="L901" s="25" t="s">
        <v>114</v>
      </c>
      <c r="M901" s="85" t="s">
        <v>685</v>
      </c>
      <c r="N901" s="88">
        <v>5613.0</v>
      </c>
      <c r="O901" s="73">
        <f t="shared" si="23"/>
        <v>0</v>
      </c>
      <c r="P901" s="89" t="s">
        <v>723</v>
      </c>
      <c r="Q901" s="84" t="s">
        <v>107</v>
      </c>
      <c r="R901" s="84">
        <v>1499989.0</v>
      </c>
      <c r="S901" s="85" t="s">
        <v>40</v>
      </c>
      <c r="T901" s="90">
        <v>6098482.0</v>
      </c>
      <c r="U901" s="12"/>
      <c r="V901" s="12"/>
      <c r="W901" s="12"/>
      <c r="X901" s="12"/>
      <c r="Y901" s="112">
        <v>45901.45138888889</v>
      </c>
      <c r="Z901" s="112">
        <v>45931.6875</v>
      </c>
      <c r="AA901" s="12"/>
      <c r="AB901" s="84" t="s">
        <v>848</v>
      </c>
      <c r="AC901" s="84" t="s">
        <v>849</v>
      </c>
      <c r="AD901" s="12"/>
      <c r="AE901" s="12"/>
      <c r="AF901" s="1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</row>
    <row r="902" ht="15.75" customHeight="1">
      <c r="A902" s="103">
        <v>1.1116446E7</v>
      </c>
      <c r="B902" s="84">
        <v>1.001712095E9</v>
      </c>
      <c r="C902" s="11">
        <v>45664.0</v>
      </c>
      <c r="D902" s="84">
        <v>3.0</v>
      </c>
      <c r="E902" s="93">
        <v>15.911</v>
      </c>
      <c r="F902" s="9" t="s">
        <v>43</v>
      </c>
      <c r="G902" s="29" t="s">
        <v>32</v>
      </c>
      <c r="H902" s="12" t="s">
        <v>850</v>
      </c>
      <c r="I902" s="29" t="s">
        <v>112</v>
      </c>
      <c r="J902" s="12" t="s">
        <v>113</v>
      </c>
      <c r="K902" s="12" t="s">
        <v>35</v>
      </c>
      <c r="L902" s="25" t="s">
        <v>43</v>
      </c>
      <c r="M902" s="85" t="s">
        <v>851</v>
      </c>
      <c r="N902" s="88">
        <v>3742.0</v>
      </c>
      <c r="O902" s="73">
        <f t="shared" si="23"/>
        <v>0.3487439872</v>
      </c>
      <c r="P902" s="89">
        <v>1305.0</v>
      </c>
      <c r="Q902" s="12"/>
      <c r="R902" s="84">
        <v>1502837.0</v>
      </c>
      <c r="S902" s="85" t="s">
        <v>40</v>
      </c>
      <c r="T902" s="90">
        <v>6115310.0</v>
      </c>
      <c r="U902" s="12"/>
      <c r="V902" s="12"/>
      <c r="W902" s="12"/>
      <c r="X902" s="12"/>
      <c r="Y902" s="112">
        <v>45962.666666666664</v>
      </c>
      <c r="Z902" s="84" t="s">
        <v>852</v>
      </c>
      <c r="AA902" s="12"/>
      <c r="AB902" s="84" t="s">
        <v>853</v>
      </c>
      <c r="AC902" s="84" t="s">
        <v>854</v>
      </c>
      <c r="AD902" s="12"/>
      <c r="AE902" s="12"/>
      <c r="AF902" s="1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</row>
    <row r="903" ht="15.75" customHeight="1">
      <c r="A903" s="103">
        <v>1.1118602E7</v>
      </c>
      <c r="B903" s="84">
        <v>1.001714836E9</v>
      </c>
      <c r="C903" s="11">
        <v>45665.0</v>
      </c>
      <c r="D903" s="84">
        <v>26.0</v>
      </c>
      <c r="E903" s="93">
        <v>33.43</v>
      </c>
      <c r="F903" s="29" t="s">
        <v>31</v>
      </c>
      <c r="G903" s="93" t="s">
        <v>44</v>
      </c>
      <c r="H903" s="25" t="s">
        <v>268</v>
      </c>
      <c r="I903" s="25" t="s">
        <v>397</v>
      </c>
      <c r="J903" s="25" t="s">
        <v>35</v>
      </c>
      <c r="K903" s="25" t="s">
        <v>270</v>
      </c>
      <c r="L903" s="28" t="s">
        <v>94</v>
      </c>
      <c r="M903" s="84" t="s">
        <v>530</v>
      </c>
      <c r="N903" s="88">
        <v>6677.0</v>
      </c>
      <c r="O903" s="73">
        <f t="shared" si="23"/>
        <v>0.2882132694</v>
      </c>
      <c r="P903" s="89">
        <v>1924.4</v>
      </c>
      <c r="Q903" s="84" t="s">
        <v>39</v>
      </c>
      <c r="R903" s="84">
        <v>1501086.0</v>
      </c>
      <c r="S903" s="85" t="s">
        <v>40</v>
      </c>
      <c r="T903" s="90">
        <v>6104390.0</v>
      </c>
      <c r="U903" s="12"/>
      <c r="V903" s="12"/>
      <c r="W903" s="12"/>
      <c r="X903" s="12"/>
      <c r="Y903" s="112">
        <v>45931.74652777778</v>
      </c>
      <c r="Z903" s="112">
        <v>45931.791666666664</v>
      </c>
      <c r="AA903" s="12"/>
      <c r="AB903" s="84">
        <v>785779.0</v>
      </c>
      <c r="AC903" s="84" t="s">
        <v>827</v>
      </c>
      <c r="AD903" s="12"/>
      <c r="AE903" s="12"/>
      <c r="AF903" s="1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</row>
    <row r="904" ht="15.75" customHeight="1">
      <c r="A904" s="103">
        <v>1.1118603E7</v>
      </c>
      <c r="B904" s="84">
        <v>1.001714848E9</v>
      </c>
      <c r="C904" s="11">
        <v>45665.0</v>
      </c>
      <c r="D904" s="84">
        <v>26.0</v>
      </c>
      <c r="E904" s="93">
        <v>31.922</v>
      </c>
      <c r="F904" s="29" t="s">
        <v>31</v>
      </c>
      <c r="G904" s="93" t="s">
        <v>44</v>
      </c>
      <c r="H904" s="25" t="s">
        <v>268</v>
      </c>
      <c r="I904" s="25" t="s">
        <v>397</v>
      </c>
      <c r="J904" s="25" t="s">
        <v>35</v>
      </c>
      <c r="K904" s="25" t="s">
        <v>270</v>
      </c>
      <c r="L904" s="28" t="s">
        <v>94</v>
      </c>
      <c r="M904" s="84" t="s">
        <v>855</v>
      </c>
      <c r="N904" s="88">
        <v>6200.0</v>
      </c>
      <c r="O904" s="73">
        <f t="shared" si="23"/>
        <v>0.3103870968</v>
      </c>
      <c r="P904" s="89">
        <v>1924.4</v>
      </c>
      <c r="Q904" s="84" t="s">
        <v>39</v>
      </c>
      <c r="R904" s="84">
        <v>1500935.0</v>
      </c>
      <c r="S904" s="85" t="s">
        <v>40</v>
      </c>
      <c r="T904" s="90">
        <v>6103382.0</v>
      </c>
      <c r="U904" s="12"/>
      <c r="V904" s="12"/>
      <c r="W904" s="12"/>
      <c r="X904" s="12"/>
      <c r="Y904" s="112">
        <v>45901.510416666664</v>
      </c>
      <c r="Z904" s="112">
        <v>45901.552083333336</v>
      </c>
      <c r="AA904" s="12"/>
      <c r="AB904" s="84">
        <v>785776.0</v>
      </c>
      <c r="AC904" s="84" t="s">
        <v>827</v>
      </c>
      <c r="AD904" s="12"/>
      <c r="AE904" s="12"/>
      <c r="AF904" s="1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</row>
    <row r="905" ht="15.75" customHeight="1">
      <c r="A905" s="103">
        <v>1.111887E7</v>
      </c>
      <c r="B905" s="84">
        <v>1.00171519E9</v>
      </c>
      <c r="C905" s="11">
        <v>45666.0</v>
      </c>
      <c r="D905" s="84">
        <v>26.0</v>
      </c>
      <c r="E905" s="93">
        <v>31.625</v>
      </c>
      <c r="F905" s="29" t="s">
        <v>31</v>
      </c>
      <c r="G905" s="100" t="s">
        <v>74</v>
      </c>
      <c r="H905" s="12" t="s">
        <v>262</v>
      </c>
      <c r="I905" s="28" t="s">
        <v>263</v>
      </c>
      <c r="J905" s="12" t="s">
        <v>35</v>
      </c>
      <c r="K905" s="12" t="s">
        <v>264</v>
      </c>
      <c r="L905" s="28" t="s">
        <v>59</v>
      </c>
      <c r="M905" s="85" t="s">
        <v>856</v>
      </c>
      <c r="N905" s="88">
        <v>4650.0</v>
      </c>
      <c r="O905" s="73">
        <f t="shared" si="23"/>
        <v>0.3739784946</v>
      </c>
      <c r="P905" s="89">
        <v>1739.0</v>
      </c>
      <c r="Q905" s="84" t="s">
        <v>39</v>
      </c>
      <c r="R905" s="84">
        <v>1501793.0</v>
      </c>
      <c r="S905" s="85" t="s">
        <v>40</v>
      </c>
      <c r="T905" s="90">
        <v>6108584.0</v>
      </c>
      <c r="U905" s="12"/>
      <c r="V905" s="12"/>
      <c r="W905" s="12"/>
      <c r="X905" s="147">
        <v>45931.208333333336</v>
      </c>
      <c r="Y905" s="112">
        <v>45931.45138888889</v>
      </c>
      <c r="Z905" s="84" t="s">
        <v>857</v>
      </c>
      <c r="AA905" s="12"/>
      <c r="AB905" s="84" t="s">
        <v>858</v>
      </c>
      <c r="AC905" s="84" t="s">
        <v>859</v>
      </c>
      <c r="AD905" s="12"/>
      <c r="AE905" s="12"/>
      <c r="AF905" s="1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</row>
    <row r="906" ht="15.75" customHeight="1">
      <c r="A906" s="103">
        <v>1.1119429E7</v>
      </c>
      <c r="B906" s="84">
        <v>1.001715504E9</v>
      </c>
      <c r="C906" s="11" t="s">
        <v>860</v>
      </c>
      <c r="D906" s="84">
        <v>26.0</v>
      </c>
      <c r="E906" s="93">
        <v>31.922</v>
      </c>
      <c r="F906" s="29" t="s">
        <v>31</v>
      </c>
      <c r="G906" s="93" t="s">
        <v>44</v>
      </c>
      <c r="H906" s="12" t="s">
        <v>268</v>
      </c>
      <c r="I906" s="29" t="s">
        <v>397</v>
      </c>
      <c r="J906" s="12" t="s">
        <v>35</v>
      </c>
      <c r="K906" s="12" t="s">
        <v>270</v>
      </c>
      <c r="L906" s="28" t="s">
        <v>94</v>
      </c>
      <c r="M906" s="148" t="s">
        <v>559</v>
      </c>
      <c r="N906" s="88">
        <v>6200.0</v>
      </c>
      <c r="O906" s="73">
        <f t="shared" si="23"/>
        <v>0.3103225806</v>
      </c>
      <c r="P906" s="89">
        <v>1924.0</v>
      </c>
      <c r="Q906" s="84" t="s">
        <v>39</v>
      </c>
      <c r="R906" s="125">
        <v>1504467.0</v>
      </c>
      <c r="S906" s="85" t="s">
        <v>40</v>
      </c>
      <c r="T906" s="90">
        <v>6122485.0</v>
      </c>
      <c r="U906" s="12"/>
      <c r="V906" s="12"/>
      <c r="W906" s="12"/>
      <c r="X906" s="12"/>
      <c r="Y906" s="84" t="s">
        <v>861</v>
      </c>
      <c r="Z906" s="84" t="s">
        <v>862</v>
      </c>
      <c r="AA906" s="12"/>
      <c r="AB906" s="84">
        <v>788433.0</v>
      </c>
      <c r="AC906" s="84" t="s">
        <v>827</v>
      </c>
      <c r="AD906" s="12"/>
      <c r="AE906" s="12"/>
      <c r="AF906" s="1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</row>
    <row r="907" ht="15.75" customHeight="1">
      <c r="A907" s="104">
        <v>1.111943E7</v>
      </c>
      <c r="B907" s="94">
        <v>1.001715628E9</v>
      </c>
      <c r="C907" s="11">
        <v>45665.0</v>
      </c>
      <c r="D907" s="94">
        <v>26.0</v>
      </c>
      <c r="E907" s="108">
        <v>30.478</v>
      </c>
      <c r="F907" s="38" t="s">
        <v>43</v>
      </c>
      <c r="G907" s="149" t="s">
        <v>44</v>
      </c>
      <c r="H907" s="29" t="s">
        <v>268</v>
      </c>
      <c r="I907" s="29" t="s">
        <v>397</v>
      </c>
      <c r="J907" s="12" t="s">
        <v>35</v>
      </c>
      <c r="K907" s="12" t="s">
        <v>270</v>
      </c>
      <c r="L907" s="28" t="s">
        <v>94</v>
      </c>
      <c r="M907" s="85" t="s">
        <v>863</v>
      </c>
      <c r="N907" s="40">
        <v>5460.0</v>
      </c>
      <c r="O907" s="73">
        <f t="shared" si="23"/>
        <v>0.8241758242</v>
      </c>
      <c r="P907" s="121">
        <v>4500.0</v>
      </c>
      <c r="Q907" s="84" t="s">
        <v>39</v>
      </c>
      <c r="R907" s="84">
        <v>1501460.0</v>
      </c>
      <c r="S907" s="85" t="s">
        <v>40</v>
      </c>
      <c r="T907" s="90">
        <v>6106699.0</v>
      </c>
      <c r="U907" s="12"/>
      <c r="V907" s="12"/>
      <c r="W907" s="12"/>
      <c r="X907" s="12"/>
      <c r="Y907" s="112">
        <v>45901.90277777778</v>
      </c>
      <c r="Z907" s="112">
        <v>45931.072916666664</v>
      </c>
      <c r="AA907" s="12"/>
      <c r="AB907" s="84" t="s">
        <v>864</v>
      </c>
      <c r="AC907" s="84" t="s">
        <v>825</v>
      </c>
      <c r="AD907" s="12"/>
      <c r="AE907" s="12"/>
      <c r="AF907" s="1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</row>
    <row r="908" ht="15.75" customHeight="1">
      <c r="A908" s="103">
        <v>1.1119431E7</v>
      </c>
      <c r="B908" s="84">
        <v>1.001715501E9</v>
      </c>
      <c r="C908" s="11" t="s">
        <v>860</v>
      </c>
      <c r="D908" s="84">
        <v>26.0</v>
      </c>
      <c r="E908" s="93">
        <v>31.922</v>
      </c>
      <c r="F908" s="12" t="s">
        <v>31</v>
      </c>
      <c r="G908" s="85" t="s">
        <v>44</v>
      </c>
      <c r="H908" s="12" t="s">
        <v>268</v>
      </c>
      <c r="I908" s="29" t="s">
        <v>397</v>
      </c>
      <c r="J908" s="12" t="s">
        <v>35</v>
      </c>
      <c r="K908" s="12" t="s">
        <v>270</v>
      </c>
      <c r="L908" s="28" t="s">
        <v>94</v>
      </c>
      <c r="M908" s="148" t="s">
        <v>481</v>
      </c>
      <c r="N908" s="88">
        <v>6200.0</v>
      </c>
      <c r="O908" s="73">
        <f t="shared" si="23"/>
        <v>0.3103225806</v>
      </c>
      <c r="P908" s="89">
        <v>1924.0</v>
      </c>
      <c r="Q908" s="84" t="s">
        <v>39</v>
      </c>
      <c r="R908" s="84">
        <v>1504315.0</v>
      </c>
      <c r="S908" s="85" t="s">
        <v>40</v>
      </c>
      <c r="T908" s="90">
        <v>6121206.0</v>
      </c>
      <c r="U908" s="12"/>
      <c r="V908" s="12"/>
      <c r="W908" s="12"/>
      <c r="X908" s="12"/>
      <c r="Y908" s="84" t="s">
        <v>865</v>
      </c>
      <c r="Z908" s="84" t="s">
        <v>862</v>
      </c>
      <c r="AA908" s="12"/>
      <c r="AB908" s="84">
        <v>788428.0</v>
      </c>
      <c r="AC908" s="84" t="s">
        <v>827</v>
      </c>
      <c r="AD908" s="12"/>
      <c r="AE908" s="12"/>
      <c r="AF908" s="1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</row>
    <row r="909" ht="15.0" customHeight="1">
      <c r="A909" s="104">
        <v>1.1119432E7</v>
      </c>
      <c r="B909" s="94">
        <v>1.001715246E9</v>
      </c>
      <c r="C909" s="11">
        <v>45665.0</v>
      </c>
      <c r="D909" s="94">
        <v>3.0</v>
      </c>
      <c r="E909" s="108">
        <v>5.783</v>
      </c>
      <c r="F909" s="9" t="s">
        <v>43</v>
      </c>
      <c r="G909" s="97" t="s">
        <v>44</v>
      </c>
      <c r="H909" s="12" t="s">
        <v>866</v>
      </c>
      <c r="I909" s="29" t="s">
        <v>269</v>
      </c>
      <c r="J909" s="12" t="s">
        <v>270</v>
      </c>
      <c r="K909" s="12" t="s">
        <v>35</v>
      </c>
      <c r="L909" s="28" t="s">
        <v>188</v>
      </c>
      <c r="M909" s="85" t="s">
        <v>867</v>
      </c>
      <c r="N909" s="40">
        <v>3640.0</v>
      </c>
      <c r="O909" s="73">
        <f t="shared" si="23"/>
        <v>0</v>
      </c>
      <c r="P909" s="89" t="s">
        <v>52</v>
      </c>
      <c r="Q909" s="84" t="s">
        <v>52</v>
      </c>
      <c r="R909" s="146" t="s">
        <v>580</v>
      </c>
      <c r="S909" s="85" t="s">
        <v>131</v>
      </c>
      <c r="T909" s="94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</row>
    <row r="910" ht="15.75" customHeight="1">
      <c r="A910" s="103">
        <v>1.1121906E7</v>
      </c>
      <c r="B910" s="84">
        <v>1.001715179E9</v>
      </c>
      <c r="C910" s="11">
        <v>45666.0</v>
      </c>
      <c r="D910" s="84">
        <v>26.0</v>
      </c>
      <c r="E910" s="93">
        <v>31.625</v>
      </c>
      <c r="F910" s="29" t="s">
        <v>31</v>
      </c>
      <c r="G910" s="109" t="s">
        <v>74</v>
      </c>
      <c r="H910" s="12" t="s">
        <v>262</v>
      </c>
      <c r="I910" s="39" t="s">
        <v>263</v>
      </c>
      <c r="J910" s="12" t="s">
        <v>35</v>
      </c>
      <c r="K910" s="12" t="s">
        <v>264</v>
      </c>
      <c r="L910" s="28" t="s">
        <v>59</v>
      </c>
      <c r="M910" s="85" t="s">
        <v>441</v>
      </c>
      <c r="N910" s="88">
        <v>4650.0</v>
      </c>
      <c r="O910" s="73">
        <f t="shared" si="23"/>
        <v>0.3739784946</v>
      </c>
      <c r="P910" s="89">
        <v>1739.0</v>
      </c>
      <c r="Q910" s="84" t="s">
        <v>39</v>
      </c>
      <c r="R910" s="84">
        <v>1501696.0</v>
      </c>
      <c r="S910" s="85" t="s">
        <v>40</v>
      </c>
      <c r="T910" s="90">
        <v>6107879.0</v>
      </c>
      <c r="U910" s="12"/>
      <c r="V910" s="12"/>
      <c r="W910" s="12"/>
      <c r="X910" s="147">
        <v>45931.208333333336</v>
      </c>
      <c r="Y910" s="112">
        <v>45931.208333333336</v>
      </c>
      <c r="Z910" s="84" t="s">
        <v>865</v>
      </c>
      <c r="AA910" s="12"/>
      <c r="AB910" s="84" t="s">
        <v>868</v>
      </c>
      <c r="AC910" s="84" t="s">
        <v>859</v>
      </c>
      <c r="AD910" s="12"/>
      <c r="AE910" s="12"/>
      <c r="AF910" s="1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</row>
    <row r="911" ht="15.75" customHeight="1">
      <c r="A911" s="103">
        <v>1.1122074E7</v>
      </c>
      <c r="B911" s="84">
        <v>1.001717008E9</v>
      </c>
      <c r="C911" s="11">
        <v>45666.0</v>
      </c>
      <c r="D911" s="84">
        <v>26.0</v>
      </c>
      <c r="E911" s="93">
        <v>33.139</v>
      </c>
      <c r="F911" s="29" t="s">
        <v>31</v>
      </c>
      <c r="G911" s="100" t="s">
        <v>74</v>
      </c>
      <c r="H911" s="12" t="s">
        <v>262</v>
      </c>
      <c r="I911" s="39" t="s">
        <v>263</v>
      </c>
      <c r="J911" s="25" t="s">
        <v>35</v>
      </c>
      <c r="K911" s="25" t="s">
        <v>264</v>
      </c>
      <c r="L911" s="28" t="s">
        <v>59</v>
      </c>
      <c r="M911" s="85" t="s">
        <v>495</v>
      </c>
      <c r="N911" s="88">
        <v>5008.0</v>
      </c>
      <c r="O911" s="73">
        <f t="shared" si="23"/>
        <v>0.7360223642</v>
      </c>
      <c r="P911" s="89">
        <v>3686.0</v>
      </c>
      <c r="Q911" s="84" t="s">
        <v>39</v>
      </c>
      <c r="R911" s="84">
        <v>1502855.0</v>
      </c>
      <c r="S911" s="85" t="s">
        <v>40</v>
      </c>
      <c r="T911" s="90">
        <v>6115450.0</v>
      </c>
      <c r="U911" s="12"/>
      <c r="V911" s="12"/>
      <c r="W911" s="12"/>
      <c r="X911" s="84" t="s">
        <v>869</v>
      </c>
      <c r="Y911" s="84" t="s">
        <v>870</v>
      </c>
      <c r="Z911" s="84" t="s">
        <v>871</v>
      </c>
      <c r="AA911" s="12"/>
      <c r="AB911" s="84" t="s">
        <v>872</v>
      </c>
      <c r="AC911" s="84" t="s">
        <v>873</v>
      </c>
      <c r="AD911" s="12"/>
      <c r="AE911" s="12"/>
      <c r="AF911" s="1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</row>
    <row r="912" ht="15.75" customHeight="1">
      <c r="A912" s="103">
        <v>1.1122325E7</v>
      </c>
      <c r="B912" s="84">
        <v>1.001718881E9</v>
      </c>
      <c r="C912" s="11" t="s">
        <v>860</v>
      </c>
      <c r="D912" s="84">
        <v>26.0</v>
      </c>
      <c r="E912" s="93">
        <v>31.625</v>
      </c>
      <c r="F912" s="12" t="s">
        <v>31</v>
      </c>
      <c r="G912" s="85" t="s">
        <v>44</v>
      </c>
      <c r="H912" s="12" t="s">
        <v>268</v>
      </c>
      <c r="I912" s="29" t="s">
        <v>397</v>
      </c>
      <c r="J912" s="12" t="s">
        <v>35</v>
      </c>
      <c r="K912" s="12" t="s">
        <v>270</v>
      </c>
      <c r="L912" s="28" t="s">
        <v>94</v>
      </c>
      <c r="M912" s="85" t="s">
        <v>874</v>
      </c>
      <c r="N912" s="88">
        <v>6200.0</v>
      </c>
      <c r="O912" s="73">
        <f t="shared" si="23"/>
        <v>0.3103225806</v>
      </c>
      <c r="P912" s="89">
        <v>1924.0</v>
      </c>
      <c r="Q912" s="84" t="s">
        <v>39</v>
      </c>
      <c r="R912" s="125">
        <v>1504790.0</v>
      </c>
      <c r="S912" s="85" t="s">
        <v>40</v>
      </c>
      <c r="T912" s="90">
        <v>6124413.0</v>
      </c>
      <c r="U912" s="12"/>
      <c r="V912" s="12"/>
      <c r="W912" s="12"/>
      <c r="X912" s="12"/>
      <c r="Y912" s="84" t="s">
        <v>875</v>
      </c>
      <c r="Z912" s="84" t="s">
        <v>876</v>
      </c>
      <c r="AA912" s="12"/>
      <c r="AB912" s="84">
        <v>788436.0</v>
      </c>
      <c r="AC912" s="84" t="s">
        <v>827</v>
      </c>
      <c r="AD912" s="12"/>
      <c r="AE912" s="12"/>
      <c r="AF912" s="1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</row>
    <row r="913" ht="15.75" customHeight="1">
      <c r="A913" s="103">
        <v>1.1126308E7</v>
      </c>
      <c r="B913" s="84">
        <v>1.001723247E9</v>
      </c>
      <c r="C913" s="11">
        <v>45666.0</v>
      </c>
      <c r="D913" s="84">
        <v>26.0</v>
      </c>
      <c r="E913" s="93">
        <v>31.808</v>
      </c>
      <c r="F913" s="29" t="s">
        <v>31</v>
      </c>
      <c r="G913" s="85" t="s">
        <v>44</v>
      </c>
      <c r="H913" s="29" t="s">
        <v>268</v>
      </c>
      <c r="I913" s="25" t="s">
        <v>397</v>
      </c>
      <c r="J913" s="25" t="s">
        <v>35</v>
      </c>
      <c r="K913" s="29" t="s">
        <v>270</v>
      </c>
      <c r="L913" s="28" t="s">
        <v>94</v>
      </c>
      <c r="M913" s="85" t="s">
        <v>618</v>
      </c>
      <c r="N913" s="88">
        <v>5460.0</v>
      </c>
      <c r="O913" s="73">
        <f t="shared" si="23"/>
        <v>0.8241758242</v>
      </c>
      <c r="P913" s="121">
        <v>4500.0</v>
      </c>
      <c r="Q913" s="84" t="s">
        <v>39</v>
      </c>
      <c r="R913" s="84">
        <v>1502492.0</v>
      </c>
      <c r="S913" s="85" t="s">
        <v>40</v>
      </c>
      <c r="T913" s="90">
        <v>6112504.0</v>
      </c>
      <c r="U913" s="12"/>
      <c r="V913" s="12"/>
      <c r="W913" s="12"/>
      <c r="X913" s="12"/>
      <c r="Y913" s="112">
        <v>45992.541666666664</v>
      </c>
      <c r="Z913" s="84" t="s">
        <v>877</v>
      </c>
      <c r="AA913" s="12"/>
      <c r="AB913" s="84">
        <v>787563.0</v>
      </c>
      <c r="AC913" s="84" t="s">
        <v>827</v>
      </c>
      <c r="AD913" s="12"/>
      <c r="AE913" s="12"/>
      <c r="AF913" s="1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</row>
    <row r="914" ht="15.75" customHeight="1">
      <c r="A914" s="103">
        <v>1.1126513E7</v>
      </c>
      <c r="B914" s="115">
        <v>1.001723388E9</v>
      </c>
      <c r="C914" s="11" t="s">
        <v>860</v>
      </c>
      <c r="D914" s="84">
        <v>3.0</v>
      </c>
      <c r="E914" s="93">
        <v>15.911</v>
      </c>
      <c r="F914" s="38" t="s">
        <v>43</v>
      </c>
      <c r="G914" s="97" t="s">
        <v>44</v>
      </c>
      <c r="H914" s="29" t="s">
        <v>878</v>
      </c>
      <c r="I914" s="25" t="s">
        <v>269</v>
      </c>
      <c r="J914" s="25" t="s">
        <v>270</v>
      </c>
      <c r="K914" s="29" t="s">
        <v>35</v>
      </c>
      <c r="L914" s="28" t="s">
        <v>188</v>
      </c>
      <c r="M914" s="85" t="s">
        <v>879</v>
      </c>
      <c r="N914" s="40">
        <v>3640.0</v>
      </c>
      <c r="O914" s="73">
        <f t="shared" si="23"/>
        <v>0.7519230769</v>
      </c>
      <c r="P914" s="89">
        <v>2737.0</v>
      </c>
      <c r="Q914" s="12"/>
      <c r="R914" s="84">
        <v>1507788.0</v>
      </c>
      <c r="S914" s="85" t="s">
        <v>40</v>
      </c>
      <c r="T914" s="90">
        <v>6142996.0</v>
      </c>
      <c r="U914" s="12"/>
      <c r="V914" s="12"/>
      <c r="W914" s="12"/>
      <c r="X914" s="12"/>
      <c r="Y914" s="84" t="s">
        <v>880</v>
      </c>
      <c r="Z914" s="84" t="s">
        <v>881</v>
      </c>
      <c r="AA914" s="12"/>
      <c r="AB914" s="84" t="s">
        <v>882</v>
      </c>
      <c r="AC914" s="84" t="s">
        <v>883</v>
      </c>
      <c r="AD914" s="12"/>
      <c r="AE914" s="12"/>
      <c r="AF914" s="1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</row>
    <row r="915" ht="16.5" customHeight="1">
      <c r="A915" s="103">
        <v>1.1126514E7</v>
      </c>
      <c r="B915" s="84">
        <v>1.001723334E9</v>
      </c>
      <c r="C915" s="11" t="s">
        <v>860</v>
      </c>
      <c r="D915" s="84">
        <v>26.0</v>
      </c>
      <c r="E915" s="93">
        <v>32.553</v>
      </c>
      <c r="F915" s="9" t="s">
        <v>43</v>
      </c>
      <c r="G915" s="97" t="s">
        <v>44</v>
      </c>
      <c r="H915" s="12" t="s">
        <v>268</v>
      </c>
      <c r="I915" s="29" t="s">
        <v>397</v>
      </c>
      <c r="J915" s="12" t="s">
        <v>35</v>
      </c>
      <c r="K915" s="12" t="s">
        <v>270</v>
      </c>
      <c r="L915" s="28" t="s">
        <v>94</v>
      </c>
      <c r="M915" s="85" t="s">
        <v>884</v>
      </c>
      <c r="N915" s="40">
        <v>5460.0</v>
      </c>
      <c r="O915" s="73">
        <f t="shared" si="23"/>
        <v>0.3523809524</v>
      </c>
      <c r="P915" s="89">
        <v>1924.0</v>
      </c>
      <c r="Q915" s="84" t="s">
        <v>39</v>
      </c>
      <c r="R915" s="125">
        <v>1504785.0</v>
      </c>
      <c r="S915" s="85" t="s">
        <v>40</v>
      </c>
      <c r="T915" s="90">
        <v>6124398.0</v>
      </c>
      <c r="U915" s="12"/>
      <c r="V915" s="12"/>
      <c r="W915" s="12"/>
      <c r="X915" s="12"/>
      <c r="Y915" s="84" t="s">
        <v>885</v>
      </c>
      <c r="Z915" s="84" t="s">
        <v>886</v>
      </c>
      <c r="AA915" s="12"/>
      <c r="AB915" s="84">
        <v>788443.0</v>
      </c>
      <c r="AC915" s="84" t="s">
        <v>827</v>
      </c>
      <c r="AD915" s="12"/>
      <c r="AE915" s="12"/>
      <c r="AF915" s="1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</row>
    <row r="916" ht="15.75" customHeight="1">
      <c r="A916" s="103">
        <v>1.1137473E7</v>
      </c>
      <c r="B916" s="84">
        <v>1.001734709E9</v>
      </c>
      <c r="C916" s="11" t="s">
        <v>887</v>
      </c>
      <c r="D916" s="84">
        <v>26.0</v>
      </c>
      <c r="E916" s="93">
        <v>31.922</v>
      </c>
      <c r="F916" s="12" t="s">
        <v>31</v>
      </c>
      <c r="G916" s="29" t="s">
        <v>74</v>
      </c>
      <c r="H916" s="12" t="s">
        <v>318</v>
      </c>
      <c r="I916" s="84" t="s">
        <v>655</v>
      </c>
      <c r="J916" s="12" t="s">
        <v>35</v>
      </c>
      <c r="K916" s="12" t="s">
        <v>320</v>
      </c>
      <c r="L916" s="15" t="s">
        <v>94</v>
      </c>
      <c r="M916" s="85" t="s">
        <v>888</v>
      </c>
      <c r="N916" s="133">
        <v>6700.0</v>
      </c>
      <c r="O916" s="73">
        <f t="shared" si="23"/>
        <v>0.3034328358</v>
      </c>
      <c r="P916" s="89">
        <v>2033.0</v>
      </c>
      <c r="Q916" s="84" t="s">
        <v>39</v>
      </c>
      <c r="R916" s="125">
        <v>1506690.0</v>
      </c>
      <c r="S916" s="85" t="s">
        <v>40</v>
      </c>
      <c r="T916" s="90">
        <v>6134937.0</v>
      </c>
      <c r="U916" s="12"/>
      <c r="V916" s="12"/>
      <c r="W916" s="12"/>
      <c r="X916" s="84" t="s">
        <v>889</v>
      </c>
      <c r="Y916" s="84" t="s">
        <v>890</v>
      </c>
      <c r="Z916" s="84" t="s">
        <v>891</v>
      </c>
      <c r="AA916" s="12"/>
      <c r="AB916" s="84" t="s">
        <v>892</v>
      </c>
      <c r="AC916" s="84" t="s">
        <v>893</v>
      </c>
      <c r="AD916" s="12"/>
      <c r="AE916" s="12"/>
      <c r="AF916" s="1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</row>
    <row r="917" ht="15.75" customHeight="1">
      <c r="A917" s="103">
        <v>1.1145471E7</v>
      </c>
      <c r="B917" s="84">
        <v>1.001743175E9</v>
      </c>
      <c r="C917" s="11" t="s">
        <v>894</v>
      </c>
      <c r="D917" s="84">
        <v>26.0</v>
      </c>
      <c r="E917" s="93">
        <v>25.337</v>
      </c>
      <c r="F917" s="12" t="s">
        <v>31</v>
      </c>
      <c r="G917" s="29" t="s">
        <v>74</v>
      </c>
      <c r="H917" s="12" t="s">
        <v>304</v>
      </c>
      <c r="I917" s="84" t="s">
        <v>305</v>
      </c>
      <c r="J917" s="12" t="s">
        <v>35</v>
      </c>
      <c r="K917" s="12" t="s">
        <v>306</v>
      </c>
      <c r="L917" s="15" t="s">
        <v>94</v>
      </c>
      <c r="M917" s="85" t="s">
        <v>441</v>
      </c>
      <c r="N917" s="133">
        <v>6500.0</v>
      </c>
      <c r="O917" s="73">
        <f t="shared" si="23"/>
        <v>0.2784615385</v>
      </c>
      <c r="P917" s="89">
        <v>1810.0</v>
      </c>
      <c r="Q917" s="84" t="s">
        <v>39</v>
      </c>
      <c r="R917" s="125">
        <v>1509000.0</v>
      </c>
      <c r="S917" s="85" t="s">
        <v>40</v>
      </c>
      <c r="T917" s="90">
        <v>6148803.0</v>
      </c>
      <c r="U917" s="84" t="s">
        <v>895</v>
      </c>
      <c r="V917" s="84" t="s">
        <v>896</v>
      </c>
      <c r="W917" s="12"/>
      <c r="X917" s="84" t="s">
        <v>897</v>
      </c>
      <c r="Y917" s="84" t="s">
        <v>898</v>
      </c>
      <c r="Z917" s="84" t="s">
        <v>899</v>
      </c>
      <c r="AA917" s="12"/>
      <c r="AB917" s="84" t="s">
        <v>900</v>
      </c>
      <c r="AC917" s="84" t="s">
        <v>901</v>
      </c>
      <c r="AD917" s="12"/>
      <c r="AE917" s="12"/>
      <c r="AF917" s="1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</row>
    <row r="918" ht="15.75" customHeight="1">
      <c r="A918" s="103">
        <v>1.1150944E7</v>
      </c>
      <c r="B918" s="84">
        <v>1.001748457E9</v>
      </c>
      <c r="C918" s="11" t="s">
        <v>902</v>
      </c>
      <c r="D918" s="84">
        <v>21.0</v>
      </c>
      <c r="E918" s="93">
        <v>26.167</v>
      </c>
      <c r="F918" s="12" t="s">
        <v>31</v>
      </c>
      <c r="G918" s="29" t="s">
        <v>74</v>
      </c>
      <c r="H918" s="84" t="s">
        <v>903</v>
      </c>
      <c r="I918" s="85" t="s">
        <v>904</v>
      </c>
      <c r="J918" s="84" t="s">
        <v>35</v>
      </c>
      <c r="K918" s="84" t="s">
        <v>905</v>
      </c>
      <c r="L918" s="28" t="s">
        <v>94</v>
      </c>
      <c r="M918" s="85" t="s">
        <v>874</v>
      </c>
      <c r="N918" s="88">
        <v>6781.0</v>
      </c>
      <c r="O918" s="73">
        <f t="shared" si="23"/>
        <v>0.5630437988</v>
      </c>
      <c r="P918" s="89">
        <v>3818.0</v>
      </c>
      <c r="Q918" s="84" t="s">
        <v>39</v>
      </c>
      <c r="R918" s="125">
        <v>1511196.0</v>
      </c>
      <c r="S918" s="85" t="s">
        <v>40</v>
      </c>
      <c r="T918" s="90">
        <v>6161636.0</v>
      </c>
      <c r="U918" s="84" t="s">
        <v>906</v>
      </c>
      <c r="V918" s="84" t="s">
        <v>907</v>
      </c>
      <c r="W918" s="12"/>
      <c r="X918" s="84" t="s">
        <v>908</v>
      </c>
      <c r="Y918" s="84" t="s">
        <v>909</v>
      </c>
      <c r="Z918" s="84" t="s">
        <v>910</v>
      </c>
      <c r="AA918" s="12"/>
      <c r="AB918" s="84">
        <v>795723.0</v>
      </c>
      <c r="AC918" s="84" t="s">
        <v>911</v>
      </c>
      <c r="AD918" s="12"/>
      <c r="AE918" s="12"/>
      <c r="AF918" s="1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</row>
    <row r="919" ht="15.75" customHeight="1">
      <c r="A919" s="103">
        <v>1.1157897E7</v>
      </c>
      <c r="B919" s="84">
        <v>1.001755222E9</v>
      </c>
      <c r="C919" s="11" t="s">
        <v>912</v>
      </c>
      <c r="D919" s="84">
        <v>26.0</v>
      </c>
      <c r="E919" s="93">
        <v>31.625</v>
      </c>
      <c r="F919" s="29" t="s">
        <v>31</v>
      </c>
      <c r="G919" s="85" t="s">
        <v>44</v>
      </c>
      <c r="H919" s="12" t="s">
        <v>268</v>
      </c>
      <c r="I919" s="29" t="s">
        <v>397</v>
      </c>
      <c r="J919" s="25" t="s">
        <v>35</v>
      </c>
      <c r="K919" s="25" t="s">
        <v>270</v>
      </c>
      <c r="L919" s="28" t="s">
        <v>94</v>
      </c>
      <c r="M919" s="85" t="s">
        <v>913</v>
      </c>
      <c r="N919" s="133">
        <v>6200.0</v>
      </c>
      <c r="O919" s="73">
        <f t="shared" si="23"/>
        <v>0.7258064516</v>
      </c>
      <c r="P919" s="89">
        <v>4500.0</v>
      </c>
      <c r="Q919" s="84" t="s">
        <v>39</v>
      </c>
      <c r="R919" s="84">
        <v>1512302.0</v>
      </c>
      <c r="S919" s="85" t="s">
        <v>40</v>
      </c>
      <c r="T919" s="90">
        <v>6169398.0</v>
      </c>
      <c r="U919" s="84"/>
      <c r="V919" s="12"/>
      <c r="W919" s="12"/>
      <c r="X919" s="12"/>
      <c r="Y919" s="84" t="s">
        <v>914</v>
      </c>
      <c r="Z919" s="84" t="s">
        <v>915</v>
      </c>
      <c r="AA919" s="12"/>
      <c r="AB919" s="12"/>
      <c r="AC919" s="12"/>
      <c r="AD919" s="12"/>
      <c r="AE919" s="12"/>
      <c r="AF919" s="1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</row>
    <row r="920" ht="15.75" customHeight="1">
      <c r="A920" s="103">
        <v>1.1158161E7</v>
      </c>
      <c r="B920" s="115">
        <v>1.001755216E9</v>
      </c>
      <c r="C920" s="11" t="s">
        <v>912</v>
      </c>
      <c r="D920" s="84">
        <v>26.0</v>
      </c>
      <c r="E920" s="93">
        <v>30.768</v>
      </c>
      <c r="F920" s="38" t="s">
        <v>43</v>
      </c>
      <c r="G920" s="97" t="s">
        <v>44</v>
      </c>
      <c r="H920" s="12" t="s">
        <v>268</v>
      </c>
      <c r="I920" s="29" t="s">
        <v>397</v>
      </c>
      <c r="J920" s="12" t="s">
        <v>35</v>
      </c>
      <c r="K920" s="12" t="s">
        <v>270</v>
      </c>
      <c r="L920" s="28" t="s">
        <v>94</v>
      </c>
      <c r="M920" s="85" t="s">
        <v>888</v>
      </c>
      <c r="N920" s="40">
        <v>5460.0</v>
      </c>
      <c r="O920" s="73">
        <f t="shared" si="23"/>
        <v>0.5813186813</v>
      </c>
      <c r="P920" s="89">
        <v>3174.0</v>
      </c>
      <c r="Q920" s="84" t="s">
        <v>39</v>
      </c>
      <c r="R920" s="125">
        <v>1512042.0</v>
      </c>
      <c r="S920" s="85" t="s">
        <v>40</v>
      </c>
      <c r="T920" s="90">
        <v>6167380.0</v>
      </c>
      <c r="U920" s="84" t="s">
        <v>916</v>
      </c>
      <c r="V920" s="12"/>
      <c r="W920" s="12"/>
      <c r="X920" s="12"/>
      <c r="Y920" s="84" t="s">
        <v>917</v>
      </c>
      <c r="Z920" s="84" t="s">
        <v>918</v>
      </c>
      <c r="AA920" s="12"/>
      <c r="AB920" s="84">
        <v>798561.0</v>
      </c>
      <c r="AC920" s="84" t="s">
        <v>919</v>
      </c>
      <c r="AD920" s="12"/>
      <c r="AE920" s="12"/>
      <c r="AF920" s="1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</row>
    <row r="921" ht="15.75" customHeight="1">
      <c r="A921" s="103">
        <v>1.1158162E7</v>
      </c>
      <c r="B921" s="115">
        <v>1.001755128E9</v>
      </c>
      <c r="C921" s="11" t="s">
        <v>912</v>
      </c>
      <c r="D921" s="84">
        <v>13.0</v>
      </c>
      <c r="E921" s="93">
        <v>7.417</v>
      </c>
      <c r="F921" s="38" t="s">
        <v>43</v>
      </c>
      <c r="G921" s="97" t="s">
        <v>44</v>
      </c>
      <c r="H921" s="12" t="s">
        <v>920</v>
      </c>
      <c r="I921" s="29" t="s">
        <v>269</v>
      </c>
      <c r="J921" s="25" t="s">
        <v>270</v>
      </c>
      <c r="K921" s="25" t="s">
        <v>35</v>
      </c>
      <c r="L921" s="28" t="s">
        <v>188</v>
      </c>
      <c r="M921" s="85" t="s">
        <v>921</v>
      </c>
      <c r="N921" s="24">
        <v>3640.0</v>
      </c>
      <c r="O921" s="73">
        <f t="shared" si="23"/>
        <v>0</v>
      </c>
      <c r="P921" s="39"/>
      <c r="Q921" s="12"/>
      <c r="R921" s="146" t="s">
        <v>580</v>
      </c>
      <c r="S921" s="85" t="s">
        <v>131</v>
      </c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</row>
    <row r="922" ht="15.75" customHeight="1">
      <c r="A922" s="103">
        <v>1.1161662E7</v>
      </c>
      <c r="B922" s="84">
        <v>1.001758604E9</v>
      </c>
      <c r="C922" s="11" t="s">
        <v>922</v>
      </c>
      <c r="D922" s="84">
        <v>26.0</v>
      </c>
      <c r="E922" s="93">
        <v>31.531</v>
      </c>
      <c r="F922" s="9" t="s">
        <v>43</v>
      </c>
      <c r="G922" s="29" t="s">
        <v>32</v>
      </c>
      <c r="H922" s="84" t="s">
        <v>923</v>
      </c>
      <c r="I922" s="85" t="s">
        <v>924</v>
      </c>
      <c r="J922" s="84" t="s">
        <v>925</v>
      </c>
      <c r="K922" s="84" t="s">
        <v>926</v>
      </c>
      <c r="L922" s="95" t="s">
        <v>78</v>
      </c>
      <c r="M922" s="85" t="s">
        <v>927</v>
      </c>
      <c r="N922" s="88">
        <v>3771.0</v>
      </c>
      <c r="O922" s="73">
        <f t="shared" si="23"/>
        <v>0.6894722885</v>
      </c>
      <c r="P922" s="89">
        <v>2600.0</v>
      </c>
      <c r="Q922" s="84" t="s">
        <v>39</v>
      </c>
      <c r="R922" s="84">
        <v>1515326.0</v>
      </c>
      <c r="S922" s="85" t="s">
        <v>40</v>
      </c>
      <c r="T922" s="90">
        <v>6189229.0</v>
      </c>
      <c r="U922" s="12"/>
      <c r="V922" s="12"/>
      <c r="W922" s="12"/>
      <c r="X922" s="12"/>
      <c r="Y922" s="84" t="s">
        <v>928</v>
      </c>
      <c r="Z922" s="84" t="s">
        <v>929</v>
      </c>
      <c r="AA922" s="12"/>
      <c r="AB922" s="12"/>
      <c r="AC922" s="12"/>
      <c r="AD922" s="12"/>
      <c r="AE922" s="12"/>
      <c r="AF922" s="1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</row>
    <row r="923" ht="15.75" customHeight="1">
      <c r="A923" s="103">
        <v>1.1161669E7</v>
      </c>
      <c r="B923" s="84">
        <v>1.001758612E9</v>
      </c>
      <c r="C923" s="11" t="s">
        <v>922</v>
      </c>
      <c r="D923" s="84">
        <v>24.0</v>
      </c>
      <c r="E923" s="93">
        <v>15.649</v>
      </c>
      <c r="F923" s="9" t="s">
        <v>43</v>
      </c>
      <c r="G923" s="29" t="s">
        <v>32</v>
      </c>
      <c r="H923" s="84" t="s">
        <v>930</v>
      </c>
      <c r="I923" s="85" t="s">
        <v>924</v>
      </c>
      <c r="J923" s="84" t="s">
        <v>931</v>
      </c>
      <c r="K923" s="84" t="s">
        <v>925</v>
      </c>
      <c r="L923" s="95" t="s">
        <v>78</v>
      </c>
      <c r="M923" s="85" t="s">
        <v>932</v>
      </c>
      <c r="N923" s="88">
        <v>2514.0</v>
      </c>
      <c r="O923" s="73">
        <f t="shared" si="23"/>
        <v>0.6364359586</v>
      </c>
      <c r="P923" s="89">
        <v>1600.0</v>
      </c>
      <c r="Q923" s="12"/>
      <c r="R923" s="84">
        <v>1517550.0</v>
      </c>
      <c r="S923" s="85" t="s">
        <v>40</v>
      </c>
      <c r="T923" s="90">
        <v>6205861.0</v>
      </c>
      <c r="U923" s="12"/>
      <c r="V923" s="12"/>
      <c r="W923" s="12"/>
      <c r="X923" s="12"/>
      <c r="Y923" s="112">
        <v>45718.40972222222</v>
      </c>
      <c r="Z923" s="112">
        <v>45718.51736111111</v>
      </c>
      <c r="AA923" s="12"/>
      <c r="AB923" s="12"/>
      <c r="AC923" s="12"/>
      <c r="AD923" s="12"/>
      <c r="AE923" s="12"/>
      <c r="AF923" s="1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</row>
    <row r="924" ht="15.75" customHeight="1">
      <c r="A924" s="103">
        <v>1.116198E7</v>
      </c>
      <c r="B924" s="84">
        <v>1.001758839E9</v>
      </c>
      <c r="C924" s="11" t="s">
        <v>933</v>
      </c>
      <c r="D924" s="84">
        <v>26.0</v>
      </c>
      <c r="E924" s="93">
        <v>31.946</v>
      </c>
      <c r="F924" s="38" t="s">
        <v>43</v>
      </c>
      <c r="G924" s="97" t="s">
        <v>44</v>
      </c>
      <c r="H924" s="12" t="s">
        <v>268</v>
      </c>
      <c r="I924" s="29" t="s">
        <v>397</v>
      </c>
      <c r="J924" s="12" t="s">
        <v>35</v>
      </c>
      <c r="K924" s="12" t="s">
        <v>270</v>
      </c>
      <c r="L924" s="28" t="s">
        <v>94</v>
      </c>
      <c r="M924" s="85" t="s">
        <v>934</v>
      </c>
      <c r="N924" s="40">
        <v>5460.0</v>
      </c>
      <c r="O924" s="73">
        <f t="shared" si="23"/>
        <v>0.7783882784</v>
      </c>
      <c r="P924" s="89">
        <v>4250.0</v>
      </c>
      <c r="Q924" s="84" t="s">
        <v>39</v>
      </c>
      <c r="R924" s="84">
        <v>1514461.0</v>
      </c>
      <c r="S924" s="85" t="s">
        <v>40</v>
      </c>
      <c r="T924" s="90">
        <v>6183692.0</v>
      </c>
      <c r="U924" s="84" t="s">
        <v>935</v>
      </c>
      <c r="V924" s="84" t="s">
        <v>936</v>
      </c>
      <c r="W924" s="12"/>
      <c r="X924" s="12"/>
      <c r="Y924" s="84" t="s">
        <v>937</v>
      </c>
      <c r="Z924" s="84" t="s">
        <v>938</v>
      </c>
      <c r="AA924" s="12"/>
      <c r="AB924" s="12"/>
      <c r="AC924" s="12"/>
      <c r="AD924" s="12"/>
      <c r="AE924" s="107" t="s">
        <v>39</v>
      </c>
      <c r="AF924" s="1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</row>
    <row r="925" ht="15.75" customHeight="1">
      <c r="A925" s="103">
        <v>1.1161981E7</v>
      </c>
      <c r="B925" s="84">
        <v>1.001758775E9</v>
      </c>
      <c r="C925" s="11" t="s">
        <v>922</v>
      </c>
      <c r="D925" s="84">
        <v>19.0</v>
      </c>
      <c r="E925" s="93">
        <v>11.126</v>
      </c>
      <c r="F925" s="38" t="s">
        <v>43</v>
      </c>
      <c r="G925" s="97" t="s">
        <v>44</v>
      </c>
      <c r="H925" s="84" t="s">
        <v>939</v>
      </c>
      <c r="I925" s="29" t="s">
        <v>269</v>
      </c>
      <c r="J925" s="25" t="s">
        <v>270</v>
      </c>
      <c r="K925" s="25" t="s">
        <v>35</v>
      </c>
      <c r="L925" s="28" t="s">
        <v>94</v>
      </c>
      <c r="M925" s="85" t="s">
        <v>940</v>
      </c>
      <c r="N925" s="24">
        <v>3640.0</v>
      </c>
      <c r="O925" s="73">
        <f t="shared" si="23"/>
        <v>0.7554945055</v>
      </c>
      <c r="P925" s="89">
        <v>2750.0</v>
      </c>
      <c r="Q925" s="12"/>
      <c r="R925" s="84">
        <v>1515738.0</v>
      </c>
      <c r="S925" s="85" t="s">
        <v>40</v>
      </c>
      <c r="T925" s="90">
        <v>6192241.0</v>
      </c>
      <c r="U925" s="12"/>
      <c r="V925" s="12"/>
      <c r="W925" s="12"/>
      <c r="X925" s="12"/>
      <c r="Y925" s="84" t="s">
        <v>941</v>
      </c>
      <c r="Z925" s="84" t="s">
        <v>942</v>
      </c>
      <c r="AA925" s="12"/>
      <c r="AB925" s="84">
        <v>802109.0</v>
      </c>
      <c r="AC925" s="84" t="s">
        <v>943</v>
      </c>
      <c r="AD925" s="12"/>
      <c r="AE925" s="12"/>
      <c r="AF925" s="1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</row>
    <row r="926" ht="15.75" customHeight="1">
      <c r="A926" s="103">
        <v>1.1164287E7</v>
      </c>
      <c r="B926" s="84">
        <v>1.001761178E9</v>
      </c>
      <c r="C926" s="11" t="s">
        <v>944</v>
      </c>
      <c r="D926" s="84">
        <v>25.0</v>
      </c>
      <c r="E926" s="93">
        <v>30.649</v>
      </c>
      <c r="F926" s="29" t="s">
        <v>31</v>
      </c>
      <c r="G926" s="29" t="s">
        <v>74</v>
      </c>
      <c r="H926" s="84" t="s">
        <v>945</v>
      </c>
      <c r="I926" s="85" t="s">
        <v>493</v>
      </c>
      <c r="J926" s="12" t="s">
        <v>35</v>
      </c>
      <c r="K926" s="12" t="s">
        <v>306</v>
      </c>
      <c r="L926" s="28" t="s">
        <v>94</v>
      </c>
      <c r="M926" s="85" t="s">
        <v>659</v>
      </c>
      <c r="N926" s="88">
        <v>6500.0</v>
      </c>
      <c r="O926" s="73">
        <f t="shared" si="23"/>
        <v>0.2784615385</v>
      </c>
      <c r="P926" s="89">
        <v>1810.0</v>
      </c>
      <c r="Q926" s="84" t="s">
        <v>39</v>
      </c>
      <c r="R926" s="12">
        <v>1512774.0</v>
      </c>
      <c r="S926" s="85" t="s">
        <v>40</v>
      </c>
      <c r="T926" s="90">
        <v>6172788.0</v>
      </c>
      <c r="U926" s="84" t="s">
        <v>946</v>
      </c>
      <c r="V926" s="84" t="s">
        <v>947</v>
      </c>
      <c r="W926" s="12"/>
      <c r="X926" s="84" t="s">
        <v>948</v>
      </c>
      <c r="Y926" s="84" t="s">
        <v>949</v>
      </c>
      <c r="Z926" s="84" t="s">
        <v>950</v>
      </c>
      <c r="AA926" s="12"/>
      <c r="AB926" s="84">
        <v>798560.0</v>
      </c>
      <c r="AC926" s="84" t="s">
        <v>823</v>
      </c>
      <c r="AD926" s="12"/>
      <c r="AE926" s="12"/>
      <c r="AF926" s="1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</row>
    <row r="927" ht="15.75" customHeight="1">
      <c r="A927" s="103">
        <v>1.1166701E7</v>
      </c>
      <c r="B927" s="84">
        <v>1.001764556E9</v>
      </c>
      <c r="C927" s="11" t="s">
        <v>951</v>
      </c>
      <c r="D927" s="84">
        <v>20.0</v>
      </c>
      <c r="E927" s="93">
        <v>26.871</v>
      </c>
      <c r="F927" s="38" t="s">
        <v>43</v>
      </c>
      <c r="G927" s="85" t="s">
        <v>74</v>
      </c>
      <c r="H927" s="84" t="s">
        <v>952</v>
      </c>
      <c r="I927" s="89" t="s">
        <v>953</v>
      </c>
      <c r="J927" s="93" t="s">
        <v>925</v>
      </c>
      <c r="K927" s="93" t="s">
        <v>954</v>
      </c>
      <c r="L927" s="95" t="s">
        <v>78</v>
      </c>
      <c r="M927" s="85" t="s">
        <v>955</v>
      </c>
      <c r="N927" s="133">
        <v>3423.0</v>
      </c>
      <c r="O927" s="73">
        <f t="shared" si="23"/>
        <v>0.6427110722</v>
      </c>
      <c r="P927" s="89">
        <v>2200.0</v>
      </c>
      <c r="Q927" s="84" t="s">
        <v>39</v>
      </c>
      <c r="R927" s="150">
        <v>1517024.0</v>
      </c>
      <c r="S927" s="85" t="s">
        <v>40</v>
      </c>
      <c r="T927" s="90">
        <v>6201622.0</v>
      </c>
      <c r="U927" s="12"/>
      <c r="V927" s="12"/>
      <c r="W927" s="12"/>
      <c r="X927" s="84" t="s">
        <v>956</v>
      </c>
      <c r="Y927" s="84" t="s">
        <v>957</v>
      </c>
      <c r="Z927" s="84" t="s">
        <v>958</v>
      </c>
      <c r="AA927" s="12"/>
      <c r="AB927" s="84" t="s">
        <v>959</v>
      </c>
      <c r="AC927" s="84" t="s">
        <v>960</v>
      </c>
      <c r="AD927" s="12"/>
      <c r="AE927" s="12"/>
      <c r="AF927" s="1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</row>
    <row r="928" ht="15.75" customHeight="1">
      <c r="A928" s="103">
        <v>1.1166707E7</v>
      </c>
      <c r="B928" s="84">
        <v>1.001764593E9</v>
      </c>
      <c r="C928" s="11" t="s">
        <v>961</v>
      </c>
      <c r="D928" s="84">
        <v>26.0</v>
      </c>
      <c r="E928" s="93">
        <v>31.625</v>
      </c>
      <c r="F928" s="29" t="s">
        <v>31</v>
      </c>
      <c r="G928" s="25" t="s">
        <v>74</v>
      </c>
      <c r="H928" s="12" t="s">
        <v>318</v>
      </c>
      <c r="I928" s="85" t="s">
        <v>558</v>
      </c>
      <c r="J928" s="12" t="s">
        <v>35</v>
      </c>
      <c r="K928" s="12" t="s">
        <v>320</v>
      </c>
      <c r="L928" s="28" t="s">
        <v>94</v>
      </c>
      <c r="M928" s="85" t="s">
        <v>962</v>
      </c>
      <c r="N928" s="88">
        <v>6700.0</v>
      </c>
      <c r="O928" s="73">
        <f t="shared" si="23"/>
        <v>0.3034328358</v>
      </c>
      <c r="P928" s="89">
        <v>2033.0</v>
      </c>
      <c r="Q928" s="84" t="s">
        <v>39</v>
      </c>
      <c r="R928" s="84">
        <v>1513508.0</v>
      </c>
      <c r="S928" s="85" t="s">
        <v>40</v>
      </c>
      <c r="T928" s="90">
        <v>6178638.0</v>
      </c>
      <c r="U928" s="84" t="s">
        <v>963</v>
      </c>
      <c r="V928" s="12"/>
      <c r="W928" s="12"/>
      <c r="X928" s="84" t="s">
        <v>964</v>
      </c>
      <c r="Y928" s="84" t="s">
        <v>965</v>
      </c>
      <c r="Z928" s="84" t="s">
        <v>966</v>
      </c>
      <c r="AA928" s="12"/>
      <c r="AB928" s="84" t="s">
        <v>967</v>
      </c>
      <c r="AC928" s="84" t="s">
        <v>968</v>
      </c>
      <c r="AD928" s="12"/>
      <c r="AE928" s="12"/>
      <c r="AF928" s="1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</row>
    <row r="929" ht="15.75" customHeight="1">
      <c r="A929" s="103">
        <v>1.1166823E7</v>
      </c>
      <c r="B929" s="84">
        <v>1.001764577E9</v>
      </c>
      <c r="C929" s="11" t="s">
        <v>922</v>
      </c>
      <c r="D929" s="84">
        <v>26.0</v>
      </c>
      <c r="E929" s="93">
        <v>34.933</v>
      </c>
      <c r="F929" s="38" t="s">
        <v>43</v>
      </c>
      <c r="G929" s="93" t="s">
        <v>74</v>
      </c>
      <c r="H929" s="85" t="s">
        <v>952</v>
      </c>
      <c r="I929" s="89" t="s">
        <v>953</v>
      </c>
      <c r="J929" s="84" t="s">
        <v>925</v>
      </c>
      <c r="K929" s="84" t="s">
        <v>954</v>
      </c>
      <c r="L929" s="95" t="s">
        <v>78</v>
      </c>
      <c r="M929" s="85" t="s">
        <v>969</v>
      </c>
      <c r="N929" s="88">
        <v>3423.0</v>
      </c>
      <c r="O929" s="73">
        <f t="shared" si="23"/>
        <v>0.7011393514</v>
      </c>
      <c r="P929" s="89">
        <v>2400.0</v>
      </c>
      <c r="Q929" s="84" t="s">
        <v>39</v>
      </c>
      <c r="R929" s="115">
        <v>1515426.0</v>
      </c>
      <c r="S929" s="85" t="s">
        <v>40</v>
      </c>
      <c r="T929" s="90">
        <v>6189994.0</v>
      </c>
      <c r="U929" s="84"/>
      <c r="V929" s="12"/>
      <c r="W929" s="12"/>
      <c r="X929" s="84" t="s">
        <v>970</v>
      </c>
      <c r="Y929" s="84" t="s">
        <v>971</v>
      </c>
      <c r="Z929" s="84" t="s">
        <v>972</v>
      </c>
      <c r="AA929" s="12"/>
      <c r="AB929" s="84" t="s">
        <v>973</v>
      </c>
      <c r="AC929" s="84" t="s">
        <v>960</v>
      </c>
      <c r="AD929" s="12"/>
      <c r="AE929" s="12"/>
      <c r="AF929" s="1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</row>
    <row r="930" ht="15.75" customHeight="1">
      <c r="A930" s="103">
        <v>1.1170686E7</v>
      </c>
      <c r="B930" s="84">
        <v>1.001768444E9</v>
      </c>
      <c r="C930" s="11">
        <v>45691.0</v>
      </c>
      <c r="D930" s="84">
        <v>26.0</v>
      </c>
      <c r="E930" s="93">
        <v>31.625</v>
      </c>
      <c r="F930" s="12" t="s">
        <v>31</v>
      </c>
      <c r="G930" s="85" t="s">
        <v>44</v>
      </c>
      <c r="H930" s="12" t="s">
        <v>268</v>
      </c>
      <c r="I930" s="29" t="s">
        <v>397</v>
      </c>
      <c r="J930" s="12" t="s">
        <v>35</v>
      </c>
      <c r="K930" s="12" t="s">
        <v>270</v>
      </c>
      <c r="L930" s="28" t="s">
        <v>94</v>
      </c>
      <c r="M930" s="85" t="s">
        <v>618</v>
      </c>
      <c r="N930" s="133">
        <v>6200.0</v>
      </c>
      <c r="O930" s="73">
        <f t="shared" si="23"/>
        <v>0.685483871</v>
      </c>
      <c r="P930" s="89">
        <v>4250.0</v>
      </c>
      <c r="Q930" s="84" t="s">
        <v>39</v>
      </c>
      <c r="R930" s="84">
        <v>1518974.0</v>
      </c>
      <c r="S930" s="84" t="s">
        <v>40</v>
      </c>
      <c r="T930" s="90">
        <v>6213281.0</v>
      </c>
      <c r="U930" s="112">
        <v>45718.47430555556</v>
      </c>
      <c r="V930" s="112">
        <v>45749.26736111111</v>
      </c>
      <c r="W930" s="12"/>
      <c r="X930" s="84" t="s">
        <v>127</v>
      </c>
      <c r="Y930" s="112">
        <v>45779.479166666664</v>
      </c>
      <c r="Z930" s="112">
        <v>45779.680555555555</v>
      </c>
      <c r="AA930" s="12"/>
      <c r="AB930" s="12"/>
      <c r="AC930" s="12"/>
      <c r="AD930" s="12"/>
      <c r="AE930" s="107" t="s">
        <v>39</v>
      </c>
      <c r="AF930" s="1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</row>
    <row r="931" ht="15.75" customHeight="1">
      <c r="A931" s="103">
        <v>1.1170687E7</v>
      </c>
      <c r="B931" s="84">
        <v>1.001768489E9</v>
      </c>
      <c r="C931" s="11">
        <v>45690.0</v>
      </c>
      <c r="D931" s="84">
        <v>26.0</v>
      </c>
      <c r="E931" s="93">
        <v>31.625</v>
      </c>
      <c r="F931" s="12" t="s">
        <v>31</v>
      </c>
      <c r="G931" s="85" t="s">
        <v>44</v>
      </c>
      <c r="H931" s="12" t="s">
        <v>268</v>
      </c>
      <c r="I931" s="29" t="s">
        <v>397</v>
      </c>
      <c r="J931" s="12" t="s">
        <v>35</v>
      </c>
      <c r="K931" s="12" t="s">
        <v>270</v>
      </c>
      <c r="L931" s="28" t="s">
        <v>94</v>
      </c>
      <c r="M931" s="85" t="s">
        <v>974</v>
      </c>
      <c r="N931" s="133">
        <v>6200.0</v>
      </c>
      <c r="O931" s="73">
        <f t="shared" si="23"/>
        <v>0.685483871</v>
      </c>
      <c r="P931" s="89">
        <v>4250.0</v>
      </c>
      <c r="Q931" s="84" t="s">
        <v>39</v>
      </c>
      <c r="R931" s="150">
        <v>1517918.0</v>
      </c>
      <c r="S931" s="85" t="s">
        <v>40</v>
      </c>
      <c r="T931" s="90">
        <v>6207985.0</v>
      </c>
      <c r="U931" s="112">
        <v>45659.34027777778</v>
      </c>
      <c r="V931" s="112">
        <v>45659.45763888889</v>
      </c>
      <c r="W931" s="12"/>
      <c r="X931" s="84" t="s">
        <v>127</v>
      </c>
      <c r="Y931" s="151">
        <v>45718.45486111111</v>
      </c>
      <c r="Z931" s="112">
        <v>45718.538194444445</v>
      </c>
      <c r="AA931" s="12"/>
      <c r="AB931" s="12"/>
      <c r="AC931" s="12"/>
      <c r="AD931" s="12"/>
      <c r="AE931" s="107" t="s">
        <v>39</v>
      </c>
      <c r="AF931" s="1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</row>
    <row r="932" ht="15.75" customHeight="1">
      <c r="A932" s="103">
        <v>1.1172544E7</v>
      </c>
      <c r="B932" s="84">
        <v>1.001768897E9</v>
      </c>
      <c r="C932" s="11" t="s">
        <v>975</v>
      </c>
      <c r="D932" s="84">
        <v>26.0</v>
      </c>
      <c r="E932" s="93">
        <v>31.625</v>
      </c>
      <c r="F932" s="29" t="s">
        <v>31</v>
      </c>
      <c r="G932" s="29" t="s">
        <v>74</v>
      </c>
      <c r="H932" s="12" t="s">
        <v>304</v>
      </c>
      <c r="I932" s="85" t="s">
        <v>305</v>
      </c>
      <c r="J932" s="12" t="s">
        <v>35</v>
      </c>
      <c r="K932" s="12" t="s">
        <v>306</v>
      </c>
      <c r="L932" s="28" t="s">
        <v>94</v>
      </c>
      <c r="M932" s="85" t="s">
        <v>495</v>
      </c>
      <c r="N932" s="88">
        <v>6500.0</v>
      </c>
      <c r="O932" s="73">
        <f t="shared" si="23"/>
        <v>0.2784615385</v>
      </c>
      <c r="P932" s="89">
        <v>1810.0</v>
      </c>
      <c r="Q932" s="84" t="s">
        <v>39</v>
      </c>
      <c r="R932" s="84">
        <v>1515958.0</v>
      </c>
      <c r="S932" s="85" t="s">
        <v>40</v>
      </c>
      <c r="T932" s="90">
        <v>6193994.0</v>
      </c>
      <c r="U932" s="84" t="s">
        <v>976</v>
      </c>
      <c r="V932" s="84" t="s">
        <v>977</v>
      </c>
      <c r="W932" s="12"/>
      <c r="X932" s="147">
        <v>45659.041666666664</v>
      </c>
      <c r="Y932" s="112">
        <v>45659.041666666664</v>
      </c>
      <c r="Z932" s="112">
        <v>45659.75</v>
      </c>
      <c r="AA932" s="12"/>
      <c r="AB932" s="84">
        <v>805114.0</v>
      </c>
      <c r="AC932" s="84" t="s">
        <v>827</v>
      </c>
      <c r="AD932" s="12"/>
      <c r="AE932" s="12"/>
      <c r="AF932" s="1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</row>
    <row r="933" ht="15.75" customHeight="1">
      <c r="A933" s="103">
        <v>1.1174899E7</v>
      </c>
      <c r="B933" s="115">
        <v>1.001768963E9</v>
      </c>
      <c r="C933" s="11" t="s">
        <v>975</v>
      </c>
      <c r="D933" s="84">
        <v>21.0</v>
      </c>
      <c r="E933" s="93">
        <v>25.751</v>
      </c>
      <c r="F933" s="29" t="s">
        <v>31</v>
      </c>
      <c r="G933" s="29" t="s">
        <v>74</v>
      </c>
      <c r="H933" s="12" t="s">
        <v>304</v>
      </c>
      <c r="I933" s="85" t="s">
        <v>305</v>
      </c>
      <c r="J933" s="25" t="s">
        <v>35</v>
      </c>
      <c r="K933" s="25" t="s">
        <v>306</v>
      </c>
      <c r="L933" s="28" t="s">
        <v>94</v>
      </c>
      <c r="M933" s="85" t="s">
        <v>978</v>
      </c>
      <c r="N933" s="133">
        <v>6500.0</v>
      </c>
      <c r="O933" s="73">
        <f t="shared" si="23"/>
        <v>0.6538461538</v>
      </c>
      <c r="P933" s="89">
        <v>4250.0</v>
      </c>
      <c r="Q933" s="84" t="s">
        <v>39</v>
      </c>
      <c r="R933" s="12">
        <v>1515964.0</v>
      </c>
      <c r="S933" s="85" t="s">
        <v>40</v>
      </c>
      <c r="T933" s="90">
        <v>6194087.0</v>
      </c>
      <c r="U933" s="84" t="s">
        <v>979</v>
      </c>
      <c r="V933" s="84" t="s">
        <v>977</v>
      </c>
      <c r="W933" s="12"/>
      <c r="X933" s="147">
        <v>45659.041666666664</v>
      </c>
      <c r="Y933" s="112">
        <v>45659.041666666664</v>
      </c>
      <c r="Z933" s="112">
        <v>45659.430555555555</v>
      </c>
      <c r="AA933" s="12"/>
      <c r="AB933" s="12"/>
      <c r="AC933" s="12"/>
      <c r="AD933" s="12"/>
      <c r="AE933" s="12"/>
      <c r="AF933" s="1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</row>
    <row r="934" ht="15.75" customHeight="1">
      <c r="A934" s="103">
        <v>1.1180188E7</v>
      </c>
      <c r="B934" s="84">
        <v>1.001776957E9</v>
      </c>
      <c r="C934" s="11" t="s">
        <v>980</v>
      </c>
      <c r="D934" s="84">
        <v>26.0</v>
      </c>
      <c r="E934" s="93">
        <v>33.139</v>
      </c>
      <c r="F934" s="29" t="s">
        <v>31</v>
      </c>
      <c r="G934" s="29" t="s">
        <v>74</v>
      </c>
      <c r="H934" s="84" t="s">
        <v>981</v>
      </c>
      <c r="I934" s="85" t="s">
        <v>301</v>
      </c>
      <c r="J934" s="12" t="s">
        <v>35</v>
      </c>
      <c r="K934" s="84" t="s">
        <v>302</v>
      </c>
      <c r="L934" s="95" t="s">
        <v>59</v>
      </c>
      <c r="M934" s="85" t="s">
        <v>982</v>
      </c>
      <c r="N934" s="88">
        <v>5600.0</v>
      </c>
      <c r="O934" s="73">
        <f t="shared" si="23"/>
        <v>0.5357142857</v>
      </c>
      <c r="P934" s="89">
        <v>3000.0</v>
      </c>
      <c r="Q934" s="84" t="s">
        <v>39</v>
      </c>
      <c r="R934" s="84">
        <v>1517415.0</v>
      </c>
      <c r="S934" s="85" t="s">
        <v>40</v>
      </c>
      <c r="T934" s="90">
        <v>6204673.0</v>
      </c>
      <c r="U934" s="12"/>
      <c r="V934" s="12"/>
      <c r="W934" s="12"/>
      <c r="X934" s="147">
        <v>45718.166666666664</v>
      </c>
      <c r="Y934" s="147">
        <v>45718.166666666664</v>
      </c>
      <c r="Z934" s="112">
        <v>45718.729166666664</v>
      </c>
      <c r="AA934" s="12"/>
      <c r="AB934" s="84" t="s">
        <v>983</v>
      </c>
      <c r="AC934" s="84" t="s">
        <v>984</v>
      </c>
      <c r="AD934" s="12"/>
      <c r="AE934" s="12"/>
      <c r="AF934" s="1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</row>
    <row r="935" ht="15.75" customHeight="1">
      <c r="A935" s="103">
        <v>1.1180189E7</v>
      </c>
      <c r="B935" s="115">
        <v>1.001776938E9</v>
      </c>
      <c r="C935" s="11" t="s">
        <v>975</v>
      </c>
      <c r="D935" s="84">
        <v>26.0</v>
      </c>
      <c r="E935" s="93">
        <v>33.431</v>
      </c>
      <c r="F935" s="29" t="s">
        <v>31</v>
      </c>
      <c r="G935" s="29" t="s">
        <v>74</v>
      </c>
      <c r="H935" s="84" t="s">
        <v>981</v>
      </c>
      <c r="I935" s="85" t="s">
        <v>301</v>
      </c>
      <c r="J935" s="25" t="s">
        <v>35</v>
      </c>
      <c r="K935" s="93" t="s">
        <v>302</v>
      </c>
      <c r="L935" s="95" t="s">
        <v>59</v>
      </c>
      <c r="M935" s="85" t="s">
        <v>441</v>
      </c>
      <c r="N935" s="133">
        <v>5600.0</v>
      </c>
      <c r="O935" s="73">
        <f t="shared" si="23"/>
        <v>0.2205357143</v>
      </c>
      <c r="P935" s="89">
        <v>1235.0</v>
      </c>
      <c r="Q935" s="84" t="s">
        <v>39</v>
      </c>
      <c r="R935" s="12">
        <v>1515983.0</v>
      </c>
      <c r="S935" s="85" t="s">
        <v>40</v>
      </c>
      <c r="T935" s="90">
        <v>6194285.0</v>
      </c>
      <c r="U935" s="84" t="s">
        <v>985</v>
      </c>
      <c r="V935" s="84" t="s">
        <v>986</v>
      </c>
      <c r="W935" s="12"/>
      <c r="X935" s="147">
        <v>45659.166666666664</v>
      </c>
      <c r="Y935" s="147">
        <v>45659.166666666664</v>
      </c>
      <c r="Z935" s="147">
        <v>45659.53125</v>
      </c>
      <c r="AA935" s="12"/>
      <c r="AB935" s="84" t="s">
        <v>987</v>
      </c>
      <c r="AC935" s="84" t="s">
        <v>988</v>
      </c>
      <c r="AD935" s="12"/>
      <c r="AE935" s="12"/>
      <c r="AF935" s="1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</row>
    <row r="936" ht="15.75" customHeight="1">
      <c r="A936" s="103">
        <v>1.1182082E7</v>
      </c>
      <c r="B936" s="84">
        <v>1.001778346E9</v>
      </c>
      <c r="C936" s="11" t="s">
        <v>980</v>
      </c>
      <c r="D936" s="84">
        <v>26.0</v>
      </c>
      <c r="E936" s="93">
        <v>33.139</v>
      </c>
      <c r="F936" s="29" t="s">
        <v>31</v>
      </c>
      <c r="G936" s="29" t="s">
        <v>74</v>
      </c>
      <c r="H936" s="84" t="s">
        <v>981</v>
      </c>
      <c r="I936" s="85" t="s">
        <v>301</v>
      </c>
      <c r="J936" s="12" t="s">
        <v>35</v>
      </c>
      <c r="K936" s="84" t="s">
        <v>302</v>
      </c>
      <c r="L936" s="95" t="s">
        <v>59</v>
      </c>
      <c r="M936" s="85" t="s">
        <v>989</v>
      </c>
      <c r="N936" s="88">
        <v>5600.0</v>
      </c>
      <c r="O936" s="73">
        <f t="shared" si="23"/>
        <v>0.5357142857</v>
      </c>
      <c r="P936" s="89">
        <v>3000.0</v>
      </c>
      <c r="Q936" s="84" t="s">
        <v>39</v>
      </c>
      <c r="R936" s="150">
        <v>1517932.0</v>
      </c>
      <c r="S936" s="85" t="s">
        <v>40</v>
      </c>
      <c r="T936" s="90">
        <v>6208072.0</v>
      </c>
      <c r="U936" s="12"/>
      <c r="V936" s="12"/>
      <c r="W936" s="12"/>
      <c r="X936" s="147">
        <v>45718.166666666664</v>
      </c>
      <c r="Y936" s="112">
        <v>45718.229166666664</v>
      </c>
      <c r="Z936" s="112">
        <v>45749.631944444445</v>
      </c>
      <c r="AA936" s="12"/>
      <c r="AB936" s="84" t="s">
        <v>990</v>
      </c>
      <c r="AC936" s="84" t="s">
        <v>991</v>
      </c>
      <c r="AD936" s="12"/>
      <c r="AE936" s="12"/>
      <c r="AF936" s="1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</row>
    <row r="937" ht="15.75" customHeight="1">
      <c r="A937" s="103">
        <v>1.1182101E7</v>
      </c>
      <c r="B937" s="84">
        <v>1.001778312E9</v>
      </c>
      <c r="C937" s="11" t="s">
        <v>951</v>
      </c>
      <c r="D937" s="84">
        <v>24.0</v>
      </c>
      <c r="E937" s="93">
        <v>28.911</v>
      </c>
      <c r="F937" s="152" t="s">
        <v>43</v>
      </c>
      <c r="G937" s="85" t="s">
        <v>32</v>
      </c>
      <c r="H937" s="84" t="s">
        <v>992</v>
      </c>
      <c r="I937" s="85" t="s">
        <v>993</v>
      </c>
      <c r="J937" s="93" t="s">
        <v>925</v>
      </c>
      <c r="K937" s="93" t="s">
        <v>994</v>
      </c>
      <c r="L937" s="95" t="s">
        <v>59</v>
      </c>
      <c r="M937" s="85" t="s">
        <v>995</v>
      </c>
      <c r="N937" s="133">
        <v>5281.0</v>
      </c>
      <c r="O937" s="73">
        <f t="shared" si="23"/>
        <v>0.6627532664</v>
      </c>
      <c r="P937" s="89">
        <v>3500.0</v>
      </c>
      <c r="Q937" s="84" t="s">
        <v>39</v>
      </c>
      <c r="R937" s="84">
        <v>1516752.0</v>
      </c>
      <c r="S937" s="85" t="s">
        <v>40</v>
      </c>
      <c r="T937" s="90">
        <v>6199630.0</v>
      </c>
      <c r="U937" s="12"/>
      <c r="V937" s="12"/>
      <c r="W937" s="12"/>
      <c r="X937" s="147"/>
      <c r="Y937" s="84" t="s">
        <v>996</v>
      </c>
      <c r="Z937" s="112">
        <v>45659.399305555555</v>
      </c>
      <c r="AA937" s="12"/>
      <c r="AB937" s="12"/>
      <c r="AC937" s="12"/>
      <c r="AD937" s="12"/>
      <c r="AE937" s="12"/>
      <c r="AF937" s="1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</row>
    <row r="938" ht="15.75" customHeight="1">
      <c r="A938" s="103">
        <v>1.1182104E7</v>
      </c>
      <c r="B938" s="123">
        <v>1.001778308E9</v>
      </c>
      <c r="C938" s="11" t="s">
        <v>951</v>
      </c>
      <c r="D938" s="84">
        <v>6.0</v>
      </c>
      <c r="E938" s="93">
        <v>6.019</v>
      </c>
      <c r="F938" s="152" t="s">
        <v>43</v>
      </c>
      <c r="G938" s="85" t="s">
        <v>32</v>
      </c>
      <c r="H938" s="84" t="s">
        <v>997</v>
      </c>
      <c r="I938" s="85" t="s">
        <v>993</v>
      </c>
      <c r="J938" s="84" t="s">
        <v>994</v>
      </c>
      <c r="K938" s="84" t="s">
        <v>925</v>
      </c>
      <c r="L938" s="95" t="s">
        <v>78</v>
      </c>
      <c r="M938" s="85" t="s">
        <v>998</v>
      </c>
      <c r="N938" s="88">
        <v>3520.0</v>
      </c>
      <c r="O938" s="73">
        <f t="shared" si="23"/>
        <v>0.7102272727</v>
      </c>
      <c r="P938" s="89">
        <v>2500.0</v>
      </c>
      <c r="Q938" s="12"/>
      <c r="R938" s="84">
        <v>1518051.0</v>
      </c>
      <c r="S938" s="85" t="s">
        <v>40</v>
      </c>
      <c r="T938" s="90">
        <v>6208971.0</v>
      </c>
      <c r="U938" s="12"/>
      <c r="V938" s="12"/>
      <c r="W938" s="12"/>
      <c r="X938" s="147"/>
      <c r="Y938" s="112">
        <v>45718.395833333336</v>
      </c>
      <c r="Z938" s="112">
        <v>45718.489583333336</v>
      </c>
      <c r="AA938" s="12"/>
      <c r="AB938" s="12"/>
      <c r="AC938" s="12"/>
      <c r="AD938" s="12"/>
      <c r="AE938" s="12"/>
      <c r="AF938" s="1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</row>
    <row r="939" ht="15.75" customHeight="1">
      <c r="A939" s="103">
        <v>1.1182762E7</v>
      </c>
      <c r="B939" s="84">
        <v>1.001780098E9</v>
      </c>
      <c r="C939" s="11" t="s">
        <v>980</v>
      </c>
      <c r="D939" s="84">
        <v>26.0</v>
      </c>
      <c r="E939" s="93">
        <v>31.625</v>
      </c>
      <c r="F939" s="29" t="s">
        <v>31</v>
      </c>
      <c r="G939" s="85" t="s">
        <v>32</v>
      </c>
      <c r="H939" s="12" t="s">
        <v>265</v>
      </c>
      <c r="I939" s="39" t="s">
        <v>266</v>
      </c>
      <c r="J939" s="25" t="s">
        <v>35</v>
      </c>
      <c r="K939" s="25" t="s">
        <v>267</v>
      </c>
      <c r="L939" s="28" t="s">
        <v>114</v>
      </c>
      <c r="M939" s="85" t="s">
        <v>145</v>
      </c>
      <c r="N939" s="133">
        <v>6200.0</v>
      </c>
      <c r="O939" s="73">
        <f t="shared" si="23"/>
        <v>0.3153225806</v>
      </c>
      <c r="P939" s="89">
        <v>1955.0</v>
      </c>
      <c r="Q939" s="84" t="s">
        <v>39</v>
      </c>
      <c r="R939" s="150">
        <v>1516877.0</v>
      </c>
      <c r="S939" s="85" t="s">
        <v>40</v>
      </c>
      <c r="T939" s="90">
        <v>6200643.0</v>
      </c>
      <c r="U939" s="84" t="s">
        <v>999</v>
      </c>
      <c r="V939" s="84" t="s">
        <v>1000</v>
      </c>
      <c r="W939" s="12"/>
      <c r="X939" s="84" t="s">
        <v>127</v>
      </c>
      <c r="Y939" s="112">
        <v>45718.291666666664</v>
      </c>
      <c r="Z939" s="112">
        <v>45718.45138888889</v>
      </c>
      <c r="AA939" s="12"/>
      <c r="AB939" s="12"/>
      <c r="AC939" s="12"/>
      <c r="AD939" s="12"/>
      <c r="AE939" s="12"/>
      <c r="AF939" s="1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</row>
    <row r="940" ht="15.75" customHeight="1">
      <c r="A940" s="103">
        <v>1.118564E7</v>
      </c>
      <c r="B940" s="84">
        <v>1.001782382E9</v>
      </c>
      <c r="C940" s="11">
        <v>45693.0</v>
      </c>
      <c r="D940" s="84">
        <v>26.0</v>
      </c>
      <c r="E940" s="93">
        <v>25.337</v>
      </c>
      <c r="F940" s="12" t="s">
        <v>31</v>
      </c>
      <c r="G940" s="85" t="s">
        <v>74</v>
      </c>
      <c r="H940" s="12" t="s">
        <v>304</v>
      </c>
      <c r="I940" s="85" t="s">
        <v>305</v>
      </c>
      <c r="J940" s="12" t="s">
        <v>35</v>
      </c>
      <c r="K940" s="12" t="s">
        <v>306</v>
      </c>
      <c r="L940" s="28" t="s">
        <v>94</v>
      </c>
      <c r="M940" s="85" t="s">
        <v>704</v>
      </c>
      <c r="N940" s="88">
        <v>6500.0</v>
      </c>
      <c r="O940" s="73">
        <f t="shared" si="23"/>
        <v>0.6538461538</v>
      </c>
      <c r="P940" s="89">
        <v>4250.0</v>
      </c>
      <c r="Q940" s="84" t="s">
        <v>39</v>
      </c>
      <c r="R940" s="150">
        <v>1520643.0</v>
      </c>
      <c r="S940" s="85" t="s">
        <v>40</v>
      </c>
      <c r="T940" s="90">
        <v>6226196.0</v>
      </c>
      <c r="U940" s="112">
        <v>45779.6875</v>
      </c>
      <c r="V940" s="112">
        <v>45810.319444444445</v>
      </c>
      <c r="W940" s="12"/>
      <c r="X940" s="147">
        <v>45840.541666666664</v>
      </c>
      <c r="Y940" s="112">
        <v>45840.541666666664</v>
      </c>
      <c r="Z940" s="112">
        <v>45902.208333333336</v>
      </c>
      <c r="AA940" s="12"/>
      <c r="AB940" s="84" t="s">
        <v>1001</v>
      </c>
      <c r="AC940" s="84" t="s">
        <v>684</v>
      </c>
      <c r="AD940" s="12"/>
      <c r="AE940" s="107" t="s">
        <v>39</v>
      </c>
      <c r="AF940" s="1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</row>
    <row r="941" ht="15.75" customHeight="1">
      <c r="A941" s="103">
        <v>1.1185641E7</v>
      </c>
      <c r="B941" s="84">
        <v>1.001782381E9</v>
      </c>
      <c r="C941" s="11">
        <v>45692.0</v>
      </c>
      <c r="D941" s="84">
        <v>26.0</v>
      </c>
      <c r="E941" s="93">
        <v>31.922</v>
      </c>
      <c r="F941" s="29" t="s">
        <v>31</v>
      </c>
      <c r="G941" s="85" t="s">
        <v>74</v>
      </c>
      <c r="H941" s="12" t="s">
        <v>318</v>
      </c>
      <c r="I941" s="85" t="s">
        <v>655</v>
      </c>
      <c r="J941" s="12" t="s">
        <v>35</v>
      </c>
      <c r="K941" s="29" t="s">
        <v>320</v>
      </c>
      <c r="L941" s="28" t="s">
        <v>94</v>
      </c>
      <c r="M941" s="85" t="s">
        <v>913</v>
      </c>
      <c r="N941" s="133">
        <v>6700.0</v>
      </c>
      <c r="O941" s="73">
        <f t="shared" si="23"/>
        <v>0.776119403</v>
      </c>
      <c r="P941" s="89">
        <v>5200.0</v>
      </c>
      <c r="Q941" s="84" t="s">
        <v>39</v>
      </c>
      <c r="R941" s="84">
        <v>1519598.0</v>
      </c>
      <c r="S941" s="85" t="s">
        <v>40</v>
      </c>
      <c r="T941" s="90">
        <v>6219014.0</v>
      </c>
      <c r="U941" s="112">
        <v>45749.444444444445</v>
      </c>
      <c r="V941" s="112">
        <v>45749.65625</v>
      </c>
      <c r="W941" s="12"/>
      <c r="X941" s="147">
        <v>45810.25</v>
      </c>
      <c r="Y941" s="112">
        <v>45810.25</v>
      </c>
      <c r="Z941" s="112">
        <v>45810.479166666664</v>
      </c>
      <c r="AA941" s="12"/>
      <c r="AB941" s="12"/>
      <c r="AC941" s="12"/>
      <c r="AD941" s="12"/>
      <c r="AE941" s="107" t="s">
        <v>39</v>
      </c>
      <c r="AF941" s="1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</row>
    <row r="942" ht="15.75" customHeight="1">
      <c r="A942" s="103">
        <v>1.1186826E7</v>
      </c>
      <c r="B942" s="84">
        <v>1.001784505E9</v>
      </c>
      <c r="C942" s="11">
        <v>45691.0</v>
      </c>
      <c r="D942" s="84">
        <v>26.0</v>
      </c>
      <c r="E942" s="93">
        <v>31.716</v>
      </c>
      <c r="F942" s="29" t="s">
        <v>31</v>
      </c>
      <c r="G942" s="85" t="s">
        <v>44</v>
      </c>
      <c r="H942" s="29" t="s">
        <v>268</v>
      </c>
      <c r="I942" s="25" t="s">
        <v>397</v>
      </c>
      <c r="J942" s="25" t="s">
        <v>35</v>
      </c>
      <c r="K942" s="29" t="s">
        <v>270</v>
      </c>
      <c r="L942" s="28" t="s">
        <v>94</v>
      </c>
      <c r="M942" s="85" t="s">
        <v>1002</v>
      </c>
      <c r="N942" s="88">
        <v>6200.0</v>
      </c>
      <c r="O942" s="73">
        <f t="shared" si="23"/>
        <v>0.8064516129</v>
      </c>
      <c r="P942" s="89">
        <v>5000.0</v>
      </c>
      <c r="Q942" s="84" t="s">
        <v>39</v>
      </c>
      <c r="R942" s="150">
        <v>1518826.0</v>
      </c>
      <c r="S942" s="85" t="s">
        <v>40</v>
      </c>
      <c r="T942" s="90">
        <v>6212393.0</v>
      </c>
      <c r="U942" s="112">
        <v>45718.350694444445</v>
      </c>
      <c r="V942" s="112">
        <v>45718.59722222222</v>
      </c>
      <c r="W942" s="12"/>
      <c r="X942" s="84" t="s">
        <v>127</v>
      </c>
      <c r="Y942" s="112">
        <v>45749.92361111111</v>
      </c>
      <c r="Z942" s="112">
        <v>45779.104166666664</v>
      </c>
      <c r="AA942" s="12"/>
      <c r="AB942" s="12"/>
      <c r="AC942" s="12"/>
      <c r="AD942" s="12"/>
      <c r="AE942" s="12"/>
      <c r="AF942" s="1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</row>
    <row r="943" ht="15.75" customHeight="1">
      <c r="A943" s="103">
        <v>1.1189095E7</v>
      </c>
      <c r="B943" s="84">
        <v>1.001787155E9</v>
      </c>
      <c r="C943" s="11" t="s">
        <v>975</v>
      </c>
      <c r="D943" s="84">
        <v>1.0</v>
      </c>
      <c r="E943" s="93">
        <v>962.0</v>
      </c>
      <c r="F943" s="38" t="s">
        <v>43</v>
      </c>
      <c r="G943" s="85" t="s">
        <v>74</v>
      </c>
      <c r="H943" s="85" t="s">
        <v>1003</v>
      </c>
      <c r="I943" s="95" t="s">
        <v>953</v>
      </c>
      <c r="J943" s="93" t="s">
        <v>954</v>
      </c>
      <c r="K943" s="85" t="s">
        <v>925</v>
      </c>
      <c r="L943" s="95" t="s">
        <v>78</v>
      </c>
      <c r="M943" s="85"/>
      <c r="N943" s="88">
        <v>2054.0</v>
      </c>
      <c r="O943" s="73">
        <f t="shared" si="23"/>
        <v>0</v>
      </c>
      <c r="P943" s="89"/>
      <c r="Q943" s="84"/>
      <c r="R943" s="84"/>
      <c r="S943" s="85" t="s">
        <v>40</v>
      </c>
      <c r="T943" s="90"/>
      <c r="U943" s="84"/>
      <c r="V943" s="12"/>
      <c r="W943" s="12"/>
      <c r="X943" s="84"/>
      <c r="Y943" s="112">
        <v>45840.645833333336</v>
      </c>
      <c r="Z943" s="112">
        <v>45840.92361111111</v>
      </c>
      <c r="AA943" s="12"/>
      <c r="AB943" s="84"/>
      <c r="AC943" s="84"/>
      <c r="AD943" s="12"/>
      <c r="AE943" s="12"/>
      <c r="AF943" s="1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</row>
    <row r="944" ht="15.75" customHeight="1">
      <c r="A944" s="103">
        <v>1.1193293E7</v>
      </c>
      <c r="B944" s="84">
        <v>1.001788731E9</v>
      </c>
      <c r="C944" s="11">
        <v>45696.0</v>
      </c>
      <c r="D944" s="84">
        <v>20.0</v>
      </c>
      <c r="E944" s="93">
        <v>24.327</v>
      </c>
      <c r="F944" s="12" t="s">
        <v>31</v>
      </c>
      <c r="G944" s="85" t="s">
        <v>74</v>
      </c>
      <c r="H944" s="84" t="s">
        <v>426</v>
      </c>
      <c r="I944" s="93" t="s">
        <v>427</v>
      </c>
      <c r="J944" s="12" t="s">
        <v>35</v>
      </c>
      <c r="K944" s="84" t="s">
        <v>424</v>
      </c>
      <c r="L944" s="95" t="s">
        <v>188</v>
      </c>
      <c r="M944" s="85" t="s">
        <v>1004</v>
      </c>
      <c r="N944" s="88">
        <v>2231.0</v>
      </c>
      <c r="O944" s="73">
        <f t="shared" si="23"/>
        <v>0.4957418198</v>
      </c>
      <c r="P944" s="89">
        <v>1106.0</v>
      </c>
      <c r="Q944" s="84" t="s">
        <v>39</v>
      </c>
      <c r="R944" s="84">
        <v>1522360.0</v>
      </c>
      <c r="S944" s="85" t="s">
        <v>40</v>
      </c>
      <c r="T944" s="90">
        <v>6239272.0</v>
      </c>
      <c r="U944" s="112">
        <v>45871.40625</v>
      </c>
      <c r="V944" s="112">
        <v>45871.52291666667</v>
      </c>
      <c r="W944" s="12"/>
      <c r="X944" s="147">
        <v>45932.25</v>
      </c>
      <c r="Y944" s="112">
        <v>45932.25</v>
      </c>
      <c r="Z944" s="112">
        <v>45932.604166666664</v>
      </c>
      <c r="AA944" s="12"/>
      <c r="AB944" s="84" t="s">
        <v>1005</v>
      </c>
      <c r="AC944" s="84" t="s">
        <v>1006</v>
      </c>
      <c r="AD944" s="12"/>
      <c r="AE944" s="12"/>
      <c r="AF944" s="1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</row>
    <row r="945" ht="15.75" customHeight="1">
      <c r="A945" s="103">
        <v>1.1193294E7</v>
      </c>
      <c r="B945" s="84">
        <v>1.001788748E9</v>
      </c>
      <c r="C945" s="11">
        <v>45695.0</v>
      </c>
      <c r="D945" s="84">
        <v>26.0</v>
      </c>
      <c r="E945" s="93">
        <v>31.922</v>
      </c>
      <c r="F945" s="29" t="s">
        <v>31</v>
      </c>
      <c r="G945" s="85" t="s">
        <v>74</v>
      </c>
      <c r="H945" s="12" t="s">
        <v>318</v>
      </c>
      <c r="I945" s="85" t="s">
        <v>1007</v>
      </c>
      <c r="J945" s="12" t="s">
        <v>35</v>
      </c>
      <c r="K945" s="12" t="s">
        <v>320</v>
      </c>
      <c r="L945" s="28" t="s">
        <v>94</v>
      </c>
      <c r="M945" s="85" t="s">
        <v>166</v>
      </c>
      <c r="N945" s="88">
        <v>6700.0</v>
      </c>
      <c r="O945" s="73">
        <f t="shared" si="23"/>
        <v>0.6343283582</v>
      </c>
      <c r="P945" s="89">
        <v>4250.0</v>
      </c>
      <c r="Q945" s="84" t="s">
        <v>39</v>
      </c>
      <c r="R945" s="150">
        <v>1521976.0</v>
      </c>
      <c r="S945" s="85" t="s">
        <v>40</v>
      </c>
      <c r="T945" s="90">
        <v>6236440.0</v>
      </c>
      <c r="U945" s="112">
        <v>45840.6875</v>
      </c>
      <c r="V945" s="112">
        <v>45840.9375</v>
      </c>
      <c r="W945" s="12"/>
      <c r="X945" s="147">
        <v>45932.25</v>
      </c>
      <c r="Y945" s="112">
        <v>45932.25</v>
      </c>
      <c r="Z945" s="112">
        <v>45932.381944444445</v>
      </c>
      <c r="AA945" s="12"/>
      <c r="AB945" s="12"/>
      <c r="AC945" s="12"/>
      <c r="AD945" s="12"/>
      <c r="AE945" s="107" t="s">
        <v>39</v>
      </c>
      <c r="AF945" s="1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</row>
    <row r="946" ht="15.75" customHeight="1">
      <c r="A946" s="103">
        <v>1.1193478E7</v>
      </c>
      <c r="B946" s="84">
        <v>1.001788759E9</v>
      </c>
      <c r="C946" s="11">
        <v>45696.0</v>
      </c>
      <c r="D946" s="84">
        <v>24.0</v>
      </c>
      <c r="E946" s="93">
        <v>29.192</v>
      </c>
      <c r="F946" s="29" t="s">
        <v>31</v>
      </c>
      <c r="G946" s="85" t="s">
        <v>74</v>
      </c>
      <c r="H946" s="84" t="s">
        <v>426</v>
      </c>
      <c r="I946" s="85" t="s">
        <v>427</v>
      </c>
      <c r="J946" s="25" t="s">
        <v>35</v>
      </c>
      <c r="K946" s="93" t="s">
        <v>424</v>
      </c>
      <c r="L946" s="95" t="s">
        <v>188</v>
      </c>
      <c r="M946" s="85" t="s">
        <v>1008</v>
      </c>
      <c r="N946" s="133">
        <v>2900.0</v>
      </c>
      <c r="O946" s="73">
        <f t="shared" si="23"/>
        <v>0.4348275862</v>
      </c>
      <c r="P946" s="89">
        <v>1261.0</v>
      </c>
      <c r="Q946" s="84" t="s">
        <v>39</v>
      </c>
      <c r="R946" s="84">
        <v>1522638.0</v>
      </c>
      <c r="S946" s="85" t="s">
        <v>40</v>
      </c>
      <c r="T946" s="90">
        <v>6240297.0</v>
      </c>
      <c r="U946" s="112">
        <v>45871.541666666664</v>
      </c>
      <c r="V946" s="112">
        <v>45871.82986111111</v>
      </c>
      <c r="W946" s="12"/>
      <c r="X946" s="147">
        <v>45932.25</v>
      </c>
      <c r="Y946" s="112">
        <v>45932.25</v>
      </c>
      <c r="Z946" s="112">
        <v>45932.729166666664</v>
      </c>
      <c r="AA946" s="12"/>
      <c r="AB946" s="84" t="s">
        <v>1009</v>
      </c>
      <c r="AC946" s="84" t="s">
        <v>1010</v>
      </c>
      <c r="AD946" s="12"/>
      <c r="AE946" s="12"/>
      <c r="AF946" s="1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</row>
    <row r="947" ht="15.75" customHeight="1">
      <c r="A947" s="103">
        <v>1.1194451E7</v>
      </c>
      <c r="B947" s="84">
        <v>1.001790809E9</v>
      </c>
      <c r="C947" s="11" t="s">
        <v>951</v>
      </c>
      <c r="D947" s="84">
        <v>1.0</v>
      </c>
      <c r="E947" s="93">
        <v>740.0</v>
      </c>
      <c r="F947" s="9" t="s">
        <v>43</v>
      </c>
      <c r="G947" s="85" t="s">
        <v>74</v>
      </c>
      <c r="H947" s="84" t="s">
        <v>1011</v>
      </c>
      <c r="I947" s="98" t="s">
        <v>953</v>
      </c>
      <c r="J947" s="84" t="s">
        <v>954</v>
      </c>
      <c r="K947" s="84" t="s">
        <v>925</v>
      </c>
      <c r="L947" s="98" t="s">
        <v>78</v>
      </c>
      <c r="M947" s="85"/>
      <c r="N947" s="88">
        <v>1886.0</v>
      </c>
      <c r="O947" s="73">
        <f t="shared" si="23"/>
        <v>0</v>
      </c>
      <c r="P947" s="89"/>
      <c r="Q947" s="84"/>
      <c r="R947" s="12"/>
      <c r="S947" s="85" t="s">
        <v>40</v>
      </c>
      <c r="T947" s="90"/>
      <c r="U947" s="12"/>
      <c r="V947" s="12"/>
      <c r="W947" s="12"/>
      <c r="X947" s="147"/>
      <c r="Y947" s="112">
        <v>45840.645833333336</v>
      </c>
      <c r="Z947" s="112">
        <v>45840.92361111111</v>
      </c>
      <c r="AA947" s="12"/>
      <c r="AB947" s="12"/>
      <c r="AC947" s="12"/>
      <c r="AD947" s="12"/>
      <c r="AE947" s="12"/>
      <c r="AF947" s="1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</row>
    <row r="948" ht="15.75" customHeight="1">
      <c r="A948" s="130">
        <v>1.11967E7</v>
      </c>
      <c r="B948" s="153">
        <v>1.001793606E9</v>
      </c>
      <c r="C948" s="11">
        <v>45694.0</v>
      </c>
      <c r="D948" s="84">
        <v>26.0</v>
      </c>
      <c r="E948" s="93">
        <v>33.43</v>
      </c>
      <c r="F948" s="84" t="s">
        <v>31</v>
      </c>
      <c r="G948" s="85" t="s">
        <v>44</v>
      </c>
      <c r="H948" s="84" t="s">
        <v>268</v>
      </c>
      <c r="I948" s="12" t="s">
        <v>397</v>
      </c>
      <c r="J948" s="84" t="s">
        <v>35</v>
      </c>
      <c r="K948" s="84" t="s">
        <v>270</v>
      </c>
      <c r="L948" s="98" t="s">
        <v>94</v>
      </c>
      <c r="M948" s="85" t="s">
        <v>1012</v>
      </c>
      <c r="N948" s="88">
        <v>6677.0</v>
      </c>
      <c r="O948" s="73">
        <f t="shared" si="23"/>
        <v>0.3456642205</v>
      </c>
      <c r="P948" s="89">
        <v>2308.0</v>
      </c>
      <c r="Q948" s="84" t="s">
        <v>39</v>
      </c>
      <c r="R948" s="150">
        <v>1521340.0</v>
      </c>
      <c r="S948" s="85" t="s">
        <v>40</v>
      </c>
      <c r="T948" s="90">
        <v>6231809.0</v>
      </c>
      <c r="U948" s="112">
        <v>45810.76527777778</v>
      </c>
      <c r="V948" s="112">
        <v>45810.96875</v>
      </c>
      <c r="W948" s="12"/>
      <c r="X948" s="84" t="s">
        <v>127</v>
      </c>
      <c r="Y948" s="112">
        <v>45963.989583333336</v>
      </c>
      <c r="Z948" s="112">
        <v>45993.083333333336</v>
      </c>
      <c r="AA948" s="12"/>
      <c r="AB948" s="12"/>
      <c r="AC948" s="12"/>
      <c r="AD948" s="12"/>
      <c r="AE948" s="107" t="s">
        <v>39</v>
      </c>
      <c r="AF948" s="1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</row>
    <row r="949" ht="15.75" customHeight="1">
      <c r="A949" s="103">
        <v>1.1197334E7</v>
      </c>
      <c r="B949" s="84">
        <v>1.001794159E9</v>
      </c>
      <c r="C949" s="11">
        <v>45698.0</v>
      </c>
      <c r="D949" s="84">
        <v>26.0</v>
      </c>
      <c r="E949" s="93">
        <v>31.625</v>
      </c>
      <c r="F949" s="29" t="s">
        <v>31</v>
      </c>
      <c r="G949" s="85" t="s">
        <v>44</v>
      </c>
      <c r="H949" s="12" t="s">
        <v>268</v>
      </c>
      <c r="I949" s="29" t="s">
        <v>397</v>
      </c>
      <c r="J949" s="12" t="s">
        <v>35</v>
      </c>
      <c r="K949" s="12" t="s">
        <v>270</v>
      </c>
      <c r="L949" s="28" t="s">
        <v>94</v>
      </c>
      <c r="M949" s="85" t="s">
        <v>989</v>
      </c>
      <c r="N949" s="88">
        <v>6200.0</v>
      </c>
      <c r="O949" s="73">
        <f t="shared" si="23"/>
        <v>0.7516129032</v>
      </c>
      <c r="P949" s="89">
        <v>4660.0</v>
      </c>
      <c r="Q949" s="84" t="s">
        <v>39</v>
      </c>
      <c r="R949" s="84">
        <v>1523225.0</v>
      </c>
      <c r="S949" s="85" t="s">
        <v>40</v>
      </c>
      <c r="T949" s="90">
        <v>6242890.0</v>
      </c>
      <c r="U949" s="112">
        <v>45932.375</v>
      </c>
      <c r="V949" s="112">
        <v>45932.5</v>
      </c>
      <c r="W949" s="12"/>
      <c r="X949" s="84" t="s">
        <v>127</v>
      </c>
      <c r="Y949" s="112">
        <v>45963.569444444445</v>
      </c>
      <c r="Z949" s="112">
        <v>45993.8125</v>
      </c>
      <c r="AA949" s="12"/>
      <c r="AB949" s="12"/>
      <c r="AC949" s="12"/>
      <c r="AD949" s="12"/>
      <c r="AE949" s="107" t="s">
        <v>39</v>
      </c>
      <c r="AF949" s="1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</row>
    <row r="950" ht="15.75" customHeight="1">
      <c r="A950" s="103">
        <v>1.1197335E7</v>
      </c>
      <c r="B950" s="84">
        <v>1.001794295E9</v>
      </c>
      <c r="C950" s="11">
        <v>45698.0</v>
      </c>
      <c r="D950" s="84">
        <v>26.0</v>
      </c>
      <c r="E950" s="93">
        <v>31.625</v>
      </c>
      <c r="F950" s="29" t="s">
        <v>31</v>
      </c>
      <c r="G950" s="85" t="s">
        <v>44</v>
      </c>
      <c r="H950" s="12" t="s">
        <v>268</v>
      </c>
      <c r="I950" s="29" t="s">
        <v>397</v>
      </c>
      <c r="J950" s="25" t="s">
        <v>35</v>
      </c>
      <c r="K950" s="25" t="s">
        <v>270</v>
      </c>
      <c r="L950" s="28" t="s">
        <v>94</v>
      </c>
      <c r="M950" s="85" t="s">
        <v>982</v>
      </c>
      <c r="N950" s="133">
        <v>6200.0</v>
      </c>
      <c r="O950" s="73">
        <f t="shared" si="23"/>
        <v>0.7682258065</v>
      </c>
      <c r="P950" s="89">
        <v>4763.0</v>
      </c>
      <c r="Q950" s="84" t="s">
        <v>39</v>
      </c>
      <c r="R950" s="84">
        <v>1523239.0</v>
      </c>
      <c r="S950" s="85" t="s">
        <v>40</v>
      </c>
      <c r="T950" s="90">
        <v>6243002.0</v>
      </c>
      <c r="U950" s="112">
        <v>45932.37847222222</v>
      </c>
      <c r="V950" s="112">
        <v>45932.583333333336</v>
      </c>
      <c r="W950" s="12"/>
      <c r="X950" s="84" t="s">
        <v>127</v>
      </c>
      <c r="Y950" s="112">
        <v>45963.569444444445</v>
      </c>
      <c r="Z950" s="112">
        <v>45963.78472222222</v>
      </c>
      <c r="AA950" s="12"/>
      <c r="AB950" s="12"/>
      <c r="AC950" s="12"/>
      <c r="AD950" s="12"/>
      <c r="AE950" s="12"/>
      <c r="AF950" s="1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</row>
    <row r="951" ht="15.75" customHeight="1">
      <c r="A951" s="103">
        <v>1.1197343E7</v>
      </c>
      <c r="B951" s="84">
        <v>1.001794227E9</v>
      </c>
      <c r="C951" s="11">
        <v>45699.0</v>
      </c>
      <c r="D951" s="84">
        <v>26.0</v>
      </c>
      <c r="E951" s="93">
        <v>31.625</v>
      </c>
      <c r="F951" s="29" t="s">
        <v>31</v>
      </c>
      <c r="G951" s="85" t="s">
        <v>44</v>
      </c>
      <c r="H951" s="29" t="s">
        <v>268</v>
      </c>
      <c r="I951" s="25" t="s">
        <v>397</v>
      </c>
      <c r="J951" s="25" t="s">
        <v>35</v>
      </c>
      <c r="K951" s="29" t="s">
        <v>270</v>
      </c>
      <c r="L951" s="28" t="s">
        <v>94</v>
      </c>
      <c r="M951" s="29" t="s">
        <v>913</v>
      </c>
      <c r="N951" s="88">
        <v>6200.0</v>
      </c>
      <c r="O951" s="73">
        <f t="shared" si="23"/>
        <v>0.8064516129</v>
      </c>
      <c r="P951" s="89">
        <v>5000.0</v>
      </c>
      <c r="Q951" s="84" t="s">
        <v>39</v>
      </c>
      <c r="R951" s="84">
        <v>1523953.0</v>
      </c>
      <c r="S951" s="85" t="s">
        <v>40</v>
      </c>
      <c r="T951" s="90">
        <v>6248343.0</v>
      </c>
      <c r="U951" s="112">
        <v>45963.395833333336</v>
      </c>
      <c r="V951" s="112">
        <v>45963.604166666664</v>
      </c>
      <c r="W951" s="12"/>
      <c r="X951" s="84" t="s">
        <v>127</v>
      </c>
      <c r="Y951" s="112">
        <v>45993.541666666664</v>
      </c>
      <c r="Z951" s="112">
        <v>45993.739583333336</v>
      </c>
      <c r="AA951" s="12"/>
      <c r="AB951" s="12"/>
      <c r="AC951" s="12"/>
      <c r="AD951" s="12"/>
      <c r="AE951" s="107" t="s">
        <v>39</v>
      </c>
      <c r="AF951" s="1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</row>
    <row r="952" ht="15.75" customHeight="1">
      <c r="A952" s="103">
        <v>1.1197344E7</v>
      </c>
      <c r="B952" s="84">
        <v>1.001794281E9</v>
      </c>
      <c r="C952" s="11">
        <v>45698.0</v>
      </c>
      <c r="D952" s="84">
        <v>26.0</v>
      </c>
      <c r="E952" s="93">
        <v>31.922</v>
      </c>
      <c r="F952" s="29" t="s">
        <v>31</v>
      </c>
      <c r="G952" s="85" t="s">
        <v>44</v>
      </c>
      <c r="H952" s="29" t="s">
        <v>268</v>
      </c>
      <c r="I952" s="25" t="s">
        <v>397</v>
      </c>
      <c r="J952" s="25" t="s">
        <v>35</v>
      </c>
      <c r="K952" s="29" t="s">
        <v>270</v>
      </c>
      <c r="L952" s="28" t="s">
        <v>94</v>
      </c>
      <c r="M952" s="29" t="s">
        <v>1002</v>
      </c>
      <c r="N952" s="88">
        <v>6200.0</v>
      </c>
      <c r="O952" s="73">
        <f t="shared" si="23"/>
        <v>0.8064516129</v>
      </c>
      <c r="P952" s="89">
        <v>5000.0</v>
      </c>
      <c r="Q952" s="84" t="s">
        <v>39</v>
      </c>
      <c r="R952" s="84">
        <v>1523566.0</v>
      </c>
      <c r="S952" s="85" t="s">
        <v>40</v>
      </c>
      <c r="T952" s="90">
        <v>6245634.0</v>
      </c>
      <c r="U952" s="112">
        <v>45932.770833333336</v>
      </c>
      <c r="V952" s="112">
        <v>45963.0</v>
      </c>
      <c r="W952" s="12"/>
      <c r="X952" s="84" t="s">
        <v>127</v>
      </c>
      <c r="Y952" s="112">
        <v>45963.979166666664</v>
      </c>
      <c r="Z952" s="112">
        <v>45993.166666666664</v>
      </c>
      <c r="AA952" s="12"/>
      <c r="AB952" s="12"/>
      <c r="AC952" s="12"/>
      <c r="AD952" s="12"/>
      <c r="AE952" s="107" t="s">
        <v>39</v>
      </c>
      <c r="AF952" s="1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</row>
    <row r="953" ht="15.75" customHeight="1">
      <c r="A953" s="103">
        <v>1.1197345E7</v>
      </c>
      <c r="B953" s="84">
        <v>1.001794208E9</v>
      </c>
      <c r="C953" s="11">
        <v>45698.0</v>
      </c>
      <c r="D953" s="84">
        <v>26.0</v>
      </c>
      <c r="E953" s="93">
        <v>31.625</v>
      </c>
      <c r="F953" s="12" t="s">
        <v>31</v>
      </c>
      <c r="G953" s="85" t="s">
        <v>44</v>
      </c>
      <c r="H953" s="12" t="s">
        <v>268</v>
      </c>
      <c r="I953" s="12" t="s">
        <v>397</v>
      </c>
      <c r="J953" s="12" t="s">
        <v>35</v>
      </c>
      <c r="K953" s="12" t="s">
        <v>270</v>
      </c>
      <c r="L953" s="15" t="s">
        <v>94</v>
      </c>
      <c r="M953" s="85" t="s">
        <v>974</v>
      </c>
      <c r="N953" s="88">
        <v>6200.0</v>
      </c>
      <c r="O953" s="73">
        <f t="shared" si="23"/>
        <v>0.8064516129</v>
      </c>
      <c r="P953" s="89">
        <v>5000.0</v>
      </c>
      <c r="Q953" s="84" t="s">
        <v>39</v>
      </c>
      <c r="R953" s="84">
        <v>1523547.0</v>
      </c>
      <c r="S953" s="85" t="s">
        <v>40</v>
      </c>
      <c r="T953" s="90">
        <v>6245464.0</v>
      </c>
      <c r="U953" s="112">
        <v>45932.75</v>
      </c>
      <c r="V953" s="112">
        <v>45932.958333333336</v>
      </c>
      <c r="W953" s="12"/>
      <c r="X953" s="84" t="s">
        <v>127</v>
      </c>
      <c r="Y953" s="112">
        <v>45993.45208333333</v>
      </c>
      <c r="Z953" s="112">
        <v>45993.541666666664</v>
      </c>
      <c r="AA953" s="12"/>
      <c r="AB953" s="12"/>
      <c r="AC953" s="12"/>
      <c r="AD953" s="12"/>
      <c r="AE953" s="107" t="s">
        <v>39</v>
      </c>
      <c r="AF953" s="1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</row>
    <row r="954" ht="15.75" customHeight="1">
      <c r="A954" s="103">
        <v>1.1197403E7</v>
      </c>
      <c r="B954" s="84">
        <v>1.00179413E9</v>
      </c>
      <c r="C954" s="11">
        <v>45699.0</v>
      </c>
      <c r="D954" s="84">
        <v>26.0</v>
      </c>
      <c r="E954" s="93">
        <v>31.625</v>
      </c>
      <c r="F954" s="29" t="s">
        <v>31</v>
      </c>
      <c r="G954" s="93" t="s">
        <v>44</v>
      </c>
      <c r="H954" s="12" t="s">
        <v>268</v>
      </c>
      <c r="I954" s="29" t="s">
        <v>397</v>
      </c>
      <c r="J954" s="12" t="s">
        <v>35</v>
      </c>
      <c r="K954" s="12" t="s">
        <v>270</v>
      </c>
      <c r="L954" s="28" t="s">
        <v>94</v>
      </c>
      <c r="M954" s="29" t="s">
        <v>729</v>
      </c>
      <c r="N954" s="88">
        <v>6200.0</v>
      </c>
      <c r="O954" s="73">
        <f t="shared" si="23"/>
        <v>0.7177419355</v>
      </c>
      <c r="P954" s="89">
        <v>4450.0</v>
      </c>
      <c r="Q954" s="84" t="s">
        <v>39</v>
      </c>
      <c r="R954" s="84">
        <v>1523947.0</v>
      </c>
      <c r="S954" s="85" t="s">
        <v>40</v>
      </c>
      <c r="T954" s="90">
        <v>6248259.0</v>
      </c>
      <c r="U954" s="112">
        <v>45963.375</v>
      </c>
      <c r="V954" s="112">
        <v>45963.541666666664</v>
      </c>
      <c r="W954" s="12"/>
      <c r="X954" s="84" t="s">
        <v>127</v>
      </c>
      <c r="Y954" s="84" t="s">
        <v>1013</v>
      </c>
      <c r="Z954" s="84" t="s">
        <v>1014</v>
      </c>
      <c r="AA954" s="12"/>
      <c r="AB954" s="12"/>
      <c r="AC954" s="12"/>
      <c r="AD954" s="12"/>
      <c r="AE954" s="107" t="s">
        <v>39</v>
      </c>
      <c r="AF954" s="1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</row>
    <row r="955" ht="15.75" customHeight="1">
      <c r="A955" s="103">
        <v>1.1200286E7</v>
      </c>
      <c r="B955" s="84">
        <v>1.001797731E9</v>
      </c>
      <c r="C955" s="11">
        <v>45698.0</v>
      </c>
      <c r="D955" s="84">
        <v>26.0</v>
      </c>
      <c r="E955" s="93">
        <v>25.377</v>
      </c>
      <c r="F955" s="29" t="s">
        <v>31</v>
      </c>
      <c r="G955" s="93" t="s">
        <v>74</v>
      </c>
      <c r="H955" s="29" t="s">
        <v>304</v>
      </c>
      <c r="I955" s="85" t="s">
        <v>305</v>
      </c>
      <c r="J955" s="12" t="s">
        <v>35</v>
      </c>
      <c r="K955" s="29" t="s">
        <v>306</v>
      </c>
      <c r="L955" s="28" t="s">
        <v>94</v>
      </c>
      <c r="M955" s="85" t="s">
        <v>1015</v>
      </c>
      <c r="N955" s="88">
        <v>6500.0</v>
      </c>
      <c r="O955" s="73">
        <f t="shared" si="23"/>
        <v>0.6846153846</v>
      </c>
      <c r="P955" s="89">
        <v>4450.0</v>
      </c>
      <c r="Q955" s="84" t="s">
        <v>39</v>
      </c>
      <c r="R955" s="84">
        <v>1523391.0</v>
      </c>
      <c r="S955" s="85" t="s">
        <v>40</v>
      </c>
      <c r="T955" s="90">
        <v>6243980.0</v>
      </c>
      <c r="U955" s="112">
        <v>45932.4375</v>
      </c>
      <c r="V955" s="112">
        <v>45932.59722222222</v>
      </c>
      <c r="W955" s="12"/>
      <c r="X955" s="147">
        <v>45993.583333333336</v>
      </c>
      <c r="Y955" s="112">
        <v>45993.583333333336</v>
      </c>
      <c r="Z955" s="84" t="s">
        <v>1016</v>
      </c>
      <c r="AA955" s="12"/>
      <c r="AB955" s="12"/>
      <c r="AC955" s="12"/>
      <c r="AD955" s="12"/>
      <c r="AE955" s="107" t="s">
        <v>39</v>
      </c>
      <c r="AF955" s="1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</row>
    <row r="956" ht="15.75" customHeight="1">
      <c r="A956" s="103">
        <v>1.1200316E7</v>
      </c>
      <c r="B956" s="115">
        <v>1.001797722E9</v>
      </c>
      <c r="C956" s="11">
        <v>45695.0</v>
      </c>
      <c r="D956" s="84">
        <v>26.0</v>
      </c>
      <c r="E956" s="93">
        <v>33.43</v>
      </c>
      <c r="F956" s="29" t="s">
        <v>31</v>
      </c>
      <c r="G956" s="85" t="s">
        <v>74</v>
      </c>
      <c r="H956" s="84" t="s">
        <v>422</v>
      </c>
      <c r="I956" s="93" t="s">
        <v>423</v>
      </c>
      <c r="J956" s="12" t="s">
        <v>35</v>
      </c>
      <c r="K956" s="84" t="s">
        <v>424</v>
      </c>
      <c r="L956" s="95" t="s">
        <v>188</v>
      </c>
      <c r="M956" s="85" t="s">
        <v>1017</v>
      </c>
      <c r="N956" s="88">
        <v>3124.0</v>
      </c>
      <c r="O956" s="73">
        <f t="shared" si="23"/>
        <v>0.5441741357</v>
      </c>
      <c r="P956" s="89">
        <v>1700.0</v>
      </c>
      <c r="Q956" s="84" t="s">
        <v>39</v>
      </c>
      <c r="R956" s="150">
        <v>1521977.0</v>
      </c>
      <c r="S956" s="85" t="s">
        <v>40</v>
      </c>
      <c r="T956" s="90">
        <v>6236448.0</v>
      </c>
      <c r="U956" s="112">
        <v>45840.70138888889</v>
      </c>
      <c r="V956" s="112">
        <v>45840.958333333336</v>
      </c>
      <c r="W956" s="12"/>
      <c r="X956" s="147">
        <v>45932.25</v>
      </c>
      <c r="Y956" s="112">
        <v>45932.25</v>
      </c>
      <c r="Z956" s="112">
        <v>45963.5</v>
      </c>
      <c r="AA956" s="12"/>
      <c r="AB956" s="84">
        <v>809488.0</v>
      </c>
      <c r="AC956" s="84" t="s">
        <v>684</v>
      </c>
      <c r="AD956" s="12"/>
      <c r="AE956" s="12"/>
      <c r="AF956" s="1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</row>
    <row r="957" ht="15.75" customHeight="1">
      <c r="A957" s="103">
        <v>1.1201087E7</v>
      </c>
      <c r="B957" s="84">
        <v>1.00179799E9</v>
      </c>
      <c r="C957" s="11">
        <v>45699.0</v>
      </c>
      <c r="D957" s="84">
        <v>26.0</v>
      </c>
      <c r="E957" s="93">
        <v>30.422</v>
      </c>
      <c r="F957" s="152" t="s">
        <v>43</v>
      </c>
      <c r="G957" s="85" t="s">
        <v>44</v>
      </c>
      <c r="H957" s="29" t="s">
        <v>45</v>
      </c>
      <c r="I957" s="25" t="s">
        <v>46</v>
      </c>
      <c r="J957" s="55" t="s">
        <v>35</v>
      </c>
      <c r="K957" s="49" t="s">
        <v>47</v>
      </c>
      <c r="L957" s="95" t="s">
        <v>110</v>
      </c>
      <c r="M957" s="85" t="s">
        <v>1018</v>
      </c>
      <c r="N957" s="88">
        <v>2402.0</v>
      </c>
      <c r="O957" s="73">
        <f t="shared" si="23"/>
        <v>0.6244796003</v>
      </c>
      <c r="P957" s="89">
        <v>1500.0</v>
      </c>
      <c r="Q957" s="84" t="s">
        <v>39</v>
      </c>
      <c r="R957" s="84">
        <v>1524081.0</v>
      </c>
      <c r="S957" s="85" t="s">
        <v>40</v>
      </c>
      <c r="T957" s="90">
        <v>6249415.0</v>
      </c>
      <c r="U957" s="112">
        <v>45963.666666666664</v>
      </c>
      <c r="V957" s="112">
        <v>45963.875</v>
      </c>
      <c r="W957" s="12"/>
      <c r="X957" s="84" t="s">
        <v>127</v>
      </c>
      <c r="Y957" s="112">
        <v>45993.395833333336</v>
      </c>
      <c r="Z957" s="112">
        <v>45993.625</v>
      </c>
      <c r="AA957" s="12"/>
      <c r="AB957" s="12"/>
      <c r="AC957" s="12"/>
      <c r="AD957" s="12"/>
      <c r="AE957" s="107" t="s">
        <v>39</v>
      </c>
      <c r="AF957" s="1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</row>
    <row r="958" ht="15.75" customHeight="1">
      <c r="A958" s="124">
        <v>1.1201198E7</v>
      </c>
      <c r="B958" s="84">
        <v>1.001797959E9</v>
      </c>
      <c r="C958" s="11">
        <v>45699.0</v>
      </c>
      <c r="D958" s="84">
        <v>1.0</v>
      </c>
      <c r="E958" s="93">
        <v>444.0</v>
      </c>
      <c r="F958" s="152" t="s">
        <v>43</v>
      </c>
      <c r="G958" s="85" t="s">
        <v>44</v>
      </c>
      <c r="H958" s="85" t="s">
        <v>1019</v>
      </c>
      <c r="I958" s="25" t="s">
        <v>46</v>
      </c>
      <c r="J958" s="93" t="s">
        <v>47</v>
      </c>
      <c r="K958" s="85" t="s">
        <v>35</v>
      </c>
      <c r="L958" s="95" t="s">
        <v>110</v>
      </c>
      <c r="M958" s="85" t="s">
        <v>1020</v>
      </c>
      <c r="N958" s="88">
        <v>1601.0</v>
      </c>
      <c r="O958" s="73">
        <f t="shared" si="23"/>
        <v>0.624609619</v>
      </c>
      <c r="P958" s="89">
        <v>1000.0</v>
      </c>
      <c r="Q958" s="12"/>
      <c r="R958" s="150">
        <v>1524821.0</v>
      </c>
      <c r="S958" s="85" t="s">
        <v>40</v>
      </c>
      <c r="T958" s="90">
        <v>6254643.0</v>
      </c>
      <c r="U958" s="112">
        <v>45993.395833333336</v>
      </c>
      <c r="V958" s="112">
        <v>45993.625</v>
      </c>
      <c r="W958" s="12"/>
      <c r="X958" s="84" t="s">
        <v>127</v>
      </c>
      <c r="Y958" s="84" t="s">
        <v>1021</v>
      </c>
      <c r="Z958" s="84" t="s">
        <v>1022</v>
      </c>
      <c r="AA958" s="12"/>
      <c r="AB958" s="84">
        <v>814034.0</v>
      </c>
      <c r="AC958" s="84" t="s">
        <v>943</v>
      </c>
      <c r="AD958" s="12"/>
      <c r="AE958" s="12"/>
      <c r="AF958" s="1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</row>
    <row r="959" ht="15.75" customHeight="1">
      <c r="A959" s="124">
        <v>1.1201207E7</v>
      </c>
      <c r="B959" s="84">
        <v>1.00179816E9</v>
      </c>
      <c r="C959" s="11">
        <v>45700.0</v>
      </c>
      <c r="D959" s="84">
        <v>26.0</v>
      </c>
      <c r="E959" s="93">
        <v>33.43</v>
      </c>
      <c r="F959" s="29" t="s">
        <v>31</v>
      </c>
      <c r="G959" s="93" t="s">
        <v>44</v>
      </c>
      <c r="H959" s="12" t="s">
        <v>45</v>
      </c>
      <c r="I959" s="29" t="s">
        <v>46</v>
      </c>
      <c r="J959" s="14" t="s">
        <v>35</v>
      </c>
      <c r="K959" s="14" t="s">
        <v>47</v>
      </c>
      <c r="L959" s="95" t="s">
        <v>188</v>
      </c>
      <c r="M959" s="85" t="s">
        <v>1017</v>
      </c>
      <c r="N959" s="88">
        <v>2696.0</v>
      </c>
      <c r="O959" s="73">
        <f t="shared" si="23"/>
        <v>0.6305637982</v>
      </c>
      <c r="P959" s="89">
        <v>1700.0</v>
      </c>
      <c r="Q959" s="84" t="s">
        <v>39</v>
      </c>
      <c r="R959" s="12">
        <v>1524763.0</v>
      </c>
      <c r="S959" s="85" t="s">
        <v>40</v>
      </c>
      <c r="T959" s="90">
        <v>6254216.0</v>
      </c>
      <c r="U959" s="112">
        <v>45993.35763888889</v>
      </c>
      <c r="V959" s="112">
        <v>45993.583333333336</v>
      </c>
      <c r="W959" s="12"/>
      <c r="X959" s="84" t="s">
        <v>127</v>
      </c>
      <c r="Y959" s="84" t="s">
        <v>1023</v>
      </c>
      <c r="Z959" s="84" t="s">
        <v>1024</v>
      </c>
      <c r="AA959" s="12"/>
      <c r="AB959" s="12"/>
      <c r="AC959" s="12"/>
      <c r="AD959" s="12"/>
      <c r="AE959" s="107" t="s">
        <v>39</v>
      </c>
      <c r="AF959" s="1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</row>
    <row r="960" ht="15.75" customHeight="1">
      <c r="A960" s="124">
        <v>1.1204232E7</v>
      </c>
      <c r="B960" s="84">
        <v>1.001801816E9</v>
      </c>
      <c r="C960" s="11">
        <v>45706.0</v>
      </c>
      <c r="D960" s="84">
        <v>26.0</v>
      </c>
      <c r="E960" s="93">
        <v>31.625</v>
      </c>
      <c r="F960" s="29" t="s">
        <v>31</v>
      </c>
      <c r="G960" s="93" t="s">
        <v>44</v>
      </c>
      <c r="H960" s="29" t="s">
        <v>268</v>
      </c>
      <c r="I960" s="29" t="s">
        <v>397</v>
      </c>
      <c r="J960" s="12" t="s">
        <v>35</v>
      </c>
      <c r="K960" s="12" t="s">
        <v>270</v>
      </c>
      <c r="L960" s="28" t="s">
        <v>94</v>
      </c>
      <c r="M960" s="85" t="s">
        <v>1008</v>
      </c>
      <c r="N960" s="88">
        <v>6200.0</v>
      </c>
      <c r="O960" s="73">
        <f t="shared" si="23"/>
        <v>0.3103225806</v>
      </c>
      <c r="P960" s="89">
        <v>1924.0</v>
      </c>
      <c r="Q960" s="84" t="s">
        <v>39</v>
      </c>
      <c r="R960" s="84">
        <v>1525061.0</v>
      </c>
      <c r="S960" s="85" t="s">
        <v>40</v>
      </c>
      <c r="T960" s="90">
        <v>6256638.0</v>
      </c>
      <c r="U960" s="112">
        <v>45993.70138888889</v>
      </c>
      <c r="V960" s="84" t="s">
        <v>1025</v>
      </c>
      <c r="W960" s="12"/>
      <c r="X960" s="84" t="s">
        <v>127</v>
      </c>
      <c r="Y960" s="84" t="s">
        <v>1026</v>
      </c>
      <c r="Z960" s="84" t="s">
        <v>1027</v>
      </c>
      <c r="AA960" s="12"/>
      <c r="AB960" s="12"/>
      <c r="AC960" s="12"/>
      <c r="AD960" s="12"/>
      <c r="AE960" s="107" t="s">
        <v>39</v>
      </c>
      <c r="AF960" s="1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</row>
    <row r="961" ht="15.75" customHeight="1">
      <c r="A961" s="124">
        <v>1.1212914E7</v>
      </c>
      <c r="B961" s="84">
        <v>1.001810016E9</v>
      </c>
      <c r="C961" s="11" t="s">
        <v>1028</v>
      </c>
      <c r="D961" s="84">
        <v>26.0</v>
      </c>
      <c r="E961" s="93">
        <v>31.625</v>
      </c>
      <c r="F961" s="29" t="s">
        <v>31</v>
      </c>
      <c r="G961" s="85" t="s">
        <v>44</v>
      </c>
      <c r="H961" s="12" t="s">
        <v>268</v>
      </c>
      <c r="I961" s="25" t="s">
        <v>397</v>
      </c>
      <c r="J961" s="25" t="s">
        <v>35</v>
      </c>
      <c r="K961" s="12" t="s">
        <v>270</v>
      </c>
      <c r="L961" s="28" t="s">
        <v>94</v>
      </c>
      <c r="M961" s="85" t="s">
        <v>1029</v>
      </c>
      <c r="N961" s="88">
        <v>6200.0</v>
      </c>
      <c r="O961" s="73">
        <f t="shared" si="23"/>
        <v>0.685483871</v>
      </c>
      <c r="P961" s="89">
        <v>4250.0</v>
      </c>
      <c r="Q961" s="84" t="s">
        <v>39</v>
      </c>
      <c r="R961" s="154">
        <v>1525342.0</v>
      </c>
      <c r="S961" s="85" t="s">
        <v>40</v>
      </c>
      <c r="T961" s="90">
        <v>6258340.0</v>
      </c>
      <c r="U961" s="84" t="s">
        <v>1030</v>
      </c>
      <c r="V961" s="84" t="s">
        <v>1031</v>
      </c>
      <c r="W961" s="12"/>
      <c r="X961" s="84" t="s">
        <v>127</v>
      </c>
      <c r="Y961" s="84" t="s">
        <v>1032</v>
      </c>
      <c r="Z961" s="84" t="s">
        <v>1033</v>
      </c>
      <c r="AA961" s="12"/>
      <c r="AB961" s="12"/>
      <c r="AC961" s="12"/>
      <c r="AD961" s="12"/>
      <c r="AE961" s="107" t="s">
        <v>39</v>
      </c>
      <c r="AF961" s="1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</row>
    <row r="962" ht="15.75" customHeight="1">
      <c r="A962" s="124">
        <v>1.1224541E7</v>
      </c>
      <c r="B962" s="150">
        <v>1.00182171E9</v>
      </c>
      <c r="C962" s="11" t="s">
        <v>1034</v>
      </c>
      <c r="D962" s="84">
        <v>26.0</v>
      </c>
      <c r="E962" s="93">
        <v>31.922</v>
      </c>
      <c r="F962" s="29" t="s">
        <v>31</v>
      </c>
      <c r="G962" s="85" t="s">
        <v>74</v>
      </c>
      <c r="H962" s="12" t="s">
        <v>304</v>
      </c>
      <c r="I962" s="93" t="s">
        <v>305</v>
      </c>
      <c r="J962" s="12" t="s">
        <v>35</v>
      </c>
      <c r="K962" s="25" t="s">
        <v>306</v>
      </c>
      <c r="L962" s="28" t="s">
        <v>94</v>
      </c>
      <c r="M962" s="85" t="s">
        <v>1035</v>
      </c>
      <c r="N962" s="88">
        <v>6500.0</v>
      </c>
      <c r="O962" s="73">
        <f t="shared" si="23"/>
        <v>0.7184615385</v>
      </c>
      <c r="P962" s="89">
        <v>4670.0</v>
      </c>
      <c r="Q962" s="84" t="s">
        <v>39</v>
      </c>
      <c r="R962" s="150">
        <v>1529499.0</v>
      </c>
      <c r="S962" s="85" t="s">
        <v>40</v>
      </c>
      <c r="T962" s="155">
        <v>6286856.0</v>
      </c>
      <c r="U962" s="150" t="s">
        <v>1036</v>
      </c>
      <c r="V962" s="150" t="s">
        <v>1037</v>
      </c>
      <c r="W962" s="154"/>
      <c r="X962" s="84" t="s">
        <v>1038</v>
      </c>
      <c r="Y962" s="84" t="s">
        <v>1038</v>
      </c>
      <c r="Z962" s="150" t="s">
        <v>1039</v>
      </c>
      <c r="AA962" s="154"/>
      <c r="AB962" s="154"/>
      <c r="AC962" s="154"/>
      <c r="AD962" s="154"/>
      <c r="AE962" s="107" t="s">
        <v>39</v>
      </c>
      <c r="AF962" s="154"/>
      <c r="AG962" s="156"/>
      <c r="AH962" s="156"/>
      <c r="AI962" s="156"/>
      <c r="AJ962" s="156"/>
      <c r="AK962" s="156"/>
      <c r="AL962" s="156"/>
      <c r="AM962" s="156"/>
      <c r="AN962" s="156"/>
      <c r="AO962" s="156"/>
      <c r="AP962" s="156"/>
    </row>
    <row r="963" ht="15.75" customHeight="1">
      <c r="A963" s="124">
        <v>1.122499E7</v>
      </c>
      <c r="B963" s="84">
        <v>1.001821726E9</v>
      </c>
      <c r="C963" s="11" t="s">
        <v>1034</v>
      </c>
      <c r="D963" s="84">
        <v>26.0</v>
      </c>
      <c r="E963" s="93">
        <v>31.922</v>
      </c>
      <c r="F963" s="12" t="s">
        <v>31</v>
      </c>
      <c r="G963" s="85" t="s">
        <v>74</v>
      </c>
      <c r="H963" s="12" t="s">
        <v>304</v>
      </c>
      <c r="I963" s="84" t="s">
        <v>305</v>
      </c>
      <c r="J963" s="12" t="s">
        <v>35</v>
      </c>
      <c r="K963" s="12" t="s">
        <v>306</v>
      </c>
      <c r="L963" s="15" t="s">
        <v>94</v>
      </c>
      <c r="M963" s="85" t="s">
        <v>913</v>
      </c>
      <c r="N963" s="88">
        <v>6500.0</v>
      </c>
      <c r="O963" s="73">
        <f t="shared" si="23"/>
        <v>0.7384615385</v>
      </c>
      <c r="P963" s="89">
        <v>4800.0</v>
      </c>
      <c r="Q963" s="84" t="s">
        <v>39</v>
      </c>
      <c r="R963" s="117">
        <v>1529673.0</v>
      </c>
      <c r="S963" s="85" t="s">
        <v>40</v>
      </c>
      <c r="T963" s="155">
        <v>6287739.0</v>
      </c>
      <c r="U963" s="84" t="s">
        <v>1040</v>
      </c>
      <c r="V963" s="84" t="s">
        <v>1041</v>
      </c>
      <c r="W963" s="12"/>
      <c r="X963" s="84" t="s">
        <v>1042</v>
      </c>
      <c r="Y963" s="84" t="s">
        <v>1042</v>
      </c>
      <c r="Z963" s="84" t="s">
        <v>1043</v>
      </c>
      <c r="AA963" s="12"/>
      <c r="AB963" s="12"/>
      <c r="AC963" s="12"/>
      <c r="AD963" s="12"/>
      <c r="AE963" s="107" t="s">
        <v>39</v>
      </c>
      <c r="AF963" s="1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</row>
    <row r="964" ht="15.75" customHeight="1">
      <c r="A964" s="126">
        <v>1.1225243E7</v>
      </c>
      <c r="B964" s="84">
        <v>1.001821969E9</v>
      </c>
      <c r="C964" s="11" t="s">
        <v>1044</v>
      </c>
      <c r="D964" s="84">
        <v>26.0</v>
      </c>
      <c r="E964" s="93">
        <v>31.644</v>
      </c>
      <c r="F964" s="103" t="s">
        <v>43</v>
      </c>
      <c r="G964" s="85" t="s">
        <v>44</v>
      </c>
      <c r="H964" s="12" t="s">
        <v>45</v>
      </c>
      <c r="I964" s="29" t="s">
        <v>46</v>
      </c>
      <c r="J964" s="14" t="s">
        <v>35</v>
      </c>
      <c r="K964" s="14" t="s">
        <v>47</v>
      </c>
      <c r="L964" s="95" t="s">
        <v>110</v>
      </c>
      <c r="M964" s="85" t="s">
        <v>704</v>
      </c>
      <c r="N964" s="88">
        <v>2402.0</v>
      </c>
      <c r="O964" s="73">
        <f t="shared" si="23"/>
        <v>0.6244796003</v>
      </c>
      <c r="P964" s="89">
        <v>1500.0</v>
      </c>
      <c r="Q964" s="84" t="s">
        <v>39</v>
      </c>
      <c r="R964" s="150">
        <v>1527841.0</v>
      </c>
      <c r="S964" s="85" t="s">
        <v>40</v>
      </c>
      <c r="T964" s="155">
        <v>6275190.0</v>
      </c>
      <c r="U964" s="150" t="s">
        <v>1045</v>
      </c>
      <c r="V964" s="150" t="s">
        <v>1046</v>
      </c>
      <c r="W964" s="154"/>
      <c r="X964" s="84" t="s">
        <v>127</v>
      </c>
      <c r="Y964" s="150" t="s">
        <v>1047</v>
      </c>
      <c r="Z964" s="150" t="s">
        <v>1048</v>
      </c>
      <c r="AA964" s="154"/>
      <c r="AB964" s="154"/>
      <c r="AC964" s="154"/>
      <c r="AD964" s="154"/>
      <c r="AE964" s="157" t="s">
        <v>39</v>
      </c>
      <c r="AF964" s="154"/>
      <c r="AG964" s="156"/>
      <c r="AH964" s="156"/>
      <c r="AI964" s="156"/>
      <c r="AJ964" s="156"/>
      <c r="AK964" s="156"/>
      <c r="AL964" s="156"/>
      <c r="AM964" s="156"/>
      <c r="AN964" s="156"/>
      <c r="AO964" s="156"/>
      <c r="AP964" s="156"/>
    </row>
    <row r="965" ht="15.75" customHeight="1">
      <c r="A965" s="126">
        <v>1.1225244E7</v>
      </c>
      <c r="B965" s="150">
        <v>1.001822073E9</v>
      </c>
      <c r="C965" s="11" t="s">
        <v>1044</v>
      </c>
      <c r="D965" s="84">
        <v>1.0</v>
      </c>
      <c r="E965" s="93">
        <v>444.0</v>
      </c>
      <c r="F965" s="103" t="s">
        <v>43</v>
      </c>
      <c r="G965" s="85" t="s">
        <v>44</v>
      </c>
      <c r="H965" s="103" t="s">
        <v>1049</v>
      </c>
      <c r="I965" s="29" t="s">
        <v>46</v>
      </c>
      <c r="J965" s="84" t="s">
        <v>47</v>
      </c>
      <c r="K965" s="84" t="s">
        <v>35</v>
      </c>
      <c r="L965" s="95" t="s">
        <v>110</v>
      </c>
      <c r="M965" s="85" t="s">
        <v>711</v>
      </c>
      <c r="N965" s="88">
        <v>1601.0</v>
      </c>
      <c r="O965" s="73">
        <f t="shared" si="23"/>
        <v>0.624609619</v>
      </c>
      <c r="P965" s="89">
        <v>1000.0</v>
      </c>
      <c r="Q965" s="154"/>
      <c r="R965" s="150">
        <v>1528826.0</v>
      </c>
      <c r="S965" s="85" t="s">
        <v>40</v>
      </c>
      <c r="T965" s="155">
        <v>6281187.0</v>
      </c>
      <c r="U965" s="150" t="s">
        <v>1047</v>
      </c>
      <c r="V965" s="150" t="s">
        <v>1048</v>
      </c>
      <c r="W965" s="154"/>
      <c r="X965" s="84" t="s">
        <v>127</v>
      </c>
      <c r="Y965" s="150" t="s">
        <v>1050</v>
      </c>
      <c r="Z965" s="150" t="s">
        <v>1051</v>
      </c>
      <c r="AA965" s="154"/>
      <c r="AB965" s="150">
        <v>815813.0</v>
      </c>
      <c r="AC965" s="84" t="s">
        <v>943</v>
      </c>
      <c r="AD965" s="154"/>
      <c r="AE965" s="154"/>
      <c r="AF965" s="154"/>
      <c r="AG965" s="156"/>
      <c r="AH965" s="156"/>
      <c r="AI965" s="156"/>
      <c r="AJ965" s="156"/>
      <c r="AK965" s="156"/>
      <c r="AL965" s="156"/>
      <c r="AM965" s="156"/>
      <c r="AN965" s="156"/>
      <c r="AO965" s="156"/>
      <c r="AP965" s="156"/>
    </row>
    <row r="966" ht="15.75" customHeight="1">
      <c r="A966" s="126">
        <v>1.1225307E7</v>
      </c>
      <c r="B966" s="150">
        <v>1.001821892E9</v>
      </c>
      <c r="C966" s="11" t="s">
        <v>1044</v>
      </c>
      <c r="D966" s="84">
        <v>26.0</v>
      </c>
      <c r="E966" s="93">
        <v>33.43</v>
      </c>
      <c r="F966" s="12" t="s">
        <v>31</v>
      </c>
      <c r="G966" s="85" t="s">
        <v>44</v>
      </c>
      <c r="H966" s="12" t="s">
        <v>45</v>
      </c>
      <c r="I966" s="29" t="s">
        <v>46</v>
      </c>
      <c r="J966" s="14" t="s">
        <v>35</v>
      </c>
      <c r="K966" s="14" t="s">
        <v>47</v>
      </c>
      <c r="L966" s="95" t="s">
        <v>188</v>
      </c>
      <c r="M966" s="85" t="s">
        <v>618</v>
      </c>
      <c r="N966" s="88">
        <v>2696.0</v>
      </c>
      <c r="O966" s="73">
        <f t="shared" si="23"/>
        <v>0.1513353116</v>
      </c>
      <c r="P966" s="89">
        <v>408.0</v>
      </c>
      <c r="Q966" s="150" t="s">
        <v>39</v>
      </c>
      <c r="R966" s="150">
        <v>1527896.0</v>
      </c>
      <c r="S966" s="85" t="s">
        <v>40</v>
      </c>
      <c r="T966" s="155">
        <v>6275625.0</v>
      </c>
      <c r="U966" s="150" t="s">
        <v>1052</v>
      </c>
      <c r="V966" s="150" t="s">
        <v>1053</v>
      </c>
      <c r="W966" s="154"/>
      <c r="X966" s="84" t="s">
        <v>127</v>
      </c>
      <c r="Y966" s="150" t="s">
        <v>1054</v>
      </c>
      <c r="Z966" s="150" t="s">
        <v>1055</v>
      </c>
      <c r="AA966" s="154"/>
      <c r="AB966" s="154"/>
      <c r="AC966" s="154"/>
      <c r="AD966" s="154"/>
      <c r="AE966" s="107" t="s">
        <v>39</v>
      </c>
      <c r="AF966" s="154"/>
      <c r="AG966" s="156"/>
      <c r="AH966" s="156"/>
      <c r="AI966" s="156"/>
      <c r="AJ966" s="156"/>
      <c r="AK966" s="156"/>
      <c r="AL966" s="156"/>
      <c r="AM966" s="156"/>
      <c r="AN966" s="156"/>
      <c r="AO966" s="156"/>
      <c r="AP966" s="156"/>
    </row>
    <row r="967" ht="15.75" customHeight="1">
      <c r="A967" s="103">
        <v>1.1225967E7</v>
      </c>
      <c r="B967" s="84">
        <v>1.00182401E9</v>
      </c>
      <c r="C967" s="11" t="s">
        <v>1044</v>
      </c>
      <c r="D967" s="84">
        <v>26.0</v>
      </c>
      <c r="E967" s="93">
        <v>33.139</v>
      </c>
      <c r="F967" s="84" t="s">
        <v>31</v>
      </c>
      <c r="G967" s="85" t="s">
        <v>44</v>
      </c>
      <c r="H967" s="84" t="s">
        <v>268</v>
      </c>
      <c r="I967" s="25" t="s">
        <v>397</v>
      </c>
      <c r="J967" s="93" t="s">
        <v>35</v>
      </c>
      <c r="K967" s="84" t="s">
        <v>270</v>
      </c>
      <c r="L967" s="95" t="s">
        <v>94</v>
      </c>
      <c r="M967" s="85" t="s">
        <v>982</v>
      </c>
      <c r="N967" s="88">
        <v>6677.0</v>
      </c>
      <c r="O967" s="73">
        <f t="shared" si="23"/>
        <v>0.7428485847</v>
      </c>
      <c r="P967" s="89">
        <v>4960.0</v>
      </c>
      <c r="Q967" s="84" t="s">
        <v>39</v>
      </c>
      <c r="R967" s="84">
        <v>1528093.0</v>
      </c>
      <c r="S967" s="85" t="s">
        <v>40</v>
      </c>
      <c r="T967" s="155">
        <v>6277015.0</v>
      </c>
      <c r="U967" s="84" t="s">
        <v>1056</v>
      </c>
      <c r="V967" s="84" t="s">
        <v>1057</v>
      </c>
      <c r="W967" s="12"/>
      <c r="X967" s="84" t="s">
        <v>127</v>
      </c>
      <c r="Y967" s="84" t="s">
        <v>1058</v>
      </c>
      <c r="Z967" s="84" t="s">
        <v>1059</v>
      </c>
      <c r="AA967" s="12"/>
      <c r="AB967" s="12"/>
      <c r="AC967" s="12"/>
      <c r="AD967" s="12"/>
      <c r="AE967" s="107" t="s">
        <v>39</v>
      </c>
      <c r="AF967" s="1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</row>
    <row r="968" ht="15.75" customHeight="1">
      <c r="A968" s="103">
        <v>1.1225968E7</v>
      </c>
      <c r="B968" s="84">
        <v>1.001824007E9</v>
      </c>
      <c r="C968" s="11" t="s">
        <v>1044</v>
      </c>
      <c r="D968" s="84">
        <v>26.0</v>
      </c>
      <c r="E968" s="93">
        <v>33.139</v>
      </c>
      <c r="F968" s="84" t="s">
        <v>31</v>
      </c>
      <c r="G968" s="85" t="s">
        <v>44</v>
      </c>
      <c r="H968" s="84" t="s">
        <v>268</v>
      </c>
      <c r="I968" s="29" t="s">
        <v>397</v>
      </c>
      <c r="J968" s="84" t="s">
        <v>35</v>
      </c>
      <c r="K968" s="84" t="s">
        <v>270</v>
      </c>
      <c r="L968" s="95" t="s">
        <v>94</v>
      </c>
      <c r="M968" s="85" t="s">
        <v>1017</v>
      </c>
      <c r="N968" s="88">
        <v>6677.0</v>
      </c>
      <c r="O968" s="73">
        <f t="shared" si="23"/>
        <v>0.6664669762</v>
      </c>
      <c r="P968" s="89">
        <v>4450.0</v>
      </c>
      <c r="Q968" s="84" t="s">
        <v>39</v>
      </c>
      <c r="R968" s="84">
        <v>1528095.0</v>
      </c>
      <c r="S968" s="85" t="s">
        <v>40</v>
      </c>
      <c r="T968" s="155">
        <v>6277039.0</v>
      </c>
      <c r="U968" s="84" t="s">
        <v>1060</v>
      </c>
      <c r="V968" s="84" t="s">
        <v>1061</v>
      </c>
      <c r="W968" s="12"/>
      <c r="X968" s="84" t="s">
        <v>127</v>
      </c>
      <c r="Y968" s="84" t="s">
        <v>1062</v>
      </c>
      <c r="Z968" s="84" t="s">
        <v>1063</v>
      </c>
      <c r="AA968" s="12"/>
      <c r="AB968" s="12"/>
      <c r="AC968" s="12"/>
      <c r="AD968" s="12"/>
      <c r="AE968" s="107" t="s">
        <v>39</v>
      </c>
      <c r="AF968" s="1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</row>
    <row r="969" ht="15.75" customHeight="1">
      <c r="A969" s="124">
        <v>1.1230207E7</v>
      </c>
      <c r="B969" s="84">
        <v>1.001827917E9</v>
      </c>
      <c r="C969" s="11" t="s">
        <v>1064</v>
      </c>
      <c r="D969" s="84">
        <v>26.0</v>
      </c>
      <c r="E969" s="93">
        <v>31.922</v>
      </c>
      <c r="F969" s="12" t="s">
        <v>31</v>
      </c>
      <c r="G969" s="29" t="s">
        <v>74</v>
      </c>
      <c r="H969" s="12" t="s">
        <v>274</v>
      </c>
      <c r="I969" s="39" t="s">
        <v>275</v>
      </c>
      <c r="J969" s="12" t="s">
        <v>35</v>
      </c>
      <c r="K969" s="56" t="s">
        <v>276</v>
      </c>
      <c r="L969" s="95" t="s">
        <v>94</v>
      </c>
      <c r="M969" s="85" t="s">
        <v>704</v>
      </c>
      <c r="N969" s="88">
        <v>6500.0</v>
      </c>
      <c r="O969" s="73">
        <f t="shared" si="23"/>
        <v>0.6538461538</v>
      </c>
      <c r="P969" s="89">
        <v>4250.0</v>
      </c>
      <c r="Q969" s="84" t="s">
        <v>39</v>
      </c>
      <c r="R969" s="84">
        <v>1532243.0</v>
      </c>
      <c r="S969" s="85" t="s">
        <v>40</v>
      </c>
      <c r="T969" s="90">
        <v>6305016.0</v>
      </c>
      <c r="U969" s="84" t="s">
        <v>1065</v>
      </c>
      <c r="V969" s="84" t="s">
        <v>1066</v>
      </c>
      <c r="W969" s="12"/>
      <c r="X969" s="84" t="s">
        <v>1067</v>
      </c>
      <c r="Y969" s="84" t="s">
        <v>1068</v>
      </c>
      <c r="Z969" s="84" t="s">
        <v>1069</v>
      </c>
      <c r="AA969" s="12"/>
      <c r="AB969" s="12"/>
      <c r="AC969" s="12"/>
      <c r="AD969" s="12"/>
      <c r="AE969" s="12"/>
      <c r="AF969" s="1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</row>
    <row r="970" ht="15.75" customHeight="1">
      <c r="A970" s="124">
        <v>1.1232955E7</v>
      </c>
      <c r="B970" s="84">
        <v>1.001830308E9</v>
      </c>
      <c r="C970" s="11" t="s">
        <v>1070</v>
      </c>
      <c r="D970" s="84">
        <v>26.0</v>
      </c>
      <c r="E970" s="93">
        <v>31.625</v>
      </c>
      <c r="F970" s="12" t="s">
        <v>31</v>
      </c>
      <c r="G970" s="85" t="s">
        <v>32</v>
      </c>
      <c r="H970" s="12" t="s">
        <v>265</v>
      </c>
      <c r="I970" s="39" t="s">
        <v>266</v>
      </c>
      <c r="J970" s="12" t="s">
        <v>35</v>
      </c>
      <c r="K970" s="12" t="s">
        <v>267</v>
      </c>
      <c r="L970" s="28" t="s">
        <v>114</v>
      </c>
      <c r="M970" s="85" t="s">
        <v>145</v>
      </c>
      <c r="N970" s="88">
        <v>6200.0</v>
      </c>
      <c r="O970" s="73">
        <f t="shared" si="23"/>
        <v>0.2717741935</v>
      </c>
      <c r="P970" s="89">
        <v>1685.0</v>
      </c>
      <c r="Q970" s="84" t="s">
        <v>39</v>
      </c>
      <c r="R970" s="84">
        <v>1528924.0</v>
      </c>
      <c r="S970" s="85" t="s">
        <v>40</v>
      </c>
      <c r="T970" s="155">
        <v>6282331.0</v>
      </c>
      <c r="U970" s="84" t="s">
        <v>1071</v>
      </c>
      <c r="V970" s="84" t="s">
        <v>1072</v>
      </c>
      <c r="W970" s="12"/>
      <c r="X970" s="84" t="s">
        <v>127</v>
      </c>
      <c r="Y970" s="84" t="s">
        <v>1073</v>
      </c>
      <c r="Z970" s="84" t="s">
        <v>1074</v>
      </c>
      <c r="AA970" s="12"/>
      <c r="AB970" s="12"/>
      <c r="AC970" s="12"/>
      <c r="AD970" s="12"/>
      <c r="AE970" s="107" t="s">
        <v>39</v>
      </c>
      <c r="AF970" s="1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</row>
    <row r="971" ht="15.75" customHeight="1">
      <c r="A971" s="126">
        <v>1.1233445E7</v>
      </c>
      <c r="B971" s="84">
        <v>1.00183033E9</v>
      </c>
      <c r="C971" s="11" t="s">
        <v>1064</v>
      </c>
      <c r="D971" s="84">
        <v>26.0</v>
      </c>
      <c r="E971" s="93">
        <v>31.625</v>
      </c>
      <c r="F971" s="12" t="s">
        <v>31</v>
      </c>
      <c r="G971" s="85" t="s">
        <v>32</v>
      </c>
      <c r="H971" s="12" t="s">
        <v>265</v>
      </c>
      <c r="I971" s="39" t="s">
        <v>266</v>
      </c>
      <c r="J971" s="12" t="s">
        <v>35</v>
      </c>
      <c r="K971" s="12" t="s">
        <v>267</v>
      </c>
      <c r="L971" s="28" t="s">
        <v>114</v>
      </c>
      <c r="M971" s="88" t="s">
        <v>888</v>
      </c>
      <c r="N971" s="88">
        <v>6200.0</v>
      </c>
      <c r="O971" s="73">
        <f t="shared" si="23"/>
        <v>0.3814516129</v>
      </c>
      <c r="P971" s="89">
        <v>2365.0</v>
      </c>
      <c r="Q971" s="84" t="s">
        <v>39</v>
      </c>
      <c r="R971" s="84">
        <v>1532398.0</v>
      </c>
      <c r="S971" s="85" t="s">
        <v>40</v>
      </c>
      <c r="T971" s="90">
        <v>6306216.0</v>
      </c>
      <c r="U971" s="84" t="s">
        <v>1075</v>
      </c>
      <c r="V971" s="84" t="s">
        <v>1076</v>
      </c>
      <c r="W971" s="12"/>
      <c r="X971" s="84" t="s">
        <v>127</v>
      </c>
      <c r="Y971" s="84" t="s">
        <v>1077</v>
      </c>
      <c r="Z971" s="84" t="s">
        <v>1078</v>
      </c>
      <c r="AA971" s="12"/>
      <c r="AB971" s="12"/>
      <c r="AC971" s="12"/>
      <c r="AD971" s="12"/>
      <c r="AE971" s="107" t="s">
        <v>39</v>
      </c>
      <c r="AF971" s="1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</row>
    <row r="972" ht="15.75" customHeight="1">
      <c r="A972" s="126">
        <v>1.1233446E7</v>
      </c>
      <c r="B972" s="84">
        <v>1.001830333E9</v>
      </c>
      <c r="C972" s="11" t="s">
        <v>1064</v>
      </c>
      <c r="D972" s="84">
        <v>26.0</v>
      </c>
      <c r="E972" s="93">
        <v>31.625</v>
      </c>
      <c r="F972" s="12" t="s">
        <v>31</v>
      </c>
      <c r="G972" s="85" t="s">
        <v>32</v>
      </c>
      <c r="H972" s="12" t="s">
        <v>111</v>
      </c>
      <c r="I972" s="29" t="s">
        <v>112</v>
      </c>
      <c r="J972" s="12" t="s">
        <v>35</v>
      </c>
      <c r="K972" s="15" t="s">
        <v>113</v>
      </c>
      <c r="L972" s="28" t="s">
        <v>114</v>
      </c>
      <c r="M972" s="88" t="s">
        <v>1079</v>
      </c>
      <c r="N972" s="88">
        <v>5323.0</v>
      </c>
      <c r="O972" s="73">
        <f t="shared" si="23"/>
        <v>0.2489197821</v>
      </c>
      <c r="P972" s="89">
        <v>1325.0</v>
      </c>
      <c r="Q972" s="84" t="s">
        <v>39</v>
      </c>
      <c r="R972" s="84">
        <v>1532397.0</v>
      </c>
      <c r="S972" s="85" t="s">
        <v>40</v>
      </c>
      <c r="T972" s="90">
        <v>6306211.0</v>
      </c>
      <c r="U972" s="84" t="s">
        <v>1080</v>
      </c>
      <c r="V972" s="84" t="s">
        <v>1081</v>
      </c>
      <c r="W972" s="12"/>
      <c r="X972" s="84" t="s">
        <v>127</v>
      </c>
      <c r="Y972" s="84" t="s">
        <v>1082</v>
      </c>
      <c r="Z972" s="84" t="s">
        <v>1083</v>
      </c>
      <c r="AA972" s="12"/>
      <c r="AB972" s="84">
        <v>821742.0</v>
      </c>
      <c r="AC972" s="84" t="s">
        <v>1084</v>
      </c>
      <c r="AD972" s="12"/>
      <c r="AE972" s="107" t="s">
        <v>39</v>
      </c>
      <c r="AF972" s="1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</row>
    <row r="973" ht="15.75" customHeight="1">
      <c r="A973" s="126">
        <v>1.1233447E7</v>
      </c>
      <c r="B973" s="84">
        <v>1.001830312E9</v>
      </c>
      <c r="C973" s="11" t="s">
        <v>1064</v>
      </c>
      <c r="D973" s="84">
        <v>26.0</v>
      </c>
      <c r="E973" s="93">
        <v>31.625</v>
      </c>
      <c r="F973" s="29" t="s">
        <v>31</v>
      </c>
      <c r="G973" s="85" t="s">
        <v>32</v>
      </c>
      <c r="H973" s="12" t="s">
        <v>265</v>
      </c>
      <c r="I973" s="39" t="s">
        <v>266</v>
      </c>
      <c r="J973" s="12" t="s">
        <v>35</v>
      </c>
      <c r="K973" s="12" t="s">
        <v>267</v>
      </c>
      <c r="L973" s="28" t="s">
        <v>114</v>
      </c>
      <c r="M973" s="88" t="s">
        <v>1085</v>
      </c>
      <c r="N973" s="88">
        <v>6200.0</v>
      </c>
      <c r="O973" s="73">
        <f t="shared" si="23"/>
        <v>0.3814516129</v>
      </c>
      <c r="P973" s="89">
        <v>2365.0</v>
      </c>
      <c r="Q973" s="84" t="s">
        <v>39</v>
      </c>
      <c r="R973" s="84">
        <v>1532587.0</v>
      </c>
      <c r="S973" s="85" t="s">
        <v>40</v>
      </c>
      <c r="T973" s="90">
        <v>6307689.0</v>
      </c>
      <c r="U973" s="84" t="s">
        <v>1086</v>
      </c>
      <c r="V973" s="84" t="s">
        <v>1087</v>
      </c>
      <c r="W973" s="12"/>
      <c r="X973" s="84" t="s">
        <v>127</v>
      </c>
      <c r="Y973" s="84" t="s">
        <v>1088</v>
      </c>
      <c r="Z973" s="84" t="s">
        <v>1089</v>
      </c>
      <c r="AA973" s="12"/>
      <c r="AB973" s="12"/>
      <c r="AC973" s="12"/>
      <c r="AD973" s="12"/>
      <c r="AE973" s="107" t="s">
        <v>39</v>
      </c>
      <c r="AF973" s="1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</row>
    <row r="974" ht="15.75" customHeight="1">
      <c r="A974" s="126">
        <v>1.1233507E7</v>
      </c>
      <c r="B974" s="84">
        <v>1.001830585E9</v>
      </c>
      <c r="C974" s="11" t="s">
        <v>1064</v>
      </c>
      <c r="D974" s="84">
        <v>26.0</v>
      </c>
      <c r="E974" s="93">
        <v>33.43</v>
      </c>
      <c r="F974" s="29" t="s">
        <v>31</v>
      </c>
      <c r="G974" s="29" t="s">
        <v>74</v>
      </c>
      <c r="H974" s="12" t="s">
        <v>274</v>
      </c>
      <c r="I974" s="39" t="s">
        <v>275</v>
      </c>
      <c r="J974" s="25" t="s">
        <v>35</v>
      </c>
      <c r="K974" s="158" t="s">
        <v>276</v>
      </c>
      <c r="L974" s="95" t="s">
        <v>94</v>
      </c>
      <c r="M974" s="85" t="s">
        <v>1090</v>
      </c>
      <c r="N974" s="133">
        <v>7000.0</v>
      </c>
      <c r="O974" s="73">
        <f t="shared" si="23"/>
        <v>0.6357142857</v>
      </c>
      <c r="P974" s="89">
        <v>4450.0</v>
      </c>
      <c r="Q974" s="84" t="s">
        <v>39</v>
      </c>
      <c r="R974" s="84">
        <v>1532400.0</v>
      </c>
      <c r="S974" s="85" t="s">
        <v>40</v>
      </c>
      <c r="T974" s="90">
        <v>6306275.0</v>
      </c>
      <c r="U974" s="84" t="s">
        <v>1075</v>
      </c>
      <c r="V974" s="84" t="s">
        <v>1081</v>
      </c>
      <c r="W974" s="12"/>
      <c r="X974" s="84" t="s">
        <v>1067</v>
      </c>
      <c r="Y974" s="84" t="s">
        <v>1091</v>
      </c>
      <c r="Z974" s="84" t="s">
        <v>1092</v>
      </c>
      <c r="AA974" s="12"/>
      <c r="AB974" s="84" t="s">
        <v>1093</v>
      </c>
      <c r="AC974" s="84" t="s">
        <v>1094</v>
      </c>
      <c r="AD974" s="12"/>
      <c r="AE974" s="12"/>
      <c r="AF974" s="1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</row>
    <row r="975" ht="15.75" customHeight="1">
      <c r="A975" s="126">
        <v>1.123356E7</v>
      </c>
      <c r="B975" s="84">
        <v>1.001830467E9</v>
      </c>
      <c r="C975" s="11" t="s">
        <v>1034</v>
      </c>
      <c r="D975" s="84">
        <v>27.0</v>
      </c>
      <c r="E975" s="93">
        <v>31.456</v>
      </c>
      <c r="F975" s="12" t="s">
        <v>31</v>
      </c>
      <c r="G975" s="100" t="s">
        <v>74</v>
      </c>
      <c r="H975" s="12" t="s">
        <v>262</v>
      </c>
      <c r="I975" s="39" t="s">
        <v>263</v>
      </c>
      <c r="J975" s="12" t="s">
        <v>35</v>
      </c>
      <c r="K975" s="12" t="s">
        <v>264</v>
      </c>
      <c r="L975" s="28" t="s">
        <v>59</v>
      </c>
      <c r="M975" s="85" t="s">
        <v>1095</v>
      </c>
      <c r="N975" s="88">
        <v>5008.0</v>
      </c>
      <c r="O975" s="73">
        <f t="shared" si="23"/>
        <v>0.7719648562</v>
      </c>
      <c r="P975" s="89">
        <v>3866.0</v>
      </c>
      <c r="Q975" s="84" t="s">
        <v>39</v>
      </c>
      <c r="R975" s="84">
        <v>1529260.0</v>
      </c>
      <c r="S975" s="85" t="s">
        <v>40</v>
      </c>
      <c r="T975" s="155">
        <v>6284842.0</v>
      </c>
      <c r="U975" s="84" t="s">
        <v>1096</v>
      </c>
      <c r="V975" s="84" t="s">
        <v>1097</v>
      </c>
      <c r="W975" s="12"/>
      <c r="X975" s="84" t="s">
        <v>1098</v>
      </c>
      <c r="Y975" s="84" t="s">
        <v>1098</v>
      </c>
      <c r="Z975" s="84" t="s">
        <v>1099</v>
      </c>
      <c r="AA975" s="12"/>
      <c r="AB975" s="84" t="s">
        <v>1100</v>
      </c>
      <c r="AC975" s="84" t="s">
        <v>1101</v>
      </c>
      <c r="AD975" s="12"/>
      <c r="AE975" s="107" t="s">
        <v>39</v>
      </c>
      <c r="AF975" s="1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</row>
    <row r="976" ht="15.75" customHeight="1">
      <c r="A976" s="126">
        <v>1.1234237E7</v>
      </c>
      <c r="B976" s="84">
        <v>1.001832407E9</v>
      </c>
      <c r="C976" s="11" t="s">
        <v>1102</v>
      </c>
      <c r="D976" s="84">
        <v>28.0</v>
      </c>
      <c r="E976" s="93">
        <v>30.136</v>
      </c>
      <c r="F976" s="12" t="s">
        <v>31</v>
      </c>
      <c r="G976" s="29" t="s">
        <v>74</v>
      </c>
      <c r="H976" s="12" t="s">
        <v>274</v>
      </c>
      <c r="I976" s="15" t="s">
        <v>275</v>
      </c>
      <c r="J976" s="12" t="s">
        <v>35</v>
      </c>
      <c r="K976" s="56" t="s">
        <v>276</v>
      </c>
      <c r="L976" s="98" t="s">
        <v>94</v>
      </c>
      <c r="M976" s="85" t="s">
        <v>495</v>
      </c>
      <c r="N976" s="88">
        <v>7000.0</v>
      </c>
      <c r="O976" s="73">
        <f t="shared" si="23"/>
        <v>0.2688571429</v>
      </c>
      <c r="P976" s="89">
        <v>1882.0</v>
      </c>
      <c r="Q976" s="84" t="s">
        <v>39</v>
      </c>
      <c r="R976" s="84">
        <v>1531519.0</v>
      </c>
      <c r="S976" s="85" t="s">
        <v>40</v>
      </c>
      <c r="T976" s="155">
        <v>6302633.0</v>
      </c>
      <c r="U976" s="84" t="s">
        <v>1103</v>
      </c>
      <c r="V976" s="84" t="s">
        <v>1104</v>
      </c>
      <c r="W976" s="12"/>
      <c r="X976" s="84" t="s">
        <v>1105</v>
      </c>
      <c r="Y976" s="84" t="s">
        <v>1106</v>
      </c>
      <c r="Z976" s="84" t="s">
        <v>1107</v>
      </c>
      <c r="AA976" s="12"/>
      <c r="AB976" s="84">
        <v>820396.0</v>
      </c>
      <c r="AC976" s="84" t="s">
        <v>1108</v>
      </c>
      <c r="AD976" s="12"/>
      <c r="AE976" s="107" t="s">
        <v>39</v>
      </c>
      <c r="AF976" s="1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</row>
    <row r="977" ht="15.75" customHeight="1">
      <c r="A977" s="103">
        <v>1.1234559E7</v>
      </c>
      <c r="B977" s="84">
        <v>1.001832703E9</v>
      </c>
      <c r="C977" s="11" t="s">
        <v>1102</v>
      </c>
      <c r="D977" s="84">
        <v>26.0</v>
      </c>
      <c r="E977" s="93">
        <v>30.72</v>
      </c>
      <c r="F977" s="84" t="s">
        <v>31</v>
      </c>
      <c r="G977" s="85" t="s">
        <v>44</v>
      </c>
      <c r="H977" s="84" t="s">
        <v>268</v>
      </c>
      <c r="I977" s="12" t="s">
        <v>397</v>
      </c>
      <c r="J977" s="84" t="s">
        <v>35</v>
      </c>
      <c r="K977" s="84" t="s">
        <v>270</v>
      </c>
      <c r="L977" s="98" t="s">
        <v>94</v>
      </c>
      <c r="M977" s="85" t="s">
        <v>1029</v>
      </c>
      <c r="N977" s="88">
        <v>6677.0</v>
      </c>
      <c r="O977" s="73">
        <f t="shared" si="23"/>
        <v>0.6365134042</v>
      </c>
      <c r="P977" s="89">
        <v>4250.0</v>
      </c>
      <c r="Q977" s="84" t="s">
        <v>39</v>
      </c>
      <c r="R977" s="84">
        <v>1531484.0</v>
      </c>
      <c r="S977" s="85" t="s">
        <v>40</v>
      </c>
      <c r="T977" s="155">
        <v>6302523.0</v>
      </c>
      <c r="U977" s="84" t="s">
        <v>1109</v>
      </c>
      <c r="V977" s="84" t="s">
        <v>1110</v>
      </c>
      <c r="W977" s="12"/>
      <c r="X977" s="84" t="s">
        <v>127</v>
      </c>
      <c r="Y977" s="84" t="s">
        <v>1111</v>
      </c>
      <c r="Z977" s="84" t="s">
        <v>1112</v>
      </c>
      <c r="AA977" s="12"/>
      <c r="AB977" s="12"/>
      <c r="AC977" s="12"/>
      <c r="AD977" s="12"/>
      <c r="AE977" s="107" t="s">
        <v>39</v>
      </c>
      <c r="AF977" s="1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</row>
    <row r="978" ht="15.75" customHeight="1">
      <c r="A978" s="126">
        <v>1.1234664E7</v>
      </c>
      <c r="B978" s="84">
        <v>1.001832836E9</v>
      </c>
      <c r="C978" s="11" t="s">
        <v>1113</v>
      </c>
      <c r="D978" s="84">
        <v>26.0</v>
      </c>
      <c r="E978" s="93">
        <v>31.625</v>
      </c>
      <c r="F978" s="12" t="s">
        <v>31</v>
      </c>
      <c r="G978" s="29" t="s">
        <v>74</v>
      </c>
      <c r="H978" s="12" t="s">
        <v>447</v>
      </c>
      <c r="I978" s="15" t="s">
        <v>448</v>
      </c>
      <c r="J978" s="12" t="s">
        <v>35</v>
      </c>
      <c r="K978" s="12" t="s">
        <v>332</v>
      </c>
      <c r="L978" s="98" t="s">
        <v>188</v>
      </c>
      <c r="M978" s="85" t="s">
        <v>495</v>
      </c>
      <c r="N978" s="88">
        <v>2600.0</v>
      </c>
      <c r="O978" s="73">
        <f t="shared" si="23"/>
        <v>0.3461538462</v>
      </c>
      <c r="P978" s="89">
        <v>900.0</v>
      </c>
      <c r="Q978" s="84" t="s">
        <v>39</v>
      </c>
      <c r="R978" s="84">
        <v>1530195.0</v>
      </c>
      <c r="S978" s="85" t="s">
        <v>40</v>
      </c>
      <c r="T978" s="155">
        <v>6291554.0</v>
      </c>
      <c r="U978" s="84" t="s">
        <v>1114</v>
      </c>
      <c r="V978" s="84" t="s">
        <v>1115</v>
      </c>
      <c r="W978" s="12"/>
      <c r="X978" s="84" t="s">
        <v>1116</v>
      </c>
      <c r="Y978" s="84" t="s">
        <v>1116</v>
      </c>
      <c r="Z978" s="84" t="s">
        <v>1117</v>
      </c>
      <c r="AA978" s="12"/>
      <c r="AB978" s="84" t="s">
        <v>1118</v>
      </c>
      <c r="AC978" s="84" t="s">
        <v>1119</v>
      </c>
      <c r="AD978" s="12"/>
      <c r="AE978" s="107" t="s">
        <v>39</v>
      </c>
      <c r="AF978" s="1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</row>
    <row r="979" ht="15.75" customHeight="1">
      <c r="A979" s="126">
        <v>1.1234665E7</v>
      </c>
      <c r="B979" s="84">
        <v>1.00183286E9</v>
      </c>
      <c r="C979" s="11" t="s">
        <v>1113</v>
      </c>
      <c r="D979" s="84">
        <v>26.0</v>
      </c>
      <c r="E979" s="93">
        <v>31.625</v>
      </c>
      <c r="F979" s="12" t="s">
        <v>31</v>
      </c>
      <c r="G979" s="29" t="s">
        <v>74</v>
      </c>
      <c r="H979" s="12" t="s">
        <v>447</v>
      </c>
      <c r="I979" s="39" t="s">
        <v>448</v>
      </c>
      <c r="J979" s="12" t="s">
        <v>35</v>
      </c>
      <c r="K979" s="12" t="s">
        <v>332</v>
      </c>
      <c r="L979" s="95" t="s">
        <v>188</v>
      </c>
      <c r="M979" s="85" t="s">
        <v>452</v>
      </c>
      <c r="N979" s="88">
        <v>2600.0</v>
      </c>
      <c r="O979" s="73">
        <f t="shared" si="23"/>
        <v>0.3696153846</v>
      </c>
      <c r="P979" s="89">
        <v>961.0</v>
      </c>
      <c r="Q979" s="84" t="s">
        <v>39</v>
      </c>
      <c r="R979" s="84">
        <v>1530388.0</v>
      </c>
      <c r="S979" s="85" t="s">
        <v>40</v>
      </c>
      <c r="T979" s="155">
        <v>6293859.0</v>
      </c>
      <c r="U979" s="84" t="s">
        <v>1114</v>
      </c>
      <c r="V979" s="84" t="s">
        <v>1120</v>
      </c>
      <c r="W979" s="12"/>
      <c r="X979" s="84" t="s">
        <v>1116</v>
      </c>
      <c r="Y979" s="84" t="s">
        <v>1121</v>
      </c>
      <c r="Z979" s="84" t="s">
        <v>1122</v>
      </c>
      <c r="AA979" s="12"/>
      <c r="AB979" s="84" t="s">
        <v>1123</v>
      </c>
      <c r="AC979" s="84" t="s">
        <v>1124</v>
      </c>
      <c r="AD979" s="12"/>
      <c r="AE979" s="107" t="s">
        <v>39</v>
      </c>
      <c r="AF979" s="1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</row>
    <row r="980" ht="15.75" customHeight="1">
      <c r="A980" s="126">
        <v>1.1234788E7</v>
      </c>
      <c r="B980" s="84">
        <v>1.001832704E9</v>
      </c>
      <c r="C980" s="11" t="s">
        <v>1113</v>
      </c>
      <c r="D980" s="84">
        <v>32.0</v>
      </c>
      <c r="E980" s="93">
        <v>32.257</v>
      </c>
      <c r="F980" s="85" t="s">
        <v>31</v>
      </c>
      <c r="G980" s="85" t="s">
        <v>44</v>
      </c>
      <c r="H980" s="85" t="s">
        <v>268</v>
      </c>
      <c r="I980" s="25" t="s">
        <v>397</v>
      </c>
      <c r="J980" s="93" t="s">
        <v>35</v>
      </c>
      <c r="K980" s="85" t="s">
        <v>270</v>
      </c>
      <c r="L980" s="95" t="s">
        <v>94</v>
      </c>
      <c r="M980" s="85" t="s">
        <v>974</v>
      </c>
      <c r="N980" s="88">
        <v>6677.0</v>
      </c>
      <c r="O980" s="73">
        <f t="shared" si="23"/>
        <v>0.6664669762</v>
      </c>
      <c r="P980" s="89">
        <v>4450.0</v>
      </c>
      <c r="Q980" s="84" t="s">
        <v>39</v>
      </c>
      <c r="R980" s="84">
        <v>1530681.0</v>
      </c>
      <c r="S980" s="85" t="s">
        <v>40</v>
      </c>
      <c r="T980" s="155">
        <v>6296240.0</v>
      </c>
      <c r="U980" s="84" t="s">
        <v>1125</v>
      </c>
      <c r="V980" s="84" t="s">
        <v>1126</v>
      </c>
      <c r="W980" s="12"/>
      <c r="X980" s="84" t="s">
        <v>127</v>
      </c>
      <c r="Y980" s="84" t="s">
        <v>1127</v>
      </c>
      <c r="Z980" s="84" t="s">
        <v>1128</v>
      </c>
      <c r="AA980" s="12"/>
      <c r="AB980" s="12"/>
      <c r="AC980" s="12"/>
      <c r="AD980" s="12"/>
      <c r="AE980" s="107" t="s">
        <v>39</v>
      </c>
      <c r="AF980" s="1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</row>
    <row r="981" ht="15.75" customHeight="1">
      <c r="A981" s="126">
        <v>1.1234877E7</v>
      </c>
      <c r="B981" s="84">
        <v>1.001832827E9</v>
      </c>
      <c r="C981" s="11" t="s">
        <v>1129</v>
      </c>
      <c r="D981" s="84">
        <v>26.0</v>
      </c>
      <c r="E981" s="93">
        <v>33.43</v>
      </c>
      <c r="F981" s="29" t="s">
        <v>31</v>
      </c>
      <c r="G981" s="29" t="s">
        <v>74</v>
      </c>
      <c r="H981" s="29" t="s">
        <v>447</v>
      </c>
      <c r="I981" s="28" t="s">
        <v>448</v>
      </c>
      <c r="J981" s="25" t="s">
        <v>35</v>
      </c>
      <c r="K981" s="29" t="s">
        <v>332</v>
      </c>
      <c r="L981" s="95" t="s">
        <v>188</v>
      </c>
      <c r="M981" s="85" t="s">
        <v>685</v>
      </c>
      <c r="N981" s="88">
        <v>2800.0</v>
      </c>
      <c r="O981" s="73">
        <f t="shared" si="23"/>
        <v>0.1821428571</v>
      </c>
      <c r="P981" s="89">
        <v>510.0</v>
      </c>
      <c r="Q981" s="84" t="s">
        <v>39</v>
      </c>
      <c r="R981" s="84">
        <v>1530964.0</v>
      </c>
      <c r="S981" s="85" t="s">
        <v>40</v>
      </c>
      <c r="T981" s="155">
        <v>6299034.0</v>
      </c>
      <c r="U981" s="84" t="s">
        <v>1043</v>
      </c>
      <c r="V981" s="84" t="s">
        <v>1130</v>
      </c>
      <c r="W981" s="12"/>
      <c r="X981" s="84" t="s">
        <v>1131</v>
      </c>
      <c r="Y981" s="84" t="s">
        <v>1131</v>
      </c>
      <c r="Z981" s="84" t="s">
        <v>1132</v>
      </c>
      <c r="AA981" s="12"/>
      <c r="AB981" s="84" t="s">
        <v>1133</v>
      </c>
      <c r="AC981" s="84" t="s">
        <v>1134</v>
      </c>
      <c r="AD981" s="12"/>
      <c r="AE981" s="107" t="s">
        <v>39</v>
      </c>
      <c r="AF981" s="1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</row>
    <row r="982" ht="15.75" customHeight="1">
      <c r="A982" s="126">
        <v>1.1234898E7</v>
      </c>
      <c r="B982" s="84">
        <v>1.001832854E9</v>
      </c>
      <c r="C982" s="11" t="s">
        <v>1129</v>
      </c>
      <c r="D982" s="84">
        <v>26.0</v>
      </c>
      <c r="E982" s="93">
        <v>33.43</v>
      </c>
      <c r="F982" s="12" t="s">
        <v>31</v>
      </c>
      <c r="G982" s="29" t="s">
        <v>74</v>
      </c>
      <c r="H982" s="12" t="s">
        <v>447</v>
      </c>
      <c r="I982" s="39" t="s">
        <v>448</v>
      </c>
      <c r="J982" s="12" t="s">
        <v>35</v>
      </c>
      <c r="K982" s="12" t="s">
        <v>332</v>
      </c>
      <c r="L982" s="95" t="s">
        <v>188</v>
      </c>
      <c r="M982" s="85" t="s">
        <v>1135</v>
      </c>
      <c r="N982" s="88">
        <v>2800.0</v>
      </c>
      <c r="O982" s="73">
        <f t="shared" si="23"/>
        <v>0.1967857143</v>
      </c>
      <c r="P982" s="89">
        <v>551.0</v>
      </c>
      <c r="Q982" s="84" t="s">
        <v>39</v>
      </c>
      <c r="R982" s="84">
        <v>1530958.0</v>
      </c>
      <c r="S982" s="85" t="s">
        <v>40</v>
      </c>
      <c r="T982" s="155">
        <v>6298984.0</v>
      </c>
      <c r="U982" s="84" t="s">
        <v>1136</v>
      </c>
      <c r="V982" s="84" t="s">
        <v>1137</v>
      </c>
      <c r="W982" s="12"/>
      <c r="X982" s="84" t="s">
        <v>1131</v>
      </c>
      <c r="Y982" s="84" t="s">
        <v>1131</v>
      </c>
      <c r="Z982" s="84" t="s">
        <v>1138</v>
      </c>
      <c r="AA982" s="12"/>
      <c r="AB982" s="84" t="s">
        <v>1139</v>
      </c>
      <c r="AC982" s="84" t="s">
        <v>1140</v>
      </c>
      <c r="AD982" s="12"/>
      <c r="AE982" s="107" t="s">
        <v>39</v>
      </c>
      <c r="AF982" s="1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</row>
    <row r="983" ht="15.75" customHeight="1">
      <c r="A983" s="126">
        <v>1.1234918E7</v>
      </c>
      <c r="B983" s="84">
        <v>1.001832308E9</v>
      </c>
      <c r="C983" s="11" t="s">
        <v>1113</v>
      </c>
      <c r="D983" s="84">
        <v>26.0</v>
      </c>
      <c r="E983" s="93">
        <v>32.553</v>
      </c>
      <c r="F983" s="9" t="s">
        <v>43</v>
      </c>
      <c r="G983" s="29" t="s">
        <v>32</v>
      </c>
      <c r="H983" s="12" t="s">
        <v>111</v>
      </c>
      <c r="I983" s="29" t="s">
        <v>112</v>
      </c>
      <c r="J983" s="12" t="s">
        <v>35</v>
      </c>
      <c r="K983" s="12" t="s">
        <v>113</v>
      </c>
      <c r="L983" s="25" t="s">
        <v>114</v>
      </c>
      <c r="M983" s="85" t="s">
        <v>704</v>
      </c>
      <c r="N983" s="88">
        <v>5613.0</v>
      </c>
      <c r="O983" s="73">
        <f t="shared" si="23"/>
        <v>0.5530019597</v>
      </c>
      <c r="P983" s="89">
        <v>3104.0</v>
      </c>
      <c r="Q983" s="84" t="s">
        <v>39</v>
      </c>
      <c r="R983" s="84">
        <v>1530229.0</v>
      </c>
      <c r="S983" s="85" t="s">
        <v>40</v>
      </c>
      <c r="T983" s="155">
        <v>6291877.0</v>
      </c>
      <c r="U983" s="84" t="s">
        <v>1141</v>
      </c>
      <c r="V983" s="84" t="s">
        <v>1142</v>
      </c>
      <c r="W983" s="12"/>
      <c r="X983" s="84" t="s">
        <v>127</v>
      </c>
      <c r="Y983" s="84" t="s">
        <v>1143</v>
      </c>
      <c r="Z983" s="84" t="s">
        <v>1144</v>
      </c>
      <c r="AA983" s="12"/>
      <c r="AB983" s="84">
        <v>818209.0</v>
      </c>
      <c r="AC983" s="84" t="s">
        <v>1145</v>
      </c>
      <c r="AD983" s="12"/>
      <c r="AE983" s="107" t="s">
        <v>39</v>
      </c>
      <c r="AF983" s="1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</row>
    <row r="984" ht="15.75" customHeight="1">
      <c r="A984" s="126">
        <v>1.1234919E7</v>
      </c>
      <c r="B984" s="84">
        <v>1.001832282E9</v>
      </c>
      <c r="C984" s="11" t="s">
        <v>1113</v>
      </c>
      <c r="D984" s="84">
        <v>14.0</v>
      </c>
      <c r="E984" s="93">
        <v>15.911</v>
      </c>
      <c r="F984" s="9" t="s">
        <v>43</v>
      </c>
      <c r="G984" s="29" t="s">
        <v>32</v>
      </c>
      <c r="H984" s="12" t="s">
        <v>1146</v>
      </c>
      <c r="I984" s="29" t="s">
        <v>112</v>
      </c>
      <c r="J984" s="12" t="s">
        <v>113</v>
      </c>
      <c r="K984" s="12" t="s">
        <v>35</v>
      </c>
      <c r="L984" s="25" t="s">
        <v>43</v>
      </c>
      <c r="M984" s="85" t="s">
        <v>711</v>
      </c>
      <c r="N984" s="88">
        <v>3742.0</v>
      </c>
      <c r="O984" s="73">
        <f t="shared" si="23"/>
        <v>0.6680919294</v>
      </c>
      <c r="P984" s="89">
        <v>2500.0</v>
      </c>
      <c r="Q984" s="12"/>
      <c r="R984" s="84">
        <v>1531387.0</v>
      </c>
      <c r="S984" s="85" t="s">
        <v>40</v>
      </c>
      <c r="T984" s="155">
        <v>6302115.0</v>
      </c>
      <c r="U984" s="84" t="s">
        <v>1143</v>
      </c>
      <c r="V984" s="84" t="s">
        <v>1144</v>
      </c>
      <c r="W984" s="12"/>
      <c r="X984" s="84" t="s">
        <v>127</v>
      </c>
      <c r="Y984" s="84" t="s">
        <v>1147</v>
      </c>
      <c r="Z984" s="84" t="s">
        <v>1148</v>
      </c>
      <c r="AA984" s="12"/>
      <c r="AB984" s="12"/>
      <c r="AC984" s="12"/>
      <c r="AD984" s="12"/>
      <c r="AE984" s="12"/>
      <c r="AF984" s="1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</row>
    <row r="985" ht="15.75" customHeight="1">
      <c r="A985" s="126">
        <v>1.1238602E7</v>
      </c>
      <c r="B985" s="84">
        <v>1.001836205E9</v>
      </c>
      <c r="C985" s="11" t="s">
        <v>1129</v>
      </c>
      <c r="D985" s="84">
        <v>26.0</v>
      </c>
      <c r="E985" s="93">
        <v>31.625</v>
      </c>
      <c r="F985" s="29" t="s">
        <v>31</v>
      </c>
      <c r="G985" s="85" t="s">
        <v>74</v>
      </c>
      <c r="H985" s="84" t="s">
        <v>526</v>
      </c>
      <c r="I985" s="85" t="s">
        <v>527</v>
      </c>
      <c r="J985" s="12" t="s">
        <v>35</v>
      </c>
      <c r="K985" s="12" t="s">
        <v>528</v>
      </c>
      <c r="L985" s="95" t="s">
        <v>114</v>
      </c>
      <c r="M985" s="85" t="s">
        <v>1149</v>
      </c>
      <c r="N985" s="88">
        <v>5625.0</v>
      </c>
      <c r="O985" s="73">
        <f t="shared" si="23"/>
        <v>0.7022222222</v>
      </c>
      <c r="P985" s="89">
        <v>3950.0</v>
      </c>
      <c r="Q985" s="84" t="s">
        <v>39</v>
      </c>
      <c r="R985" s="85">
        <v>1530900.0</v>
      </c>
      <c r="S985" s="85" t="s">
        <v>40</v>
      </c>
      <c r="T985" s="155">
        <v>6209855.0</v>
      </c>
      <c r="U985" s="84" t="s">
        <v>1150</v>
      </c>
      <c r="V985" s="84" t="s">
        <v>1151</v>
      </c>
      <c r="W985" s="12"/>
      <c r="X985" s="84" t="s">
        <v>1152</v>
      </c>
      <c r="Y985" s="84" t="s">
        <v>1081</v>
      </c>
      <c r="Z985" s="84" t="s">
        <v>1153</v>
      </c>
      <c r="AA985" s="12"/>
      <c r="AB985" s="84">
        <v>821440.0</v>
      </c>
      <c r="AC985" s="84" t="s">
        <v>1154</v>
      </c>
      <c r="AD985" s="12"/>
      <c r="AE985" s="107" t="s">
        <v>39</v>
      </c>
      <c r="AF985" s="1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</row>
    <row r="986" ht="15.75" customHeight="1">
      <c r="A986" s="103">
        <v>1.123867E7</v>
      </c>
      <c r="B986" s="84">
        <v>1.001834718E9</v>
      </c>
      <c r="C986" s="11" t="s">
        <v>1155</v>
      </c>
      <c r="D986" s="84">
        <v>26.0</v>
      </c>
      <c r="E986" s="93">
        <v>31.625</v>
      </c>
      <c r="F986" s="29" t="s">
        <v>31</v>
      </c>
      <c r="G986" s="85" t="s">
        <v>32</v>
      </c>
      <c r="H986" s="12" t="s">
        <v>265</v>
      </c>
      <c r="I986" s="39" t="s">
        <v>266</v>
      </c>
      <c r="J986" s="25" t="s">
        <v>35</v>
      </c>
      <c r="K986" s="25" t="s">
        <v>267</v>
      </c>
      <c r="L986" s="28" t="s">
        <v>114</v>
      </c>
      <c r="M986" s="88" t="s">
        <v>659</v>
      </c>
      <c r="N986" s="133">
        <v>6200.0</v>
      </c>
      <c r="O986" s="73">
        <f t="shared" si="23"/>
        <v>0.3153225806</v>
      </c>
      <c r="P986" s="89">
        <v>1955.0</v>
      </c>
      <c r="Q986" s="84" t="s">
        <v>39</v>
      </c>
      <c r="R986" s="150">
        <v>1533131.0</v>
      </c>
      <c r="S986" s="85" t="s">
        <v>40</v>
      </c>
      <c r="T986" s="90">
        <v>6311303.0</v>
      </c>
      <c r="U986" s="84" t="s">
        <v>1156</v>
      </c>
      <c r="V986" s="84" t="s">
        <v>1157</v>
      </c>
      <c r="W986" s="12"/>
      <c r="X986" s="84" t="s">
        <v>127</v>
      </c>
      <c r="Y986" s="84" t="s">
        <v>1158</v>
      </c>
      <c r="Z986" s="112">
        <v>45660.51736111111</v>
      </c>
      <c r="AA986" s="12"/>
      <c r="AB986" s="84">
        <v>823693.0</v>
      </c>
      <c r="AC986" s="84" t="s">
        <v>684</v>
      </c>
      <c r="AD986" s="12"/>
      <c r="AE986" s="107" t="s">
        <v>39</v>
      </c>
      <c r="AF986" s="1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</row>
    <row r="987" ht="15.75" customHeight="1">
      <c r="A987" s="103">
        <v>1.1241E7</v>
      </c>
      <c r="B987" s="84">
        <v>1.001837357E9</v>
      </c>
      <c r="C987" s="11" t="s">
        <v>1155</v>
      </c>
      <c r="D987" s="84">
        <v>28.0</v>
      </c>
      <c r="E987" s="93">
        <v>34.058</v>
      </c>
      <c r="F987" s="12" t="s">
        <v>31</v>
      </c>
      <c r="G987" s="85" t="s">
        <v>32</v>
      </c>
      <c r="H987" s="12" t="s">
        <v>124</v>
      </c>
      <c r="I987" s="25" t="s">
        <v>125</v>
      </c>
      <c r="J987" s="25" t="s">
        <v>35</v>
      </c>
      <c r="K987" s="15" t="s">
        <v>126</v>
      </c>
      <c r="L987" s="28" t="s">
        <v>114</v>
      </c>
      <c r="M987" s="88" t="s">
        <v>982</v>
      </c>
      <c r="N987" s="88">
        <v>6161.0</v>
      </c>
      <c r="O987" s="73">
        <f t="shared" si="23"/>
        <v>0.6411296867</v>
      </c>
      <c r="P987" s="89">
        <v>3950.0</v>
      </c>
      <c r="Q987" s="84" t="s">
        <v>39</v>
      </c>
      <c r="R987" s="85">
        <v>1533473.0</v>
      </c>
      <c r="S987" s="85" t="s">
        <v>40</v>
      </c>
      <c r="T987" s="90">
        <v>6312581.0</v>
      </c>
      <c r="U987" s="84" t="s">
        <v>1159</v>
      </c>
      <c r="V987" s="84" t="s">
        <v>1160</v>
      </c>
      <c r="W987" s="12"/>
      <c r="X987" s="84" t="s">
        <v>127</v>
      </c>
      <c r="Y987" s="84" t="s">
        <v>1161</v>
      </c>
      <c r="Z987" s="84" t="s">
        <v>1162</v>
      </c>
      <c r="AA987" s="12"/>
      <c r="AB987" s="12"/>
      <c r="AC987" s="12"/>
      <c r="AD987" s="12"/>
      <c r="AE987" s="12"/>
      <c r="AF987" s="1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</row>
    <row r="988" ht="15.75" customHeight="1">
      <c r="A988" s="103">
        <v>1.1241001E7</v>
      </c>
      <c r="B988" s="84">
        <v>1.001837372E9</v>
      </c>
      <c r="C988" s="11" t="s">
        <v>1163</v>
      </c>
      <c r="D988" s="84">
        <v>28.0</v>
      </c>
      <c r="E988" s="93">
        <v>34.058</v>
      </c>
      <c r="F988" s="12" t="s">
        <v>31</v>
      </c>
      <c r="G988" s="85" t="s">
        <v>32</v>
      </c>
      <c r="H988" s="12" t="s">
        <v>124</v>
      </c>
      <c r="I988" s="25" t="s">
        <v>125</v>
      </c>
      <c r="J988" s="25" t="s">
        <v>35</v>
      </c>
      <c r="K988" s="15" t="s">
        <v>126</v>
      </c>
      <c r="L988" s="28" t="s">
        <v>114</v>
      </c>
      <c r="M988" s="88" t="s">
        <v>989</v>
      </c>
      <c r="N988" s="88">
        <v>6161.0</v>
      </c>
      <c r="O988" s="73">
        <f t="shared" si="23"/>
        <v>0.6411296867</v>
      </c>
      <c r="P988" s="89">
        <v>3950.0</v>
      </c>
      <c r="Q988" s="84" t="s">
        <v>39</v>
      </c>
      <c r="R988" s="85">
        <v>1534404.0</v>
      </c>
      <c r="S988" s="85" t="s">
        <v>40</v>
      </c>
      <c r="T988" s="90">
        <v>6319681.0</v>
      </c>
      <c r="U988" s="84" t="s">
        <v>1164</v>
      </c>
      <c r="V988" s="84" t="s">
        <v>1107</v>
      </c>
      <c r="W988" s="12"/>
      <c r="X988" s="84" t="s">
        <v>127</v>
      </c>
      <c r="Y988" s="84" t="s">
        <v>1165</v>
      </c>
      <c r="Z988" s="84" t="s">
        <v>1166</v>
      </c>
      <c r="AA988" s="12"/>
      <c r="AB988" s="12"/>
      <c r="AC988" s="12"/>
      <c r="AD988" s="12"/>
      <c r="AE988" s="107" t="s">
        <v>39</v>
      </c>
      <c r="AF988" s="1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</row>
    <row r="989" ht="15.0" customHeight="1">
      <c r="A989" s="103">
        <v>1.1241002E7</v>
      </c>
      <c r="B989" s="84">
        <v>1.001837341E9</v>
      </c>
      <c r="C989" s="11" t="s">
        <v>1163</v>
      </c>
      <c r="D989" s="84">
        <v>26.0</v>
      </c>
      <c r="E989" s="93">
        <v>33.43</v>
      </c>
      <c r="F989" s="12" t="s">
        <v>31</v>
      </c>
      <c r="G989" s="85" t="s">
        <v>32</v>
      </c>
      <c r="H989" s="12" t="s">
        <v>265</v>
      </c>
      <c r="I989" s="39" t="s">
        <v>266</v>
      </c>
      <c r="J989" s="12" t="s">
        <v>35</v>
      </c>
      <c r="K989" s="12" t="s">
        <v>267</v>
      </c>
      <c r="L989" s="28" t="s">
        <v>114</v>
      </c>
      <c r="M989" s="88" t="s">
        <v>1095</v>
      </c>
      <c r="N989" s="88">
        <v>6677.0</v>
      </c>
      <c r="O989" s="73">
        <f t="shared" si="23"/>
        <v>0.6664669762</v>
      </c>
      <c r="P989" s="89">
        <v>4450.0</v>
      </c>
      <c r="Q989" s="84" t="s">
        <v>39</v>
      </c>
      <c r="R989" s="117">
        <v>1534157.0</v>
      </c>
      <c r="S989" s="85" t="s">
        <v>40</v>
      </c>
      <c r="T989" s="90">
        <v>6317677.0</v>
      </c>
      <c r="U989" s="84" t="s">
        <v>1167</v>
      </c>
      <c r="V989" s="84" t="s">
        <v>1168</v>
      </c>
      <c r="W989" s="12"/>
      <c r="X989" s="84" t="s">
        <v>127</v>
      </c>
      <c r="Y989" s="84" t="s">
        <v>1169</v>
      </c>
      <c r="Z989" s="112">
        <v>45660.600694444445</v>
      </c>
      <c r="AA989" s="12"/>
      <c r="AB989" s="84" t="s">
        <v>1170</v>
      </c>
      <c r="AC989" s="84" t="s">
        <v>1171</v>
      </c>
      <c r="AD989" s="12"/>
      <c r="AE989" s="107" t="s">
        <v>39</v>
      </c>
      <c r="AF989" s="1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</row>
    <row r="990" ht="15.75" customHeight="1">
      <c r="A990" s="103">
        <v>1.1241667E7</v>
      </c>
      <c r="B990" s="84">
        <v>1.001837384E9</v>
      </c>
      <c r="C990" s="11" t="s">
        <v>1163</v>
      </c>
      <c r="D990" s="84">
        <v>26.0</v>
      </c>
      <c r="E990" s="93">
        <v>33.43</v>
      </c>
      <c r="F990" s="12" t="s">
        <v>31</v>
      </c>
      <c r="G990" s="85" t="s">
        <v>32</v>
      </c>
      <c r="H990" s="12" t="s">
        <v>265</v>
      </c>
      <c r="I990" s="28" t="s">
        <v>266</v>
      </c>
      <c r="J990" s="25" t="s">
        <v>35</v>
      </c>
      <c r="K990" s="12" t="s">
        <v>267</v>
      </c>
      <c r="L990" s="28" t="s">
        <v>114</v>
      </c>
      <c r="M990" s="88" t="s">
        <v>1172</v>
      </c>
      <c r="N990" s="88">
        <v>6677.0</v>
      </c>
      <c r="O990" s="73">
        <f t="shared" si="23"/>
        <v>0.2927961659</v>
      </c>
      <c r="P990" s="89">
        <v>1955.0</v>
      </c>
      <c r="Q990" s="84" t="s">
        <v>39</v>
      </c>
      <c r="R990" s="85">
        <v>1534138.0</v>
      </c>
      <c r="S990" s="85" t="s">
        <v>40</v>
      </c>
      <c r="T990" s="90">
        <v>6317443.0</v>
      </c>
      <c r="U990" s="84" t="s">
        <v>1173</v>
      </c>
      <c r="V990" s="84" t="s">
        <v>1069</v>
      </c>
      <c r="W990" s="12"/>
      <c r="X990" s="84" t="s">
        <v>127</v>
      </c>
      <c r="Y990" s="84" t="s">
        <v>1174</v>
      </c>
      <c r="Z990" s="112">
        <v>45660.625</v>
      </c>
      <c r="AA990" s="12"/>
      <c r="AB990" s="84">
        <v>824105.0</v>
      </c>
      <c r="AC990" s="84" t="s">
        <v>684</v>
      </c>
      <c r="AD990" s="12"/>
      <c r="AE990" s="107" t="s">
        <v>39</v>
      </c>
      <c r="AF990" s="1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</row>
    <row r="991" ht="15.75" customHeight="1">
      <c r="A991" s="103">
        <v>1.1250302E7</v>
      </c>
      <c r="B991" s="84">
        <v>1.001847768E9</v>
      </c>
      <c r="C991" s="11" t="s">
        <v>1175</v>
      </c>
      <c r="D991" s="84">
        <v>26.0</v>
      </c>
      <c r="E991" s="93">
        <v>28.714</v>
      </c>
      <c r="F991" s="9" t="s">
        <v>43</v>
      </c>
      <c r="G991" s="29" t="s">
        <v>32</v>
      </c>
      <c r="H991" s="12" t="s">
        <v>265</v>
      </c>
      <c r="I991" s="39" t="s">
        <v>266</v>
      </c>
      <c r="J991" s="12" t="s">
        <v>35</v>
      </c>
      <c r="K991" s="12" t="s">
        <v>267</v>
      </c>
      <c r="L991" s="95" t="s">
        <v>43</v>
      </c>
      <c r="M991" s="85" t="s">
        <v>1135</v>
      </c>
      <c r="N991" s="88">
        <v>5460.0</v>
      </c>
      <c r="O991" s="73">
        <f t="shared" si="23"/>
        <v>0.3580586081</v>
      </c>
      <c r="P991" s="89">
        <v>1955.0</v>
      </c>
      <c r="Q991" s="84" t="s">
        <v>39</v>
      </c>
      <c r="R991" s="152">
        <v>1535312.0</v>
      </c>
      <c r="S991" s="85" t="s">
        <v>40</v>
      </c>
      <c r="T991" s="90">
        <v>6323116.0</v>
      </c>
      <c r="U991" s="84" t="s">
        <v>1176</v>
      </c>
      <c r="V991" s="84" t="s">
        <v>1177</v>
      </c>
      <c r="W991" s="12"/>
      <c r="X991" s="84" t="s">
        <v>127</v>
      </c>
      <c r="Y991" s="112">
        <v>45660.79722222222</v>
      </c>
      <c r="Z991" s="112">
        <v>45719.475694444445</v>
      </c>
      <c r="AA991" s="12"/>
      <c r="AB991" s="84">
        <v>824753.0</v>
      </c>
      <c r="AC991" s="84" t="s">
        <v>684</v>
      </c>
      <c r="AD991" s="9"/>
      <c r="AE991" s="107" t="s">
        <v>39</v>
      </c>
      <c r="AF991" s="1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</row>
    <row r="992" ht="15.75" customHeight="1">
      <c r="A992" s="103">
        <v>1.1250303E7</v>
      </c>
      <c r="B992" s="84">
        <v>1.001847766E9</v>
      </c>
      <c r="C992" s="11" t="s">
        <v>1175</v>
      </c>
      <c r="D992" s="84">
        <v>1.0</v>
      </c>
      <c r="E992" s="93">
        <v>444.0</v>
      </c>
      <c r="F992" s="9" t="s">
        <v>43</v>
      </c>
      <c r="G992" s="29" t="s">
        <v>32</v>
      </c>
      <c r="H992" s="84" t="s">
        <v>1178</v>
      </c>
      <c r="I992" s="39" t="s">
        <v>266</v>
      </c>
      <c r="J992" s="12" t="s">
        <v>267</v>
      </c>
      <c r="K992" s="12" t="s">
        <v>35</v>
      </c>
      <c r="L992" s="95" t="s">
        <v>43</v>
      </c>
      <c r="M992" s="88" t="s">
        <v>1179</v>
      </c>
      <c r="N992" s="88">
        <v>2800.0</v>
      </c>
      <c r="O992" s="73">
        <f t="shared" si="23"/>
        <v>0.7096428571</v>
      </c>
      <c r="P992" s="89">
        <v>1987.0</v>
      </c>
      <c r="Q992" s="12"/>
      <c r="R992" s="85">
        <v>1539200.0</v>
      </c>
      <c r="S992" s="85" t="s">
        <v>40</v>
      </c>
      <c r="T992" s="90">
        <v>6336373.0</v>
      </c>
      <c r="U992" s="112">
        <v>45719.368055555555</v>
      </c>
      <c r="V992" s="112">
        <v>45719.475694444445</v>
      </c>
      <c r="W992" s="12"/>
      <c r="X992" s="84" t="s">
        <v>127</v>
      </c>
      <c r="Y992" s="112">
        <v>45841.875</v>
      </c>
      <c r="Z992" s="112">
        <v>45964.208333333336</v>
      </c>
      <c r="AA992" s="12"/>
      <c r="AB992" s="84">
        <v>829736.0</v>
      </c>
      <c r="AC992" s="84" t="s">
        <v>684</v>
      </c>
      <c r="AD992" s="12"/>
      <c r="AE992" s="12"/>
      <c r="AF992" s="1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</row>
    <row r="993" ht="15.75" customHeight="1">
      <c r="A993" s="103">
        <v>1.1251331E7</v>
      </c>
      <c r="B993" s="84">
        <v>1.001850098E9</v>
      </c>
      <c r="C993" s="11" t="s">
        <v>1175</v>
      </c>
      <c r="D993" s="84">
        <v>26.0</v>
      </c>
      <c r="E993" s="93">
        <v>30.737</v>
      </c>
      <c r="F993" s="103" t="s">
        <v>43</v>
      </c>
      <c r="G993" s="85" t="s">
        <v>32</v>
      </c>
      <c r="H993" s="84" t="s">
        <v>992</v>
      </c>
      <c r="I993" s="85" t="s">
        <v>993</v>
      </c>
      <c r="J993" s="84" t="s">
        <v>925</v>
      </c>
      <c r="K993" s="84" t="s">
        <v>994</v>
      </c>
      <c r="L993" s="95" t="s">
        <v>59</v>
      </c>
      <c r="M993" s="85" t="s">
        <v>995</v>
      </c>
      <c r="N993" s="88">
        <v>5281.0</v>
      </c>
      <c r="O993" s="73">
        <f t="shared" si="23"/>
        <v>0.681689074</v>
      </c>
      <c r="P993" s="89">
        <v>3600.0</v>
      </c>
      <c r="Q993" s="84" t="s">
        <v>39</v>
      </c>
      <c r="R993" s="85">
        <v>1535719.0</v>
      </c>
      <c r="S993" s="85" t="s">
        <v>40</v>
      </c>
      <c r="T993" s="90">
        <v>6326325.0</v>
      </c>
      <c r="U993" s="84" t="s">
        <v>1180</v>
      </c>
      <c r="V993" s="84" t="s">
        <v>1181</v>
      </c>
      <c r="W993" s="12"/>
      <c r="X993" s="84" t="s">
        <v>127</v>
      </c>
      <c r="Y993" s="112">
        <v>45780.302083333336</v>
      </c>
      <c r="Z993" s="112">
        <v>45780.475694444445</v>
      </c>
      <c r="AA993" s="12"/>
      <c r="AB993" s="84"/>
      <c r="AC993" s="154"/>
      <c r="AD993" s="12"/>
      <c r="AE993" s="107" t="s">
        <v>39</v>
      </c>
      <c r="AF993" s="1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</row>
    <row r="994" ht="15.75" customHeight="1">
      <c r="A994" s="103">
        <v>1.1251333E7</v>
      </c>
      <c r="B994" s="84">
        <v>1.001850192E9</v>
      </c>
      <c r="C994" s="11" t="s">
        <v>1175</v>
      </c>
      <c r="D994" s="84">
        <v>8.0</v>
      </c>
      <c r="E994" s="93">
        <v>7.222</v>
      </c>
      <c r="F994" s="152" t="s">
        <v>43</v>
      </c>
      <c r="G994" s="85" t="s">
        <v>32</v>
      </c>
      <c r="H994" s="84" t="s">
        <v>1182</v>
      </c>
      <c r="I994" s="85" t="s">
        <v>993</v>
      </c>
      <c r="J994" s="84" t="s">
        <v>994</v>
      </c>
      <c r="K994" s="84" t="s">
        <v>925</v>
      </c>
      <c r="L994" s="95" t="s">
        <v>78</v>
      </c>
      <c r="M994" s="85" t="s">
        <v>998</v>
      </c>
      <c r="N994" s="88">
        <v>3520.0</v>
      </c>
      <c r="O994" s="73">
        <f t="shared" si="23"/>
        <v>0.6818181818</v>
      </c>
      <c r="P994" s="89">
        <v>2400.0</v>
      </c>
      <c r="Q994" s="12"/>
      <c r="R994" s="85">
        <v>1540436.0</v>
      </c>
      <c r="S994" s="85" t="s">
        <v>40</v>
      </c>
      <c r="T994" s="155">
        <v>6343392.0</v>
      </c>
      <c r="U994" s="112">
        <v>45780.302083333336</v>
      </c>
      <c r="V994" s="112">
        <v>45780.475694444445</v>
      </c>
      <c r="W994" s="12"/>
      <c r="X994" s="84" t="s">
        <v>127</v>
      </c>
      <c r="Y994" s="112">
        <v>45780.9375</v>
      </c>
      <c r="Z994" s="84" t="s">
        <v>1183</v>
      </c>
      <c r="AA994" s="12"/>
      <c r="AB994" s="84">
        <v>828065.0</v>
      </c>
      <c r="AC994" s="84" t="s">
        <v>1184</v>
      </c>
      <c r="AD994" s="12"/>
      <c r="AE994" s="12"/>
      <c r="AF994" s="1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</row>
    <row r="995" ht="15.75" customHeight="1">
      <c r="A995" s="103">
        <v>1.1255724E7</v>
      </c>
      <c r="B995" s="84">
        <v>1.001854993E9</v>
      </c>
      <c r="C995" s="11" t="s">
        <v>1175</v>
      </c>
      <c r="D995" s="84">
        <v>24.0</v>
      </c>
      <c r="E995" s="93">
        <v>29.359</v>
      </c>
      <c r="F995" s="29" t="s">
        <v>31</v>
      </c>
      <c r="G995" s="85" t="s">
        <v>74</v>
      </c>
      <c r="H995" s="84" t="s">
        <v>1185</v>
      </c>
      <c r="I995" s="85" t="s">
        <v>1186</v>
      </c>
      <c r="J995" s="25" t="s">
        <v>35</v>
      </c>
      <c r="K995" s="159" t="s">
        <v>332</v>
      </c>
      <c r="L995" s="95" t="s">
        <v>108</v>
      </c>
      <c r="M995" s="85" t="s">
        <v>1187</v>
      </c>
      <c r="N995" s="133">
        <v>2600.0</v>
      </c>
      <c r="O995" s="73">
        <f t="shared" si="23"/>
        <v>0.6538461538</v>
      </c>
      <c r="P995" s="89">
        <v>1700.0</v>
      </c>
      <c r="Q995" s="84" t="s">
        <v>39</v>
      </c>
      <c r="R995" s="84">
        <v>1535729.0</v>
      </c>
      <c r="S995" s="85" t="s">
        <v>40</v>
      </c>
      <c r="T995" s="90">
        <v>6326399.0</v>
      </c>
      <c r="U995" s="84" t="s">
        <v>1188</v>
      </c>
      <c r="V995" s="84" t="s">
        <v>1189</v>
      </c>
      <c r="W995" s="12"/>
      <c r="X995" s="84" t="s">
        <v>1190</v>
      </c>
      <c r="Y995" s="84" t="s">
        <v>1191</v>
      </c>
      <c r="Z995" s="84" t="s">
        <v>1192</v>
      </c>
      <c r="AA995" s="12"/>
      <c r="AB995" s="84">
        <v>823685.0</v>
      </c>
      <c r="AC995" s="84" t="s">
        <v>1193</v>
      </c>
      <c r="AD995" s="12"/>
      <c r="AE995" s="107" t="s">
        <v>39</v>
      </c>
      <c r="AF995" s="1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</row>
    <row r="996" ht="14.25" customHeight="1">
      <c r="A996" s="126">
        <v>1.1256395E7</v>
      </c>
      <c r="B996" s="84">
        <v>1.001855133E9</v>
      </c>
      <c r="C996" s="11" t="s">
        <v>1163</v>
      </c>
      <c r="D996" s="84">
        <v>1.0</v>
      </c>
      <c r="E996" s="93">
        <v>479.0</v>
      </c>
      <c r="F996" s="12" t="s">
        <v>31</v>
      </c>
      <c r="G996" s="29" t="s">
        <v>74</v>
      </c>
      <c r="H996" s="84" t="s">
        <v>1194</v>
      </c>
      <c r="I996" s="39" t="s">
        <v>448</v>
      </c>
      <c r="J996" s="84" t="s">
        <v>332</v>
      </c>
      <c r="K996" s="84" t="s">
        <v>35</v>
      </c>
      <c r="L996" s="95" t="s">
        <v>188</v>
      </c>
      <c r="M996" s="85" t="s">
        <v>240</v>
      </c>
      <c r="N996" s="88">
        <v>1560.0</v>
      </c>
      <c r="O996" s="73">
        <f t="shared" si="23"/>
        <v>0.7692307692</v>
      </c>
      <c r="P996" s="89">
        <v>1200.0</v>
      </c>
      <c r="Q996" s="84"/>
      <c r="R996" s="85"/>
      <c r="S996" s="85" t="s">
        <v>40</v>
      </c>
      <c r="T996" s="155"/>
      <c r="U996" s="84" t="s">
        <v>1121</v>
      </c>
      <c r="V996" s="84" t="s">
        <v>1122</v>
      </c>
      <c r="W996" s="12"/>
      <c r="X996" s="112">
        <v>45660.416666666664</v>
      </c>
      <c r="Y996" s="112">
        <v>45660.333333333336</v>
      </c>
      <c r="Z996" s="112">
        <v>45780.520833333336</v>
      </c>
      <c r="AA996" s="12"/>
      <c r="AB996" s="84">
        <v>825446.0</v>
      </c>
      <c r="AC996" s="84" t="s">
        <v>1195</v>
      </c>
      <c r="AD996" s="12"/>
      <c r="AE996" s="12"/>
      <c r="AF996" s="1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</row>
    <row r="997" ht="15.75" customHeight="1">
      <c r="A997" s="103">
        <v>1.1258782E7</v>
      </c>
      <c r="B997" s="84">
        <v>1.001859193E9</v>
      </c>
      <c r="C997" s="11">
        <v>45660.0</v>
      </c>
      <c r="D997" s="84">
        <v>26.0</v>
      </c>
      <c r="E997" s="93">
        <v>33.43</v>
      </c>
      <c r="F997" s="12" t="s">
        <v>31</v>
      </c>
      <c r="G997" s="85" t="s">
        <v>74</v>
      </c>
      <c r="H997" s="84" t="s">
        <v>1196</v>
      </c>
      <c r="I997" s="85" t="s">
        <v>1197</v>
      </c>
      <c r="J997" s="125" t="s">
        <v>35</v>
      </c>
      <c r="K997" s="125" t="s">
        <v>320</v>
      </c>
      <c r="L997" s="95" t="s">
        <v>94</v>
      </c>
      <c r="M997" s="85" t="s">
        <v>1149</v>
      </c>
      <c r="N997" s="88">
        <v>7216.0</v>
      </c>
      <c r="O997" s="73">
        <f t="shared" si="23"/>
        <v>0.7229767184</v>
      </c>
      <c r="P997" s="89">
        <v>5217.0</v>
      </c>
      <c r="Q997" s="84" t="s">
        <v>39</v>
      </c>
      <c r="R997" s="85">
        <v>1537224.0</v>
      </c>
      <c r="S997" s="85" t="s">
        <v>40</v>
      </c>
      <c r="T997" s="90">
        <v>6333047.0</v>
      </c>
      <c r="U997" s="151">
        <v>45660.291666666664</v>
      </c>
      <c r="V997" s="112">
        <v>45660.51736111111</v>
      </c>
      <c r="W997" s="12"/>
      <c r="X997" s="112">
        <v>45719.291666666664</v>
      </c>
      <c r="Y997" s="112">
        <v>45903.666666666664</v>
      </c>
      <c r="Z997" s="112">
        <v>45964.666666666664</v>
      </c>
      <c r="AA997" s="12"/>
      <c r="AB997" s="84" t="s">
        <v>1198</v>
      </c>
      <c r="AC997" s="84" t="s">
        <v>1199</v>
      </c>
      <c r="AD997" s="12"/>
      <c r="AE997" s="107" t="s">
        <v>39</v>
      </c>
      <c r="AF997" s="1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</row>
    <row r="998" ht="15.75" customHeight="1">
      <c r="A998" s="103">
        <v>1.126243E7</v>
      </c>
      <c r="B998" s="84">
        <v>1.001863891E9</v>
      </c>
      <c r="C998" s="11">
        <v>45660.0</v>
      </c>
      <c r="D998" s="84">
        <v>26.0</v>
      </c>
      <c r="E998" s="93">
        <v>31.625</v>
      </c>
      <c r="F998" s="12" t="s">
        <v>31</v>
      </c>
      <c r="G998" s="85" t="s">
        <v>44</v>
      </c>
      <c r="H998" s="84" t="s">
        <v>268</v>
      </c>
      <c r="I998" s="29" t="s">
        <v>397</v>
      </c>
      <c r="J998" s="84" t="s">
        <v>35</v>
      </c>
      <c r="K998" s="84" t="s">
        <v>270</v>
      </c>
      <c r="L998" s="95" t="s">
        <v>94</v>
      </c>
      <c r="M998" s="85" t="s">
        <v>1200</v>
      </c>
      <c r="N998" s="88">
        <v>6200.0</v>
      </c>
      <c r="O998" s="73">
        <f t="shared" si="23"/>
        <v>0.3103225806</v>
      </c>
      <c r="P998" s="89">
        <v>1924.0</v>
      </c>
      <c r="Q998" s="84" t="s">
        <v>39</v>
      </c>
      <c r="R998" s="85">
        <v>1537266.0</v>
      </c>
      <c r="S998" s="85" t="s">
        <v>40</v>
      </c>
      <c r="T998" s="90">
        <v>6333334.0</v>
      </c>
      <c r="U998" s="112">
        <v>45660.319444444445</v>
      </c>
      <c r="V998" s="112">
        <v>45660.479166666664</v>
      </c>
      <c r="W998" s="12"/>
      <c r="X998" s="84" t="s">
        <v>127</v>
      </c>
      <c r="Y998" s="112">
        <v>45719.43402777778</v>
      </c>
      <c r="Z998" s="112">
        <v>45719.725694444445</v>
      </c>
      <c r="AA998" s="12"/>
      <c r="AB998" s="84">
        <v>825641.0</v>
      </c>
      <c r="AC998" s="84" t="s">
        <v>684</v>
      </c>
      <c r="AD998" s="12"/>
      <c r="AE998" s="107" t="s">
        <v>39</v>
      </c>
      <c r="AF998" s="1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</row>
    <row r="999" ht="15.75" customHeight="1">
      <c r="A999" s="103">
        <v>1.1262431E7</v>
      </c>
      <c r="B999" s="84">
        <v>1.001863887E9</v>
      </c>
      <c r="C999" s="11">
        <v>45719.0</v>
      </c>
      <c r="D999" s="84">
        <v>26.0</v>
      </c>
      <c r="E999" s="93">
        <v>31.625</v>
      </c>
      <c r="F999" s="12" t="s">
        <v>31</v>
      </c>
      <c r="G999" s="85" t="s">
        <v>44</v>
      </c>
      <c r="H999" s="84" t="s">
        <v>268</v>
      </c>
      <c r="I999" s="29" t="s">
        <v>397</v>
      </c>
      <c r="J999" s="84" t="s">
        <v>35</v>
      </c>
      <c r="K999" s="84" t="s">
        <v>270</v>
      </c>
      <c r="L999" s="95" t="s">
        <v>94</v>
      </c>
      <c r="M999" s="85" t="s">
        <v>913</v>
      </c>
      <c r="N999" s="88">
        <v>6200.0</v>
      </c>
      <c r="O999" s="73">
        <f t="shared" si="23"/>
        <v>0.7806451613</v>
      </c>
      <c r="P999" s="89">
        <v>4840.0</v>
      </c>
      <c r="Q999" s="84" t="s">
        <v>39</v>
      </c>
      <c r="R999" s="84">
        <v>1539265.0</v>
      </c>
      <c r="S999" s="85" t="s">
        <v>40</v>
      </c>
      <c r="T999" s="90">
        <v>6336766.0</v>
      </c>
      <c r="U999" s="112">
        <v>45719.42361111111</v>
      </c>
      <c r="V999" s="112">
        <v>414613.7604166667</v>
      </c>
      <c r="W999" s="12"/>
      <c r="X999" s="84" t="s">
        <v>127</v>
      </c>
      <c r="Y999" s="112">
        <v>45780.493055555555</v>
      </c>
      <c r="Z999" s="112">
        <v>45780.614583333336</v>
      </c>
      <c r="AA999" s="12"/>
      <c r="AB999" s="12"/>
      <c r="AC999" s="12"/>
      <c r="AD999" s="12"/>
      <c r="AE999" s="107" t="s">
        <v>39</v>
      </c>
      <c r="AF999" s="1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</row>
    <row r="1000" ht="15.75" customHeight="1">
      <c r="A1000" s="103">
        <v>1.1262622E7</v>
      </c>
      <c r="B1000" s="84">
        <v>1.00186393E9</v>
      </c>
      <c r="C1000" s="11">
        <v>45719.0</v>
      </c>
      <c r="D1000" s="84">
        <v>26.0</v>
      </c>
      <c r="E1000" s="93">
        <v>31.625</v>
      </c>
      <c r="F1000" s="29" t="s">
        <v>31</v>
      </c>
      <c r="G1000" s="85" t="s">
        <v>44</v>
      </c>
      <c r="H1000" s="84" t="s">
        <v>268</v>
      </c>
      <c r="I1000" s="29" t="s">
        <v>397</v>
      </c>
      <c r="J1000" s="84" t="s">
        <v>35</v>
      </c>
      <c r="K1000" s="84" t="s">
        <v>270</v>
      </c>
      <c r="L1000" s="95" t="s">
        <v>94</v>
      </c>
      <c r="M1000" s="85" t="s">
        <v>1004</v>
      </c>
      <c r="N1000" s="88">
        <v>6200.0</v>
      </c>
      <c r="O1000" s="73">
        <f t="shared" si="23"/>
        <v>0.685483871</v>
      </c>
      <c r="P1000" s="89">
        <v>4250.0</v>
      </c>
      <c r="Q1000" s="84" t="s">
        <v>39</v>
      </c>
      <c r="R1000" s="85">
        <v>1539432.0</v>
      </c>
      <c r="S1000" s="85" t="s">
        <v>40</v>
      </c>
      <c r="T1000" s="90">
        <v>6337911.0</v>
      </c>
      <c r="U1000" s="112">
        <v>45719.618055555555</v>
      </c>
      <c r="V1000" s="112">
        <v>45719.805555555555</v>
      </c>
      <c r="W1000" s="12"/>
      <c r="X1000" s="84" t="s">
        <v>127</v>
      </c>
      <c r="Y1000" s="112">
        <v>45780.333333333336</v>
      </c>
      <c r="Z1000" s="112">
        <v>45780.475694444445</v>
      </c>
      <c r="AA1000" s="12"/>
      <c r="AB1000" s="12"/>
      <c r="AC1000" s="12"/>
      <c r="AD1000" s="12"/>
      <c r="AE1000" s="107" t="s">
        <v>39</v>
      </c>
      <c r="AF1000" s="1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</row>
    <row r="1001" ht="15.75" customHeight="1">
      <c r="A1001" s="103">
        <v>1.126493E7</v>
      </c>
      <c r="B1001" s="84">
        <v>1.001867012E9</v>
      </c>
      <c r="C1001" s="11">
        <v>45780.0</v>
      </c>
      <c r="D1001" s="84">
        <v>26.0</v>
      </c>
      <c r="E1001" s="93">
        <v>31.625</v>
      </c>
      <c r="F1001" s="29" t="s">
        <v>31</v>
      </c>
      <c r="G1001" s="85" t="s">
        <v>74</v>
      </c>
      <c r="H1001" s="12" t="s">
        <v>304</v>
      </c>
      <c r="I1001" s="85" t="s">
        <v>305</v>
      </c>
      <c r="J1001" s="25" t="s">
        <v>35</v>
      </c>
      <c r="K1001" s="25" t="s">
        <v>306</v>
      </c>
      <c r="L1001" s="28" t="s">
        <v>94</v>
      </c>
      <c r="M1001" s="85" t="s">
        <v>704</v>
      </c>
      <c r="N1001" s="133">
        <v>6500.0</v>
      </c>
      <c r="O1001" s="73">
        <f t="shared" si="23"/>
        <v>0.7692307692</v>
      </c>
      <c r="P1001" s="89">
        <v>5000.0</v>
      </c>
      <c r="Q1001" s="84" t="s">
        <v>39</v>
      </c>
      <c r="R1001" s="84">
        <v>1540379.0</v>
      </c>
      <c r="S1001" s="85" t="s">
        <v>40</v>
      </c>
      <c r="T1001" s="90">
        <v>6342629.0</v>
      </c>
      <c r="U1001" s="112">
        <v>45780.37847222222</v>
      </c>
      <c r="V1001" s="112">
        <v>45780.583333333336</v>
      </c>
      <c r="W1001" s="12"/>
      <c r="X1001" s="112">
        <v>45841.375</v>
      </c>
      <c r="Y1001" s="112">
        <v>45841.333333333336</v>
      </c>
      <c r="Z1001" s="112">
        <v>45872.708333333336</v>
      </c>
      <c r="AA1001" s="12"/>
      <c r="AB1001" s="84">
        <v>829290.0</v>
      </c>
      <c r="AC1001" s="84" t="s">
        <v>684</v>
      </c>
      <c r="AD1001" s="12"/>
      <c r="AE1001" s="107" t="s">
        <v>39</v>
      </c>
      <c r="AF1001" s="1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</row>
    <row r="1002" ht="15.75" customHeight="1">
      <c r="A1002" s="103">
        <v>1.126507E7</v>
      </c>
      <c r="B1002" s="84">
        <v>1.001867E9</v>
      </c>
      <c r="C1002" s="11">
        <v>45780.0</v>
      </c>
      <c r="D1002" s="84">
        <v>26.0</v>
      </c>
      <c r="E1002" s="93">
        <v>31.625</v>
      </c>
      <c r="F1002" s="12" t="s">
        <v>31</v>
      </c>
      <c r="G1002" s="85" t="s">
        <v>74</v>
      </c>
      <c r="H1002" s="12" t="s">
        <v>304</v>
      </c>
      <c r="I1002" s="85" t="s">
        <v>305</v>
      </c>
      <c r="J1002" s="12" t="s">
        <v>35</v>
      </c>
      <c r="K1002" s="12" t="s">
        <v>306</v>
      </c>
      <c r="L1002" s="28" t="s">
        <v>94</v>
      </c>
      <c r="M1002" s="85" t="s">
        <v>1017</v>
      </c>
      <c r="N1002" s="88">
        <v>6500.0</v>
      </c>
      <c r="O1002" s="73">
        <f t="shared" si="23"/>
        <v>0.7384615385</v>
      </c>
      <c r="P1002" s="89">
        <v>4800.0</v>
      </c>
      <c r="Q1002" s="84" t="s">
        <v>39</v>
      </c>
      <c r="R1002" s="150">
        <v>1540397.0</v>
      </c>
      <c r="S1002" s="85" t="s">
        <v>40</v>
      </c>
      <c r="T1002" s="90">
        <v>6342811.0</v>
      </c>
      <c r="U1002" s="112">
        <v>45780.46666666667</v>
      </c>
      <c r="V1002" s="112">
        <v>45780.65972222222</v>
      </c>
      <c r="W1002" s="12"/>
      <c r="X1002" s="112">
        <v>45872.458333333336</v>
      </c>
      <c r="Y1002" s="112">
        <v>45872.458333333336</v>
      </c>
      <c r="Z1002" s="112">
        <v>45903.291666666664</v>
      </c>
      <c r="AA1002" s="12"/>
      <c r="AB1002" s="84" t="s">
        <v>1201</v>
      </c>
      <c r="AC1002" s="84" t="s">
        <v>1202</v>
      </c>
      <c r="AD1002" s="12"/>
      <c r="AE1002" s="107" t="s">
        <v>39</v>
      </c>
      <c r="AF1002" s="1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</row>
    <row r="1003" ht="15.75" customHeight="1">
      <c r="A1003" s="103">
        <v>1.1265874E7</v>
      </c>
      <c r="B1003" s="84">
        <v>1.001867459E9</v>
      </c>
      <c r="C1003" s="11">
        <v>45780.0</v>
      </c>
      <c r="D1003" s="84">
        <v>26.0</v>
      </c>
      <c r="E1003" s="93">
        <v>33.43</v>
      </c>
      <c r="F1003" s="12" t="s">
        <v>31</v>
      </c>
      <c r="G1003" s="85" t="s">
        <v>44</v>
      </c>
      <c r="H1003" s="84" t="s">
        <v>268</v>
      </c>
      <c r="I1003" s="29" t="s">
        <v>397</v>
      </c>
      <c r="J1003" s="84" t="s">
        <v>35</v>
      </c>
      <c r="K1003" s="84" t="s">
        <v>270</v>
      </c>
      <c r="L1003" s="95" t="s">
        <v>94</v>
      </c>
      <c r="M1003" s="85" t="s">
        <v>982</v>
      </c>
      <c r="N1003" s="88">
        <v>6677.0</v>
      </c>
      <c r="O1003" s="73">
        <f t="shared" si="23"/>
        <v>0.7188857271</v>
      </c>
      <c r="P1003" s="89">
        <v>4800.0</v>
      </c>
      <c r="Q1003" s="84" t="s">
        <v>39</v>
      </c>
      <c r="R1003" s="84">
        <v>1540446.0</v>
      </c>
      <c r="S1003" s="85" t="s">
        <v>40</v>
      </c>
      <c r="T1003" s="90">
        <v>6343587.0</v>
      </c>
      <c r="U1003" s="112">
        <v>45780.54513888889</v>
      </c>
      <c r="V1003" s="112">
        <v>45780.73263888889</v>
      </c>
      <c r="W1003" s="12"/>
      <c r="X1003" s="84" t="s">
        <v>127</v>
      </c>
      <c r="Y1003" s="112">
        <v>45811.916666666664</v>
      </c>
      <c r="Z1003" s="112">
        <v>45841.208333333336</v>
      </c>
      <c r="AA1003" s="12"/>
      <c r="AB1003" s="12"/>
      <c r="AC1003" s="12"/>
      <c r="AD1003" s="12"/>
      <c r="AE1003" s="107" t="s">
        <v>39</v>
      </c>
      <c r="AF1003" s="1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</row>
    <row r="1004" ht="15.75" customHeight="1">
      <c r="A1004" s="103">
        <v>1.1265875E7</v>
      </c>
      <c r="B1004" s="84">
        <v>1.001867477E9</v>
      </c>
      <c r="C1004" s="11">
        <v>45811.0</v>
      </c>
      <c r="D1004" s="84">
        <v>26.0</v>
      </c>
      <c r="E1004" s="93">
        <v>31.922</v>
      </c>
      <c r="F1004" s="29" t="s">
        <v>31</v>
      </c>
      <c r="G1004" s="85" t="s">
        <v>44</v>
      </c>
      <c r="H1004" s="84" t="s">
        <v>268</v>
      </c>
      <c r="I1004" s="29" t="s">
        <v>397</v>
      </c>
      <c r="J1004" s="84" t="s">
        <v>35</v>
      </c>
      <c r="K1004" s="84" t="s">
        <v>270</v>
      </c>
      <c r="L1004" s="95" t="s">
        <v>94</v>
      </c>
      <c r="M1004" s="85" t="s">
        <v>441</v>
      </c>
      <c r="N1004" s="88">
        <v>6677.0</v>
      </c>
      <c r="O1004" s="73">
        <f t="shared" si="23"/>
        <v>0.6664669762</v>
      </c>
      <c r="P1004" s="89">
        <v>4450.0</v>
      </c>
      <c r="Q1004" s="84" t="s">
        <v>39</v>
      </c>
      <c r="R1004" s="84">
        <v>1541327.0</v>
      </c>
      <c r="S1004" s="85" t="s">
        <v>40</v>
      </c>
      <c r="T1004" s="90">
        <v>6348002.0</v>
      </c>
      <c r="U1004" s="112">
        <v>45811.416666666664</v>
      </c>
      <c r="V1004" s="112">
        <v>45811.555555555555</v>
      </c>
      <c r="W1004" s="12"/>
      <c r="X1004" s="84" t="s">
        <v>127</v>
      </c>
      <c r="Y1004" s="112">
        <v>45964.9375</v>
      </c>
      <c r="Z1004" s="112">
        <v>45994.48611111111</v>
      </c>
      <c r="AA1004" s="12"/>
      <c r="AB1004" s="84">
        <v>830538.0</v>
      </c>
      <c r="AC1004" s="84" t="s">
        <v>1203</v>
      </c>
      <c r="AD1004" s="12"/>
      <c r="AE1004" s="107" t="s">
        <v>39</v>
      </c>
      <c r="AF1004" s="1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</row>
    <row r="1005" ht="15.75" customHeight="1">
      <c r="A1005" s="103">
        <v>1.1265876E7</v>
      </c>
      <c r="B1005" s="84">
        <v>1.001867334E9</v>
      </c>
      <c r="C1005" s="11">
        <v>45811.0</v>
      </c>
      <c r="D1005" s="84">
        <v>26.0</v>
      </c>
      <c r="E1005" s="93">
        <v>33.43</v>
      </c>
      <c r="F1005" s="29" t="s">
        <v>31</v>
      </c>
      <c r="G1005" s="85" t="s">
        <v>44</v>
      </c>
      <c r="H1005" s="84" t="s">
        <v>268</v>
      </c>
      <c r="I1005" s="29" t="s">
        <v>397</v>
      </c>
      <c r="J1005" s="93" t="s">
        <v>35</v>
      </c>
      <c r="K1005" s="93" t="s">
        <v>270</v>
      </c>
      <c r="L1005" s="95" t="s">
        <v>94</v>
      </c>
      <c r="M1005" s="85" t="s">
        <v>1204</v>
      </c>
      <c r="N1005" s="133">
        <v>6200.0</v>
      </c>
      <c r="O1005" s="73">
        <f t="shared" si="23"/>
        <v>0.8064516129</v>
      </c>
      <c r="P1005" s="89">
        <v>5000.0</v>
      </c>
      <c r="Q1005" s="84" t="s">
        <v>39</v>
      </c>
      <c r="R1005" s="84">
        <v>1541616.0</v>
      </c>
      <c r="S1005" s="85" t="s">
        <v>40</v>
      </c>
      <c r="T1005" s="90">
        <v>6350232.0</v>
      </c>
      <c r="U1005" s="112">
        <v>45811.65277777778</v>
      </c>
      <c r="V1005" s="112">
        <v>45811.875</v>
      </c>
      <c r="W1005" s="12"/>
      <c r="X1005" s="84" t="s">
        <v>127</v>
      </c>
      <c r="Y1005" s="112">
        <v>45841.78472222222</v>
      </c>
      <c r="Z1005" s="112">
        <v>45933.438888888886</v>
      </c>
      <c r="AA1005" s="12"/>
      <c r="AB1005" s="12"/>
      <c r="AC1005" s="12"/>
      <c r="AD1005" s="12"/>
      <c r="AE1005" s="107" t="s">
        <v>39</v>
      </c>
      <c r="AF1005" s="1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</row>
    <row r="1006" ht="15.75" customHeight="1">
      <c r="A1006" s="103">
        <v>1.1270902E7</v>
      </c>
      <c r="B1006" s="84">
        <v>1.001867019E9</v>
      </c>
      <c r="C1006" s="11">
        <v>45780.0</v>
      </c>
      <c r="D1006" s="84">
        <v>22.0</v>
      </c>
      <c r="E1006" s="93">
        <v>26.759</v>
      </c>
      <c r="F1006" s="29" t="s">
        <v>31</v>
      </c>
      <c r="G1006" s="85" t="s">
        <v>74</v>
      </c>
      <c r="H1006" s="12" t="s">
        <v>426</v>
      </c>
      <c r="I1006" s="29" t="s">
        <v>427</v>
      </c>
      <c r="J1006" s="12" t="s">
        <v>35</v>
      </c>
      <c r="K1006" s="12" t="s">
        <v>428</v>
      </c>
      <c r="L1006" s="28" t="s">
        <v>188</v>
      </c>
      <c r="M1006" s="85" t="s">
        <v>240</v>
      </c>
      <c r="N1006" s="88">
        <v>2900.0</v>
      </c>
      <c r="O1006" s="73">
        <f t="shared" si="23"/>
        <v>0.6975862069</v>
      </c>
      <c r="P1006" s="89">
        <v>2023.0</v>
      </c>
      <c r="Q1006" s="84" t="s">
        <v>39</v>
      </c>
      <c r="R1006" s="84">
        <v>1540587.0</v>
      </c>
      <c r="S1006" s="85" t="s">
        <v>40</v>
      </c>
      <c r="T1006" s="90">
        <v>6344688.0</v>
      </c>
      <c r="U1006" s="112">
        <v>45780.618055555555</v>
      </c>
      <c r="V1006" s="112">
        <v>45780.839583333334</v>
      </c>
      <c r="W1006" s="12"/>
      <c r="X1006" s="112">
        <v>45841.291666666664</v>
      </c>
      <c r="Y1006" s="112">
        <v>45841.291666666664</v>
      </c>
      <c r="Z1006" s="112">
        <v>45841.604166666664</v>
      </c>
      <c r="AA1006" s="12"/>
      <c r="AB1006" s="84" t="s">
        <v>1205</v>
      </c>
      <c r="AC1006" s="84" t="s">
        <v>1206</v>
      </c>
      <c r="AD1006" s="12"/>
      <c r="AE1006" s="12"/>
      <c r="AF1006" s="1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</row>
    <row r="1007" ht="15.75" customHeight="1">
      <c r="A1007" s="103">
        <v>1.127297E7</v>
      </c>
      <c r="B1007" s="84">
        <v>1.001876358E9</v>
      </c>
      <c r="C1007" s="11">
        <v>45841.0</v>
      </c>
      <c r="D1007" s="84">
        <v>24.0</v>
      </c>
      <c r="E1007" s="93">
        <v>29.364</v>
      </c>
      <c r="F1007" s="29" t="s">
        <v>31</v>
      </c>
      <c r="G1007" s="85" t="s">
        <v>74</v>
      </c>
      <c r="H1007" s="12" t="s">
        <v>304</v>
      </c>
      <c r="I1007" s="85" t="s">
        <v>305</v>
      </c>
      <c r="J1007" s="12" t="s">
        <v>35</v>
      </c>
      <c r="K1007" s="12" t="s">
        <v>306</v>
      </c>
      <c r="L1007" s="28" t="s">
        <v>94</v>
      </c>
      <c r="M1007" s="85" t="s">
        <v>913</v>
      </c>
      <c r="N1007" s="88">
        <v>6500.0</v>
      </c>
      <c r="O1007" s="73">
        <f t="shared" si="23"/>
        <v>0.7769230769</v>
      </c>
      <c r="P1007" s="89">
        <v>5050.0</v>
      </c>
      <c r="Q1007" s="84" t="s">
        <v>39</v>
      </c>
      <c r="R1007" s="84">
        <v>1542561.0</v>
      </c>
      <c r="S1007" s="85" t="s">
        <v>40</v>
      </c>
      <c r="T1007" s="90">
        <v>6355322.0</v>
      </c>
      <c r="U1007" s="112">
        <v>45841.509722222225</v>
      </c>
      <c r="V1007" s="112">
        <v>45841.711805555555</v>
      </c>
      <c r="W1007" s="12"/>
      <c r="X1007" s="112">
        <v>45933.5</v>
      </c>
      <c r="Y1007" s="112">
        <v>45933.5</v>
      </c>
      <c r="Z1007" s="112">
        <v>45933.67013888889</v>
      </c>
      <c r="AA1007" s="12"/>
      <c r="AB1007" s="12"/>
      <c r="AC1007" s="12"/>
      <c r="AD1007" s="12"/>
      <c r="AE1007" s="107" t="s">
        <v>39</v>
      </c>
      <c r="AF1007" s="1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</row>
    <row r="1008" ht="15.75" customHeight="1">
      <c r="A1008" s="103">
        <v>1.1273311E7</v>
      </c>
      <c r="B1008" s="84">
        <v>1.001876798E9</v>
      </c>
      <c r="C1008" s="11">
        <v>45872.0</v>
      </c>
      <c r="D1008" s="84">
        <v>26.0</v>
      </c>
      <c r="E1008" s="93">
        <v>32.553</v>
      </c>
      <c r="F1008" s="152" t="s">
        <v>43</v>
      </c>
      <c r="G1008" s="85" t="s">
        <v>44</v>
      </c>
      <c r="H1008" s="84" t="s">
        <v>268</v>
      </c>
      <c r="I1008" s="29" t="s">
        <v>397</v>
      </c>
      <c r="J1008" s="84" t="s">
        <v>35</v>
      </c>
      <c r="K1008" s="84" t="s">
        <v>270</v>
      </c>
      <c r="L1008" s="95" t="s">
        <v>94</v>
      </c>
      <c r="M1008" s="85" t="s">
        <v>1187</v>
      </c>
      <c r="N1008" s="88">
        <v>5880.0</v>
      </c>
      <c r="O1008" s="73">
        <f t="shared" si="23"/>
        <v>0.7704081633</v>
      </c>
      <c r="P1008" s="89">
        <v>4530.0</v>
      </c>
      <c r="Q1008" s="84" t="s">
        <v>39</v>
      </c>
      <c r="R1008" s="84">
        <v>1543036.0</v>
      </c>
      <c r="S1008" s="85" t="s">
        <v>40</v>
      </c>
      <c r="T1008" s="90">
        <v>6359509.0</v>
      </c>
      <c r="U1008" s="112">
        <v>45872.36736111111</v>
      </c>
      <c r="V1008" s="112">
        <v>45872.47708333333</v>
      </c>
      <c r="W1008" s="12"/>
      <c r="X1008" s="84" t="s">
        <v>127</v>
      </c>
      <c r="Y1008" s="112">
        <v>45933.62847222222</v>
      </c>
      <c r="Z1008" s="112">
        <v>45933.947916666664</v>
      </c>
      <c r="AA1008" s="12"/>
      <c r="AB1008" s="84">
        <v>830807.0</v>
      </c>
      <c r="AC1008" s="84" t="s">
        <v>684</v>
      </c>
      <c r="AD1008" s="12"/>
      <c r="AE1008" s="107" t="s">
        <v>39</v>
      </c>
      <c r="AF1008" s="1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</row>
    <row r="1009" ht="15.75" customHeight="1">
      <c r="A1009" s="103">
        <v>1.1273314E7</v>
      </c>
      <c r="B1009" s="153">
        <v>1.001876969E9</v>
      </c>
      <c r="C1009" s="11">
        <v>45872.0</v>
      </c>
      <c r="D1009" s="84">
        <v>14.0</v>
      </c>
      <c r="E1009" s="93">
        <v>15.911</v>
      </c>
      <c r="F1009" s="152" t="s">
        <v>43</v>
      </c>
      <c r="G1009" s="85" t="s">
        <v>44</v>
      </c>
      <c r="H1009" s="12" t="s">
        <v>1207</v>
      </c>
      <c r="I1009" s="29" t="s">
        <v>269</v>
      </c>
      <c r="J1009" s="12" t="s">
        <v>270</v>
      </c>
      <c r="K1009" s="12" t="s">
        <v>35</v>
      </c>
      <c r="L1009" s="28" t="s">
        <v>188</v>
      </c>
      <c r="M1009" s="85" t="s">
        <v>1208</v>
      </c>
      <c r="N1009" s="88">
        <v>3920.0</v>
      </c>
      <c r="O1009" s="73">
        <f t="shared" si="23"/>
        <v>0.8163265306</v>
      </c>
      <c r="P1009" s="89">
        <v>3200.0</v>
      </c>
      <c r="Q1009" s="84" t="s">
        <v>39</v>
      </c>
      <c r="R1009" s="84">
        <v>1544248.0</v>
      </c>
      <c r="S1009" s="85" t="s">
        <v>40</v>
      </c>
      <c r="T1009" s="90">
        <v>6366753.0</v>
      </c>
      <c r="U1009" s="112">
        <v>45933.62847222222</v>
      </c>
      <c r="V1009" s="112">
        <v>45933.947916666664</v>
      </c>
      <c r="W1009" s="12"/>
      <c r="X1009" s="84" t="s">
        <v>127</v>
      </c>
      <c r="Y1009" s="112">
        <v>45994.836805555555</v>
      </c>
      <c r="Z1009" s="84" t="s">
        <v>1209</v>
      </c>
      <c r="AA1009" s="12"/>
      <c r="AB1009" s="84">
        <v>832540.0</v>
      </c>
      <c r="AC1009" s="84" t="s">
        <v>943</v>
      </c>
      <c r="AD1009" s="12"/>
      <c r="AE1009" s="12"/>
      <c r="AF1009" s="1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</row>
    <row r="1010" ht="15.75" customHeight="1">
      <c r="A1010" s="103">
        <v>1.1274232E7</v>
      </c>
      <c r="B1010" s="84">
        <v>1.001877638E9</v>
      </c>
      <c r="C1010" s="11">
        <v>45841.0</v>
      </c>
      <c r="D1010" s="84">
        <v>26.0</v>
      </c>
      <c r="E1010" s="93">
        <v>31.625</v>
      </c>
      <c r="F1010" s="12" t="s">
        <v>31</v>
      </c>
      <c r="G1010" s="85" t="s">
        <v>32</v>
      </c>
      <c r="H1010" s="12" t="s">
        <v>265</v>
      </c>
      <c r="I1010" s="39" t="s">
        <v>266</v>
      </c>
      <c r="J1010" s="12" t="s">
        <v>35</v>
      </c>
      <c r="K1010" s="12" t="s">
        <v>267</v>
      </c>
      <c r="L1010" s="28" t="s">
        <v>114</v>
      </c>
      <c r="M1010" s="85" t="s">
        <v>1200</v>
      </c>
      <c r="N1010" s="88">
        <v>6200.0</v>
      </c>
      <c r="O1010" s="73">
        <f>IFERROR(#REF!/N1010,0)</f>
        <v>0</v>
      </c>
      <c r="P1010" s="89">
        <v>1955.0</v>
      </c>
      <c r="Q1010" s="84" t="s">
        <v>39</v>
      </c>
      <c r="R1010" s="84">
        <v>1542627.0</v>
      </c>
      <c r="S1010" s="85" t="s">
        <v>40</v>
      </c>
      <c r="T1010" s="90">
        <v>6355957.0</v>
      </c>
      <c r="U1010" s="112">
        <v>45841.708333333336</v>
      </c>
      <c r="V1010" s="112">
        <v>45841.836805555555</v>
      </c>
      <c r="W1010" s="12"/>
      <c r="X1010" s="84" t="s">
        <v>127</v>
      </c>
      <c r="Y1010" s="112">
        <v>45933.40972222222</v>
      </c>
      <c r="Z1010" s="112">
        <v>45933.580555555556</v>
      </c>
      <c r="AA1010" s="12"/>
      <c r="AB1010" s="12"/>
      <c r="AC1010" s="12"/>
      <c r="AD1010" s="12"/>
      <c r="AE1010" s="107" t="s">
        <v>39</v>
      </c>
      <c r="AF1010" s="1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</row>
    <row r="1011" ht="15.75" customHeight="1">
      <c r="A1011" s="103">
        <v>1.1277335E7</v>
      </c>
      <c r="B1011" s="84">
        <v>1.001881885E9</v>
      </c>
      <c r="C1011" s="11">
        <v>45841.0</v>
      </c>
      <c r="D1011" s="84">
        <v>26.0</v>
      </c>
      <c r="E1011" s="93">
        <v>31.625</v>
      </c>
      <c r="F1011" s="12" t="s">
        <v>31</v>
      </c>
      <c r="G1011" s="85" t="s">
        <v>74</v>
      </c>
      <c r="H1011" s="12" t="s">
        <v>447</v>
      </c>
      <c r="I1011" s="39" t="s">
        <v>448</v>
      </c>
      <c r="J1011" s="12" t="s">
        <v>35</v>
      </c>
      <c r="K1011" s="12" t="s">
        <v>332</v>
      </c>
      <c r="L1011" s="95" t="s">
        <v>188</v>
      </c>
      <c r="M1011" s="85" t="s">
        <v>1095</v>
      </c>
      <c r="N1011" s="88">
        <v>2600.0</v>
      </c>
      <c r="O1011" s="73">
        <f t="shared" ref="O1011:O1133" si="24">IFERROR(P1011/N1011,0)</f>
        <v>0.8238461538</v>
      </c>
      <c r="P1011" s="89">
        <v>2142.0</v>
      </c>
      <c r="Q1011" s="84" t="s">
        <v>39</v>
      </c>
      <c r="R1011" s="84">
        <v>1542489.0</v>
      </c>
      <c r="S1011" s="85" t="s">
        <v>40</v>
      </c>
      <c r="T1011" s="90">
        <v>6354745.0</v>
      </c>
      <c r="U1011" s="112">
        <v>45841.46527777778</v>
      </c>
      <c r="V1011" s="112">
        <v>45841.62847222222</v>
      </c>
      <c r="W1011" s="12"/>
      <c r="X1011" s="112">
        <v>45933.291666666664</v>
      </c>
      <c r="Y1011" s="112">
        <v>45933.479166666664</v>
      </c>
      <c r="Z1011" s="112">
        <v>45964.475694444445</v>
      </c>
      <c r="AA1011" s="12"/>
      <c r="AB1011" s="84" t="s">
        <v>1210</v>
      </c>
      <c r="AC1011" s="84" t="s">
        <v>1211</v>
      </c>
      <c r="AD1011" s="12"/>
      <c r="AE1011" s="107" t="s">
        <v>39</v>
      </c>
      <c r="AF1011" s="1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</row>
    <row r="1012" ht="15.75" customHeight="1">
      <c r="A1012" s="103">
        <v>1.1277476E7</v>
      </c>
      <c r="B1012" s="84">
        <v>1.001882085E9</v>
      </c>
      <c r="C1012" s="11">
        <v>45964.0</v>
      </c>
      <c r="D1012" s="84">
        <v>26.0</v>
      </c>
      <c r="E1012" s="93">
        <v>31.625</v>
      </c>
      <c r="F1012" s="12" t="s">
        <v>31</v>
      </c>
      <c r="G1012" s="85" t="s">
        <v>44</v>
      </c>
      <c r="H1012" s="84" t="s">
        <v>268</v>
      </c>
      <c r="I1012" s="29" t="s">
        <v>397</v>
      </c>
      <c r="J1012" s="84" t="s">
        <v>35</v>
      </c>
      <c r="K1012" s="84" t="s">
        <v>270</v>
      </c>
      <c r="L1012" s="95" t="s">
        <v>94</v>
      </c>
      <c r="M1012" s="85" t="s">
        <v>494</v>
      </c>
      <c r="N1012" s="88">
        <v>6200.0</v>
      </c>
      <c r="O1012" s="73">
        <f t="shared" si="24"/>
        <v>0.3103225806</v>
      </c>
      <c r="P1012" s="89">
        <v>1924.0</v>
      </c>
      <c r="Q1012" s="84" t="s">
        <v>39</v>
      </c>
      <c r="R1012" s="150">
        <v>1544699.0</v>
      </c>
      <c r="S1012" s="85" t="s">
        <v>40</v>
      </c>
      <c r="T1012" s="90">
        <v>6370371.0</v>
      </c>
      <c r="U1012" s="160">
        <v>45964.57638888889</v>
      </c>
      <c r="V1012" s="160">
        <v>45964.739583333336</v>
      </c>
      <c r="W1012" s="154"/>
      <c r="X1012" s="84" t="s">
        <v>127</v>
      </c>
      <c r="Y1012" s="150" t="s">
        <v>1212</v>
      </c>
      <c r="Z1012" s="150" t="s">
        <v>1213</v>
      </c>
      <c r="AA1012" s="154"/>
      <c r="AB1012" s="150">
        <v>833219.0</v>
      </c>
      <c r="AC1012" s="84" t="s">
        <v>684</v>
      </c>
      <c r="AD1012" s="154"/>
      <c r="AE1012" s="107" t="s">
        <v>39</v>
      </c>
      <c r="AF1012" s="154"/>
      <c r="AG1012" s="22"/>
      <c r="AH1012" s="22"/>
      <c r="AI1012" s="22"/>
      <c r="AJ1012" s="22"/>
      <c r="AK1012" s="156"/>
      <c r="AL1012" s="156"/>
      <c r="AM1012" s="156"/>
      <c r="AN1012" s="156"/>
      <c r="AO1012" s="156"/>
      <c r="AP1012" s="156"/>
    </row>
    <row r="1013" ht="15.75" customHeight="1">
      <c r="A1013" s="103">
        <v>1.1277477E7</v>
      </c>
      <c r="B1013" s="84">
        <v>1.001882053E9</v>
      </c>
      <c r="C1013" s="11">
        <v>45994.0</v>
      </c>
      <c r="D1013" s="84">
        <v>26.0</v>
      </c>
      <c r="E1013" s="93">
        <v>31.625</v>
      </c>
      <c r="F1013" s="29" t="s">
        <v>31</v>
      </c>
      <c r="G1013" s="85" t="s">
        <v>44</v>
      </c>
      <c r="H1013" s="84" t="s">
        <v>268</v>
      </c>
      <c r="I1013" s="29" t="s">
        <v>397</v>
      </c>
      <c r="J1013" s="84" t="s">
        <v>35</v>
      </c>
      <c r="K1013" s="84" t="s">
        <v>270</v>
      </c>
      <c r="L1013" s="95" t="s">
        <v>94</v>
      </c>
      <c r="M1013" s="85" t="s">
        <v>1135</v>
      </c>
      <c r="N1013" s="88">
        <v>6200.0</v>
      </c>
      <c r="O1013" s="73">
        <f t="shared" si="24"/>
        <v>0.3103225806</v>
      </c>
      <c r="P1013" s="89">
        <v>1924.0</v>
      </c>
      <c r="Q1013" s="150" t="s">
        <v>39</v>
      </c>
      <c r="R1013" s="161">
        <v>1545210.0</v>
      </c>
      <c r="S1013" s="85" t="s">
        <v>40</v>
      </c>
      <c r="T1013" s="155">
        <v>6374745.0</v>
      </c>
      <c r="U1013" s="160">
        <v>45994.4375</v>
      </c>
      <c r="V1013" s="160">
        <v>45994.87847222222</v>
      </c>
      <c r="W1013" s="154"/>
      <c r="X1013" s="84" t="s">
        <v>127</v>
      </c>
      <c r="Y1013" s="150" t="s">
        <v>1214</v>
      </c>
      <c r="Z1013" s="150" t="s">
        <v>1215</v>
      </c>
      <c r="AA1013" s="154"/>
      <c r="AB1013" s="150">
        <v>834244.0</v>
      </c>
      <c r="AC1013" s="150" t="s">
        <v>684</v>
      </c>
      <c r="AD1013" s="154"/>
      <c r="AE1013" s="107" t="s">
        <v>39</v>
      </c>
      <c r="AF1013" s="154"/>
      <c r="AG1013" s="22"/>
      <c r="AH1013" s="22"/>
      <c r="AI1013" s="22"/>
      <c r="AJ1013" s="22"/>
      <c r="AK1013" s="156"/>
      <c r="AL1013" s="156"/>
      <c r="AM1013" s="156"/>
      <c r="AN1013" s="156"/>
      <c r="AO1013" s="156"/>
      <c r="AP1013" s="156"/>
    </row>
    <row r="1014" ht="15.75" customHeight="1">
      <c r="A1014" s="103">
        <v>1.1277488E7</v>
      </c>
      <c r="B1014" s="84">
        <v>1.001882054E9</v>
      </c>
      <c r="C1014" s="11">
        <v>45994.0</v>
      </c>
      <c r="D1014" s="84">
        <v>26.0</v>
      </c>
      <c r="E1014" s="93">
        <v>31.625</v>
      </c>
      <c r="F1014" s="29" t="s">
        <v>31</v>
      </c>
      <c r="G1014" s="85" t="s">
        <v>44</v>
      </c>
      <c r="H1014" s="84" t="s">
        <v>268</v>
      </c>
      <c r="I1014" s="29" t="s">
        <v>397</v>
      </c>
      <c r="J1014" s="84" t="s">
        <v>35</v>
      </c>
      <c r="K1014" s="84" t="s">
        <v>270</v>
      </c>
      <c r="L1014" s="95" t="s">
        <v>94</v>
      </c>
      <c r="M1014" s="85" t="s">
        <v>83</v>
      </c>
      <c r="N1014" s="88">
        <v>6200.0</v>
      </c>
      <c r="O1014" s="73">
        <f t="shared" si="24"/>
        <v>0.7177419355</v>
      </c>
      <c r="P1014" s="89">
        <v>4450.0</v>
      </c>
      <c r="Q1014" s="150" t="s">
        <v>39</v>
      </c>
      <c r="R1014" s="150">
        <v>1545273.0</v>
      </c>
      <c r="S1014" s="85" t="s">
        <v>40</v>
      </c>
      <c r="T1014" s="155">
        <v>6375348.0</v>
      </c>
      <c r="U1014" s="160">
        <v>45994.57638888889</v>
      </c>
      <c r="V1014" s="160">
        <v>45994.72222222222</v>
      </c>
      <c r="W1014" s="154"/>
      <c r="X1014" s="84" t="s">
        <v>127</v>
      </c>
      <c r="Y1014" s="150" t="s">
        <v>1216</v>
      </c>
      <c r="Z1014" s="150" t="s">
        <v>1217</v>
      </c>
      <c r="AA1014" s="154"/>
      <c r="AB1014" s="150">
        <v>833320.0</v>
      </c>
      <c r="AC1014" s="150" t="s">
        <v>1218</v>
      </c>
      <c r="AD1014" s="154"/>
      <c r="AE1014" s="107" t="s">
        <v>39</v>
      </c>
      <c r="AF1014" s="154"/>
      <c r="AG1014" s="22"/>
      <c r="AH1014" s="22"/>
      <c r="AI1014" s="22"/>
      <c r="AJ1014" s="22"/>
      <c r="AK1014" s="156"/>
      <c r="AL1014" s="156"/>
      <c r="AM1014" s="156"/>
      <c r="AN1014" s="156"/>
      <c r="AO1014" s="156"/>
      <c r="AP1014" s="156"/>
    </row>
    <row r="1015" ht="15.75" customHeight="1">
      <c r="A1015" s="103">
        <v>1.1277549E7</v>
      </c>
      <c r="B1015" s="84">
        <v>1.001881992E9</v>
      </c>
      <c r="C1015" s="11" t="s">
        <v>1219</v>
      </c>
      <c r="D1015" s="84">
        <v>26.0</v>
      </c>
      <c r="E1015" s="93">
        <v>32.553</v>
      </c>
      <c r="F1015" s="103" t="s">
        <v>43</v>
      </c>
      <c r="G1015" s="85" t="s">
        <v>44</v>
      </c>
      <c r="H1015" s="84" t="s">
        <v>268</v>
      </c>
      <c r="I1015" s="29" t="s">
        <v>397</v>
      </c>
      <c r="J1015" s="84" t="s">
        <v>35</v>
      </c>
      <c r="K1015" s="84" t="s">
        <v>270</v>
      </c>
      <c r="L1015" s="95" t="s">
        <v>94</v>
      </c>
      <c r="M1015" s="85" t="s">
        <v>1017</v>
      </c>
      <c r="N1015" s="88">
        <v>5880.0</v>
      </c>
      <c r="O1015" s="73">
        <f t="shared" si="24"/>
        <v>0.7227891156</v>
      </c>
      <c r="P1015" s="89">
        <v>4250.0</v>
      </c>
      <c r="Q1015" s="150" t="s">
        <v>39</v>
      </c>
      <c r="R1015" s="120">
        <v>1547558.0</v>
      </c>
      <c r="S1015" s="85" t="s">
        <v>40</v>
      </c>
      <c r="T1015" s="155">
        <v>6391126.0</v>
      </c>
      <c r="U1015" s="150" t="s">
        <v>1220</v>
      </c>
      <c r="V1015" s="150" t="s">
        <v>1221</v>
      </c>
      <c r="W1015" s="154"/>
      <c r="X1015" s="84" t="s">
        <v>127</v>
      </c>
      <c r="Y1015" s="150" t="s">
        <v>1222</v>
      </c>
      <c r="Z1015" s="150" t="s">
        <v>1223</v>
      </c>
      <c r="AA1015" s="154"/>
      <c r="AB1015" s="150">
        <v>835548.0</v>
      </c>
      <c r="AC1015" s="84" t="s">
        <v>1224</v>
      </c>
      <c r="AD1015" s="154"/>
      <c r="AE1015" s="107" t="s">
        <v>39</v>
      </c>
      <c r="AF1015" s="154"/>
      <c r="AG1015" s="22"/>
      <c r="AH1015" s="22"/>
      <c r="AI1015" s="22"/>
      <c r="AJ1015" s="22"/>
      <c r="AK1015" s="156"/>
      <c r="AL1015" s="156"/>
      <c r="AM1015" s="156"/>
      <c r="AN1015" s="156"/>
      <c r="AO1015" s="156"/>
      <c r="AP1015" s="156"/>
    </row>
    <row r="1016" ht="15.75" customHeight="1">
      <c r="A1016" s="103">
        <v>1.127755E7</v>
      </c>
      <c r="B1016" s="115">
        <v>1.001882104E9</v>
      </c>
      <c r="C1016" s="11" t="s">
        <v>1219</v>
      </c>
      <c r="D1016" s="84">
        <v>26.0</v>
      </c>
      <c r="E1016" s="93">
        <v>32.553</v>
      </c>
      <c r="F1016" s="103" t="s">
        <v>43</v>
      </c>
      <c r="G1016" s="85" t="s">
        <v>44</v>
      </c>
      <c r="H1016" s="84" t="s">
        <v>268</v>
      </c>
      <c r="I1016" s="29" t="s">
        <v>397</v>
      </c>
      <c r="J1016" s="84" t="s">
        <v>35</v>
      </c>
      <c r="K1016" s="84" t="s">
        <v>270</v>
      </c>
      <c r="L1016" s="95" t="s">
        <v>94</v>
      </c>
      <c r="M1016" s="85" t="s">
        <v>1225</v>
      </c>
      <c r="N1016" s="88">
        <v>5880.0</v>
      </c>
      <c r="O1016" s="73">
        <f t="shared" si="24"/>
        <v>0.7568027211</v>
      </c>
      <c r="P1016" s="89">
        <v>4450.0</v>
      </c>
      <c r="Q1016" s="150" t="s">
        <v>39</v>
      </c>
      <c r="R1016" s="150">
        <v>1547005.0</v>
      </c>
      <c r="S1016" s="85" t="s">
        <v>40</v>
      </c>
      <c r="T1016" s="155">
        <v>6387493.0</v>
      </c>
      <c r="U1016" s="150" t="s">
        <v>1226</v>
      </c>
      <c r="V1016" s="150" t="s">
        <v>1227</v>
      </c>
      <c r="W1016" s="84"/>
      <c r="X1016" s="84" t="s">
        <v>127</v>
      </c>
      <c r="Y1016" s="150" t="s">
        <v>1228</v>
      </c>
      <c r="Z1016" s="150" t="s">
        <v>1229</v>
      </c>
      <c r="AA1016" s="154"/>
      <c r="AB1016" s="150">
        <v>835489.0</v>
      </c>
      <c r="AC1016" s="84" t="s">
        <v>1224</v>
      </c>
      <c r="AD1016" s="154"/>
      <c r="AE1016" s="107" t="s">
        <v>39</v>
      </c>
      <c r="AF1016" s="154"/>
      <c r="AG1016" s="22"/>
      <c r="AH1016" s="22"/>
      <c r="AI1016" s="22"/>
      <c r="AJ1016" s="22"/>
      <c r="AK1016" s="156"/>
      <c r="AL1016" s="156"/>
      <c r="AM1016" s="156"/>
      <c r="AN1016" s="156"/>
      <c r="AO1016" s="156"/>
      <c r="AP1016" s="156"/>
    </row>
    <row r="1017" ht="15.75" customHeight="1">
      <c r="A1017" s="103">
        <v>1.1277551E7</v>
      </c>
      <c r="B1017" s="84">
        <v>1.001882027E9</v>
      </c>
      <c r="C1017" s="11">
        <v>45964.0</v>
      </c>
      <c r="D1017" s="84">
        <v>26.0</v>
      </c>
      <c r="E1017" s="93">
        <v>32.553</v>
      </c>
      <c r="F1017" s="103" t="s">
        <v>43</v>
      </c>
      <c r="G1017" s="85" t="s">
        <v>44</v>
      </c>
      <c r="H1017" s="84" t="s">
        <v>268</v>
      </c>
      <c r="I1017" s="29" t="s">
        <v>397</v>
      </c>
      <c r="J1017" s="84" t="s">
        <v>35</v>
      </c>
      <c r="K1017" s="84" t="s">
        <v>270</v>
      </c>
      <c r="L1017" s="95" t="s">
        <v>94</v>
      </c>
      <c r="M1017" s="85" t="s">
        <v>1095</v>
      </c>
      <c r="N1017" s="88">
        <v>5880.0</v>
      </c>
      <c r="O1017" s="73">
        <f t="shared" si="24"/>
        <v>0.7653061224</v>
      </c>
      <c r="P1017" s="89">
        <v>4500.0</v>
      </c>
      <c r="Q1017" s="84" t="s">
        <v>39</v>
      </c>
      <c r="R1017" s="150">
        <v>1544751.0</v>
      </c>
      <c r="S1017" s="85" t="s">
        <v>40</v>
      </c>
      <c r="T1017" s="90">
        <v>6371209.0</v>
      </c>
      <c r="U1017" s="160">
        <v>45964.70138888889</v>
      </c>
      <c r="V1017" s="160">
        <v>45994.895833333336</v>
      </c>
      <c r="W1017" s="154"/>
      <c r="X1017" s="84" t="s">
        <v>127</v>
      </c>
      <c r="Y1017" s="160">
        <v>45994.930555555555</v>
      </c>
      <c r="Z1017" s="150" t="s">
        <v>1230</v>
      </c>
      <c r="AA1017" s="154"/>
      <c r="AB1017" s="150">
        <v>832948.0</v>
      </c>
      <c r="AC1017" s="84" t="s">
        <v>684</v>
      </c>
      <c r="AD1017" s="154"/>
      <c r="AE1017" s="107" t="s">
        <v>39</v>
      </c>
      <c r="AF1017" s="154"/>
      <c r="AG1017" s="22"/>
      <c r="AH1017" s="22"/>
      <c r="AI1017" s="22"/>
      <c r="AJ1017" s="22"/>
      <c r="AK1017" s="156"/>
      <c r="AL1017" s="156"/>
      <c r="AM1017" s="156"/>
      <c r="AN1017" s="156"/>
      <c r="AO1017" s="156"/>
      <c r="AP1017" s="156"/>
    </row>
    <row r="1018" ht="15.75" customHeight="1">
      <c r="A1018" s="103">
        <v>1.1277553E7</v>
      </c>
      <c r="B1018" s="84">
        <v>1.001882084E9</v>
      </c>
      <c r="C1018" s="11">
        <v>45964.0</v>
      </c>
      <c r="D1018" s="84">
        <v>14.0</v>
      </c>
      <c r="E1018" s="93">
        <v>15.911</v>
      </c>
      <c r="F1018" s="103" t="s">
        <v>43</v>
      </c>
      <c r="G1018" s="85" t="s">
        <v>44</v>
      </c>
      <c r="H1018" s="12" t="s">
        <v>1231</v>
      </c>
      <c r="I1018" s="85" t="s">
        <v>1232</v>
      </c>
      <c r="J1018" s="12" t="s">
        <v>270</v>
      </c>
      <c r="K1018" s="12" t="s">
        <v>35</v>
      </c>
      <c r="L1018" s="28" t="s">
        <v>188</v>
      </c>
      <c r="M1018" s="85" t="s">
        <v>1233</v>
      </c>
      <c r="N1018" s="88">
        <v>3920.0</v>
      </c>
      <c r="O1018" s="73">
        <f t="shared" si="24"/>
        <v>0.6887755102</v>
      </c>
      <c r="P1018" s="89">
        <v>2700.0</v>
      </c>
      <c r="Q1018" s="154"/>
      <c r="R1018" s="150">
        <v>1546341.0</v>
      </c>
      <c r="S1018" s="85" t="s">
        <v>40</v>
      </c>
      <c r="T1018" s="90">
        <v>6386189.0</v>
      </c>
      <c r="U1018" s="150" t="s">
        <v>1234</v>
      </c>
      <c r="V1018" s="150" t="s">
        <v>1230</v>
      </c>
      <c r="W1018" s="154"/>
      <c r="X1018" s="84" t="s">
        <v>127</v>
      </c>
      <c r="Y1018" s="150" t="s">
        <v>1235</v>
      </c>
      <c r="Z1018" s="150" t="s">
        <v>1236</v>
      </c>
      <c r="AA1018" s="154"/>
      <c r="AB1018" s="150">
        <v>834200.0</v>
      </c>
      <c r="AC1018" s="84" t="s">
        <v>943</v>
      </c>
      <c r="AD1018" s="154"/>
      <c r="AE1018" s="154"/>
      <c r="AF1018" s="154"/>
      <c r="AG1018" s="22"/>
      <c r="AH1018" s="22"/>
      <c r="AI1018" s="22"/>
      <c r="AJ1018" s="22"/>
      <c r="AK1018" s="156"/>
      <c r="AL1018" s="156"/>
      <c r="AM1018" s="156"/>
      <c r="AN1018" s="156"/>
      <c r="AO1018" s="156"/>
      <c r="AP1018" s="156"/>
    </row>
    <row r="1019" ht="15.75" customHeight="1">
      <c r="A1019" s="103">
        <v>1.1277554E7</v>
      </c>
      <c r="B1019" s="84">
        <v>1.001882196E9</v>
      </c>
      <c r="C1019" s="11" t="s">
        <v>1219</v>
      </c>
      <c r="D1019" s="84">
        <v>14.0</v>
      </c>
      <c r="E1019" s="93">
        <v>15.911</v>
      </c>
      <c r="F1019" s="103" t="s">
        <v>43</v>
      </c>
      <c r="G1019" s="85" t="s">
        <v>44</v>
      </c>
      <c r="H1019" s="12" t="s">
        <v>1237</v>
      </c>
      <c r="I1019" s="93" t="s">
        <v>1232</v>
      </c>
      <c r="J1019" s="25" t="s">
        <v>270</v>
      </c>
      <c r="K1019" s="12" t="s">
        <v>35</v>
      </c>
      <c r="L1019" s="28" t="s">
        <v>188</v>
      </c>
      <c r="M1019" s="85" t="s">
        <v>1238</v>
      </c>
      <c r="N1019" s="88">
        <v>3920.0</v>
      </c>
      <c r="O1019" s="73">
        <f t="shared" si="24"/>
        <v>0.7015306122</v>
      </c>
      <c r="P1019" s="89">
        <v>2750.0</v>
      </c>
      <c r="Q1019" s="154"/>
      <c r="R1019" s="150">
        <v>1548665.0</v>
      </c>
      <c r="S1019" s="85" t="s">
        <v>40</v>
      </c>
      <c r="T1019" s="155">
        <v>6397753.0</v>
      </c>
      <c r="U1019" s="150" t="s">
        <v>1239</v>
      </c>
      <c r="V1019" s="150" t="s">
        <v>1229</v>
      </c>
      <c r="W1019" s="154"/>
      <c r="X1019" s="84" t="s">
        <v>127</v>
      </c>
      <c r="Y1019" s="150" t="s">
        <v>1240</v>
      </c>
      <c r="Z1019" s="150" t="s">
        <v>1241</v>
      </c>
      <c r="AA1019" s="154"/>
      <c r="AB1019" s="150">
        <v>836622.0</v>
      </c>
      <c r="AC1019" s="150" t="s">
        <v>601</v>
      </c>
      <c r="AD1019" s="154"/>
      <c r="AE1019" s="154"/>
      <c r="AF1019" s="154"/>
      <c r="AG1019" s="22"/>
      <c r="AH1019" s="22"/>
      <c r="AI1019" s="22"/>
      <c r="AJ1019" s="22"/>
      <c r="AK1019" s="156"/>
      <c r="AL1019" s="156"/>
      <c r="AM1019" s="156"/>
      <c r="AN1019" s="156"/>
      <c r="AO1019" s="156"/>
      <c r="AP1019" s="156"/>
    </row>
    <row r="1020" ht="15.75" customHeight="1">
      <c r="A1020" s="103">
        <v>1.1277555E7</v>
      </c>
      <c r="B1020" s="84">
        <v>1.001882135E9</v>
      </c>
      <c r="C1020" s="11" t="s">
        <v>1219</v>
      </c>
      <c r="D1020" s="84">
        <v>14.0</v>
      </c>
      <c r="E1020" s="93">
        <v>15.911</v>
      </c>
      <c r="F1020" s="103" t="s">
        <v>43</v>
      </c>
      <c r="G1020" s="85" t="s">
        <v>44</v>
      </c>
      <c r="H1020" s="12" t="s">
        <v>1242</v>
      </c>
      <c r="I1020" s="29" t="s">
        <v>269</v>
      </c>
      <c r="J1020" s="12" t="s">
        <v>270</v>
      </c>
      <c r="K1020" s="12" t="s">
        <v>35</v>
      </c>
      <c r="L1020" s="28" t="s">
        <v>188</v>
      </c>
      <c r="M1020" s="85" t="s">
        <v>1243</v>
      </c>
      <c r="N1020" s="88">
        <v>3920.0</v>
      </c>
      <c r="O1020" s="73">
        <f t="shared" si="24"/>
        <v>0.7015306122</v>
      </c>
      <c r="P1020" s="89">
        <v>2750.0</v>
      </c>
      <c r="Q1020" s="12"/>
      <c r="R1020" s="84">
        <v>1548811.0</v>
      </c>
      <c r="S1020" s="85" t="s">
        <v>40</v>
      </c>
      <c r="T1020" s="155">
        <v>6398565.0</v>
      </c>
      <c r="U1020" s="84" t="s">
        <v>1244</v>
      </c>
      <c r="V1020" s="84" t="s">
        <v>1245</v>
      </c>
      <c r="W1020" s="12"/>
      <c r="X1020" s="84" t="s">
        <v>127</v>
      </c>
      <c r="Y1020" s="84" t="s">
        <v>1246</v>
      </c>
      <c r="Z1020" s="84" t="s">
        <v>1247</v>
      </c>
      <c r="AA1020" s="12"/>
      <c r="AB1020" s="84">
        <v>837260.0</v>
      </c>
      <c r="AC1020" s="150" t="s">
        <v>601</v>
      </c>
      <c r="AD1020" s="12"/>
      <c r="AE1020" s="12"/>
      <c r="AF1020" s="1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2"/>
    </row>
    <row r="1021" ht="15.75" customHeight="1">
      <c r="A1021" s="103">
        <v>1.1286108E7</v>
      </c>
      <c r="B1021" s="84">
        <v>1.001890951E9</v>
      </c>
      <c r="C1021" s="11" t="s">
        <v>1219</v>
      </c>
      <c r="D1021" s="84">
        <v>26.0</v>
      </c>
      <c r="E1021" s="93">
        <v>32.468</v>
      </c>
      <c r="F1021" s="12" t="s">
        <v>31</v>
      </c>
      <c r="G1021" s="29" t="s">
        <v>74</v>
      </c>
      <c r="H1021" s="84" t="s">
        <v>903</v>
      </c>
      <c r="I1021" s="85" t="s">
        <v>904</v>
      </c>
      <c r="J1021" s="84" t="s">
        <v>35</v>
      </c>
      <c r="K1021" s="84" t="s">
        <v>905</v>
      </c>
      <c r="L1021" s="28" t="s">
        <v>94</v>
      </c>
      <c r="M1021" s="85" t="s">
        <v>1095</v>
      </c>
      <c r="N1021" s="88">
        <v>7167.0</v>
      </c>
      <c r="O1021" s="73">
        <f t="shared" si="24"/>
        <v>0.6795032789</v>
      </c>
      <c r="P1021" s="89">
        <v>4870.0</v>
      </c>
      <c r="Q1021" s="84" t="s">
        <v>39</v>
      </c>
      <c r="R1021" s="84">
        <v>1547551.0</v>
      </c>
      <c r="S1021" s="85" t="s">
        <v>40</v>
      </c>
      <c r="T1021" s="90">
        <v>6391090.0</v>
      </c>
      <c r="U1021" s="84" t="s">
        <v>1248</v>
      </c>
      <c r="V1021" s="84" t="s">
        <v>1249</v>
      </c>
      <c r="W1021" s="12"/>
      <c r="X1021" s="84" t="s">
        <v>1250</v>
      </c>
      <c r="Y1021" s="84" t="s">
        <v>1250</v>
      </c>
      <c r="Z1021" s="84" t="s">
        <v>1251</v>
      </c>
      <c r="AA1021" s="12"/>
      <c r="AB1021" s="84">
        <v>836478.0</v>
      </c>
      <c r="AC1021" s="84" t="s">
        <v>1154</v>
      </c>
      <c r="AD1021" s="12"/>
      <c r="AE1021" s="107" t="s">
        <v>39</v>
      </c>
      <c r="AF1021" s="1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</row>
    <row r="1022" ht="15.75" customHeight="1">
      <c r="A1022" s="103">
        <v>1.1289305E7</v>
      </c>
      <c r="B1022" s="84">
        <v>1.001895365E9</v>
      </c>
      <c r="C1022" s="11" t="s">
        <v>1252</v>
      </c>
      <c r="D1022" s="84">
        <v>26.0</v>
      </c>
      <c r="E1022" s="93">
        <v>32.448</v>
      </c>
      <c r="F1022" s="12" t="s">
        <v>31</v>
      </c>
      <c r="G1022" s="85" t="s">
        <v>74</v>
      </c>
      <c r="H1022" s="12" t="s">
        <v>447</v>
      </c>
      <c r="I1022" s="39" t="s">
        <v>448</v>
      </c>
      <c r="J1022" s="12" t="s">
        <v>35</v>
      </c>
      <c r="K1022" s="12" t="s">
        <v>332</v>
      </c>
      <c r="L1022" s="95" t="s">
        <v>188</v>
      </c>
      <c r="M1022" s="85" t="s">
        <v>1225</v>
      </c>
      <c r="N1022" s="88">
        <v>2800.0</v>
      </c>
      <c r="O1022" s="73">
        <f t="shared" si="24"/>
        <v>0.6785714286</v>
      </c>
      <c r="P1022" s="89">
        <v>1900.0</v>
      </c>
      <c r="Q1022" s="150" t="s">
        <v>39</v>
      </c>
      <c r="R1022" s="150">
        <v>1545998.0</v>
      </c>
      <c r="S1022" s="85" t="s">
        <v>40</v>
      </c>
      <c r="T1022" s="155">
        <v>6380065.0</v>
      </c>
      <c r="U1022" s="150" t="s">
        <v>1253</v>
      </c>
      <c r="V1022" s="150" t="s">
        <v>1254</v>
      </c>
      <c r="W1022" s="154"/>
      <c r="X1022" s="84" t="s">
        <v>1255</v>
      </c>
      <c r="Y1022" s="84" t="s">
        <v>1255</v>
      </c>
      <c r="Z1022" s="150" t="s">
        <v>1256</v>
      </c>
      <c r="AA1022" s="154"/>
      <c r="AB1022" s="150" t="s">
        <v>1257</v>
      </c>
      <c r="AC1022" s="150" t="s">
        <v>1258</v>
      </c>
      <c r="AD1022" s="154"/>
      <c r="AE1022" s="107" t="s">
        <v>39</v>
      </c>
      <c r="AF1022" s="154"/>
      <c r="AG1022" s="22"/>
      <c r="AH1022" s="22"/>
      <c r="AI1022" s="22"/>
      <c r="AJ1022" s="22"/>
      <c r="AK1022" s="156"/>
      <c r="AL1022" s="156"/>
      <c r="AM1022" s="156"/>
      <c r="AN1022" s="156"/>
      <c r="AO1022" s="156"/>
      <c r="AP1022" s="156"/>
    </row>
    <row r="1023" ht="15.75" customHeight="1">
      <c r="A1023" s="103">
        <v>1.1289492E7</v>
      </c>
      <c r="B1023" s="84">
        <v>1.001895336E9</v>
      </c>
      <c r="C1023" s="11" t="s">
        <v>1219</v>
      </c>
      <c r="D1023" s="84">
        <v>22.0</v>
      </c>
      <c r="E1023" s="93">
        <v>24.375</v>
      </c>
      <c r="F1023" s="12" t="s">
        <v>31</v>
      </c>
      <c r="G1023" s="85" t="s">
        <v>74</v>
      </c>
      <c r="H1023" s="12" t="s">
        <v>304</v>
      </c>
      <c r="I1023" s="85" t="s">
        <v>305</v>
      </c>
      <c r="J1023" s="12" t="s">
        <v>35</v>
      </c>
      <c r="K1023" s="12" t="s">
        <v>306</v>
      </c>
      <c r="L1023" s="28" t="s">
        <v>94</v>
      </c>
      <c r="M1023" s="85" t="s">
        <v>974</v>
      </c>
      <c r="N1023" s="88">
        <v>6500.0</v>
      </c>
      <c r="O1023" s="73">
        <f t="shared" si="24"/>
        <v>0.6538461538</v>
      </c>
      <c r="P1023" s="89">
        <v>4250.0</v>
      </c>
      <c r="Q1023" s="84" t="s">
        <v>39</v>
      </c>
      <c r="R1023" s="84">
        <v>1547169.0</v>
      </c>
      <c r="S1023" s="85" t="s">
        <v>40</v>
      </c>
      <c r="T1023" s="155">
        <v>6388844.0</v>
      </c>
      <c r="U1023" s="84" t="s">
        <v>1259</v>
      </c>
      <c r="V1023" s="84" t="s">
        <v>1260</v>
      </c>
      <c r="W1023" s="12"/>
      <c r="X1023" s="84" t="s">
        <v>1261</v>
      </c>
      <c r="Y1023" s="84" t="s">
        <v>1262</v>
      </c>
      <c r="Z1023" s="84" t="s">
        <v>1263</v>
      </c>
      <c r="AA1023" s="12"/>
      <c r="AB1023" s="84">
        <v>836611.0</v>
      </c>
      <c r="AC1023" s="84" t="s">
        <v>684</v>
      </c>
      <c r="AD1023" s="12"/>
      <c r="AE1023" s="107" t="s">
        <v>39</v>
      </c>
      <c r="AF1023" s="1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2"/>
    </row>
    <row r="1024" ht="15.75" customHeight="1">
      <c r="A1024" s="103">
        <v>1.1292006E7</v>
      </c>
      <c r="B1024" s="84">
        <v>1.00189702E9</v>
      </c>
      <c r="C1024" s="11" t="s">
        <v>1264</v>
      </c>
      <c r="D1024" s="84">
        <v>26.0</v>
      </c>
      <c r="E1024" s="93">
        <v>31.625</v>
      </c>
      <c r="F1024" s="12" t="s">
        <v>31</v>
      </c>
      <c r="G1024" s="85" t="s">
        <v>44</v>
      </c>
      <c r="H1024" s="84" t="s">
        <v>268</v>
      </c>
      <c r="I1024" s="29" t="s">
        <v>397</v>
      </c>
      <c r="J1024" s="84" t="s">
        <v>35</v>
      </c>
      <c r="K1024" s="84" t="s">
        <v>270</v>
      </c>
      <c r="L1024" s="95" t="s">
        <v>94</v>
      </c>
      <c r="M1024" s="85" t="s">
        <v>83</v>
      </c>
      <c r="N1024" s="88">
        <v>6410.0</v>
      </c>
      <c r="O1024" s="73">
        <f t="shared" si="24"/>
        <v>0.6942277691</v>
      </c>
      <c r="P1024" s="89">
        <v>4450.0</v>
      </c>
      <c r="Q1024" s="84" t="s">
        <v>39</v>
      </c>
      <c r="R1024" s="84">
        <v>1548406.0</v>
      </c>
      <c r="S1024" s="85" t="s">
        <v>40</v>
      </c>
      <c r="T1024" s="155">
        <v>6395009.0</v>
      </c>
      <c r="U1024" s="84" t="s">
        <v>1265</v>
      </c>
      <c r="V1024" s="84" t="s">
        <v>1266</v>
      </c>
      <c r="W1024" s="12"/>
      <c r="X1024" s="84" t="s">
        <v>127</v>
      </c>
      <c r="Y1024" s="84" t="s">
        <v>1267</v>
      </c>
      <c r="Z1024" s="84" t="s">
        <v>1268</v>
      </c>
      <c r="AA1024" s="12"/>
      <c r="AB1024" s="84">
        <v>837287.0</v>
      </c>
      <c r="AC1024" s="84" t="s">
        <v>684</v>
      </c>
      <c r="AD1024" s="12"/>
      <c r="AE1024" s="107" t="s">
        <v>39</v>
      </c>
      <c r="AF1024" s="1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2"/>
    </row>
    <row r="1025" ht="15.75" customHeight="1">
      <c r="A1025" s="103">
        <v>1.1292007E7</v>
      </c>
      <c r="B1025" s="84">
        <v>1.001896985E9</v>
      </c>
      <c r="C1025" s="11" t="s">
        <v>1269</v>
      </c>
      <c r="D1025" s="84">
        <v>26.0</v>
      </c>
      <c r="E1025" s="93">
        <v>31.625</v>
      </c>
      <c r="F1025" s="29" t="s">
        <v>31</v>
      </c>
      <c r="G1025" s="85" t="s">
        <v>44</v>
      </c>
      <c r="H1025" s="84" t="s">
        <v>268</v>
      </c>
      <c r="I1025" s="29" t="s">
        <v>397</v>
      </c>
      <c r="J1025" s="84" t="s">
        <v>35</v>
      </c>
      <c r="K1025" s="84" t="s">
        <v>270</v>
      </c>
      <c r="L1025" s="95" t="s">
        <v>94</v>
      </c>
      <c r="M1025" s="85" t="s">
        <v>704</v>
      </c>
      <c r="N1025" s="88">
        <v>6410.0</v>
      </c>
      <c r="O1025" s="73">
        <f t="shared" si="24"/>
        <v>0.6630265211</v>
      </c>
      <c r="P1025" s="89">
        <v>4250.0</v>
      </c>
      <c r="Q1025" s="84" t="s">
        <v>39</v>
      </c>
      <c r="R1025" s="84">
        <v>1548637.0</v>
      </c>
      <c r="S1025" s="85" t="s">
        <v>40</v>
      </c>
      <c r="T1025" s="155">
        <v>6397243.0</v>
      </c>
      <c r="U1025" s="84" t="s">
        <v>1270</v>
      </c>
      <c r="V1025" s="84" t="s">
        <v>1271</v>
      </c>
      <c r="W1025" s="12"/>
      <c r="X1025" s="84" t="s">
        <v>127</v>
      </c>
      <c r="Y1025" s="84" t="s">
        <v>1272</v>
      </c>
      <c r="Z1025" s="84" t="s">
        <v>1247</v>
      </c>
      <c r="AA1025" s="12"/>
      <c r="AB1025" s="84">
        <v>837507.0</v>
      </c>
      <c r="AC1025" s="84" t="s">
        <v>684</v>
      </c>
      <c r="AD1025" s="12"/>
      <c r="AE1025" s="107" t="s">
        <v>39</v>
      </c>
      <c r="AF1025" s="12"/>
      <c r="AG1025" s="22"/>
      <c r="AH1025" s="22"/>
      <c r="AI1025" s="22"/>
      <c r="AJ1025" s="22"/>
      <c r="AK1025" s="22"/>
      <c r="AL1025" s="22"/>
      <c r="AM1025" s="22"/>
      <c r="AN1025" s="22"/>
      <c r="AO1025" s="22"/>
      <c r="AP1025" s="22"/>
    </row>
    <row r="1026" ht="15.0" customHeight="1">
      <c r="A1026" s="103">
        <v>1.1292617E7</v>
      </c>
      <c r="B1026" s="84">
        <v>1.001898925E9</v>
      </c>
      <c r="C1026" s="11">
        <v>45994.0</v>
      </c>
      <c r="D1026" s="84">
        <v>7.0</v>
      </c>
      <c r="E1026" s="93">
        <v>7.076</v>
      </c>
      <c r="F1026" s="12" t="s">
        <v>31</v>
      </c>
      <c r="G1026" s="85" t="s">
        <v>74</v>
      </c>
      <c r="H1026" s="84" t="s">
        <v>1273</v>
      </c>
      <c r="I1026" s="85" t="s">
        <v>305</v>
      </c>
      <c r="J1026" s="84" t="s">
        <v>306</v>
      </c>
      <c r="K1026" s="84" t="s">
        <v>35</v>
      </c>
      <c r="L1026" s="95" t="s">
        <v>188</v>
      </c>
      <c r="M1026" s="85" t="s">
        <v>1274</v>
      </c>
      <c r="N1026" s="88">
        <v>3900.0</v>
      </c>
      <c r="O1026" s="73">
        <f t="shared" si="24"/>
        <v>0.7051282051</v>
      </c>
      <c r="P1026" s="89">
        <v>2750.0</v>
      </c>
      <c r="Q1026" s="84"/>
      <c r="R1026" s="84">
        <v>1545327.0</v>
      </c>
      <c r="S1026" s="85" t="s">
        <v>40</v>
      </c>
      <c r="T1026" s="90">
        <v>6375852.0</v>
      </c>
      <c r="U1026" s="112">
        <v>45903.208333333336</v>
      </c>
      <c r="V1026" s="112">
        <v>45903.291666666664</v>
      </c>
      <c r="W1026" s="12"/>
      <c r="X1026" s="84" t="s">
        <v>1244</v>
      </c>
      <c r="Y1026" s="84" t="s">
        <v>1275</v>
      </c>
      <c r="Z1026" s="84" t="s">
        <v>1276</v>
      </c>
      <c r="AA1026" s="12"/>
      <c r="AB1026" s="12"/>
      <c r="AC1026" s="12"/>
      <c r="AD1026" s="12"/>
      <c r="AE1026" s="107" t="s">
        <v>39</v>
      </c>
      <c r="AF1026" s="12"/>
      <c r="AG1026" s="22"/>
      <c r="AH1026" s="22"/>
      <c r="AI1026" s="22"/>
      <c r="AJ1026" s="22"/>
      <c r="AK1026" s="22"/>
      <c r="AL1026" s="22"/>
      <c r="AM1026" s="22"/>
      <c r="AN1026" s="22"/>
      <c r="AO1026" s="22"/>
      <c r="AP1026" s="22"/>
    </row>
    <row r="1027" ht="15.75" customHeight="1">
      <c r="A1027" s="103">
        <v>1.1293022E7</v>
      </c>
      <c r="B1027" s="84">
        <v>1.001899004E9</v>
      </c>
      <c r="C1027" s="11" t="s">
        <v>1277</v>
      </c>
      <c r="D1027" s="84">
        <v>26.0</v>
      </c>
      <c r="E1027" s="93">
        <v>32.757</v>
      </c>
      <c r="F1027" s="103" t="s">
        <v>43</v>
      </c>
      <c r="G1027" s="29" t="s">
        <v>32</v>
      </c>
      <c r="H1027" s="12" t="s">
        <v>265</v>
      </c>
      <c r="I1027" s="39" t="s">
        <v>266</v>
      </c>
      <c r="J1027" s="12" t="s">
        <v>35</v>
      </c>
      <c r="K1027" s="12" t="s">
        <v>267</v>
      </c>
      <c r="L1027" s="95" t="s">
        <v>43</v>
      </c>
      <c r="M1027" s="85" t="s">
        <v>1187</v>
      </c>
      <c r="N1027" s="88">
        <v>5996.0</v>
      </c>
      <c r="O1027" s="73">
        <f t="shared" si="24"/>
        <v>0.7505003336</v>
      </c>
      <c r="P1027" s="89">
        <v>4500.0</v>
      </c>
      <c r="Q1027" s="150" t="s">
        <v>39</v>
      </c>
      <c r="R1027" s="84">
        <v>1546668.0</v>
      </c>
      <c r="S1027" s="85" t="s">
        <v>40</v>
      </c>
      <c r="T1027" s="155">
        <v>6385305.0</v>
      </c>
      <c r="U1027" s="84" t="s">
        <v>1278</v>
      </c>
      <c r="V1027" s="84" t="s">
        <v>1279</v>
      </c>
      <c r="W1027" s="12"/>
      <c r="X1027" s="84" t="s">
        <v>127</v>
      </c>
      <c r="Y1027" s="84" t="s">
        <v>1280</v>
      </c>
      <c r="Z1027" s="84" t="s">
        <v>1281</v>
      </c>
      <c r="AA1027" s="12"/>
      <c r="AB1027" s="84">
        <v>836115.0</v>
      </c>
      <c r="AC1027" s="84" t="s">
        <v>1224</v>
      </c>
      <c r="AD1027" s="12"/>
      <c r="AE1027" s="107" t="s">
        <v>39</v>
      </c>
      <c r="AF1027" s="1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2"/>
    </row>
    <row r="1028" ht="15.75" customHeight="1">
      <c r="A1028" s="103">
        <v>1.1293024E7</v>
      </c>
      <c r="B1028" s="84">
        <v>1.001899026E9</v>
      </c>
      <c r="C1028" s="11" t="s">
        <v>1277</v>
      </c>
      <c r="D1028" s="84">
        <v>5.0</v>
      </c>
      <c r="E1028" s="93">
        <v>4.895</v>
      </c>
      <c r="F1028" s="103" t="s">
        <v>43</v>
      </c>
      <c r="G1028" s="29" t="s">
        <v>32</v>
      </c>
      <c r="H1028" s="84" t="s">
        <v>1282</v>
      </c>
      <c r="I1028" s="85" t="s">
        <v>1232</v>
      </c>
      <c r="J1028" s="12" t="s">
        <v>267</v>
      </c>
      <c r="K1028" s="12" t="s">
        <v>35</v>
      </c>
      <c r="L1028" s="95" t="s">
        <v>43</v>
      </c>
      <c r="M1028" s="85" t="s">
        <v>1208</v>
      </c>
      <c r="N1028" s="88">
        <v>3920.0</v>
      </c>
      <c r="O1028" s="73">
        <f t="shared" si="24"/>
        <v>0.7015306122</v>
      </c>
      <c r="P1028" s="89">
        <v>2750.0</v>
      </c>
      <c r="Q1028" s="12"/>
      <c r="R1028" s="84">
        <v>1549349.0</v>
      </c>
      <c r="S1028" s="85" t="s">
        <v>40</v>
      </c>
      <c r="T1028" s="155">
        <v>6402006.0</v>
      </c>
      <c r="U1028" s="84" t="s">
        <v>1261</v>
      </c>
      <c r="V1028" s="84" t="s">
        <v>1281</v>
      </c>
      <c r="W1028" s="12"/>
      <c r="X1028" s="84" t="s">
        <v>127</v>
      </c>
      <c r="Y1028" s="84" t="s">
        <v>1283</v>
      </c>
      <c r="Z1028" s="84" t="s">
        <v>1284</v>
      </c>
      <c r="AA1028" s="12"/>
      <c r="AB1028" s="84">
        <v>837055.0</v>
      </c>
      <c r="AC1028" s="150" t="s">
        <v>601</v>
      </c>
      <c r="AD1028" s="12"/>
      <c r="AE1028" s="12"/>
      <c r="AF1028" s="12"/>
      <c r="AG1028" s="22"/>
      <c r="AH1028" s="22"/>
      <c r="AI1028" s="22"/>
      <c r="AJ1028" s="22"/>
      <c r="AK1028" s="22"/>
      <c r="AL1028" s="22"/>
      <c r="AM1028" s="22"/>
      <c r="AN1028" s="22"/>
      <c r="AO1028" s="22"/>
      <c r="AP1028" s="22"/>
    </row>
    <row r="1029" ht="15.75" customHeight="1">
      <c r="A1029" s="103">
        <v>1.1300759E7</v>
      </c>
      <c r="B1029" s="84">
        <v>1.001908112E9</v>
      </c>
      <c r="C1029" s="11" t="s">
        <v>1285</v>
      </c>
      <c r="D1029" s="84">
        <v>26.0</v>
      </c>
      <c r="E1029" s="93">
        <v>31.625</v>
      </c>
      <c r="F1029" s="103" t="s">
        <v>43</v>
      </c>
      <c r="G1029" s="85" t="s">
        <v>32</v>
      </c>
      <c r="H1029" s="84" t="s">
        <v>268</v>
      </c>
      <c r="I1029" s="29" t="s">
        <v>397</v>
      </c>
      <c r="J1029" s="84" t="s">
        <v>35</v>
      </c>
      <c r="K1029" s="84" t="s">
        <v>270</v>
      </c>
      <c r="L1029" s="95" t="s">
        <v>94</v>
      </c>
      <c r="M1029" s="85" t="s">
        <v>1286</v>
      </c>
      <c r="N1029" s="88">
        <v>6410.0</v>
      </c>
      <c r="O1029" s="73">
        <f t="shared" si="24"/>
        <v>0.6942277691</v>
      </c>
      <c r="P1029" s="89">
        <v>4450.0</v>
      </c>
      <c r="Q1029" s="84" t="s">
        <v>39</v>
      </c>
      <c r="R1029" s="84">
        <v>1551002.0</v>
      </c>
      <c r="S1029" s="85" t="s">
        <v>40</v>
      </c>
      <c r="T1029" s="155">
        <v>6415198.0</v>
      </c>
      <c r="U1029" s="84" t="s">
        <v>1287</v>
      </c>
      <c r="V1029" s="84" t="s">
        <v>1288</v>
      </c>
      <c r="W1029" s="12"/>
      <c r="X1029" s="84" t="s">
        <v>127</v>
      </c>
      <c r="Y1029" s="84" t="s">
        <v>1289</v>
      </c>
      <c r="Z1029" s="84" t="s">
        <v>1290</v>
      </c>
      <c r="AA1029" s="12"/>
      <c r="AB1029" s="84">
        <v>840783.0</v>
      </c>
      <c r="AC1029" s="84" t="s">
        <v>1224</v>
      </c>
      <c r="AD1029" s="12"/>
      <c r="AE1029" s="107" t="s">
        <v>39</v>
      </c>
      <c r="AF1029" s="1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2"/>
    </row>
    <row r="1030" ht="15.75" customHeight="1">
      <c r="A1030" s="103">
        <v>1.130076E7</v>
      </c>
      <c r="B1030" s="84">
        <v>1.001908185E9</v>
      </c>
      <c r="C1030" s="11" t="s">
        <v>1291</v>
      </c>
      <c r="D1030" s="84">
        <v>26.0</v>
      </c>
      <c r="E1030" s="93">
        <v>32.553</v>
      </c>
      <c r="F1030" s="103" t="s">
        <v>43</v>
      </c>
      <c r="G1030" s="85" t="s">
        <v>44</v>
      </c>
      <c r="H1030" s="84" t="s">
        <v>268</v>
      </c>
      <c r="I1030" s="29" t="s">
        <v>397</v>
      </c>
      <c r="J1030" s="84" t="s">
        <v>35</v>
      </c>
      <c r="K1030" s="84" t="s">
        <v>270</v>
      </c>
      <c r="L1030" s="95" t="s">
        <v>94</v>
      </c>
      <c r="M1030" s="85" t="s">
        <v>1225</v>
      </c>
      <c r="N1030" s="88">
        <v>5847.0</v>
      </c>
      <c r="O1030" s="73">
        <f t="shared" si="24"/>
        <v>0.7268684796</v>
      </c>
      <c r="P1030" s="89">
        <v>4250.0</v>
      </c>
      <c r="Q1030" s="84" t="s">
        <v>39</v>
      </c>
      <c r="R1030" s="84">
        <v>1550674.0</v>
      </c>
      <c r="S1030" s="85" t="s">
        <v>40</v>
      </c>
      <c r="T1030" s="155">
        <v>6412364.0</v>
      </c>
      <c r="U1030" s="84" t="s">
        <v>1292</v>
      </c>
      <c r="V1030" s="84" t="s">
        <v>1293</v>
      </c>
      <c r="W1030" s="12"/>
      <c r="X1030" s="84" t="s">
        <v>127</v>
      </c>
      <c r="Y1030" s="84" t="s">
        <v>1294</v>
      </c>
      <c r="Z1030" s="84" t="s">
        <v>1295</v>
      </c>
      <c r="AA1030" s="12"/>
      <c r="AB1030" s="84">
        <v>839086.0</v>
      </c>
      <c r="AC1030" s="84" t="s">
        <v>1224</v>
      </c>
      <c r="AD1030" s="12"/>
      <c r="AE1030" s="107" t="s">
        <v>39</v>
      </c>
      <c r="AF1030" s="1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2"/>
    </row>
    <row r="1031" ht="15.75" customHeight="1">
      <c r="A1031" s="103">
        <v>1.1300761E7</v>
      </c>
      <c r="B1031" s="84">
        <v>1.001908168E9</v>
      </c>
      <c r="C1031" s="11" t="s">
        <v>1285</v>
      </c>
      <c r="D1031" s="84">
        <v>26.0</v>
      </c>
      <c r="E1031" s="93">
        <v>32.553</v>
      </c>
      <c r="F1031" s="103" t="s">
        <v>43</v>
      </c>
      <c r="G1031" s="85" t="s">
        <v>32</v>
      </c>
      <c r="H1031" s="84" t="s">
        <v>268</v>
      </c>
      <c r="I1031" s="29" t="s">
        <v>397</v>
      </c>
      <c r="J1031" s="84" t="s">
        <v>35</v>
      </c>
      <c r="K1031" s="84" t="s">
        <v>270</v>
      </c>
      <c r="L1031" s="95" t="s">
        <v>94</v>
      </c>
      <c r="M1031" s="85" t="s">
        <v>1017</v>
      </c>
      <c r="N1031" s="88">
        <v>5847.0</v>
      </c>
      <c r="O1031" s="73">
        <f t="shared" si="24"/>
        <v>0.7268684796</v>
      </c>
      <c r="P1031" s="89">
        <v>4250.0</v>
      </c>
      <c r="Q1031" s="84" t="s">
        <v>39</v>
      </c>
      <c r="R1031" s="84">
        <v>1550748.0</v>
      </c>
      <c r="S1031" s="85" t="s">
        <v>40</v>
      </c>
      <c r="T1031" s="155">
        <v>6416263.0</v>
      </c>
      <c r="U1031" s="84" t="s">
        <v>1296</v>
      </c>
      <c r="V1031" s="84" t="s">
        <v>1297</v>
      </c>
      <c r="W1031" s="12"/>
      <c r="X1031" s="84" t="s">
        <v>127</v>
      </c>
      <c r="Y1031" s="84" t="s">
        <v>1298</v>
      </c>
      <c r="Z1031" s="84" t="s">
        <v>1299</v>
      </c>
      <c r="AA1031" s="12"/>
      <c r="AB1031" s="12"/>
      <c r="AC1031" s="12"/>
      <c r="AD1031" s="12"/>
      <c r="AE1031" s="107" t="s">
        <v>39</v>
      </c>
      <c r="AF1031" s="1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</row>
    <row r="1032" ht="15.75" customHeight="1">
      <c r="A1032" s="103">
        <v>1.1300762E7</v>
      </c>
      <c r="B1032" s="84">
        <v>1.001908086E9</v>
      </c>
      <c r="C1032" s="11" t="s">
        <v>1291</v>
      </c>
      <c r="D1032" s="84">
        <v>26.0</v>
      </c>
      <c r="E1032" s="93">
        <v>32.553</v>
      </c>
      <c r="F1032" s="103" t="s">
        <v>43</v>
      </c>
      <c r="G1032" s="85" t="s">
        <v>32</v>
      </c>
      <c r="H1032" s="84" t="s">
        <v>268</v>
      </c>
      <c r="I1032" s="29" t="s">
        <v>397</v>
      </c>
      <c r="J1032" s="84" t="s">
        <v>35</v>
      </c>
      <c r="K1032" s="84" t="s">
        <v>270</v>
      </c>
      <c r="L1032" s="95" t="s">
        <v>94</v>
      </c>
      <c r="M1032" s="85" t="s">
        <v>1187</v>
      </c>
      <c r="N1032" s="88">
        <v>5847.0</v>
      </c>
      <c r="O1032" s="73">
        <f t="shared" si="24"/>
        <v>0.7525226612</v>
      </c>
      <c r="P1032" s="89">
        <v>4400.0</v>
      </c>
      <c r="Q1032" s="84" t="s">
        <v>39</v>
      </c>
      <c r="R1032" s="150">
        <v>1550506.0</v>
      </c>
      <c r="S1032" s="85" t="s">
        <v>40</v>
      </c>
      <c r="T1032" s="155">
        <v>6411567.0</v>
      </c>
      <c r="U1032" s="84" t="s">
        <v>1300</v>
      </c>
      <c r="V1032" s="84" t="s">
        <v>1301</v>
      </c>
      <c r="W1032" s="12"/>
      <c r="X1032" s="84" t="s">
        <v>127</v>
      </c>
      <c r="Y1032" s="84" t="s">
        <v>1302</v>
      </c>
      <c r="Z1032" s="84" t="s">
        <v>1303</v>
      </c>
      <c r="AA1032" s="12"/>
      <c r="AB1032" s="84">
        <v>839321.0</v>
      </c>
      <c r="AC1032" s="84" t="s">
        <v>1224</v>
      </c>
      <c r="AD1032" s="12"/>
      <c r="AE1032" s="107" t="s">
        <v>39</v>
      </c>
      <c r="AF1032" s="1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</row>
    <row r="1033" ht="15.75" customHeight="1">
      <c r="A1033" s="103">
        <v>1.1300764E7</v>
      </c>
      <c r="B1033" s="84">
        <v>1.001908151E9</v>
      </c>
      <c r="C1033" s="11" t="s">
        <v>1291</v>
      </c>
      <c r="D1033" s="84">
        <v>14.0</v>
      </c>
      <c r="E1033" s="93">
        <v>15.911</v>
      </c>
      <c r="F1033" s="103" t="s">
        <v>43</v>
      </c>
      <c r="G1033" s="85" t="s">
        <v>32</v>
      </c>
      <c r="H1033" s="12" t="s">
        <v>1304</v>
      </c>
      <c r="I1033" s="85" t="s">
        <v>1232</v>
      </c>
      <c r="J1033" s="12" t="s">
        <v>270</v>
      </c>
      <c r="K1033" s="12" t="s">
        <v>35</v>
      </c>
      <c r="L1033" s="28" t="s">
        <v>188</v>
      </c>
      <c r="M1033" s="85" t="s">
        <v>1208</v>
      </c>
      <c r="N1033" s="88">
        <v>3898.0</v>
      </c>
      <c r="O1033" s="73">
        <f t="shared" si="24"/>
        <v>0.7054899949</v>
      </c>
      <c r="P1033" s="89">
        <v>2750.0</v>
      </c>
      <c r="Q1033" s="12"/>
      <c r="R1033" s="150">
        <v>1552184.0</v>
      </c>
      <c r="S1033" s="85" t="s">
        <v>40</v>
      </c>
      <c r="T1033" s="155">
        <v>6423853.0</v>
      </c>
      <c r="U1033" s="84" t="s">
        <v>1305</v>
      </c>
      <c r="V1033" s="84" t="s">
        <v>1303</v>
      </c>
      <c r="W1033" s="12"/>
      <c r="X1033" s="84" t="s">
        <v>127</v>
      </c>
      <c r="Y1033" s="84" t="s">
        <v>1306</v>
      </c>
      <c r="Z1033" s="84" t="s">
        <v>1307</v>
      </c>
      <c r="AA1033" s="12"/>
      <c r="AB1033" s="12"/>
      <c r="AC1033" s="12"/>
      <c r="AD1033" s="12"/>
      <c r="AE1033" s="107" t="s">
        <v>39</v>
      </c>
      <c r="AF1033" s="1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</row>
    <row r="1034" ht="15.75" customHeight="1">
      <c r="A1034" s="103">
        <v>1.1300765E7</v>
      </c>
      <c r="B1034" s="84">
        <v>1.001908188E9</v>
      </c>
      <c r="C1034" s="11" t="s">
        <v>1285</v>
      </c>
      <c r="D1034" s="84">
        <v>14.0</v>
      </c>
      <c r="E1034" s="93">
        <v>15.911</v>
      </c>
      <c r="F1034" s="103" t="s">
        <v>43</v>
      </c>
      <c r="G1034" s="85" t="s">
        <v>32</v>
      </c>
      <c r="H1034" s="12" t="s">
        <v>1308</v>
      </c>
      <c r="I1034" s="85" t="s">
        <v>1232</v>
      </c>
      <c r="J1034" s="12" t="s">
        <v>270</v>
      </c>
      <c r="K1034" s="12" t="s">
        <v>35</v>
      </c>
      <c r="L1034" s="28" t="s">
        <v>188</v>
      </c>
      <c r="M1034" s="84" t="s">
        <v>1309</v>
      </c>
      <c r="N1034" s="88">
        <v>3898.0</v>
      </c>
      <c r="O1034" s="73">
        <f t="shared" si="24"/>
        <v>0.5259107234</v>
      </c>
      <c r="P1034" s="89">
        <v>2050.0</v>
      </c>
      <c r="Q1034" s="12"/>
      <c r="R1034" s="84">
        <v>1553352.0</v>
      </c>
      <c r="S1034" s="85" t="s">
        <v>40</v>
      </c>
      <c r="T1034" s="155">
        <v>6429898.0</v>
      </c>
      <c r="U1034" s="84" t="s">
        <v>1310</v>
      </c>
      <c r="V1034" s="84" t="s">
        <v>1299</v>
      </c>
      <c r="W1034" s="12"/>
      <c r="X1034" s="84" t="s">
        <v>127</v>
      </c>
      <c r="Y1034" s="84" t="s">
        <v>1311</v>
      </c>
      <c r="Z1034" s="84" t="s">
        <v>1312</v>
      </c>
      <c r="AA1034" s="12"/>
      <c r="AB1034" s="84">
        <v>842290.0</v>
      </c>
      <c r="AC1034" s="84" t="s">
        <v>943</v>
      </c>
      <c r="AD1034" s="12"/>
      <c r="AE1034" s="12"/>
      <c r="AF1034" s="1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</row>
    <row r="1035" ht="15.75" customHeight="1">
      <c r="A1035" s="103">
        <v>1.1300766E7</v>
      </c>
      <c r="B1035" s="84">
        <v>1.001908041E9</v>
      </c>
      <c r="C1035" s="11" t="s">
        <v>1291</v>
      </c>
      <c r="D1035" s="84">
        <v>14.0</v>
      </c>
      <c r="E1035" s="93">
        <v>15.911</v>
      </c>
      <c r="F1035" s="103" t="s">
        <v>43</v>
      </c>
      <c r="G1035" s="85" t="s">
        <v>44</v>
      </c>
      <c r="H1035" s="84" t="s">
        <v>1313</v>
      </c>
      <c r="I1035" s="85" t="s">
        <v>1232</v>
      </c>
      <c r="J1035" s="12" t="s">
        <v>270</v>
      </c>
      <c r="K1035" s="12" t="s">
        <v>35</v>
      </c>
      <c r="L1035" s="28" t="s">
        <v>188</v>
      </c>
      <c r="M1035" s="84" t="s">
        <v>1238</v>
      </c>
      <c r="N1035" s="88">
        <v>3898.0</v>
      </c>
      <c r="O1035" s="73">
        <f t="shared" si="24"/>
        <v>0.7054899949</v>
      </c>
      <c r="P1035" s="89">
        <v>2750.0</v>
      </c>
      <c r="Q1035" s="12"/>
      <c r="R1035" s="84">
        <v>1552001.0</v>
      </c>
      <c r="S1035" s="85" t="s">
        <v>40</v>
      </c>
      <c r="T1035" s="155">
        <v>6422714.0</v>
      </c>
      <c r="U1035" s="84" t="s">
        <v>1314</v>
      </c>
      <c r="V1035" s="84" t="s">
        <v>1295</v>
      </c>
      <c r="W1035" s="12"/>
      <c r="X1035" s="84" t="s">
        <v>127</v>
      </c>
      <c r="Y1035" s="84" t="s">
        <v>1315</v>
      </c>
      <c r="Z1035" s="84" t="s">
        <v>1316</v>
      </c>
      <c r="AA1035" s="12"/>
      <c r="AB1035" s="84">
        <v>839735.0</v>
      </c>
      <c r="AC1035" s="84" t="s">
        <v>1224</v>
      </c>
      <c r="AD1035" s="12"/>
      <c r="AE1035" s="12"/>
      <c r="AF1035" s="1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</row>
    <row r="1036" ht="15.75" customHeight="1">
      <c r="A1036" s="103">
        <v>1.1304488E7</v>
      </c>
      <c r="B1036" s="84">
        <v>1.001909951E9</v>
      </c>
      <c r="C1036" s="11" t="s">
        <v>1285</v>
      </c>
      <c r="D1036" s="84">
        <v>26.0</v>
      </c>
      <c r="E1036" s="93">
        <v>33.43</v>
      </c>
      <c r="F1036" s="12" t="s">
        <v>31</v>
      </c>
      <c r="G1036" s="85" t="s">
        <v>44</v>
      </c>
      <c r="H1036" s="84" t="s">
        <v>1317</v>
      </c>
      <c r="I1036" s="39" t="s">
        <v>137</v>
      </c>
      <c r="J1036" s="84" t="s">
        <v>35</v>
      </c>
      <c r="K1036" s="84" t="s">
        <v>138</v>
      </c>
      <c r="L1036" s="95" t="s">
        <v>94</v>
      </c>
      <c r="M1036" s="84" t="s">
        <v>1149</v>
      </c>
      <c r="N1036" s="88">
        <v>5760.0</v>
      </c>
      <c r="O1036" s="73">
        <f t="shared" si="24"/>
        <v>0.625</v>
      </c>
      <c r="P1036" s="89">
        <v>3600.0</v>
      </c>
      <c r="Q1036" s="84" t="s">
        <v>39</v>
      </c>
      <c r="R1036" s="84">
        <v>1550804.0</v>
      </c>
      <c r="S1036" s="85" t="s">
        <v>40</v>
      </c>
      <c r="T1036" s="155">
        <v>6413394.0</v>
      </c>
      <c r="U1036" s="84" t="s">
        <v>1284</v>
      </c>
      <c r="V1036" s="84" t="s">
        <v>1318</v>
      </c>
      <c r="W1036" s="12"/>
      <c r="X1036" s="84" t="s">
        <v>1319</v>
      </c>
      <c r="Y1036" s="84" t="s">
        <v>1320</v>
      </c>
      <c r="Z1036" s="84" t="s">
        <v>1321</v>
      </c>
      <c r="AA1036" s="12"/>
      <c r="AB1036" s="12"/>
      <c r="AC1036" s="12"/>
      <c r="AD1036" s="12"/>
      <c r="AE1036" s="107" t="s">
        <v>39</v>
      </c>
      <c r="AF1036" s="1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</row>
    <row r="1037" ht="15.75" customHeight="1">
      <c r="A1037" s="103">
        <v>1.1306103E7</v>
      </c>
      <c r="B1037" s="84">
        <v>1.001912994E9</v>
      </c>
      <c r="C1037" s="11" t="s">
        <v>1322</v>
      </c>
      <c r="D1037" s="84">
        <v>26.0</v>
      </c>
      <c r="E1037" s="93">
        <v>31.625</v>
      </c>
      <c r="F1037" s="12" t="s">
        <v>31</v>
      </c>
      <c r="G1037" s="85" t="s">
        <v>44</v>
      </c>
      <c r="H1037" s="84" t="s">
        <v>268</v>
      </c>
      <c r="I1037" s="12" t="s">
        <v>397</v>
      </c>
      <c r="J1037" s="84" t="s">
        <v>35</v>
      </c>
      <c r="K1037" s="84" t="s">
        <v>270</v>
      </c>
      <c r="L1037" s="95" t="s">
        <v>94</v>
      </c>
      <c r="M1037" s="85" t="s">
        <v>1225</v>
      </c>
      <c r="N1037" s="88">
        <v>6410.0</v>
      </c>
      <c r="O1037" s="73">
        <f t="shared" si="24"/>
        <v>0.6630265211</v>
      </c>
      <c r="P1037" s="89">
        <v>4250.0</v>
      </c>
      <c r="Q1037" s="84" t="s">
        <v>39</v>
      </c>
      <c r="R1037" s="84">
        <v>1553303.0</v>
      </c>
      <c r="S1037" s="85" t="s">
        <v>40</v>
      </c>
      <c r="T1037" s="155">
        <v>6429587.0</v>
      </c>
      <c r="U1037" s="84" t="s">
        <v>1323</v>
      </c>
      <c r="V1037" s="84" t="s">
        <v>1324</v>
      </c>
      <c r="W1037" s="12"/>
      <c r="X1037" s="84" t="s">
        <v>127</v>
      </c>
      <c r="Y1037" s="84" t="s">
        <v>1325</v>
      </c>
      <c r="Z1037" s="84" t="s">
        <v>1326</v>
      </c>
      <c r="AA1037" s="12"/>
      <c r="AB1037" s="84">
        <v>841886.0</v>
      </c>
      <c r="AC1037" s="84" t="s">
        <v>1224</v>
      </c>
      <c r="AD1037" s="12"/>
      <c r="AE1037" s="107" t="s">
        <v>39</v>
      </c>
      <c r="AF1037" s="1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</row>
    <row r="1038" ht="15.75" customHeight="1">
      <c r="A1038" s="103">
        <v>1.1306104E7</v>
      </c>
      <c r="B1038" s="84">
        <v>1.001913045E9</v>
      </c>
      <c r="C1038" s="11" t="s">
        <v>1322</v>
      </c>
      <c r="D1038" s="84">
        <v>26.0</v>
      </c>
      <c r="E1038" s="84">
        <v>31.625</v>
      </c>
      <c r="F1038" s="12" t="s">
        <v>31</v>
      </c>
      <c r="G1038" s="85" t="s">
        <v>44</v>
      </c>
      <c r="H1038" s="84" t="s">
        <v>268</v>
      </c>
      <c r="I1038" s="12" t="s">
        <v>397</v>
      </c>
      <c r="J1038" s="84" t="s">
        <v>35</v>
      </c>
      <c r="K1038" s="84" t="s">
        <v>270</v>
      </c>
      <c r="L1038" s="98" t="s">
        <v>94</v>
      </c>
      <c r="M1038" s="85" t="s">
        <v>1187</v>
      </c>
      <c r="N1038" s="133">
        <v>6410.0</v>
      </c>
      <c r="O1038" s="73">
        <f t="shared" si="24"/>
        <v>0.6630265211</v>
      </c>
      <c r="P1038" s="98">
        <v>4250.0</v>
      </c>
      <c r="Q1038" s="84" t="s">
        <v>39</v>
      </c>
      <c r="R1038" s="162">
        <v>1553068.0</v>
      </c>
      <c r="S1038" s="84" t="s">
        <v>40</v>
      </c>
      <c r="T1038" s="155">
        <v>6427675.0</v>
      </c>
      <c r="U1038" s="84" t="s">
        <v>1327</v>
      </c>
      <c r="V1038" s="84" t="s">
        <v>1328</v>
      </c>
      <c r="W1038" s="12"/>
      <c r="X1038" s="84" t="s">
        <v>127</v>
      </c>
      <c r="Y1038" s="84" t="s">
        <v>1329</v>
      </c>
      <c r="Z1038" s="84" t="s">
        <v>1330</v>
      </c>
      <c r="AA1038" s="12"/>
      <c r="AB1038" s="84">
        <v>841690.0</v>
      </c>
      <c r="AC1038" s="84" t="s">
        <v>1224</v>
      </c>
      <c r="AD1038" s="12"/>
      <c r="AE1038" s="107" t="s">
        <v>39</v>
      </c>
      <c r="AF1038" s="1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2"/>
    </row>
    <row r="1039" ht="15.75" customHeight="1">
      <c r="A1039" s="103">
        <v>1.1309782E7</v>
      </c>
      <c r="B1039" s="84">
        <v>1.001917529E9</v>
      </c>
      <c r="C1039" s="11" t="s">
        <v>1331</v>
      </c>
      <c r="D1039" s="84">
        <v>24.0</v>
      </c>
      <c r="E1039" s="84">
        <v>28.304</v>
      </c>
      <c r="F1039" s="12" t="s">
        <v>31</v>
      </c>
      <c r="G1039" s="84" t="s">
        <v>74</v>
      </c>
      <c r="H1039" s="84" t="s">
        <v>526</v>
      </c>
      <c r="I1039" s="84" t="s">
        <v>527</v>
      </c>
      <c r="J1039" s="12" t="s">
        <v>35</v>
      </c>
      <c r="K1039" s="12" t="s">
        <v>528</v>
      </c>
      <c r="L1039" s="98" t="s">
        <v>114</v>
      </c>
      <c r="M1039" s="85" t="s">
        <v>1095</v>
      </c>
      <c r="N1039" s="133">
        <v>5625.0</v>
      </c>
      <c r="O1039" s="73">
        <f t="shared" si="24"/>
        <v>0.7733333333</v>
      </c>
      <c r="P1039" s="98">
        <v>4350.0</v>
      </c>
      <c r="Q1039" s="84" t="s">
        <v>39</v>
      </c>
      <c r="R1039" s="84">
        <v>1552195.0</v>
      </c>
      <c r="S1039" s="84" t="s">
        <v>40</v>
      </c>
      <c r="T1039" s="155">
        <v>6423921.0</v>
      </c>
      <c r="U1039" s="84" t="s">
        <v>1332</v>
      </c>
      <c r="V1039" s="84" t="s">
        <v>1333</v>
      </c>
      <c r="W1039" s="12"/>
      <c r="X1039" s="84" t="s">
        <v>1334</v>
      </c>
      <c r="Y1039" s="84" t="s">
        <v>1335</v>
      </c>
      <c r="Z1039" s="84" t="s">
        <v>1336</v>
      </c>
      <c r="AA1039" s="12"/>
      <c r="AB1039" s="84">
        <v>841516.0</v>
      </c>
      <c r="AC1039" s="84" t="s">
        <v>1154</v>
      </c>
      <c r="AD1039" s="12"/>
      <c r="AE1039" s="107" t="s">
        <v>39</v>
      </c>
      <c r="AF1039" s="1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2"/>
    </row>
    <row r="1040" ht="15.75" customHeight="1">
      <c r="A1040" s="103">
        <v>1.1315563E7</v>
      </c>
      <c r="B1040" s="84">
        <v>1.001923776E9</v>
      </c>
      <c r="C1040" s="11" t="s">
        <v>1337</v>
      </c>
      <c r="D1040" s="84">
        <v>26.0</v>
      </c>
      <c r="E1040" s="93">
        <v>31.625</v>
      </c>
      <c r="F1040" s="12" t="s">
        <v>31</v>
      </c>
      <c r="G1040" s="85" t="s">
        <v>32</v>
      </c>
      <c r="H1040" s="84" t="s">
        <v>268</v>
      </c>
      <c r="I1040" s="29" t="s">
        <v>397</v>
      </c>
      <c r="J1040" s="84" t="s">
        <v>35</v>
      </c>
      <c r="K1040" s="84" t="s">
        <v>270</v>
      </c>
      <c r="L1040" s="95" t="s">
        <v>94</v>
      </c>
      <c r="M1040" s="85" t="s">
        <v>1204</v>
      </c>
      <c r="N1040" s="133">
        <v>6410.0</v>
      </c>
      <c r="O1040" s="73">
        <f t="shared" si="24"/>
        <v>0.7283931357</v>
      </c>
      <c r="P1040" s="98">
        <v>4669.0</v>
      </c>
      <c r="Q1040" s="84" t="s">
        <v>39</v>
      </c>
      <c r="R1040" s="84">
        <v>1554083.0</v>
      </c>
      <c r="S1040" s="84" t="s">
        <v>40</v>
      </c>
      <c r="T1040" s="155">
        <v>6435862.0</v>
      </c>
      <c r="U1040" s="84" t="s">
        <v>1338</v>
      </c>
      <c r="V1040" s="84" t="s">
        <v>1339</v>
      </c>
      <c r="W1040" s="12"/>
      <c r="X1040" s="84" t="s">
        <v>127</v>
      </c>
      <c r="Y1040" s="84" t="s">
        <v>1340</v>
      </c>
      <c r="Z1040" s="84" t="s">
        <v>1341</v>
      </c>
      <c r="AA1040" s="12"/>
      <c r="AB1040" s="84">
        <v>843550.0</v>
      </c>
      <c r="AC1040" s="84" t="s">
        <v>1224</v>
      </c>
      <c r="AD1040" s="12"/>
      <c r="AE1040" s="107" t="s">
        <v>39</v>
      </c>
      <c r="AF1040" s="1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2"/>
    </row>
    <row r="1041" ht="15.75" customHeight="1">
      <c r="A1041" s="103">
        <v>1.1315663E7</v>
      </c>
      <c r="B1041" s="84">
        <v>1.001923974E9</v>
      </c>
      <c r="C1041" s="11" t="s">
        <v>1334</v>
      </c>
      <c r="D1041" s="84">
        <v>26.0</v>
      </c>
      <c r="E1041" s="93">
        <v>31.625</v>
      </c>
      <c r="F1041" s="12" t="s">
        <v>31</v>
      </c>
      <c r="G1041" s="85" t="s">
        <v>32</v>
      </c>
      <c r="H1041" s="12" t="s">
        <v>265</v>
      </c>
      <c r="I1041" s="39" t="s">
        <v>266</v>
      </c>
      <c r="J1041" s="12" t="s">
        <v>35</v>
      </c>
      <c r="K1041" s="12" t="s">
        <v>267</v>
      </c>
      <c r="L1041" s="28" t="s">
        <v>114</v>
      </c>
      <c r="M1041" s="85" t="s">
        <v>704</v>
      </c>
      <c r="N1041" s="133">
        <v>6527.0</v>
      </c>
      <c r="O1041" s="73">
        <f t="shared" si="24"/>
        <v>0.6511414126</v>
      </c>
      <c r="P1041" s="98">
        <v>4250.0</v>
      </c>
      <c r="Q1041" s="84" t="s">
        <v>39</v>
      </c>
      <c r="R1041" s="84">
        <v>1553951.0</v>
      </c>
      <c r="S1041" s="84" t="s">
        <v>40</v>
      </c>
      <c r="T1041" s="155">
        <v>6434709.0</v>
      </c>
      <c r="U1041" s="84" t="s">
        <v>1342</v>
      </c>
      <c r="V1041" s="84" t="s">
        <v>1343</v>
      </c>
      <c r="W1041" s="12"/>
      <c r="X1041" s="84" t="s">
        <v>127</v>
      </c>
      <c r="Y1041" s="84" t="s">
        <v>1344</v>
      </c>
      <c r="Z1041" s="84" t="s">
        <v>1345</v>
      </c>
      <c r="AA1041" s="12"/>
      <c r="AB1041" s="84">
        <v>842537.0</v>
      </c>
      <c r="AC1041" s="84" t="s">
        <v>1224</v>
      </c>
      <c r="AD1041" s="12"/>
      <c r="AE1041" s="107" t="s">
        <v>39</v>
      </c>
      <c r="AF1041" s="1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2"/>
    </row>
    <row r="1042">
      <c r="A1042" s="103">
        <v>1.1319865E7</v>
      </c>
      <c r="B1042" s="84">
        <v>1.001930109E9</v>
      </c>
      <c r="C1042" s="11" t="s">
        <v>1334</v>
      </c>
      <c r="D1042" s="84">
        <v>26.0</v>
      </c>
      <c r="E1042" s="93">
        <v>31.625</v>
      </c>
      <c r="F1042" s="12" t="s">
        <v>31</v>
      </c>
      <c r="G1042" s="85" t="s">
        <v>44</v>
      </c>
      <c r="H1042" s="84" t="s">
        <v>268</v>
      </c>
      <c r="I1042" s="12" t="s">
        <v>397</v>
      </c>
      <c r="J1042" s="84" t="s">
        <v>35</v>
      </c>
      <c r="K1042" s="84" t="s">
        <v>270</v>
      </c>
      <c r="L1042" s="95" t="s">
        <v>94</v>
      </c>
      <c r="M1042" s="85" t="s">
        <v>974</v>
      </c>
      <c r="N1042" s="88">
        <v>6410.0</v>
      </c>
      <c r="O1042" s="73">
        <f t="shared" si="24"/>
        <v>0.6630265211</v>
      </c>
      <c r="P1042" s="89">
        <v>4250.0</v>
      </c>
      <c r="Q1042" s="84" t="s">
        <v>39</v>
      </c>
      <c r="R1042" s="115">
        <v>1553777.0</v>
      </c>
      <c r="S1042" s="84" t="s">
        <v>40</v>
      </c>
      <c r="T1042" s="155">
        <v>6433442.0</v>
      </c>
      <c r="U1042" s="84" t="s">
        <v>1346</v>
      </c>
      <c r="V1042" s="84" t="s">
        <v>1347</v>
      </c>
      <c r="W1042" s="12"/>
      <c r="X1042" s="84" t="s">
        <v>127</v>
      </c>
      <c r="Y1042" s="84" t="s">
        <v>1348</v>
      </c>
      <c r="Z1042" s="84" t="s">
        <v>1349</v>
      </c>
      <c r="AA1042" s="12"/>
      <c r="AB1042" s="84">
        <v>842368.0</v>
      </c>
      <c r="AC1042" s="84" t="s">
        <v>1224</v>
      </c>
      <c r="AD1042" s="12"/>
      <c r="AE1042" s="107" t="s">
        <v>39</v>
      </c>
      <c r="AF1042" s="1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</row>
    <row r="1043">
      <c r="A1043" s="103">
        <v>1.1324853E7</v>
      </c>
      <c r="B1043" s="84">
        <v>1.001934676E9</v>
      </c>
      <c r="C1043" s="11" t="s">
        <v>1350</v>
      </c>
      <c r="D1043" s="84">
        <v>26.0</v>
      </c>
      <c r="E1043" s="84">
        <v>30.663</v>
      </c>
      <c r="F1043" s="12" t="s">
        <v>31</v>
      </c>
      <c r="G1043" s="85" t="s">
        <v>74</v>
      </c>
      <c r="H1043" s="84" t="s">
        <v>1351</v>
      </c>
      <c r="I1043" s="84" t="s">
        <v>1352</v>
      </c>
      <c r="J1043" s="84" t="s">
        <v>35</v>
      </c>
      <c r="K1043" s="84" t="s">
        <v>1353</v>
      </c>
      <c r="L1043" s="98" t="s">
        <v>59</v>
      </c>
      <c r="M1043" s="85" t="s">
        <v>1225</v>
      </c>
      <c r="N1043" s="133">
        <v>5337.0</v>
      </c>
      <c r="O1043" s="73">
        <f t="shared" si="24"/>
        <v>0.6449316095</v>
      </c>
      <c r="P1043" s="98">
        <v>3442.0</v>
      </c>
      <c r="Q1043" s="84" t="s">
        <v>39</v>
      </c>
      <c r="R1043" s="84">
        <v>1556724.0</v>
      </c>
      <c r="S1043" s="84" t="s">
        <v>40</v>
      </c>
      <c r="T1043" s="155">
        <v>6454710.0</v>
      </c>
      <c r="U1043" s="84" t="s">
        <v>1354</v>
      </c>
      <c r="V1043" s="84" t="s">
        <v>1355</v>
      </c>
      <c r="W1043" s="12"/>
      <c r="X1043" s="84" t="s">
        <v>1356</v>
      </c>
      <c r="Y1043" s="84" t="s">
        <v>1356</v>
      </c>
      <c r="Z1043" s="84" t="s">
        <v>1357</v>
      </c>
      <c r="AA1043" s="12"/>
      <c r="AB1043" s="84" t="s">
        <v>1358</v>
      </c>
      <c r="AC1043" s="84" t="s">
        <v>1258</v>
      </c>
      <c r="AD1043" s="12"/>
      <c r="AE1043" s="107" t="s">
        <v>39</v>
      </c>
      <c r="AF1043" s="1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</row>
    <row r="1044">
      <c r="A1044" s="103">
        <v>1.1325509E7</v>
      </c>
      <c r="B1044" s="84">
        <v>1.001935378E9</v>
      </c>
      <c r="C1044" s="11" t="s">
        <v>1334</v>
      </c>
      <c r="D1044" s="84">
        <v>14.0</v>
      </c>
      <c r="E1044" s="84">
        <v>15.911</v>
      </c>
      <c r="F1044" s="103" t="s">
        <v>43</v>
      </c>
      <c r="G1044" s="84" t="s">
        <v>32</v>
      </c>
      <c r="H1044" s="12" t="s">
        <v>1359</v>
      </c>
      <c r="I1044" s="84" t="s">
        <v>1232</v>
      </c>
      <c r="J1044" s="12" t="s">
        <v>270</v>
      </c>
      <c r="K1044" s="12" t="s">
        <v>35</v>
      </c>
      <c r="L1044" s="15" t="s">
        <v>188</v>
      </c>
      <c r="M1044" s="85" t="s">
        <v>1360</v>
      </c>
      <c r="N1044" s="133">
        <v>6410.0</v>
      </c>
      <c r="O1044" s="73">
        <f t="shared" si="24"/>
        <v>0.4290171607</v>
      </c>
      <c r="P1044" s="89">
        <v>2750.0</v>
      </c>
      <c r="Q1044" s="84"/>
      <c r="R1044" s="115">
        <v>1553802.0</v>
      </c>
      <c r="S1044" s="84" t="s">
        <v>40</v>
      </c>
      <c r="T1044" s="155">
        <v>6433685.0</v>
      </c>
      <c r="U1044" s="84" t="s">
        <v>1361</v>
      </c>
      <c r="V1044" s="84" t="s">
        <v>1290</v>
      </c>
      <c r="W1044" s="12"/>
      <c r="X1044" s="84" t="s">
        <v>127</v>
      </c>
      <c r="Y1044" s="84" t="s">
        <v>1362</v>
      </c>
      <c r="Z1044" s="84" t="s">
        <v>1363</v>
      </c>
      <c r="AA1044" s="12"/>
      <c r="AB1044" s="84">
        <v>842686.0</v>
      </c>
      <c r="AC1044" s="84" t="s">
        <v>684</v>
      </c>
      <c r="AD1044" s="12"/>
      <c r="AE1044" s="12"/>
      <c r="AF1044" s="1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</row>
    <row r="1045" ht="15.75" customHeight="1">
      <c r="A1045" s="103">
        <v>1.1328125E7</v>
      </c>
      <c r="B1045" s="84">
        <v>1.001939033E9</v>
      </c>
      <c r="C1045" s="11">
        <v>45748.0</v>
      </c>
      <c r="D1045" s="84">
        <v>26.0</v>
      </c>
      <c r="E1045" s="93">
        <v>32.553</v>
      </c>
      <c r="F1045" s="152" t="s">
        <v>43</v>
      </c>
      <c r="G1045" s="85" t="s">
        <v>32</v>
      </c>
      <c r="H1045" s="84" t="s">
        <v>268</v>
      </c>
      <c r="I1045" s="29" t="s">
        <v>397</v>
      </c>
      <c r="J1045" s="84" t="s">
        <v>35</v>
      </c>
      <c r="K1045" s="84" t="s">
        <v>270</v>
      </c>
      <c r="L1045" s="95" t="s">
        <v>94</v>
      </c>
      <c r="M1045" s="85" t="s">
        <v>1286</v>
      </c>
      <c r="N1045" s="88">
        <v>5847.0</v>
      </c>
      <c r="O1045" s="73">
        <f t="shared" si="24"/>
        <v>0.7696254489</v>
      </c>
      <c r="P1045" s="98">
        <v>4500.0</v>
      </c>
      <c r="Q1045" s="84" t="s">
        <v>39</v>
      </c>
      <c r="R1045" s="84">
        <v>1558987.0</v>
      </c>
      <c r="S1045" s="84" t="s">
        <v>40</v>
      </c>
      <c r="T1045" s="155">
        <v>6467199.0</v>
      </c>
      <c r="U1045" s="112">
        <v>45661.458333333336</v>
      </c>
      <c r="V1045" s="112">
        <v>45661.63888888889</v>
      </c>
      <c r="W1045" s="12"/>
      <c r="X1045" s="84" t="s">
        <v>127</v>
      </c>
      <c r="Y1045" s="112">
        <v>45720.4375</v>
      </c>
      <c r="Z1045" s="112">
        <v>45720.61111111111</v>
      </c>
      <c r="AA1045" s="12"/>
      <c r="AB1045" s="12"/>
      <c r="AC1045" s="12"/>
      <c r="AD1045" s="12"/>
      <c r="AE1045" s="107" t="s">
        <v>39</v>
      </c>
      <c r="AF1045" s="1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</row>
    <row r="1046" ht="15.75" customHeight="1">
      <c r="A1046" s="103">
        <v>1.1328126E7</v>
      </c>
      <c r="B1046" s="84">
        <v>1.001938985E9</v>
      </c>
      <c r="C1046" s="11">
        <v>45748.0</v>
      </c>
      <c r="D1046" s="84">
        <v>26.0</v>
      </c>
      <c r="E1046" s="93">
        <v>32.553</v>
      </c>
      <c r="F1046" s="152" t="s">
        <v>43</v>
      </c>
      <c r="G1046" s="85" t="s">
        <v>32</v>
      </c>
      <c r="H1046" s="84" t="s">
        <v>268</v>
      </c>
      <c r="I1046" s="29" t="s">
        <v>397</v>
      </c>
      <c r="J1046" s="84" t="s">
        <v>35</v>
      </c>
      <c r="K1046" s="84" t="s">
        <v>270</v>
      </c>
      <c r="L1046" s="95" t="s">
        <v>94</v>
      </c>
      <c r="M1046" s="85" t="s">
        <v>1095</v>
      </c>
      <c r="N1046" s="88">
        <v>5847.0</v>
      </c>
      <c r="O1046" s="73">
        <f t="shared" si="24"/>
        <v>0.7696254489</v>
      </c>
      <c r="P1046" s="98">
        <v>4500.0</v>
      </c>
      <c r="Q1046" s="84" t="s">
        <v>39</v>
      </c>
      <c r="R1046" s="84">
        <v>1559299.0</v>
      </c>
      <c r="S1046" s="84" t="s">
        <v>40</v>
      </c>
      <c r="T1046" s="155">
        <v>6468952.0</v>
      </c>
      <c r="U1046" s="112">
        <v>45661.600694444445</v>
      </c>
      <c r="V1046" s="112">
        <v>45661.739583333336</v>
      </c>
      <c r="W1046" s="12"/>
      <c r="X1046" s="84" t="s">
        <v>127</v>
      </c>
      <c r="Y1046" s="112">
        <v>45692.944444444445</v>
      </c>
      <c r="Z1046" s="112">
        <v>45720.395833333336</v>
      </c>
      <c r="AA1046" s="12"/>
      <c r="AB1046" s="12"/>
      <c r="AC1046" s="9"/>
      <c r="AD1046" s="12"/>
      <c r="AE1046" s="107" t="s">
        <v>39</v>
      </c>
      <c r="AF1046" s="1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</row>
    <row r="1047" ht="15.75" customHeight="1">
      <c r="A1047" s="103">
        <v>1.1328138E7</v>
      </c>
      <c r="B1047" s="84">
        <v>1.001939003E9</v>
      </c>
      <c r="C1047" s="11">
        <v>45748.0</v>
      </c>
      <c r="D1047" s="84">
        <v>14.0</v>
      </c>
      <c r="E1047" s="93">
        <v>15.911</v>
      </c>
      <c r="F1047" s="103" t="s">
        <v>43</v>
      </c>
      <c r="G1047" s="84" t="s">
        <v>32</v>
      </c>
      <c r="H1047" s="84" t="s">
        <v>1364</v>
      </c>
      <c r="I1047" s="93" t="s">
        <v>1232</v>
      </c>
      <c r="J1047" s="25" t="s">
        <v>270</v>
      </c>
      <c r="K1047" s="12" t="s">
        <v>35</v>
      </c>
      <c r="L1047" s="28" t="s">
        <v>188</v>
      </c>
      <c r="M1047" s="85" t="s">
        <v>1233</v>
      </c>
      <c r="N1047" s="88">
        <v>3898.0</v>
      </c>
      <c r="O1047" s="73">
        <f t="shared" si="24"/>
        <v>0.7696254489</v>
      </c>
      <c r="P1047" s="98">
        <v>3000.0</v>
      </c>
      <c r="Q1047" s="12"/>
      <c r="R1047" s="84">
        <v>1560764.0</v>
      </c>
      <c r="S1047" s="84" t="s">
        <v>40</v>
      </c>
      <c r="T1047" s="155">
        <v>6479049.0</v>
      </c>
      <c r="U1047" s="112">
        <v>45720.333333333336</v>
      </c>
      <c r="V1047" s="112">
        <v>45720.395833333336</v>
      </c>
      <c r="W1047" s="12"/>
      <c r="X1047" s="84" t="s">
        <v>127</v>
      </c>
      <c r="Y1047" s="112">
        <v>45720.8125</v>
      </c>
      <c r="Z1047" s="112">
        <v>45751.895833333336</v>
      </c>
      <c r="AA1047" s="12"/>
      <c r="AB1047" s="84">
        <v>850072.0</v>
      </c>
      <c r="AC1047" s="84" t="s">
        <v>1365</v>
      </c>
      <c r="AD1047" s="12"/>
      <c r="AE1047" s="107" t="s">
        <v>39</v>
      </c>
      <c r="AF1047" s="1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</row>
    <row r="1048">
      <c r="A1048" s="103">
        <v>1.1328139E7</v>
      </c>
      <c r="B1048" s="84">
        <v>1.001938922E9</v>
      </c>
      <c r="C1048" s="11">
        <v>45748.0</v>
      </c>
      <c r="D1048" s="84">
        <v>14.0</v>
      </c>
      <c r="E1048" s="93">
        <v>15.911</v>
      </c>
      <c r="F1048" s="103" t="s">
        <v>43</v>
      </c>
      <c r="G1048" s="85" t="s">
        <v>32</v>
      </c>
      <c r="H1048" s="12" t="s">
        <v>1366</v>
      </c>
      <c r="I1048" s="85" t="s">
        <v>1232</v>
      </c>
      <c r="J1048" s="12" t="s">
        <v>270</v>
      </c>
      <c r="K1048" s="12" t="s">
        <v>35</v>
      </c>
      <c r="L1048" s="28" t="s">
        <v>188</v>
      </c>
      <c r="M1048" s="85" t="s">
        <v>1360</v>
      </c>
      <c r="N1048" s="88">
        <v>3898.0</v>
      </c>
      <c r="O1048" s="73">
        <f t="shared" si="24"/>
        <v>0.7696254489</v>
      </c>
      <c r="P1048" s="98">
        <v>3000.0</v>
      </c>
      <c r="Q1048" s="12"/>
      <c r="R1048" s="84">
        <v>1560932.0</v>
      </c>
      <c r="S1048" s="84" t="s">
        <v>40</v>
      </c>
      <c r="T1048" s="155">
        <v>6480359.0</v>
      </c>
      <c r="U1048" s="112">
        <v>45720.54861111111</v>
      </c>
      <c r="V1048" s="112">
        <v>45720.61111111111</v>
      </c>
      <c r="W1048" s="12"/>
      <c r="X1048" s="84" t="s">
        <v>127</v>
      </c>
      <c r="Y1048" s="112">
        <v>45781.57083333333</v>
      </c>
      <c r="Z1048" s="112">
        <v>45873.89236111111</v>
      </c>
      <c r="AA1048" s="12"/>
      <c r="AB1048" s="84">
        <v>851230.0</v>
      </c>
      <c r="AC1048" s="84" t="s">
        <v>1367</v>
      </c>
      <c r="AD1048" s="12"/>
      <c r="AE1048" s="107" t="s">
        <v>39</v>
      </c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22"/>
    </row>
    <row r="1049" ht="15.75" customHeight="1">
      <c r="A1049" s="103">
        <v>1.1332525E7</v>
      </c>
      <c r="B1049" s="84">
        <v>1.001939938E9</v>
      </c>
      <c r="C1049" s="11" t="s">
        <v>1350</v>
      </c>
      <c r="D1049" s="84">
        <v>26.0</v>
      </c>
      <c r="E1049" s="93">
        <v>32.468</v>
      </c>
      <c r="F1049" s="12" t="s">
        <v>31</v>
      </c>
      <c r="G1049" s="85" t="s">
        <v>74</v>
      </c>
      <c r="H1049" s="84" t="s">
        <v>1368</v>
      </c>
      <c r="I1049" s="85" t="s">
        <v>1369</v>
      </c>
      <c r="J1049" s="84" t="s">
        <v>35</v>
      </c>
      <c r="K1049" s="84" t="s">
        <v>243</v>
      </c>
      <c r="L1049" s="95" t="s">
        <v>188</v>
      </c>
      <c r="M1049" s="85" t="s">
        <v>1017</v>
      </c>
      <c r="N1049" s="88">
        <v>4362.0</v>
      </c>
      <c r="O1049" s="73">
        <f t="shared" si="24"/>
        <v>0.7102246676</v>
      </c>
      <c r="P1049" s="98">
        <v>3098.0</v>
      </c>
      <c r="Q1049" s="84" t="s">
        <v>39</v>
      </c>
      <c r="R1049" s="84">
        <v>1556726.0</v>
      </c>
      <c r="S1049" s="84" t="s">
        <v>40</v>
      </c>
      <c r="T1049" s="155">
        <v>6454712.0</v>
      </c>
      <c r="U1049" s="84" t="s">
        <v>1370</v>
      </c>
      <c r="V1049" s="84" t="s">
        <v>1371</v>
      </c>
      <c r="W1049" s="12"/>
      <c r="X1049" s="112">
        <v>45661.541666666664</v>
      </c>
      <c r="Y1049" s="112">
        <v>45661.333333333336</v>
      </c>
      <c r="Z1049" s="112">
        <v>45661.756944444445</v>
      </c>
      <c r="AA1049" s="12"/>
      <c r="AB1049" s="84">
        <v>848071.0</v>
      </c>
      <c r="AC1049" s="84" t="s">
        <v>1154</v>
      </c>
      <c r="AD1049" s="12"/>
      <c r="AE1049" s="12"/>
      <c r="AF1049" s="1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</row>
    <row r="1050" ht="15.75" customHeight="1">
      <c r="A1050" s="103">
        <v>1.1339158E7</v>
      </c>
      <c r="B1050" s="84">
        <v>1.001950882E9</v>
      </c>
      <c r="C1050" s="11">
        <v>45749.0</v>
      </c>
      <c r="D1050" s="84">
        <v>26.0</v>
      </c>
      <c r="E1050" s="93">
        <v>32.553</v>
      </c>
      <c r="F1050" s="103" t="s">
        <v>43</v>
      </c>
      <c r="G1050" s="85" t="s">
        <v>32</v>
      </c>
      <c r="H1050" s="84" t="s">
        <v>268</v>
      </c>
      <c r="I1050" s="25" t="s">
        <v>397</v>
      </c>
      <c r="J1050" s="93" t="s">
        <v>35</v>
      </c>
      <c r="K1050" s="84" t="s">
        <v>270</v>
      </c>
      <c r="L1050" s="95" t="s">
        <v>94</v>
      </c>
      <c r="M1050" s="85" t="s">
        <v>704</v>
      </c>
      <c r="N1050" s="88">
        <v>5847.0</v>
      </c>
      <c r="O1050" s="73">
        <f t="shared" si="24"/>
        <v>0.7054899949</v>
      </c>
      <c r="P1050" s="98">
        <v>4125.0</v>
      </c>
      <c r="Q1050" s="84" t="s">
        <v>39</v>
      </c>
      <c r="R1050" s="84">
        <v>1559931.0</v>
      </c>
      <c r="S1050" s="84" t="s">
        <v>40</v>
      </c>
      <c r="T1050" s="155">
        <v>6473078.0</v>
      </c>
      <c r="U1050" s="112">
        <v>45692.57638888889</v>
      </c>
      <c r="V1050" s="112">
        <v>45692.77777777778</v>
      </c>
      <c r="W1050" s="12"/>
      <c r="X1050" s="84" t="s">
        <v>127</v>
      </c>
      <c r="Y1050" s="112">
        <v>45751.55902777778</v>
      </c>
      <c r="Z1050" s="112">
        <v>45751.86111111111</v>
      </c>
      <c r="AA1050" s="12"/>
      <c r="AB1050" s="84">
        <v>850658.0</v>
      </c>
      <c r="AC1050" s="84" t="s">
        <v>1224</v>
      </c>
      <c r="AD1050" s="12"/>
      <c r="AE1050" s="107" t="s">
        <v>39</v>
      </c>
      <c r="AF1050" s="1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</row>
    <row r="1051" ht="15.75" customHeight="1">
      <c r="A1051" s="103">
        <v>1.1339159E7</v>
      </c>
      <c r="B1051" s="84">
        <v>4.503661823E9</v>
      </c>
      <c r="C1051" s="11">
        <v>45750.0</v>
      </c>
      <c r="D1051" s="84">
        <v>26.0</v>
      </c>
      <c r="E1051" s="93">
        <v>32.553</v>
      </c>
      <c r="F1051" s="103" t="s">
        <v>43</v>
      </c>
      <c r="G1051" s="85" t="s">
        <v>32</v>
      </c>
      <c r="H1051" s="85" t="s">
        <v>268</v>
      </c>
      <c r="I1051" s="25" t="s">
        <v>397</v>
      </c>
      <c r="J1051" s="93" t="s">
        <v>35</v>
      </c>
      <c r="K1051" s="84" t="s">
        <v>270</v>
      </c>
      <c r="L1051" s="95" t="s">
        <v>94</v>
      </c>
      <c r="M1051" s="85" t="s">
        <v>1225</v>
      </c>
      <c r="N1051" s="88">
        <v>5847.0</v>
      </c>
      <c r="O1051" s="73">
        <f t="shared" si="24"/>
        <v>0.7183170857</v>
      </c>
      <c r="P1051" s="98">
        <v>4200.0</v>
      </c>
      <c r="Q1051" s="84" t="s">
        <v>39</v>
      </c>
      <c r="R1051" s="84">
        <v>1561027.0</v>
      </c>
      <c r="S1051" s="84" t="s">
        <v>40</v>
      </c>
      <c r="T1051" s="155">
        <v>6481344.0</v>
      </c>
      <c r="U1051" s="112">
        <v>45720.680555555555</v>
      </c>
      <c r="V1051" s="112">
        <v>45720.80902777778</v>
      </c>
      <c r="W1051" s="12"/>
      <c r="X1051" s="84" t="s">
        <v>127</v>
      </c>
      <c r="Y1051" s="112">
        <v>45751.78888888889</v>
      </c>
      <c r="Z1051" s="112">
        <v>45781.145833333336</v>
      </c>
      <c r="AA1051" s="12"/>
      <c r="AB1051" s="84">
        <v>850976.0</v>
      </c>
      <c r="AC1051" s="84" t="s">
        <v>1224</v>
      </c>
      <c r="AD1051" s="12"/>
      <c r="AE1051" s="107" t="s">
        <v>39</v>
      </c>
      <c r="AF1051" s="1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</row>
    <row r="1052" ht="15.75" customHeight="1">
      <c r="A1052" s="103">
        <v>1.133916E7</v>
      </c>
      <c r="B1052" s="84">
        <v>1.00195089E9</v>
      </c>
      <c r="C1052" s="11">
        <v>45750.0</v>
      </c>
      <c r="D1052" s="84">
        <v>14.0</v>
      </c>
      <c r="E1052" s="93">
        <v>15.911</v>
      </c>
      <c r="F1052" s="103" t="s">
        <v>43</v>
      </c>
      <c r="G1052" s="85" t="s">
        <v>32</v>
      </c>
      <c r="H1052" s="85" t="s">
        <v>1372</v>
      </c>
      <c r="I1052" s="93" t="s">
        <v>1232</v>
      </c>
      <c r="J1052" s="25" t="s">
        <v>270</v>
      </c>
      <c r="K1052" s="12" t="s">
        <v>35</v>
      </c>
      <c r="L1052" s="28" t="s">
        <v>188</v>
      </c>
      <c r="M1052" s="85" t="s">
        <v>1238</v>
      </c>
      <c r="N1052" s="88">
        <v>3898.0</v>
      </c>
      <c r="O1052" s="73">
        <f t="shared" si="24"/>
        <v>0.7696254489</v>
      </c>
      <c r="P1052" s="98">
        <v>3000.0</v>
      </c>
      <c r="Q1052" s="12"/>
      <c r="R1052" s="84">
        <v>1562285.0</v>
      </c>
      <c r="S1052" s="84" t="s">
        <v>40</v>
      </c>
      <c r="T1052" s="155">
        <v>6490019.0</v>
      </c>
      <c r="U1052" s="112">
        <v>45781.125</v>
      </c>
      <c r="V1052" s="112">
        <v>45781.145833333336</v>
      </c>
      <c r="W1052" s="12"/>
      <c r="X1052" s="84" t="s">
        <v>127</v>
      </c>
      <c r="Y1052" s="112">
        <v>45812.035416666666</v>
      </c>
      <c r="Z1052" s="112">
        <v>45873.82986111111</v>
      </c>
      <c r="AA1052" s="12"/>
      <c r="AB1052" s="84">
        <v>851363.0</v>
      </c>
      <c r="AC1052" s="84" t="s">
        <v>1373</v>
      </c>
      <c r="AD1052" s="12"/>
      <c r="AE1052" s="107" t="s">
        <v>39</v>
      </c>
      <c r="AF1052" s="1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</row>
    <row r="1053" ht="15.75" customHeight="1">
      <c r="A1053" s="103">
        <v>1.1339161E7</v>
      </c>
      <c r="B1053" s="84">
        <v>1.001950846E9</v>
      </c>
      <c r="C1053" s="11">
        <v>45749.0</v>
      </c>
      <c r="D1053" s="84">
        <v>14.0</v>
      </c>
      <c r="E1053" s="93">
        <v>15.911</v>
      </c>
      <c r="F1053" s="103" t="s">
        <v>43</v>
      </c>
      <c r="G1053" s="85" t="s">
        <v>32</v>
      </c>
      <c r="H1053" s="85" t="s">
        <v>1374</v>
      </c>
      <c r="I1053" s="93" t="s">
        <v>1232</v>
      </c>
      <c r="J1053" s="25" t="s">
        <v>270</v>
      </c>
      <c r="K1053" s="12" t="s">
        <v>35</v>
      </c>
      <c r="L1053" s="28" t="s">
        <v>188</v>
      </c>
      <c r="M1053" s="85" t="s">
        <v>711</v>
      </c>
      <c r="N1053" s="88">
        <v>3898.0</v>
      </c>
      <c r="O1053" s="73">
        <f t="shared" si="24"/>
        <v>0.7696254489</v>
      </c>
      <c r="P1053" s="98">
        <v>3000.0</v>
      </c>
      <c r="Q1053" s="12"/>
      <c r="R1053" s="84">
        <v>1561927.0</v>
      </c>
      <c r="S1053" s="84" t="s">
        <v>40</v>
      </c>
      <c r="T1053" s="155">
        <v>6488363.0</v>
      </c>
      <c r="U1053" s="112">
        <v>45751.791666666664</v>
      </c>
      <c r="V1053" s="112">
        <v>45751.95416666667</v>
      </c>
      <c r="W1053" s="12"/>
      <c r="X1053" s="84" t="s">
        <v>127</v>
      </c>
      <c r="Y1053" s="112">
        <v>45812.370833333334</v>
      </c>
      <c r="Z1053" s="112">
        <v>45873.725694444445</v>
      </c>
      <c r="AA1053" s="12"/>
      <c r="AB1053" s="84">
        <v>851367.0</v>
      </c>
      <c r="AC1053" s="84" t="s">
        <v>684</v>
      </c>
      <c r="AD1053" s="12"/>
      <c r="AE1053" s="107" t="s">
        <v>39</v>
      </c>
      <c r="AF1053" s="1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</row>
    <row r="1054" ht="15.75" customHeight="1">
      <c r="A1054" s="103">
        <v>1.1344826E7</v>
      </c>
      <c r="B1054" s="84">
        <v>1.001957314E9</v>
      </c>
      <c r="C1054" s="11">
        <v>45752.0</v>
      </c>
      <c r="D1054" s="84">
        <v>26.0</v>
      </c>
      <c r="E1054" s="93">
        <v>32.553</v>
      </c>
      <c r="F1054" s="152" t="s">
        <v>43</v>
      </c>
      <c r="G1054" s="85" t="s">
        <v>32</v>
      </c>
      <c r="H1054" s="84" t="s">
        <v>268</v>
      </c>
      <c r="I1054" s="29" t="s">
        <v>397</v>
      </c>
      <c r="J1054" s="84" t="s">
        <v>35</v>
      </c>
      <c r="K1054" s="84" t="s">
        <v>270</v>
      </c>
      <c r="L1054" s="95" t="s">
        <v>94</v>
      </c>
      <c r="M1054" s="85" t="s">
        <v>1095</v>
      </c>
      <c r="N1054" s="88">
        <v>5847.0</v>
      </c>
      <c r="O1054" s="73">
        <f t="shared" si="24"/>
        <v>0.6878741235</v>
      </c>
      <c r="P1054" s="98">
        <v>4022.0</v>
      </c>
      <c r="Q1054" s="84" t="s">
        <v>39</v>
      </c>
      <c r="R1054" s="84">
        <v>1561958.0</v>
      </c>
      <c r="S1054" s="84" t="s">
        <v>40</v>
      </c>
      <c r="T1054" s="155">
        <v>6488591.0</v>
      </c>
      <c r="U1054" s="112">
        <v>45781.354166666664</v>
      </c>
      <c r="V1054" s="112">
        <v>45781.5</v>
      </c>
      <c r="W1054" s="12"/>
      <c r="X1054" s="84" t="s">
        <v>127</v>
      </c>
      <c r="Y1054" s="112">
        <v>45812.958333333336</v>
      </c>
      <c r="Z1054" s="112">
        <v>45842.36111111111</v>
      </c>
      <c r="AA1054" s="12"/>
      <c r="AB1054" s="84">
        <v>852855.0</v>
      </c>
      <c r="AC1054" s="84" t="s">
        <v>1375</v>
      </c>
      <c r="AD1054" s="12"/>
      <c r="AE1054" s="107" t="s">
        <v>39</v>
      </c>
      <c r="AF1054" s="1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</row>
    <row r="1055" ht="15.75" customHeight="1">
      <c r="A1055" s="103">
        <v>1.1344828E7</v>
      </c>
      <c r="B1055" s="84">
        <v>1.001957374E9</v>
      </c>
      <c r="C1055" s="11">
        <v>45752.0</v>
      </c>
      <c r="D1055" s="84">
        <v>14.0</v>
      </c>
      <c r="E1055" s="93">
        <v>15.911</v>
      </c>
      <c r="F1055" s="152" t="s">
        <v>43</v>
      </c>
      <c r="G1055" s="85" t="s">
        <v>32</v>
      </c>
      <c r="H1055" s="85" t="s">
        <v>1376</v>
      </c>
      <c r="I1055" s="93" t="s">
        <v>1232</v>
      </c>
      <c r="J1055" s="25" t="s">
        <v>270</v>
      </c>
      <c r="K1055" s="29" t="s">
        <v>35</v>
      </c>
      <c r="L1055" s="28" t="s">
        <v>188</v>
      </c>
      <c r="M1055" s="85" t="s">
        <v>1233</v>
      </c>
      <c r="N1055" s="88">
        <v>3898.0</v>
      </c>
      <c r="O1055" s="73">
        <f t="shared" si="24"/>
        <v>0.7696254489</v>
      </c>
      <c r="P1055" s="98">
        <v>3000.0</v>
      </c>
      <c r="Q1055" s="12"/>
      <c r="R1055" s="84">
        <v>1563051.0</v>
      </c>
      <c r="S1055" s="84" t="s">
        <v>40</v>
      </c>
      <c r="T1055" s="155">
        <v>6493754.0</v>
      </c>
      <c r="U1055" s="112">
        <v>45842.333333333336</v>
      </c>
      <c r="V1055" s="112">
        <v>45842.36111111111</v>
      </c>
      <c r="W1055" s="12"/>
      <c r="X1055" s="84" t="s">
        <v>127</v>
      </c>
      <c r="Y1055" s="112">
        <v>45873.657638888886</v>
      </c>
      <c r="Z1055" s="112">
        <v>45965.041666666664</v>
      </c>
      <c r="AA1055" s="12"/>
      <c r="AB1055" s="84">
        <v>855000.0</v>
      </c>
      <c r="AC1055" s="84" t="s">
        <v>1365</v>
      </c>
      <c r="AD1055" s="12"/>
      <c r="AE1055" s="107" t="s">
        <v>39</v>
      </c>
      <c r="AF1055" s="1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</row>
    <row r="1056" ht="15.75" customHeight="1">
      <c r="A1056" s="103">
        <v>1.1350271E7</v>
      </c>
      <c r="B1056" s="84">
        <v>1.001961142E9</v>
      </c>
      <c r="C1056" s="11">
        <v>45750.0</v>
      </c>
      <c r="D1056" s="84">
        <v>26.0</v>
      </c>
      <c r="E1056" s="93">
        <v>31.968</v>
      </c>
      <c r="F1056" s="29" t="s">
        <v>31</v>
      </c>
      <c r="G1056" s="85" t="s">
        <v>32</v>
      </c>
      <c r="H1056" s="163" t="s">
        <v>104</v>
      </c>
      <c r="I1056" s="164" t="s">
        <v>105</v>
      </c>
      <c r="J1056" s="164" t="s">
        <v>35</v>
      </c>
      <c r="K1056" s="163" t="s">
        <v>106</v>
      </c>
      <c r="L1056" s="165" t="s">
        <v>59</v>
      </c>
      <c r="M1056" s="85" t="s">
        <v>856</v>
      </c>
      <c r="N1056" s="88">
        <v>5337.0</v>
      </c>
      <c r="O1056" s="73">
        <f t="shared" si="24"/>
        <v>0.2527637249</v>
      </c>
      <c r="P1056" s="98">
        <v>1349.0</v>
      </c>
      <c r="Q1056" s="84" t="s">
        <v>39</v>
      </c>
      <c r="R1056" s="84">
        <v>1560916.0</v>
      </c>
      <c r="S1056" s="84" t="s">
        <v>40</v>
      </c>
      <c r="T1056" s="155">
        <v>6480241.0</v>
      </c>
      <c r="U1056" s="112">
        <v>45720.569444444445</v>
      </c>
      <c r="V1056" s="112">
        <v>45720.8125</v>
      </c>
      <c r="W1056" s="12"/>
      <c r="X1056" s="84" t="s">
        <v>127</v>
      </c>
      <c r="Y1056" s="112">
        <v>45751.67013888889</v>
      </c>
      <c r="Z1056" s="112">
        <v>45781.34027777778</v>
      </c>
      <c r="AA1056" s="12"/>
      <c r="AB1056" s="84">
        <v>850891.0</v>
      </c>
      <c r="AC1056" s="84" t="s">
        <v>1224</v>
      </c>
      <c r="AD1056" s="12"/>
      <c r="AE1056" s="107" t="s">
        <v>39</v>
      </c>
      <c r="AF1056" s="1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2"/>
    </row>
    <row r="1057" ht="15.75" customHeight="1">
      <c r="A1057" s="103">
        <v>1.135485E7</v>
      </c>
      <c r="B1057" s="84">
        <v>1.001969386E9</v>
      </c>
      <c r="C1057" s="11">
        <v>45752.0</v>
      </c>
      <c r="D1057" s="84">
        <v>26.0</v>
      </c>
      <c r="E1057" s="93">
        <v>32.553</v>
      </c>
      <c r="F1057" s="103" t="s">
        <v>43</v>
      </c>
      <c r="G1057" s="84" t="s">
        <v>32</v>
      </c>
      <c r="H1057" s="84" t="s">
        <v>268</v>
      </c>
      <c r="I1057" s="29" t="s">
        <v>397</v>
      </c>
      <c r="J1057" s="84" t="s">
        <v>35</v>
      </c>
      <c r="K1057" s="84" t="s">
        <v>270</v>
      </c>
      <c r="L1057" s="98" t="s">
        <v>94</v>
      </c>
      <c r="M1057" s="85" t="s">
        <v>1204</v>
      </c>
      <c r="N1057" s="88">
        <v>5847.0</v>
      </c>
      <c r="O1057" s="73">
        <f t="shared" si="24"/>
        <v>0.7610740551</v>
      </c>
      <c r="P1057" s="98">
        <v>4450.0</v>
      </c>
      <c r="Q1057" s="84" t="s">
        <v>39</v>
      </c>
      <c r="R1057" s="84">
        <v>1562382.0</v>
      </c>
      <c r="S1057" s="84" t="s">
        <v>40</v>
      </c>
      <c r="T1057" s="155">
        <v>6490749.0</v>
      </c>
      <c r="U1057" s="112">
        <v>45781.50347222222</v>
      </c>
      <c r="V1057" s="112">
        <v>45781.63402777778</v>
      </c>
      <c r="W1057" s="12"/>
      <c r="X1057" s="84" t="s">
        <v>127</v>
      </c>
      <c r="Y1057" s="112">
        <v>45873.40972222222</v>
      </c>
      <c r="Z1057" s="112">
        <v>45873.489583333336</v>
      </c>
      <c r="AA1057" s="12"/>
      <c r="AB1057" s="84">
        <v>852692.0</v>
      </c>
      <c r="AC1057" s="84" t="s">
        <v>1377</v>
      </c>
      <c r="AD1057" s="12"/>
      <c r="AE1057" s="107" t="s">
        <v>39</v>
      </c>
      <c r="AF1057" s="1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</row>
    <row r="1058" ht="15.75" customHeight="1">
      <c r="A1058" s="103">
        <v>1.1354851E7</v>
      </c>
      <c r="B1058" s="84">
        <v>1.001969412E9</v>
      </c>
      <c r="C1058" s="11">
        <v>45752.0</v>
      </c>
      <c r="D1058" s="84">
        <v>14.0</v>
      </c>
      <c r="E1058" s="93">
        <v>15.911</v>
      </c>
      <c r="F1058" s="103" t="s">
        <v>43</v>
      </c>
      <c r="G1058" s="85" t="s">
        <v>32</v>
      </c>
      <c r="H1058" s="85" t="s">
        <v>1378</v>
      </c>
      <c r="I1058" s="93" t="s">
        <v>1232</v>
      </c>
      <c r="J1058" s="25" t="s">
        <v>270</v>
      </c>
      <c r="K1058" s="12" t="s">
        <v>35</v>
      </c>
      <c r="L1058" s="28" t="s">
        <v>188</v>
      </c>
      <c r="M1058" s="85" t="s">
        <v>1379</v>
      </c>
      <c r="N1058" s="133">
        <v>3898.0</v>
      </c>
      <c r="O1058" s="73">
        <f t="shared" si="24"/>
        <v>0.7696254489</v>
      </c>
      <c r="P1058" s="98">
        <v>3000.0</v>
      </c>
      <c r="Q1058" s="12"/>
      <c r="R1058" s="166" t="s">
        <v>580</v>
      </c>
      <c r="S1058" s="166" t="s">
        <v>131</v>
      </c>
      <c r="T1058" s="12"/>
      <c r="U1058" s="12"/>
      <c r="V1058" s="12"/>
      <c r="W1058" s="12"/>
      <c r="X1058" s="84" t="s">
        <v>52</v>
      </c>
      <c r="Y1058" s="84" t="s">
        <v>52</v>
      </c>
      <c r="Z1058" s="84" t="s">
        <v>52</v>
      </c>
      <c r="AA1058" s="84" t="s">
        <v>52</v>
      </c>
      <c r="AB1058" s="84" t="s">
        <v>52</v>
      </c>
      <c r="AC1058" s="84" t="s">
        <v>52</v>
      </c>
      <c r="AD1058" s="84" t="s">
        <v>52</v>
      </c>
      <c r="AE1058" s="84" t="s">
        <v>52</v>
      </c>
      <c r="AF1058" s="84" t="s">
        <v>52</v>
      </c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</row>
    <row r="1059" ht="15.75" customHeight="1">
      <c r="A1059" s="103">
        <v>1.1355313E7</v>
      </c>
      <c r="B1059" s="84">
        <v>1.001969684E9</v>
      </c>
      <c r="C1059" s="11">
        <v>45755.0</v>
      </c>
      <c r="D1059" s="84">
        <v>26.0</v>
      </c>
      <c r="E1059" s="93">
        <v>32.468</v>
      </c>
      <c r="F1059" s="12" t="s">
        <v>31</v>
      </c>
      <c r="G1059" s="85" t="s">
        <v>74</v>
      </c>
      <c r="H1059" s="29" t="s">
        <v>447</v>
      </c>
      <c r="I1059" s="28" t="s">
        <v>448</v>
      </c>
      <c r="J1059" s="25" t="s">
        <v>35</v>
      </c>
      <c r="K1059" s="12" t="s">
        <v>332</v>
      </c>
      <c r="L1059" s="95" t="s">
        <v>188</v>
      </c>
      <c r="M1059" s="85" t="s">
        <v>1286</v>
      </c>
      <c r="N1059" s="133">
        <v>3187.0</v>
      </c>
      <c r="O1059" s="73">
        <f t="shared" si="24"/>
        <v>0.6721054283</v>
      </c>
      <c r="P1059" s="98">
        <v>2142.0</v>
      </c>
      <c r="Q1059" s="84" t="s">
        <v>39</v>
      </c>
      <c r="R1059" s="84">
        <v>1564258.0</v>
      </c>
      <c r="S1059" s="84" t="s">
        <v>40</v>
      </c>
      <c r="T1059" s="155">
        <v>6504110.0</v>
      </c>
      <c r="U1059" s="112">
        <v>45873.92013888889</v>
      </c>
      <c r="V1059" s="112">
        <v>45873.083333333336</v>
      </c>
      <c r="W1059" s="12"/>
      <c r="X1059" s="112">
        <v>45904.291666666664</v>
      </c>
      <c r="Y1059" s="112">
        <v>45904.5625</v>
      </c>
      <c r="Z1059" s="112">
        <v>45904.96527777778</v>
      </c>
      <c r="AA1059" s="12"/>
      <c r="AB1059" s="12">
        <v>853556.0</v>
      </c>
      <c r="AC1059" s="84" t="s">
        <v>1193</v>
      </c>
      <c r="AD1059" s="12"/>
      <c r="AE1059" s="107" t="s">
        <v>39</v>
      </c>
      <c r="AF1059" s="1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</row>
    <row r="1060" ht="15.75" customHeight="1">
      <c r="A1060" s="103">
        <v>1.1355314E7</v>
      </c>
      <c r="B1060" s="84">
        <v>1.00196967E9</v>
      </c>
      <c r="C1060" s="11">
        <v>45755.0</v>
      </c>
      <c r="D1060" s="84">
        <v>26.0</v>
      </c>
      <c r="E1060" s="93">
        <v>32.468</v>
      </c>
      <c r="F1060" s="12" t="s">
        <v>31</v>
      </c>
      <c r="G1060" s="85" t="s">
        <v>74</v>
      </c>
      <c r="H1060" s="29" t="s">
        <v>447</v>
      </c>
      <c r="I1060" s="28" t="s">
        <v>448</v>
      </c>
      <c r="J1060" s="25" t="s">
        <v>35</v>
      </c>
      <c r="K1060" s="12" t="s">
        <v>332</v>
      </c>
      <c r="L1060" s="98" t="s">
        <v>188</v>
      </c>
      <c r="M1060" s="85" t="s">
        <v>1149</v>
      </c>
      <c r="N1060" s="133">
        <v>3187.0</v>
      </c>
      <c r="O1060" s="73">
        <f t="shared" si="24"/>
        <v>0.6884217132</v>
      </c>
      <c r="P1060" s="98">
        <v>2194.0</v>
      </c>
      <c r="Q1060" s="84" t="s">
        <v>39</v>
      </c>
      <c r="R1060" s="84">
        <v>1563754.0</v>
      </c>
      <c r="S1060" s="84" t="s">
        <v>40</v>
      </c>
      <c r="T1060" s="155">
        <v>6499416.0</v>
      </c>
      <c r="U1060" s="112">
        <v>45873.368055555555</v>
      </c>
      <c r="V1060" s="112">
        <v>45873.625</v>
      </c>
      <c r="W1060" s="12"/>
      <c r="X1060" s="112">
        <v>45904.291666666664</v>
      </c>
      <c r="Y1060" s="112">
        <v>45904.291666666664</v>
      </c>
      <c r="Z1060" s="112">
        <v>45904.625</v>
      </c>
      <c r="AA1060" s="12"/>
      <c r="AB1060" s="84" t="s">
        <v>1380</v>
      </c>
      <c r="AC1060" s="84" t="s">
        <v>1134</v>
      </c>
      <c r="AD1060" s="12"/>
      <c r="AE1060" s="107" t="s">
        <v>39</v>
      </c>
      <c r="AF1060" s="1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2"/>
    </row>
    <row r="1061" ht="15.75" customHeight="1">
      <c r="A1061" s="103">
        <v>1.1367913E7</v>
      </c>
      <c r="B1061" s="84">
        <v>1.001986947E9</v>
      </c>
      <c r="C1061" s="11" t="s">
        <v>1381</v>
      </c>
      <c r="D1061" s="84">
        <v>26.0</v>
      </c>
      <c r="E1061" s="93">
        <v>31.625</v>
      </c>
      <c r="F1061" s="29" t="s">
        <v>31</v>
      </c>
      <c r="G1061" s="85" t="s">
        <v>44</v>
      </c>
      <c r="H1061" s="84" t="s">
        <v>1317</v>
      </c>
      <c r="I1061" s="39" t="s">
        <v>137</v>
      </c>
      <c r="J1061" s="84" t="s">
        <v>35</v>
      </c>
      <c r="K1061" s="84" t="s">
        <v>138</v>
      </c>
      <c r="L1061" s="95" t="s">
        <v>94</v>
      </c>
      <c r="M1061" s="85" t="s">
        <v>1382</v>
      </c>
      <c r="N1061" s="88">
        <v>5760.0</v>
      </c>
      <c r="O1061" s="73">
        <f t="shared" si="24"/>
        <v>0.3059027778</v>
      </c>
      <c r="P1061" s="98">
        <v>1762.0</v>
      </c>
      <c r="Q1061" s="84" t="s">
        <v>39</v>
      </c>
      <c r="R1061" s="84">
        <v>1567778.0</v>
      </c>
      <c r="S1061" s="84" t="s">
        <v>40</v>
      </c>
      <c r="T1061" s="155">
        <v>6528590.0</v>
      </c>
      <c r="U1061" s="84" t="s">
        <v>1383</v>
      </c>
      <c r="V1061" s="84" t="s">
        <v>1384</v>
      </c>
      <c r="W1061" s="12"/>
      <c r="X1061" s="84" t="s">
        <v>127</v>
      </c>
      <c r="Y1061" s="84" t="s">
        <v>1385</v>
      </c>
      <c r="Z1061" s="84" t="s">
        <v>1386</v>
      </c>
      <c r="AA1061" s="12"/>
      <c r="AB1061" s="12"/>
      <c r="AC1061" s="12"/>
      <c r="AD1061" s="12"/>
      <c r="AE1061" s="107" t="s">
        <v>39</v>
      </c>
      <c r="AF1061" s="1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</row>
    <row r="1062" ht="15.75" customHeight="1">
      <c r="A1062" s="103">
        <v>1.1367914E7</v>
      </c>
      <c r="B1062" s="84">
        <v>1.001986875E9</v>
      </c>
      <c r="C1062" s="11" t="s">
        <v>1387</v>
      </c>
      <c r="D1062" s="84">
        <v>20.0</v>
      </c>
      <c r="E1062" s="93">
        <v>23.22</v>
      </c>
      <c r="F1062" s="12" t="s">
        <v>31</v>
      </c>
      <c r="G1062" s="85" t="s">
        <v>74</v>
      </c>
      <c r="H1062" s="85" t="s">
        <v>1388</v>
      </c>
      <c r="I1062" s="93" t="s">
        <v>1389</v>
      </c>
      <c r="J1062" s="25" t="s">
        <v>35</v>
      </c>
      <c r="K1062" s="12" t="s">
        <v>332</v>
      </c>
      <c r="L1062" s="98" t="s">
        <v>188</v>
      </c>
      <c r="M1062" s="85" t="s">
        <v>913</v>
      </c>
      <c r="N1062" s="133">
        <v>2797.0</v>
      </c>
      <c r="O1062" s="73">
        <f t="shared" si="24"/>
        <v>0.7490168037</v>
      </c>
      <c r="P1062" s="98">
        <v>2095.0</v>
      </c>
      <c r="Q1062" s="84" t="s">
        <v>39</v>
      </c>
      <c r="R1062" s="84">
        <v>1568386.0</v>
      </c>
      <c r="S1062" s="84" t="s">
        <v>40</v>
      </c>
      <c r="T1062" s="155">
        <v>6534161.0</v>
      </c>
      <c r="U1062" s="84" t="s">
        <v>1390</v>
      </c>
      <c r="V1062" s="84" t="s">
        <v>1391</v>
      </c>
      <c r="W1062" s="12"/>
      <c r="X1062" s="84" t="s">
        <v>1392</v>
      </c>
      <c r="Y1062" s="84" t="s">
        <v>1393</v>
      </c>
      <c r="Z1062" s="84" t="s">
        <v>1394</v>
      </c>
      <c r="AA1062" s="12"/>
      <c r="AB1062" s="12">
        <v>858141.0</v>
      </c>
      <c r="AC1062" s="84" t="s">
        <v>1154</v>
      </c>
      <c r="AD1062" s="12"/>
      <c r="AE1062" s="12"/>
      <c r="AF1062" s="1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</row>
    <row r="1063" ht="15.75" customHeight="1">
      <c r="A1063" s="103">
        <v>1.1368487E7</v>
      </c>
      <c r="B1063" s="84">
        <v>1.001987315E9</v>
      </c>
      <c r="C1063" s="11" t="s">
        <v>1387</v>
      </c>
      <c r="D1063" s="84">
        <v>26.0</v>
      </c>
      <c r="E1063" s="93">
        <v>31.625</v>
      </c>
      <c r="F1063" s="12" t="s">
        <v>31</v>
      </c>
      <c r="G1063" s="85" t="s">
        <v>44</v>
      </c>
      <c r="H1063" s="85" t="s">
        <v>1317</v>
      </c>
      <c r="I1063" s="28" t="s">
        <v>137</v>
      </c>
      <c r="J1063" s="93" t="s">
        <v>35</v>
      </c>
      <c r="K1063" s="84" t="s">
        <v>138</v>
      </c>
      <c r="L1063" s="98" t="s">
        <v>94</v>
      </c>
      <c r="M1063" s="85" t="s">
        <v>704</v>
      </c>
      <c r="N1063" s="133">
        <v>5760.0</v>
      </c>
      <c r="O1063" s="73">
        <f t="shared" si="24"/>
        <v>0.6597222222</v>
      </c>
      <c r="P1063" s="98">
        <v>3800.0</v>
      </c>
      <c r="Q1063" s="84" t="s">
        <v>39</v>
      </c>
      <c r="R1063" s="84">
        <v>1568264.0</v>
      </c>
      <c r="S1063" s="84" t="s">
        <v>40</v>
      </c>
      <c r="T1063" s="155">
        <v>6532981.0</v>
      </c>
      <c r="U1063" s="84" t="s">
        <v>1395</v>
      </c>
      <c r="V1063" s="84" t="s">
        <v>1396</v>
      </c>
      <c r="W1063" s="12"/>
      <c r="X1063" s="84" t="s">
        <v>127</v>
      </c>
      <c r="Y1063" s="84" t="s">
        <v>1397</v>
      </c>
      <c r="Z1063" s="84" t="s">
        <v>1398</v>
      </c>
      <c r="AA1063" s="12"/>
      <c r="AB1063" s="12"/>
      <c r="AC1063" s="12"/>
      <c r="AD1063" s="12"/>
      <c r="AE1063" s="107" t="s">
        <v>39</v>
      </c>
      <c r="AF1063" s="1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2"/>
    </row>
    <row r="1064" ht="15.75" customHeight="1">
      <c r="A1064" s="103">
        <v>1.1368488E7</v>
      </c>
      <c r="B1064" s="84">
        <v>1.001987356E9</v>
      </c>
      <c r="C1064" s="11" t="s">
        <v>1387</v>
      </c>
      <c r="D1064" s="84">
        <v>26.0</v>
      </c>
      <c r="E1064" s="93">
        <v>31.625</v>
      </c>
      <c r="F1064" s="12" t="s">
        <v>31</v>
      </c>
      <c r="G1064" s="84" t="s">
        <v>44</v>
      </c>
      <c r="H1064" s="85" t="s">
        <v>1317</v>
      </c>
      <c r="I1064" s="39" t="s">
        <v>137</v>
      </c>
      <c r="J1064" s="93" t="s">
        <v>35</v>
      </c>
      <c r="K1064" s="85" t="s">
        <v>138</v>
      </c>
      <c r="L1064" s="95" t="s">
        <v>94</v>
      </c>
      <c r="M1064" s="85" t="s">
        <v>1149</v>
      </c>
      <c r="N1064" s="133">
        <v>5760.0</v>
      </c>
      <c r="O1064" s="73">
        <f t="shared" si="24"/>
        <v>0.625</v>
      </c>
      <c r="P1064" s="98">
        <v>3600.0</v>
      </c>
      <c r="Q1064" s="84" t="s">
        <v>39</v>
      </c>
      <c r="R1064" s="84">
        <v>1568291.0</v>
      </c>
      <c r="S1064" s="84" t="s">
        <v>40</v>
      </c>
      <c r="T1064" s="155">
        <v>6533306.0</v>
      </c>
      <c r="U1064" s="84" t="s">
        <v>1399</v>
      </c>
      <c r="V1064" s="84" t="s">
        <v>1395</v>
      </c>
      <c r="W1064" s="12"/>
      <c r="X1064" s="84" t="s">
        <v>127</v>
      </c>
      <c r="Y1064" s="84" t="s">
        <v>1400</v>
      </c>
      <c r="Z1064" s="84" t="s">
        <v>1401</v>
      </c>
      <c r="AA1064" s="12"/>
      <c r="AB1064" s="84">
        <v>858550.0</v>
      </c>
      <c r="AC1064" s="84" t="s">
        <v>1224</v>
      </c>
      <c r="AD1064" s="12"/>
      <c r="AE1064" s="107"/>
      <c r="AF1064" s="1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</row>
    <row r="1065" ht="15.75" customHeight="1">
      <c r="A1065" s="103">
        <v>1.1368489E7</v>
      </c>
      <c r="B1065" s="84">
        <v>1.001987369E9</v>
      </c>
      <c r="C1065" s="11" t="s">
        <v>1387</v>
      </c>
      <c r="D1065" s="84">
        <v>26.0</v>
      </c>
      <c r="E1065" s="93">
        <v>31.625</v>
      </c>
      <c r="F1065" s="12" t="s">
        <v>31</v>
      </c>
      <c r="G1065" s="84" t="s">
        <v>44</v>
      </c>
      <c r="H1065" s="84" t="s">
        <v>1317</v>
      </c>
      <c r="I1065" s="28" t="s">
        <v>137</v>
      </c>
      <c r="J1065" s="93" t="s">
        <v>35</v>
      </c>
      <c r="K1065" s="84" t="s">
        <v>138</v>
      </c>
      <c r="L1065" s="95" t="s">
        <v>94</v>
      </c>
      <c r="M1065" s="85" t="s">
        <v>1402</v>
      </c>
      <c r="N1065" s="88">
        <v>5760.0</v>
      </c>
      <c r="O1065" s="73">
        <f t="shared" si="24"/>
        <v>0.4453125</v>
      </c>
      <c r="P1065" s="98">
        <v>2565.0</v>
      </c>
      <c r="Q1065" s="84" t="s">
        <v>39</v>
      </c>
      <c r="R1065" s="84">
        <v>1568577.0</v>
      </c>
      <c r="S1065" s="84" t="s">
        <v>40</v>
      </c>
      <c r="T1065" s="155">
        <v>6535688.0</v>
      </c>
      <c r="U1065" s="84" t="s">
        <v>1403</v>
      </c>
      <c r="V1065" s="84" t="s">
        <v>1404</v>
      </c>
      <c r="W1065" s="12"/>
      <c r="X1065" s="84" t="s">
        <v>127</v>
      </c>
      <c r="Y1065" s="84" t="s">
        <v>1405</v>
      </c>
      <c r="Z1065" s="84" t="s">
        <v>1406</v>
      </c>
      <c r="AA1065" s="12"/>
      <c r="AB1065" s="12">
        <v>858916.0</v>
      </c>
      <c r="AC1065" s="84" t="s">
        <v>1218</v>
      </c>
      <c r="AD1065" s="12"/>
      <c r="AE1065" s="107" t="s">
        <v>39</v>
      </c>
      <c r="AF1065" s="1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</row>
    <row r="1066" ht="15.75" customHeight="1">
      <c r="A1066" s="103">
        <v>1.1370195E7</v>
      </c>
      <c r="B1066" s="84">
        <v>1.001989811E9</v>
      </c>
      <c r="C1066" s="11" t="s">
        <v>1407</v>
      </c>
      <c r="D1066" s="84">
        <v>26.0</v>
      </c>
      <c r="E1066" s="93">
        <v>33.303</v>
      </c>
      <c r="F1066" s="12" t="s">
        <v>31</v>
      </c>
      <c r="G1066" s="12" t="s">
        <v>32</v>
      </c>
      <c r="H1066" s="84" t="s">
        <v>1408</v>
      </c>
      <c r="I1066" s="93" t="s">
        <v>1409</v>
      </c>
      <c r="J1066" s="93" t="s">
        <v>35</v>
      </c>
      <c r="K1066" s="84" t="s">
        <v>1410</v>
      </c>
      <c r="L1066" s="95" t="s">
        <v>114</v>
      </c>
      <c r="M1066" s="85" t="s">
        <v>1095</v>
      </c>
      <c r="N1066" s="88">
        <v>6920.0</v>
      </c>
      <c r="O1066" s="73">
        <f t="shared" si="24"/>
        <v>0.6719653179</v>
      </c>
      <c r="P1066" s="98">
        <v>4650.0</v>
      </c>
      <c r="Q1066" s="84" t="s">
        <v>39</v>
      </c>
      <c r="R1066" s="84">
        <v>1570897.0</v>
      </c>
      <c r="S1066" s="84" t="s">
        <v>40</v>
      </c>
      <c r="T1066" s="155">
        <v>6551398.0</v>
      </c>
      <c r="U1066" s="84" t="s">
        <v>1411</v>
      </c>
      <c r="V1066" s="84" t="s">
        <v>1412</v>
      </c>
      <c r="W1066" s="12"/>
      <c r="X1066" s="84" t="s">
        <v>127</v>
      </c>
      <c r="Y1066" s="84" t="s">
        <v>1413</v>
      </c>
      <c r="Z1066" s="84" t="s">
        <v>1414</v>
      </c>
      <c r="AA1066" s="12"/>
      <c r="AB1066" s="84">
        <v>860784.0</v>
      </c>
      <c r="AC1066" s="84" t="s">
        <v>1224</v>
      </c>
      <c r="AD1066" s="12"/>
      <c r="AE1066" s="107" t="s">
        <v>39</v>
      </c>
      <c r="AF1066" s="1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</row>
    <row r="1067" ht="15.75" customHeight="1">
      <c r="A1067" s="103">
        <v>1.1370196E7</v>
      </c>
      <c r="B1067" s="84">
        <v>1.001989727E9</v>
      </c>
      <c r="C1067" s="11" t="s">
        <v>1415</v>
      </c>
      <c r="D1067" s="84">
        <v>26.0</v>
      </c>
      <c r="E1067" s="93">
        <v>32.553</v>
      </c>
      <c r="F1067" s="9" t="s">
        <v>43</v>
      </c>
      <c r="G1067" s="12" t="s">
        <v>32</v>
      </c>
      <c r="H1067" s="84" t="s">
        <v>1408</v>
      </c>
      <c r="I1067" s="93" t="s">
        <v>1409</v>
      </c>
      <c r="J1067" s="93" t="s">
        <v>35</v>
      </c>
      <c r="K1067" s="84" t="s">
        <v>1410</v>
      </c>
      <c r="L1067" s="95" t="s">
        <v>114</v>
      </c>
      <c r="M1067" s="85" t="s">
        <v>1416</v>
      </c>
      <c r="N1067" s="88">
        <v>7195.0</v>
      </c>
      <c r="O1067" s="73">
        <f t="shared" si="24"/>
        <v>0.3256428075</v>
      </c>
      <c r="P1067" s="98">
        <v>2343.0</v>
      </c>
      <c r="Q1067" s="84" t="s">
        <v>39</v>
      </c>
      <c r="R1067" s="115">
        <v>1569145.0</v>
      </c>
      <c r="S1067" s="84" t="s">
        <v>40</v>
      </c>
      <c r="T1067" s="155">
        <v>6546489.0</v>
      </c>
      <c r="U1067" s="84" t="s">
        <v>1417</v>
      </c>
      <c r="V1067" s="84" t="s">
        <v>1418</v>
      </c>
      <c r="W1067" s="12"/>
      <c r="X1067" s="84" t="s">
        <v>127</v>
      </c>
      <c r="Y1067" s="84" t="s">
        <v>1419</v>
      </c>
      <c r="Z1067" s="84" t="s">
        <v>1420</v>
      </c>
      <c r="AA1067" s="12"/>
      <c r="AB1067" s="84">
        <v>860765.0</v>
      </c>
      <c r="AC1067" s="84" t="s">
        <v>1224</v>
      </c>
      <c r="AD1067" s="12"/>
      <c r="AE1067" s="107" t="s">
        <v>39</v>
      </c>
      <c r="AF1067" s="1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</row>
    <row r="1068" ht="15.75" customHeight="1">
      <c r="A1068" s="103">
        <v>1.1370197E7</v>
      </c>
      <c r="B1068" s="84">
        <v>1.001989679E9</v>
      </c>
      <c r="C1068" s="11" t="s">
        <v>1415</v>
      </c>
      <c r="D1068" s="84">
        <v>14.0</v>
      </c>
      <c r="E1068" s="84">
        <v>15.911</v>
      </c>
      <c r="F1068" s="38" t="s">
        <v>43</v>
      </c>
      <c r="G1068" s="12" t="s">
        <v>32</v>
      </c>
      <c r="H1068" s="85" t="s">
        <v>1421</v>
      </c>
      <c r="I1068" s="85" t="s">
        <v>1232</v>
      </c>
      <c r="J1068" s="93" t="s">
        <v>1410</v>
      </c>
      <c r="K1068" s="85" t="s">
        <v>35</v>
      </c>
      <c r="L1068" s="95" t="s">
        <v>43</v>
      </c>
      <c r="M1068" s="85" t="s">
        <v>1422</v>
      </c>
      <c r="N1068" s="133">
        <v>4796.0</v>
      </c>
      <c r="O1068" s="73">
        <f t="shared" si="24"/>
        <v>0.3947039199</v>
      </c>
      <c r="P1068" s="98">
        <v>1893.0</v>
      </c>
      <c r="Q1068" s="12"/>
      <c r="R1068" s="84">
        <v>1574232.0</v>
      </c>
      <c r="S1068" s="84" t="s">
        <v>40</v>
      </c>
      <c r="T1068" s="155">
        <v>6561114.0</v>
      </c>
      <c r="U1068" s="84" t="s">
        <v>1423</v>
      </c>
      <c r="V1068" s="84" t="s">
        <v>1420</v>
      </c>
      <c r="W1068" s="12"/>
      <c r="X1068" s="84" t="s">
        <v>127</v>
      </c>
      <c r="Y1068" s="84" t="s">
        <v>1424</v>
      </c>
      <c r="Z1068" s="84" t="s">
        <v>1425</v>
      </c>
      <c r="AA1068" s="12"/>
      <c r="AB1068" s="84">
        <v>861735.0</v>
      </c>
      <c r="AC1068" s="84" t="s">
        <v>601</v>
      </c>
      <c r="AD1068" s="12"/>
      <c r="AE1068" s="12"/>
      <c r="AF1068" s="1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</row>
    <row r="1069" ht="15.75" customHeight="1">
      <c r="A1069" s="103">
        <v>1.1370423E7</v>
      </c>
      <c r="B1069" s="84">
        <v>1.001990305E9</v>
      </c>
      <c r="C1069" s="11" t="s">
        <v>1381</v>
      </c>
      <c r="D1069" s="84">
        <v>26.0</v>
      </c>
      <c r="E1069" s="84">
        <v>32.553</v>
      </c>
      <c r="F1069" s="152" t="s">
        <v>43</v>
      </c>
      <c r="G1069" s="84" t="s">
        <v>32</v>
      </c>
      <c r="H1069" s="85" t="s">
        <v>268</v>
      </c>
      <c r="I1069" s="29" t="s">
        <v>397</v>
      </c>
      <c r="J1069" s="93" t="s">
        <v>35</v>
      </c>
      <c r="K1069" s="85" t="s">
        <v>270</v>
      </c>
      <c r="L1069" s="95" t="s">
        <v>94</v>
      </c>
      <c r="M1069" s="85" t="s">
        <v>1095</v>
      </c>
      <c r="N1069" s="133">
        <v>5847.0</v>
      </c>
      <c r="O1069" s="73">
        <f t="shared" si="24"/>
        <v>0.6841115102</v>
      </c>
      <c r="P1069" s="98">
        <v>4000.0</v>
      </c>
      <c r="Q1069" s="84" t="s">
        <v>39</v>
      </c>
      <c r="R1069" s="84">
        <v>1567675.0</v>
      </c>
      <c r="S1069" s="84" t="s">
        <v>40</v>
      </c>
      <c r="T1069" s="155">
        <v>6527757.0</v>
      </c>
      <c r="U1069" s="84" t="s">
        <v>1426</v>
      </c>
      <c r="V1069" s="84" t="s">
        <v>1427</v>
      </c>
      <c r="W1069" s="12"/>
      <c r="X1069" s="84" t="s">
        <v>127</v>
      </c>
      <c r="Y1069" s="84" t="s">
        <v>1428</v>
      </c>
      <c r="Z1069" s="84" t="s">
        <v>1429</v>
      </c>
      <c r="AA1069" s="12"/>
      <c r="AB1069" s="84">
        <v>858965.0</v>
      </c>
      <c r="AC1069" s="84" t="s">
        <v>1430</v>
      </c>
      <c r="AD1069" s="12"/>
      <c r="AE1069" s="107" t="s">
        <v>39</v>
      </c>
      <c r="AF1069" s="1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</row>
    <row r="1070" ht="15.75" customHeight="1">
      <c r="A1070" s="103">
        <v>1.1370424E7</v>
      </c>
      <c r="B1070" s="84">
        <v>1.001990302E9</v>
      </c>
      <c r="C1070" s="11" t="s">
        <v>1381</v>
      </c>
      <c r="D1070" s="84">
        <v>14.0</v>
      </c>
      <c r="E1070" s="84">
        <v>15.911</v>
      </c>
      <c r="F1070" s="152" t="s">
        <v>43</v>
      </c>
      <c r="G1070" s="84" t="s">
        <v>32</v>
      </c>
      <c r="H1070" s="84" t="s">
        <v>1431</v>
      </c>
      <c r="I1070" s="93" t="s">
        <v>1232</v>
      </c>
      <c r="J1070" s="25" t="s">
        <v>270</v>
      </c>
      <c r="K1070" s="12" t="s">
        <v>35</v>
      </c>
      <c r="L1070" s="28" t="s">
        <v>188</v>
      </c>
      <c r="M1070" s="85" t="s">
        <v>1233</v>
      </c>
      <c r="N1070" s="88">
        <v>3898.0</v>
      </c>
      <c r="O1070" s="73">
        <f t="shared" si="24"/>
        <v>0.7696254489</v>
      </c>
      <c r="P1070" s="98">
        <v>3000.0</v>
      </c>
      <c r="Q1070" s="12"/>
      <c r="R1070" s="115">
        <v>1569174.0</v>
      </c>
      <c r="S1070" s="84" t="s">
        <v>40</v>
      </c>
      <c r="T1070" s="155">
        <v>6539546.0</v>
      </c>
      <c r="U1070" s="84" t="s">
        <v>1432</v>
      </c>
      <c r="V1070" s="84" t="s">
        <v>1429</v>
      </c>
      <c r="W1070" s="12"/>
      <c r="X1070" s="84" t="s">
        <v>127</v>
      </c>
      <c r="Y1070" s="84" t="s">
        <v>1433</v>
      </c>
      <c r="Z1070" s="84" t="s">
        <v>1434</v>
      </c>
      <c r="AA1070" s="12"/>
      <c r="AB1070" s="84">
        <v>858980.0</v>
      </c>
      <c r="AC1070" s="84" t="s">
        <v>584</v>
      </c>
      <c r="AD1070" s="12"/>
      <c r="AE1070" s="12"/>
      <c r="AF1070" s="1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</row>
    <row r="1071" ht="15.75" customHeight="1">
      <c r="A1071" s="103">
        <v>1.1373478E7</v>
      </c>
      <c r="B1071" s="84">
        <v>1.001994884E9</v>
      </c>
      <c r="C1071" s="11" t="s">
        <v>1435</v>
      </c>
      <c r="D1071" s="84">
        <v>26.0</v>
      </c>
      <c r="E1071" s="84">
        <v>33.43</v>
      </c>
      <c r="F1071" s="29" t="s">
        <v>31</v>
      </c>
      <c r="G1071" s="12" t="s">
        <v>32</v>
      </c>
      <c r="H1071" s="12" t="s">
        <v>111</v>
      </c>
      <c r="I1071" s="25" t="s">
        <v>112</v>
      </c>
      <c r="J1071" s="25" t="s">
        <v>35</v>
      </c>
      <c r="K1071" s="12" t="s">
        <v>113</v>
      </c>
      <c r="L1071" s="28" t="s">
        <v>114</v>
      </c>
      <c r="M1071" s="85" t="s">
        <v>1187</v>
      </c>
      <c r="N1071" s="88">
        <v>5323.0</v>
      </c>
      <c r="O1071" s="73">
        <f t="shared" si="24"/>
        <v>0.638737554</v>
      </c>
      <c r="P1071" s="98">
        <v>3400.0</v>
      </c>
      <c r="Q1071" s="84" t="s">
        <v>39</v>
      </c>
      <c r="R1071" s="84">
        <v>1571608.0</v>
      </c>
      <c r="S1071" s="84" t="s">
        <v>40</v>
      </c>
      <c r="T1071" s="155">
        <v>6553251.0</v>
      </c>
      <c r="U1071" s="84" t="s">
        <v>1436</v>
      </c>
      <c r="V1071" s="84" t="s">
        <v>1437</v>
      </c>
      <c r="W1071" s="12"/>
      <c r="X1071" s="84" t="s">
        <v>127</v>
      </c>
      <c r="Y1071" s="84" t="s">
        <v>1438</v>
      </c>
      <c r="Z1071" s="84" t="s">
        <v>1439</v>
      </c>
      <c r="AA1071" s="12"/>
      <c r="AB1071" s="84">
        <v>860795.0</v>
      </c>
      <c r="AC1071" s="84" t="s">
        <v>1224</v>
      </c>
      <c r="AD1071" s="12"/>
      <c r="AE1071" s="107" t="s">
        <v>39</v>
      </c>
      <c r="AF1071" s="1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</row>
    <row r="1072" ht="15.75" customHeight="1">
      <c r="A1072" s="103">
        <v>1.1378435E7</v>
      </c>
      <c r="B1072" s="84">
        <v>1.002001609E9</v>
      </c>
      <c r="C1072" s="11" t="s">
        <v>1435</v>
      </c>
      <c r="D1072" s="84">
        <v>26.0</v>
      </c>
      <c r="E1072" s="84">
        <v>31.625</v>
      </c>
      <c r="F1072" s="29" t="s">
        <v>31</v>
      </c>
      <c r="G1072" s="85" t="s">
        <v>44</v>
      </c>
      <c r="H1072" s="84" t="s">
        <v>1317</v>
      </c>
      <c r="I1072" s="28" t="s">
        <v>137</v>
      </c>
      <c r="J1072" s="93" t="s">
        <v>35</v>
      </c>
      <c r="K1072" s="84" t="s">
        <v>138</v>
      </c>
      <c r="L1072" s="98" t="s">
        <v>94</v>
      </c>
      <c r="M1072" s="85" t="s">
        <v>1204</v>
      </c>
      <c r="N1072" s="133">
        <v>5760.0</v>
      </c>
      <c r="O1072" s="73">
        <f t="shared" si="24"/>
        <v>0.7291666667</v>
      </c>
      <c r="P1072" s="98">
        <v>4200.0</v>
      </c>
      <c r="Q1072" s="84" t="s">
        <v>39</v>
      </c>
      <c r="R1072" s="84">
        <v>1571121.0</v>
      </c>
      <c r="S1072" s="84" t="s">
        <v>40</v>
      </c>
      <c r="T1072" s="155">
        <v>6552124.0</v>
      </c>
      <c r="U1072" s="84" t="s">
        <v>1440</v>
      </c>
      <c r="V1072" s="84" t="s">
        <v>1441</v>
      </c>
      <c r="W1072" s="12"/>
      <c r="X1072" s="84" t="s">
        <v>127</v>
      </c>
      <c r="Y1072" s="84" t="s">
        <v>1442</v>
      </c>
      <c r="Z1072" s="84" t="s">
        <v>1443</v>
      </c>
      <c r="AA1072" s="12"/>
      <c r="AB1072" s="84">
        <v>860597.0</v>
      </c>
      <c r="AC1072" s="84" t="s">
        <v>1224</v>
      </c>
      <c r="AD1072" s="12"/>
      <c r="AE1072" s="107" t="s">
        <v>39</v>
      </c>
      <c r="AF1072" s="1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2"/>
    </row>
    <row r="1073" ht="15.75" customHeight="1">
      <c r="A1073" s="103">
        <v>1.1384339E7</v>
      </c>
      <c r="B1073" s="84">
        <v>1.002009783E9</v>
      </c>
      <c r="C1073" s="11" t="s">
        <v>1444</v>
      </c>
      <c r="D1073" s="84">
        <v>26.0</v>
      </c>
      <c r="E1073" s="84">
        <v>32.974</v>
      </c>
      <c r="F1073" s="29" t="s">
        <v>31</v>
      </c>
      <c r="G1073" s="85" t="s">
        <v>32</v>
      </c>
      <c r="H1073" s="29" t="s">
        <v>265</v>
      </c>
      <c r="I1073" s="28" t="s">
        <v>266</v>
      </c>
      <c r="J1073" s="12" t="s">
        <v>35</v>
      </c>
      <c r="K1073" s="25" t="s">
        <v>267</v>
      </c>
      <c r="L1073" s="15" t="s">
        <v>114</v>
      </c>
      <c r="M1073" s="85" t="s">
        <v>704</v>
      </c>
      <c r="N1073" s="133">
        <v>6527.0</v>
      </c>
      <c r="O1073" s="73">
        <f t="shared" si="24"/>
        <v>0.6794852153</v>
      </c>
      <c r="P1073" s="98">
        <v>4435.0</v>
      </c>
      <c r="Q1073" s="84" t="s">
        <v>39</v>
      </c>
      <c r="R1073" s="84">
        <v>1573859.0</v>
      </c>
      <c r="S1073" s="84" t="s">
        <v>40</v>
      </c>
      <c r="T1073" s="155">
        <v>6558128.0</v>
      </c>
      <c r="U1073" s="84" t="s">
        <v>1445</v>
      </c>
      <c r="V1073" s="84" t="s">
        <v>1446</v>
      </c>
      <c r="W1073" s="12"/>
      <c r="X1073" s="84" t="s">
        <v>127</v>
      </c>
      <c r="Y1073" s="84" t="s">
        <v>1447</v>
      </c>
      <c r="Z1073" s="84" t="s">
        <v>1448</v>
      </c>
      <c r="AA1073" s="12"/>
      <c r="AB1073" s="12"/>
      <c r="AC1073" s="12"/>
      <c r="AD1073" s="12"/>
      <c r="AE1073" s="107" t="s">
        <v>39</v>
      </c>
      <c r="AF1073" s="1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</row>
    <row r="1074" ht="15.75" customHeight="1">
      <c r="A1074" s="103">
        <v>1.1391945E7</v>
      </c>
      <c r="B1074" s="84">
        <v>1.002020139E9</v>
      </c>
      <c r="C1074" s="11" t="s">
        <v>1449</v>
      </c>
      <c r="D1074" s="84">
        <v>26.0</v>
      </c>
      <c r="E1074" s="84">
        <v>33.43</v>
      </c>
      <c r="F1074" s="29" t="s">
        <v>31</v>
      </c>
      <c r="G1074" s="85" t="s">
        <v>32</v>
      </c>
      <c r="H1074" s="12" t="s">
        <v>265</v>
      </c>
      <c r="I1074" s="39" t="s">
        <v>266</v>
      </c>
      <c r="J1074" s="12" t="s">
        <v>35</v>
      </c>
      <c r="K1074" s="12" t="s">
        <v>267</v>
      </c>
      <c r="L1074" s="28" t="s">
        <v>114</v>
      </c>
      <c r="M1074" s="84" t="s">
        <v>913</v>
      </c>
      <c r="N1074" s="88">
        <v>6527.0</v>
      </c>
      <c r="O1074" s="73">
        <f t="shared" si="24"/>
        <v>0.6817833614</v>
      </c>
      <c r="P1074" s="98">
        <v>4450.0</v>
      </c>
      <c r="Q1074" s="84" t="s">
        <v>39</v>
      </c>
      <c r="R1074" s="84">
        <v>1576130.0</v>
      </c>
      <c r="S1074" s="84" t="s">
        <v>40</v>
      </c>
      <c r="T1074" s="90">
        <v>6573804.0</v>
      </c>
      <c r="U1074" s="84" t="s">
        <v>1450</v>
      </c>
      <c r="V1074" s="84" t="s">
        <v>1451</v>
      </c>
      <c r="W1074" s="12"/>
      <c r="X1074" s="84" t="s">
        <v>127</v>
      </c>
      <c r="Y1074" s="84" t="s">
        <v>1452</v>
      </c>
      <c r="Z1074" s="84" t="s">
        <v>1453</v>
      </c>
      <c r="AA1074" s="12"/>
      <c r="AB1074" s="12"/>
      <c r="AC1074" s="12"/>
      <c r="AD1074" s="12"/>
      <c r="AE1074" s="107" t="s">
        <v>39</v>
      </c>
      <c r="AF1074" s="1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</row>
    <row r="1075" ht="15.75" customHeight="1">
      <c r="A1075" s="103">
        <v>1.1391985E7</v>
      </c>
      <c r="B1075" s="84">
        <v>1.002019952E9</v>
      </c>
      <c r="C1075" s="11" t="s">
        <v>1449</v>
      </c>
      <c r="D1075" s="84">
        <v>26.0</v>
      </c>
      <c r="E1075" s="84">
        <v>30.663</v>
      </c>
      <c r="F1075" s="12" t="s">
        <v>31</v>
      </c>
      <c r="G1075" s="85" t="s">
        <v>74</v>
      </c>
      <c r="H1075" s="84" t="s">
        <v>1454</v>
      </c>
      <c r="I1075" s="85" t="s">
        <v>1455</v>
      </c>
      <c r="J1075" s="84" t="s">
        <v>35</v>
      </c>
      <c r="K1075" s="84" t="s">
        <v>187</v>
      </c>
      <c r="L1075" s="95" t="s">
        <v>188</v>
      </c>
      <c r="M1075" s="84" t="s">
        <v>1225</v>
      </c>
      <c r="N1075" s="133">
        <v>4830.0</v>
      </c>
      <c r="O1075" s="73">
        <f t="shared" si="24"/>
        <v>0.6136645963</v>
      </c>
      <c r="P1075" s="98">
        <v>2964.0</v>
      </c>
      <c r="Q1075" s="84" t="s">
        <v>39</v>
      </c>
      <c r="R1075" s="84">
        <v>1575821.0</v>
      </c>
      <c r="S1075" s="84" t="s">
        <v>40</v>
      </c>
      <c r="T1075" s="155">
        <v>6571009.0</v>
      </c>
      <c r="U1075" s="84" t="s">
        <v>1456</v>
      </c>
      <c r="V1075" s="84" t="s">
        <v>1457</v>
      </c>
      <c r="W1075" s="12"/>
      <c r="X1075" s="84" t="s">
        <v>1458</v>
      </c>
      <c r="Y1075" s="84" t="s">
        <v>1459</v>
      </c>
      <c r="Z1075" s="84" t="s">
        <v>1453</v>
      </c>
      <c r="AA1075" s="12"/>
      <c r="AB1075" s="12">
        <v>863285.0</v>
      </c>
      <c r="AC1075" s="115" t="s">
        <v>1460</v>
      </c>
      <c r="AD1075" s="12"/>
      <c r="AE1075" s="107" t="s">
        <v>39</v>
      </c>
      <c r="AF1075" s="1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2"/>
    </row>
    <row r="1076" ht="15.75" customHeight="1">
      <c r="A1076" s="103">
        <v>1.1391986E7</v>
      </c>
      <c r="B1076" s="84">
        <v>1.00201996E9</v>
      </c>
      <c r="C1076" s="11" t="s">
        <v>1449</v>
      </c>
      <c r="D1076" s="84">
        <v>26.0</v>
      </c>
      <c r="E1076" s="84">
        <v>32.177</v>
      </c>
      <c r="F1076" s="12" t="s">
        <v>31</v>
      </c>
      <c r="G1076" s="85" t="s">
        <v>74</v>
      </c>
      <c r="H1076" s="84" t="s">
        <v>1454</v>
      </c>
      <c r="I1076" s="85" t="s">
        <v>1455</v>
      </c>
      <c r="J1076" s="84" t="s">
        <v>35</v>
      </c>
      <c r="K1076" s="84" t="s">
        <v>187</v>
      </c>
      <c r="L1076" s="95" t="s">
        <v>188</v>
      </c>
      <c r="M1076" s="84" t="s">
        <v>1172</v>
      </c>
      <c r="N1076" s="133">
        <v>4830.0</v>
      </c>
      <c r="O1076" s="73">
        <f t="shared" si="24"/>
        <v>0.3002070393</v>
      </c>
      <c r="P1076" s="98">
        <v>1450.0</v>
      </c>
      <c r="Q1076" s="84" t="s">
        <v>39</v>
      </c>
      <c r="R1076" s="84">
        <v>1576346.0</v>
      </c>
      <c r="S1076" s="84" t="s">
        <v>40</v>
      </c>
      <c r="T1076" s="167">
        <v>6575479.0</v>
      </c>
      <c r="U1076" s="84" t="s">
        <v>1450</v>
      </c>
      <c r="V1076" s="84" t="s">
        <v>1461</v>
      </c>
      <c r="W1076" s="12"/>
      <c r="X1076" s="84" t="s">
        <v>1458</v>
      </c>
      <c r="Y1076" s="84" t="s">
        <v>1462</v>
      </c>
      <c r="Z1076" s="84" t="s">
        <v>1463</v>
      </c>
      <c r="AA1076" s="12"/>
      <c r="AB1076" s="84">
        <v>863288.0</v>
      </c>
      <c r="AC1076" s="84" t="s">
        <v>1464</v>
      </c>
      <c r="AD1076" s="12"/>
      <c r="AE1076" s="107" t="s">
        <v>39</v>
      </c>
      <c r="AF1076" s="12"/>
      <c r="AG1076" s="22"/>
      <c r="AH1076" s="22"/>
      <c r="AI1076" s="22"/>
      <c r="AJ1076" s="22"/>
      <c r="AK1076" s="22"/>
      <c r="AL1076" s="22"/>
      <c r="AM1076" s="22"/>
      <c r="AN1076" s="22"/>
      <c r="AO1076" s="22"/>
      <c r="AP1076" s="22"/>
    </row>
    <row r="1077" ht="15.75" customHeight="1">
      <c r="A1077" s="103">
        <v>1.1392188E7</v>
      </c>
      <c r="B1077" s="84">
        <v>1.002019941E9</v>
      </c>
      <c r="C1077" s="11" t="s">
        <v>1449</v>
      </c>
      <c r="D1077" s="84">
        <v>26.0</v>
      </c>
      <c r="E1077" s="84">
        <v>33.971</v>
      </c>
      <c r="F1077" s="9" t="s">
        <v>43</v>
      </c>
      <c r="G1077" s="168" t="s">
        <v>74</v>
      </c>
      <c r="H1077" s="169" t="s">
        <v>1465</v>
      </c>
      <c r="I1077" s="170" t="s">
        <v>1466</v>
      </c>
      <c r="J1077" s="170" t="s">
        <v>925</v>
      </c>
      <c r="K1077" s="170" t="s">
        <v>1467</v>
      </c>
      <c r="L1077" s="171" t="s">
        <v>78</v>
      </c>
      <c r="M1077" s="84" t="s">
        <v>1468</v>
      </c>
      <c r="N1077" s="172">
        <v>3423.0</v>
      </c>
      <c r="O1077" s="73">
        <f t="shared" si="24"/>
        <v>0.7011393514</v>
      </c>
      <c r="P1077" s="98">
        <v>2400.0</v>
      </c>
      <c r="Q1077" s="84" t="s">
        <v>39</v>
      </c>
      <c r="R1077" s="84">
        <v>1576116.0</v>
      </c>
      <c r="S1077" s="84" t="s">
        <v>40</v>
      </c>
      <c r="T1077" s="90">
        <v>6573719.0</v>
      </c>
      <c r="U1077" s="84" t="s">
        <v>1469</v>
      </c>
      <c r="V1077" s="84" t="s">
        <v>1470</v>
      </c>
      <c r="W1077" s="12"/>
      <c r="X1077" s="84" t="s">
        <v>1458</v>
      </c>
      <c r="Y1077" s="84" t="s">
        <v>1471</v>
      </c>
      <c r="Z1077" s="84" t="s">
        <v>1472</v>
      </c>
      <c r="AA1077" s="12"/>
      <c r="AB1077" s="12" t="s">
        <v>1473</v>
      </c>
      <c r="AC1077" s="84" t="s">
        <v>1474</v>
      </c>
      <c r="AD1077" s="12"/>
      <c r="AE1077" s="107" t="s">
        <v>39</v>
      </c>
      <c r="AF1077" s="1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</row>
    <row r="1078" ht="15.75" customHeight="1">
      <c r="A1078" s="103">
        <v>1.1402281E7</v>
      </c>
      <c r="B1078" s="84">
        <v>1.002036404E9</v>
      </c>
      <c r="C1078" s="11" t="s">
        <v>1475</v>
      </c>
      <c r="D1078" s="84">
        <v>22.0</v>
      </c>
      <c r="E1078" s="84">
        <v>27.473</v>
      </c>
      <c r="F1078" s="169" t="s">
        <v>31</v>
      </c>
      <c r="G1078" s="29" t="s">
        <v>74</v>
      </c>
      <c r="H1078" s="84" t="s">
        <v>1476</v>
      </c>
      <c r="I1078" s="85" t="s">
        <v>221</v>
      </c>
      <c r="J1078" s="125" t="s">
        <v>35</v>
      </c>
      <c r="K1078" s="125" t="s">
        <v>187</v>
      </c>
      <c r="L1078" s="95" t="s">
        <v>188</v>
      </c>
      <c r="M1078" s="84" t="s">
        <v>1187</v>
      </c>
      <c r="N1078" s="173">
        <v>4582.0</v>
      </c>
      <c r="O1078" s="73">
        <f t="shared" si="24"/>
        <v>0.6110868616</v>
      </c>
      <c r="P1078" s="98">
        <v>2800.0</v>
      </c>
      <c r="Q1078" s="84" t="s">
        <v>39</v>
      </c>
      <c r="R1078" s="84">
        <v>1579793.0</v>
      </c>
      <c r="S1078" s="84" t="s">
        <v>40</v>
      </c>
      <c r="T1078" s="90">
        <v>6590119.0</v>
      </c>
      <c r="U1078" s="84" t="s">
        <v>1477</v>
      </c>
      <c r="V1078" s="84" t="s">
        <v>1478</v>
      </c>
      <c r="W1078" s="12"/>
      <c r="X1078" s="84" t="s">
        <v>1479</v>
      </c>
      <c r="Y1078" s="84" t="s">
        <v>1480</v>
      </c>
      <c r="Z1078" s="84" t="s">
        <v>1481</v>
      </c>
      <c r="AA1078" s="12"/>
      <c r="AB1078" s="84" t="s">
        <v>1482</v>
      </c>
      <c r="AC1078" s="84" t="s">
        <v>1483</v>
      </c>
      <c r="AD1078" s="12"/>
      <c r="AE1078" s="107" t="s">
        <v>39</v>
      </c>
      <c r="AF1078" s="12"/>
      <c r="AG1078" s="22"/>
      <c r="AH1078" s="22"/>
      <c r="AI1078" s="22"/>
      <c r="AJ1078" s="22"/>
      <c r="AK1078" s="22"/>
      <c r="AL1078" s="22"/>
      <c r="AM1078" s="22"/>
      <c r="AN1078" s="22"/>
      <c r="AO1078" s="22"/>
      <c r="AP1078" s="22"/>
    </row>
    <row r="1079" ht="15.75" customHeight="1">
      <c r="A1079" s="103">
        <v>1.1402427E7</v>
      </c>
      <c r="B1079" s="84">
        <v>1.002036446E9</v>
      </c>
      <c r="C1079" s="11" t="s">
        <v>1484</v>
      </c>
      <c r="D1079" s="84">
        <v>26.0</v>
      </c>
      <c r="E1079" s="84">
        <v>32.177</v>
      </c>
      <c r="F1079" s="169" t="s">
        <v>31</v>
      </c>
      <c r="G1079" s="29" t="s">
        <v>74</v>
      </c>
      <c r="H1079" s="84" t="s">
        <v>1476</v>
      </c>
      <c r="I1079" s="85" t="s">
        <v>221</v>
      </c>
      <c r="J1079" s="125" t="s">
        <v>35</v>
      </c>
      <c r="K1079" s="125" t="s">
        <v>187</v>
      </c>
      <c r="L1079" s="95" t="s">
        <v>188</v>
      </c>
      <c r="M1079" s="84" t="s">
        <v>704</v>
      </c>
      <c r="N1079" s="173">
        <v>4622.0</v>
      </c>
      <c r="O1079" s="73">
        <f t="shared" si="24"/>
        <v>0.6300302899</v>
      </c>
      <c r="P1079" s="98">
        <v>2912.0</v>
      </c>
      <c r="Q1079" s="84" t="s">
        <v>39</v>
      </c>
      <c r="R1079" s="84">
        <v>1580549.0</v>
      </c>
      <c r="S1079" s="84" t="s">
        <v>40</v>
      </c>
      <c r="T1079" s="90">
        <v>6594798.0</v>
      </c>
      <c r="U1079" s="84" t="s">
        <v>1479</v>
      </c>
      <c r="V1079" s="84" t="s">
        <v>1485</v>
      </c>
      <c r="W1079" s="12"/>
      <c r="X1079" s="84" t="s">
        <v>1486</v>
      </c>
      <c r="Y1079" s="84" t="s">
        <v>1487</v>
      </c>
      <c r="Z1079" s="84" t="s">
        <v>1488</v>
      </c>
      <c r="AA1079" s="12"/>
      <c r="AB1079" s="84">
        <v>866784.0</v>
      </c>
      <c r="AC1079" s="84" t="s">
        <v>1154</v>
      </c>
      <c r="AD1079" s="12"/>
      <c r="AE1079" s="107" t="s">
        <v>39</v>
      </c>
      <c r="AF1079" s="1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</row>
    <row r="1080" ht="15.75" customHeight="1">
      <c r="A1080" s="103">
        <v>1.1402522E7</v>
      </c>
      <c r="B1080" s="84">
        <v>1.002036338E9</v>
      </c>
      <c r="C1080" s="11" t="s">
        <v>1489</v>
      </c>
      <c r="D1080" s="84">
        <v>26.0</v>
      </c>
      <c r="E1080" s="84">
        <v>32177.0</v>
      </c>
      <c r="F1080" s="169" t="s">
        <v>31</v>
      </c>
      <c r="G1080" s="29" t="s">
        <v>74</v>
      </c>
      <c r="H1080" s="84" t="s">
        <v>1476</v>
      </c>
      <c r="I1080" s="85" t="s">
        <v>221</v>
      </c>
      <c r="J1080" s="125" t="s">
        <v>35</v>
      </c>
      <c r="K1080" s="125" t="s">
        <v>187</v>
      </c>
      <c r="L1080" s="95" t="s">
        <v>188</v>
      </c>
      <c r="M1080" s="84" t="s">
        <v>1286</v>
      </c>
      <c r="N1080" s="173">
        <v>4622.0</v>
      </c>
      <c r="O1080" s="73">
        <f t="shared" si="24"/>
        <v>0.673301601</v>
      </c>
      <c r="P1080" s="98">
        <v>3112.0</v>
      </c>
      <c r="Q1080" s="84" t="s">
        <v>39</v>
      </c>
      <c r="R1080" s="84">
        <v>1578190.0</v>
      </c>
      <c r="S1080" s="84" t="s">
        <v>40</v>
      </c>
      <c r="T1080" s="90">
        <v>6584736.0</v>
      </c>
      <c r="U1080" s="84" t="s">
        <v>1490</v>
      </c>
      <c r="V1080" s="84" t="s">
        <v>1491</v>
      </c>
      <c r="W1080" s="12"/>
      <c r="X1080" s="84" t="s">
        <v>1492</v>
      </c>
      <c r="Y1080" s="84" t="s">
        <v>1462</v>
      </c>
      <c r="Z1080" s="84" t="s">
        <v>1493</v>
      </c>
      <c r="AA1080" s="12"/>
      <c r="AB1080" s="84">
        <v>865983.0</v>
      </c>
      <c r="AC1080" s="84" t="s">
        <v>1494</v>
      </c>
      <c r="AD1080" s="12"/>
      <c r="AE1080" s="107" t="s">
        <v>39</v>
      </c>
      <c r="AF1080" s="1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</row>
    <row r="1081" ht="15.75" customHeight="1">
      <c r="A1081" s="103">
        <v>1.1407545E7</v>
      </c>
      <c r="B1081" s="84">
        <v>1.002041444E9</v>
      </c>
      <c r="C1081" s="11" t="s">
        <v>1495</v>
      </c>
      <c r="D1081" s="84">
        <v>26.0</v>
      </c>
      <c r="E1081" s="84">
        <v>32.177</v>
      </c>
      <c r="F1081" s="12" t="s">
        <v>31</v>
      </c>
      <c r="G1081" s="85" t="s">
        <v>74</v>
      </c>
      <c r="H1081" s="84" t="s">
        <v>1368</v>
      </c>
      <c r="I1081" s="85" t="s">
        <v>1369</v>
      </c>
      <c r="J1081" s="84" t="s">
        <v>35</v>
      </c>
      <c r="K1081" s="84" t="s">
        <v>243</v>
      </c>
      <c r="L1081" s="95" t="s">
        <v>188</v>
      </c>
      <c r="M1081" s="84" t="s">
        <v>1496</v>
      </c>
      <c r="N1081" s="174">
        <v>4794.0</v>
      </c>
      <c r="O1081" s="73">
        <f t="shared" si="24"/>
        <v>0.4140592407</v>
      </c>
      <c r="P1081" s="98">
        <v>1985.0</v>
      </c>
      <c r="Q1081" s="84" t="s">
        <v>39</v>
      </c>
      <c r="R1081" s="84">
        <v>1581700.0</v>
      </c>
      <c r="S1081" s="84" t="s">
        <v>40</v>
      </c>
      <c r="T1081" s="90">
        <v>6603019.0</v>
      </c>
      <c r="U1081" s="84" t="s">
        <v>1497</v>
      </c>
      <c r="V1081" s="84" t="s">
        <v>1498</v>
      </c>
      <c r="W1081" s="12"/>
      <c r="X1081" s="112">
        <v>45693.458333333336</v>
      </c>
      <c r="Y1081" s="112">
        <v>45693.333333333336</v>
      </c>
      <c r="Z1081" s="112">
        <v>45718.302083333336</v>
      </c>
      <c r="AA1081" s="12"/>
      <c r="AB1081" s="12" t="s">
        <v>1499</v>
      </c>
      <c r="AC1081" s="84" t="s">
        <v>1500</v>
      </c>
      <c r="AD1081" s="12"/>
      <c r="AE1081" s="107" t="s">
        <v>39</v>
      </c>
      <c r="AF1081" s="1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</row>
    <row r="1082" ht="15.0" customHeight="1">
      <c r="A1082" s="103">
        <v>1.1407546E7</v>
      </c>
      <c r="B1082" s="84">
        <v>1.00204144E9</v>
      </c>
      <c r="C1082" s="11" t="s">
        <v>1495</v>
      </c>
      <c r="D1082" s="84">
        <v>26.0</v>
      </c>
      <c r="E1082" s="84">
        <v>31.037</v>
      </c>
      <c r="F1082" s="169" t="s">
        <v>31</v>
      </c>
      <c r="G1082" s="29" t="s">
        <v>74</v>
      </c>
      <c r="H1082" s="84" t="s">
        <v>1454</v>
      </c>
      <c r="I1082" s="85" t="s">
        <v>1455</v>
      </c>
      <c r="J1082" s="84" t="s">
        <v>35</v>
      </c>
      <c r="K1082" s="84" t="s">
        <v>187</v>
      </c>
      <c r="L1082" s="95" t="s">
        <v>188</v>
      </c>
      <c r="M1082" s="84" t="s">
        <v>1095</v>
      </c>
      <c r="N1082" s="174">
        <v>4830.0</v>
      </c>
      <c r="O1082" s="73">
        <f t="shared" si="24"/>
        <v>0.6550724638</v>
      </c>
      <c r="P1082" s="98">
        <v>3164.0</v>
      </c>
      <c r="Q1082" s="84" t="s">
        <v>39</v>
      </c>
      <c r="R1082" s="175">
        <v>1581730.0</v>
      </c>
      <c r="S1082" s="84" t="s">
        <v>40</v>
      </c>
      <c r="T1082" s="90">
        <v>6605624.0</v>
      </c>
      <c r="U1082" s="84" t="s">
        <v>1501</v>
      </c>
      <c r="V1082" s="84" t="s">
        <v>1502</v>
      </c>
      <c r="W1082" s="12"/>
      <c r="X1082" s="112">
        <v>45693.291666666664</v>
      </c>
      <c r="Y1082" s="112">
        <v>45662.70138888889</v>
      </c>
      <c r="Z1082" s="112">
        <v>45693.40625</v>
      </c>
      <c r="AA1082" s="12"/>
      <c r="AB1082" s="12"/>
      <c r="AC1082" s="12"/>
      <c r="AD1082" s="12"/>
      <c r="AE1082" s="107" t="s">
        <v>39</v>
      </c>
      <c r="AF1082" s="1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</row>
    <row r="1083" ht="15.75" customHeight="1">
      <c r="A1083" s="103">
        <v>1.1409248E7</v>
      </c>
      <c r="B1083" s="84">
        <v>1.002044599E9</v>
      </c>
      <c r="C1083" s="11" t="s">
        <v>1475</v>
      </c>
      <c r="D1083" s="84">
        <v>2.0</v>
      </c>
      <c r="E1083" s="84">
        <v>962.0</v>
      </c>
      <c r="F1083" s="9" t="s">
        <v>43</v>
      </c>
      <c r="G1083" s="168" t="s">
        <v>74</v>
      </c>
      <c r="H1083" s="176" t="s">
        <v>1503</v>
      </c>
      <c r="I1083" s="85" t="s">
        <v>953</v>
      </c>
      <c r="J1083" s="125" t="s">
        <v>1467</v>
      </c>
      <c r="K1083" s="125" t="s">
        <v>925</v>
      </c>
      <c r="L1083" s="171" t="s">
        <v>78</v>
      </c>
      <c r="M1083" s="84" t="s">
        <v>1504</v>
      </c>
      <c r="N1083" s="174">
        <v>2054.0</v>
      </c>
      <c r="O1083" s="73">
        <f t="shared" si="24"/>
        <v>0.3651411879</v>
      </c>
      <c r="P1083" s="98">
        <v>750.0</v>
      </c>
      <c r="Q1083" s="84" t="s">
        <v>39</v>
      </c>
      <c r="R1083" s="84">
        <v>1580829.0</v>
      </c>
      <c r="S1083" s="84" t="s">
        <v>40</v>
      </c>
      <c r="T1083" s="155"/>
      <c r="U1083" s="84" t="s">
        <v>1505</v>
      </c>
      <c r="V1083" s="84" t="s">
        <v>1472</v>
      </c>
      <c r="W1083" s="12"/>
      <c r="X1083" s="84" t="s">
        <v>127</v>
      </c>
      <c r="Y1083" s="84" t="s">
        <v>1506</v>
      </c>
      <c r="Z1083" s="84" t="s">
        <v>1507</v>
      </c>
      <c r="AA1083" s="12"/>
      <c r="AB1083" s="12"/>
      <c r="AC1083" s="12"/>
      <c r="AD1083" s="12"/>
      <c r="AE1083" s="12"/>
      <c r="AF1083" s="1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</row>
    <row r="1084" ht="15.75" customHeight="1">
      <c r="A1084" s="103">
        <v>1.1409836E7</v>
      </c>
      <c r="B1084" s="84">
        <v>1.002045338E9</v>
      </c>
      <c r="C1084" s="11" t="s">
        <v>1495</v>
      </c>
      <c r="D1084" s="84">
        <v>20.0</v>
      </c>
      <c r="E1084" s="84">
        <v>24.281</v>
      </c>
      <c r="F1084" s="12" t="s">
        <v>31</v>
      </c>
      <c r="G1084" s="85" t="s">
        <v>74</v>
      </c>
      <c r="H1084" s="84" t="s">
        <v>1508</v>
      </c>
      <c r="I1084" s="89" t="s">
        <v>186</v>
      </c>
      <c r="J1084" s="84" t="s">
        <v>35</v>
      </c>
      <c r="K1084" s="84" t="s">
        <v>187</v>
      </c>
      <c r="L1084" s="95" t="s">
        <v>108</v>
      </c>
      <c r="M1084" s="84" t="s">
        <v>962</v>
      </c>
      <c r="N1084" s="174">
        <v>4662.0</v>
      </c>
      <c r="O1084" s="73">
        <f t="shared" si="24"/>
        <v>0.5911625912</v>
      </c>
      <c r="P1084" s="98">
        <v>2756.0</v>
      </c>
      <c r="Q1084" s="84" t="s">
        <v>39</v>
      </c>
      <c r="R1084" s="84">
        <v>1581526.0</v>
      </c>
      <c r="S1084" s="84" t="s">
        <v>40</v>
      </c>
      <c r="T1084" s="90">
        <v>6601265.0</v>
      </c>
      <c r="U1084" s="84" t="s">
        <v>1509</v>
      </c>
      <c r="V1084" s="84" t="s">
        <v>1510</v>
      </c>
      <c r="W1084" s="12"/>
      <c r="X1084" s="112">
        <v>45693.25</v>
      </c>
      <c r="Y1084" s="112">
        <v>45693.25</v>
      </c>
      <c r="Z1084" s="112">
        <v>45693.48611111111</v>
      </c>
      <c r="AA1084" s="12"/>
      <c r="AB1084" s="84">
        <v>867860.0</v>
      </c>
      <c r="AC1084" s="84" t="s">
        <v>1154</v>
      </c>
      <c r="AD1084" s="12"/>
      <c r="AE1084" s="107" t="s">
        <v>39</v>
      </c>
      <c r="AF1084" s="1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</row>
    <row r="1085" ht="15.75" customHeight="1">
      <c r="A1085" s="103">
        <v>1.1410635E7</v>
      </c>
      <c r="B1085" s="84">
        <v>1.002046173E9</v>
      </c>
      <c r="C1085" s="11" t="s">
        <v>1495</v>
      </c>
      <c r="D1085" s="84">
        <v>26.0</v>
      </c>
      <c r="E1085" s="84">
        <v>32.468</v>
      </c>
      <c r="F1085" s="29" t="s">
        <v>31</v>
      </c>
      <c r="G1085" s="85" t="s">
        <v>74</v>
      </c>
      <c r="H1085" s="84" t="s">
        <v>1476</v>
      </c>
      <c r="I1085" s="85" t="s">
        <v>221</v>
      </c>
      <c r="J1085" s="159" t="s">
        <v>35</v>
      </c>
      <c r="K1085" s="159" t="s">
        <v>187</v>
      </c>
      <c r="L1085" s="95" t="s">
        <v>108</v>
      </c>
      <c r="M1085" s="84" t="s">
        <v>1204</v>
      </c>
      <c r="N1085" s="174">
        <v>4622.0</v>
      </c>
      <c r="O1085" s="73">
        <f t="shared" si="24"/>
        <v>0.673301601</v>
      </c>
      <c r="P1085" s="98">
        <v>3112.0</v>
      </c>
      <c r="Q1085" s="84" t="s">
        <v>39</v>
      </c>
      <c r="R1085" s="84">
        <v>1581781.0</v>
      </c>
      <c r="S1085" s="84" t="s">
        <v>40</v>
      </c>
      <c r="T1085" s="90">
        <v>6603887.0</v>
      </c>
      <c r="U1085" s="84" t="s">
        <v>1511</v>
      </c>
      <c r="V1085" s="84" t="s">
        <v>1512</v>
      </c>
      <c r="W1085" s="12"/>
      <c r="X1085" s="112">
        <v>45693.291666666664</v>
      </c>
      <c r="Y1085" s="112">
        <v>45693.291666666664</v>
      </c>
      <c r="Z1085" s="112">
        <v>45693.52777777778</v>
      </c>
      <c r="AA1085" s="12"/>
      <c r="AB1085" s="84">
        <v>867923.0</v>
      </c>
      <c r="AC1085" s="84" t="s">
        <v>1154</v>
      </c>
      <c r="AD1085" s="12"/>
      <c r="AE1085" s="107" t="s">
        <v>39</v>
      </c>
      <c r="AF1085" s="1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</row>
    <row r="1086" ht="15.75" customHeight="1">
      <c r="A1086" s="103">
        <v>1.1416374E7</v>
      </c>
      <c r="B1086" s="84">
        <v>1.002054173E9</v>
      </c>
      <c r="C1086" s="11">
        <v>45782.0</v>
      </c>
      <c r="D1086" s="84">
        <v>26.0</v>
      </c>
      <c r="E1086" s="84">
        <v>31.831</v>
      </c>
      <c r="F1086" s="103" t="s">
        <v>43</v>
      </c>
      <c r="G1086" s="85" t="s">
        <v>44</v>
      </c>
      <c r="H1086" s="84" t="s">
        <v>268</v>
      </c>
      <c r="I1086" s="29" t="s">
        <v>397</v>
      </c>
      <c r="J1086" s="84" t="s">
        <v>35</v>
      </c>
      <c r="K1086" s="84" t="s">
        <v>270</v>
      </c>
      <c r="L1086" s="95" t="s">
        <v>94</v>
      </c>
      <c r="M1086" s="84" t="s">
        <v>1187</v>
      </c>
      <c r="N1086" s="133">
        <v>6410.0</v>
      </c>
      <c r="O1086" s="73">
        <f t="shared" si="24"/>
        <v>0.6864274571</v>
      </c>
      <c r="P1086" s="98">
        <v>4400.0</v>
      </c>
      <c r="Q1086" s="84" t="s">
        <v>39</v>
      </c>
      <c r="R1086" s="84">
        <v>1584292.0</v>
      </c>
      <c r="S1086" s="84" t="s">
        <v>40</v>
      </c>
      <c r="T1086" s="90">
        <v>6618736.0</v>
      </c>
      <c r="U1086" s="112">
        <v>45782.416666666664</v>
      </c>
      <c r="V1086" s="112">
        <v>45782.625</v>
      </c>
      <c r="W1086" s="12"/>
      <c r="X1086" s="84" t="s">
        <v>127</v>
      </c>
      <c r="Y1086" s="112">
        <v>45843.0</v>
      </c>
      <c r="Z1086" s="112">
        <v>45843.416666666664</v>
      </c>
      <c r="AA1086" s="12"/>
      <c r="AB1086" s="84">
        <v>871009.0</v>
      </c>
      <c r="AC1086" s="84" t="s">
        <v>1513</v>
      </c>
      <c r="AD1086" s="12"/>
      <c r="AE1086" s="107" t="s">
        <v>39</v>
      </c>
      <c r="AF1086" s="12"/>
      <c r="AG1086" s="22"/>
      <c r="AH1086" s="22"/>
      <c r="AI1086" s="22"/>
      <c r="AJ1086" s="22"/>
      <c r="AK1086" s="22"/>
      <c r="AL1086" s="22"/>
      <c r="AM1086" s="22"/>
      <c r="AN1086" s="22"/>
      <c r="AO1086" s="22"/>
      <c r="AP1086" s="22"/>
    </row>
    <row r="1087" ht="15.0" customHeight="1">
      <c r="A1087" s="103">
        <v>1.1416375E7</v>
      </c>
      <c r="B1087" s="84">
        <v>1.002054179E9</v>
      </c>
      <c r="C1087" s="11">
        <v>45813.0</v>
      </c>
      <c r="D1087" s="84">
        <v>26.0</v>
      </c>
      <c r="E1087" s="84">
        <v>31.591</v>
      </c>
      <c r="F1087" s="12" t="s">
        <v>31</v>
      </c>
      <c r="G1087" s="85" t="s">
        <v>44</v>
      </c>
      <c r="H1087" s="84" t="s">
        <v>268</v>
      </c>
      <c r="I1087" s="29" t="s">
        <v>397</v>
      </c>
      <c r="J1087" s="84" t="s">
        <v>35</v>
      </c>
      <c r="K1087" s="84" t="s">
        <v>270</v>
      </c>
      <c r="L1087" s="95" t="s">
        <v>94</v>
      </c>
      <c r="M1087" s="84" t="s">
        <v>913</v>
      </c>
      <c r="N1087" s="133">
        <v>6410.0</v>
      </c>
      <c r="O1087" s="73">
        <f t="shared" si="24"/>
        <v>0.6630265211</v>
      </c>
      <c r="P1087" s="98">
        <v>4250.0</v>
      </c>
      <c r="Q1087" s="84" t="s">
        <v>39</v>
      </c>
      <c r="R1087" s="84">
        <v>1585282.0</v>
      </c>
      <c r="S1087" s="84" t="s">
        <v>40</v>
      </c>
      <c r="T1087" s="90">
        <v>6625924.0</v>
      </c>
      <c r="U1087" s="112">
        <v>45813.493055555555</v>
      </c>
      <c r="V1087" s="112">
        <v>45813.586805555555</v>
      </c>
      <c r="W1087" s="12"/>
      <c r="X1087" s="84" t="s">
        <v>127</v>
      </c>
      <c r="Y1087" s="112">
        <v>45843.958333333336</v>
      </c>
      <c r="Z1087" s="112">
        <v>45874.208333333336</v>
      </c>
      <c r="AA1087" s="12"/>
      <c r="AB1087" s="12"/>
      <c r="AC1087" s="12"/>
      <c r="AD1087" s="12"/>
      <c r="AE1087" s="107" t="s">
        <v>39</v>
      </c>
      <c r="AF1087" s="1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</row>
    <row r="1088" ht="15.75" customHeight="1">
      <c r="A1088" s="103">
        <v>1.1417242E7</v>
      </c>
      <c r="B1088" s="84">
        <v>1.002056224E9</v>
      </c>
      <c r="C1088" s="11">
        <v>45813.0</v>
      </c>
      <c r="D1088" s="84">
        <v>27.0</v>
      </c>
      <c r="E1088" s="84">
        <v>33.805</v>
      </c>
      <c r="F1088" s="103" t="s">
        <v>43</v>
      </c>
      <c r="G1088" s="85" t="s">
        <v>44</v>
      </c>
      <c r="H1088" s="84" t="s">
        <v>268</v>
      </c>
      <c r="I1088" s="29" t="s">
        <v>397</v>
      </c>
      <c r="J1088" s="84" t="s">
        <v>35</v>
      </c>
      <c r="K1088" s="84" t="s">
        <v>270</v>
      </c>
      <c r="L1088" s="95" t="s">
        <v>94</v>
      </c>
      <c r="M1088" s="84" t="s">
        <v>1095</v>
      </c>
      <c r="N1088" s="133">
        <v>5847.0</v>
      </c>
      <c r="O1088" s="73">
        <f t="shared" si="24"/>
        <v>0.7268684796</v>
      </c>
      <c r="P1088" s="98">
        <v>4250.0</v>
      </c>
      <c r="Q1088" s="84" t="s">
        <v>39</v>
      </c>
      <c r="R1088" s="84">
        <v>1584574.0</v>
      </c>
      <c r="S1088" s="84" t="s">
        <v>40</v>
      </c>
      <c r="T1088" s="90">
        <v>6620658.0</v>
      </c>
      <c r="U1088" s="112">
        <v>45782.604166666664</v>
      </c>
      <c r="V1088" s="112">
        <v>45782.854166666664</v>
      </c>
      <c r="W1088" s="12"/>
      <c r="X1088" s="84" t="s">
        <v>127</v>
      </c>
      <c r="Y1088" s="112">
        <v>45843.145833333336</v>
      </c>
      <c r="Z1088" s="112">
        <v>45843.70138888889</v>
      </c>
      <c r="AA1088" s="12"/>
      <c r="AB1088" s="84">
        <v>870975.0</v>
      </c>
      <c r="AC1088" s="84" t="s">
        <v>1513</v>
      </c>
      <c r="AD1088" s="12"/>
      <c r="AE1088" s="107" t="s">
        <v>39</v>
      </c>
      <c r="AF1088" s="12"/>
      <c r="AG1088" s="22"/>
      <c r="AH1088" s="22"/>
      <c r="AI1088" s="22"/>
      <c r="AJ1088" s="22"/>
      <c r="AK1088" s="22"/>
      <c r="AL1088" s="22"/>
      <c r="AM1088" s="22"/>
      <c r="AN1088" s="22"/>
      <c r="AO1088" s="22"/>
      <c r="AP1088" s="22"/>
    </row>
    <row r="1089" ht="15.75" customHeight="1">
      <c r="A1089" s="103">
        <v>1.1417243E7</v>
      </c>
      <c r="B1089" s="84">
        <v>1.002056326E9</v>
      </c>
      <c r="C1089" s="11">
        <v>45813.0</v>
      </c>
      <c r="D1089" s="84">
        <v>15.0</v>
      </c>
      <c r="E1089" s="84">
        <v>16.523</v>
      </c>
      <c r="F1089" s="152" t="s">
        <v>43</v>
      </c>
      <c r="G1089" s="84" t="s">
        <v>44</v>
      </c>
      <c r="H1089" s="84" t="s">
        <v>1514</v>
      </c>
      <c r="I1089" s="93" t="s">
        <v>1232</v>
      </c>
      <c r="J1089" s="25" t="s">
        <v>270</v>
      </c>
      <c r="K1089" s="12" t="s">
        <v>35</v>
      </c>
      <c r="L1089" s="28" t="s">
        <v>188</v>
      </c>
      <c r="M1089" s="84" t="s">
        <v>1233</v>
      </c>
      <c r="N1089" s="133">
        <v>3898.0</v>
      </c>
      <c r="O1089" s="73">
        <f t="shared" si="24"/>
        <v>0.7054899949</v>
      </c>
      <c r="P1089" s="98">
        <v>2750.0</v>
      </c>
      <c r="Q1089" s="12"/>
      <c r="R1089" s="84">
        <v>1586421.0</v>
      </c>
      <c r="S1089" s="84" t="s">
        <v>40</v>
      </c>
      <c r="T1089" s="90">
        <v>6633578.0</v>
      </c>
      <c r="U1089" s="112">
        <v>45843.666666666664</v>
      </c>
      <c r="V1089" s="112">
        <v>45843.70138888889</v>
      </c>
      <c r="W1089" s="12"/>
      <c r="X1089" s="84" t="s">
        <v>127</v>
      </c>
      <c r="Y1089" s="112">
        <v>45874.71527777778</v>
      </c>
      <c r="Z1089" s="112">
        <v>45935.125</v>
      </c>
      <c r="AA1089" s="12"/>
      <c r="AB1089" s="12">
        <v>872186.0</v>
      </c>
      <c r="AC1089" s="84" t="s">
        <v>1365</v>
      </c>
      <c r="AD1089" s="12"/>
      <c r="AE1089" s="12"/>
      <c r="AF1089" s="1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</row>
    <row r="1090" ht="15.75" customHeight="1">
      <c r="A1090" s="103">
        <v>1.1417288E7</v>
      </c>
      <c r="B1090" s="84">
        <v>1.002056231E9</v>
      </c>
      <c r="C1090" s="11">
        <v>45813.0</v>
      </c>
      <c r="D1090" s="84">
        <v>27.0</v>
      </c>
      <c r="E1090" s="84">
        <v>34.716</v>
      </c>
      <c r="F1090" s="29" t="s">
        <v>31</v>
      </c>
      <c r="G1090" s="85" t="s">
        <v>44</v>
      </c>
      <c r="H1090" s="85" t="s">
        <v>268</v>
      </c>
      <c r="I1090" s="25" t="s">
        <v>397</v>
      </c>
      <c r="J1090" s="93" t="s">
        <v>35</v>
      </c>
      <c r="K1090" s="84" t="s">
        <v>270</v>
      </c>
      <c r="L1090" s="95" t="s">
        <v>94</v>
      </c>
      <c r="M1090" s="84" t="s">
        <v>1515</v>
      </c>
      <c r="N1090" s="133">
        <v>6410.0</v>
      </c>
      <c r="O1090" s="73">
        <f t="shared" si="24"/>
        <v>0.472074883</v>
      </c>
      <c r="P1090" s="98">
        <v>3026.0</v>
      </c>
      <c r="Q1090" s="84" t="s">
        <v>39</v>
      </c>
      <c r="R1090" s="84">
        <v>1585425.0</v>
      </c>
      <c r="S1090" s="84" t="s">
        <v>40</v>
      </c>
      <c r="T1090" s="90">
        <v>6627619.0</v>
      </c>
      <c r="U1090" s="112">
        <v>45813.67361111111</v>
      </c>
      <c r="V1090" s="112">
        <v>45843.416666666664</v>
      </c>
      <c r="W1090" s="12"/>
      <c r="X1090" s="84" t="s">
        <v>127</v>
      </c>
      <c r="Y1090" s="112">
        <v>45874.03472222222</v>
      </c>
      <c r="Z1090" s="112">
        <v>45874.416666666664</v>
      </c>
      <c r="AA1090" s="12"/>
      <c r="AB1090" s="12"/>
      <c r="AC1090" s="12"/>
      <c r="AD1090" s="12"/>
      <c r="AE1090" s="107" t="s">
        <v>39</v>
      </c>
      <c r="AF1090" s="1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</row>
    <row r="1091" ht="15.75" customHeight="1">
      <c r="A1091" s="103">
        <v>1.1417432E7</v>
      </c>
      <c r="B1091" s="84">
        <v>1.002056742E9</v>
      </c>
      <c r="C1091" s="11">
        <v>45782.0</v>
      </c>
      <c r="D1091" s="84">
        <v>27.0</v>
      </c>
      <c r="E1091" s="84">
        <v>33.805</v>
      </c>
      <c r="F1091" s="103" t="s">
        <v>43</v>
      </c>
      <c r="G1091" s="85" t="s">
        <v>44</v>
      </c>
      <c r="H1091" s="84" t="s">
        <v>1317</v>
      </c>
      <c r="I1091" s="39" t="s">
        <v>137</v>
      </c>
      <c r="J1091" s="84" t="s">
        <v>35</v>
      </c>
      <c r="K1091" s="84" t="s">
        <v>138</v>
      </c>
      <c r="L1091" s="95" t="s">
        <v>94</v>
      </c>
      <c r="M1091" s="84" t="s">
        <v>1149</v>
      </c>
      <c r="N1091" s="133">
        <v>5835.0</v>
      </c>
      <c r="O1091" s="73">
        <f t="shared" si="24"/>
        <v>0.616966581</v>
      </c>
      <c r="P1091" s="98">
        <v>3600.0</v>
      </c>
      <c r="Q1091" s="84" t="s">
        <v>39</v>
      </c>
      <c r="R1091" s="84">
        <v>1584538.0</v>
      </c>
      <c r="S1091" s="84" t="s">
        <v>40</v>
      </c>
      <c r="T1091" s="90">
        <v>6620368.0</v>
      </c>
      <c r="U1091" s="112">
        <v>45782.57986111111</v>
      </c>
      <c r="V1091" s="112">
        <v>45813.305555555555</v>
      </c>
      <c r="W1091" s="12"/>
      <c r="X1091" s="84" t="s">
        <v>127</v>
      </c>
      <c r="Y1091" s="112">
        <v>45843.90277777778</v>
      </c>
      <c r="Z1091" s="112">
        <v>45874.319444444445</v>
      </c>
      <c r="AA1091" s="12"/>
      <c r="AB1091" s="12"/>
      <c r="AC1091" s="12"/>
      <c r="AD1091" s="12"/>
      <c r="AE1091" s="107" t="s">
        <v>39</v>
      </c>
      <c r="AF1091" s="12"/>
      <c r="AG1091" s="22"/>
      <c r="AH1091" s="22"/>
      <c r="AI1091" s="22"/>
      <c r="AJ1091" s="22"/>
      <c r="AK1091" s="22"/>
      <c r="AL1091" s="22"/>
      <c r="AM1091" s="22"/>
      <c r="AN1091" s="22"/>
      <c r="AO1091" s="22"/>
      <c r="AP1091" s="22"/>
    </row>
    <row r="1092" ht="15.75" customHeight="1">
      <c r="A1092" s="103">
        <v>1.1417436E7</v>
      </c>
      <c r="B1092" s="115">
        <v>1.002056617E9</v>
      </c>
      <c r="C1092" s="11">
        <v>45782.0</v>
      </c>
      <c r="D1092" s="84">
        <v>15.0</v>
      </c>
      <c r="E1092" s="84">
        <v>16.523</v>
      </c>
      <c r="F1092" s="103" t="s">
        <v>43</v>
      </c>
      <c r="G1092" s="85" t="s">
        <v>44</v>
      </c>
      <c r="H1092" s="84" t="s">
        <v>1516</v>
      </c>
      <c r="I1092" s="85" t="s">
        <v>1232</v>
      </c>
      <c r="J1092" s="93" t="s">
        <v>138</v>
      </c>
      <c r="K1092" s="25" t="s">
        <v>35</v>
      </c>
      <c r="L1092" s="28" t="s">
        <v>188</v>
      </c>
      <c r="M1092" s="84" t="s">
        <v>1517</v>
      </c>
      <c r="N1092" s="133">
        <v>3890.0</v>
      </c>
      <c r="O1092" s="73">
        <f t="shared" si="24"/>
        <v>0.5655526992</v>
      </c>
      <c r="P1092" s="98">
        <v>2200.0</v>
      </c>
      <c r="Q1092" s="12"/>
      <c r="R1092" s="84">
        <v>1587042.0</v>
      </c>
      <c r="S1092" s="84" t="s">
        <v>40</v>
      </c>
      <c r="T1092" s="90">
        <v>6636598.0</v>
      </c>
      <c r="U1092" s="112">
        <v>45874.291666666664</v>
      </c>
      <c r="V1092" s="112">
        <v>45874.319444444445</v>
      </c>
      <c r="W1092" s="12"/>
      <c r="X1092" s="84" t="s">
        <v>127</v>
      </c>
      <c r="Y1092" s="112">
        <v>45905.5</v>
      </c>
      <c r="Z1092" s="112">
        <v>45935.4375</v>
      </c>
      <c r="AA1092" s="12"/>
      <c r="AB1092" s="12">
        <v>872675.0</v>
      </c>
      <c r="AC1092" s="84" t="s">
        <v>1365</v>
      </c>
      <c r="AD1092" s="12"/>
      <c r="AE1092" s="107" t="s">
        <v>39</v>
      </c>
      <c r="AF1092" s="1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</row>
    <row r="1093">
      <c r="A1093" s="126">
        <v>1.142948E7</v>
      </c>
      <c r="B1093" s="123">
        <v>1.002071091E9</v>
      </c>
      <c r="C1093" s="11" t="s">
        <v>1518</v>
      </c>
      <c r="D1093" s="84">
        <v>28.0</v>
      </c>
      <c r="E1093" s="84">
        <v>34.058</v>
      </c>
      <c r="F1093" s="103" t="s">
        <v>31</v>
      </c>
      <c r="G1093" s="84" t="s">
        <v>44</v>
      </c>
      <c r="H1093" s="84" t="s">
        <v>268</v>
      </c>
      <c r="I1093" s="85" t="s">
        <v>1232</v>
      </c>
      <c r="J1093" s="84" t="s">
        <v>35</v>
      </c>
      <c r="K1093" s="84" t="s">
        <v>270</v>
      </c>
      <c r="L1093" s="95" t="s">
        <v>94</v>
      </c>
      <c r="M1093" s="84" t="s">
        <v>1519</v>
      </c>
      <c r="N1093" s="133">
        <v>6410.0</v>
      </c>
      <c r="O1093" s="73">
        <f t="shared" si="24"/>
        <v>0.6942277691</v>
      </c>
      <c r="P1093" s="98">
        <v>4450.0</v>
      </c>
      <c r="Q1093" s="84" t="s">
        <v>39</v>
      </c>
      <c r="R1093" s="12">
        <v>1591355.0</v>
      </c>
      <c r="S1093" s="84" t="s">
        <v>40</v>
      </c>
      <c r="T1093" s="90">
        <v>6662129.0</v>
      </c>
      <c r="U1093" s="84" t="s">
        <v>1520</v>
      </c>
      <c r="V1093" s="84" t="s">
        <v>1521</v>
      </c>
      <c r="W1093" s="12"/>
      <c r="X1093" s="84" t="s">
        <v>127</v>
      </c>
      <c r="Y1093" s="84" t="s">
        <v>1522</v>
      </c>
      <c r="Z1093" s="84" t="s">
        <v>1523</v>
      </c>
      <c r="AA1093" s="12"/>
      <c r="AB1093" s="12"/>
      <c r="AC1093" s="12"/>
      <c r="AD1093" s="12"/>
      <c r="AE1093" s="107" t="s">
        <v>39</v>
      </c>
      <c r="AF1093" s="12"/>
      <c r="AG1093" s="22"/>
      <c r="AH1093" s="22"/>
      <c r="AI1093" s="22"/>
      <c r="AJ1093" s="22"/>
      <c r="AK1093" s="12"/>
      <c r="AL1093" s="12"/>
      <c r="AM1093" s="12"/>
      <c r="AN1093" s="12"/>
      <c r="AO1093" s="12"/>
      <c r="AP1093" s="22"/>
    </row>
    <row r="1094">
      <c r="A1094" s="103">
        <v>1.1429618E7</v>
      </c>
      <c r="B1094" s="84">
        <v>1.00207075E9</v>
      </c>
      <c r="C1094" s="11">
        <v>45905.0</v>
      </c>
      <c r="D1094" s="84">
        <v>26.0</v>
      </c>
      <c r="E1094" s="84">
        <v>30.663</v>
      </c>
      <c r="F1094" s="84" t="s">
        <v>31</v>
      </c>
      <c r="G1094" s="85" t="s">
        <v>74</v>
      </c>
      <c r="H1094" s="84" t="s">
        <v>612</v>
      </c>
      <c r="I1094" s="85" t="s">
        <v>613</v>
      </c>
      <c r="J1094" s="84" t="s">
        <v>35</v>
      </c>
      <c r="K1094" s="84" t="s">
        <v>614</v>
      </c>
      <c r="L1094" s="95" t="s">
        <v>94</v>
      </c>
      <c r="M1094" s="84" t="s">
        <v>216</v>
      </c>
      <c r="N1094" s="133">
        <v>5163.0</v>
      </c>
      <c r="O1094" s="73">
        <f t="shared" si="24"/>
        <v>0.7003680031</v>
      </c>
      <c r="P1094" s="98">
        <v>3616.0</v>
      </c>
      <c r="Q1094" s="84" t="s">
        <v>39</v>
      </c>
      <c r="R1094" s="84">
        <v>1588293.0</v>
      </c>
      <c r="S1094" s="84" t="s">
        <v>40</v>
      </c>
      <c r="T1094" s="90">
        <v>6645583.0</v>
      </c>
      <c r="U1094" s="177">
        <v>45905.5625</v>
      </c>
      <c r="V1094" s="112">
        <v>45905.791666666664</v>
      </c>
      <c r="W1094" s="12"/>
      <c r="X1094" s="112">
        <v>45996.333333333336</v>
      </c>
      <c r="Y1094" s="112">
        <v>45996.333333333336</v>
      </c>
      <c r="Z1094" s="112">
        <v>45996.61111111111</v>
      </c>
      <c r="AA1094" s="12"/>
      <c r="AB1094" s="12"/>
      <c r="AC1094" s="12"/>
      <c r="AD1094" s="12"/>
      <c r="AE1094" s="107" t="s">
        <v>39</v>
      </c>
      <c r="AF1094" s="12"/>
      <c r="AG1094" s="22"/>
      <c r="AH1094" s="22"/>
      <c r="AI1094" s="22"/>
      <c r="AJ1094" s="22"/>
      <c r="AK1094" s="12"/>
      <c r="AL1094" s="12"/>
      <c r="AM1094" s="12"/>
      <c r="AN1094" s="12"/>
      <c r="AO1094" s="12"/>
      <c r="AP1094" s="22"/>
    </row>
    <row r="1095">
      <c r="A1095" s="103">
        <v>1.1429862E7</v>
      </c>
      <c r="B1095" s="84">
        <v>1.002070761E9</v>
      </c>
      <c r="C1095" s="11">
        <v>45935.0</v>
      </c>
      <c r="D1095" s="84">
        <v>28.0</v>
      </c>
      <c r="E1095" s="84">
        <v>32.468</v>
      </c>
      <c r="F1095" s="84" t="s">
        <v>31</v>
      </c>
      <c r="G1095" s="85" t="s">
        <v>74</v>
      </c>
      <c r="H1095" s="84" t="s">
        <v>612</v>
      </c>
      <c r="I1095" s="85" t="s">
        <v>613</v>
      </c>
      <c r="J1095" s="93" t="s">
        <v>35</v>
      </c>
      <c r="K1095" s="93" t="s">
        <v>614</v>
      </c>
      <c r="L1095" s="95" t="s">
        <v>94</v>
      </c>
      <c r="M1095" s="84" t="s">
        <v>1524</v>
      </c>
      <c r="N1095" s="133">
        <v>5163.0</v>
      </c>
      <c r="O1095" s="73">
        <f t="shared" si="24"/>
        <v>0.3943443734</v>
      </c>
      <c r="P1095" s="98">
        <v>2036.0</v>
      </c>
      <c r="Q1095" s="84" t="s">
        <v>39</v>
      </c>
      <c r="R1095" s="84">
        <v>1588882.0</v>
      </c>
      <c r="S1095" s="84" t="s">
        <v>40</v>
      </c>
      <c r="T1095" s="90">
        <v>6649423.0</v>
      </c>
      <c r="U1095" s="112">
        <v>45935.333333333336</v>
      </c>
      <c r="V1095" s="112">
        <v>45935.756944444445</v>
      </c>
      <c r="W1095" s="12"/>
      <c r="X1095" s="84" t="s">
        <v>1525</v>
      </c>
      <c r="Y1095" s="84" t="s">
        <v>1525</v>
      </c>
      <c r="Z1095" s="84" t="s">
        <v>1526</v>
      </c>
      <c r="AA1095" s="12"/>
      <c r="AB1095" s="84" t="s">
        <v>1527</v>
      </c>
      <c r="AC1095" s="84" t="s">
        <v>1010</v>
      </c>
      <c r="AD1095" s="12"/>
      <c r="AE1095" s="107" t="s">
        <v>39</v>
      </c>
      <c r="AF1095" s="12"/>
      <c r="AG1095" s="22"/>
      <c r="AH1095" s="22"/>
      <c r="AI1095" s="22"/>
      <c r="AJ1095" s="22"/>
      <c r="AK1095" s="12"/>
      <c r="AL1095" s="12"/>
      <c r="AM1095" s="12"/>
      <c r="AN1095" s="12"/>
      <c r="AO1095" s="12"/>
      <c r="AP1095" s="22"/>
    </row>
    <row r="1096">
      <c r="A1096" s="103">
        <v>1.1432484E7</v>
      </c>
      <c r="B1096" s="84">
        <v>1.0020753E9</v>
      </c>
      <c r="C1096" s="11">
        <v>45782.0</v>
      </c>
      <c r="D1096" s="84">
        <v>20.0</v>
      </c>
      <c r="E1096" s="84">
        <v>14.43</v>
      </c>
      <c r="F1096" s="103" t="s">
        <v>43</v>
      </c>
      <c r="G1096" s="84" t="s">
        <v>44</v>
      </c>
      <c r="H1096" s="84" t="s">
        <v>1528</v>
      </c>
      <c r="I1096" s="85" t="s">
        <v>1232</v>
      </c>
      <c r="J1096" s="84" t="s">
        <v>270</v>
      </c>
      <c r="K1096" s="84" t="s">
        <v>35</v>
      </c>
      <c r="L1096" s="95" t="s">
        <v>43</v>
      </c>
      <c r="M1096" s="84" t="s">
        <v>1208</v>
      </c>
      <c r="N1096" s="133">
        <v>6410.0</v>
      </c>
      <c r="O1096" s="73">
        <f t="shared" si="24"/>
        <v>0.4290171607</v>
      </c>
      <c r="P1096" s="98">
        <v>2750.0</v>
      </c>
      <c r="Q1096" s="84"/>
      <c r="R1096" s="84">
        <v>1586144.0</v>
      </c>
      <c r="S1096" s="84" t="s">
        <v>40</v>
      </c>
      <c r="T1096" s="90">
        <v>6631489.0</v>
      </c>
      <c r="U1096" s="112">
        <v>45843.375</v>
      </c>
      <c r="V1096" s="112">
        <v>45843.416666666664</v>
      </c>
      <c r="W1096" s="12"/>
      <c r="X1096" s="84" t="s">
        <v>127</v>
      </c>
      <c r="Y1096" s="112">
        <v>45874.413194444445</v>
      </c>
      <c r="Z1096" s="112">
        <v>45935.416666666664</v>
      </c>
      <c r="AA1096" s="12"/>
      <c r="AB1096" s="84">
        <v>872091.0</v>
      </c>
      <c r="AC1096" s="84" t="s">
        <v>1365</v>
      </c>
      <c r="AD1096" s="12"/>
      <c r="AE1096" s="12"/>
      <c r="AF1096" s="12"/>
      <c r="AG1096" s="22"/>
      <c r="AH1096" s="22"/>
      <c r="AI1096" s="22"/>
      <c r="AJ1096" s="22"/>
      <c r="AK1096" s="12"/>
      <c r="AL1096" s="12"/>
      <c r="AM1096" s="12"/>
      <c r="AN1096" s="12"/>
      <c r="AO1096" s="12"/>
      <c r="AP1096" s="22"/>
    </row>
    <row r="1097">
      <c r="A1097" s="103">
        <v>1.1436175E7</v>
      </c>
      <c r="B1097" s="84">
        <v>1.002079579E9</v>
      </c>
      <c r="C1097" s="11">
        <v>45935.0</v>
      </c>
      <c r="D1097" s="84">
        <v>26.0</v>
      </c>
      <c r="E1097" s="84">
        <v>33.43</v>
      </c>
      <c r="F1097" s="84" t="s">
        <v>31</v>
      </c>
      <c r="G1097" s="84" t="s">
        <v>32</v>
      </c>
      <c r="H1097" s="84" t="s">
        <v>1317</v>
      </c>
      <c r="I1097" s="39" t="s">
        <v>137</v>
      </c>
      <c r="J1097" s="84" t="s">
        <v>35</v>
      </c>
      <c r="K1097" s="84" t="s">
        <v>138</v>
      </c>
      <c r="L1097" s="95" t="s">
        <v>94</v>
      </c>
      <c r="M1097" s="84" t="s">
        <v>1149</v>
      </c>
      <c r="N1097" s="133">
        <v>5760.0</v>
      </c>
      <c r="O1097" s="73">
        <f t="shared" si="24"/>
        <v>0.6319444444</v>
      </c>
      <c r="P1097" s="98">
        <v>3640.0</v>
      </c>
      <c r="Q1097" s="84" t="s">
        <v>39</v>
      </c>
      <c r="R1097" s="84">
        <v>1588916.0</v>
      </c>
      <c r="S1097" s="84" t="s">
        <v>40</v>
      </c>
      <c r="T1097" s="90">
        <v>6649391.0</v>
      </c>
      <c r="U1097" s="112">
        <v>45935.53472222222</v>
      </c>
      <c r="V1097" s="112">
        <v>45966.040972222225</v>
      </c>
      <c r="W1097" s="12"/>
      <c r="X1097" s="84" t="s">
        <v>127</v>
      </c>
      <c r="Y1097" s="112">
        <v>45996.645833333336</v>
      </c>
      <c r="Z1097" s="84" t="s">
        <v>1529</v>
      </c>
      <c r="AA1097" s="12"/>
      <c r="AB1097" s="12">
        <v>873938.0</v>
      </c>
      <c r="AC1097" s="84" t="s">
        <v>1530</v>
      </c>
      <c r="AD1097" s="12"/>
      <c r="AE1097" s="12"/>
      <c r="AF1097" s="12"/>
      <c r="AG1097" s="22"/>
      <c r="AH1097" s="22"/>
      <c r="AI1097" s="22"/>
      <c r="AJ1097" s="22"/>
      <c r="AK1097" s="12"/>
      <c r="AL1097" s="12"/>
      <c r="AM1097" s="12"/>
      <c r="AN1097" s="12"/>
      <c r="AO1097" s="12"/>
      <c r="AP1097" s="22"/>
    </row>
    <row r="1098">
      <c r="A1098" s="103">
        <v>1.1436178E7</v>
      </c>
      <c r="B1098" s="84">
        <v>1.002079565E9</v>
      </c>
      <c r="C1098" s="11">
        <v>45935.0</v>
      </c>
      <c r="D1098" s="84">
        <v>26.0</v>
      </c>
      <c r="E1098" s="84">
        <v>33.43</v>
      </c>
      <c r="F1098" s="84" t="s">
        <v>31</v>
      </c>
      <c r="G1098" s="85" t="s">
        <v>32</v>
      </c>
      <c r="H1098" s="85" t="s">
        <v>1317</v>
      </c>
      <c r="I1098" s="28" t="s">
        <v>137</v>
      </c>
      <c r="J1098" s="93" t="s">
        <v>35</v>
      </c>
      <c r="K1098" s="84" t="s">
        <v>138</v>
      </c>
      <c r="L1098" s="95" t="s">
        <v>94</v>
      </c>
      <c r="M1098" s="84" t="s">
        <v>1095</v>
      </c>
      <c r="N1098" s="133">
        <v>5760.0</v>
      </c>
      <c r="O1098" s="73">
        <f t="shared" si="24"/>
        <v>0.625</v>
      </c>
      <c r="P1098" s="98">
        <v>3600.0</v>
      </c>
      <c r="Q1098" s="84" t="s">
        <v>39</v>
      </c>
      <c r="R1098" s="178">
        <v>1588876.0</v>
      </c>
      <c r="S1098" s="84" t="s">
        <v>40</v>
      </c>
      <c r="T1098" s="90">
        <v>6649680.0</v>
      </c>
      <c r="U1098" s="112">
        <v>45935.291666666664</v>
      </c>
      <c r="V1098" s="112">
        <v>45935.520833333336</v>
      </c>
      <c r="W1098" s="12"/>
      <c r="X1098" s="84" t="s">
        <v>127</v>
      </c>
      <c r="Y1098" s="112">
        <v>45996.229166666664</v>
      </c>
      <c r="Z1098" s="112">
        <v>45996.49652777778</v>
      </c>
      <c r="AA1098" s="12"/>
      <c r="AB1098" s="12"/>
      <c r="AC1098" s="12"/>
      <c r="AD1098" s="12"/>
      <c r="AE1098" s="107" t="s">
        <v>39</v>
      </c>
      <c r="AF1098" s="12"/>
      <c r="AG1098" s="22"/>
      <c r="AH1098" s="22"/>
      <c r="AI1098" s="22"/>
      <c r="AJ1098" s="22"/>
      <c r="AK1098" s="12"/>
      <c r="AL1098" s="12"/>
      <c r="AM1098" s="12"/>
      <c r="AN1098" s="12"/>
      <c r="AO1098" s="12"/>
      <c r="AP1098" s="22"/>
    </row>
    <row r="1099" ht="15.75" customHeight="1">
      <c r="A1099" s="103">
        <v>1.1437552E7</v>
      </c>
      <c r="B1099" s="84">
        <v>1.00208164E9</v>
      </c>
      <c r="C1099" s="11">
        <v>45935.0</v>
      </c>
      <c r="D1099" s="84">
        <v>26.0</v>
      </c>
      <c r="E1099" s="84">
        <v>33.43</v>
      </c>
      <c r="F1099" s="84" t="s">
        <v>31</v>
      </c>
      <c r="G1099" s="85" t="s">
        <v>32</v>
      </c>
      <c r="H1099" s="84" t="s">
        <v>1317</v>
      </c>
      <c r="I1099" s="28" t="s">
        <v>137</v>
      </c>
      <c r="J1099" s="93" t="s">
        <v>35</v>
      </c>
      <c r="K1099" s="84" t="s">
        <v>138</v>
      </c>
      <c r="L1099" s="98" t="s">
        <v>94</v>
      </c>
      <c r="M1099" s="84" t="s">
        <v>1187</v>
      </c>
      <c r="N1099" s="133">
        <v>5760.0</v>
      </c>
      <c r="O1099" s="73">
        <f t="shared" si="24"/>
        <v>0.625</v>
      </c>
      <c r="P1099" s="98">
        <v>3600.0</v>
      </c>
      <c r="Q1099" s="84" t="s">
        <v>39</v>
      </c>
      <c r="R1099" s="84">
        <v>1588922.0</v>
      </c>
      <c r="S1099" s="84" t="s">
        <v>40</v>
      </c>
      <c r="T1099" s="90">
        <v>6649708.0</v>
      </c>
      <c r="U1099" s="112">
        <v>45935.458333333336</v>
      </c>
      <c r="V1099" s="112">
        <v>45935.899305555555</v>
      </c>
      <c r="W1099" s="12"/>
      <c r="X1099" s="84" t="s">
        <v>127</v>
      </c>
      <c r="Y1099" s="84" t="s">
        <v>1531</v>
      </c>
      <c r="Z1099" s="84" t="s">
        <v>1532</v>
      </c>
      <c r="AA1099" s="12"/>
      <c r="AB1099" s="12"/>
      <c r="AC1099" s="12"/>
      <c r="AD1099" s="12"/>
      <c r="AE1099" s="107" t="s">
        <v>39</v>
      </c>
      <c r="AF1099" s="1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</row>
    <row r="1100" ht="15.75" customHeight="1">
      <c r="A1100" s="124">
        <v>1.1441018E7</v>
      </c>
      <c r="B1100" s="125">
        <v>1.00208675E9</v>
      </c>
      <c r="C1100" s="11" t="s">
        <v>1533</v>
      </c>
      <c r="D1100" s="125">
        <v>26.0</v>
      </c>
      <c r="E1100" s="125">
        <v>33.805</v>
      </c>
      <c r="F1100" s="125" t="s">
        <v>43</v>
      </c>
      <c r="G1100" s="148" t="s">
        <v>44</v>
      </c>
      <c r="H1100" s="148" t="s">
        <v>268</v>
      </c>
      <c r="I1100" s="49" t="s">
        <v>397</v>
      </c>
      <c r="J1100" s="125" t="s">
        <v>35</v>
      </c>
      <c r="K1100" s="159" t="s">
        <v>270</v>
      </c>
      <c r="L1100" s="179" t="s">
        <v>94</v>
      </c>
      <c r="M1100" s="84" t="s">
        <v>913</v>
      </c>
      <c r="N1100" s="180">
        <v>5847.0</v>
      </c>
      <c r="O1100" s="17">
        <f t="shared" si="24"/>
        <v>0.7268684796</v>
      </c>
      <c r="P1100" s="179">
        <v>4250.0</v>
      </c>
      <c r="Q1100" s="125" t="s">
        <v>39</v>
      </c>
      <c r="R1100" s="181">
        <v>1592174.0</v>
      </c>
      <c r="S1100" s="125" t="s">
        <v>40</v>
      </c>
      <c r="T1100" s="90">
        <v>6668068.0</v>
      </c>
      <c r="U1100" s="125" t="s">
        <v>1534</v>
      </c>
      <c r="V1100" s="125" t="s">
        <v>1535</v>
      </c>
      <c r="W1100" s="14"/>
      <c r="X1100" s="125" t="s">
        <v>127</v>
      </c>
      <c r="Y1100" s="125" t="s">
        <v>1536</v>
      </c>
      <c r="Z1100" s="125" t="s">
        <v>1537</v>
      </c>
      <c r="AA1100" s="14"/>
      <c r="AB1100" s="12"/>
      <c r="AC1100" s="14"/>
      <c r="AD1100" s="14"/>
      <c r="AE1100" s="107" t="s">
        <v>39</v>
      </c>
      <c r="AF1100" s="14"/>
      <c r="AG1100" s="182"/>
      <c r="AH1100" s="182"/>
      <c r="AI1100" s="182"/>
      <c r="AJ1100" s="182"/>
      <c r="AK1100" s="182"/>
      <c r="AL1100" s="182"/>
      <c r="AM1100" s="182"/>
      <c r="AN1100" s="182"/>
      <c r="AO1100" s="182"/>
      <c r="AP1100" s="182"/>
    </row>
    <row r="1101">
      <c r="A1101" s="103">
        <v>1.1441019E7</v>
      </c>
      <c r="B1101" s="84">
        <v>1.002086772E9</v>
      </c>
      <c r="C1101" s="11">
        <v>45996.0</v>
      </c>
      <c r="D1101" s="84">
        <v>26.0</v>
      </c>
      <c r="E1101" s="84">
        <v>32.589</v>
      </c>
      <c r="F1101" s="103" t="s">
        <v>43</v>
      </c>
      <c r="G1101" s="85" t="s">
        <v>44</v>
      </c>
      <c r="H1101" s="84" t="s">
        <v>268</v>
      </c>
      <c r="I1101" s="29" t="s">
        <v>397</v>
      </c>
      <c r="J1101" s="84" t="s">
        <v>35</v>
      </c>
      <c r="K1101" s="84" t="s">
        <v>270</v>
      </c>
      <c r="L1101" s="95" t="s">
        <v>94</v>
      </c>
      <c r="M1101" s="84" t="s">
        <v>1286</v>
      </c>
      <c r="N1101" s="133">
        <v>5847.0</v>
      </c>
      <c r="O1101" s="73">
        <f t="shared" si="24"/>
        <v>0.7468787412</v>
      </c>
      <c r="P1101" s="98">
        <v>4367.0</v>
      </c>
      <c r="Q1101" s="84" t="s">
        <v>39</v>
      </c>
      <c r="R1101" s="115">
        <v>1590623.0</v>
      </c>
      <c r="S1101" s="84" t="s">
        <v>40</v>
      </c>
      <c r="T1101" s="90">
        <v>6657147.0</v>
      </c>
      <c r="U1101" s="112">
        <v>45996.708333333336</v>
      </c>
      <c r="V1101" s="112">
        <v>45996.895833333336</v>
      </c>
      <c r="W1101" s="12"/>
      <c r="X1101" s="84" t="s">
        <v>127</v>
      </c>
      <c r="Y1101" s="84" t="s">
        <v>1538</v>
      </c>
      <c r="Z1101" s="84" t="s">
        <v>1539</v>
      </c>
      <c r="AA1101" s="12"/>
      <c r="AB1101" s="12"/>
      <c r="AC1101" s="12"/>
      <c r="AD1101" s="12"/>
      <c r="AE1101" s="107" t="s">
        <v>39</v>
      </c>
      <c r="AF1101" s="12"/>
      <c r="AG1101" s="22"/>
      <c r="AH1101" s="22"/>
      <c r="AI1101" s="22"/>
      <c r="AJ1101" s="22"/>
      <c r="AK1101" s="12"/>
      <c r="AL1101" s="12"/>
      <c r="AM1101" s="12"/>
      <c r="AN1101" s="12"/>
      <c r="AO1101" s="12"/>
      <c r="AP1101" s="22"/>
    </row>
    <row r="1102">
      <c r="A1102" s="124">
        <v>1.144102E7</v>
      </c>
      <c r="B1102" s="125">
        <v>1.002086768E9</v>
      </c>
      <c r="C1102" s="11" t="s">
        <v>1533</v>
      </c>
      <c r="D1102" s="125">
        <v>15.0</v>
      </c>
      <c r="E1102" s="125">
        <v>16.523</v>
      </c>
      <c r="F1102" s="125" t="s">
        <v>43</v>
      </c>
      <c r="G1102" s="148" t="s">
        <v>44</v>
      </c>
      <c r="H1102" s="125" t="s">
        <v>1540</v>
      </c>
      <c r="I1102" s="148" t="s">
        <v>1232</v>
      </c>
      <c r="J1102" s="159" t="s">
        <v>270</v>
      </c>
      <c r="K1102" s="159" t="s">
        <v>35</v>
      </c>
      <c r="L1102" s="183" t="s">
        <v>43</v>
      </c>
      <c r="M1102" s="125" t="s">
        <v>1541</v>
      </c>
      <c r="N1102" s="180">
        <v>3898.0</v>
      </c>
      <c r="O1102" s="17">
        <f t="shared" si="24"/>
        <v>0.7054899949</v>
      </c>
      <c r="P1102" s="179">
        <v>2750.0</v>
      </c>
      <c r="Q1102" s="14"/>
      <c r="R1102" s="125">
        <v>1593373.0</v>
      </c>
      <c r="S1102" s="125" t="s">
        <v>40</v>
      </c>
      <c r="T1102" s="90">
        <v>6677244.0</v>
      </c>
      <c r="U1102" s="125" t="s">
        <v>1542</v>
      </c>
      <c r="V1102" s="125" t="s">
        <v>1543</v>
      </c>
      <c r="W1102" s="14"/>
      <c r="X1102" s="125" t="s">
        <v>127</v>
      </c>
      <c r="Y1102" s="125" t="s">
        <v>1544</v>
      </c>
      <c r="Z1102" s="125" t="s">
        <v>1545</v>
      </c>
      <c r="AA1102" s="14"/>
      <c r="AB1102" s="84">
        <v>878274.0</v>
      </c>
      <c r="AC1102" s="84" t="s">
        <v>584</v>
      </c>
      <c r="AD1102" s="14"/>
      <c r="AE1102" s="107" t="s">
        <v>39</v>
      </c>
      <c r="AF1102" s="14"/>
      <c r="AG1102" s="182"/>
      <c r="AH1102" s="182"/>
      <c r="AI1102" s="182"/>
      <c r="AJ1102" s="182"/>
      <c r="AK1102" s="14"/>
      <c r="AL1102" s="14"/>
      <c r="AM1102" s="14"/>
      <c r="AN1102" s="14"/>
      <c r="AO1102" s="14"/>
      <c r="AP1102" s="182"/>
    </row>
    <row r="1103">
      <c r="A1103" s="103">
        <v>1.1441022E7</v>
      </c>
      <c r="B1103" s="84">
        <v>1.002086739E9</v>
      </c>
      <c r="C1103" s="11">
        <v>45996.0</v>
      </c>
      <c r="D1103" s="84">
        <v>11.0</v>
      </c>
      <c r="E1103" s="84">
        <v>12.239</v>
      </c>
      <c r="F1103" s="103" t="s">
        <v>43</v>
      </c>
      <c r="G1103" s="85" t="s">
        <v>44</v>
      </c>
      <c r="H1103" s="84" t="s">
        <v>1546</v>
      </c>
      <c r="I1103" s="85" t="s">
        <v>1232</v>
      </c>
      <c r="J1103" s="84" t="s">
        <v>270</v>
      </c>
      <c r="K1103" s="84" t="s">
        <v>35</v>
      </c>
      <c r="L1103" s="95" t="s">
        <v>43</v>
      </c>
      <c r="M1103" s="84" t="s">
        <v>1360</v>
      </c>
      <c r="N1103" s="133">
        <v>3898.0</v>
      </c>
      <c r="O1103" s="73">
        <f t="shared" si="24"/>
        <v>0.7054899949</v>
      </c>
      <c r="P1103" s="98">
        <v>2750.0</v>
      </c>
      <c r="Q1103" s="12"/>
      <c r="R1103" s="84">
        <v>1592119.0</v>
      </c>
      <c r="S1103" s="84" t="s">
        <v>40</v>
      </c>
      <c r="T1103" s="90">
        <v>6667536.0</v>
      </c>
      <c r="U1103" s="84" t="s">
        <v>1547</v>
      </c>
      <c r="V1103" s="84" t="s">
        <v>1539</v>
      </c>
      <c r="W1103" s="12"/>
      <c r="X1103" s="84" t="s">
        <v>127</v>
      </c>
      <c r="Y1103" s="84" t="s">
        <v>1548</v>
      </c>
      <c r="Z1103" s="84" t="s">
        <v>1549</v>
      </c>
      <c r="AA1103" s="12"/>
      <c r="AB1103" s="12">
        <v>876132.0</v>
      </c>
      <c r="AC1103" s="84" t="s">
        <v>584</v>
      </c>
      <c r="AD1103" s="12"/>
      <c r="AE1103" s="107" t="s">
        <v>39</v>
      </c>
      <c r="AF1103" s="12"/>
      <c r="AG1103" s="22"/>
      <c r="AH1103" s="22"/>
      <c r="AI1103" s="22"/>
      <c r="AJ1103" s="22"/>
      <c r="AK1103" s="12"/>
      <c r="AL1103" s="12"/>
      <c r="AM1103" s="12"/>
      <c r="AN1103" s="12"/>
      <c r="AO1103" s="12"/>
      <c r="AP1103" s="22"/>
    </row>
    <row r="1104" ht="15.75" customHeight="1">
      <c r="A1104" s="103">
        <v>1.1445156E7</v>
      </c>
      <c r="B1104" s="84">
        <v>1.002091696E9</v>
      </c>
      <c r="C1104" s="11" t="s">
        <v>1550</v>
      </c>
      <c r="D1104" s="84">
        <v>27.0</v>
      </c>
      <c r="E1104" s="84">
        <v>34.716</v>
      </c>
      <c r="F1104" s="12" t="s">
        <v>31</v>
      </c>
      <c r="G1104" s="85" t="s">
        <v>44</v>
      </c>
      <c r="H1104" s="84" t="s">
        <v>268</v>
      </c>
      <c r="I1104" s="29" t="s">
        <v>397</v>
      </c>
      <c r="J1104" s="93" t="s">
        <v>35</v>
      </c>
      <c r="K1104" s="93" t="s">
        <v>270</v>
      </c>
      <c r="L1104" s="95" t="s">
        <v>94</v>
      </c>
      <c r="M1104" s="84" t="s">
        <v>1551</v>
      </c>
      <c r="N1104" s="133">
        <v>6410.0</v>
      </c>
      <c r="O1104" s="73">
        <f t="shared" si="24"/>
        <v>0.3023400936</v>
      </c>
      <c r="P1104" s="98">
        <v>1938.0</v>
      </c>
      <c r="Q1104" s="84" t="s">
        <v>39</v>
      </c>
      <c r="R1104" s="84">
        <v>1595703.0</v>
      </c>
      <c r="S1104" s="84" t="s">
        <v>40</v>
      </c>
      <c r="T1104" s="90">
        <v>6689503.0</v>
      </c>
      <c r="U1104" s="84" t="s">
        <v>1552</v>
      </c>
      <c r="V1104" s="84" t="s">
        <v>1553</v>
      </c>
      <c r="W1104" s="12"/>
      <c r="X1104" s="84" t="s">
        <v>127</v>
      </c>
      <c r="Y1104" s="84" t="s">
        <v>1554</v>
      </c>
      <c r="Z1104" s="84" t="s">
        <v>1555</v>
      </c>
      <c r="AA1104" s="12"/>
      <c r="AB1104" s="12"/>
      <c r="AC1104" s="12"/>
      <c r="AD1104" s="12"/>
      <c r="AE1104" s="107" t="s">
        <v>39</v>
      </c>
      <c r="AF1104" s="12"/>
      <c r="AG1104" s="22"/>
      <c r="AH1104" s="22"/>
      <c r="AI1104" s="22"/>
      <c r="AJ1104" s="22"/>
      <c r="AK1104" s="22"/>
      <c r="AL1104" s="22"/>
      <c r="AM1104" s="22"/>
      <c r="AN1104" s="22"/>
      <c r="AO1104" s="22"/>
      <c r="AP1104" s="22"/>
    </row>
    <row r="1105" ht="15.75" customHeight="1">
      <c r="A1105" s="103">
        <v>1.1445157E7</v>
      </c>
      <c r="B1105" s="84">
        <v>1.002092008E9</v>
      </c>
      <c r="C1105" s="11" t="s">
        <v>1550</v>
      </c>
      <c r="D1105" s="84">
        <v>28.0</v>
      </c>
      <c r="E1105" s="84">
        <v>34.058</v>
      </c>
      <c r="F1105" s="12" t="s">
        <v>31</v>
      </c>
      <c r="G1105" s="85" t="s">
        <v>44</v>
      </c>
      <c r="H1105" s="84" t="s">
        <v>268</v>
      </c>
      <c r="I1105" s="29" t="s">
        <v>397</v>
      </c>
      <c r="J1105" s="84" t="s">
        <v>35</v>
      </c>
      <c r="K1105" s="84" t="s">
        <v>270</v>
      </c>
      <c r="L1105" s="95" t="s">
        <v>94</v>
      </c>
      <c r="M1105" s="84" t="s">
        <v>1225</v>
      </c>
      <c r="N1105" s="133">
        <v>6410.0</v>
      </c>
      <c r="O1105" s="73">
        <f t="shared" si="24"/>
        <v>0.6630265211</v>
      </c>
      <c r="P1105" s="98">
        <v>4250.0</v>
      </c>
      <c r="Q1105" s="84" t="s">
        <v>39</v>
      </c>
      <c r="R1105" s="84">
        <v>1595766.0</v>
      </c>
      <c r="S1105" s="84" t="s">
        <v>40</v>
      </c>
      <c r="T1105" s="90">
        <v>6690135.0</v>
      </c>
      <c r="U1105" s="84" t="s">
        <v>1556</v>
      </c>
      <c r="V1105" s="84" t="s">
        <v>1557</v>
      </c>
      <c r="W1105" s="12"/>
      <c r="X1105" s="84" t="s">
        <v>127</v>
      </c>
      <c r="Y1105" s="84" t="s">
        <v>1558</v>
      </c>
      <c r="Z1105" s="84" t="s">
        <v>1559</v>
      </c>
      <c r="AA1105" s="12"/>
      <c r="AB1105" s="12"/>
      <c r="AC1105" s="12"/>
      <c r="AD1105" s="12"/>
      <c r="AE1105" s="107" t="s">
        <v>39</v>
      </c>
      <c r="AF1105" s="12"/>
      <c r="AG1105" s="22"/>
      <c r="AH1105" s="22"/>
      <c r="AI1105" s="22"/>
      <c r="AJ1105" s="22"/>
      <c r="AK1105" s="22"/>
      <c r="AL1105" s="22"/>
      <c r="AM1105" s="22"/>
      <c r="AN1105" s="22"/>
      <c r="AO1105" s="22"/>
      <c r="AP1105" s="22"/>
    </row>
    <row r="1106" ht="15.75" customHeight="1">
      <c r="A1106" s="103">
        <v>1.1445376E7</v>
      </c>
      <c r="B1106" s="84">
        <v>1.002091945E9</v>
      </c>
      <c r="C1106" s="11" t="s">
        <v>1560</v>
      </c>
      <c r="D1106" s="84">
        <v>28.0</v>
      </c>
      <c r="E1106" s="84">
        <v>34.058</v>
      </c>
      <c r="F1106" s="12" t="s">
        <v>31</v>
      </c>
      <c r="G1106" s="85" t="s">
        <v>44</v>
      </c>
      <c r="H1106" s="84" t="s">
        <v>268</v>
      </c>
      <c r="I1106" s="29" t="s">
        <v>397</v>
      </c>
      <c r="J1106" s="84" t="s">
        <v>35</v>
      </c>
      <c r="K1106" s="84" t="s">
        <v>270</v>
      </c>
      <c r="L1106" s="95" t="s">
        <v>94</v>
      </c>
      <c r="M1106" s="84" t="s">
        <v>1204</v>
      </c>
      <c r="N1106" s="133">
        <v>6410.0</v>
      </c>
      <c r="O1106" s="73">
        <f t="shared" si="24"/>
        <v>0.7254290172</v>
      </c>
      <c r="P1106" s="98">
        <v>4650.0</v>
      </c>
      <c r="Q1106" s="84" t="s">
        <v>39</v>
      </c>
      <c r="R1106" s="181">
        <v>1594707.0</v>
      </c>
      <c r="S1106" s="84" t="s">
        <v>40</v>
      </c>
      <c r="T1106" s="90">
        <v>6684996.0</v>
      </c>
      <c r="U1106" s="84" t="s">
        <v>1561</v>
      </c>
      <c r="V1106" s="84" t="s">
        <v>1562</v>
      </c>
      <c r="W1106" s="12"/>
      <c r="X1106" s="84" t="s">
        <v>127</v>
      </c>
      <c r="Y1106" s="84" t="s">
        <v>1563</v>
      </c>
      <c r="Z1106" s="84" t="s">
        <v>1564</v>
      </c>
      <c r="AA1106" s="12"/>
      <c r="AB1106" s="84">
        <v>878313.0</v>
      </c>
      <c r="AC1106" s="84" t="s">
        <v>1565</v>
      </c>
      <c r="AD1106" s="12"/>
      <c r="AE1106" s="107" t="s">
        <v>39</v>
      </c>
      <c r="AF1106" s="1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</row>
    <row r="1107" ht="15.75" customHeight="1">
      <c r="A1107" s="103">
        <v>1.1445377E7</v>
      </c>
      <c r="B1107" s="84">
        <v>1.002092017E9</v>
      </c>
      <c r="C1107" s="11" t="s">
        <v>1560</v>
      </c>
      <c r="D1107" s="84">
        <v>28.0</v>
      </c>
      <c r="E1107" s="84">
        <v>34.058</v>
      </c>
      <c r="F1107" s="12" t="s">
        <v>31</v>
      </c>
      <c r="G1107" s="85" t="s">
        <v>44</v>
      </c>
      <c r="H1107" s="84" t="s">
        <v>268</v>
      </c>
      <c r="I1107" s="29" t="s">
        <v>397</v>
      </c>
      <c r="J1107" s="84" t="s">
        <v>35</v>
      </c>
      <c r="K1107" s="84" t="s">
        <v>270</v>
      </c>
      <c r="L1107" s="95" t="s">
        <v>94</v>
      </c>
      <c r="M1107" s="84" t="s">
        <v>1286</v>
      </c>
      <c r="N1107" s="133">
        <v>6410.0</v>
      </c>
      <c r="O1107" s="73">
        <f t="shared" si="24"/>
        <v>0.6630265211</v>
      </c>
      <c r="P1107" s="98">
        <v>4250.0</v>
      </c>
      <c r="Q1107" s="84" t="s">
        <v>39</v>
      </c>
      <c r="R1107" s="181">
        <v>1594705.0</v>
      </c>
      <c r="S1107" s="84" t="s">
        <v>40</v>
      </c>
      <c r="T1107" s="90">
        <v>6684991.0</v>
      </c>
      <c r="U1107" s="84" t="s">
        <v>1549</v>
      </c>
      <c r="V1107" s="84" t="s">
        <v>1566</v>
      </c>
      <c r="W1107" s="12"/>
      <c r="X1107" s="84" t="s">
        <v>127</v>
      </c>
      <c r="Y1107" s="84" t="s">
        <v>1567</v>
      </c>
      <c r="Z1107" s="84" t="s">
        <v>1568</v>
      </c>
      <c r="AA1107" s="12"/>
      <c r="AB1107" s="84">
        <v>878315.0</v>
      </c>
      <c r="AC1107" s="84" t="s">
        <v>1565</v>
      </c>
      <c r="AD1107" s="12"/>
      <c r="AE1107" s="107" t="s">
        <v>39</v>
      </c>
      <c r="AF1107" s="1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</row>
    <row r="1108" ht="15.75" customHeight="1">
      <c r="A1108" s="124">
        <v>1.1445908E7</v>
      </c>
      <c r="B1108" s="84">
        <v>1.002092267E9</v>
      </c>
      <c r="C1108" s="11" t="s">
        <v>1533</v>
      </c>
      <c r="D1108" s="84">
        <v>26.0</v>
      </c>
      <c r="E1108" s="84">
        <v>32.553</v>
      </c>
      <c r="F1108" s="103" t="s">
        <v>43</v>
      </c>
      <c r="G1108" s="85" t="s">
        <v>44</v>
      </c>
      <c r="H1108" s="84" t="s">
        <v>1317</v>
      </c>
      <c r="I1108" s="39" t="s">
        <v>137</v>
      </c>
      <c r="J1108" s="84" t="s">
        <v>35</v>
      </c>
      <c r="K1108" s="84" t="s">
        <v>138</v>
      </c>
      <c r="L1108" s="95" t="s">
        <v>94</v>
      </c>
      <c r="M1108" s="125" t="s">
        <v>1204</v>
      </c>
      <c r="N1108" s="133">
        <v>5835.0</v>
      </c>
      <c r="O1108" s="73">
        <f t="shared" si="24"/>
        <v>0.6855184233</v>
      </c>
      <c r="P1108" s="98">
        <v>4000.0</v>
      </c>
      <c r="Q1108" s="84" t="s">
        <v>39</v>
      </c>
      <c r="R1108" s="84">
        <v>1592033.0</v>
      </c>
      <c r="S1108" s="84" t="s">
        <v>40</v>
      </c>
      <c r="T1108" s="90">
        <v>6666684.0</v>
      </c>
      <c r="U1108" s="84" t="s">
        <v>1569</v>
      </c>
      <c r="V1108" s="84" t="s">
        <v>1570</v>
      </c>
      <c r="W1108" s="12"/>
      <c r="X1108" s="84" t="s">
        <v>127</v>
      </c>
      <c r="Y1108" s="84" t="s">
        <v>1571</v>
      </c>
      <c r="Z1108" s="84" t="s">
        <v>1572</v>
      </c>
      <c r="AA1108" s="12"/>
      <c r="AB1108" s="12"/>
      <c r="AC1108" s="12"/>
      <c r="AD1108" s="12"/>
      <c r="AE1108" s="107" t="s">
        <v>39</v>
      </c>
      <c r="AF1108" s="12"/>
      <c r="AG1108" s="22"/>
      <c r="AH1108" s="22"/>
      <c r="AI1108" s="22"/>
      <c r="AJ1108" s="22"/>
      <c r="AK1108" s="22"/>
      <c r="AL1108" s="22"/>
      <c r="AM1108" s="22"/>
      <c r="AN1108" s="22"/>
      <c r="AO1108" s="22"/>
      <c r="AP1108" s="22"/>
    </row>
    <row r="1109" ht="15.75" customHeight="1">
      <c r="A1109" s="124">
        <v>1.1445909E7</v>
      </c>
      <c r="B1109" s="84">
        <v>1.002092213E9</v>
      </c>
      <c r="C1109" s="11" t="s">
        <v>1533</v>
      </c>
      <c r="D1109" s="84">
        <v>14.0</v>
      </c>
      <c r="E1109" s="84">
        <v>15.312</v>
      </c>
      <c r="F1109" s="103" t="s">
        <v>43</v>
      </c>
      <c r="G1109" s="85" t="s">
        <v>44</v>
      </c>
      <c r="H1109" s="84" t="s">
        <v>1573</v>
      </c>
      <c r="I1109" s="85" t="s">
        <v>1232</v>
      </c>
      <c r="J1109" s="84" t="s">
        <v>138</v>
      </c>
      <c r="K1109" s="12" t="s">
        <v>35</v>
      </c>
      <c r="L1109" s="28" t="s">
        <v>188</v>
      </c>
      <c r="M1109" s="84" t="s">
        <v>1574</v>
      </c>
      <c r="N1109" s="133">
        <v>3890.0</v>
      </c>
      <c r="O1109" s="73">
        <f t="shared" si="24"/>
        <v>0.7385604113</v>
      </c>
      <c r="P1109" s="98">
        <v>2873.0</v>
      </c>
      <c r="Q1109" s="84"/>
      <c r="R1109" s="84">
        <v>1593073.0</v>
      </c>
      <c r="S1109" s="84" t="s">
        <v>40</v>
      </c>
      <c r="T1109" s="90">
        <v>6675610.0</v>
      </c>
      <c r="U1109" s="84" t="s">
        <v>1575</v>
      </c>
      <c r="V1109" s="84" t="s">
        <v>1572</v>
      </c>
      <c r="W1109" s="12"/>
      <c r="X1109" s="84" t="s">
        <v>127</v>
      </c>
      <c r="Y1109" s="84" t="s">
        <v>1576</v>
      </c>
      <c r="Z1109" s="84" t="s">
        <v>1577</v>
      </c>
      <c r="AA1109" s="12"/>
      <c r="AB1109" s="12">
        <v>876826.0</v>
      </c>
      <c r="AC1109" s="84" t="s">
        <v>584</v>
      </c>
      <c r="AD1109" s="12"/>
      <c r="AE1109" s="107" t="s">
        <v>39</v>
      </c>
      <c r="AF1109" s="1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</row>
    <row r="1110" ht="15.75" customHeight="1">
      <c r="A1110" s="124">
        <v>1.1445911E7</v>
      </c>
      <c r="B1110" s="84">
        <v>1.002092268E9</v>
      </c>
      <c r="C1110" s="11" t="s">
        <v>1533</v>
      </c>
      <c r="D1110" s="84">
        <v>27.0</v>
      </c>
      <c r="E1110" s="84">
        <v>34.716</v>
      </c>
      <c r="F1110" s="84" t="s">
        <v>31</v>
      </c>
      <c r="G1110" s="85" t="s">
        <v>32</v>
      </c>
      <c r="H1110" s="84" t="s">
        <v>1317</v>
      </c>
      <c r="I1110" s="39" t="s">
        <v>137</v>
      </c>
      <c r="J1110" s="93" t="s">
        <v>35</v>
      </c>
      <c r="K1110" s="93" t="s">
        <v>138</v>
      </c>
      <c r="L1110" s="95" t="s">
        <v>94</v>
      </c>
      <c r="M1110" s="84" t="s">
        <v>1578</v>
      </c>
      <c r="N1110" s="133">
        <v>5760.0</v>
      </c>
      <c r="O1110" s="73">
        <f t="shared" si="24"/>
        <v>0.5546875</v>
      </c>
      <c r="P1110" s="98">
        <v>3195.0</v>
      </c>
      <c r="Q1110" s="84" t="s">
        <v>39</v>
      </c>
      <c r="R1110" s="181">
        <v>1592057.0</v>
      </c>
      <c r="S1110" s="84" t="s">
        <v>40</v>
      </c>
      <c r="T1110" s="90">
        <v>6667001.0</v>
      </c>
      <c r="U1110" s="84" t="s">
        <v>1579</v>
      </c>
      <c r="V1110" s="84" t="s">
        <v>1580</v>
      </c>
      <c r="W1110" s="12"/>
      <c r="X1110" s="84" t="s">
        <v>127</v>
      </c>
      <c r="Y1110" s="84" t="s">
        <v>1581</v>
      </c>
      <c r="Z1110" s="84" t="s">
        <v>1582</v>
      </c>
      <c r="AA1110" s="12"/>
      <c r="AB1110" s="12"/>
      <c r="AC1110" s="12"/>
      <c r="AD1110" s="12"/>
      <c r="AE1110" s="107" t="s">
        <v>39</v>
      </c>
      <c r="AF1110" s="1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</row>
    <row r="1111" ht="15.75" customHeight="1">
      <c r="A1111" s="126">
        <v>1.1445913E7</v>
      </c>
      <c r="B1111" s="123">
        <v>1.002092257E9</v>
      </c>
      <c r="C1111" s="11" t="s">
        <v>1533</v>
      </c>
      <c r="D1111" s="84">
        <v>26.0</v>
      </c>
      <c r="E1111" s="84">
        <v>32.553</v>
      </c>
      <c r="F1111" s="103" t="s">
        <v>43</v>
      </c>
      <c r="G1111" s="93" t="s">
        <v>44</v>
      </c>
      <c r="H1111" s="84" t="s">
        <v>1317</v>
      </c>
      <c r="I1111" s="39" t="s">
        <v>137</v>
      </c>
      <c r="J1111" s="84" t="s">
        <v>35</v>
      </c>
      <c r="K1111" s="84" t="s">
        <v>138</v>
      </c>
      <c r="L1111" s="95" t="s">
        <v>94</v>
      </c>
      <c r="M1111" s="125" t="s">
        <v>1583</v>
      </c>
      <c r="N1111" s="133">
        <v>5835.0</v>
      </c>
      <c r="O1111" s="73">
        <f t="shared" si="24"/>
        <v>0.5484147386</v>
      </c>
      <c r="P1111" s="179">
        <v>3200.0</v>
      </c>
      <c r="Q1111" s="125" t="s">
        <v>39</v>
      </c>
      <c r="R1111" s="175">
        <v>1592273.0</v>
      </c>
      <c r="S1111" s="84" t="s">
        <v>40</v>
      </c>
      <c r="T1111" s="119">
        <v>6669346.0</v>
      </c>
      <c r="U1111" s="125" t="s">
        <v>1584</v>
      </c>
      <c r="V1111" s="125" t="s">
        <v>1585</v>
      </c>
      <c r="W1111" s="184"/>
      <c r="X1111" s="125" t="s">
        <v>127</v>
      </c>
      <c r="Y1111" s="125" t="s">
        <v>1586</v>
      </c>
      <c r="Z1111" s="125" t="s">
        <v>1587</v>
      </c>
      <c r="AA1111" s="184"/>
      <c r="AB1111" s="12"/>
      <c r="AC1111" s="184"/>
      <c r="AD1111" s="184"/>
      <c r="AE1111" s="107" t="s">
        <v>39</v>
      </c>
      <c r="AF1111" s="184"/>
      <c r="AG1111" s="185"/>
      <c r="AH1111" s="185"/>
      <c r="AI1111" s="185"/>
      <c r="AJ1111" s="185"/>
      <c r="AK1111" s="185"/>
      <c r="AL1111" s="185"/>
      <c r="AM1111" s="185"/>
      <c r="AN1111" s="185"/>
      <c r="AO1111" s="185"/>
      <c r="AP1111" s="185"/>
    </row>
    <row r="1112" ht="15.75" customHeight="1">
      <c r="A1112" s="126">
        <v>1.1445914E7</v>
      </c>
      <c r="B1112" s="123">
        <v>1.00209225E9</v>
      </c>
      <c r="C1112" s="11" t="s">
        <v>1533</v>
      </c>
      <c r="D1112" s="84">
        <v>26.0</v>
      </c>
      <c r="E1112" s="84">
        <v>32.553</v>
      </c>
      <c r="F1112" s="103" t="s">
        <v>43</v>
      </c>
      <c r="G1112" s="93" t="s">
        <v>44</v>
      </c>
      <c r="H1112" s="84" t="s">
        <v>1317</v>
      </c>
      <c r="I1112" s="39" t="s">
        <v>137</v>
      </c>
      <c r="J1112" s="93" t="s">
        <v>35</v>
      </c>
      <c r="K1112" s="93" t="s">
        <v>138</v>
      </c>
      <c r="L1112" s="95" t="s">
        <v>94</v>
      </c>
      <c r="M1112" s="125" t="s">
        <v>1225</v>
      </c>
      <c r="N1112" s="133">
        <v>5835.0</v>
      </c>
      <c r="O1112" s="73">
        <f t="shared" si="24"/>
        <v>0.6512425021</v>
      </c>
      <c r="P1112" s="179">
        <v>3800.0</v>
      </c>
      <c r="Q1112" s="125" t="s">
        <v>39</v>
      </c>
      <c r="R1112" s="175">
        <v>1592226.0</v>
      </c>
      <c r="S1112" s="84" t="s">
        <v>40</v>
      </c>
      <c r="T1112" s="90">
        <v>6668753.0</v>
      </c>
      <c r="U1112" s="125" t="s">
        <v>1588</v>
      </c>
      <c r="V1112" s="125" t="s">
        <v>1589</v>
      </c>
      <c r="W1112" s="184"/>
      <c r="X1112" s="125" t="s">
        <v>127</v>
      </c>
      <c r="Y1112" s="125" t="s">
        <v>1590</v>
      </c>
      <c r="Z1112" s="125" t="s">
        <v>1591</v>
      </c>
      <c r="AA1112" s="184"/>
      <c r="AB1112" s="12"/>
      <c r="AC1112" s="184"/>
      <c r="AD1112" s="184"/>
      <c r="AE1112" s="107" t="s">
        <v>39</v>
      </c>
      <c r="AF1112" s="184"/>
      <c r="AG1112" s="185"/>
      <c r="AH1112" s="185"/>
      <c r="AI1112" s="185"/>
      <c r="AJ1112" s="185"/>
      <c r="AK1112" s="185"/>
      <c r="AL1112" s="185"/>
      <c r="AM1112" s="185"/>
      <c r="AN1112" s="185"/>
      <c r="AO1112" s="185"/>
      <c r="AP1112" s="185"/>
    </row>
    <row r="1113" ht="15.75" customHeight="1">
      <c r="A1113" s="126">
        <v>1.1445916E7</v>
      </c>
      <c r="B1113" s="123">
        <v>1.002092248E9</v>
      </c>
      <c r="C1113" s="11" t="s">
        <v>1533</v>
      </c>
      <c r="D1113" s="84">
        <v>14.0</v>
      </c>
      <c r="E1113" s="84">
        <v>15.312</v>
      </c>
      <c r="F1113" s="103" t="s">
        <v>43</v>
      </c>
      <c r="G1113" s="93" t="s">
        <v>44</v>
      </c>
      <c r="H1113" s="84" t="s">
        <v>1592</v>
      </c>
      <c r="I1113" s="85" t="s">
        <v>1232</v>
      </c>
      <c r="J1113" s="84" t="s">
        <v>138</v>
      </c>
      <c r="K1113" s="12" t="s">
        <v>35</v>
      </c>
      <c r="L1113" s="28" t="s">
        <v>188</v>
      </c>
      <c r="M1113" s="125" t="s">
        <v>1593</v>
      </c>
      <c r="N1113" s="133">
        <v>3890.0</v>
      </c>
      <c r="O1113" s="73">
        <f t="shared" si="24"/>
        <v>0</v>
      </c>
      <c r="P1113" s="179">
        <v>0.0</v>
      </c>
      <c r="Q1113" s="184"/>
      <c r="R1113" s="181">
        <v>1593388.0</v>
      </c>
      <c r="S1113" s="84" t="s">
        <v>40</v>
      </c>
      <c r="T1113" s="119">
        <v>6677460.0</v>
      </c>
      <c r="U1113" s="125" t="s">
        <v>1594</v>
      </c>
      <c r="V1113" s="125" t="s">
        <v>1587</v>
      </c>
      <c r="W1113" s="184"/>
      <c r="X1113" s="125" t="s">
        <v>127</v>
      </c>
      <c r="Y1113" s="125" t="s">
        <v>1595</v>
      </c>
      <c r="Z1113" s="125" t="s">
        <v>1596</v>
      </c>
      <c r="AA1113" s="184"/>
      <c r="AB1113" s="12">
        <v>877247.0</v>
      </c>
      <c r="AC1113" s="124" t="s">
        <v>584</v>
      </c>
      <c r="AD1113" s="184"/>
      <c r="AE1113" s="107" t="s">
        <v>39</v>
      </c>
      <c r="AF1113" s="184"/>
      <c r="AG1113" s="185"/>
      <c r="AH1113" s="185"/>
      <c r="AI1113" s="185"/>
      <c r="AJ1113" s="185"/>
      <c r="AK1113" s="185"/>
      <c r="AL1113" s="185"/>
      <c r="AM1113" s="185"/>
      <c r="AN1113" s="185"/>
      <c r="AO1113" s="185"/>
      <c r="AP1113" s="185"/>
    </row>
    <row r="1114" ht="15.75" customHeight="1">
      <c r="A1114" s="126">
        <v>1.1445917E7</v>
      </c>
      <c r="B1114" s="186">
        <v>4.503699504E9</v>
      </c>
      <c r="C1114" s="11" t="s">
        <v>1533</v>
      </c>
      <c r="D1114" s="84">
        <v>14.0</v>
      </c>
      <c r="E1114" s="84">
        <v>15.312</v>
      </c>
      <c r="F1114" s="103" t="s">
        <v>43</v>
      </c>
      <c r="G1114" s="93" t="s">
        <v>44</v>
      </c>
      <c r="H1114" s="84" t="s">
        <v>1597</v>
      </c>
      <c r="I1114" s="85" t="s">
        <v>1232</v>
      </c>
      <c r="J1114" s="93" t="s">
        <v>138</v>
      </c>
      <c r="K1114" s="25" t="s">
        <v>35</v>
      </c>
      <c r="L1114" s="28" t="s">
        <v>188</v>
      </c>
      <c r="M1114" s="125" t="s">
        <v>1238</v>
      </c>
      <c r="N1114" s="133">
        <v>3890.0</v>
      </c>
      <c r="O1114" s="73">
        <f t="shared" si="24"/>
        <v>0.5655526992</v>
      </c>
      <c r="P1114" s="179">
        <v>2200.0</v>
      </c>
      <c r="Q1114" s="14"/>
      <c r="R1114" s="181">
        <v>1593490.0</v>
      </c>
      <c r="S1114" s="84" t="s">
        <v>40</v>
      </c>
      <c r="T1114" s="119">
        <v>6678611.0</v>
      </c>
      <c r="U1114" s="125" t="s">
        <v>1591</v>
      </c>
      <c r="V1114" s="125" t="s">
        <v>1598</v>
      </c>
      <c r="W1114" s="184"/>
      <c r="X1114" s="125" t="s">
        <v>127</v>
      </c>
      <c r="Y1114" s="125" t="s">
        <v>1599</v>
      </c>
      <c r="Z1114" s="125" t="s">
        <v>1600</v>
      </c>
      <c r="AA1114" s="184"/>
      <c r="AB1114" s="12">
        <v>877078.0</v>
      </c>
      <c r="AC1114" s="84" t="s">
        <v>1513</v>
      </c>
      <c r="AD1114" s="184"/>
      <c r="AE1114" s="107" t="s">
        <v>39</v>
      </c>
      <c r="AF1114" s="184"/>
      <c r="AG1114" s="185"/>
      <c r="AH1114" s="185"/>
      <c r="AI1114" s="185"/>
      <c r="AJ1114" s="185"/>
      <c r="AK1114" s="185"/>
      <c r="AL1114" s="185"/>
      <c r="AM1114" s="185"/>
      <c r="AN1114" s="185"/>
      <c r="AO1114" s="185"/>
      <c r="AP1114" s="185"/>
    </row>
    <row r="1115" ht="15.75" customHeight="1">
      <c r="A1115" s="103">
        <v>1.1450898E7</v>
      </c>
      <c r="B1115" s="84">
        <v>1.002099257E9</v>
      </c>
      <c r="C1115" s="11" t="s">
        <v>1601</v>
      </c>
      <c r="D1115" s="84">
        <v>26.0</v>
      </c>
      <c r="E1115" s="84">
        <v>32.157</v>
      </c>
      <c r="F1115" s="12" t="s">
        <v>31</v>
      </c>
      <c r="G1115" s="93" t="s">
        <v>74</v>
      </c>
      <c r="H1115" s="84" t="s">
        <v>1351</v>
      </c>
      <c r="I1115" s="85" t="s">
        <v>1352</v>
      </c>
      <c r="J1115" s="84" t="s">
        <v>35</v>
      </c>
      <c r="K1115" s="84" t="s">
        <v>1353</v>
      </c>
      <c r="L1115" s="95" t="s">
        <v>59</v>
      </c>
      <c r="M1115" s="84" t="s">
        <v>1149</v>
      </c>
      <c r="N1115" s="133">
        <v>5337.0</v>
      </c>
      <c r="O1115" s="73">
        <f t="shared" si="24"/>
        <v>0.5742926738</v>
      </c>
      <c r="P1115" s="98">
        <v>3065.0</v>
      </c>
      <c r="Q1115" s="84" t="s">
        <v>39</v>
      </c>
      <c r="R1115" s="84">
        <v>1597069.0</v>
      </c>
      <c r="S1115" s="84" t="s">
        <v>40</v>
      </c>
      <c r="T1115" s="90">
        <v>6697212.0</v>
      </c>
      <c r="U1115" s="84" t="s">
        <v>1602</v>
      </c>
      <c r="V1115" s="84" t="s">
        <v>1603</v>
      </c>
      <c r="W1115" s="12"/>
      <c r="X1115" s="84" t="s">
        <v>1604</v>
      </c>
      <c r="Y1115" s="84" t="s">
        <v>1605</v>
      </c>
      <c r="Z1115" s="84" t="s">
        <v>1606</v>
      </c>
      <c r="AA1115" s="12"/>
      <c r="AB1115" s="84" t="s">
        <v>1607</v>
      </c>
      <c r="AC1115" s="84" t="s">
        <v>1608</v>
      </c>
      <c r="AD1115" s="12"/>
      <c r="AE1115" s="12"/>
      <c r="AF1115" s="1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</row>
    <row r="1116" ht="15.75" customHeight="1">
      <c r="A1116" s="103">
        <v>1.1451901E7</v>
      </c>
      <c r="B1116" s="84">
        <v>1.0021013E9</v>
      </c>
      <c r="C1116" s="11" t="s">
        <v>1601</v>
      </c>
      <c r="D1116" s="84">
        <v>28.0</v>
      </c>
      <c r="E1116" s="84">
        <v>34.058</v>
      </c>
      <c r="F1116" s="12" t="s">
        <v>31</v>
      </c>
      <c r="G1116" s="93" t="s">
        <v>44</v>
      </c>
      <c r="H1116" s="84" t="s">
        <v>268</v>
      </c>
      <c r="I1116" s="29" t="s">
        <v>397</v>
      </c>
      <c r="J1116" s="93" t="s">
        <v>35</v>
      </c>
      <c r="K1116" s="93" t="s">
        <v>270</v>
      </c>
      <c r="L1116" s="95" t="s">
        <v>94</v>
      </c>
      <c r="M1116" s="84" t="s">
        <v>1095</v>
      </c>
      <c r="N1116" s="133">
        <v>6410.0</v>
      </c>
      <c r="O1116" s="73">
        <f t="shared" si="24"/>
        <v>0.6630265211</v>
      </c>
      <c r="P1116" s="98">
        <v>4250.0</v>
      </c>
      <c r="Q1116" s="84" t="s">
        <v>39</v>
      </c>
      <c r="R1116" s="84">
        <v>1597155.0</v>
      </c>
      <c r="S1116" s="84" t="s">
        <v>40</v>
      </c>
      <c r="T1116" s="90">
        <v>6697898.0</v>
      </c>
      <c r="U1116" s="84" t="s">
        <v>1609</v>
      </c>
      <c r="V1116" s="84" t="s">
        <v>1610</v>
      </c>
      <c r="W1116" s="12"/>
      <c r="X1116" s="84" t="s">
        <v>127</v>
      </c>
      <c r="Y1116" s="84" t="s">
        <v>1611</v>
      </c>
      <c r="Z1116" s="84" t="s">
        <v>1612</v>
      </c>
      <c r="AA1116" s="12"/>
      <c r="AB1116" s="12"/>
      <c r="AC1116" s="12"/>
      <c r="AD1116" s="12"/>
      <c r="AE1116" s="107" t="s">
        <v>39</v>
      </c>
      <c r="AF1116" s="12"/>
      <c r="AG1116" s="22"/>
      <c r="AH1116" s="22"/>
      <c r="AI1116" s="22"/>
      <c r="AJ1116" s="22"/>
      <c r="AK1116" s="22"/>
      <c r="AL1116" s="22"/>
      <c r="AM1116" s="22"/>
      <c r="AN1116" s="22"/>
      <c r="AO1116" s="22"/>
      <c r="AP1116" s="22"/>
    </row>
    <row r="1117" ht="15.75" customHeight="1">
      <c r="A1117" s="103">
        <v>1.1451902E7</v>
      </c>
      <c r="B1117" s="84">
        <v>1.002101313E9</v>
      </c>
      <c r="C1117" s="11" t="s">
        <v>1613</v>
      </c>
      <c r="D1117" s="84">
        <v>28.0</v>
      </c>
      <c r="E1117" s="84">
        <v>34.058</v>
      </c>
      <c r="F1117" s="12" t="s">
        <v>31</v>
      </c>
      <c r="G1117" s="85" t="s">
        <v>44</v>
      </c>
      <c r="H1117" s="84" t="s">
        <v>268</v>
      </c>
      <c r="I1117" s="29" t="s">
        <v>397</v>
      </c>
      <c r="J1117" s="84" t="s">
        <v>35</v>
      </c>
      <c r="K1117" s="84" t="s">
        <v>270</v>
      </c>
      <c r="L1117" s="98" t="s">
        <v>94</v>
      </c>
      <c r="M1117" s="84" t="s">
        <v>1614</v>
      </c>
      <c r="N1117" s="133">
        <v>6410.0</v>
      </c>
      <c r="O1117" s="73">
        <f t="shared" si="24"/>
        <v>0.6630265211</v>
      </c>
      <c r="P1117" s="98">
        <v>4250.0</v>
      </c>
      <c r="Q1117" s="84" t="s">
        <v>39</v>
      </c>
      <c r="R1117" s="84">
        <v>1598499.0</v>
      </c>
      <c r="S1117" s="84" t="s">
        <v>40</v>
      </c>
      <c r="T1117" s="90">
        <v>6705101.0</v>
      </c>
      <c r="U1117" s="84" t="s">
        <v>1615</v>
      </c>
      <c r="V1117" s="84" t="s">
        <v>1616</v>
      </c>
      <c r="W1117" s="12"/>
      <c r="X1117" s="84" t="s">
        <v>127</v>
      </c>
      <c r="Y1117" s="84" t="s">
        <v>1617</v>
      </c>
      <c r="Z1117" s="84" t="s">
        <v>1618</v>
      </c>
      <c r="AA1117" s="12"/>
      <c r="AB1117" s="84">
        <v>883674.0</v>
      </c>
      <c r="AC1117" s="84" t="s">
        <v>1619</v>
      </c>
      <c r="AD1117" s="12"/>
      <c r="AE1117" s="12"/>
      <c r="AF1117" s="1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</row>
    <row r="1118" ht="15.75" customHeight="1">
      <c r="A1118" s="124">
        <v>1.1451903E7</v>
      </c>
      <c r="B1118" s="125">
        <v>1.002101412E9</v>
      </c>
      <c r="C1118" s="11" t="s">
        <v>1613</v>
      </c>
      <c r="D1118" s="84">
        <v>28.0</v>
      </c>
      <c r="E1118" s="84">
        <v>34.058</v>
      </c>
      <c r="F1118" s="12" t="s">
        <v>31</v>
      </c>
      <c r="G1118" s="84" t="s">
        <v>44</v>
      </c>
      <c r="H1118" s="84" t="s">
        <v>268</v>
      </c>
      <c r="I1118" s="29" t="s">
        <v>397</v>
      </c>
      <c r="J1118" s="84" t="s">
        <v>35</v>
      </c>
      <c r="K1118" s="84" t="s">
        <v>270</v>
      </c>
      <c r="L1118" s="98" t="s">
        <v>94</v>
      </c>
      <c r="M1118" s="84" t="s">
        <v>1286</v>
      </c>
      <c r="N1118" s="133">
        <v>6410.0</v>
      </c>
      <c r="O1118" s="73">
        <f t="shared" si="24"/>
        <v>0.7800312012</v>
      </c>
      <c r="P1118" s="98">
        <v>5000.0</v>
      </c>
      <c r="Q1118" s="84" t="s">
        <v>39</v>
      </c>
      <c r="R1118" s="84">
        <v>1598547.0</v>
      </c>
      <c r="S1118" s="84" t="s">
        <v>40</v>
      </c>
      <c r="T1118" s="90">
        <v>6705502.0</v>
      </c>
      <c r="U1118" s="84" t="s">
        <v>1620</v>
      </c>
      <c r="V1118" s="84" t="s">
        <v>1621</v>
      </c>
      <c r="W1118" s="12"/>
      <c r="X1118" s="84" t="s">
        <v>127</v>
      </c>
      <c r="Y1118" s="84" t="s">
        <v>1622</v>
      </c>
      <c r="Z1118" s="84" t="s">
        <v>1623</v>
      </c>
      <c r="AA1118" s="12"/>
      <c r="AB1118" s="12"/>
      <c r="AC1118" s="12"/>
      <c r="AD1118" s="12"/>
      <c r="AE1118" s="107" t="s">
        <v>39</v>
      </c>
      <c r="AF1118" s="12"/>
      <c r="AG1118" s="22"/>
      <c r="AH1118" s="22"/>
      <c r="AI1118" s="22"/>
      <c r="AJ1118" s="22"/>
      <c r="AK1118" s="22"/>
      <c r="AL1118" s="22"/>
      <c r="AM1118" s="22"/>
      <c r="AN1118" s="22"/>
      <c r="AO1118" s="22"/>
      <c r="AP1118" s="22"/>
    </row>
    <row r="1119" ht="15.75" customHeight="1">
      <c r="A1119" s="124">
        <v>1.1455383E7</v>
      </c>
      <c r="B1119" s="125">
        <v>1.002104318E9</v>
      </c>
      <c r="C1119" s="11" t="s">
        <v>1613</v>
      </c>
      <c r="D1119" s="84">
        <v>24.0</v>
      </c>
      <c r="E1119" s="84">
        <v>29.724</v>
      </c>
      <c r="F1119" s="12" t="s">
        <v>31</v>
      </c>
      <c r="G1119" s="85" t="s">
        <v>74</v>
      </c>
      <c r="H1119" s="84" t="s">
        <v>1351</v>
      </c>
      <c r="I1119" s="85" t="s">
        <v>1352</v>
      </c>
      <c r="J1119" s="84" t="s">
        <v>35</v>
      </c>
      <c r="K1119" s="84" t="s">
        <v>1353</v>
      </c>
      <c r="L1119" s="95" t="s">
        <v>59</v>
      </c>
      <c r="M1119" s="84" t="s">
        <v>1519</v>
      </c>
      <c r="N1119" s="133">
        <v>5337.0</v>
      </c>
      <c r="O1119" s="73">
        <f t="shared" si="24"/>
        <v>0.6475548061</v>
      </c>
      <c r="P1119" s="98">
        <v>3456.0</v>
      </c>
      <c r="Q1119" s="84" t="s">
        <v>39</v>
      </c>
      <c r="R1119" s="84">
        <v>1598295.0</v>
      </c>
      <c r="S1119" s="84" t="s">
        <v>40</v>
      </c>
      <c r="T1119" s="90">
        <v>6703636.0</v>
      </c>
      <c r="U1119" s="84" t="s">
        <v>1624</v>
      </c>
      <c r="V1119" s="84" t="s">
        <v>1625</v>
      </c>
      <c r="W1119" s="12"/>
      <c r="X1119" s="84" t="s">
        <v>1626</v>
      </c>
      <c r="Y1119" s="84" t="s">
        <v>1627</v>
      </c>
      <c r="Z1119" s="84" t="s">
        <v>1628</v>
      </c>
      <c r="AA1119" s="12"/>
      <c r="AB1119" s="181">
        <v>881335.0</v>
      </c>
      <c r="AC1119" s="84" t="s">
        <v>1629</v>
      </c>
      <c r="AD1119" s="12"/>
      <c r="AE1119" s="12"/>
      <c r="AF1119" s="12"/>
      <c r="AG1119" s="22"/>
      <c r="AH1119" s="22"/>
      <c r="AI1119" s="22"/>
      <c r="AJ1119" s="22"/>
      <c r="AK1119" s="22"/>
      <c r="AL1119" s="22"/>
      <c r="AM1119" s="22"/>
      <c r="AN1119" s="22"/>
      <c r="AO1119" s="22"/>
      <c r="AP1119" s="22"/>
    </row>
    <row r="1120" ht="15.75" customHeight="1">
      <c r="A1120" s="103">
        <v>1.1459301E7</v>
      </c>
      <c r="B1120" s="84">
        <v>1.002111883E9</v>
      </c>
      <c r="C1120" s="11" t="s">
        <v>1601</v>
      </c>
      <c r="D1120" s="84">
        <v>27.0</v>
      </c>
      <c r="E1120" s="84">
        <v>34.716</v>
      </c>
      <c r="F1120" s="12" t="s">
        <v>31</v>
      </c>
      <c r="G1120" s="85" t="s">
        <v>32</v>
      </c>
      <c r="H1120" s="12" t="s">
        <v>45</v>
      </c>
      <c r="I1120" s="29" t="s">
        <v>46</v>
      </c>
      <c r="J1120" s="84" t="s">
        <v>35</v>
      </c>
      <c r="K1120" s="84" t="s">
        <v>47</v>
      </c>
      <c r="L1120" s="95" t="s">
        <v>108</v>
      </c>
      <c r="M1120" s="84" t="s">
        <v>913</v>
      </c>
      <c r="N1120" s="133">
        <v>2545.0</v>
      </c>
      <c r="O1120" s="73">
        <f t="shared" si="24"/>
        <v>0.6679764244</v>
      </c>
      <c r="P1120" s="98">
        <v>1700.0</v>
      </c>
      <c r="Q1120" s="84" t="s">
        <v>39</v>
      </c>
      <c r="R1120" s="84">
        <v>1597374.0</v>
      </c>
      <c r="S1120" s="84" t="s">
        <v>40</v>
      </c>
      <c r="T1120" s="90">
        <v>6697898.0</v>
      </c>
      <c r="U1120" s="84" t="s">
        <v>1630</v>
      </c>
      <c r="V1120" s="84" t="s">
        <v>1631</v>
      </c>
      <c r="W1120" s="12"/>
      <c r="X1120" s="84" t="s">
        <v>127</v>
      </c>
      <c r="Y1120" s="84" t="s">
        <v>1632</v>
      </c>
      <c r="Z1120" s="84" t="s">
        <v>1633</v>
      </c>
      <c r="AA1120" s="12"/>
      <c r="AB1120" s="84">
        <v>888857.0</v>
      </c>
      <c r="AC1120" s="84" t="s">
        <v>584</v>
      </c>
      <c r="AD1120" s="12"/>
      <c r="AE1120" s="12"/>
      <c r="AF1120" s="1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</row>
    <row r="1121" ht="15.75" customHeight="1">
      <c r="A1121" s="124">
        <v>1.1459594E7</v>
      </c>
      <c r="B1121" s="123">
        <v>1.002111951E9</v>
      </c>
      <c r="C1121" s="11" t="s">
        <v>1613</v>
      </c>
      <c r="D1121" s="84">
        <v>26.0</v>
      </c>
      <c r="E1121" s="84">
        <v>32.553</v>
      </c>
      <c r="F1121" s="103" t="s">
        <v>43</v>
      </c>
      <c r="G1121" s="85" t="s">
        <v>44</v>
      </c>
      <c r="H1121" s="84" t="s">
        <v>1317</v>
      </c>
      <c r="I1121" s="39" t="s">
        <v>137</v>
      </c>
      <c r="J1121" s="84" t="s">
        <v>35</v>
      </c>
      <c r="K1121" s="84" t="s">
        <v>138</v>
      </c>
      <c r="L1121" s="95" t="s">
        <v>94</v>
      </c>
      <c r="M1121" s="125" t="s">
        <v>1204</v>
      </c>
      <c r="N1121" s="133">
        <v>5835.0</v>
      </c>
      <c r="O1121" s="73">
        <f t="shared" si="24"/>
        <v>0.7712082262</v>
      </c>
      <c r="P1121" s="98">
        <v>4500.0</v>
      </c>
      <c r="Q1121" s="84" t="s">
        <v>39</v>
      </c>
      <c r="R1121" s="84">
        <v>1598498.0</v>
      </c>
      <c r="S1121" s="84" t="s">
        <v>40</v>
      </c>
      <c r="T1121" s="90">
        <v>6705092.0</v>
      </c>
      <c r="U1121" s="84" t="s">
        <v>1634</v>
      </c>
      <c r="V1121" s="84" t="s">
        <v>1635</v>
      </c>
      <c r="W1121" s="12"/>
      <c r="X1121" s="84" t="s">
        <v>127</v>
      </c>
      <c r="Y1121" s="84" t="s">
        <v>1622</v>
      </c>
      <c r="Z1121" s="84" t="s">
        <v>1636</v>
      </c>
      <c r="AA1121" s="12"/>
      <c r="AB1121" s="12"/>
      <c r="AC1121" s="12"/>
      <c r="AD1121" s="12"/>
      <c r="AE1121" s="107" t="s">
        <v>39</v>
      </c>
      <c r="AF1121" s="1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</row>
    <row r="1122" ht="15.75" customHeight="1">
      <c r="A1122" s="126">
        <v>1.1459595E7</v>
      </c>
      <c r="B1122" s="123">
        <v>1.002111819E9</v>
      </c>
      <c r="C1122" s="11" t="s">
        <v>1613</v>
      </c>
      <c r="D1122" s="84">
        <v>8.0</v>
      </c>
      <c r="E1122" s="84">
        <v>15.312</v>
      </c>
      <c r="F1122" s="152" t="s">
        <v>43</v>
      </c>
      <c r="G1122" s="84" t="s">
        <v>44</v>
      </c>
      <c r="H1122" s="84" t="s">
        <v>1637</v>
      </c>
      <c r="I1122" s="28" t="s">
        <v>137</v>
      </c>
      <c r="J1122" s="93" t="s">
        <v>138</v>
      </c>
      <c r="K1122" s="12" t="s">
        <v>35</v>
      </c>
      <c r="L1122" s="28" t="s">
        <v>188</v>
      </c>
      <c r="M1122" s="125" t="s">
        <v>1204</v>
      </c>
      <c r="N1122" s="133">
        <v>3890.0</v>
      </c>
      <c r="O1122" s="73">
        <f t="shared" si="24"/>
        <v>0.5655526992</v>
      </c>
      <c r="P1122" s="98">
        <v>2200.0</v>
      </c>
      <c r="Q1122" s="12"/>
      <c r="R1122" s="84">
        <v>1600671.0</v>
      </c>
      <c r="S1122" s="84" t="s">
        <v>40</v>
      </c>
      <c r="T1122" s="90">
        <v>6717299.0</v>
      </c>
      <c r="U1122" s="84" t="s">
        <v>1638</v>
      </c>
      <c r="V1122" s="84" t="s">
        <v>1639</v>
      </c>
      <c r="W1122" s="12"/>
      <c r="X1122" s="84" t="s">
        <v>127</v>
      </c>
      <c r="Y1122" s="84" t="s">
        <v>1640</v>
      </c>
      <c r="Z1122" s="84" t="s">
        <v>1641</v>
      </c>
      <c r="AA1122" s="12"/>
      <c r="AB1122" s="84">
        <v>882034.0</v>
      </c>
      <c r="AC1122" s="84" t="s">
        <v>1642</v>
      </c>
      <c r="AD1122" s="12"/>
      <c r="AE1122" s="12"/>
      <c r="AF1122" s="1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</row>
    <row r="1123" ht="15.75" customHeight="1">
      <c r="A1123" s="103">
        <v>1.1460142E7</v>
      </c>
      <c r="B1123" s="84">
        <v>1.00211226E9</v>
      </c>
      <c r="C1123" s="11" t="s">
        <v>1643</v>
      </c>
      <c r="D1123" s="84">
        <v>26.0</v>
      </c>
      <c r="E1123" s="84">
        <v>32256.5</v>
      </c>
      <c r="F1123" s="103" t="s">
        <v>43</v>
      </c>
      <c r="G1123" s="93" t="s">
        <v>44</v>
      </c>
      <c r="H1123" s="84" t="s">
        <v>268</v>
      </c>
      <c r="I1123" s="39" t="s">
        <v>137</v>
      </c>
      <c r="J1123" s="84" t="s">
        <v>35</v>
      </c>
      <c r="K1123" s="84" t="s">
        <v>270</v>
      </c>
      <c r="L1123" s="95" t="s">
        <v>94</v>
      </c>
      <c r="M1123" s="84" t="s">
        <v>1644</v>
      </c>
      <c r="N1123" s="133">
        <v>5847.0</v>
      </c>
      <c r="O1123" s="73">
        <f t="shared" si="24"/>
        <v>0.7183170857</v>
      </c>
      <c r="P1123" s="98">
        <v>4200.0</v>
      </c>
      <c r="Q1123" s="84" t="s">
        <v>39</v>
      </c>
      <c r="R1123" s="84">
        <v>1599238.0</v>
      </c>
      <c r="S1123" s="84" t="s">
        <v>40</v>
      </c>
      <c r="T1123" s="90">
        <v>6708953.0</v>
      </c>
      <c r="U1123" s="84" t="s">
        <v>1645</v>
      </c>
      <c r="V1123" s="84" t="s">
        <v>1646</v>
      </c>
      <c r="W1123" s="12"/>
      <c r="X1123" s="84" t="s">
        <v>127</v>
      </c>
      <c r="Y1123" s="84" t="s">
        <v>1647</v>
      </c>
      <c r="Z1123" s="84" t="s">
        <v>1648</v>
      </c>
      <c r="AA1123" s="12"/>
      <c r="AB1123" s="12"/>
      <c r="AC1123" s="12"/>
      <c r="AD1123" s="12"/>
      <c r="AE1123" s="107" t="s">
        <v>39</v>
      </c>
      <c r="AF1123" s="1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</row>
    <row r="1124" ht="15.75" customHeight="1">
      <c r="A1124" s="103">
        <v>1.1460143E7</v>
      </c>
      <c r="B1124" s="84">
        <v>1.002112261E9</v>
      </c>
      <c r="C1124" s="11" t="s">
        <v>1643</v>
      </c>
      <c r="D1124" s="84">
        <v>8.0</v>
      </c>
      <c r="E1124" s="84">
        <v>7955.0</v>
      </c>
      <c r="F1124" s="152" t="s">
        <v>43</v>
      </c>
      <c r="G1124" s="84" t="s">
        <v>44</v>
      </c>
      <c r="H1124" s="84" t="s">
        <v>1649</v>
      </c>
      <c r="I1124" s="12" t="s">
        <v>397</v>
      </c>
      <c r="J1124" s="159" t="s">
        <v>270</v>
      </c>
      <c r="K1124" s="125" t="s">
        <v>35</v>
      </c>
      <c r="L1124" s="98" t="s">
        <v>43</v>
      </c>
      <c r="M1124" s="84" t="s">
        <v>1644</v>
      </c>
      <c r="N1124" s="133" t="s">
        <v>1650</v>
      </c>
      <c r="O1124" s="187">
        <f t="shared" si="24"/>
        <v>0</v>
      </c>
      <c r="P1124" s="98">
        <v>3000.0</v>
      </c>
      <c r="Q1124" s="12"/>
      <c r="R1124" s="84">
        <v>1602869.0</v>
      </c>
      <c r="S1124" s="84" t="s">
        <v>40</v>
      </c>
      <c r="T1124" s="90">
        <v>6725150.0</v>
      </c>
      <c r="U1124" s="84" t="s">
        <v>1648</v>
      </c>
      <c r="V1124" s="84" t="s">
        <v>1651</v>
      </c>
      <c r="W1124" s="12"/>
      <c r="X1124" s="84" t="s">
        <v>127</v>
      </c>
      <c r="Y1124" s="84" t="s">
        <v>1652</v>
      </c>
      <c r="Z1124" s="84" t="s">
        <v>1653</v>
      </c>
      <c r="AA1124" s="12"/>
      <c r="AB1124" s="84">
        <v>884676.0</v>
      </c>
      <c r="AC1124" s="84" t="s">
        <v>584</v>
      </c>
      <c r="AD1124" s="12"/>
      <c r="AE1124" s="188"/>
      <c r="AF1124" s="1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</row>
    <row r="1125" ht="15.75" customHeight="1">
      <c r="A1125" s="103">
        <v>1.1463661E7</v>
      </c>
      <c r="B1125" s="84">
        <v>1.002115701E9</v>
      </c>
      <c r="C1125" s="11" t="s">
        <v>1654</v>
      </c>
      <c r="D1125" s="84">
        <v>26.0</v>
      </c>
      <c r="E1125" s="84">
        <v>32958.0</v>
      </c>
      <c r="F1125" s="152" t="s">
        <v>31</v>
      </c>
      <c r="G1125" s="93" t="s">
        <v>32</v>
      </c>
      <c r="H1125" s="12" t="s">
        <v>111</v>
      </c>
      <c r="I1125" s="29" t="s">
        <v>112</v>
      </c>
      <c r="J1125" s="93" t="s">
        <v>35</v>
      </c>
      <c r="K1125" s="12" t="s">
        <v>113</v>
      </c>
      <c r="L1125" s="28" t="s">
        <v>114</v>
      </c>
      <c r="M1125" s="84" t="s">
        <v>1551</v>
      </c>
      <c r="N1125" s="133">
        <v>5448.0</v>
      </c>
      <c r="O1125" s="187">
        <f t="shared" si="24"/>
        <v>0.5371897944</v>
      </c>
      <c r="P1125" s="98">
        <v>2926.61</v>
      </c>
      <c r="Q1125" s="84" t="s">
        <v>39</v>
      </c>
      <c r="R1125" s="84">
        <v>1600118.0</v>
      </c>
      <c r="S1125" s="84" t="s">
        <v>40</v>
      </c>
      <c r="T1125" s="90">
        <v>6713551.0</v>
      </c>
      <c r="U1125" s="84" t="s">
        <v>1655</v>
      </c>
      <c r="V1125" s="84" t="s">
        <v>1656</v>
      </c>
      <c r="W1125" s="12"/>
      <c r="X1125" s="84" t="s">
        <v>127</v>
      </c>
      <c r="Y1125" s="84" t="s">
        <v>1657</v>
      </c>
      <c r="Z1125" s="84" t="s">
        <v>1658</v>
      </c>
      <c r="AA1125" s="12"/>
      <c r="AB1125" s="12"/>
      <c r="AC1125" s="12"/>
      <c r="AD1125" s="12"/>
      <c r="AE1125" s="189" t="s">
        <v>39</v>
      </c>
      <c r="AF1125" s="1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</row>
    <row r="1126" ht="15.75" customHeight="1">
      <c r="A1126" s="103">
        <v>1.1463662E7</v>
      </c>
      <c r="B1126" s="84">
        <v>1.002115689E9</v>
      </c>
      <c r="C1126" s="11" t="s">
        <v>1654</v>
      </c>
      <c r="D1126" s="84">
        <v>8.0</v>
      </c>
      <c r="E1126" s="84">
        <v>8567.0</v>
      </c>
      <c r="F1126" s="9" t="s">
        <v>43</v>
      </c>
      <c r="G1126" s="25" t="s">
        <v>32</v>
      </c>
      <c r="H1126" s="12" t="s">
        <v>1659</v>
      </c>
      <c r="I1126" s="29" t="s">
        <v>112</v>
      </c>
      <c r="J1126" s="12" t="s">
        <v>113</v>
      </c>
      <c r="K1126" s="12" t="s">
        <v>35</v>
      </c>
      <c r="L1126" s="25" t="s">
        <v>43</v>
      </c>
      <c r="M1126" s="84" t="s">
        <v>1551</v>
      </c>
      <c r="N1126" s="133">
        <v>3632.0</v>
      </c>
      <c r="O1126" s="187">
        <f t="shared" si="24"/>
        <v>0.3700440529</v>
      </c>
      <c r="P1126" s="98">
        <v>1344.0</v>
      </c>
      <c r="Q1126" s="84"/>
      <c r="R1126" s="84">
        <v>1603003.0</v>
      </c>
      <c r="S1126" s="84" t="s">
        <v>40</v>
      </c>
      <c r="T1126" s="90">
        <v>6726406.0</v>
      </c>
      <c r="U1126" s="84" t="s">
        <v>1660</v>
      </c>
      <c r="V1126" s="84" t="s">
        <v>1661</v>
      </c>
      <c r="W1126" s="12"/>
      <c r="X1126" s="84" t="s">
        <v>127</v>
      </c>
      <c r="Y1126" s="84" t="s">
        <v>1662</v>
      </c>
      <c r="Z1126" s="112">
        <v>45694.36736111111</v>
      </c>
      <c r="AA1126" s="12"/>
      <c r="AB1126" s="84" t="s">
        <v>1663</v>
      </c>
      <c r="AC1126" s="84" t="s">
        <v>1664</v>
      </c>
      <c r="AD1126" s="12"/>
      <c r="AE1126" s="190"/>
      <c r="AF1126" s="1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</row>
    <row r="1127" ht="15.75" customHeight="1">
      <c r="A1127" s="191">
        <v>1.1467401E7</v>
      </c>
      <c r="B1127" s="192">
        <v>1.002115086E9</v>
      </c>
      <c r="C1127" s="11" t="s">
        <v>1643</v>
      </c>
      <c r="D1127" s="192">
        <v>26.0</v>
      </c>
      <c r="E1127" s="192">
        <v>30.666</v>
      </c>
      <c r="F1127" s="192" t="s">
        <v>31</v>
      </c>
      <c r="G1127" s="193" t="s">
        <v>74</v>
      </c>
      <c r="H1127" s="192" t="s">
        <v>903</v>
      </c>
      <c r="I1127" s="194" t="s">
        <v>904</v>
      </c>
      <c r="J1127" s="195" t="s">
        <v>35</v>
      </c>
      <c r="K1127" s="195" t="s">
        <v>905</v>
      </c>
      <c r="L1127" s="171" t="s">
        <v>94</v>
      </c>
      <c r="M1127" s="84" t="s">
        <v>1665</v>
      </c>
      <c r="N1127" s="196">
        <v>6781.0</v>
      </c>
      <c r="O1127" s="73">
        <f t="shared" si="24"/>
        <v>0.4509659342</v>
      </c>
      <c r="P1127" s="98">
        <v>3058.0</v>
      </c>
      <c r="Q1127" s="197" t="s">
        <v>39</v>
      </c>
      <c r="R1127" s="84">
        <v>1599339.0</v>
      </c>
      <c r="S1127" s="84" t="s">
        <v>40</v>
      </c>
      <c r="T1127" s="90">
        <v>6709828.0</v>
      </c>
      <c r="U1127" s="84" t="s">
        <v>1666</v>
      </c>
      <c r="V1127" s="84" t="s">
        <v>1667</v>
      </c>
      <c r="W1127" s="198"/>
      <c r="X1127" s="192" t="s">
        <v>1668</v>
      </c>
      <c r="Y1127" s="84" t="s">
        <v>1669</v>
      </c>
      <c r="Z1127" s="84" t="s">
        <v>1670</v>
      </c>
      <c r="AA1127" s="198"/>
      <c r="AB1127" s="198"/>
      <c r="AC1127" s="198"/>
      <c r="AD1127" s="198"/>
      <c r="AE1127" s="189" t="s">
        <v>39</v>
      </c>
      <c r="AF1127" s="198"/>
      <c r="AG1127" s="199"/>
      <c r="AH1127" s="199"/>
      <c r="AI1127" s="199"/>
      <c r="AJ1127" s="199"/>
      <c r="AK1127" s="199"/>
      <c r="AL1127" s="199"/>
      <c r="AM1127" s="199"/>
      <c r="AN1127" s="199"/>
      <c r="AO1127" s="199"/>
      <c r="AP1127" s="199"/>
    </row>
    <row r="1128" ht="15.75" customHeight="1">
      <c r="A1128" s="103">
        <v>1.1467402E7</v>
      </c>
      <c r="B1128" s="84">
        <v>1.002115103E9</v>
      </c>
      <c r="C1128" s="11" t="s">
        <v>1449</v>
      </c>
      <c r="D1128" s="84">
        <v>26.0</v>
      </c>
      <c r="E1128" s="84">
        <v>32.468</v>
      </c>
      <c r="F1128" s="12" t="s">
        <v>31</v>
      </c>
      <c r="G1128" s="25" t="s">
        <v>74</v>
      </c>
      <c r="H1128" s="84" t="s">
        <v>903</v>
      </c>
      <c r="I1128" s="85" t="s">
        <v>904</v>
      </c>
      <c r="J1128" s="84" t="s">
        <v>35</v>
      </c>
      <c r="K1128" s="84" t="s">
        <v>905</v>
      </c>
      <c r="L1128" s="28" t="s">
        <v>94</v>
      </c>
      <c r="M1128" s="84" t="s">
        <v>1149</v>
      </c>
      <c r="N1128" s="133">
        <v>7167.0</v>
      </c>
      <c r="O1128" s="73">
        <f t="shared" si="24"/>
        <v>0.7255476489</v>
      </c>
      <c r="P1128" s="98">
        <v>5200.0</v>
      </c>
      <c r="Q1128" s="84" t="s">
        <v>39</v>
      </c>
      <c r="R1128" s="84">
        <v>1601095.0</v>
      </c>
      <c r="S1128" s="84" t="s">
        <v>40</v>
      </c>
      <c r="T1128" s="90">
        <v>6719116.0</v>
      </c>
      <c r="U1128" s="84" t="s">
        <v>1671</v>
      </c>
      <c r="V1128" s="84" t="s">
        <v>1672</v>
      </c>
      <c r="W1128" s="12"/>
      <c r="X1128" s="84" t="s">
        <v>1673</v>
      </c>
      <c r="Y1128" s="84" t="s">
        <v>1674</v>
      </c>
      <c r="Z1128" s="84" t="s">
        <v>1675</v>
      </c>
      <c r="AA1128" s="12"/>
      <c r="AB1128" s="84" t="s">
        <v>1676</v>
      </c>
      <c r="AC1128" s="84" t="s">
        <v>1677</v>
      </c>
      <c r="AD1128" s="12"/>
      <c r="AE1128" s="12"/>
      <c r="AF1128" s="1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</row>
    <row r="1129" ht="15.75" customHeight="1">
      <c r="A1129" s="191">
        <v>1.1473451E7</v>
      </c>
      <c r="B1129" s="192">
        <v>1.002131158E9</v>
      </c>
      <c r="C1129" s="11" t="s">
        <v>1654</v>
      </c>
      <c r="D1129" s="192">
        <v>26.0</v>
      </c>
      <c r="E1129" s="192">
        <v>33430.0</v>
      </c>
      <c r="F1129" s="192" t="s">
        <v>31</v>
      </c>
      <c r="G1129" s="193" t="s">
        <v>32</v>
      </c>
      <c r="H1129" s="169" t="s">
        <v>265</v>
      </c>
      <c r="I1129" s="200" t="s">
        <v>266</v>
      </c>
      <c r="J1129" s="195" t="s">
        <v>35</v>
      </c>
      <c r="K1129" s="170" t="s">
        <v>267</v>
      </c>
      <c r="L1129" s="171" t="s">
        <v>114</v>
      </c>
      <c r="M1129" s="192" t="s">
        <v>1225</v>
      </c>
      <c r="N1129" s="196">
        <v>6527.0</v>
      </c>
      <c r="O1129" s="187">
        <f t="shared" si="24"/>
        <v>0.7277462847</v>
      </c>
      <c r="P1129" s="98">
        <v>4750.0</v>
      </c>
      <c r="Q1129" s="197" t="s">
        <v>39</v>
      </c>
      <c r="R1129" s="84">
        <v>1600201.0</v>
      </c>
      <c r="S1129" s="84" t="s">
        <v>40</v>
      </c>
      <c r="T1129" s="90">
        <v>6714022.0</v>
      </c>
      <c r="U1129" s="84" t="s">
        <v>1678</v>
      </c>
      <c r="V1129" s="84" t="s">
        <v>1679</v>
      </c>
      <c r="W1129" s="198"/>
      <c r="X1129" s="84" t="s">
        <v>127</v>
      </c>
      <c r="Y1129" s="84" t="s">
        <v>1668</v>
      </c>
      <c r="Z1129" s="84" t="s">
        <v>1680</v>
      </c>
      <c r="AA1129" s="198"/>
      <c r="AB1129" s="198"/>
      <c r="AC1129" s="198"/>
      <c r="AD1129" s="198"/>
      <c r="AE1129" s="189" t="s">
        <v>39</v>
      </c>
      <c r="AF1129" s="198"/>
      <c r="AG1129" s="199"/>
      <c r="AH1129" s="199"/>
      <c r="AI1129" s="199"/>
      <c r="AJ1129" s="199"/>
      <c r="AK1129" s="199"/>
      <c r="AL1129" s="199"/>
      <c r="AM1129" s="199"/>
      <c r="AN1129" s="199"/>
      <c r="AO1129" s="199"/>
      <c r="AP1129" s="199"/>
    </row>
    <row r="1130" ht="15.75" customHeight="1">
      <c r="A1130" s="126">
        <v>1.1473452E7</v>
      </c>
      <c r="B1130" s="84">
        <v>1.002131171E9</v>
      </c>
      <c r="C1130" s="11" t="s">
        <v>1681</v>
      </c>
      <c r="D1130" s="84">
        <v>26.0</v>
      </c>
      <c r="E1130" s="84">
        <v>33430.0</v>
      </c>
      <c r="F1130" s="12" t="s">
        <v>31</v>
      </c>
      <c r="G1130" s="25" t="s">
        <v>32</v>
      </c>
      <c r="H1130" s="12" t="s">
        <v>265</v>
      </c>
      <c r="I1130" s="39" t="s">
        <v>266</v>
      </c>
      <c r="J1130" s="12" t="s">
        <v>35</v>
      </c>
      <c r="K1130" s="12" t="s">
        <v>267</v>
      </c>
      <c r="L1130" s="95" t="s">
        <v>114</v>
      </c>
      <c r="M1130" s="84" t="s">
        <v>1204</v>
      </c>
      <c r="N1130" s="133">
        <v>6527.0</v>
      </c>
      <c r="O1130" s="73">
        <f t="shared" si="24"/>
        <v>0.6511414126</v>
      </c>
      <c r="P1130" s="98">
        <v>4250.0</v>
      </c>
      <c r="Q1130" s="84" t="s">
        <v>39</v>
      </c>
      <c r="R1130" s="84">
        <v>1602858.0</v>
      </c>
      <c r="S1130" s="84" t="s">
        <v>40</v>
      </c>
      <c r="T1130" s="90">
        <v>6725091.0</v>
      </c>
      <c r="U1130" s="84" t="s">
        <v>1682</v>
      </c>
      <c r="V1130" s="84" t="s">
        <v>1683</v>
      </c>
      <c r="W1130" s="12"/>
      <c r="X1130" s="84" t="s">
        <v>127</v>
      </c>
      <c r="Y1130" s="84" t="s">
        <v>1684</v>
      </c>
      <c r="Z1130" s="84" t="s">
        <v>1685</v>
      </c>
      <c r="AA1130" s="12"/>
      <c r="AB1130" s="12"/>
      <c r="AC1130" s="12"/>
      <c r="AD1130" s="12"/>
      <c r="AE1130" s="189" t="s">
        <v>39</v>
      </c>
      <c r="AF1130" s="12"/>
      <c r="AG1130" s="22"/>
      <c r="AH1130" s="22"/>
      <c r="AI1130" s="22"/>
      <c r="AJ1130" s="22"/>
      <c r="AK1130" s="22"/>
      <c r="AL1130" s="22"/>
      <c r="AM1130" s="22"/>
      <c r="AN1130" s="22"/>
      <c r="AO1130" s="22"/>
      <c r="AP1130" s="22"/>
    </row>
    <row r="1131" ht="15.75" customHeight="1">
      <c r="A1131" s="126">
        <v>1.1473453E7</v>
      </c>
      <c r="B1131" s="192">
        <v>1.002131154E9</v>
      </c>
      <c r="C1131" s="11" t="s">
        <v>1681</v>
      </c>
      <c r="D1131" s="192">
        <v>26.0</v>
      </c>
      <c r="E1131" s="192">
        <v>33430.0</v>
      </c>
      <c r="F1131" s="169" t="s">
        <v>31</v>
      </c>
      <c r="G1131" s="201" t="s">
        <v>32</v>
      </c>
      <c r="H1131" s="169" t="s">
        <v>265</v>
      </c>
      <c r="I1131" s="200" t="s">
        <v>266</v>
      </c>
      <c r="J1131" s="170" t="s">
        <v>35</v>
      </c>
      <c r="K1131" s="170" t="s">
        <v>267</v>
      </c>
      <c r="L1131" s="171" t="s">
        <v>114</v>
      </c>
      <c r="M1131" s="192" t="s">
        <v>546</v>
      </c>
      <c r="N1131" s="196">
        <v>6527.0</v>
      </c>
      <c r="O1131" s="73">
        <f t="shared" si="24"/>
        <v>0.3083698483</v>
      </c>
      <c r="P1131" s="98">
        <v>2012.73</v>
      </c>
      <c r="Q1131" s="84" t="s">
        <v>39</v>
      </c>
      <c r="R1131" s="84">
        <v>1602942.0</v>
      </c>
      <c r="S1131" s="84" t="s">
        <v>40</v>
      </c>
      <c r="T1131" s="90">
        <v>6725848.0</v>
      </c>
      <c r="U1131" s="84" t="s">
        <v>1686</v>
      </c>
      <c r="V1131" s="84" t="s">
        <v>1687</v>
      </c>
      <c r="W1131" s="198"/>
      <c r="X1131" s="84" t="s">
        <v>127</v>
      </c>
      <c r="Y1131" s="84" t="s">
        <v>1688</v>
      </c>
      <c r="Z1131" s="84" t="s">
        <v>1689</v>
      </c>
      <c r="AA1131" s="198"/>
      <c r="AB1131" s="176" t="s">
        <v>1690</v>
      </c>
      <c r="AC1131" s="176" t="s">
        <v>1691</v>
      </c>
      <c r="AD1131" s="198"/>
      <c r="AE1131" s="198"/>
      <c r="AF1131" s="198"/>
      <c r="AG1131" s="199"/>
      <c r="AH1131" s="199"/>
      <c r="AI1131" s="199"/>
      <c r="AJ1131" s="199"/>
      <c r="AK1131" s="199"/>
      <c r="AL1131" s="199"/>
      <c r="AM1131" s="199"/>
      <c r="AN1131" s="199"/>
      <c r="AO1131" s="199"/>
      <c r="AP1131" s="199"/>
    </row>
    <row r="1132" ht="15.75" customHeight="1">
      <c r="A1132" s="126">
        <v>1.1473454E7</v>
      </c>
      <c r="B1132" s="84">
        <v>1.002131157E9</v>
      </c>
      <c r="C1132" s="11" t="s">
        <v>1692</v>
      </c>
      <c r="D1132" s="84">
        <v>26.0</v>
      </c>
      <c r="E1132" s="84">
        <v>33430.0</v>
      </c>
      <c r="F1132" s="12" t="s">
        <v>31</v>
      </c>
      <c r="G1132" s="25" t="s">
        <v>32</v>
      </c>
      <c r="H1132" s="25" t="s">
        <v>265</v>
      </c>
      <c r="I1132" s="28" t="s">
        <v>266</v>
      </c>
      <c r="J1132" s="25" t="s">
        <v>35</v>
      </c>
      <c r="K1132" s="25" t="s">
        <v>267</v>
      </c>
      <c r="L1132" s="95" t="s">
        <v>114</v>
      </c>
      <c r="M1132" s="84" t="s">
        <v>1286</v>
      </c>
      <c r="N1132" s="133">
        <v>6527.0</v>
      </c>
      <c r="O1132" s="73">
        <f t="shared" si="24"/>
        <v>0.7737092079</v>
      </c>
      <c r="P1132" s="98">
        <v>5050.0</v>
      </c>
      <c r="Q1132" s="84" t="s">
        <v>39</v>
      </c>
      <c r="R1132" s="84">
        <v>1603216.0</v>
      </c>
      <c r="S1132" s="84" t="s">
        <v>40</v>
      </c>
      <c r="T1132" s="90">
        <v>6727975.0</v>
      </c>
      <c r="U1132" s="84" t="s">
        <v>1693</v>
      </c>
      <c r="V1132" s="84" t="s">
        <v>1694</v>
      </c>
      <c r="W1132" s="12"/>
      <c r="X1132" s="84" t="s">
        <v>127</v>
      </c>
      <c r="Y1132" s="84" t="s">
        <v>1695</v>
      </c>
      <c r="Z1132" s="84" t="s">
        <v>1696</v>
      </c>
      <c r="AA1132" s="12"/>
      <c r="AB1132" s="12"/>
      <c r="AC1132" s="12"/>
      <c r="AD1132" s="12"/>
      <c r="AE1132" s="189" t="s">
        <v>39</v>
      </c>
      <c r="AF1132" s="12"/>
      <c r="AG1132" s="22"/>
      <c r="AH1132" s="22"/>
      <c r="AI1132" s="22"/>
      <c r="AJ1132" s="22"/>
      <c r="AK1132" s="22"/>
      <c r="AL1132" s="22"/>
      <c r="AM1132" s="22"/>
      <c r="AN1132" s="22"/>
      <c r="AO1132" s="22"/>
      <c r="AP1132" s="22"/>
    </row>
    <row r="1133" ht="15.75" customHeight="1">
      <c r="A1133" s="126">
        <v>1.1483186E7</v>
      </c>
      <c r="B1133" s="84">
        <v>1.002143214E9</v>
      </c>
      <c r="C1133" s="11" t="s">
        <v>1697</v>
      </c>
      <c r="D1133" s="84">
        <v>26.0</v>
      </c>
      <c r="E1133" s="84">
        <v>32.177</v>
      </c>
      <c r="F1133" s="12" t="s">
        <v>31</v>
      </c>
      <c r="G1133" s="25" t="s">
        <v>74</v>
      </c>
      <c r="H1133" s="12" t="s">
        <v>190</v>
      </c>
      <c r="I1133" s="29" t="s">
        <v>191</v>
      </c>
      <c r="J1133" s="12" t="s">
        <v>35</v>
      </c>
      <c r="K1133" s="12" t="s">
        <v>138</v>
      </c>
      <c r="L1133" s="25" t="s">
        <v>94</v>
      </c>
      <c r="M1133" s="176" t="s">
        <v>1698</v>
      </c>
      <c r="N1133" s="133">
        <v>5760.0</v>
      </c>
      <c r="O1133" s="73">
        <f t="shared" si="24"/>
        <v>0.4146649306</v>
      </c>
      <c r="P1133" s="98">
        <v>2388.47</v>
      </c>
      <c r="Q1133" s="84" t="s">
        <v>39</v>
      </c>
      <c r="R1133" s="84">
        <v>1608012.0</v>
      </c>
      <c r="S1133" s="84" t="s">
        <v>40</v>
      </c>
      <c r="T1133" s="90">
        <v>6756920.0</v>
      </c>
      <c r="U1133" s="84" t="s">
        <v>1699</v>
      </c>
      <c r="V1133" s="84" t="s">
        <v>1700</v>
      </c>
      <c r="W1133" s="12"/>
      <c r="X1133" s="84" t="s">
        <v>127</v>
      </c>
      <c r="Y1133" s="112">
        <v>45694.21597222222</v>
      </c>
      <c r="Z1133" s="112">
        <v>45694.45972222222</v>
      </c>
      <c r="AA1133" s="12"/>
      <c r="AB1133" s="84" t="s">
        <v>1701</v>
      </c>
      <c r="AC1133" s="84" t="s">
        <v>1702</v>
      </c>
      <c r="AD1133" s="12"/>
      <c r="AE1133" s="12"/>
      <c r="AF1133" s="1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</row>
    <row r="1134" ht="15.75" customHeight="1">
      <c r="A1134" s="202" t="s">
        <v>1703</v>
      </c>
      <c r="B1134" s="192">
        <v>1.002143202E9</v>
      </c>
      <c r="C1134" s="11" t="s">
        <v>1697</v>
      </c>
      <c r="D1134" s="192">
        <v>26.0</v>
      </c>
      <c r="E1134" s="192">
        <v>32.177</v>
      </c>
      <c r="F1134" s="169" t="s">
        <v>31</v>
      </c>
      <c r="G1134" s="201" t="s">
        <v>74</v>
      </c>
      <c r="H1134" s="169" t="s">
        <v>190</v>
      </c>
      <c r="I1134" s="200" t="s">
        <v>191</v>
      </c>
      <c r="J1134" s="170" t="s">
        <v>35</v>
      </c>
      <c r="K1134" s="170" t="s">
        <v>138</v>
      </c>
      <c r="L1134" s="171" t="s">
        <v>94</v>
      </c>
      <c r="M1134" s="94" t="s">
        <v>1704</v>
      </c>
      <c r="N1134" s="24">
        <v>5760.0</v>
      </c>
      <c r="O1134" s="73">
        <v>0.625</v>
      </c>
      <c r="P1134" s="15">
        <v>3600.0</v>
      </c>
      <c r="Q1134" s="94" t="s">
        <v>39</v>
      </c>
      <c r="R1134" s="94" t="s">
        <v>1705</v>
      </c>
      <c r="S1134" s="94" t="s">
        <v>40</v>
      </c>
      <c r="T1134" s="203" t="s">
        <v>1706</v>
      </c>
      <c r="U1134" s="94" t="s">
        <v>1707</v>
      </c>
      <c r="V1134" s="94" t="s">
        <v>1708</v>
      </c>
      <c r="W1134" s="198"/>
      <c r="X1134" s="204" t="s">
        <v>127</v>
      </c>
      <c r="Y1134" s="205">
        <v>45694.467361111114</v>
      </c>
      <c r="Z1134" s="205">
        <v>45753.604166666664</v>
      </c>
      <c r="AA1134" s="198"/>
      <c r="AB1134" s="192" t="s">
        <v>1709</v>
      </c>
      <c r="AC1134" s="192" t="s">
        <v>1710</v>
      </c>
      <c r="AD1134" s="198"/>
      <c r="AE1134" s="189" t="s">
        <v>39</v>
      </c>
      <c r="AF1134" s="198"/>
      <c r="AG1134" s="199"/>
      <c r="AH1134" s="199"/>
      <c r="AI1134" s="199"/>
      <c r="AJ1134" s="199"/>
      <c r="AK1134" s="199"/>
      <c r="AL1134" s="199"/>
      <c r="AM1134" s="199"/>
      <c r="AN1134" s="199"/>
      <c r="AO1134" s="199"/>
      <c r="AP1134" s="199"/>
    </row>
    <row r="1135" ht="15.75" customHeight="1">
      <c r="A1135" s="126">
        <v>1.14892E7</v>
      </c>
      <c r="B1135" s="192">
        <v>1.002153672E9</v>
      </c>
      <c r="C1135" s="11" t="s">
        <v>1697</v>
      </c>
      <c r="D1135" s="192">
        <v>26.0</v>
      </c>
      <c r="E1135" s="192">
        <v>30.663</v>
      </c>
      <c r="F1135" s="169" t="s">
        <v>31</v>
      </c>
      <c r="G1135" s="201" t="s">
        <v>74</v>
      </c>
      <c r="H1135" s="169" t="s">
        <v>1711</v>
      </c>
      <c r="I1135" s="194" t="s">
        <v>1712</v>
      </c>
      <c r="J1135" s="169" t="s">
        <v>35</v>
      </c>
      <c r="K1135" s="169" t="s">
        <v>187</v>
      </c>
      <c r="L1135" s="171" t="s">
        <v>188</v>
      </c>
      <c r="M1135" s="192" t="s">
        <v>1713</v>
      </c>
      <c r="N1135" s="133">
        <v>4362.0</v>
      </c>
      <c r="O1135" s="73">
        <f t="shared" ref="O1135:O1153" si="25">IFERROR(P1135/N1135,0)</f>
        <v>0.6464924347</v>
      </c>
      <c r="P1135" s="98">
        <v>2820.0</v>
      </c>
      <c r="Q1135" s="192" t="s">
        <v>39</v>
      </c>
      <c r="R1135" s="176">
        <v>1607701.0</v>
      </c>
      <c r="S1135" s="84" t="s">
        <v>40</v>
      </c>
      <c r="T1135" s="90">
        <v>6754803.0</v>
      </c>
      <c r="U1135" s="84" t="s">
        <v>1714</v>
      </c>
      <c r="V1135" s="84" t="s">
        <v>1715</v>
      </c>
      <c r="W1135" s="198"/>
      <c r="X1135" s="204">
        <v>45722.25</v>
      </c>
      <c r="Y1135" s="112">
        <v>45694.81527777778</v>
      </c>
      <c r="Z1135" s="112">
        <v>45814.444444444445</v>
      </c>
      <c r="AA1135" s="198"/>
      <c r="AB1135" s="176" t="s">
        <v>1716</v>
      </c>
      <c r="AC1135" s="176" t="s">
        <v>1717</v>
      </c>
      <c r="AD1135" s="198"/>
      <c r="AE1135" s="198"/>
      <c r="AF1135" s="198"/>
      <c r="AG1135" s="199"/>
      <c r="AH1135" s="199"/>
      <c r="AI1135" s="199"/>
      <c r="AJ1135" s="199"/>
      <c r="AK1135" s="199"/>
      <c r="AL1135" s="199"/>
      <c r="AM1135" s="199"/>
      <c r="AN1135" s="199"/>
      <c r="AO1135" s="199"/>
      <c r="AP1135" s="199"/>
    </row>
    <row r="1136" ht="15.75" customHeight="1">
      <c r="A1136" s="126">
        <v>1.1532441E7</v>
      </c>
      <c r="B1136" s="84">
        <v>1.00220758E9</v>
      </c>
      <c r="C1136" s="11" t="s">
        <v>1718</v>
      </c>
      <c r="D1136" s="84">
        <v>26.0</v>
      </c>
      <c r="E1136" s="84">
        <v>32.468</v>
      </c>
      <c r="F1136" s="12" t="s">
        <v>31</v>
      </c>
      <c r="G1136" s="25" t="s">
        <v>74</v>
      </c>
      <c r="H1136" s="84" t="s">
        <v>1368</v>
      </c>
      <c r="I1136" s="85" t="s">
        <v>1719</v>
      </c>
      <c r="J1136" s="93" t="s">
        <v>35</v>
      </c>
      <c r="K1136" s="93" t="s">
        <v>243</v>
      </c>
      <c r="L1136" s="95" t="s">
        <v>188</v>
      </c>
      <c r="M1136" s="84" t="s">
        <v>913</v>
      </c>
      <c r="N1136" s="133">
        <v>4362.0</v>
      </c>
      <c r="O1136" s="73">
        <f t="shared" si="25"/>
        <v>0.573131591</v>
      </c>
      <c r="P1136" s="98">
        <v>2500.0</v>
      </c>
      <c r="Q1136" s="84" t="s">
        <v>39</v>
      </c>
      <c r="R1136" s="84">
        <v>1618013.0</v>
      </c>
      <c r="S1136" s="84" t="s">
        <v>40</v>
      </c>
      <c r="T1136" s="90">
        <v>6823675.0</v>
      </c>
      <c r="U1136" s="84" t="s">
        <v>1720</v>
      </c>
      <c r="V1136" s="84" t="s">
        <v>1721</v>
      </c>
      <c r="W1136" s="12"/>
      <c r="X1136" s="84" t="s">
        <v>1722</v>
      </c>
      <c r="Y1136" s="84" t="s">
        <v>1723</v>
      </c>
      <c r="Z1136" s="84" t="s">
        <v>1724</v>
      </c>
      <c r="AA1136" s="12"/>
      <c r="AB1136" s="84">
        <v>896579.0</v>
      </c>
      <c r="AC1136" s="84" t="s">
        <v>1725</v>
      </c>
      <c r="AD1136" s="12"/>
      <c r="AE1136" s="12"/>
      <c r="AF1136" s="1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</row>
    <row r="1137" ht="15.75" customHeight="1">
      <c r="A1137" s="126">
        <v>1.1552449E7</v>
      </c>
      <c r="B1137" s="84">
        <v>1.002242532E9</v>
      </c>
      <c r="C1137" s="11" t="s">
        <v>1726</v>
      </c>
      <c r="D1137" s="84">
        <v>26.0</v>
      </c>
      <c r="E1137" s="84">
        <v>15.934</v>
      </c>
      <c r="F1137" s="12" t="s">
        <v>43</v>
      </c>
      <c r="G1137" s="25" t="s">
        <v>32</v>
      </c>
      <c r="H1137" s="84" t="s">
        <v>1408</v>
      </c>
      <c r="I1137" s="85" t="s">
        <v>1409</v>
      </c>
      <c r="J1137" s="84" t="s">
        <v>35</v>
      </c>
      <c r="K1137" s="84" t="s">
        <v>1410</v>
      </c>
      <c r="L1137" s="95" t="s">
        <v>114</v>
      </c>
      <c r="M1137" s="84" t="s">
        <v>1727</v>
      </c>
      <c r="N1137" s="133">
        <v>7195.0</v>
      </c>
      <c r="O1137" s="73">
        <f t="shared" si="25"/>
        <v>0.6532314107</v>
      </c>
      <c r="P1137" s="98">
        <v>4700.0</v>
      </c>
      <c r="Q1137" s="84" t="s">
        <v>39</v>
      </c>
      <c r="R1137" s="84">
        <v>1630049.0</v>
      </c>
      <c r="S1137" s="84" t="s">
        <v>40</v>
      </c>
      <c r="T1137" s="90">
        <v>6889410.0</v>
      </c>
      <c r="U1137" s="84" t="s">
        <v>1728</v>
      </c>
      <c r="V1137" s="84" t="s">
        <v>1729</v>
      </c>
      <c r="W1137" s="12"/>
      <c r="X1137" s="84" t="s">
        <v>127</v>
      </c>
      <c r="Y1137" s="84" t="s">
        <v>1730</v>
      </c>
      <c r="Z1137" s="84" t="s">
        <v>1731</v>
      </c>
      <c r="AA1137" s="12"/>
      <c r="AB1137" s="84">
        <v>903908.0</v>
      </c>
      <c r="AC1137" s="84" t="s">
        <v>1732</v>
      </c>
      <c r="AD1137" s="12"/>
      <c r="AE1137" s="189" t="s">
        <v>39</v>
      </c>
      <c r="AF1137" s="12"/>
      <c r="AG1137" s="22"/>
      <c r="AH1137" s="22"/>
      <c r="AI1137" s="22"/>
      <c r="AJ1137" s="22"/>
      <c r="AK1137" s="22"/>
      <c r="AL1137" s="22"/>
      <c r="AM1137" s="22"/>
      <c r="AN1137" s="22"/>
      <c r="AO1137" s="22"/>
      <c r="AP1137" s="22"/>
    </row>
    <row r="1138" ht="15.75" customHeight="1">
      <c r="A1138" s="126">
        <v>1.155245E7</v>
      </c>
      <c r="B1138" s="84">
        <v>1.002242499E9</v>
      </c>
      <c r="C1138" s="11" t="s">
        <v>1726</v>
      </c>
      <c r="D1138" s="84">
        <v>26.0</v>
      </c>
      <c r="E1138" s="84">
        <v>32.468</v>
      </c>
      <c r="F1138" s="12" t="s">
        <v>31</v>
      </c>
      <c r="G1138" s="25" t="s">
        <v>32</v>
      </c>
      <c r="H1138" s="12" t="s">
        <v>265</v>
      </c>
      <c r="I1138" s="39" t="s">
        <v>266</v>
      </c>
      <c r="J1138" s="25" t="s">
        <v>35</v>
      </c>
      <c r="K1138" s="25" t="s">
        <v>267</v>
      </c>
      <c r="L1138" s="95" t="s">
        <v>114</v>
      </c>
      <c r="M1138" s="84" t="s">
        <v>1733</v>
      </c>
      <c r="N1138" s="196">
        <v>6527.0</v>
      </c>
      <c r="O1138" s="73">
        <f t="shared" si="25"/>
        <v>0.5392982994</v>
      </c>
      <c r="P1138" s="98">
        <v>3520.0</v>
      </c>
      <c r="Q1138" s="84" t="s">
        <v>39</v>
      </c>
      <c r="R1138" s="93">
        <v>1630440.0</v>
      </c>
      <c r="S1138" s="93" t="s">
        <v>40</v>
      </c>
      <c r="T1138" s="90">
        <v>6892087.0</v>
      </c>
      <c r="U1138" s="84" t="s">
        <v>1734</v>
      </c>
      <c r="V1138" s="84" t="s">
        <v>1735</v>
      </c>
      <c r="W1138" s="12"/>
      <c r="X1138" s="84" t="s">
        <v>127</v>
      </c>
      <c r="Y1138" s="84" t="s">
        <v>1736</v>
      </c>
      <c r="Z1138" s="84" t="s">
        <v>1737</v>
      </c>
      <c r="AA1138" s="12"/>
      <c r="AB1138" s="84">
        <v>903869.0</v>
      </c>
      <c r="AC1138" s="84" t="s">
        <v>1732</v>
      </c>
      <c r="AD1138" s="12"/>
      <c r="AE1138" s="189" t="s">
        <v>39</v>
      </c>
      <c r="AF1138" s="12"/>
      <c r="AG1138" s="22"/>
      <c r="AH1138" s="22"/>
      <c r="AI1138" s="22"/>
      <c r="AJ1138" s="22"/>
      <c r="AK1138" s="22"/>
      <c r="AL1138" s="22"/>
      <c r="AM1138" s="22"/>
      <c r="AN1138" s="22"/>
      <c r="AO1138" s="22"/>
      <c r="AP1138" s="22"/>
    </row>
    <row r="1139" ht="15.75" customHeight="1">
      <c r="A1139" s="126">
        <v>1.1552451E7</v>
      </c>
      <c r="B1139" s="84">
        <v>1.002242516E9</v>
      </c>
      <c r="C1139" s="11" t="s">
        <v>1726</v>
      </c>
      <c r="D1139" s="84">
        <v>26.0</v>
      </c>
      <c r="E1139" s="84">
        <v>33.43</v>
      </c>
      <c r="F1139" s="12" t="s">
        <v>31</v>
      </c>
      <c r="G1139" s="12" t="s">
        <v>32</v>
      </c>
      <c r="H1139" s="29" t="s">
        <v>265</v>
      </c>
      <c r="I1139" s="28" t="s">
        <v>266</v>
      </c>
      <c r="J1139" s="25" t="s">
        <v>35</v>
      </c>
      <c r="K1139" s="12" t="s">
        <v>267</v>
      </c>
      <c r="L1139" s="95" t="s">
        <v>114</v>
      </c>
      <c r="M1139" s="84" t="s">
        <v>1698</v>
      </c>
      <c r="N1139" s="196">
        <v>6527.0</v>
      </c>
      <c r="O1139" s="73">
        <f t="shared" si="25"/>
        <v>0.5206067106</v>
      </c>
      <c r="P1139" s="98">
        <v>3398.0</v>
      </c>
      <c r="Q1139" s="84" t="s">
        <v>39</v>
      </c>
      <c r="R1139" s="84">
        <v>1630147.0</v>
      </c>
      <c r="S1139" s="84" t="s">
        <v>40</v>
      </c>
      <c r="T1139" s="90">
        <v>6890528.0</v>
      </c>
      <c r="U1139" s="84" t="s">
        <v>1738</v>
      </c>
      <c r="V1139" s="84" t="s">
        <v>1739</v>
      </c>
      <c r="W1139" s="12"/>
      <c r="X1139" s="84" t="s">
        <v>127</v>
      </c>
      <c r="Y1139" s="84" t="s">
        <v>1740</v>
      </c>
      <c r="Z1139" s="84" t="s">
        <v>1741</v>
      </c>
      <c r="AA1139" s="12"/>
      <c r="AB1139" s="12"/>
      <c r="AC1139" s="12"/>
      <c r="AD1139" s="12"/>
      <c r="AE1139" s="189" t="s">
        <v>39</v>
      </c>
      <c r="AF1139" s="12"/>
      <c r="AG1139" s="22"/>
      <c r="AH1139" s="22"/>
      <c r="AI1139" s="22"/>
      <c r="AJ1139" s="22"/>
      <c r="AK1139" s="22"/>
      <c r="AL1139" s="22"/>
      <c r="AM1139" s="22"/>
      <c r="AN1139" s="22"/>
      <c r="AO1139" s="22"/>
      <c r="AP1139" s="22"/>
    </row>
    <row r="1140" ht="15.75" customHeight="1">
      <c r="A1140" s="126">
        <v>1.1552452E7</v>
      </c>
      <c r="B1140" s="84">
        <v>1.002242522E9</v>
      </c>
      <c r="C1140" s="11" t="s">
        <v>1726</v>
      </c>
      <c r="D1140" s="84">
        <v>26.0</v>
      </c>
      <c r="E1140" s="84">
        <v>33.43</v>
      </c>
      <c r="F1140" s="12" t="s">
        <v>31</v>
      </c>
      <c r="G1140" s="12" t="s">
        <v>32</v>
      </c>
      <c r="H1140" s="29" t="s">
        <v>265</v>
      </c>
      <c r="I1140" s="28" t="s">
        <v>266</v>
      </c>
      <c r="J1140" s="25" t="s">
        <v>35</v>
      </c>
      <c r="K1140" s="12" t="s">
        <v>267</v>
      </c>
      <c r="L1140" s="95" t="s">
        <v>114</v>
      </c>
      <c r="M1140" s="84" t="s">
        <v>1742</v>
      </c>
      <c r="N1140" s="196">
        <v>6527.0</v>
      </c>
      <c r="O1140" s="73">
        <f t="shared" si="25"/>
        <v>0.5206067106</v>
      </c>
      <c r="P1140" s="98">
        <v>3398.0</v>
      </c>
      <c r="Q1140" s="84" t="s">
        <v>39</v>
      </c>
      <c r="R1140" s="84">
        <v>1630185.0</v>
      </c>
      <c r="S1140" s="84" t="s">
        <v>40</v>
      </c>
      <c r="T1140" s="90">
        <v>6890624.0</v>
      </c>
      <c r="U1140" s="84" t="s">
        <v>1738</v>
      </c>
      <c r="V1140" s="84" t="s">
        <v>1743</v>
      </c>
      <c r="W1140" s="12"/>
      <c r="X1140" s="84" t="s">
        <v>127</v>
      </c>
      <c r="Y1140" s="84" t="s">
        <v>1744</v>
      </c>
      <c r="Z1140" s="84" t="s">
        <v>1745</v>
      </c>
      <c r="AA1140" s="12"/>
      <c r="AB1140" s="12"/>
      <c r="AC1140" s="12"/>
      <c r="AD1140" s="12"/>
      <c r="AE1140" s="189" t="s">
        <v>39</v>
      </c>
      <c r="AF1140" s="12"/>
      <c r="AG1140" s="22"/>
      <c r="AH1140" s="22"/>
      <c r="AI1140" s="22"/>
      <c r="AJ1140" s="22"/>
      <c r="AK1140" s="22"/>
      <c r="AL1140" s="22"/>
      <c r="AM1140" s="22"/>
      <c r="AN1140" s="22"/>
      <c r="AO1140" s="22"/>
      <c r="AP1140" s="22"/>
    </row>
    <row r="1141" ht="15.75" customHeight="1">
      <c r="A1141" s="126">
        <v>1.1552453E7</v>
      </c>
      <c r="B1141" s="84">
        <v>1.002242562E9</v>
      </c>
      <c r="C1141" s="11" t="s">
        <v>1726</v>
      </c>
      <c r="D1141" s="84">
        <v>14.0</v>
      </c>
      <c r="E1141" s="84">
        <v>15.911</v>
      </c>
      <c r="F1141" s="12" t="s">
        <v>43</v>
      </c>
      <c r="G1141" s="29" t="s">
        <v>32</v>
      </c>
      <c r="H1141" s="84" t="s">
        <v>1746</v>
      </c>
      <c r="I1141" s="85" t="s">
        <v>1232</v>
      </c>
      <c r="J1141" s="84" t="s">
        <v>1410</v>
      </c>
      <c r="K1141" s="84" t="s">
        <v>35</v>
      </c>
      <c r="L1141" s="98" t="s">
        <v>43</v>
      </c>
      <c r="M1141" s="84" t="s">
        <v>1747</v>
      </c>
      <c r="N1141" s="133">
        <v>4796.0</v>
      </c>
      <c r="O1141" s="73">
        <f t="shared" si="25"/>
        <v>0.5733944954</v>
      </c>
      <c r="P1141" s="98">
        <v>2750.0</v>
      </c>
      <c r="Q1141" s="12"/>
      <c r="R1141" s="84">
        <v>1633170.0</v>
      </c>
      <c r="S1141" s="84" t="s">
        <v>40</v>
      </c>
      <c r="T1141" s="90">
        <v>6902163.0</v>
      </c>
      <c r="U1141" s="84" t="s">
        <v>1748</v>
      </c>
      <c r="V1141" s="84" t="s">
        <v>1731</v>
      </c>
      <c r="W1141" s="12"/>
      <c r="X1141" s="84" t="s">
        <v>127</v>
      </c>
      <c r="Y1141" s="84" t="s">
        <v>1749</v>
      </c>
      <c r="Z1141" s="112">
        <v>45664.333333333336</v>
      </c>
      <c r="AA1141" s="12"/>
      <c r="AB1141" s="12"/>
      <c r="AC1141" s="12"/>
      <c r="AD1141" s="12"/>
      <c r="AE1141" s="12"/>
      <c r="AF1141" s="12"/>
      <c r="AG1141" s="22"/>
      <c r="AH1141" s="22"/>
      <c r="AI1141" s="22"/>
      <c r="AJ1141" s="22"/>
      <c r="AK1141" s="22"/>
      <c r="AL1141" s="22"/>
      <c r="AM1141" s="22"/>
      <c r="AN1141" s="22"/>
      <c r="AO1141" s="22"/>
      <c r="AP1141" s="22"/>
    </row>
    <row r="1142" ht="15.75" customHeight="1">
      <c r="A1142" s="126">
        <v>1.1557445E7</v>
      </c>
      <c r="B1142" s="84">
        <v>1.002254426E9</v>
      </c>
      <c r="C1142" s="11" t="s">
        <v>1750</v>
      </c>
      <c r="D1142" s="84">
        <v>26.0</v>
      </c>
      <c r="E1142" s="84">
        <v>33.206</v>
      </c>
      <c r="F1142" s="12" t="s">
        <v>31</v>
      </c>
      <c r="G1142" s="93" t="s">
        <v>44</v>
      </c>
      <c r="H1142" s="12" t="s">
        <v>45</v>
      </c>
      <c r="I1142" s="29" t="s">
        <v>46</v>
      </c>
      <c r="J1142" s="84" t="s">
        <v>35</v>
      </c>
      <c r="K1142" s="84" t="s">
        <v>47</v>
      </c>
      <c r="L1142" s="95" t="s">
        <v>108</v>
      </c>
      <c r="M1142" s="84" t="s">
        <v>913</v>
      </c>
      <c r="N1142" s="133">
        <v>2545.0</v>
      </c>
      <c r="O1142" s="73">
        <f t="shared" si="25"/>
        <v>0.6679764244</v>
      </c>
      <c r="P1142" s="98">
        <v>1700.0</v>
      </c>
      <c r="Q1142" s="84" t="s">
        <v>39</v>
      </c>
      <c r="R1142" s="84">
        <v>1627479.0</v>
      </c>
      <c r="S1142" s="84" t="s">
        <v>40</v>
      </c>
      <c r="T1142" s="90">
        <v>6873840.0</v>
      </c>
      <c r="U1142" s="84" t="s">
        <v>1751</v>
      </c>
      <c r="V1142" s="84" t="s">
        <v>1752</v>
      </c>
      <c r="W1142" s="12"/>
      <c r="X1142" s="84" t="s">
        <v>127</v>
      </c>
      <c r="Y1142" s="84" t="s">
        <v>1753</v>
      </c>
      <c r="Z1142" s="84" t="s">
        <v>1754</v>
      </c>
      <c r="AA1142" s="12"/>
      <c r="AB1142" s="84">
        <v>901366.0</v>
      </c>
      <c r="AC1142" s="84" t="s">
        <v>1513</v>
      </c>
      <c r="AD1142" s="12"/>
      <c r="AE1142" s="189" t="s">
        <v>39</v>
      </c>
      <c r="AF1142" s="12"/>
      <c r="AG1142" s="22"/>
      <c r="AH1142" s="22"/>
      <c r="AI1142" s="22"/>
      <c r="AJ1142" s="22"/>
      <c r="AK1142" s="22"/>
      <c r="AL1142" s="22"/>
      <c r="AM1142" s="22"/>
      <c r="AN1142" s="22"/>
      <c r="AO1142" s="22"/>
      <c r="AP1142" s="22"/>
    </row>
    <row r="1143" ht="15.0" customHeight="1">
      <c r="A1143" s="126">
        <v>1.1557451E7</v>
      </c>
      <c r="B1143" s="84">
        <v>1.002254413E9</v>
      </c>
      <c r="C1143" s="11" t="s">
        <v>1755</v>
      </c>
      <c r="D1143" s="84">
        <v>27.0</v>
      </c>
      <c r="E1143" s="84">
        <v>34.414</v>
      </c>
      <c r="F1143" s="12" t="s">
        <v>31</v>
      </c>
      <c r="G1143" s="93" t="s">
        <v>44</v>
      </c>
      <c r="H1143" s="12" t="s">
        <v>45</v>
      </c>
      <c r="I1143" s="29" t="s">
        <v>46</v>
      </c>
      <c r="J1143" s="93" t="s">
        <v>35</v>
      </c>
      <c r="K1143" s="93" t="s">
        <v>47</v>
      </c>
      <c r="L1143" s="95" t="s">
        <v>108</v>
      </c>
      <c r="M1143" s="84" t="s">
        <v>1727</v>
      </c>
      <c r="N1143" s="133">
        <v>2545.0</v>
      </c>
      <c r="O1143" s="73">
        <f t="shared" si="25"/>
        <v>0.6935166994</v>
      </c>
      <c r="P1143" s="98">
        <v>1765.0</v>
      </c>
      <c r="Q1143" s="84" t="s">
        <v>39</v>
      </c>
      <c r="R1143" s="84">
        <v>1628499.0</v>
      </c>
      <c r="S1143" s="84" t="s">
        <v>40</v>
      </c>
      <c r="T1143" s="90">
        <v>6880234.0</v>
      </c>
      <c r="U1143" s="84" t="s">
        <v>1756</v>
      </c>
      <c r="V1143" s="84" t="s">
        <v>1757</v>
      </c>
      <c r="W1143" s="12"/>
      <c r="X1143" s="84" t="s">
        <v>127</v>
      </c>
      <c r="Y1143" s="84" t="s">
        <v>1758</v>
      </c>
      <c r="Z1143" s="84" t="s">
        <v>1759</v>
      </c>
      <c r="AA1143" s="12"/>
      <c r="AB1143" s="84">
        <v>902047.0</v>
      </c>
      <c r="AC1143" s="84" t="s">
        <v>1513</v>
      </c>
      <c r="AD1143" s="12"/>
      <c r="AE1143" s="189" t="s">
        <v>39</v>
      </c>
      <c r="AF1143" s="1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</row>
    <row r="1144" ht="15.75" customHeight="1">
      <c r="A1144" s="103">
        <v>1.1558173E7</v>
      </c>
      <c r="B1144" s="84">
        <v>1.002254928E9</v>
      </c>
      <c r="C1144" s="11" t="s">
        <v>1760</v>
      </c>
      <c r="D1144" s="84">
        <v>26.0</v>
      </c>
      <c r="E1144" s="84">
        <v>32.468</v>
      </c>
      <c r="F1144" s="12" t="s">
        <v>31</v>
      </c>
      <c r="G1144" s="93" t="s">
        <v>74</v>
      </c>
      <c r="H1144" s="84" t="s">
        <v>1476</v>
      </c>
      <c r="I1144" s="85" t="s">
        <v>221</v>
      </c>
      <c r="J1144" s="93" t="s">
        <v>35</v>
      </c>
      <c r="K1144" s="84" t="s">
        <v>187</v>
      </c>
      <c r="L1144" s="95" t="s">
        <v>188</v>
      </c>
      <c r="M1144" s="84" t="s">
        <v>913</v>
      </c>
      <c r="N1144" s="133">
        <v>4362.0</v>
      </c>
      <c r="O1144" s="73">
        <f t="shared" si="25"/>
        <v>0.7134342045</v>
      </c>
      <c r="P1144" s="98">
        <v>3112.0</v>
      </c>
      <c r="Q1144" s="84" t="s">
        <v>39</v>
      </c>
      <c r="R1144" s="84">
        <v>1631455.0</v>
      </c>
      <c r="S1144" s="84" t="s">
        <v>40</v>
      </c>
      <c r="T1144" s="90">
        <v>6896071.0</v>
      </c>
      <c r="U1144" s="84" t="s">
        <v>1761</v>
      </c>
      <c r="V1144" s="84" t="s">
        <v>1762</v>
      </c>
      <c r="W1144" s="12"/>
      <c r="X1144" s="84" t="s">
        <v>1763</v>
      </c>
      <c r="Y1144" s="84" t="s">
        <v>1764</v>
      </c>
      <c r="Z1144" s="84" t="s">
        <v>1765</v>
      </c>
      <c r="AA1144" s="12"/>
      <c r="AB1144" s="84" t="s">
        <v>1766</v>
      </c>
      <c r="AC1144" s="84" t="s">
        <v>1767</v>
      </c>
      <c r="AD1144" s="12"/>
      <c r="AE1144" s="12"/>
      <c r="AF1144" s="1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</row>
    <row r="1145" ht="15.75" customHeight="1">
      <c r="A1145" s="103">
        <v>1.1558174E7</v>
      </c>
      <c r="B1145" s="84">
        <v>1.002254925E9</v>
      </c>
      <c r="C1145" s="11" t="s">
        <v>1760</v>
      </c>
      <c r="D1145" s="84">
        <v>26.0</v>
      </c>
      <c r="E1145" s="84">
        <v>32.037</v>
      </c>
      <c r="F1145" s="12" t="s">
        <v>31</v>
      </c>
      <c r="G1145" s="85" t="s">
        <v>74</v>
      </c>
      <c r="H1145" s="84" t="s">
        <v>1476</v>
      </c>
      <c r="I1145" s="85" t="s">
        <v>221</v>
      </c>
      <c r="J1145" s="84" t="s">
        <v>35</v>
      </c>
      <c r="K1145" s="84" t="s">
        <v>187</v>
      </c>
      <c r="L1145" s="98" t="s">
        <v>188</v>
      </c>
      <c r="M1145" s="84" t="s">
        <v>1768</v>
      </c>
      <c r="N1145" s="133">
        <v>4362.0</v>
      </c>
      <c r="O1145" s="73">
        <f t="shared" si="25"/>
        <v>0.5988078863</v>
      </c>
      <c r="P1145" s="98">
        <v>2612.0</v>
      </c>
      <c r="Q1145" s="84" t="s">
        <v>39</v>
      </c>
      <c r="R1145" s="84">
        <v>1631520.0</v>
      </c>
      <c r="S1145" s="84" t="s">
        <v>40</v>
      </c>
      <c r="T1145" s="90">
        <v>6896553.0</v>
      </c>
      <c r="U1145" s="84" t="s">
        <v>1769</v>
      </c>
      <c r="V1145" s="84" t="s">
        <v>1770</v>
      </c>
      <c r="W1145" s="12"/>
      <c r="X1145" s="84" t="s">
        <v>1763</v>
      </c>
      <c r="Y1145" s="84" t="s">
        <v>1771</v>
      </c>
      <c r="Z1145" s="84" t="s">
        <v>1772</v>
      </c>
      <c r="AA1145" s="12"/>
      <c r="AB1145" s="84" t="s">
        <v>1773</v>
      </c>
      <c r="AC1145" s="84" t="s">
        <v>1774</v>
      </c>
      <c r="AD1145" s="12"/>
      <c r="AE1145" s="189" t="s">
        <v>39</v>
      </c>
      <c r="AF1145" s="12"/>
      <c r="AG1145" s="22"/>
      <c r="AH1145" s="22"/>
      <c r="AI1145" s="22"/>
      <c r="AJ1145" s="22"/>
      <c r="AK1145" s="22"/>
      <c r="AL1145" s="22"/>
      <c r="AM1145" s="22"/>
      <c r="AN1145" s="22"/>
      <c r="AO1145" s="22"/>
      <c r="AP1145" s="22"/>
    </row>
    <row r="1146" ht="15.75" customHeight="1">
      <c r="A1146" s="103">
        <v>1.1559929E7</v>
      </c>
      <c r="B1146" s="84">
        <v>1.00225526E9</v>
      </c>
      <c r="C1146" s="11" t="s">
        <v>1760</v>
      </c>
      <c r="D1146" s="84">
        <v>26.0</v>
      </c>
      <c r="E1146" s="84">
        <v>30.3663</v>
      </c>
      <c r="F1146" s="12" t="s">
        <v>31</v>
      </c>
      <c r="G1146" s="85" t="s">
        <v>74</v>
      </c>
      <c r="H1146" s="84" t="s">
        <v>612</v>
      </c>
      <c r="I1146" s="85" t="s">
        <v>613</v>
      </c>
      <c r="J1146" s="84" t="s">
        <v>35</v>
      </c>
      <c r="K1146" s="84" t="s">
        <v>614</v>
      </c>
      <c r="L1146" s="98" t="s">
        <v>94</v>
      </c>
      <c r="M1146" s="84" t="s">
        <v>1775</v>
      </c>
      <c r="N1146" s="133">
        <v>5163.0</v>
      </c>
      <c r="O1146" s="73">
        <f t="shared" si="25"/>
        <v>0.6538834011</v>
      </c>
      <c r="P1146" s="98">
        <v>3376.0</v>
      </c>
      <c r="Q1146" s="84" t="s">
        <v>39</v>
      </c>
      <c r="R1146" s="84">
        <v>1631447.0</v>
      </c>
      <c r="S1146" s="84" t="s">
        <v>40</v>
      </c>
      <c r="T1146" s="90">
        <v>6896002.0</v>
      </c>
      <c r="U1146" s="84" t="s">
        <v>1776</v>
      </c>
      <c r="V1146" s="84" t="s">
        <v>1777</v>
      </c>
      <c r="W1146" s="12"/>
      <c r="X1146" s="84" t="s">
        <v>1778</v>
      </c>
      <c r="Y1146" s="84" t="s">
        <v>1779</v>
      </c>
      <c r="Z1146" s="112">
        <v>45723.68402777778</v>
      </c>
      <c r="AA1146" s="12"/>
      <c r="AB1146" s="84" t="s">
        <v>1780</v>
      </c>
      <c r="AC1146" s="84" t="s">
        <v>1781</v>
      </c>
      <c r="AD1146" s="12"/>
      <c r="AE1146" s="12"/>
      <c r="AF1146" s="12"/>
      <c r="AG1146" s="22"/>
      <c r="AH1146" s="22"/>
      <c r="AI1146" s="22"/>
      <c r="AJ1146" s="22"/>
      <c r="AK1146" s="22"/>
      <c r="AL1146" s="22"/>
      <c r="AM1146" s="22"/>
      <c r="AN1146" s="22"/>
      <c r="AO1146" s="22"/>
      <c r="AP1146" s="22"/>
    </row>
    <row r="1147" ht="15.75" customHeight="1">
      <c r="A1147" s="103">
        <v>1.1560236E7</v>
      </c>
      <c r="B1147" s="84">
        <v>1.002260807E9</v>
      </c>
      <c r="C1147" s="11" t="s">
        <v>1760</v>
      </c>
      <c r="D1147" s="84">
        <v>26.0</v>
      </c>
      <c r="E1147" s="84">
        <v>32.224</v>
      </c>
      <c r="F1147" s="12" t="s">
        <v>31</v>
      </c>
      <c r="G1147" s="85" t="s">
        <v>74</v>
      </c>
      <c r="H1147" s="84" t="s">
        <v>1368</v>
      </c>
      <c r="I1147" s="85" t="s">
        <v>1782</v>
      </c>
      <c r="J1147" s="84" t="s">
        <v>35</v>
      </c>
      <c r="K1147" s="84" t="s">
        <v>1783</v>
      </c>
      <c r="L1147" s="98" t="s">
        <v>188</v>
      </c>
      <c r="M1147" s="84" t="s">
        <v>1784</v>
      </c>
      <c r="N1147" s="133">
        <v>2468.0</v>
      </c>
      <c r="O1147" s="73">
        <f t="shared" si="25"/>
        <v>0.4420583468</v>
      </c>
      <c r="P1147" s="98">
        <v>1091.0</v>
      </c>
      <c r="Q1147" s="84" t="s">
        <v>39</v>
      </c>
      <c r="R1147" s="84">
        <v>1631561.0</v>
      </c>
      <c r="S1147" s="84" t="s">
        <v>40</v>
      </c>
      <c r="T1147" s="90">
        <v>6896777.0</v>
      </c>
      <c r="U1147" s="84" t="s">
        <v>1785</v>
      </c>
      <c r="V1147" s="84" t="s">
        <v>1786</v>
      </c>
      <c r="W1147" s="12"/>
      <c r="X1147" s="84" t="s">
        <v>1787</v>
      </c>
      <c r="Y1147" s="84" t="s">
        <v>1788</v>
      </c>
      <c r="Z1147" s="84" t="s">
        <v>1789</v>
      </c>
      <c r="AA1147" s="12"/>
      <c r="AB1147" s="84" t="s">
        <v>1790</v>
      </c>
      <c r="AC1147" s="84" t="s">
        <v>1791</v>
      </c>
      <c r="AD1147" s="12"/>
      <c r="AE1147" s="12"/>
      <c r="AF1147" s="1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</row>
    <row r="1148" ht="15.75" customHeight="1">
      <c r="A1148" s="103">
        <v>1.1560322E7</v>
      </c>
      <c r="B1148" s="84">
        <v>1.002260827E9</v>
      </c>
      <c r="C1148" s="11" t="s">
        <v>1787</v>
      </c>
      <c r="D1148" s="84">
        <v>26.0</v>
      </c>
      <c r="E1148" s="84">
        <v>32.177</v>
      </c>
      <c r="F1148" s="29" t="s">
        <v>31</v>
      </c>
      <c r="G1148" s="85" t="s">
        <v>74</v>
      </c>
      <c r="H1148" s="84" t="s">
        <v>1454</v>
      </c>
      <c r="I1148" s="85" t="s">
        <v>1455</v>
      </c>
      <c r="J1148" s="93" t="s">
        <v>35</v>
      </c>
      <c r="K1148" s="93" t="s">
        <v>187</v>
      </c>
      <c r="L1148" s="95" t="s">
        <v>188</v>
      </c>
      <c r="M1148" s="84" t="s">
        <v>1792</v>
      </c>
      <c r="N1148" s="133">
        <v>4362.0</v>
      </c>
      <c r="O1148" s="73">
        <f t="shared" si="25"/>
        <v>0.6875286566</v>
      </c>
      <c r="P1148" s="98">
        <v>2999.0</v>
      </c>
      <c r="Q1148" s="84" t="s">
        <v>39</v>
      </c>
      <c r="R1148" s="84">
        <v>1632622.0</v>
      </c>
      <c r="S1148" s="84" t="s">
        <v>40</v>
      </c>
      <c r="T1148" s="90">
        <v>6899009.0</v>
      </c>
      <c r="U1148" s="84" t="s">
        <v>1793</v>
      </c>
      <c r="V1148" s="84" t="s">
        <v>1794</v>
      </c>
      <c r="W1148" s="12"/>
      <c r="X1148" s="112">
        <v>45664.333333333336</v>
      </c>
      <c r="Y1148" s="112">
        <v>45664.25</v>
      </c>
      <c r="Z1148" s="112">
        <v>45664.375</v>
      </c>
      <c r="AA1148" s="12"/>
      <c r="AB1148" s="181">
        <v>912916.0</v>
      </c>
      <c r="AC1148" s="84" t="s">
        <v>1795</v>
      </c>
      <c r="AD1148" s="12"/>
      <c r="AE1148" s="12"/>
      <c r="AF1148" s="1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</row>
    <row r="1149" ht="15.75" customHeight="1">
      <c r="A1149" s="103">
        <v>1.1563474E7</v>
      </c>
      <c r="B1149" s="84">
        <v>1.002267684E9</v>
      </c>
      <c r="C1149" s="11" t="s">
        <v>1796</v>
      </c>
      <c r="D1149" s="84">
        <v>20.0</v>
      </c>
      <c r="E1149" s="84">
        <v>24.976</v>
      </c>
      <c r="F1149" s="29" t="s">
        <v>31</v>
      </c>
      <c r="G1149" s="85" t="s">
        <v>74</v>
      </c>
      <c r="H1149" s="84" t="s">
        <v>1196</v>
      </c>
      <c r="I1149" s="39" t="s">
        <v>448</v>
      </c>
      <c r="J1149" s="93" t="s">
        <v>35</v>
      </c>
      <c r="K1149" s="93" t="s">
        <v>332</v>
      </c>
      <c r="L1149" s="95" t="s">
        <v>108</v>
      </c>
      <c r="M1149" s="84" t="s">
        <v>1172</v>
      </c>
      <c r="N1149" s="133">
        <v>2797.0</v>
      </c>
      <c r="O1149" s="73">
        <f t="shared" si="25"/>
        <v>0.7132642117</v>
      </c>
      <c r="P1149" s="98">
        <v>1995.0</v>
      </c>
      <c r="Q1149" s="84" t="s">
        <v>39</v>
      </c>
      <c r="R1149" s="84">
        <v>1633160.0</v>
      </c>
      <c r="S1149" s="84" t="s">
        <v>40</v>
      </c>
      <c r="T1149" s="90">
        <v>6902076.0</v>
      </c>
      <c r="U1149" s="84" t="s">
        <v>1797</v>
      </c>
      <c r="V1149" s="84" t="s">
        <v>1731</v>
      </c>
      <c r="W1149" s="206"/>
      <c r="X1149" s="112">
        <v>45664.291666666664</v>
      </c>
      <c r="Y1149" s="112">
        <v>45664.25</v>
      </c>
      <c r="Z1149" s="112">
        <v>45695.666666666664</v>
      </c>
      <c r="AA1149" s="12"/>
      <c r="AB1149" s="84" t="s">
        <v>1798</v>
      </c>
      <c r="AC1149" s="84" t="s">
        <v>1799</v>
      </c>
      <c r="AD1149" s="12"/>
      <c r="AE1149" s="12"/>
      <c r="AF1149" s="12"/>
      <c r="AG1149" s="22"/>
      <c r="AH1149" s="22"/>
      <c r="AI1149" s="22"/>
      <c r="AJ1149" s="22"/>
      <c r="AK1149" s="22"/>
      <c r="AL1149" s="22"/>
      <c r="AM1149" s="22"/>
      <c r="AN1149" s="22"/>
      <c r="AO1149" s="22"/>
      <c r="AP1149" s="22"/>
    </row>
    <row r="1150" ht="15.75" customHeight="1">
      <c r="A1150" s="103">
        <v>1.1566124E7</v>
      </c>
      <c r="B1150" s="84">
        <v>1.002271789E9</v>
      </c>
      <c r="C1150" s="11" t="s">
        <v>1787</v>
      </c>
      <c r="D1150" s="84">
        <v>26.0</v>
      </c>
      <c r="E1150" s="84">
        <v>33.791</v>
      </c>
      <c r="F1150" s="12" t="s">
        <v>43</v>
      </c>
      <c r="G1150" s="85" t="s">
        <v>74</v>
      </c>
      <c r="H1150" s="84" t="s">
        <v>1800</v>
      </c>
      <c r="I1150" s="85" t="s">
        <v>1801</v>
      </c>
      <c r="J1150" s="93" t="s">
        <v>925</v>
      </c>
      <c r="K1150" s="93" t="s">
        <v>1802</v>
      </c>
      <c r="L1150" s="95" t="s">
        <v>78</v>
      </c>
      <c r="M1150" s="84" t="s">
        <v>955</v>
      </c>
      <c r="N1150" s="133">
        <v>4122.0</v>
      </c>
      <c r="O1150" s="73">
        <f t="shared" si="25"/>
        <v>0.7520621058</v>
      </c>
      <c r="P1150" s="98">
        <v>3100.0</v>
      </c>
      <c r="Q1150" s="84" t="s">
        <v>39</v>
      </c>
      <c r="R1150" s="84">
        <v>1633595.0</v>
      </c>
      <c r="S1150" s="84" t="s">
        <v>40</v>
      </c>
      <c r="T1150" s="90">
        <v>6905426.0</v>
      </c>
      <c r="U1150" s="84" t="s">
        <v>1803</v>
      </c>
      <c r="V1150" s="84" t="s">
        <v>1804</v>
      </c>
      <c r="W1150" s="84"/>
      <c r="X1150" s="112">
        <v>45664.458333333336</v>
      </c>
      <c r="Y1150" s="112">
        <v>45695.458333333336</v>
      </c>
      <c r="Z1150" s="112">
        <v>45695.729166666664</v>
      </c>
      <c r="AA1150" s="12"/>
      <c r="AB1150" s="84" t="s">
        <v>1805</v>
      </c>
      <c r="AC1150" s="84" t="s">
        <v>1806</v>
      </c>
      <c r="AD1150" s="12"/>
      <c r="AE1150" s="12"/>
      <c r="AF1150" s="1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</row>
    <row r="1151" ht="15.75" customHeight="1">
      <c r="A1151" s="103">
        <v>1.1580909E7</v>
      </c>
      <c r="B1151" s="84">
        <v>1.002297218E9</v>
      </c>
      <c r="C1151" s="11">
        <v>45843.0</v>
      </c>
      <c r="D1151" s="84">
        <v>26.0</v>
      </c>
      <c r="E1151" s="84">
        <v>31260.0</v>
      </c>
      <c r="F1151" s="29" t="s">
        <v>43</v>
      </c>
      <c r="G1151" s="29" t="s">
        <v>32</v>
      </c>
      <c r="H1151" s="85" t="s">
        <v>1408</v>
      </c>
      <c r="I1151" s="93" t="s">
        <v>1409</v>
      </c>
      <c r="J1151" s="93" t="s">
        <v>35</v>
      </c>
      <c r="K1151" s="85" t="s">
        <v>1410</v>
      </c>
      <c r="L1151" s="95" t="s">
        <v>114</v>
      </c>
      <c r="M1151" s="84" t="s">
        <v>1204</v>
      </c>
      <c r="N1151" s="133">
        <v>7195.0</v>
      </c>
      <c r="O1151" s="73">
        <f t="shared" si="25"/>
        <v>0.6567060459</v>
      </c>
      <c r="P1151" s="98">
        <v>4725.0</v>
      </c>
      <c r="Q1151" s="84" t="s">
        <v>39</v>
      </c>
      <c r="R1151" s="84">
        <v>1637121.0</v>
      </c>
      <c r="S1151" s="84" t="s">
        <v>40</v>
      </c>
      <c r="T1151" s="90">
        <v>6932700.0</v>
      </c>
      <c r="U1151" s="112">
        <v>45784.28611111111</v>
      </c>
      <c r="V1151" s="112">
        <v>45784.4625</v>
      </c>
      <c r="W1151" s="12"/>
      <c r="X1151" s="84" t="s">
        <v>127</v>
      </c>
      <c r="Y1151" s="112">
        <v>45815.83541666667</v>
      </c>
      <c r="Z1151" s="112">
        <v>45845.39861111111</v>
      </c>
      <c r="AA1151" s="12"/>
      <c r="AB1151" s="12"/>
      <c r="AC1151" s="12"/>
      <c r="AD1151" s="12"/>
      <c r="AE1151" s="207" t="s">
        <v>39</v>
      </c>
      <c r="AF1151" s="207" t="s">
        <v>39</v>
      </c>
      <c r="AG1151" s="22"/>
      <c r="AH1151" s="22"/>
      <c r="AI1151" s="22"/>
      <c r="AJ1151" s="22"/>
      <c r="AK1151" s="22"/>
      <c r="AL1151" s="22"/>
      <c r="AM1151" s="22"/>
      <c r="AN1151" s="22"/>
      <c r="AO1151" s="22"/>
      <c r="AP1151" s="22"/>
    </row>
    <row r="1152" ht="15.75" customHeight="1">
      <c r="A1152" s="103">
        <v>1.158091E7</v>
      </c>
      <c r="B1152" s="84">
        <v>1.002297181E9</v>
      </c>
      <c r="C1152" s="11">
        <v>45843.0</v>
      </c>
      <c r="D1152" s="84">
        <v>5.0</v>
      </c>
      <c r="E1152" s="84">
        <v>259.0</v>
      </c>
      <c r="F1152" s="12" t="s">
        <v>43</v>
      </c>
      <c r="G1152" s="29" t="s">
        <v>32</v>
      </c>
      <c r="H1152" s="84" t="s">
        <v>1807</v>
      </c>
      <c r="I1152" s="85" t="s">
        <v>1409</v>
      </c>
      <c r="J1152" s="84" t="s">
        <v>1410</v>
      </c>
      <c r="K1152" s="84" t="s">
        <v>35</v>
      </c>
      <c r="L1152" s="98" t="s">
        <v>43</v>
      </c>
      <c r="M1152" s="84" t="s">
        <v>1574</v>
      </c>
      <c r="N1152" s="133">
        <v>4796.0</v>
      </c>
      <c r="O1152" s="73">
        <f t="shared" si="25"/>
        <v>0.5733944954</v>
      </c>
      <c r="P1152" s="98">
        <v>2750.0</v>
      </c>
      <c r="Q1152" s="12"/>
      <c r="R1152" s="84">
        <v>1638466.0</v>
      </c>
      <c r="S1152" s="84" t="s">
        <v>40</v>
      </c>
      <c r="T1152" s="90">
        <v>6939847.0</v>
      </c>
      <c r="U1152" s="112">
        <v>45845.40277777778</v>
      </c>
      <c r="V1152" s="112">
        <v>45845.64027777778</v>
      </c>
      <c r="W1152" s="12"/>
      <c r="X1152" s="84" t="s">
        <v>127</v>
      </c>
      <c r="Y1152" s="112">
        <v>45876.53472222222</v>
      </c>
      <c r="Z1152" s="112">
        <v>45876.90625</v>
      </c>
      <c r="AA1152" s="12"/>
      <c r="AB1152" s="84">
        <v>10511.0</v>
      </c>
      <c r="AC1152" s="84" t="s">
        <v>1732</v>
      </c>
      <c r="AD1152" s="12"/>
      <c r="AE1152" s="207" t="s">
        <v>39</v>
      </c>
      <c r="AF1152" s="207" t="s">
        <v>39</v>
      </c>
      <c r="AG1152" s="22"/>
      <c r="AH1152" s="22"/>
      <c r="AI1152" s="22"/>
      <c r="AJ1152" s="22"/>
      <c r="AK1152" s="22"/>
      <c r="AL1152" s="22"/>
      <c r="AM1152" s="22"/>
      <c r="AN1152" s="22"/>
      <c r="AO1152" s="22"/>
      <c r="AP1152" s="22"/>
    </row>
    <row r="1153" ht="15.75" customHeight="1">
      <c r="A1153" s="103">
        <v>1.1587093E7</v>
      </c>
      <c r="B1153" s="84">
        <v>1.002308274E9</v>
      </c>
      <c r="C1153" s="11">
        <v>45847.0</v>
      </c>
      <c r="D1153" s="84">
        <v>28.0</v>
      </c>
      <c r="E1153" s="84">
        <v>34.058</v>
      </c>
      <c r="F1153" s="85" t="s">
        <v>31</v>
      </c>
      <c r="G1153" s="84" t="s">
        <v>32</v>
      </c>
      <c r="H1153" s="84" t="s">
        <v>1317</v>
      </c>
      <c r="I1153" s="28" t="s">
        <v>137</v>
      </c>
      <c r="J1153" s="93" t="s">
        <v>35</v>
      </c>
      <c r="K1153" s="84" t="s">
        <v>138</v>
      </c>
      <c r="L1153" s="95" t="s">
        <v>94</v>
      </c>
      <c r="M1153" s="84" t="s">
        <v>1204</v>
      </c>
      <c r="N1153" s="133">
        <v>5760.0</v>
      </c>
      <c r="O1153" s="73">
        <f t="shared" si="25"/>
        <v>0.625</v>
      </c>
      <c r="P1153" s="98">
        <v>3600.0</v>
      </c>
      <c r="Q1153" s="84" t="s">
        <v>39</v>
      </c>
      <c r="R1153" s="84">
        <v>1639915.0</v>
      </c>
      <c r="S1153" s="84" t="s">
        <v>40</v>
      </c>
      <c r="T1153" s="90">
        <v>6952956.0</v>
      </c>
      <c r="U1153" s="112">
        <v>45907.458333333336</v>
      </c>
      <c r="V1153" s="112">
        <v>45907.520833333336</v>
      </c>
      <c r="W1153" s="12"/>
      <c r="X1153" s="84" t="s">
        <v>127</v>
      </c>
      <c r="Y1153" s="112">
        <v>45937.45138888889</v>
      </c>
      <c r="Z1153" s="112">
        <v>45968.663194444445</v>
      </c>
      <c r="AA1153" s="12"/>
      <c r="AB1153" s="84">
        <v>11808.0</v>
      </c>
      <c r="AC1153" s="84" t="s">
        <v>1808</v>
      </c>
      <c r="AD1153" s="12"/>
      <c r="AE1153" s="207" t="s">
        <v>39</v>
      </c>
      <c r="AF1153" s="207" t="s">
        <v>39</v>
      </c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</row>
    <row r="1154" ht="15.75" customHeight="1">
      <c r="A1154" s="103">
        <v>1.1589375E7</v>
      </c>
      <c r="B1154" s="84">
        <v>1.002313584E9</v>
      </c>
      <c r="C1154" s="11">
        <v>45846.0</v>
      </c>
      <c r="D1154" s="84">
        <v>2.0</v>
      </c>
      <c r="E1154" s="84">
        <v>967.0</v>
      </c>
      <c r="F1154" s="29" t="s">
        <v>43</v>
      </c>
      <c r="G1154" s="84" t="s">
        <v>74</v>
      </c>
      <c r="H1154" s="84" t="s">
        <v>1809</v>
      </c>
      <c r="I1154" s="93" t="s">
        <v>953</v>
      </c>
      <c r="J1154" s="93" t="s">
        <v>1802</v>
      </c>
      <c r="K1154" s="84" t="s">
        <v>925</v>
      </c>
      <c r="L1154" s="95" t="s">
        <v>43</v>
      </c>
      <c r="M1154" s="84" t="s">
        <v>52</v>
      </c>
      <c r="N1154" s="133">
        <v>2474.0</v>
      </c>
      <c r="O1154" s="73"/>
      <c r="P1154" s="98"/>
      <c r="Q1154" s="84"/>
      <c r="R1154" s="84"/>
      <c r="S1154" s="84" t="s">
        <v>40</v>
      </c>
      <c r="T1154" s="90"/>
      <c r="U1154" s="112">
        <v>45695.458333333336</v>
      </c>
      <c r="V1154" s="112">
        <v>45695.729166666664</v>
      </c>
      <c r="W1154" s="12"/>
      <c r="X1154" s="84" t="s">
        <v>127</v>
      </c>
      <c r="Y1154" s="112"/>
      <c r="Z1154" s="112"/>
      <c r="AA1154" s="12"/>
      <c r="AB1154" s="12"/>
      <c r="AC1154" s="12"/>
      <c r="AD1154" s="12"/>
      <c r="AE1154" s="207" t="s">
        <v>39</v>
      </c>
      <c r="AF1154" s="207" t="s">
        <v>39</v>
      </c>
      <c r="AG1154" s="22"/>
      <c r="AH1154" s="22"/>
      <c r="AI1154" s="22"/>
      <c r="AJ1154" s="22"/>
      <c r="AK1154" s="22"/>
      <c r="AL1154" s="22"/>
      <c r="AM1154" s="22"/>
      <c r="AN1154" s="22"/>
      <c r="AO1154" s="22"/>
      <c r="AP1154" s="22"/>
    </row>
    <row r="1155" ht="15.75" customHeight="1">
      <c r="A1155" s="191">
        <v>1.159385E7</v>
      </c>
      <c r="B1155" s="192">
        <v>1.002323904E9</v>
      </c>
      <c r="C1155" s="11" t="s">
        <v>1810</v>
      </c>
      <c r="D1155" s="192">
        <v>26.0</v>
      </c>
      <c r="E1155" s="192">
        <v>28.565</v>
      </c>
      <c r="F1155" s="194" t="s">
        <v>43</v>
      </c>
      <c r="G1155" s="208" t="s">
        <v>44</v>
      </c>
      <c r="H1155" s="169" t="s">
        <v>45</v>
      </c>
      <c r="I1155" s="209" t="s">
        <v>46</v>
      </c>
      <c r="J1155" s="169" t="s">
        <v>35</v>
      </c>
      <c r="K1155" s="169" t="s">
        <v>47</v>
      </c>
      <c r="L1155" s="209" t="s">
        <v>110</v>
      </c>
      <c r="M1155" s="84" t="s">
        <v>1811</v>
      </c>
      <c r="N1155" s="196">
        <v>2335.0</v>
      </c>
      <c r="O1155" s="73">
        <f t="shared" ref="O1155:O1240" si="26">IFERROR(P1155/N1155,0)</f>
        <v>0.6423982869</v>
      </c>
      <c r="P1155" s="98">
        <v>1500.0</v>
      </c>
      <c r="Q1155" s="84" t="s">
        <v>39</v>
      </c>
      <c r="R1155" s="84">
        <v>1643962.0</v>
      </c>
      <c r="S1155" s="84" t="s">
        <v>40</v>
      </c>
      <c r="T1155" s="90">
        <v>6984066.0</v>
      </c>
      <c r="U1155" s="84" t="s">
        <v>1812</v>
      </c>
      <c r="V1155" s="84" t="s">
        <v>1813</v>
      </c>
      <c r="W1155" s="12"/>
      <c r="X1155" s="84" t="s">
        <v>127</v>
      </c>
      <c r="Y1155" s="84" t="s">
        <v>1814</v>
      </c>
      <c r="Z1155" s="84" t="s">
        <v>1815</v>
      </c>
      <c r="AA1155" s="12"/>
      <c r="AB1155" s="84">
        <v>14718.0</v>
      </c>
      <c r="AC1155" s="84" t="s">
        <v>827</v>
      </c>
      <c r="AD1155" s="12"/>
      <c r="AE1155" s="207" t="s">
        <v>39</v>
      </c>
      <c r="AF1155" s="207" t="s">
        <v>39</v>
      </c>
      <c r="AG1155" s="22"/>
      <c r="AH1155" s="22"/>
      <c r="AI1155" s="22"/>
      <c r="AJ1155" s="22"/>
      <c r="AK1155" s="22"/>
      <c r="AL1155" s="22"/>
      <c r="AM1155" s="22"/>
      <c r="AN1155" s="22"/>
      <c r="AO1155" s="22"/>
      <c r="AP1155" s="22"/>
    </row>
    <row r="1156" ht="15.75" customHeight="1">
      <c r="A1156" s="191">
        <v>1.1593851E7</v>
      </c>
      <c r="B1156" s="192">
        <v>1.002323833E9</v>
      </c>
      <c r="C1156" s="11" t="s">
        <v>1810</v>
      </c>
      <c r="D1156" s="192">
        <v>14.0</v>
      </c>
      <c r="E1156" s="192">
        <v>1.036</v>
      </c>
      <c r="F1156" s="194" t="s">
        <v>43</v>
      </c>
      <c r="G1156" s="208" t="s">
        <v>44</v>
      </c>
      <c r="H1156" s="169" t="s">
        <v>1816</v>
      </c>
      <c r="I1156" s="84" t="s">
        <v>1232</v>
      </c>
      <c r="J1156" s="169" t="s">
        <v>47</v>
      </c>
      <c r="K1156" s="169" t="s">
        <v>35</v>
      </c>
      <c r="L1156" s="209" t="s">
        <v>110</v>
      </c>
      <c r="M1156" s="84" t="s">
        <v>1817</v>
      </c>
      <c r="N1156" s="196">
        <v>1557.0</v>
      </c>
      <c r="O1156" s="73">
        <f t="shared" si="26"/>
        <v>0.6422607579</v>
      </c>
      <c r="P1156" s="98">
        <v>1000.0</v>
      </c>
      <c r="Q1156" s="12"/>
      <c r="R1156" s="84">
        <v>1645301.0</v>
      </c>
      <c r="S1156" s="84" t="s">
        <v>40</v>
      </c>
      <c r="T1156" s="90">
        <v>6989169.0</v>
      </c>
      <c r="U1156" s="84" t="s">
        <v>1818</v>
      </c>
      <c r="V1156" s="84" t="s">
        <v>1815</v>
      </c>
      <c r="W1156" s="12"/>
      <c r="X1156" s="84" t="s">
        <v>127</v>
      </c>
      <c r="Y1156" s="84" t="s">
        <v>1819</v>
      </c>
      <c r="Z1156" s="84" t="s">
        <v>1820</v>
      </c>
      <c r="AA1156" s="12"/>
      <c r="AB1156" s="84">
        <v>14738.0</v>
      </c>
      <c r="AC1156" s="84" t="s">
        <v>827</v>
      </c>
      <c r="AD1156" s="12"/>
      <c r="AE1156" s="207" t="s">
        <v>39</v>
      </c>
      <c r="AF1156" s="207" t="s">
        <v>39</v>
      </c>
      <c r="AG1156" s="22"/>
      <c r="AH1156" s="22"/>
      <c r="AI1156" s="22"/>
      <c r="AJ1156" s="22"/>
      <c r="AK1156" s="22"/>
      <c r="AL1156" s="22"/>
      <c r="AM1156" s="22"/>
      <c r="AN1156" s="22"/>
      <c r="AO1156" s="22"/>
      <c r="AP1156" s="22"/>
    </row>
    <row r="1157" ht="15.75" customHeight="1">
      <c r="A1157" s="191">
        <v>1.1631866E7</v>
      </c>
      <c r="B1157" s="84">
        <v>9.000039044E9</v>
      </c>
      <c r="C1157" s="11" t="s">
        <v>1821</v>
      </c>
      <c r="D1157" s="84">
        <v>28.0</v>
      </c>
      <c r="E1157" s="84">
        <v>34.058</v>
      </c>
      <c r="F1157" s="29" t="s">
        <v>31</v>
      </c>
      <c r="G1157" s="29" t="s">
        <v>44</v>
      </c>
      <c r="H1157" s="12" t="s">
        <v>268</v>
      </c>
      <c r="I1157" s="29" t="s">
        <v>269</v>
      </c>
      <c r="J1157" s="12" t="s">
        <v>35</v>
      </c>
      <c r="K1157" s="12" t="s">
        <v>270</v>
      </c>
      <c r="L1157" s="28" t="s">
        <v>94</v>
      </c>
      <c r="M1157" s="125" t="s">
        <v>1551</v>
      </c>
      <c r="N1157" s="88">
        <v>6410.0</v>
      </c>
      <c r="O1157" s="73">
        <f t="shared" si="26"/>
        <v>0.368174727</v>
      </c>
      <c r="P1157" s="98">
        <v>2360.0</v>
      </c>
      <c r="Q1157" s="84" t="s">
        <v>39</v>
      </c>
      <c r="R1157" s="84">
        <v>1668786.0</v>
      </c>
      <c r="S1157" s="84" t="s">
        <v>40</v>
      </c>
      <c r="T1157" s="90">
        <v>7161580.0</v>
      </c>
      <c r="U1157" s="84" t="s">
        <v>1822</v>
      </c>
      <c r="V1157" s="84" t="s">
        <v>1823</v>
      </c>
      <c r="W1157" s="12"/>
      <c r="X1157" s="84" t="s">
        <v>127</v>
      </c>
      <c r="Y1157" s="84" t="s">
        <v>1824</v>
      </c>
      <c r="Z1157" s="84" t="s">
        <v>1825</v>
      </c>
      <c r="AA1157" s="12"/>
      <c r="AB1157" s="84">
        <v>43320.0</v>
      </c>
      <c r="AC1157" s="125" t="s">
        <v>827</v>
      </c>
      <c r="AD1157" s="12"/>
      <c r="AE1157" s="207" t="s">
        <v>39</v>
      </c>
      <c r="AF1157" s="207" t="s">
        <v>39</v>
      </c>
      <c r="AG1157" s="22"/>
      <c r="AH1157" s="22"/>
      <c r="AI1157" s="22"/>
      <c r="AJ1157" s="22"/>
      <c r="AK1157" s="22"/>
      <c r="AL1157" s="22"/>
      <c r="AM1157" s="22"/>
      <c r="AN1157" s="22"/>
      <c r="AO1157" s="22"/>
      <c r="AP1157" s="22"/>
    </row>
    <row r="1158" ht="15.75" customHeight="1">
      <c r="A1158" s="191">
        <v>1.1631869E7</v>
      </c>
      <c r="B1158" s="84">
        <v>9.000039046E9</v>
      </c>
      <c r="C1158" s="11" t="s">
        <v>1821</v>
      </c>
      <c r="D1158" s="84">
        <v>28.0</v>
      </c>
      <c r="E1158" s="84">
        <v>34.058</v>
      </c>
      <c r="F1158" s="29" t="s">
        <v>31</v>
      </c>
      <c r="G1158" s="29" t="s">
        <v>44</v>
      </c>
      <c r="H1158" s="12" t="s">
        <v>268</v>
      </c>
      <c r="I1158" s="29" t="s">
        <v>269</v>
      </c>
      <c r="J1158" s="25" t="s">
        <v>35</v>
      </c>
      <c r="K1158" s="25" t="s">
        <v>270</v>
      </c>
      <c r="L1158" s="28" t="s">
        <v>94</v>
      </c>
      <c r="M1158" s="125" t="s">
        <v>1826</v>
      </c>
      <c r="N1158" s="88">
        <v>6410.0</v>
      </c>
      <c r="O1158" s="73">
        <f t="shared" si="26"/>
        <v>0.7020280811</v>
      </c>
      <c r="P1158" s="98">
        <v>4500.0</v>
      </c>
      <c r="Q1158" s="84" t="s">
        <v>39</v>
      </c>
      <c r="R1158" s="84">
        <v>1668601.0</v>
      </c>
      <c r="S1158" s="84" t="s">
        <v>40</v>
      </c>
      <c r="T1158" s="90">
        <v>7159840.0</v>
      </c>
      <c r="U1158" s="84" t="s">
        <v>1827</v>
      </c>
      <c r="V1158" s="84" t="s">
        <v>1828</v>
      </c>
      <c r="W1158" s="12"/>
      <c r="X1158" s="84" t="s">
        <v>127</v>
      </c>
      <c r="Y1158" s="84" t="s">
        <v>1824</v>
      </c>
      <c r="Z1158" s="84" t="s">
        <v>1825</v>
      </c>
      <c r="AA1158" s="12"/>
      <c r="AB1158" s="84">
        <v>60225.0</v>
      </c>
      <c r="AC1158" s="125" t="s">
        <v>827</v>
      </c>
      <c r="AD1158" s="12"/>
      <c r="AE1158" s="207" t="s">
        <v>39</v>
      </c>
      <c r="AF1158" s="207" t="s">
        <v>39</v>
      </c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</row>
    <row r="1159" ht="15.75" customHeight="1">
      <c r="A1159" s="191">
        <v>1.1631872E7</v>
      </c>
      <c r="B1159" s="84">
        <v>9.000039027E9</v>
      </c>
      <c r="C1159" s="11" t="s">
        <v>1821</v>
      </c>
      <c r="D1159" s="84">
        <v>28.0</v>
      </c>
      <c r="E1159" s="84">
        <v>34.058</v>
      </c>
      <c r="F1159" s="12" t="s">
        <v>31</v>
      </c>
      <c r="G1159" s="29" t="s">
        <v>44</v>
      </c>
      <c r="H1159" s="12" t="s">
        <v>268</v>
      </c>
      <c r="I1159" s="29" t="s">
        <v>269</v>
      </c>
      <c r="J1159" s="25" t="s">
        <v>35</v>
      </c>
      <c r="K1159" s="25" t="s">
        <v>270</v>
      </c>
      <c r="L1159" s="28" t="s">
        <v>94</v>
      </c>
      <c r="M1159" s="125" t="s">
        <v>1829</v>
      </c>
      <c r="N1159" s="88">
        <v>6410.0</v>
      </c>
      <c r="O1159" s="73">
        <f t="shared" si="26"/>
        <v>0.3023400936</v>
      </c>
      <c r="P1159" s="98">
        <v>1938.0</v>
      </c>
      <c r="Q1159" s="84" t="s">
        <v>39</v>
      </c>
      <c r="R1159" s="84">
        <v>1668606.0</v>
      </c>
      <c r="S1159" s="84" t="s">
        <v>40</v>
      </c>
      <c r="T1159" s="90">
        <v>7159910.0</v>
      </c>
      <c r="U1159" s="84" t="s">
        <v>1830</v>
      </c>
      <c r="V1159" s="84" t="s">
        <v>1831</v>
      </c>
      <c r="W1159" s="12"/>
      <c r="X1159" s="84" t="s">
        <v>127</v>
      </c>
      <c r="Y1159" s="84" t="s">
        <v>1832</v>
      </c>
      <c r="Z1159" s="84" t="s">
        <v>1833</v>
      </c>
      <c r="AA1159" s="12"/>
      <c r="AB1159" s="84">
        <v>60252.0</v>
      </c>
      <c r="AC1159" s="125" t="s">
        <v>827</v>
      </c>
      <c r="AD1159" s="12"/>
      <c r="AE1159" s="207" t="s">
        <v>39</v>
      </c>
      <c r="AF1159" s="207" t="s">
        <v>39</v>
      </c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</row>
    <row r="1160" ht="15.75" customHeight="1">
      <c r="A1160" s="191">
        <v>1.1631881E7</v>
      </c>
      <c r="B1160" s="192">
        <v>9.000038934E9</v>
      </c>
      <c r="C1160" s="11" t="s">
        <v>1834</v>
      </c>
      <c r="D1160" s="84">
        <v>26.0</v>
      </c>
      <c r="E1160" s="84">
        <v>30.499</v>
      </c>
      <c r="F1160" s="12" t="s">
        <v>31</v>
      </c>
      <c r="G1160" s="29" t="s">
        <v>74</v>
      </c>
      <c r="H1160" s="12" t="s">
        <v>1835</v>
      </c>
      <c r="I1160" s="29" t="s">
        <v>1836</v>
      </c>
      <c r="J1160" s="25" t="s">
        <v>35</v>
      </c>
      <c r="K1160" s="25" t="s">
        <v>243</v>
      </c>
      <c r="L1160" s="25" t="s">
        <v>188</v>
      </c>
      <c r="M1160" s="125" t="s">
        <v>913</v>
      </c>
      <c r="N1160" s="88">
        <v>4362.0</v>
      </c>
      <c r="O1160" s="73">
        <f t="shared" si="26"/>
        <v>0.774873911</v>
      </c>
      <c r="P1160" s="98">
        <v>3380.0</v>
      </c>
      <c r="Q1160" s="84" t="s">
        <v>39</v>
      </c>
      <c r="R1160" s="84">
        <v>1657830.0</v>
      </c>
      <c r="S1160" s="84" t="s">
        <v>40</v>
      </c>
      <c r="T1160" s="90">
        <v>7081154.0</v>
      </c>
      <c r="U1160" s="84" t="s">
        <v>1837</v>
      </c>
      <c r="V1160" s="84" t="s">
        <v>1838</v>
      </c>
      <c r="W1160" s="12"/>
      <c r="X1160" s="84" t="s">
        <v>1834</v>
      </c>
      <c r="Y1160" s="112">
        <v>45665.416666666664</v>
      </c>
      <c r="Z1160" s="112">
        <v>45846.583333333336</v>
      </c>
      <c r="AA1160" s="12"/>
      <c r="AB1160" s="84" t="s">
        <v>1839</v>
      </c>
      <c r="AC1160" s="84" t="s">
        <v>1840</v>
      </c>
      <c r="AD1160" s="12"/>
      <c r="AE1160" s="207" t="s">
        <v>39</v>
      </c>
      <c r="AF1160" s="207" t="s">
        <v>39</v>
      </c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</row>
    <row r="1161" ht="15.75" customHeight="1">
      <c r="A1161" s="191">
        <v>1.1631962E7</v>
      </c>
      <c r="B1161" s="84">
        <v>9.000038923E9</v>
      </c>
      <c r="C1161" s="11" t="s">
        <v>1841</v>
      </c>
      <c r="D1161" s="84">
        <v>26.0</v>
      </c>
      <c r="E1161" s="84">
        <v>32.177</v>
      </c>
      <c r="F1161" s="84" t="s">
        <v>31</v>
      </c>
      <c r="G1161" s="29" t="s">
        <v>74</v>
      </c>
      <c r="H1161" s="12" t="s">
        <v>1835</v>
      </c>
      <c r="I1161" s="85" t="s">
        <v>1836</v>
      </c>
      <c r="J1161" s="25" t="s">
        <v>35</v>
      </c>
      <c r="K1161" s="25" t="s">
        <v>243</v>
      </c>
      <c r="L1161" s="25" t="s">
        <v>188</v>
      </c>
      <c r="M1161" s="125" t="s">
        <v>1842</v>
      </c>
      <c r="N1161" s="88">
        <v>4362.0</v>
      </c>
      <c r="O1161" s="73">
        <f t="shared" si="26"/>
        <v>0.7102246676</v>
      </c>
      <c r="P1161" s="98">
        <v>3098.0</v>
      </c>
      <c r="Q1161" s="84" t="s">
        <v>39</v>
      </c>
      <c r="R1161" s="84">
        <v>1657832.0</v>
      </c>
      <c r="S1161" s="84" t="s">
        <v>40</v>
      </c>
      <c r="T1161" s="90">
        <v>7081167.0</v>
      </c>
      <c r="U1161" s="84" t="s">
        <v>1843</v>
      </c>
      <c r="V1161" s="84" t="s">
        <v>1844</v>
      </c>
      <c r="W1161" s="12"/>
      <c r="X1161" s="84" t="s">
        <v>1834</v>
      </c>
      <c r="Y1161" s="112">
        <v>45665.430555555555</v>
      </c>
      <c r="Z1161" s="112">
        <v>45877.395833333336</v>
      </c>
      <c r="AA1161" s="12"/>
      <c r="AB1161" s="84" t="s">
        <v>1845</v>
      </c>
      <c r="AC1161" s="84" t="s">
        <v>1846</v>
      </c>
      <c r="AD1161" s="12"/>
      <c r="AE1161" s="207" t="s">
        <v>39</v>
      </c>
      <c r="AF1161" s="207" t="s">
        <v>39</v>
      </c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</row>
    <row r="1162" ht="15.75" customHeight="1">
      <c r="A1162" s="103">
        <v>1.1637998E7</v>
      </c>
      <c r="B1162" s="84">
        <v>9.000050437E9</v>
      </c>
      <c r="C1162" s="11" t="s">
        <v>1847</v>
      </c>
      <c r="D1162" s="84">
        <v>26.0</v>
      </c>
      <c r="E1162" s="84">
        <v>33.43</v>
      </c>
      <c r="F1162" s="12" t="s">
        <v>31</v>
      </c>
      <c r="G1162" s="29" t="s">
        <v>44</v>
      </c>
      <c r="H1162" s="12" t="s">
        <v>268</v>
      </c>
      <c r="I1162" s="12" t="s">
        <v>269</v>
      </c>
      <c r="J1162" s="12" t="s">
        <v>35</v>
      </c>
      <c r="K1162" s="12" t="s">
        <v>270</v>
      </c>
      <c r="L1162" s="15" t="s">
        <v>94</v>
      </c>
      <c r="M1162" s="125" t="s">
        <v>1848</v>
      </c>
      <c r="N1162" s="88">
        <v>6410.0</v>
      </c>
      <c r="O1162" s="73">
        <f t="shared" si="26"/>
        <v>0.368174727</v>
      </c>
      <c r="P1162" s="98">
        <v>2360.0</v>
      </c>
      <c r="Q1162" s="84" t="s">
        <v>39</v>
      </c>
      <c r="R1162" s="115">
        <v>1669510.0</v>
      </c>
      <c r="S1162" s="84" t="s">
        <v>40</v>
      </c>
      <c r="T1162" s="90">
        <v>7169592.0</v>
      </c>
      <c r="U1162" s="84" t="s">
        <v>1849</v>
      </c>
      <c r="V1162" s="84" t="s">
        <v>1850</v>
      </c>
      <c r="W1162" s="12"/>
      <c r="X1162" s="84" t="s">
        <v>127</v>
      </c>
      <c r="Y1162" s="84" t="s">
        <v>1851</v>
      </c>
      <c r="Z1162" s="84" t="s">
        <v>1852</v>
      </c>
      <c r="AA1162" s="12"/>
      <c r="AB1162" s="84">
        <v>60287.0</v>
      </c>
      <c r="AC1162" s="125" t="s">
        <v>827</v>
      </c>
      <c r="AD1162" s="12"/>
      <c r="AE1162" s="207" t="s">
        <v>39</v>
      </c>
      <c r="AF1162" s="207" t="s">
        <v>39</v>
      </c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</row>
    <row r="1163" ht="15.75" customHeight="1">
      <c r="A1163" s="103">
        <v>1.1665805E7</v>
      </c>
      <c r="B1163" s="84">
        <v>9.000093881E9</v>
      </c>
      <c r="C1163" s="11" t="s">
        <v>1847</v>
      </c>
      <c r="D1163" s="84">
        <v>26.0</v>
      </c>
      <c r="E1163" s="84">
        <v>31.119</v>
      </c>
      <c r="F1163" s="152" t="s">
        <v>43</v>
      </c>
      <c r="G1163" s="93" t="s">
        <v>44</v>
      </c>
      <c r="H1163" s="84" t="s">
        <v>268</v>
      </c>
      <c r="I1163" s="29" t="s">
        <v>269</v>
      </c>
      <c r="J1163" s="93" t="s">
        <v>35</v>
      </c>
      <c r="K1163" s="84" t="s">
        <v>270</v>
      </c>
      <c r="L1163" s="98" t="s">
        <v>94</v>
      </c>
      <c r="M1163" s="84" t="s">
        <v>888</v>
      </c>
      <c r="N1163" s="88">
        <v>5847.0</v>
      </c>
      <c r="O1163" s="73">
        <f t="shared" si="26"/>
        <v>0.403625791</v>
      </c>
      <c r="P1163" s="98">
        <v>2360.0</v>
      </c>
      <c r="Q1163" s="84" t="s">
        <v>39</v>
      </c>
      <c r="R1163" s="84">
        <v>1669523.0</v>
      </c>
      <c r="S1163" s="84" t="s">
        <v>40</v>
      </c>
      <c r="T1163" s="90">
        <v>7169775.0</v>
      </c>
      <c r="U1163" s="84" t="s">
        <v>1849</v>
      </c>
      <c r="V1163" s="84" t="s">
        <v>1853</v>
      </c>
      <c r="W1163" s="12"/>
      <c r="X1163" s="84" t="s">
        <v>127</v>
      </c>
      <c r="Y1163" s="84" t="s">
        <v>1854</v>
      </c>
      <c r="Z1163" s="84" t="s">
        <v>1855</v>
      </c>
      <c r="AA1163" s="12"/>
      <c r="AB1163" s="84" t="s">
        <v>1856</v>
      </c>
      <c r="AC1163" s="84" t="s">
        <v>1857</v>
      </c>
      <c r="AD1163" s="12"/>
      <c r="AE1163" s="207" t="s">
        <v>39</v>
      </c>
      <c r="AF1163" s="207" t="s">
        <v>39</v>
      </c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</row>
    <row r="1164" ht="15.75" customHeight="1">
      <c r="A1164" s="103">
        <v>1.1680324E7</v>
      </c>
      <c r="B1164" s="84">
        <v>9.000113042E9</v>
      </c>
      <c r="C1164" s="11" t="s">
        <v>1858</v>
      </c>
      <c r="D1164" s="84">
        <v>20.0</v>
      </c>
      <c r="E1164" s="84">
        <v>22999.0</v>
      </c>
      <c r="F1164" s="85" t="s">
        <v>31</v>
      </c>
      <c r="G1164" s="85" t="s">
        <v>74</v>
      </c>
      <c r="H1164" s="84" t="s">
        <v>1859</v>
      </c>
      <c r="I1164" s="29" t="s">
        <v>427</v>
      </c>
      <c r="J1164" s="25" t="s">
        <v>35</v>
      </c>
      <c r="K1164" s="93" t="s">
        <v>673</v>
      </c>
      <c r="L1164" s="95" t="s">
        <v>108</v>
      </c>
      <c r="M1164" s="84" t="s">
        <v>1860</v>
      </c>
      <c r="N1164" s="88">
        <v>2231.0</v>
      </c>
      <c r="O1164" s="73">
        <f t="shared" si="26"/>
        <v>0.761990139</v>
      </c>
      <c r="P1164" s="98">
        <v>1700.0</v>
      </c>
      <c r="Q1164" s="84" t="s">
        <v>39</v>
      </c>
      <c r="R1164" s="84">
        <v>1675410.0</v>
      </c>
      <c r="S1164" s="84" t="s">
        <v>40</v>
      </c>
      <c r="T1164" s="90">
        <v>7215609.0</v>
      </c>
      <c r="U1164" s="84" t="s">
        <v>1861</v>
      </c>
      <c r="V1164" s="84" t="s">
        <v>1862</v>
      </c>
      <c r="W1164" s="12"/>
      <c r="X1164" s="84" t="s">
        <v>1863</v>
      </c>
      <c r="Y1164" s="84" t="s">
        <v>1864</v>
      </c>
      <c r="Z1164" s="84" t="s">
        <v>1865</v>
      </c>
      <c r="AA1164" s="12"/>
      <c r="AB1164" s="84" t="s">
        <v>1866</v>
      </c>
      <c r="AC1164" s="84" t="s">
        <v>1867</v>
      </c>
      <c r="AD1164" s="12"/>
      <c r="AE1164" s="207" t="s">
        <v>39</v>
      </c>
      <c r="AF1164" s="207" t="s">
        <v>39</v>
      </c>
      <c r="AG1164" s="22"/>
      <c r="AH1164" s="22"/>
      <c r="AI1164" s="22"/>
      <c r="AJ1164" s="22"/>
      <c r="AK1164" s="22"/>
      <c r="AL1164" s="22"/>
      <c r="AM1164" s="22"/>
      <c r="AN1164" s="22"/>
      <c r="AO1164" s="22"/>
      <c r="AP1164" s="22"/>
    </row>
    <row r="1165" ht="15.75" customHeight="1">
      <c r="A1165" s="103">
        <v>1.1684093E7</v>
      </c>
      <c r="B1165" s="84">
        <v>9.000121592E9</v>
      </c>
      <c r="C1165" s="11" t="s">
        <v>1868</v>
      </c>
      <c r="D1165" s="84">
        <v>26.0</v>
      </c>
      <c r="E1165" s="84">
        <v>30.663</v>
      </c>
      <c r="F1165" s="12" t="s">
        <v>31</v>
      </c>
      <c r="G1165" s="85" t="s">
        <v>74</v>
      </c>
      <c r="H1165" s="84" t="s">
        <v>1476</v>
      </c>
      <c r="I1165" s="85" t="s">
        <v>221</v>
      </c>
      <c r="J1165" s="25" t="s">
        <v>35</v>
      </c>
      <c r="K1165" s="84" t="s">
        <v>187</v>
      </c>
      <c r="L1165" s="95" t="s">
        <v>188</v>
      </c>
      <c r="M1165" s="84" t="s">
        <v>1172</v>
      </c>
      <c r="N1165" s="210">
        <v>4362.0</v>
      </c>
      <c r="O1165" s="73">
        <f t="shared" si="26"/>
        <v>0.4135717561</v>
      </c>
      <c r="P1165" s="98">
        <v>1804.0</v>
      </c>
      <c r="Q1165" s="84" t="s">
        <v>39</v>
      </c>
      <c r="R1165" s="84">
        <v>1674671.0</v>
      </c>
      <c r="S1165" s="84" t="s">
        <v>40</v>
      </c>
      <c r="T1165" s="90">
        <v>7209841.0</v>
      </c>
      <c r="U1165" s="84" t="s">
        <v>1869</v>
      </c>
      <c r="V1165" s="84" t="s">
        <v>1870</v>
      </c>
      <c r="W1165" s="12"/>
      <c r="X1165" s="84" t="s">
        <v>1871</v>
      </c>
      <c r="Y1165" s="84" t="s">
        <v>1872</v>
      </c>
      <c r="Z1165" s="84" t="s">
        <v>1873</v>
      </c>
      <c r="AA1165" s="12"/>
      <c r="AB1165" s="84" t="s">
        <v>1874</v>
      </c>
      <c r="AC1165" s="84" t="s">
        <v>1875</v>
      </c>
      <c r="AD1165" s="12"/>
      <c r="AE1165" s="207" t="s">
        <v>39</v>
      </c>
      <c r="AF1165" s="207" t="s">
        <v>39</v>
      </c>
      <c r="AG1165" s="22"/>
      <c r="AH1165" s="22"/>
      <c r="AI1165" s="22"/>
      <c r="AJ1165" s="22"/>
      <c r="AK1165" s="22"/>
      <c r="AL1165" s="22"/>
      <c r="AM1165" s="22"/>
      <c r="AN1165" s="22"/>
      <c r="AO1165" s="22"/>
      <c r="AP1165" s="22"/>
    </row>
    <row r="1166" ht="15.75" customHeight="1">
      <c r="A1166" s="103">
        <v>1.1688639E7</v>
      </c>
      <c r="B1166" s="84">
        <v>9.000129733E9</v>
      </c>
      <c r="C1166" s="11" t="s">
        <v>1868</v>
      </c>
      <c r="D1166" s="84">
        <v>26.0</v>
      </c>
      <c r="E1166" s="84">
        <v>32313.0</v>
      </c>
      <c r="F1166" s="29" t="s">
        <v>31</v>
      </c>
      <c r="G1166" s="85" t="s">
        <v>32</v>
      </c>
      <c r="H1166" s="84" t="s">
        <v>1876</v>
      </c>
      <c r="I1166" s="29" t="s">
        <v>215</v>
      </c>
      <c r="J1166" s="12" t="s">
        <v>35</v>
      </c>
      <c r="K1166" s="84" t="s">
        <v>47</v>
      </c>
      <c r="L1166" s="95" t="s">
        <v>108</v>
      </c>
      <c r="M1166" s="84" t="s">
        <v>1877</v>
      </c>
      <c r="N1166" s="211">
        <v>2545.0</v>
      </c>
      <c r="O1166" s="73">
        <f t="shared" si="26"/>
        <v>0.1650294695</v>
      </c>
      <c r="P1166" s="98">
        <v>420.0</v>
      </c>
      <c r="Q1166" s="84" t="s">
        <v>39</v>
      </c>
      <c r="R1166" s="84">
        <v>1674656.0</v>
      </c>
      <c r="S1166" s="84" t="s">
        <v>40</v>
      </c>
      <c r="T1166" s="90">
        <v>7209691.0</v>
      </c>
      <c r="U1166" s="84" t="s">
        <v>1869</v>
      </c>
      <c r="V1166" s="84" t="s">
        <v>1878</v>
      </c>
      <c r="W1166" s="12"/>
      <c r="X1166" s="84" t="s">
        <v>1879</v>
      </c>
      <c r="Y1166" s="84" t="s">
        <v>1880</v>
      </c>
      <c r="Z1166" s="84" t="s">
        <v>1881</v>
      </c>
      <c r="AA1166" s="12"/>
      <c r="AB1166" s="84">
        <v>62535.0</v>
      </c>
      <c r="AC1166" s="125" t="s">
        <v>827</v>
      </c>
      <c r="AD1166" s="12"/>
      <c r="AE1166" s="207" t="s">
        <v>39</v>
      </c>
      <c r="AF1166" s="207" t="s">
        <v>39</v>
      </c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</row>
    <row r="1167" ht="15.75" customHeight="1">
      <c r="A1167" s="103">
        <v>1.1689753E7</v>
      </c>
      <c r="B1167" s="84">
        <v>9.000132265E9</v>
      </c>
      <c r="C1167" s="11" t="s">
        <v>1858</v>
      </c>
      <c r="D1167" s="84">
        <v>26.0</v>
      </c>
      <c r="E1167" s="84">
        <v>32120.0</v>
      </c>
      <c r="F1167" s="29" t="s">
        <v>31</v>
      </c>
      <c r="G1167" s="85" t="s">
        <v>74</v>
      </c>
      <c r="H1167" s="84" t="s">
        <v>1882</v>
      </c>
      <c r="I1167" s="29" t="s">
        <v>191</v>
      </c>
      <c r="J1167" s="12" t="s">
        <v>35</v>
      </c>
      <c r="K1167" s="84" t="s">
        <v>138</v>
      </c>
      <c r="L1167" s="95" t="s">
        <v>114</v>
      </c>
      <c r="M1167" s="212" t="s">
        <v>1883</v>
      </c>
      <c r="N1167" s="88">
        <v>5760.0</v>
      </c>
      <c r="O1167" s="73">
        <f t="shared" si="26"/>
        <v>0.8506944444</v>
      </c>
      <c r="P1167" s="98">
        <v>4900.0</v>
      </c>
      <c r="Q1167" s="84" t="s">
        <v>39</v>
      </c>
      <c r="R1167" s="84">
        <v>1675193.0</v>
      </c>
      <c r="S1167" s="84" t="s">
        <v>40</v>
      </c>
      <c r="T1167" s="90">
        <v>7214042.0</v>
      </c>
      <c r="U1167" s="84" t="s">
        <v>1861</v>
      </c>
      <c r="V1167" s="84" t="s">
        <v>1881</v>
      </c>
      <c r="W1167" s="12"/>
      <c r="X1167" s="84" t="s">
        <v>1884</v>
      </c>
      <c r="Y1167" s="84" t="s">
        <v>1885</v>
      </c>
      <c r="Z1167" s="84" t="s">
        <v>1886</v>
      </c>
      <c r="AA1167" s="12"/>
      <c r="AB1167" s="84" t="s">
        <v>1887</v>
      </c>
      <c r="AC1167" s="84" t="s">
        <v>1888</v>
      </c>
      <c r="AD1167" s="12"/>
      <c r="AE1167" s="207" t="s">
        <v>39</v>
      </c>
      <c r="AF1167" s="207" t="s">
        <v>39</v>
      </c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</row>
    <row r="1168" ht="15.75" customHeight="1">
      <c r="A1168" s="103">
        <v>1.1691636E7</v>
      </c>
      <c r="B1168" s="84">
        <v>9.00013232E9</v>
      </c>
      <c r="C1168" s="11" t="s">
        <v>1858</v>
      </c>
      <c r="D1168" s="84">
        <v>26.0</v>
      </c>
      <c r="E1168" s="84">
        <v>31845.0</v>
      </c>
      <c r="F1168" s="103" t="s">
        <v>43</v>
      </c>
      <c r="G1168" s="85" t="s">
        <v>32</v>
      </c>
      <c r="H1168" s="84" t="s">
        <v>1889</v>
      </c>
      <c r="I1168" s="85" t="s">
        <v>1409</v>
      </c>
      <c r="J1168" s="12" t="s">
        <v>35</v>
      </c>
      <c r="K1168" s="84" t="s">
        <v>1410</v>
      </c>
      <c r="L1168" s="95" t="s">
        <v>114</v>
      </c>
      <c r="M1168" s="84" t="s">
        <v>1890</v>
      </c>
      <c r="N1168" s="133">
        <v>7195.2</v>
      </c>
      <c r="O1168" s="73">
        <f t="shared" si="26"/>
        <v>0.3350845008</v>
      </c>
      <c r="P1168" s="98">
        <v>2411.0</v>
      </c>
      <c r="Q1168" s="84" t="s">
        <v>39</v>
      </c>
      <c r="R1168" s="84">
        <v>1675287.0</v>
      </c>
      <c r="S1168" s="84" t="s">
        <v>40</v>
      </c>
      <c r="T1168" s="90">
        <v>7214792.0</v>
      </c>
      <c r="U1168" s="84" t="s">
        <v>1891</v>
      </c>
      <c r="V1168" s="84" t="s">
        <v>1892</v>
      </c>
      <c r="W1168" s="12"/>
      <c r="X1168" s="84" t="s">
        <v>127</v>
      </c>
      <c r="Y1168" s="84" t="s">
        <v>1893</v>
      </c>
      <c r="Z1168" s="84" t="s">
        <v>1894</v>
      </c>
      <c r="AA1168" s="12"/>
      <c r="AB1168" s="84">
        <v>62796.0</v>
      </c>
      <c r="AC1168" s="125" t="s">
        <v>827</v>
      </c>
      <c r="AD1168" s="12"/>
      <c r="AE1168" s="207" t="s">
        <v>39</v>
      </c>
      <c r="AF1168" s="207" t="s">
        <v>39</v>
      </c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</row>
    <row r="1169" ht="15.75" customHeight="1">
      <c r="A1169" s="103">
        <v>1.1691637E7</v>
      </c>
      <c r="B1169" s="84">
        <v>9.000132314E9</v>
      </c>
      <c r="C1169" s="11" t="s">
        <v>1858</v>
      </c>
      <c r="D1169" s="84">
        <v>14.0</v>
      </c>
      <c r="E1169" s="84">
        <v>15911.0</v>
      </c>
      <c r="F1169" s="152" t="s">
        <v>43</v>
      </c>
      <c r="G1169" s="84" t="s">
        <v>32</v>
      </c>
      <c r="H1169" s="84" t="s">
        <v>1889</v>
      </c>
      <c r="I1169" s="93" t="s">
        <v>1232</v>
      </c>
      <c r="J1169" s="84" t="s">
        <v>1410</v>
      </c>
      <c r="K1169" s="12" t="s">
        <v>35</v>
      </c>
      <c r="L1169" s="98" t="s">
        <v>114</v>
      </c>
      <c r="M1169" s="84" t="s">
        <v>1890</v>
      </c>
      <c r="N1169" s="133">
        <v>4796.8</v>
      </c>
      <c r="O1169" s="73">
        <f t="shared" si="26"/>
        <v>0.4063125417</v>
      </c>
      <c r="P1169" s="98">
        <v>1949.0</v>
      </c>
      <c r="Q1169" s="12"/>
      <c r="R1169" s="84">
        <v>1677249.0</v>
      </c>
      <c r="S1169" s="84" t="s">
        <v>40</v>
      </c>
      <c r="T1169" s="90">
        <v>7228846.0</v>
      </c>
      <c r="U1169" s="84" t="s">
        <v>1893</v>
      </c>
      <c r="V1169" s="84" t="s">
        <v>1895</v>
      </c>
      <c r="W1169" s="12"/>
      <c r="X1169" s="84" t="s">
        <v>127</v>
      </c>
      <c r="Y1169" s="84" t="s">
        <v>1896</v>
      </c>
      <c r="Z1169" s="84" t="s">
        <v>1897</v>
      </c>
      <c r="AA1169" s="12"/>
      <c r="AB1169" s="84" t="s">
        <v>1898</v>
      </c>
      <c r="AC1169" s="84" t="s">
        <v>1899</v>
      </c>
      <c r="AD1169" s="12"/>
      <c r="AE1169" s="207" t="s">
        <v>39</v>
      </c>
      <c r="AF1169" s="207" t="s">
        <v>39</v>
      </c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</row>
    <row r="1170" ht="15.75" customHeight="1">
      <c r="A1170" s="103">
        <v>1.1697772E7</v>
      </c>
      <c r="B1170" s="84">
        <v>9.000147315E9</v>
      </c>
      <c r="C1170" s="11" t="s">
        <v>1900</v>
      </c>
      <c r="D1170" s="84">
        <v>20.0</v>
      </c>
      <c r="E1170" s="84">
        <v>740.0</v>
      </c>
      <c r="F1170" s="85" t="s">
        <v>31</v>
      </c>
      <c r="G1170" s="84" t="s">
        <v>32</v>
      </c>
      <c r="H1170" s="84" t="s">
        <v>1901</v>
      </c>
      <c r="I1170" s="85" t="s">
        <v>1232</v>
      </c>
      <c r="J1170" s="84" t="s">
        <v>673</v>
      </c>
      <c r="K1170" s="12" t="s">
        <v>35</v>
      </c>
      <c r="L1170" s="98" t="s">
        <v>188</v>
      </c>
      <c r="M1170" s="84" t="s">
        <v>1860</v>
      </c>
      <c r="N1170" s="133">
        <v>1338.0</v>
      </c>
      <c r="O1170" s="73">
        <f t="shared" si="26"/>
        <v>0.4484304933</v>
      </c>
      <c r="P1170" s="98">
        <v>600.0</v>
      </c>
      <c r="Q1170" s="84" t="s">
        <v>39</v>
      </c>
      <c r="R1170" s="84">
        <v>1677304.0</v>
      </c>
      <c r="S1170" s="84" t="s">
        <v>40</v>
      </c>
      <c r="T1170" s="90">
        <v>7229309.0</v>
      </c>
      <c r="U1170" s="84" t="s">
        <v>1902</v>
      </c>
      <c r="V1170" s="84" t="s">
        <v>1903</v>
      </c>
      <c r="W1170" s="12"/>
      <c r="X1170" s="84" t="s">
        <v>1904</v>
      </c>
      <c r="Y1170" s="84" t="s">
        <v>1905</v>
      </c>
      <c r="Z1170" s="84" t="s">
        <v>1906</v>
      </c>
      <c r="AA1170" s="12"/>
      <c r="AB1170" s="84" t="s">
        <v>1907</v>
      </c>
      <c r="AC1170" s="84" t="s">
        <v>1899</v>
      </c>
      <c r="AD1170" s="12"/>
      <c r="AE1170" s="207" t="s">
        <v>39</v>
      </c>
      <c r="AF1170" s="207" t="s">
        <v>39</v>
      </c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</row>
    <row r="1171" ht="15.75" customHeight="1">
      <c r="A1171" s="103">
        <v>1.1698635E7</v>
      </c>
      <c r="B1171" s="84">
        <v>9.000148761E9</v>
      </c>
      <c r="C1171" s="11" t="s">
        <v>1908</v>
      </c>
      <c r="D1171" s="84">
        <v>26.0</v>
      </c>
      <c r="E1171" s="84">
        <v>32177.0</v>
      </c>
      <c r="F1171" s="85" t="s">
        <v>31</v>
      </c>
      <c r="G1171" s="84" t="s">
        <v>74</v>
      </c>
      <c r="H1171" s="84" t="s">
        <v>1909</v>
      </c>
      <c r="I1171" s="84" t="s">
        <v>1352</v>
      </c>
      <c r="J1171" s="12" t="s">
        <v>35</v>
      </c>
      <c r="K1171" s="84" t="s">
        <v>1353</v>
      </c>
      <c r="L1171" s="98" t="s">
        <v>59</v>
      </c>
      <c r="M1171" s="84" t="s">
        <v>1860</v>
      </c>
      <c r="N1171" s="133">
        <v>5337.0</v>
      </c>
      <c r="O1171" s="73">
        <f t="shared" si="26"/>
        <v>0.6113921679</v>
      </c>
      <c r="P1171" s="98">
        <v>3263.0</v>
      </c>
      <c r="Q1171" s="84" t="s">
        <v>39</v>
      </c>
      <c r="R1171" s="84">
        <v>1680373.0</v>
      </c>
      <c r="S1171" s="84" t="s">
        <v>40</v>
      </c>
      <c r="T1171" s="90">
        <v>7251669.0</v>
      </c>
      <c r="U1171" s="84" t="s">
        <v>1910</v>
      </c>
      <c r="V1171" s="84" t="s">
        <v>1911</v>
      </c>
      <c r="W1171" s="12"/>
      <c r="X1171" s="112">
        <v>45666.416666666664</v>
      </c>
      <c r="Y1171" s="112">
        <v>45666.40972222222</v>
      </c>
      <c r="Z1171" s="112">
        <v>45666.614583333336</v>
      </c>
      <c r="AA1171" s="12"/>
      <c r="AB1171" s="84" t="s">
        <v>1912</v>
      </c>
      <c r="AC1171" s="84" t="s">
        <v>1913</v>
      </c>
      <c r="AD1171" s="12"/>
      <c r="AE1171" s="207" t="s">
        <v>39</v>
      </c>
      <c r="AF1171" s="207" t="s">
        <v>39</v>
      </c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</row>
    <row r="1172" ht="15.75" customHeight="1">
      <c r="A1172" s="103">
        <v>1.1706839E7</v>
      </c>
      <c r="B1172" s="84">
        <v>9.000160007E9</v>
      </c>
      <c r="C1172" s="11" t="s">
        <v>1908</v>
      </c>
      <c r="D1172" s="84">
        <v>26.0</v>
      </c>
      <c r="E1172" s="84">
        <v>32468.0</v>
      </c>
      <c r="F1172" s="85" t="s">
        <v>31</v>
      </c>
      <c r="G1172" s="84" t="s">
        <v>74</v>
      </c>
      <c r="H1172" s="84" t="s">
        <v>1914</v>
      </c>
      <c r="I1172" s="84" t="s">
        <v>1915</v>
      </c>
      <c r="J1172" s="93" t="s">
        <v>35</v>
      </c>
      <c r="K1172" s="84" t="s">
        <v>270</v>
      </c>
      <c r="L1172" s="98" t="s">
        <v>94</v>
      </c>
      <c r="M1172" s="84" t="s">
        <v>1916</v>
      </c>
      <c r="N1172" s="133">
        <v>6410.0</v>
      </c>
      <c r="O1172" s="73">
        <f t="shared" si="26"/>
        <v>0.7672386895</v>
      </c>
      <c r="P1172" s="98">
        <v>4918.0</v>
      </c>
      <c r="Q1172" s="84" t="s">
        <v>39</v>
      </c>
      <c r="R1172" s="84">
        <v>1680896.0</v>
      </c>
      <c r="S1172" s="84" t="s">
        <v>40</v>
      </c>
      <c r="T1172" s="90">
        <v>7256111.0</v>
      </c>
      <c r="U1172" s="84" t="s">
        <v>1917</v>
      </c>
      <c r="V1172" s="84" t="s">
        <v>1918</v>
      </c>
      <c r="W1172" s="12"/>
      <c r="X1172" s="112">
        <v>45725.208333333336</v>
      </c>
      <c r="Y1172" s="112">
        <v>45697.944444444445</v>
      </c>
      <c r="Z1172" s="112">
        <v>45697.944444444445</v>
      </c>
      <c r="AA1172" s="12"/>
      <c r="AB1172" s="84" t="s">
        <v>1919</v>
      </c>
      <c r="AC1172" s="125" t="s">
        <v>1920</v>
      </c>
      <c r="AD1172" s="12"/>
      <c r="AE1172" s="207" t="s">
        <v>39</v>
      </c>
      <c r="AF1172" s="207" t="s">
        <v>39</v>
      </c>
      <c r="AG1172" s="22"/>
      <c r="AH1172" s="22"/>
      <c r="AI1172" s="22"/>
      <c r="AJ1172" s="22"/>
      <c r="AK1172" s="22"/>
      <c r="AL1172" s="22"/>
      <c r="AM1172" s="22"/>
      <c r="AN1172" s="22"/>
      <c r="AO1172" s="22"/>
      <c r="AP1172" s="22"/>
    </row>
    <row r="1173" ht="15.75" customHeight="1">
      <c r="A1173" s="103">
        <v>1.1706841E7</v>
      </c>
      <c r="B1173" s="84">
        <v>9.00015997E9</v>
      </c>
      <c r="C1173" s="11" t="s">
        <v>1908</v>
      </c>
      <c r="D1173" s="84">
        <v>26.0</v>
      </c>
      <c r="E1173" s="84">
        <v>32468.0</v>
      </c>
      <c r="F1173" s="85" t="s">
        <v>31</v>
      </c>
      <c r="G1173" s="84" t="s">
        <v>74</v>
      </c>
      <c r="H1173" s="84" t="s">
        <v>1914</v>
      </c>
      <c r="I1173" s="84" t="s">
        <v>1915</v>
      </c>
      <c r="J1173" s="93" t="s">
        <v>35</v>
      </c>
      <c r="K1173" s="84" t="s">
        <v>270</v>
      </c>
      <c r="L1173" s="98" t="s">
        <v>94</v>
      </c>
      <c r="M1173" s="84" t="s">
        <v>1921</v>
      </c>
      <c r="N1173" s="133">
        <v>6410.0</v>
      </c>
      <c r="O1173" s="73">
        <f t="shared" si="26"/>
        <v>0.375351014</v>
      </c>
      <c r="P1173" s="98">
        <v>2406.0</v>
      </c>
      <c r="Q1173" s="84" t="s">
        <v>39</v>
      </c>
      <c r="R1173" s="84">
        <v>1680900.0</v>
      </c>
      <c r="S1173" s="84" t="s">
        <v>40</v>
      </c>
      <c r="T1173" s="90">
        <v>7256120.0</v>
      </c>
      <c r="U1173" s="84" t="s">
        <v>1922</v>
      </c>
      <c r="V1173" s="84" t="s">
        <v>1923</v>
      </c>
      <c r="W1173" s="12"/>
      <c r="X1173" s="112">
        <v>45725.208333333336</v>
      </c>
      <c r="Y1173" s="112">
        <v>45725.552083333336</v>
      </c>
      <c r="Z1173" s="112">
        <v>45725.552083333336</v>
      </c>
      <c r="AA1173" s="12"/>
      <c r="AB1173" s="84" t="s">
        <v>1924</v>
      </c>
      <c r="AC1173" s="125" t="s">
        <v>1925</v>
      </c>
      <c r="AD1173" s="12"/>
      <c r="AE1173" s="207" t="s">
        <v>39</v>
      </c>
      <c r="AF1173" s="207" t="s">
        <v>39</v>
      </c>
      <c r="AG1173" s="22"/>
      <c r="AH1173" s="22"/>
      <c r="AI1173" s="22"/>
      <c r="AJ1173" s="22"/>
      <c r="AK1173" s="22"/>
      <c r="AL1173" s="22"/>
      <c r="AM1173" s="22"/>
      <c r="AN1173" s="22"/>
      <c r="AO1173" s="22"/>
      <c r="AP1173" s="22"/>
    </row>
    <row r="1174" ht="15.75" customHeight="1">
      <c r="A1174" s="103">
        <v>1.1706842E7</v>
      </c>
      <c r="B1174" s="84">
        <v>9.000160012E9</v>
      </c>
      <c r="C1174" s="11" t="s">
        <v>1908</v>
      </c>
      <c r="D1174" s="84">
        <v>26.0</v>
      </c>
      <c r="E1174" s="84">
        <v>32468.0</v>
      </c>
      <c r="F1174" s="85" t="s">
        <v>31</v>
      </c>
      <c r="G1174" s="84" t="s">
        <v>74</v>
      </c>
      <c r="H1174" s="84" t="s">
        <v>1914</v>
      </c>
      <c r="I1174" s="84" t="s">
        <v>1915</v>
      </c>
      <c r="J1174" s="93" t="s">
        <v>35</v>
      </c>
      <c r="K1174" s="84" t="s">
        <v>270</v>
      </c>
      <c r="L1174" s="98" t="s">
        <v>94</v>
      </c>
      <c r="M1174" s="84" t="s">
        <v>1890</v>
      </c>
      <c r="N1174" s="133">
        <v>6410.0</v>
      </c>
      <c r="O1174" s="73">
        <f t="shared" si="26"/>
        <v>0.375351014</v>
      </c>
      <c r="P1174" s="98">
        <v>2406.0</v>
      </c>
      <c r="Q1174" s="84" t="s">
        <v>39</v>
      </c>
      <c r="R1174" s="84">
        <v>1680450.0</v>
      </c>
      <c r="S1174" s="84" t="s">
        <v>40</v>
      </c>
      <c r="T1174" s="90">
        <v>7252448.0</v>
      </c>
      <c r="U1174" s="84" t="s">
        <v>1926</v>
      </c>
      <c r="V1174" s="84" t="s">
        <v>1927</v>
      </c>
      <c r="W1174" s="12"/>
      <c r="X1174" s="112">
        <v>45725.208333333336</v>
      </c>
      <c r="Y1174" s="112">
        <v>45697.680555555555</v>
      </c>
      <c r="Z1174" s="112">
        <v>45697.680555555555</v>
      </c>
      <c r="AA1174" s="12"/>
      <c r="AB1174" s="84" t="s">
        <v>1928</v>
      </c>
      <c r="AC1174" s="125" t="s">
        <v>1929</v>
      </c>
      <c r="AD1174" s="12"/>
      <c r="AE1174" s="207" t="s">
        <v>39</v>
      </c>
      <c r="AF1174" s="207" t="s">
        <v>39</v>
      </c>
      <c r="AG1174" s="22"/>
      <c r="AH1174" s="22"/>
      <c r="AI1174" s="22"/>
      <c r="AJ1174" s="22"/>
      <c r="AK1174" s="22"/>
      <c r="AL1174" s="22"/>
      <c r="AM1174" s="22"/>
      <c r="AN1174" s="22"/>
      <c r="AO1174" s="22"/>
      <c r="AP1174" s="22"/>
    </row>
    <row r="1175" ht="15.75" customHeight="1">
      <c r="A1175" s="103">
        <v>1.1706843E7</v>
      </c>
      <c r="B1175" s="84">
        <v>9.000159974E9</v>
      </c>
      <c r="C1175" s="11" t="s">
        <v>1930</v>
      </c>
      <c r="D1175" s="84">
        <v>26.0</v>
      </c>
      <c r="E1175" s="84">
        <v>30960.0</v>
      </c>
      <c r="F1175" s="85" t="s">
        <v>31</v>
      </c>
      <c r="G1175" s="84" t="s">
        <v>74</v>
      </c>
      <c r="H1175" s="84" t="s">
        <v>1914</v>
      </c>
      <c r="I1175" s="84" t="s">
        <v>1915</v>
      </c>
      <c r="J1175" s="93" t="s">
        <v>35</v>
      </c>
      <c r="K1175" s="84" t="s">
        <v>270</v>
      </c>
      <c r="L1175" s="98" t="s">
        <v>94</v>
      </c>
      <c r="M1175" s="84" t="s">
        <v>1931</v>
      </c>
      <c r="N1175" s="133">
        <v>6410.0</v>
      </c>
      <c r="O1175" s="73">
        <f t="shared" si="26"/>
        <v>0.7672386895</v>
      </c>
      <c r="P1175" s="98">
        <v>4918.0</v>
      </c>
      <c r="Q1175" s="84" t="s">
        <v>39</v>
      </c>
      <c r="R1175" s="84">
        <v>1681044.0</v>
      </c>
      <c r="S1175" s="84" t="s">
        <v>40</v>
      </c>
      <c r="T1175" s="90">
        <v>7257163.0</v>
      </c>
      <c r="U1175" s="84" t="s">
        <v>1932</v>
      </c>
      <c r="V1175" s="84" t="s">
        <v>1933</v>
      </c>
      <c r="W1175" s="12"/>
      <c r="X1175" s="112">
        <v>45725.208333333336</v>
      </c>
      <c r="Y1175" s="112">
        <v>45725.36111111111</v>
      </c>
      <c r="Z1175" s="112">
        <v>45725.36111111111</v>
      </c>
      <c r="AA1175" s="12"/>
      <c r="AB1175" s="84" t="s">
        <v>1934</v>
      </c>
      <c r="AC1175" s="125" t="s">
        <v>1935</v>
      </c>
      <c r="AD1175" s="12"/>
      <c r="AE1175" s="207" t="s">
        <v>39</v>
      </c>
      <c r="AF1175" s="207" t="s">
        <v>39</v>
      </c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</row>
    <row r="1176" ht="15.75" customHeight="1">
      <c r="A1176" s="103">
        <v>1.1708431E7</v>
      </c>
      <c r="B1176" s="84">
        <v>9.000160001E9</v>
      </c>
      <c r="C1176" s="11" t="s">
        <v>1930</v>
      </c>
      <c r="D1176" s="84">
        <v>26.0</v>
      </c>
      <c r="E1176" s="84">
        <v>30960.0</v>
      </c>
      <c r="F1176" s="85" t="s">
        <v>31</v>
      </c>
      <c r="G1176" s="84" t="s">
        <v>74</v>
      </c>
      <c r="H1176" s="84" t="s">
        <v>1914</v>
      </c>
      <c r="I1176" s="84" t="s">
        <v>1915</v>
      </c>
      <c r="J1176" s="93" t="s">
        <v>35</v>
      </c>
      <c r="K1176" s="84" t="s">
        <v>270</v>
      </c>
      <c r="L1176" s="98" t="s">
        <v>94</v>
      </c>
      <c r="M1176" s="84" t="s">
        <v>1936</v>
      </c>
      <c r="N1176" s="133">
        <v>6410.0</v>
      </c>
      <c r="O1176" s="73">
        <f t="shared" si="26"/>
        <v>0.375351014</v>
      </c>
      <c r="P1176" s="98">
        <v>2406.0</v>
      </c>
      <c r="Q1176" s="84" t="s">
        <v>39</v>
      </c>
      <c r="R1176" s="84">
        <v>1681889.0</v>
      </c>
      <c r="S1176" s="84" t="s">
        <v>40</v>
      </c>
      <c r="T1176" s="90">
        <v>7260461.0</v>
      </c>
      <c r="U1176" s="84" t="s">
        <v>1937</v>
      </c>
      <c r="V1176" s="84" t="s">
        <v>1938</v>
      </c>
      <c r="W1176" s="12"/>
      <c r="X1176" s="112">
        <v>45725.208333333336</v>
      </c>
      <c r="Y1176" s="112">
        <v>45725.541666666664</v>
      </c>
      <c r="Z1176" s="112">
        <v>45725.541666666664</v>
      </c>
      <c r="AA1176" s="12"/>
      <c r="AB1176" s="12"/>
      <c r="AC1176" s="213" t="s">
        <v>1939</v>
      </c>
      <c r="AD1176" s="12"/>
      <c r="AE1176" s="12"/>
      <c r="AF1176" s="12"/>
      <c r="AG1176" s="22"/>
      <c r="AH1176" s="22"/>
      <c r="AI1176" s="22"/>
      <c r="AJ1176" s="22"/>
      <c r="AK1176" s="22"/>
      <c r="AL1176" s="22"/>
      <c r="AM1176" s="22"/>
      <c r="AN1176" s="22"/>
      <c r="AO1176" s="22"/>
      <c r="AP1176" s="22"/>
    </row>
    <row r="1177" ht="15.75" customHeight="1">
      <c r="A1177" s="103">
        <v>1.1723351E7</v>
      </c>
      <c r="B1177" s="84">
        <v>9.000187257E9</v>
      </c>
      <c r="C1177" s="11">
        <v>45909.0</v>
      </c>
      <c r="D1177" s="84">
        <v>28.0</v>
      </c>
      <c r="E1177" s="84">
        <v>34295.0</v>
      </c>
      <c r="F1177" s="103" t="s">
        <v>43</v>
      </c>
      <c r="G1177" s="85" t="s">
        <v>44</v>
      </c>
      <c r="H1177" s="84" t="s">
        <v>268</v>
      </c>
      <c r="I1177" s="29" t="s">
        <v>397</v>
      </c>
      <c r="J1177" s="84" t="s">
        <v>35</v>
      </c>
      <c r="K1177" s="84" t="s">
        <v>270</v>
      </c>
      <c r="L1177" s="95" t="s">
        <v>94</v>
      </c>
      <c r="M1177" s="146" t="s">
        <v>1890</v>
      </c>
      <c r="N1177" s="88">
        <v>5847.0</v>
      </c>
      <c r="O1177" s="73">
        <f t="shared" si="26"/>
        <v>0.7268684796</v>
      </c>
      <c r="P1177" s="98">
        <v>4250.0</v>
      </c>
      <c r="Q1177" s="84" t="s">
        <v>39</v>
      </c>
      <c r="R1177" s="84">
        <v>1687326.0</v>
      </c>
      <c r="S1177" s="84" t="s">
        <v>40</v>
      </c>
      <c r="T1177" s="90">
        <v>7309290.0</v>
      </c>
      <c r="U1177" s="112">
        <v>45909.375</v>
      </c>
      <c r="V1177" s="214">
        <v>45909.572916666664</v>
      </c>
      <c r="W1177" s="12"/>
      <c r="X1177" s="84" t="s">
        <v>127</v>
      </c>
      <c r="Y1177" s="12"/>
      <c r="Z1177" s="12"/>
      <c r="AA1177" s="12"/>
      <c r="AB1177" s="84">
        <v>288002.0</v>
      </c>
      <c r="AC1177" s="125" t="s">
        <v>1940</v>
      </c>
      <c r="AD1177" s="12"/>
      <c r="AE1177" s="12"/>
      <c r="AF1177" s="12"/>
      <c r="AG1177" s="22"/>
      <c r="AH1177" s="22"/>
      <c r="AI1177" s="22"/>
      <c r="AJ1177" s="22"/>
      <c r="AK1177" s="22"/>
      <c r="AL1177" s="22"/>
      <c r="AM1177" s="22"/>
      <c r="AN1177" s="22"/>
      <c r="AO1177" s="22"/>
      <c r="AP1177" s="22"/>
    </row>
    <row r="1178" ht="15.75" customHeight="1">
      <c r="A1178" s="103">
        <v>1.1723357E7</v>
      </c>
      <c r="B1178" s="84">
        <v>9.000187165E9</v>
      </c>
      <c r="C1178" s="11">
        <v>45909.0</v>
      </c>
      <c r="D1178" s="84">
        <v>15.0</v>
      </c>
      <c r="E1178" s="84">
        <v>17135.0</v>
      </c>
      <c r="F1178" s="125" t="s">
        <v>43</v>
      </c>
      <c r="G1178" s="148" t="s">
        <v>44</v>
      </c>
      <c r="H1178" s="125" t="s">
        <v>1941</v>
      </c>
      <c r="I1178" s="148" t="s">
        <v>1232</v>
      </c>
      <c r="J1178" s="159" t="s">
        <v>270</v>
      </c>
      <c r="K1178" s="159" t="s">
        <v>35</v>
      </c>
      <c r="L1178" s="183" t="s">
        <v>43</v>
      </c>
      <c r="M1178" s="146" t="s">
        <v>1890</v>
      </c>
      <c r="N1178" s="88">
        <v>3898.0</v>
      </c>
      <c r="O1178" s="73">
        <f t="shared" si="26"/>
        <v>0</v>
      </c>
      <c r="P1178" s="15"/>
      <c r="Q1178" s="12"/>
      <c r="R1178" s="12"/>
      <c r="S1178" s="84" t="s">
        <v>1942</v>
      </c>
      <c r="T1178" s="12"/>
      <c r="U1178" s="12"/>
      <c r="V1178" s="12"/>
      <c r="W1178" s="12"/>
      <c r="X1178" s="84" t="s">
        <v>127</v>
      </c>
      <c r="Y1178" s="12"/>
      <c r="Z1178" s="12"/>
      <c r="AA1178" s="12"/>
      <c r="AB1178" s="84"/>
      <c r="AC1178" s="12"/>
      <c r="AD1178" s="12"/>
      <c r="AE1178" s="12"/>
      <c r="AF1178" s="12"/>
      <c r="AG1178" s="22"/>
      <c r="AH1178" s="22"/>
      <c r="AI1178" s="22"/>
      <c r="AJ1178" s="22"/>
      <c r="AK1178" s="22"/>
      <c r="AL1178" s="22"/>
      <c r="AM1178" s="22"/>
      <c r="AN1178" s="22"/>
      <c r="AO1178" s="22"/>
      <c r="AP1178" s="22"/>
    </row>
    <row r="1179" ht="15.75" customHeight="1">
      <c r="A1179" s="103">
        <v>1.1723354E7</v>
      </c>
      <c r="B1179" s="84">
        <v>9.000187249E9</v>
      </c>
      <c r="C1179" s="11">
        <v>45909.0</v>
      </c>
      <c r="D1179" s="84">
        <v>28.0</v>
      </c>
      <c r="E1179" s="84">
        <v>34295.0</v>
      </c>
      <c r="F1179" s="103" t="s">
        <v>43</v>
      </c>
      <c r="G1179" s="85" t="s">
        <v>44</v>
      </c>
      <c r="H1179" s="84" t="s">
        <v>268</v>
      </c>
      <c r="I1179" s="29" t="s">
        <v>397</v>
      </c>
      <c r="J1179" s="84" t="s">
        <v>35</v>
      </c>
      <c r="K1179" s="84" t="s">
        <v>270</v>
      </c>
      <c r="L1179" s="95" t="s">
        <v>94</v>
      </c>
      <c r="M1179" s="84" t="s">
        <v>1943</v>
      </c>
      <c r="N1179" s="88">
        <v>5847.0</v>
      </c>
      <c r="O1179" s="73">
        <f t="shared" si="26"/>
        <v>0.7268684796</v>
      </c>
      <c r="P1179" s="98">
        <v>4250.0</v>
      </c>
      <c r="Q1179" s="84" t="s">
        <v>39</v>
      </c>
      <c r="R1179" s="84">
        <v>1687491.0</v>
      </c>
      <c r="S1179" s="84" t="s">
        <v>40</v>
      </c>
      <c r="T1179" s="90">
        <v>7311033.0</v>
      </c>
      <c r="U1179" s="112">
        <v>45909.5</v>
      </c>
      <c r="V1179" s="214">
        <v>45909.75</v>
      </c>
      <c r="W1179" s="12"/>
      <c r="X1179" s="84" t="s">
        <v>127</v>
      </c>
      <c r="Y1179" s="214">
        <v>45911.583333333336</v>
      </c>
      <c r="Z1179" s="214">
        <v>45912.0625</v>
      </c>
      <c r="AA1179" s="12"/>
      <c r="AB1179" s="84">
        <v>103841.0</v>
      </c>
      <c r="AC1179" s="125" t="s">
        <v>827</v>
      </c>
      <c r="AD1179" s="12"/>
      <c r="AE1179" s="207" t="s">
        <v>39</v>
      </c>
      <c r="AF1179" s="207" t="s">
        <v>39</v>
      </c>
      <c r="AG1179" s="22"/>
      <c r="AH1179" s="22"/>
      <c r="AI1179" s="22"/>
      <c r="AJ1179" s="22"/>
      <c r="AK1179" s="22"/>
      <c r="AL1179" s="22"/>
      <c r="AM1179" s="22"/>
      <c r="AN1179" s="22"/>
      <c r="AO1179" s="22"/>
      <c r="AP1179" s="22"/>
    </row>
    <row r="1180" ht="15.75" customHeight="1">
      <c r="A1180" s="103">
        <v>1.1723358E7</v>
      </c>
      <c r="B1180" s="84">
        <v>9.000187185E9</v>
      </c>
      <c r="C1180" s="11">
        <v>45909.0</v>
      </c>
      <c r="D1180" s="84">
        <v>15.0</v>
      </c>
      <c r="E1180" s="84">
        <v>17135.0</v>
      </c>
      <c r="F1180" s="125" t="s">
        <v>43</v>
      </c>
      <c r="G1180" s="148" t="s">
        <v>44</v>
      </c>
      <c r="H1180" s="125" t="s">
        <v>1944</v>
      </c>
      <c r="I1180" s="148" t="s">
        <v>1232</v>
      </c>
      <c r="J1180" s="159" t="s">
        <v>270</v>
      </c>
      <c r="K1180" s="159" t="s">
        <v>35</v>
      </c>
      <c r="L1180" s="183" t="s">
        <v>43</v>
      </c>
      <c r="M1180" s="84" t="s">
        <v>1943</v>
      </c>
      <c r="N1180" s="88">
        <v>3898.0</v>
      </c>
      <c r="O1180" s="73">
        <f t="shared" si="26"/>
        <v>0.6998460749</v>
      </c>
      <c r="P1180" s="98">
        <v>2728.0</v>
      </c>
      <c r="Q1180" s="12"/>
      <c r="R1180" s="84">
        <v>1689620.0</v>
      </c>
      <c r="S1180" s="84" t="s">
        <v>40</v>
      </c>
      <c r="T1180" s="90">
        <v>7333118.0</v>
      </c>
      <c r="U1180" s="214">
        <v>45912.0625</v>
      </c>
      <c r="V1180" s="214">
        <v>45912.0625</v>
      </c>
      <c r="W1180" s="12"/>
      <c r="X1180" s="84" t="s">
        <v>127</v>
      </c>
      <c r="Y1180" s="214">
        <v>45912.75</v>
      </c>
      <c r="Z1180" s="214">
        <v>45913.708333333336</v>
      </c>
      <c r="AA1180" s="12"/>
      <c r="AB1180" s="84">
        <v>103882.0</v>
      </c>
      <c r="AC1180" s="125" t="s">
        <v>827</v>
      </c>
      <c r="AD1180" s="12"/>
      <c r="AE1180" s="207" t="s">
        <v>39</v>
      </c>
      <c r="AF1180" s="207" t="s">
        <v>39</v>
      </c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</row>
    <row r="1181" ht="15.75" customHeight="1">
      <c r="A1181" s="103">
        <v>1.1723352E7</v>
      </c>
      <c r="B1181" s="84">
        <v>9.00018717E9</v>
      </c>
      <c r="C1181" s="11">
        <v>45909.0</v>
      </c>
      <c r="D1181" s="84">
        <v>28.0</v>
      </c>
      <c r="E1181" s="84">
        <v>34295.0</v>
      </c>
      <c r="F1181" s="103" t="s">
        <v>43</v>
      </c>
      <c r="G1181" s="85" t="s">
        <v>44</v>
      </c>
      <c r="H1181" s="84" t="s">
        <v>268</v>
      </c>
      <c r="I1181" s="29" t="s">
        <v>397</v>
      </c>
      <c r="J1181" s="84" t="s">
        <v>35</v>
      </c>
      <c r="K1181" s="84" t="s">
        <v>270</v>
      </c>
      <c r="L1181" s="95" t="s">
        <v>94</v>
      </c>
      <c r="M1181" s="84" t="s">
        <v>1945</v>
      </c>
      <c r="N1181" s="88">
        <v>5847.0</v>
      </c>
      <c r="O1181" s="73">
        <f t="shared" si="26"/>
        <v>0.7696254489</v>
      </c>
      <c r="P1181" s="98">
        <v>4500.0</v>
      </c>
      <c r="Q1181" s="84" t="s">
        <v>39</v>
      </c>
      <c r="R1181" s="84">
        <v>1687385.0</v>
      </c>
      <c r="S1181" s="84" t="s">
        <v>40</v>
      </c>
      <c r="T1181" s="90">
        <v>7307896.0</v>
      </c>
      <c r="U1181" s="112">
        <v>45909.5</v>
      </c>
      <c r="V1181" s="214">
        <v>45909.75</v>
      </c>
      <c r="W1181" s="12"/>
      <c r="X1181" s="84" t="s">
        <v>127</v>
      </c>
      <c r="Y1181" s="214">
        <v>45911.541666666664</v>
      </c>
      <c r="Z1181" s="214">
        <v>45912.270833333336</v>
      </c>
      <c r="AA1181" s="12"/>
      <c r="AB1181" s="84" t="s">
        <v>1946</v>
      </c>
      <c r="AC1181" s="207" t="s">
        <v>1947</v>
      </c>
      <c r="AD1181" s="12"/>
      <c r="AE1181" s="207" t="s">
        <v>39</v>
      </c>
      <c r="AF1181" s="207" t="s">
        <v>39</v>
      </c>
      <c r="AG1181" s="22"/>
      <c r="AH1181" s="22"/>
      <c r="AI1181" s="22"/>
      <c r="AJ1181" s="22"/>
      <c r="AK1181" s="22"/>
      <c r="AL1181" s="22"/>
      <c r="AM1181" s="22"/>
      <c r="AN1181" s="22"/>
      <c r="AO1181" s="22"/>
      <c r="AP1181" s="22"/>
    </row>
    <row r="1182" ht="15.75" customHeight="1">
      <c r="A1182" s="103">
        <v>1.172336E7</v>
      </c>
      <c r="B1182" s="84">
        <v>9.000187164E9</v>
      </c>
      <c r="C1182" s="11">
        <v>45909.0</v>
      </c>
      <c r="D1182" s="84">
        <v>15.0</v>
      </c>
      <c r="E1182" s="84">
        <v>17135.0</v>
      </c>
      <c r="F1182" s="125" t="s">
        <v>43</v>
      </c>
      <c r="G1182" s="148" t="s">
        <v>44</v>
      </c>
      <c r="H1182" s="125" t="s">
        <v>1948</v>
      </c>
      <c r="I1182" s="148" t="s">
        <v>1232</v>
      </c>
      <c r="J1182" s="159" t="s">
        <v>270</v>
      </c>
      <c r="K1182" s="159" t="s">
        <v>35</v>
      </c>
      <c r="L1182" s="183" t="s">
        <v>43</v>
      </c>
      <c r="M1182" s="84" t="s">
        <v>1945</v>
      </c>
      <c r="N1182" s="88">
        <v>3898.0</v>
      </c>
      <c r="O1182" s="73">
        <f t="shared" si="26"/>
        <v>0</v>
      </c>
      <c r="P1182" s="15"/>
      <c r="Q1182" s="12"/>
      <c r="R1182" s="12"/>
      <c r="S1182" s="84" t="s">
        <v>131</v>
      </c>
      <c r="T1182" s="12"/>
      <c r="U1182" s="12"/>
      <c r="V1182" s="12"/>
      <c r="W1182" s="12"/>
      <c r="X1182" s="84" t="s">
        <v>127</v>
      </c>
      <c r="Y1182" s="12"/>
      <c r="Z1182" s="12"/>
      <c r="AA1182" s="12"/>
      <c r="AB1182" s="12"/>
      <c r="AC1182" s="125" t="s">
        <v>1949</v>
      </c>
      <c r="AD1182" s="12"/>
      <c r="AE1182" s="12"/>
      <c r="AF1182" s="1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</row>
    <row r="1183">
      <c r="A1183" s="103">
        <v>1.1735796E7</v>
      </c>
      <c r="B1183" s="84">
        <v>9.000207327E9</v>
      </c>
      <c r="C1183" s="11">
        <v>45912.0</v>
      </c>
      <c r="D1183" s="84">
        <v>26.0</v>
      </c>
      <c r="E1183" s="84">
        <v>32468.0</v>
      </c>
      <c r="F1183" s="12" t="s">
        <v>31</v>
      </c>
      <c r="G1183" s="84" t="s">
        <v>74</v>
      </c>
      <c r="H1183" s="12" t="s">
        <v>1835</v>
      </c>
      <c r="I1183" s="85" t="s">
        <v>1836</v>
      </c>
      <c r="J1183" s="25" t="s">
        <v>35</v>
      </c>
      <c r="K1183" s="25" t="s">
        <v>243</v>
      </c>
      <c r="L1183" s="25" t="s">
        <v>188</v>
      </c>
      <c r="M1183" s="84" t="s">
        <v>1860</v>
      </c>
      <c r="N1183" s="133">
        <v>4362.0</v>
      </c>
      <c r="O1183" s="73">
        <f t="shared" si="26"/>
        <v>0.8707015131</v>
      </c>
      <c r="P1183" s="98">
        <v>3798.0</v>
      </c>
      <c r="Q1183" s="84" t="s">
        <v>39</v>
      </c>
      <c r="R1183" s="84">
        <v>1689663.0</v>
      </c>
      <c r="S1183" s="84" t="s">
        <v>40</v>
      </c>
      <c r="T1183" s="90">
        <v>7333540.0</v>
      </c>
      <c r="U1183" s="214">
        <v>45912.645833333336</v>
      </c>
      <c r="V1183" s="214">
        <v>45912.916666666664</v>
      </c>
      <c r="W1183" s="12"/>
      <c r="X1183" s="84" t="s">
        <v>127</v>
      </c>
      <c r="Y1183" s="214">
        <v>45916.32638888889</v>
      </c>
      <c r="Z1183" s="214">
        <v>45916.375</v>
      </c>
      <c r="AA1183" s="12"/>
      <c r="AB1183" s="84" t="s">
        <v>1950</v>
      </c>
      <c r="AC1183" s="207" t="s">
        <v>1951</v>
      </c>
      <c r="AD1183" s="12"/>
      <c r="AE1183" s="207" t="s">
        <v>39</v>
      </c>
      <c r="AF1183" s="207" t="s">
        <v>39</v>
      </c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</row>
    <row r="1184" ht="15.75" customHeight="1">
      <c r="A1184" s="103">
        <v>1.173583E7</v>
      </c>
      <c r="B1184" s="84">
        <v>9.000207332E9</v>
      </c>
      <c r="C1184" s="11">
        <v>45912.0</v>
      </c>
      <c r="D1184" s="84">
        <v>26.0</v>
      </c>
      <c r="E1184" s="84">
        <v>30663.0</v>
      </c>
      <c r="F1184" s="12" t="s">
        <v>31</v>
      </c>
      <c r="G1184" s="84" t="s">
        <v>74</v>
      </c>
      <c r="H1184" s="12" t="s">
        <v>1835</v>
      </c>
      <c r="I1184" s="85" t="s">
        <v>1836</v>
      </c>
      <c r="J1184" s="25" t="s">
        <v>35</v>
      </c>
      <c r="K1184" s="25" t="s">
        <v>243</v>
      </c>
      <c r="L1184" s="25" t="s">
        <v>188</v>
      </c>
      <c r="M1184" s="84" t="s">
        <v>1916</v>
      </c>
      <c r="N1184" s="133">
        <v>4362.0</v>
      </c>
      <c r="O1184" s="73">
        <f t="shared" si="26"/>
        <v>0.7102246676</v>
      </c>
      <c r="P1184" s="98">
        <v>3098.0</v>
      </c>
      <c r="Q1184" s="84" t="s">
        <v>39</v>
      </c>
      <c r="R1184" s="84">
        <v>1689702.0</v>
      </c>
      <c r="S1184" s="84" t="s">
        <v>40</v>
      </c>
      <c r="T1184" s="90">
        <v>7334333.0</v>
      </c>
      <c r="U1184" s="214">
        <v>45912.8125</v>
      </c>
      <c r="V1184" s="214">
        <v>45913.145833333336</v>
      </c>
      <c r="W1184" s="12"/>
      <c r="X1184" s="84" t="s">
        <v>127</v>
      </c>
      <c r="Y1184" s="214">
        <v>45914.708333333336</v>
      </c>
      <c r="Z1184" s="214">
        <v>45915.322916666664</v>
      </c>
      <c r="AA1184" s="12"/>
      <c r="AB1184" s="84">
        <v>74478.0</v>
      </c>
      <c r="AC1184" s="207" t="s">
        <v>1952</v>
      </c>
      <c r="AD1184" s="12"/>
      <c r="AE1184" s="207" t="s">
        <v>39</v>
      </c>
      <c r="AF1184" s="207" t="s">
        <v>39</v>
      </c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</row>
    <row r="1185" ht="15.75" customHeight="1">
      <c r="A1185" s="103">
        <v>1.1732289E7</v>
      </c>
      <c r="B1185" s="84">
        <v>9.000199935E9</v>
      </c>
      <c r="C1185" s="11">
        <v>45913.0</v>
      </c>
      <c r="D1185" s="84">
        <v>28.0</v>
      </c>
      <c r="E1185" s="84">
        <v>34295.0</v>
      </c>
      <c r="F1185" s="103" t="s">
        <v>43</v>
      </c>
      <c r="G1185" s="85" t="s">
        <v>44</v>
      </c>
      <c r="H1185" s="12" t="s">
        <v>45</v>
      </c>
      <c r="I1185" s="29" t="s">
        <v>46</v>
      </c>
      <c r="J1185" s="14" t="s">
        <v>35</v>
      </c>
      <c r="K1185" s="14" t="s">
        <v>47</v>
      </c>
      <c r="L1185" s="95" t="s">
        <v>110</v>
      </c>
      <c r="M1185" s="84" t="s">
        <v>1943</v>
      </c>
      <c r="N1185" s="133">
        <v>2335.8</v>
      </c>
      <c r="O1185" s="73">
        <f t="shared" si="26"/>
        <v>0.6421782687</v>
      </c>
      <c r="P1185" s="98">
        <v>1500.0</v>
      </c>
      <c r="Q1185" s="84" t="s">
        <v>39</v>
      </c>
      <c r="R1185" s="84">
        <v>1690988.0</v>
      </c>
      <c r="S1185" s="84" t="s">
        <v>40</v>
      </c>
      <c r="T1185" s="90">
        <v>7342818.0</v>
      </c>
      <c r="U1185" s="214">
        <v>45913.708333333336</v>
      </c>
      <c r="V1185" s="214">
        <v>45913.90972222222</v>
      </c>
      <c r="W1185" s="12"/>
      <c r="X1185" s="84" t="s">
        <v>127</v>
      </c>
      <c r="Y1185" s="214">
        <v>45915.61111111111</v>
      </c>
      <c r="Z1185" s="84" t="s">
        <v>1953</v>
      </c>
      <c r="AA1185" s="12"/>
      <c r="AB1185" s="84" t="s">
        <v>1954</v>
      </c>
      <c r="AC1185" s="84" t="s">
        <v>1955</v>
      </c>
      <c r="AD1185" s="12"/>
      <c r="AE1185" s="207" t="s">
        <v>39</v>
      </c>
      <c r="AF1185" s="207" t="s">
        <v>39</v>
      </c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</row>
    <row r="1186" ht="15.75" customHeight="1">
      <c r="A1186" s="103">
        <v>1.173229E7</v>
      </c>
      <c r="B1186" s="84">
        <v>9.000199716E9</v>
      </c>
      <c r="C1186" s="11">
        <v>45913.0</v>
      </c>
      <c r="D1186" s="84">
        <v>15.0</v>
      </c>
      <c r="E1186" s="84">
        <v>17135.0</v>
      </c>
      <c r="F1186" s="103" t="s">
        <v>43</v>
      </c>
      <c r="G1186" s="85" t="s">
        <v>44</v>
      </c>
      <c r="H1186" s="103" t="s">
        <v>1956</v>
      </c>
      <c r="I1186" s="85" t="s">
        <v>1957</v>
      </c>
      <c r="J1186" s="84" t="s">
        <v>47</v>
      </c>
      <c r="K1186" s="84" t="s">
        <v>35</v>
      </c>
      <c r="L1186" s="95" t="s">
        <v>110</v>
      </c>
      <c r="M1186" s="84" t="s">
        <v>1943</v>
      </c>
      <c r="N1186" s="133">
        <v>1557.2</v>
      </c>
      <c r="O1186" s="73">
        <f t="shared" si="26"/>
        <v>0.6742871821</v>
      </c>
      <c r="P1186" s="98">
        <v>1050.0</v>
      </c>
      <c r="Q1186" s="12"/>
      <c r="R1186" s="84">
        <v>1692078.0</v>
      </c>
      <c r="S1186" s="84" t="s">
        <v>40</v>
      </c>
      <c r="T1186" s="90">
        <v>7351424.0</v>
      </c>
      <c r="U1186" s="214">
        <v>45916.395833333336</v>
      </c>
      <c r="V1186" s="214">
        <v>45916.666666666664</v>
      </c>
      <c r="W1186" s="12"/>
      <c r="X1186" s="84" t="s">
        <v>127</v>
      </c>
      <c r="Y1186" s="214">
        <v>45916.791666666664</v>
      </c>
      <c r="Z1186" s="214">
        <v>45916.868055555555</v>
      </c>
      <c r="AA1186" s="12"/>
      <c r="AB1186" s="84">
        <v>104080.0</v>
      </c>
      <c r="AC1186" s="125" t="s">
        <v>827</v>
      </c>
      <c r="AD1186" s="12"/>
      <c r="AE1186" s="207" t="s">
        <v>39</v>
      </c>
      <c r="AF1186" s="207" t="s">
        <v>39</v>
      </c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</row>
    <row r="1187" ht="15.75" customHeight="1">
      <c r="A1187" s="103">
        <v>1.1734839E7</v>
      </c>
      <c r="B1187" s="84">
        <v>9.000204848E9</v>
      </c>
      <c r="C1187" s="11">
        <v>45915.0</v>
      </c>
      <c r="D1187" s="84">
        <v>28.0</v>
      </c>
      <c r="E1187" s="84">
        <v>34295.0</v>
      </c>
      <c r="F1187" s="103" t="s">
        <v>43</v>
      </c>
      <c r="G1187" s="85" t="s">
        <v>44</v>
      </c>
      <c r="H1187" s="84" t="s">
        <v>268</v>
      </c>
      <c r="I1187" s="85" t="s">
        <v>1958</v>
      </c>
      <c r="J1187" s="84" t="s">
        <v>35</v>
      </c>
      <c r="K1187" s="84" t="s">
        <v>270</v>
      </c>
      <c r="L1187" s="95" t="s">
        <v>94</v>
      </c>
      <c r="M1187" s="84" t="s">
        <v>1943</v>
      </c>
      <c r="N1187" s="133">
        <v>5847.0</v>
      </c>
      <c r="O1187" s="73">
        <f t="shared" si="26"/>
        <v>0.7268684796</v>
      </c>
      <c r="P1187" s="98">
        <v>4250.0</v>
      </c>
      <c r="Q1187" s="84" t="s">
        <v>39</v>
      </c>
      <c r="R1187" s="84">
        <v>1692740.0</v>
      </c>
      <c r="S1187" s="84" t="s">
        <v>40</v>
      </c>
      <c r="T1187" s="90">
        <v>7359583.0</v>
      </c>
      <c r="U1187" s="214">
        <v>45917.5</v>
      </c>
      <c r="V1187" s="214">
        <v>45917.5625</v>
      </c>
      <c r="W1187" s="12"/>
      <c r="X1187" s="84" t="s">
        <v>127</v>
      </c>
      <c r="Y1187" s="214">
        <v>45919.9375</v>
      </c>
      <c r="Z1187" s="214">
        <v>45920.458333333336</v>
      </c>
      <c r="AA1187" s="12"/>
      <c r="AB1187" s="84" t="s">
        <v>1959</v>
      </c>
      <c r="AC1187" s="207" t="s">
        <v>1960</v>
      </c>
      <c r="AD1187" s="12"/>
      <c r="AE1187" s="207" t="s">
        <v>39</v>
      </c>
      <c r="AF1187" s="207" t="s">
        <v>39</v>
      </c>
      <c r="AG1187" s="22"/>
      <c r="AH1187" s="22"/>
      <c r="AI1187" s="22"/>
      <c r="AJ1187" s="22"/>
      <c r="AK1187" s="22"/>
      <c r="AL1187" s="22"/>
      <c r="AM1187" s="22"/>
      <c r="AN1187" s="22"/>
      <c r="AO1187" s="22"/>
      <c r="AP1187" s="22"/>
    </row>
    <row r="1188" ht="15.75" customHeight="1">
      <c r="A1188" s="103">
        <v>1.173484E7</v>
      </c>
      <c r="B1188" s="84">
        <v>9.000204826E9</v>
      </c>
      <c r="C1188" s="11">
        <v>45915.0</v>
      </c>
      <c r="D1188" s="84">
        <v>15.0</v>
      </c>
      <c r="E1188" s="84">
        <v>17135.0</v>
      </c>
      <c r="F1188" s="125" t="s">
        <v>43</v>
      </c>
      <c r="G1188" s="148" t="s">
        <v>44</v>
      </c>
      <c r="H1188" s="125" t="s">
        <v>1961</v>
      </c>
      <c r="I1188" s="148" t="s">
        <v>1957</v>
      </c>
      <c r="J1188" s="159" t="s">
        <v>270</v>
      </c>
      <c r="K1188" s="159" t="s">
        <v>35</v>
      </c>
      <c r="L1188" s="183" t="s">
        <v>43</v>
      </c>
      <c r="M1188" s="84" t="s">
        <v>1943</v>
      </c>
      <c r="N1188" s="133">
        <v>3898.0</v>
      </c>
      <c r="O1188" s="73">
        <f t="shared" si="26"/>
        <v>0</v>
      </c>
      <c r="P1188" s="15"/>
      <c r="Q1188" s="12"/>
      <c r="R1188" s="12"/>
      <c r="S1188" s="84" t="s">
        <v>131</v>
      </c>
      <c r="T1188" s="12"/>
      <c r="U1188" s="12"/>
      <c r="V1188" s="12"/>
      <c r="W1188" s="12"/>
      <c r="X1188" s="84" t="s">
        <v>127</v>
      </c>
      <c r="Y1188" s="12"/>
      <c r="Z1188" s="12"/>
      <c r="AA1188" s="12"/>
      <c r="AB1188" s="12"/>
      <c r="AC1188" s="207"/>
      <c r="AD1188" s="12"/>
      <c r="AE1188" s="12"/>
      <c r="AF1188" s="1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</row>
    <row r="1189" ht="15.75" customHeight="1">
      <c r="A1189" s="103">
        <v>1.1734566E7</v>
      </c>
      <c r="B1189" s="84">
        <v>9.00020486E9</v>
      </c>
      <c r="C1189" s="11">
        <v>45916.0</v>
      </c>
      <c r="D1189" s="84">
        <v>28.0</v>
      </c>
      <c r="E1189" s="84">
        <v>34295.0</v>
      </c>
      <c r="F1189" s="103" t="s">
        <v>43</v>
      </c>
      <c r="G1189" s="85" t="s">
        <v>44</v>
      </c>
      <c r="H1189" s="84" t="s">
        <v>268</v>
      </c>
      <c r="I1189" s="85" t="s">
        <v>1958</v>
      </c>
      <c r="J1189" s="84" t="s">
        <v>35</v>
      </c>
      <c r="K1189" s="84" t="s">
        <v>270</v>
      </c>
      <c r="L1189" s="95" t="s">
        <v>94</v>
      </c>
      <c r="M1189" s="84" t="s">
        <v>1860</v>
      </c>
      <c r="N1189" s="88">
        <v>5847.0</v>
      </c>
      <c r="O1189" s="73">
        <f t="shared" si="26"/>
        <v>0.7696254489</v>
      </c>
      <c r="P1189" s="98">
        <v>4500.0</v>
      </c>
      <c r="Q1189" s="84" t="s">
        <v>39</v>
      </c>
      <c r="R1189" s="84">
        <v>1692880.0</v>
      </c>
      <c r="S1189" s="84" t="s">
        <v>40</v>
      </c>
      <c r="T1189" s="90">
        <v>7365441.0</v>
      </c>
      <c r="U1189" s="214">
        <v>45917.791666666664</v>
      </c>
      <c r="V1189" s="214">
        <v>45918.166666666664</v>
      </c>
      <c r="W1189" s="12"/>
      <c r="X1189" s="84" t="s">
        <v>127</v>
      </c>
      <c r="Y1189" s="214">
        <v>45919.75</v>
      </c>
      <c r="Z1189" s="214">
        <v>45920.770833333336</v>
      </c>
      <c r="AA1189" s="12"/>
      <c r="AB1189" s="84" t="s">
        <v>1962</v>
      </c>
      <c r="AC1189" s="207" t="s">
        <v>1963</v>
      </c>
      <c r="AD1189" s="12"/>
      <c r="AE1189" s="207" t="s">
        <v>39</v>
      </c>
      <c r="AF1189" s="207" t="s">
        <v>39</v>
      </c>
      <c r="AG1189" s="22"/>
      <c r="AH1189" s="22"/>
      <c r="AI1189" s="22"/>
      <c r="AJ1189" s="22"/>
      <c r="AK1189" s="22"/>
      <c r="AL1189" s="22"/>
      <c r="AM1189" s="22"/>
      <c r="AN1189" s="22"/>
      <c r="AO1189" s="22"/>
      <c r="AP1189" s="22"/>
    </row>
    <row r="1190" ht="16.5" customHeight="1">
      <c r="A1190" s="103">
        <v>1.1734569E7</v>
      </c>
      <c r="B1190" s="84">
        <v>9.000204781E9</v>
      </c>
      <c r="C1190" s="11">
        <v>45916.0</v>
      </c>
      <c r="D1190" s="84">
        <v>15.0</v>
      </c>
      <c r="E1190" s="84">
        <v>17135.0</v>
      </c>
      <c r="F1190" s="125" t="s">
        <v>43</v>
      </c>
      <c r="G1190" s="148" t="s">
        <v>44</v>
      </c>
      <c r="H1190" s="125" t="s">
        <v>1964</v>
      </c>
      <c r="I1190" s="148" t="s">
        <v>1957</v>
      </c>
      <c r="J1190" s="159" t="s">
        <v>270</v>
      </c>
      <c r="K1190" s="159" t="s">
        <v>35</v>
      </c>
      <c r="L1190" s="183" t="s">
        <v>43</v>
      </c>
      <c r="M1190" s="84" t="s">
        <v>1860</v>
      </c>
      <c r="N1190" s="88">
        <v>5847.0</v>
      </c>
      <c r="O1190" s="73">
        <f t="shared" si="26"/>
        <v>0.6998460749</v>
      </c>
      <c r="P1190" s="98">
        <v>4092.0</v>
      </c>
      <c r="Q1190" s="12"/>
      <c r="R1190" s="84">
        <v>1694800.0</v>
      </c>
      <c r="S1190" s="84" t="s">
        <v>40</v>
      </c>
      <c r="T1190" s="90">
        <v>7382248.0</v>
      </c>
      <c r="U1190" s="214">
        <v>45920.770833333336</v>
      </c>
      <c r="V1190" s="214">
        <v>45920.77777777778</v>
      </c>
      <c r="W1190" s="12"/>
      <c r="X1190" s="84" t="s">
        <v>127</v>
      </c>
      <c r="Y1190" s="214">
        <v>45922.708333333336</v>
      </c>
      <c r="Z1190" s="214">
        <v>45923.26388888889</v>
      </c>
      <c r="AA1190" s="12"/>
      <c r="AB1190" s="84">
        <v>121130.0</v>
      </c>
      <c r="AC1190" s="125" t="s">
        <v>827</v>
      </c>
      <c r="AD1190" s="12"/>
      <c r="AE1190" s="207" t="s">
        <v>39</v>
      </c>
      <c r="AF1190" s="207" t="s">
        <v>39</v>
      </c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</row>
    <row r="1191" ht="15.75" customHeight="1">
      <c r="A1191" s="103">
        <v>1.1734568E7</v>
      </c>
      <c r="B1191" s="84">
        <v>9.000204771E9</v>
      </c>
      <c r="C1191" s="11">
        <v>45916.0</v>
      </c>
      <c r="D1191" s="84">
        <v>28.0</v>
      </c>
      <c r="E1191" s="84">
        <v>34295.0</v>
      </c>
      <c r="F1191" s="103" t="s">
        <v>43</v>
      </c>
      <c r="G1191" s="85" t="s">
        <v>44</v>
      </c>
      <c r="H1191" s="84" t="s">
        <v>268</v>
      </c>
      <c r="I1191" s="85" t="s">
        <v>1958</v>
      </c>
      <c r="J1191" s="84" t="s">
        <v>35</v>
      </c>
      <c r="K1191" s="84" t="s">
        <v>270</v>
      </c>
      <c r="L1191" s="95" t="s">
        <v>94</v>
      </c>
      <c r="M1191" s="84" t="s">
        <v>1945</v>
      </c>
      <c r="N1191" s="88">
        <v>5847.0</v>
      </c>
      <c r="O1191" s="73">
        <f t="shared" si="26"/>
        <v>0.7268684796</v>
      </c>
      <c r="P1191" s="98">
        <v>4250.0</v>
      </c>
      <c r="Q1191" s="84" t="s">
        <v>39</v>
      </c>
      <c r="R1191" s="84">
        <v>1692195.0</v>
      </c>
      <c r="S1191" s="84" t="s">
        <v>40</v>
      </c>
      <c r="T1191" s="90">
        <v>7353094.0</v>
      </c>
      <c r="U1191" s="214">
        <v>45917.5</v>
      </c>
      <c r="V1191" s="214">
        <v>45917.5625</v>
      </c>
      <c r="W1191" s="12"/>
      <c r="X1191" s="84" t="s">
        <v>127</v>
      </c>
      <c r="Y1191" s="214">
        <v>45918.9375</v>
      </c>
      <c r="Z1191" s="214">
        <v>45920.47222222222</v>
      </c>
      <c r="AA1191" s="12"/>
      <c r="AB1191" s="84" t="s">
        <v>1965</v>
      </c>
      <c r="AC1191" s="207" t="s">
        <v>1966</v>
      </c>
      <c r="AD1191" s="12"/>
      <c r="AE1191" s="207" t="s">
        <v>39</v>
      </c>
      <c r="AF1191" s="207" t="s">
        <v>39</v>
      </c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</row>
    <row r="1192" ht="15.75" customHeight="1">
      <c r="A1192" s="103">
        <v>1.173457E7</v>
      </c>
      <c r="B1192" s="84">
        <v>9.000204762E9</v>
      </c>
      <c r="C1192" s="11">
        <v>45916.0</v>
      </c>
      <c r="D1192" s="84">
        <v>15.0</v>
      </c>
      <c r="E1192" s="84">
        <v>17135.0</v>
      </c>
      <c r="F1192" s="125" t="s">
        <v>43</v>
      </c>
      <c r="G1192" s="148" t="s">
        <v>44</v>
      </c>
      <c r="H1192" s="125" t="s">
        <v>1967</v>
      </c>
      <c r="I1192" s="148" t="s">
        <v>1957</v>
      </c>
      <c r="J1192" s="159" t="s">
        <v>270</v>
      </c>
      <c r="K1192" s="159" t="s">
        <v>35</v>
      </c>
      <c r="L1192" s="183" t="s">
        <v>43</v>
      </c>
      <c r="M1192" s="84" t="s">
        <v>1945</v>
      </c>
      <c r="N1192" s="88">
        <v>3898.0</v>
      </c>
      <c r="O1192" s="73">
        <f t="shared" si="26"/>
        <v>0</v>
      </c>
      <c r="P1192" s="15"/>
      <c r="Q1192" s="12"/>
      <c r="R1192" s="12"/>
      <c r="S1192" s="84" t="s">
        <v>131</v>
      </c>
      <c r="T1192" s="12"/>
      <c r="U1192" s="12"/>
      <c r="V1192" s="12"/>
      <c r="W1192" s="12"/>
      <c r="X1192" s="84" t="s">
        <v>127</v>
      </c>
      <c r="Y1192" s="12"/>
      <c r="Z1192" s="12"/>
      <c r="AA1192" s="12"/>
      <c r="AB1192" s="12"/>
      <c r="AC1192" s="207"/>
      <c r="AD1192" s="12"/>
      <c r="AE1192" s="12"/>
      <c r="AF1192" s="1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</row>
    <row r="1193" ht="15.75" customHeight="1">
      <c r="A1193" s="103">
        <v>1.1734773E7</v>
      </c>
      <c r="B1193" s="84">
        <v>9.000204763E9</v>
      </c>
      <c r="C1193" s="11">
        <v>45916.0</v>
      </c>
      <c r="D1193" s="84">
        <v>27.0</v>
      </c>
      <c r="E1193" s="84">
        <v>34716.0</v>
      </c>
      <c r="F1193" s="12" t="s">
        <v>31</v>
      </c>
      <c r="G1193" s="29" t="s">
        <v>44</v>
      </c>
      <c r="H1193" s="84" t="s">
        <v>268</v>
      </c>
      <c r="I1193" s="85" t="s">
        <v>1958</v>
      </c>
      <c r="J1193" s="93" t="s">
        <v>35</v>
      </c>
      <c r="K1193" s="84" t="s">
        <v>270</v>
      </c>
      <c r="L1193" s="98" t="s">
        <v>94</v>
      </c>
      <c r="M1193" s="84" t="s">
        <v>1936</v>
      </c>
      <c r="N1193" s="133">
        <v>6410.0</v>
      </c>
      <c r="O1193" s="73">
        <f t="shared" si="26"/>
        <v>0.3023525741</v>
      </c>
      <c r="P1193" s="98">
        <v>1938.08</v>
      </c>
      <c r="Q1193" s="84" t="s">
        <v>39</v>
      </c>
      <c r="R1193" s="84">
        <v>1692232.0</v>
      </c>
      <c r="S1193" s="84" t="s">
        <v>40</v>
      </c>
      <c r="T1193" s="90">
        <v>7353580.0</v>
      </c>
      <c r="U1193" s="214">
        <v>45916.791666666664</v>
      </c>
      <c r="V1193" s="214">
        <v>45917.375</v>
      </c>
      <c r="W1193" s="12"/>
      <c r="X1193" s="84" t="s">
        <v>127</v>
      </c>
      <c r="Y1193" s="214">
        <v>45918.729166666664</v>
      </c>
      <c r="Z1193" s="214">
        <v>45919.493055555555</v>
      </c>
      <c r="AA1193" s="12"/>
      <c r="AB1193" s="84" t="s">
        <v>1968</v>
      </c>
      <c r="AC1193" s="84" t="s">
        <v>1955</v>
      </c>
      <c r="AD1193" s="12"/>
      <c r="AE1193" s="207" t="s">
        <v>39</v>
      </c>
      <c r="AF1193" s="207" t="s">
        <v>39</v>
      </c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</row>
    <row r="1194" ht="15.75" customHeight="1">
      <c r="A1194" s="103">
        <v>1.1745864E7</v>
      </c>
      <c r="B1194" s="84">
        <v>9.000214336E9</v>
      </c>
      <c r="C1194" s="11">
        <v>45916.0</v>
      </c>
      <c r="D1194" s="84">
        <v>27.0</v>
      </c>
      <c r="E1194" s="84">
        <v>34716.0</v>
      </c>
      <c r="F1194" s="84" t="s">
        <v>31</v>
      </c>
      <c r="G1194" s="85" t="s">
        <v>44</v>
      </c>
      <c r="H1194" s="84" t="s">
        <v>1317</v>
      </c>
      <c r="I1194" s="39" t="s">
        <v>137</v>
      </c>
      <c r="J1194" s="84" t="s">
        <v>35</v>
      </c>
      <c r="K1194" s="84" t="s">
        <v>138</v>
      </c>
      <c r="L1194" s="98" t="s">
        <v>94</v>
      </c>
      <c r="M1194" s="84" t="s">
        <v>1969</v>
      </c>
      <c r="N1194" s="133">
        <v>5760.0</v>
      </c>
      <c r="O1194" s="73">
        <f t="shared" si="26"/>
        <v>0.2791666667</v>
      </c>
      <c r="P1194" s="98">
        <v>1608.0</v>
      </c>
      <c r="Q1194" s="84" t="s">
        <v>39</v>
      </c>
      <c r="R1194" s="84">
        <v>1692234.0</v>
      </c>
      <c r="S1194" s="84" t="s">
        <v>40</v>
      </c>
      <c r="T1194" s="90">
        <v>7353590.0</v>
      </c>
      <c r="U1194" s="214">
        <v>45916.8125</v>
      </c>
      <c r="V1194" s="214">
        <v>45917.104166666664</v>
      </c>
      <c r="W1194" s="12"/>
      <c r="X1194" s="84" t="s">
        <v>127</v>
      </c>
      <c r="Y1194" s="214">
        <v>45918.444444444445</v>
      </c>
      <c r="Z1194" s="214">
        <v>45919.48611111111</v>
      </c>
      <c r="AA1194" s="12"/>
      <c r="AB1194" s="84" t="s">
        <v>1970</v>
      </c>
      <c r="AC1194" s="84" t="s">
        <v>1955</v>
      </c>
      <c r="AD1194" s="12"/>
      <c r="AE1194" s="207" t="s">
        <v>39</v>
      </c>
      <c r="AF1194" s="207" t="s">
        <v>39</v>
      </c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</row>
    <row r="1195" ht="15.75" customHeight="1">
      <c r="A1195" s="103">
        <v>1.1745117E7</v>
      </c>
      <c r="B1195" s="84">
        <v>9.000212896E9</v>
      </c>
      <c r="C1195" s="11">
        <v>45917.0</v>
      </c>
      <c r="D1195" s="84">
        <v>28.0</v>
      </c>
      <c r="E1195" s="84">
        <v>34295.0</v>
      </c>
      <c r="F1195" s="103" t="s">
        <v>43</v>
      </c>
      <c r="G1195" s="85" t="s">
        <v>44</v>
      </c>
      <c r="H1195" s="84" t="s">
        <v>268</v>
      </c>
      <c r="I1195" s="85" t="s">
        <v>1958</v>
      </c>
      <c r="J1195" s="84" t="s">
        <v>35</v>
      </c>
      <c r="K1195" s="84" t="s">
        <v>270</v>
      </c>
      <c r="L1195" s="95" t="s">
        <v>94</v>
      </c>
      <c r="M1195" s="84" t="s">
        <v>1971</v>
      </c>
      <c r="N1195" s="133">
        <v>5847.0</v>
      </c>
      <c r="O1195" s="73">
        <f t="shared" si="26"/>
        <v>0.3314520267</v>
      </c>
      <c r="P1195" s="98">
        <v>1938.0</v>
      </c>
      <c r="Q1195" s="84" t="s">
        <v>39</v>
      </c>
      <c r="R1195" s="84">
        <v>1692733.0</v>
      </c>
      <c r="S1195" s="84" t="s">
        <v>40</v>
      </c>
      <c r="T1195" s="90">
        <v>7363307.0</v>
      </c>
      <c r="U1195" s="214">
        <v>45917.8125</v>
      </c>
      <c r="V1195" s="214">
        <v>45918.333333333336</v>
      </c>
      <c r="W1195" s="12"/>
      <c r="X1195" s="84" t="s">
        <v>127</v>
      </c>
      <c r="Y1195" s="214">
        <v>45919.694444444445</v>
      </c>
      <c r="Z1195" s="214">
        <v>45920.5</v>
      </c>
      <c r="AA1195" s="12"/>
      <c r="AB1195" s="84">
        <v>84018.0</v>
      </c>
      <c r="AC1195" s="125" t="s">
        <v>1972</v>
      </c>
      <c r="AD1195" s="12"/>
      <c r="AE1195" s="207" t="s">
        <v>39</v>
      </c>
      <c r="AF1195" s="207" t="s">
        <v>39</v>
      </c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</row>
    <row r="1196" ht="15.75" customHeight="1">
      <c r="A1196" s="103">
        <v>1.1745125E7</v>
      </c>
      <c r="B1196" s="84">
        <v>9.00021289E9</v>
      </c>
      <c r="C1196" s="11">
        <v>45917.0</v>
      </c>
      <c r="D1196" s="84">
        <v>15.0</v>
      </c>
      <c r="E1196" s="84">
        <v>17135.0</v>
      </c>
      <c r="F1196" s="125" t="s">
        <v>43</v>
      </c>
      <c r="G1196" s="148" t="s">
        <v>44</v>
      </c>
      <c r="H1196" s="125" t="s">
        <v>1973</v>
      </c>
      <c r="I1196" s="148" t="s">
        <v>1957</v>
      </c>
      <c r="J1196" s="159" t="s">
        <v>270</v>
      </c>
      <c r="K1196" s="159" t="s">
        <v>35</v>
      </c>
      <c r="L1196" s="183" t="s">
        <v>43</v>
      </c>
      <c r="M1196" s="84" t="s">
        <v>1971</v>
      </c>
      <c r="N1196" s="133">
        <v>3898.0</v>
      </c>
      <c r="O1196" s="73">
        <f t="shared" si="26"/>
        <v>0</v>
      </c>
      <c r="P1196" s="15"/>
      <c r="Q1196" s="12"/>
      <c r="R1196" s="12"/>
      <c r="S1196" s="84" t="s">
        <v>131</v>
      </c>
      <c r="T1196" s="12"/>
      <c r="U1196" s="12"/>
      <c r="V1196" s="12"/>
      <c r="W1196" s="12"/>
      <c r="X1196" s="84" t="s">
        <v>127</v>
      </c>
      <c r="Y1196" s="12"/>
      <c r="Z1196" s="12"/>
      <c r="AA1196" s="12"/>
      <c r="AB1196" s="12"/>
      <c r="AC1196" s="207"/>
      <c r="AD1196" s="12"/>
      <c r="AE1196" s="12"/>
      <c r="AF1196" s="1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</row>
    <row r="1197" ht="15.75" customHeight="1">
      <c r="A1197" s="103">
        <v>1.1749925E7</v>
      </c>
      <c r="B1197" s="84">
        <v>9.000214279E9</v>
      </c>
      <c r="C1197" s="11">
        <v>45917.0</v>
      </c>
      <c r="D1197" s="84">
        <v>28.0</v>
      </c>
      <c r="E1197" s="84">
        <v>34295.0</v>
      </c>
      <c r="F1197" s="125" t="s">
        <v>43</v>
      </c>
      <c r="G1197" s="148" t="s">
        <v>44</v>
      </c>
      <c r="H1197" s="84" t="s">
        <v>1317</v>
      </c>
      <c r="I1197" s="39" t="s">
        <v>137</v>
      </c>
      <c r="J1197" s="84" t="s">
        <v>35</v>
      </c>
      <c r="K1197" s="84" t="s">
        <v>138</v>
      </c>
      <c r="L1197" s="98" t="s">
        <v>94</v>
      </c>
      <c r="M1197" s="84" t="s">
        <v>1974</v>
      </c>
      <c r="N1197" s="133">
        <v>5835.0</v>
      </c>
      <c r="O1197" s="73">
        <f t="shared" si="26"/>
        <v>0.7547557841</v>
      </c>
      <c r="P1197" s="98">
        <v>4404.0</v>
      </c>
      <c r="Q1197" s="84" t="s">
        <v>39</v>
      </c>
      <c r="R1197" s="84">
        <v>1692950.0</v>
      </c>
      <c r="S1197" s="84" t="s">
        <v>40</v>
      </c>
      <c r="T1197" s="90">
        <v>7363305.0</v>
      </c>
      <c r="U1197" s="214">
        <v>45917.833333333336</v>
      </c>
      <c r="V1197" s="214">
        <v>45918.333333333336</v>
      </c>
      <c r="W1197" s="12"/>
      <c r="X1197" s="84" t="s">
        <v>127</v>
      </c>
      <c r="Y1197" s="214">
        <v>45918.875</v>
      </c>
      <c r="Z1197" s="214">
        <v>45920.125</v>
      </c>
      <c r="AA1197" s="12"/>
      <c r="AB1197" s="84" t="s">
        <v>1975</v>
      </c>
      <c r="AC1197" s="84" t="s">
        <v>1955</v>
      </c>
      <c r="AD1197" s="12"/>
      <c r="AE1197" s="207" t="s">
        <v>39</v>
      </c>
      <c r="AF1197" s="207" t="s">
        <v>39</v>
      </c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</row>
    <row r="1198" ht="15.75" customHeight="1">
      <c r="A1198" s="103">
        <v>1.1749927E7</v>
      </c>
      <c r="B1198" s="84">
        <v>9.000214524E9</v>
      </c>
      <c r="C1198" s="11">
        <v>45917.0</v>
      </c>
      <c r="D1198" s="84">
        <v>15.0</v>
      </c>
      <c r="E1198" s="84">
        <v>17135.0</v>
      </c>
      <c r="F1198" s="125" t="s">
        <v>43</v>
      </c>
      <c r="G1198" s="148" t="s">
        <v>44</v>
      </c>
      <c r="H1198" s="125" t="s">
        <v>1976</v>
      </c>
      <c r="I1198" s="148" t="s">
        <v>1957</v>
      </c>
      <c r="J1198" s="84" t="s">
        <v>138</v>
      </c>
      <c r="K1198" s="84" t="s">
        <v>35</v>
      </c>
      <c r="L1198" s="98" t="s">
        <v>110</v>
      </c>
      <c r="M1198" s="84" t="s">
        <v>1974</v>
      </c>
      <c r="N1198" s="133">
        <v>3890.0</v>
      </c>
      <c r="O1198" s="73">
        <f t="shared" si="26"/>
        <v>0.6940874036</v>
      </c>
      <c r="P1198" s="98">
        <v>2700.0</v>
      </c>
      <c r="Q1198" s="12"/>
      <c r="R1198" s="84">
        <v>1694559.0</v>
      </c>
      <c r="S1198" s="84" t="s">
        <v>40</v>
      </c>
      <c r="T1198" s="90">
        <v>7380471.0</v>
      </c>
      <c r="U1198" s="214">
        <v>45920.125</v>
      </c>
      <c r="V1198" s="214">
        <v>45920.125</v>
      </c>
      <c r="W1198" s="12"/>
      <c r="X1198" s="84" t="s">
        <v>127</v>
      </c>
      <c r="Y1198" s="214">
        <v>45922.708333333336</v>
      </c>
      <c r="Z1198" s="214">
        <v>45923.34722222222</v>
      </c>
      <c r="AA1198" s="12"/>
      <c r="AB1198" s="84">
        <v>126231.0</v>
      </c>
      <c r="AC1198" s="125" t="s">
        <v>827</v>
      </c>
      <c r="AD1198" s="12"/>
      <c r="AE1198" s="207" t="s">
        <v>39</v>
      </c>
      <c r="AF1198" s="207" t="s">
        <v>39</v>
      </c>
      <c r="AG1198" s="22"/>
      <c r="AH1198" s="22"/>
      <c r="AI1198" s="22"/>
      <c r="AJ1198" s="22"/>
      <c r="AK1198" s="22"/>
      <c r="AL1198" s="22"/>
      <c r="AM1198" s="22"/>
      <c r="AN1198" s="22"/>
      <c r="AO1198" s="22"/>
      <c r="AP1198" s="22"/>
    </row>
    <row r="1199" ht="15.75" customHeight="1">
      <c r="A1199" s="103">
        <v>1.1745861E7</v>
      </c>
      <c r="B1199" s="84">
        <v>9.00021427E9</v>
      </c>
      <c r="C1199" s="11">
        <v>45918.0</v>
      </c>
      <c r="D1199" s="84">
        <v>28.0</v>
      </c>
      <c r="E1199" s="84">
        <v>34295.0</v>
      </c>
      <c r="F1199" s="125" t="s">
        <v>43</v>
      </c>
      <c r="G1199" s="148" t="s">
        <v>44</v>
      </c>
      <c r="H1199" s="84" t="s">
        <v>1317</v>
      </c>
      <c r="I1199" s="39" t="s">
        <v>137</v>
      </c>
      <c r="J1199" s="84" t="s">
        <v>35</v>
      </c>
      <c r="K1199" s="84" t="s">
        <v>138</v>
      </c>
      <c r="L1199" s="98" t="s">
        <v>94</v>
      </c>
      <c r="M1199" s="84" t="s">
        <v>1931</v>
      </c>
      <c r="N1199" s="133">
        <v>5835.0</v>
      </c>
      <c r="O1199" s="73">
        <f t="shared" si="26"/>
        <v>0.7410454156</v>
      </c>
      <c r="P1199" s="98">
        <v>4324.0</v>
      </c>
      <c r="Q1199" s="84" t="s">
        <v>39</v>
      </c>
      <c r="R1199" s="84">
        <v>1693361.0</v>
      </c>
      <c r="S1199" s="84" t="s">
        <v>40</v>
      </c>
      <c r="T1199" s="90">
        <v>7366641.0</v>
      </c>
      <c r="U1199" s="214">
        <v>45917.541666666664</v>
      </c>
      <c r="V1199" s="214">
        <v>45919.208333333336</v>
      </c>
      <c r="W1199" s="12"/>
      <c r="X1199" s="84" t="s">
        <v>127</v>
      </c>
      <c r="Y1199" s="214">
        <v>45919.822916666664</v>
      </c>
      <c r="Z1199" s="214">
        <v>45922.5625</v>
      </c>
      <c r="AA1199" s="12"/>
      <c r="AB1199" s="84" t="s">
        <v>1977</v>
      </c>
      <c r="AC1199" s="207" t="s">
        <v>1978</v>
      </c>
      <c r="AD1199" s="12"/>
      <c r="AE1199" s="207" t="s">
        <v>39</v>
      </c>
      <c r="AF1199" s="207" t="s">
        <v>39</v>
      </c>
      <c r="AG1199" s="22"/>
      <c r="AH1199" s="22"/>
      <c r="AI1199" s="22"/>
      <c r="AJ1199" s="22"/>
      <c r="AK1199" s="22"/>
      <c r="AL1199" s="22"/>
      <c r="AM1199" s="22"/>
      <c r="AN1199" s="22"/>
      <c r="AO1199" s="22"/>
      <c r="AP1199" s="22"/>
    </row>
    <row r="1200" ht="15.75" customHeight="1">
      <c r="A1200" s="103">
        <v>1.1745867E7</v>
      </c>
      <c r="B1200" s="84">
        <v>9.000214314E9</v>
      </c>
      <c r="C1200" s="11">
        <v>45918.0</v>
      </c>
      <c r="D1200" s="84">
        <v>15.0</v>
      </c>
      <c r="E1200" s="84">
        <v>17135.0</v>
      </c>
      <c r="F1200" s="125" t="s">
        <v>43</v>
      </c>
      <c r="G1200" s="148" t="s">
        <v>44</v>
      </c>
      <c r="H1200" s="125" t="s">
        <v>1979</v>
      </c>
      <c r="I1200" s="148" t="s">
        <v>1957</v>
      </c>
      <c r="J1200" s="84" t="s">
        <v>138</v>
      </c>
      <c r="K1200" s="84" t="s">
        <v>35</v>
      </c>
      <c r="L1200" s="98" t="s">
        <v>94</v>
      </c>
      <c r="M1200" s="84" t="s">
        <v>1931</v>
      </c>
      <c r="N1200" s="133">
        <v>3890.0</v>
      </c>
      <c r="O1200" s="73">
        <f t="shared" si="26"/>
        <v>0.6940874036</v>
      </c>
      <c r="P1200" s="98">
        <v>2700.0</v>
      </c>
      <c r="Q1200" s="12"/>
      <c r="R1200" s="84">
        <v>1695545.0</v>
      </c>
      <c r="S1200" s="84" t="s">
        <v>40</v>
      </c>
      <c r="T1200" s="90">
        <v>7387403.0</v>
      </c>
      <c r="U1200" s="214">
        <v>45922.5625</v>
      </c>
      <c r="V1200" s="214">
        <v>45922.569444444445</v>
      </c>
      <c r="W1200" s="12"/>
      <c r="X1200" s="84" t="s">
        <v>127</v>
      </c>
      <c r="Y1200" s="214">
        <v>45923.25</v>
      </c>
      <c r="Z1200" s="214">
        <v>45926.052083333336</v>
      </c>
      <c r="AA1200" s="12"/>
      <c r="AB1200" s="84" t="s">
        <v>1980</v>
      </c>
      <c r="AC1200" s="207" t="s">
        <v>1981</v>
      </c>
      <c r="AD1200" s="12"/>
      <c r="AE1200" s="207" t="s">
        <v>39</v>
      </c>
      <c r="AF1200" s="207" t="s">
        <v>39</v>
      </c>
      <c r="AG1200" s="22"/>
      <c r="AH1200" s="22"/>
      <c r="AI1200" s="22"/>
      <c r="AJ1200" s="22"/>
      <c r="AK1200" s="22"/>
      <c r="AL1200" s="22"/>
      <c r="AM1200" s="22"/>
      <c r="AN1200" s="22"/>
      <c r="AO1200" s="22"/>
      <c r="AP1200" s="22"/>
    </row>
    <row r="1201" ht="15.75" customHeight="1">
      <c r="A1201" s="103">
        <v>1.1745121E7</v>
      </c>
      <c r="B1201" s="84">
        <v>9.000212946E9</v>
      </c>
      <c r="C1201" s="11">
        <v>45918.0</v>
      </c>
      <c r="D1201" s="84">
        <v>28.0</v>
      </c>
      <c r="E1201" s="84">
        <v>34295.0</v>
      </c>
      <c r="F1201" s="103" t="s">
        <v>43</v>
      </c>
      <c r="G1201" s="85" t="s">
        <v>44</v>
      </c>
      <c r="H1201" s="84" t="s">
        <v>268</v>
      </c>
      <c r="I1201" s="85" t="s">
        <v>1958</v>
      </c>
      <c r="J1201" s="84" t="s">
        <v>35</v>
      </c>
      <c r="K1201" s="84" t="s">
        <v>270</v>
      </c>
      <c r="L1201" s="95" t="s">
        <v>94</v>
      </c>
      <c r="M1201" s="84" t="s">
        <v>1916</v>
      </c>
      <c r="N1201" s="133">
        <v>5847.0</v>
      </c>
      <c r="O1201" s="73">
        <f t="shared" si="26"/>
        <v>0.7696254489</v>
      </c>
      <c r="P1201" s="98">
        <v>4500.0</v>
      </c>
      <c r="Q1201" s="84" t="s">
        <v>39</v>
      </c>
      <c r="R1201" s="84">
        <v>1693255.0</v>
      </c>
      <c r="S1201" s="84" t="s">
        <v>40</v>
      </c>
      <c r="T1201" s="90">
        <v>7366573.0</v>
      </c>
      <c r="U1201" s="214">
        <v>45917.541666666664</v>
      </c>
      <c r="V1201" s="214">
        <v>45917.73611111111</v>
      </c>
      <c r="W1201" s="12"/>
      <c r="X1201" s="84" t="s">
        <v>127</v>
      </c>
      <c r="Y1201" s="214">
        <v>45919.75</v>
      </c>
      <c r="Z1201" s="214">
        <v>45920.5</v>
      </c>
      <c r="AA1201" s="12"/>
      <c r="AB1201" s="84" t="s">
        <v>1982</v>
      </c>
      <c r="AC1201" s="125" t="s">
        <v>1983</v>
      </c>
      <c r="AD1201" s="12"/>
      <c r="AE1201" s="207" t="s">
        <v>39</v>
      </c>
      <c r="AF1201" s="207" t="s">
        <v>39</v>
      </c>
      <c r="AG1201" s="22"/>
      <c r="AH1201" s="22"/>
      <c r="AI1201" s="22"/>
      <c r="AJ1201" s="22"/>
      <c r="AK1201" s="22"/>
      <c r="AL1201" s="22"/>
      <c r="AM1201" s="22"/>
      <c r="AN1201" s="22"/>
      <c r="AO1201" s="22"/>
      <c r="AP1201" s="22"/>
    </row>
    <row r="1202" ht="15.75" customHeight="1">
      <c r="A1202" s="103">
        <v>1.1745123E7</v>
      </c>
      <c r="B1202" s="84">
        <v>9.000212935E9</v>
      </c>
      <c r="C1202" s="11">
        <v>45918.0</v>
      </c>
      <c r="D1202" s="84">
        <v>15.0</v>
      </c>
      <c r="E1202" s="84">
        <v>17135.0</v>
      </c>
      <c r="F1202" s="125" t="s">
        <v>43</v>
      </c>
      <c r="G1202" s="148" t="s">
        <v>44</v>
      </c>
      <c r="H1202" s="125" t="s">
        <v>1984</v>
      </c>
      <c r="I1202" s="148" t="s">
        <v>1957</v>
      </c>
      <c r="J1202" s="159" t="s">
        <v>270</v>
      </c>
      <c r="K1202" s="159" t="s">
        <v>35</v>
      </c>
      <c r="L1202" s="183" t="s">
        <v>43</v>
      </c>
      <c r="M1202" s="84" t="s">
        <v>1916</v>
      </c>
      <c r="N1202" s="133">
        <v>3898.0</v>
      </c>
      <c r="O1202" s="73">
        <f t="shared" si="26"/>
        <v>0</v>
      </c>
      <c r="P1202" s="15"/>
      <c r="Q1202" s="12"/>
      <c r="R1202" s="84"/>
      <c r="S1202" s="84" t="s">
        <v>131</v>
      </c>
      <c r="T1202" s="84"/>
      <c r="U1202" s="12"/>
      <c r="V1202" s="12"/>
      <c r="W1202" s="12"/>
      <c r="X1202" s="84" t="s">
        <v>127</v>
      </c>
      <c r="Y1202" s="12"/>
      <c r="Z1202" s="12"/>
      <c r="AA1202" s="12"/>
      <c r="AB1202" s="12"/>
      <c r="AC1202" s="207"/>
      <c r="AD1202" s="12"/>
      <c r="AE1202" s="12"/>
      <c r="AF1202" s="12"/>
      <c r="AG1202" s="22"/>
      <c r="AH1202" s="22"/>
      <c r="AI1202" s="22"/>
      <c r="AJ1202" s="22"/>
      <c r="AK1202" s="22"/>
      <c r="AL1202" s="22"/>
      <c r="AM1202" s="22"/>
      <c r="AN1202" s="22"/>
      <c r="AO1202" s="22"/>
      <c r="AP1202" s="22"/>
    </row>
    <row r="1203" ht="15.75" customHeight="1">
      <c r="A1203" s="103">
        <v>1.1750072E7</v>
      </c>
      <c r="B1203" s="84">
        <v>9.000218148E9</v>
      </c>
      <c r="C1203" s="11">
        <v>45919.0</v>
      </c>
      <c r="D1203" s="84">
        <v>28.0</v>
      </c>
      <c r="E1203" s="84">
        <v>34366.0</v>
      </c>
      <c r="F1203" s="84" t="s">
        <v>31</v>
      </c>
      <c r="G1203" s="85" t="s">
        <v>44</v>
      </c>
      <c r="H1203" s="84" t="s">
        <v>1317</v>
      </c>
      <c r="I1203" s="39" t="s">
        <v>137</v>
      </c>
      <c r="J1203" s="84" t="s">
        <v>35</v>
      </c>
      <c r="K1203" s="84" t="s">
        <v>138</v>
      </c>
      <c r="L1203" s="98" t="s">
        <v>94</v>
      </c>
      <c r="M1203" s="84" t="s">
        <v>1985</v>
      </c>
      <c r="N1203" s="133">
        <v>5760.0</v>
      </c>
      <c r="O1203" s="73">
        <f t="shared" si="26"/>
        <v>0.6944444444</v>
      </c>
      <c r="P1203" s="98">
        <v>4000.0</v>
      </c>
      <c r="Q1203" s="84" t="s">
        <v>39</v>
      </c>
      <c r="R1203" s="84">
        <v>1693007.0</v>
      </c>
      <c r="S1203" s="84" t="s">
        <v>40</v>
      </c>
      <c r="T1203" s="90">
        <v>7373625.0</v>
      </c>
      <c r="U1203" s="214">
        <v>45919.458333333336</v>
      </c>
      <c r="V1203" s="214">
        <v>45919.833333333336</v>
      </c>
      <c r="W1203" s="12"/>
      <c r="X1203" s="84" t="s">
        <v>127</v>
      </c>
      <c r="Y1203" s="214">
        <v>45921.395833333336</v>
      </c>
      <c r="Z1203" s="214">
        <v>45923.291666666664</v>
      </c>
      <c r="AA1203" s="12"/>
      <c r="AB1203" s="84">
        <v>128610.0</v>
      </c>
      <c r="AC1203" s="125" t="s">
        <v>827</v>
      </c>
      <c r="AD1203" s="12"/>
      <c r="AE1203" s="207" t="s">
        <v>39</v>
      </c>
      <c r="AF1203" s="207" t="s">
        <v>39</v>
      </c>
      <c r="AG1203" s="22"/>
      <c r="AH1203" s="22"/>
      <c r="AI1203" s="22"/>
      <c r="AJ1203" s="22"/>
      <c r="AK1203" s="22"/>
      <c r="AL1203" s="22"/>
      <c r="AM1203" s="22"/>
      <c r="AN1203" s="22"/>
      <c r="AO1203" s="22"/>
      <c r="AP1203" s="22"/>
    </row>
    <row r="1204" ht="15.75" customHeight="1">
      <c r="A1204" s="103">
        <v>1.1753177E7</v>
      </c>
      <c r="B1204" s="84">
        <v>9.000222795E9</v>
      </c>
      <c r="C1204" s="11">
        <v>45920.0</v>
      </c>
      <c r="D1204" s="84">
        <v>26.0</v>
      </c>
      <c r="E1204" s="84">
        <v>30663.0</v>
      </c>
      <c r="F1204" s="84" t="s">
        <v>31</v>
      </c>
      <c r="G1204" s="84" t="s">
        <v>74</v>
      </c>
      <c r="H1204" s="84" t="s">
        <v>1986</v>
      </c>
      <c r="I1204" s="84" t="s">
        <v>1987</v>
      </c>
      <c r="J1204" s="25" t="s">
        <v>35</v>
      </c>
      <c r="K1204" s="25" t="s">
        <v>243</v>
      </c>
      <c r="L1204" s="25" t="s">
        <v>188</v>
      </c>
      <c r="M1204" s="84" t="s">
        <v>1988</v>
      </c>
      <c r="N1204" s="133">
        <v>4362.0</v>
      </c>
      <c r="O1204" s="73">
        <f t="shared" si="26"/>
        <v>0.573131591</v>
      </c>
      <c r="P1204" s="98">
        <v>2500.0</v>
      </c>
      <c r="Q1204" s="84" t="s">
        <v>39</v>
      </c>
      <c r="R1204" s="84">
        <v>1694535.0</v>
      </c>
      <c r="S1204" s="84" t="s">
        <v>40</v>
      </c>
      <c r="T1204" s="90">
        <v>7381184.0</v>
      </c>
      <c r="U1204" s="214">
        <v>45920.541666666664</v>
      </c>
      <c r="V1204" s="214">
        <v>45920.8125</v>
      </c>
      <c r="W1204" s="12"/>
      <c r="X1204" s="214">
        <v>45922.333333333336</v>
      </c>
      <c r="Y1204" s="214">
        <v>45921.430555555555</v>
      </c>
      <c r="Z1204" s="214">
        <v>45922.4375</v>
      </c>
      <c r="AA1204" s="12"/>
      <c r="AB1204" s="84" t="s">
        <v>1989</v>
      </c>
      <c r="AC1204" s="207" t="s">
        <v>1990</v>
      </c>
      <c r="AD1204" s="12"/>
      <c r="AE1204" s="207" t="s">
        <v>39</v>
      </c>
      <c r="AF1204" s="207" t="s">
        <v>39</v>
      </c>
      <c r="AG1204" s="22"/>
      <c r="AH1204" s="22"/>
      <c r="AI1204" s="22"/>
      <c r="AJ1204" s="22"/>
      <c r="AK1204" s="22"/>
      <c r="AL1204" s="22"/>
      <c r="AM1204" s="22"/>
      <c r="AN1204" s="22"/>
      <c r="AO1204" s="22"/>
      <c r="AP1204" s="22"/>
    </row>
    <row r="1205" ht="15.75" customHeight="1">
      <c r="A1205" s="103">
        <v>1.1753176E7</v>
      </c>
      <c r="B1205" s="84">
        <v>9.000222821E9</v>
      </c>
      <c r="C1205" s="11">
        <v>45920.0</v>
      </c>
      <c r="D1205" s="84">
        <v>26.0</v>
      </c>
      <c r="E1205" s="84">
        <v>30663.0</v>
      </c>
      <c r="F1205" s="84" t="s">
        <v>31</v>
      </c>
      <c r="G1205" s="84" t="s">
        <v>74</v>
      </c>
      <c r="H1205" s="84" t="s">
        <v>1986</v>
      </c>
      <c r="I1205" s="84" t="s">
        <v>1987</v>
      </c>
      <c r="J1205" s="25" t="s">
        <v>35</v>
      </c>
      <c r="K1205" s="25" t="s">
        <v>243</v>
      </c>
      <c r="L1205" s="25" t="s">
        <v>188</v>
      </c>
      <c r="M1205" s="84" t="s">
        <v>1883</v>
      </c>
      <c r="N1205" s="133">
        <v>4362.0</v>
      </c>
      <c r="O1205" s="73">
        <f t="shared" si="26"/>
        <v>0.742778542</v>
      </c>
      <c r="P1205" s="98">
        <v>3240.0</v>
      </c>
      <c r="Q1205" s="84" t="s">
        <v>39</v>
      </c>
      <c r="R1205" s="84">
        <v>1694750.0</v>
      </c>
      <c r="S1205" s="84" t="s">
        <v>40</v>
      </c>
      <c r="T1205" s="90">
        <v>7381997.0</v>
      </c>
      <c r="U1205" s="214">
        <v>45920.583333333336</v>
      </c>
      <c r="V1205" s="214">
        <v>45921.22222222222</v>
      </c>
      <c r="W1205" s="12"/>
      <c r="X1205" s="214">
        <v>45922.333333333336</v>
      </c>
      <c r="Y1205" s="214">
        <v>45922.166666666664</v>
      </c>
      <c r="Z1205" s="214">
        <v>45923.76388888889</v>
      </c>
      <c r="AA1205" s="12"/>
      <c r="AB1205" s="84" t="s">
        <v>1991</v>
      </c>
      <c r="AC1205" s="125" t="s">
        <v>1992</v>
      </c>
      <c r="AD1205" s="12"/>
      <c r="AE1205" s="207" t="s">
        <v>39</v>
      </c>
      <c r="AF1205" s="207" t="s">
        <v>39</v>
      </c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</row>
    <row r="1206" ht="15.75" customHeight="1">
      <c r="A1206" s="103">
        <v>1.1756722E7</v>
      </c>
      <c r="B1206" s="84">
        <v>9.000225778E9</v>
      </c>
      <c r="C1206" s="11">
        <v>45922.0</v>
      </c>
      <c r="D1206" s="84">
        <v>27.0</v>
      </c>
      <c r="E1206" s="84">
        <v>33070.0</v>
      </c>
      <c r="F1206" s="103" t="s">
        <v>43</v>
      </c>
      <c r="G1206" s="85" t="s">
        <v>44</v>
      </c>
      <c r="H1206" s="84" t="s">
        <v>268</v>
      </c>
      <c r="I1206" s="85" t="s">
        <v>1958</v>
      </c>
      <c r="J1206" s="84" t="s">
        <v>35</v>
      </c>
      <c r="K1206" s="84" t="s">
        <v>270</v>
      </c>
      <c r="L1206" s="95" t="s">
        <v>94</v>
      </c>
      <c r="M1206" s="84" t="s">
        <v>1860</v>
      </c>
      <c r="N1206" s="133">
        <v>5847.0</v>
      </c>
      <c r="O1206" s="73">
        <f t="shared" si="26"/>
        <v>0.7792030101</v>
      </c>
      <c r="P1206" s="98">
        <v>4556.0</v>
      </c>
      <c r="Q1206" s="84" t="s">
        <v>39</v>
      </c>
      <c r="R1206" s="84">
        <v>1696007.0</v>
      </c>
      <c r="S1206" s="84" t="s">
        <v>40</v>
      </c>
      <c r="T1206" s="90">
        <v>7393612.0</v>
      </c>
      <c r="U1206" s="214">
        <v>45923.26388888889</v>
      </c>
      <c r="V1206" s="214">
        <v>45923.45138888889</v>
      </c>
      <c r="W1206" s="12"/>
      <c r="X1206" s="12"/>
      <c r="Y1206" s="214">
        <v>45924.725694444445</v>
      </c>
      <c r="Z1206" s="214">
        <v>45930.958333333336</v>
      </c>
      <c r="AA1206" s="12"/>
      <c r="AB1206" s="84">
        <v>265602.0</v>
      </c>
      <c r="AC1206" s="125" t="s">
        <v>827</v>
      </c>
      <c r="AD1206" s="12"/>
      <c r="AE1206" s="207" t="s">
        <v>39</v>
      </c>
      <c r="AF1206" s="207" t="s">
        <v>39</v>
      </c>
      <c r="AG1206" s="22"/>
      <c r="AH1206" s="22"/>
      <c r="AI1206" s="22"/>
      <c r="AJ1206" s="22"/>
      <c r="AK1206" s="22"/>
      <c r="AL1206" s="22"/>
      <c r="AM1206" s="22"/>
      <c r="AN1206" s="22"/>
      <c r="AO1206" s="22"/>
      <c r="AP1206" s="22"/>
    </row>
    <row r="1207" ht="15.75" customHeight="1">
      <c r="A1207" s="103">
        <v>1.1756724E7</v>
      </c>
      <c r="B1207" s="84">
        <v>9.000225729E9</v>
      </c>
      <c r="C1207" s="11">
        <v>45922.0</v>
      </c>
      <c r="D1207" s="84">
        <v>15.0</v>
      </c>
      <c r="E1207" s="84">
        <v>16523.0</v>
      </c>
      <c r="F1207" s="125" t="s">
        <v>43</v>
      </c>
      <c r="G1207" s="148" t="s">
        <v>44</v>
      </c>
      <c r="H1207" s="125" t="s">
        <v>1993</v>
      </c>
      <c r="I1207" s="148" t="s">
        <v>1957</v>
      </c>
      <c r="J1207" s="159" t="s">
        <v>270</v>
      </c>
      <c r="K1207" s="159" t="s">
        <v>35</v>
      </c>
      <c r="L1207" s="183" t="s">
        <v>43</v>
      </c>
      <c r="M1207" s="84" t="s">
        <v>1860</v>
      </c>
      <c r="N1207" s="133">
        <v>3898.0</v>
      </c>
      <c r="O1207" s="73">
        <f t="shared" si="26"/>
        <v>0.7054899949</v>
      </c>
      <c r="P1207" s="98">
        <v>2750.0</v>
      </c>
      <c r="Q1207" s="12"/>
      <c r="R1207" s="84">
        <v>1700916.0</v>
      </c>
      <c r="S1207" s="84" t="s">
        <v>40</v>
      </c>
      <c r="T1207" s="90">
        <v>7444771.0</v>
      </c>
      <c r="U1207" s="214">
        <v>45930.958333333336</v>
      </c>
      <c r="V1207" s="214">
        <v>45930.958333333336</v>
      </c>
      <c r="W1207" s="12"/>
      <c r="X1207" s="12"/>
      <c r="Y1207" s="214">
        <v>45932.489583333336</v>
      </c>
      <c r="Z1207" s="214">
        <v>45933.333333333336</v>
      </c>
      <c r="AA1207" s="12"/>
      <c r="AB1207" s="12"/>
      <c r="AC1207" s="207"/>
      <c r="AD1207" s="12"/>
      <c r="AE1207" s="207" t="s">
        <v>39</v>
      </c>
      <c r="AF1207" s="207" t="s">
        <v>39</v>
      </c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</row>
    <row r="1208" ht="15.75" customHeight="1">
      <c r="A1208" s="103">
        <v>1.1756721E7</v>
      </c>
      <c r="B1208" s="84">
        <v>9.00022571E9</v>
      </c>
      <c r="C1208" s="11">
        <v>45922.0</v>
      </c>
      <c r="D1208" s="84">
        <v>27.0</v>
      </c>
      <c r="E1208" s="84">
        <v>33070.0</v>
      </c>
      <c r="F1208" s="103" t="s">
        <v>43</v>
      </c>
      <c r="G1208" s="85" t="s">
        <v>44</v>
      </c>
      <c r="H1208" s="84" t="s">
        <v>268</v>
      </c>
      <c r="I1208" s="85" t="s">
        <v>1958</v>
      </c>
      <c r="J1208" s="84" t="s">
        <v>35</v>
      </c>
      <c r="K1208" s="84" t="s">
        <v>270</v>
      </c>
      <c r="L1208" s="95" t="s">
        <v>94</v>
      </c>
      <c r="M1208" s="84" t="s">
        <v>1971</v>
      </c>
      <c r="N1208" s="133">
        <v>5847.0</v>
      </c>
      <c r="O1208" s="73">
        <f t="shared" si="26"/>
        <v>0.7268684796</v>
      </c>
      <c r="P1208" s="98">
        <v>4250.0</v>
      </c>
      <c r="Q1208" s="84" t="s">
        <v>39</v>
      </c>
      <c r="R1208" s="84">
        <v>1696048.0</v>
      </c>
      <c r="S1208" s="84" t="s">
        <v>40</v>
      </c>
      <c r="T1208" s="90">
        <v>7394083.0</v>
      </c>
      <c r="U1208" s="214">
        <v>45923.416666666664</v>
      </c>
      <c r="V1208" s="214">
        <v>45924.354166666664</v>
      </c>
      <c r="W1208" s="12"/>
      <c r="X1208" s="12"/>
      <c r="Y1208" s="214">
        <v>45925.72222222222</v>
      </c>
      <c r="Z1208" s="214">
        <v>45925.868055555555</v>
      </c>
      <c r="AA1208" s="12"/>
      <c r="AB1208" s="12"/>
      <c r="AC1208" s="12"/>
      <c r="AD1208" s="12"/>
      <c r="AE1208" s="12"/>
      <c r="AF1208" s="12"/>
      <c r="AG1208" s="22"/>
      <c r="AH1208" s="22"/>
      <c r="AI1208" s="22"/>
      <c r="AJ1208" s="22"/>
      <c r="AK1208" s="22"/>
      <c r="AL1208" s="22"/>
      <c r="AM1208" s="22"/>
      <c r="AN1208" s="22"/>
      <c r="AO1208" s="22"/>
      <c r="AP1208" s="22"/>
    </row>
    <row r="1209" ht="15.75" customHeight="1">
      <c r="A1209" s="103">
        <v>1.1756723E7</v>
      </c>
      <c r="B1209" s="84">
        <v>9.000225785E9</v>
      </c>
      <c r="C1209" s="11">
        <v>45922.0</v>
      </c>
      <c r="D1209" s="84">
        <v>15.0</v>
      </c>
      <c r="E1209" s="84">
        <v>16523.0</v>
      </c>
      <c r="F1209" s="125" t="s">
        <v>43</v>
      </c>
      <c r="G1209" s="148" t="s">
        <v>44</v>
      </c>
      <c r="H1209" s="125" t="s">
        <v>1994</v>
      </c>
      <c r="I1209" s="148" t="s">
        <v>1957</v>
      </c>
      <c r="J1209" s="159" t="s">
        <v>270</v>
      </c>
      <c r="K1209" s="159" t="s">
        <v>35</v>
      </c>
      <c r="L1209" s="183" t="s">
        <v>43</v>
      </c>
      <c r="M1209" s="84" t="s">
        <v>1971</v>
      </c>
      <c r="N1209" s="133">
        <v>3898.0</v>
      </c>
      <c r="O1209" s="73">
        <f t="shared" si="26"/>
        <v>0.7054899949</v>
      </c>
      <c r="P1209" s="98">
        <v>2750.0</v>
      </c>
      <c r="Q1209" s="12"/>
      <c r="R1209" s="84">
        <v>1698178.0</v>
      </c>
      <c r="S1209" s="84" t="s">
        <v>40</v>
      </c>
      <c r="T1209" s="90">
        <v>7415954.0</v>
      </c>
      <c r="U1209" s="214">
        <v>45925.868055555555</v>
      </c>
      <c r="V1209" s="214">
        <v>45925.958333333336</v>
      </c>
      <c r="W1209" s="12"/>
      <c r="X1209" s="12"/>
      <c r="Y1209" s="214">
        <v>45927.375</v>
      </c>
      <c r="Z1209" s="214">
        <v>45927.916666666664</v>
      </c>
      <c r="AA1209" s="12"/>
      <c r="AB1209" s="12"/>
      <c r="AC1209" s="12"/>
      <c r="AD1209" s="12"/>
      <c r="AE1209" s="12"/>
      <c r="AF1209" s="12"/>
      <c r="AG1209" s="22"/>
      <c r="AH1209" s="22"/>
      <c r="AI1209" s="22"/>
      <c r="AJ1209" s="22"/>
      <c r="AK1209" s="22"/>
      <c r="AL1209" s="22"/>
      <c r="AM1209" s="22"/>
      <c r="AN1209" s="22"/>
      <c r="AO1209" s="22"/>
      <c r="AP1209" s="22"/>
    </row>
    <row r="1210" ht="15.75" customHeight="1">
      <c r="A1210" s="103">
        <v>1.1758901E7</v>
      </c>
      <c r="B1210" s="84">
        <v>9.000227923E9</v>
      </c>
      <c r="C1210" s="11">
        <v>45922.0</v>
      </c>
      <c r="D1210" s="84">
        <v>26.0</v>
      </c>
      <c r="E1210" s="84">
        <v>30663.0</v>
      </c>
      <c r="F1210" s="103" t="s">
        <v>31</v>
      </c>
      <c r="G1210" s="84" t="s">
        <v>74</v>
      </c>
      <c r="H1210" s="84" t="s">
        <v>1995</v>
      </c>
      <c r="I1210" s="84" t="s">
        <v>221</v>
      </c>
      <c r="J1210" s="84" t="s">
        <v>35</v>
      </c>
      <c r="K1210" s="84" t="s">
        <v>187</v>
      </c>
      <c r="L1210" s="98" t="s">
        <v>188</v>
      </c>
      <c r="M1210" s="146" t="s">
        <v>1916</v>
      </c>
      <c r="N1210" s="133">
        <v>4362.0</v>
      </c>
      <c r="O1210" s="73">
        <f t="shared" si="26"/>
        <v>0.5272810637</v>
      </c>
      <c r="P1210" s="98">
        <v>2300.0</v>
      </c>
      <c r="Q1210" s="84" t="s">
        <v>39</v>
      </c>
      <c r="R1210" s="84">
        <v>1694775.0</v>
      </c>
      <c r="S1210" s="84" t="s">
        <v>40</v>
      </c>
      <c r="T1210" s="90">
        <v>7385547.0</v>
      </c>
      <c r="U1210" s="214">
        <v>45922.395833333336</v>
      </c>
      <c r="V1210" s="214">
        <v>45922.708333333336</v>
      </c>
      <c r="W1210" s="12"/>
      <c r="X1210" s="214">
        <v>45923.25</v>
      </c>
      <c r="Y1210" s="12"/>
      <c r="Z1210" s="12"/>
      <c r="AA1210" s="12"/>
      <c r="AB1210" s="84">
        <v>88755.0</v>
      </c>
      <c r="AC1210" s="84" t="s">
        <v>1940</v>
      </c>
      <c r="AD1210" s="12"/>
      <c r="AE1210" s="12"/>
      <c r="AF1210" s="12"/>
      <c r="AG1210" s="22"/>
      <c r="AH1210" s="22"/>
      <c r="AI1210" s="22"/>
      <c r="AJ1210" s="22"/>
      <c r="AK1210" s="22"/>
      <c r="AL1210" s="22"/>
      <c r="AM1210" s="22"/>
      <c r="AN1210" s="22"/>
      <c r="AO1210" s="22"/>
      <c r="AP1210" s="22"/>
    </row>
    <row r="1211" ht="15.75" customHeight="1">
      <c r="A1211" s="103">
        <v>1.1750073E7</v>
      </c>
      <c r="B1211" s="84">
        <v>9.000218118E9</v>
      </c>
      <c r="C1211" s="11">
        <v>45922.0</v>
      </c>
      <c r="D1211" s="84">
        <v>26.0</v>
      </c>
      <c r="E1211" s="84">
        <v>32145.0</v>
      </c>
      <c r="F1211" s="84" t="s">
        <v>31</v>
      </c>
      <c r="G1211" s="85" t="s">
        <v>44</v>
      </c>
      <c r="H1211" s="84" t="s">
        <v>1317</v>
      </c>
      <c r="I1211" s="39" t="s">
        <v>137</v>
      </c>
      <c r="J1211" s="84" t="s">
        <v>35</v>
      </c>
      <c r="K1211" s="84" t="s">
        <v>138</v>
      </c>
      <c r="L1211" s="98" t="s">
        <v>94</v>
      </c>
      <c r="M1211" s="84" t="s">
        <v>1943</v>
      </c>
      <c r="N1211" s="133">
        <v>5760.0</v>
      </c>
      <c r="O1211" s="73">
        <f t="shared" si="26"/>
        <v>0.6944444444</v>
      </c>
      <c r="P1211" s="98">
        <v>4000.0</v>
      </c>
      <c r="Q1211" s="84" t="s">
        <v>39</v>
      </c>
      <c r="R1211" s="84">
        <v>1694769.0</v>
      </c>
      <c r="S1211" s="84" t="s">
        <v>40</v>
      </c>
      <c r="T1211" s="90">
        <v>7385583.0</v>
      </c>
      <c r="U1211" s="214">
        <v>45922.5</v>
      </c>
      <c r="V1211" s="214">
        <v>45922.86111111111</v>
      </c>
      <c r="W1211" s="12"/>
      <c r="X1211" s="12"/>
      <c r="Y1211" s="214">
        <v>45923.770833333336</v>
      </c>
      <c r="Z1211" s="214">
        <v>45924.520833333336</v>
      </c>
      <c r="AA1211" s="12"/>
      <c r="AB1211" s="84">
        <v>265634.0</v>
      </c>
      <c r="AC1211" s="125" t="s">
        <v>827</v>
      </c>
      <c r="AD1211" s="12"/>
      <c r="AE1211" s="207" t="s">
        <v>39</v>
      </c>
      <c r="AF1211" s="207" t="s">
        <v>39</v>
      </c>
      <c r="AG1211" s="22"/>
      <c r="AH1211" s="22"/>
      <c r="AI1211" s="22"/>
      <c r="AJ1211" s="22"/>
      <c r="AK1211" s="22"/>
      <c r="AL1211" s="22"/>
      <c r="AM1211" s="22"/>
      <c r="AN1211" s="22"/>
      <c r="AO1211" s="22"/>
      <c r="AP1211" s="215"/>
    </row>
    <row r="1212" ht="15.75" customHeight="1">
      <c r="A1212" s="103">
        <v>1.1750074E7</v>
      </c>
      <c r="B1212" s="84">
        <v>9.000218181E9</v>
      </c>
      <c r="C1212" s="11">
        <v>45922.0</v>
      </c>
      <c r="D1212" s="84">
        <v>26.0</v>
      </c>
      <c r="E1212" s="84">
        <v>33330.0</v>
      </c>
      <c r="F1212" s="84" t="s">
        <v>31</v>
      </c>
      <c r="G1212" s="85" t="s">
        <v>44</v>
      </c>
      <c r="H1212" s="84" t="s">
        <v>1317</v>
      </c>
      <c r="I1212" s="39" t="s">
        <v>137</v>
      </c>
      <c r="J1212" s="84" t="s">
        <v>35</v>
      </c>
      <c r="K1212" s="84" t="s">
        <v>138</v>
      </c>
      <c r="L1212" s="98" t="s">
        <v>94</v>
      </c>
      <c r="M1212" s="84" t="s">
        <v>1945</v>
      </c>
      <c r="N1212" s="133">
        <v>5760.0</v>
      </c>
      <c r="O1212" s="73">
        <f t="shared" si="26"/>
        <v>0.78125</v>
      </c>
      <c r="P1212" s="98">
        <v>4500.0</v>
      </c>
      <c r="Q1212" s="84" t="s">
        <v>39</v>
      </c>
      <c r="R1212" s="84">
        <v>1695568.0</v>
      </c>
      <c r="S1212" s="84" t="s">
        <v>40</v>
      </c>
      <c r="T1212" s="90">
        <v>7387709.0</v>
      </c>
      <c r="U1212" s="214">
        <v>45922.5</v>
      </c>
      <c r="V1212" s="214">
        <v>45923.27777777778</v>
      </c>
      <c r="W1212" s="12"/>
      <c r="X1212" s="214"/>
      <c r="Y1212" s="214">
        <v>45924.354166666664</v>
      </c>
      <c r="Z1212" s="214">
        <v>45924.5625</v>
      </c>
      <c r="AA1212" s="12"/>
      <c r="AB1212" s="12"/>
      <c r="AC1212" s="207" t="s">
        <v>827</v>
      </c>
      <c r="AD1212" s="12"/>
      <c r="AE1212" s="207" t="s">
        <v>39</v>
      </c>
      <c r="AF1212" s="207" t="s">
        <v>39</v>
      </c>
      <c r="AG1212" s="22"/>
      <c r="AH1212" s="22"/>
      <c r="AI1212" s="22"/>
      <c r="AJ1212" s="22"/>
      <c r="AK1212" s="22"/>
      <c r="AL1212" s="22"/>
      <c r="AM1212" s="22"/>
      <c r="AN1212" s="22"/>
      <c r="AO1212" s="22"/>
      <c r="AP1212" s="215"/>
    </row>
    <row r="1213" ht="15.75" customHeight="1">
      <c r="A1213" s="103">
        <v>1.1762143E7</v>
      </c>
      <c r="B1213" s="84">
        <v>9.000233116E9</v>
      </c>
      <c r="C1213" s="11">
        <v>45923.0</v>
      </c>
      <c r="D1213" s="84">
        <v>26.0</v>
      </c>
      <c r="E1213" s="84">
        <v>32468.0</v>
      </c>
      <c r="F1213" s="103" t="s">
        <v>31</v>
      </c>
      <c r="G1213" s="84" t="s">
        <v>74</v>
      </c>
      <c r="H1213" s="84" t="s">
        <v>1996</v>
      </c>
      <c r="I1213" s="84" t="s">
        <v>1997</v>
      </c>
      <c r="J1213" s="84" t="s">
        <v>35</v>
      </c>
      <c r="K1213" s="84" t="s">
        <v>507</v>
      </c>
      <c r="L1213" s="95" t="s">
        <v>114</v>
      </c>
      <c r="M1213" s="84" t="s">
        <v>1974</v>
      </c>
      <c r="N1213" s="133">
        <v>5317.0</v>
      </c>
      <c r="O1213" s="73">
        <f t="shared" si="26"/>
        <v>0.6770735377</v>
      </c>
      <c r="P1213" s="98">
        <v>3600.0</v>
      </c>
      <c r="Q1213" s="84" t="s">
        <v>39</v>
      </c>
      <c r="R1213" s="84">
        <v>1696159.0</v>
      </c>
      <c r="S1213" s="84" t="s">
        <v>40</v>
      </c>
      <c r="T1213" s="90">
        <v>7395421.0</v>
      </c>
      <c r="U1213" s="214">
        <v>45923.489583333336</v>
      </c>
      <c r="V1213" s="214">
        <v>45923.47222222222</v>
      </c>
      <c r="W1213" s="12"/>
      <c r="X1213" s="214">
        <v>45925.416666666664</v>
      </c>
      <c r="Y1213" s="214">
        <v>45925.28472222222</v>
      </c>
      <c r="Z1213" s="214">
        <v>45925.666666666664</v>
      </c>
      <c r="AA1213" s="12"/>
      <c r="AB1213" s="84">
        <v>92816.0</v>
      </c>
      <c r="AC1213" s="84" t="s">
        <v>1998</v>
      </c>
      <c r="AD1213" s="12"/>
      <c r="AE1213" s="207" t="s">
        <v>39</v>
      </c>
      <c r="AF1213" s="207" t="s">
        <v>39</v>
      </c>
      <c r="AG1213" s="22"/>
      <c r="AH1213" s="22"/>
      <c r="AI1213" s="22"/>
      <c r="AJ1213" s="22"/>
      <c r="AK1213" s="22"/>
      <c r="AL1213" s="22"/>
      <c r="AM1213" s="22"/>
      <c r="AN1213" s="22"/>
      <c r="AO1213" s="22"/>
      <c r="AP1213" s="22"/>
    </row>
    <row r="1214" ht="15.75" customHeight="1">
      <c r="A1214" s="103">
        <v>1.1766308E7</v>
      </c>
      <c r="B1214" s="84">
        <v>9.000238881E9</v>
      </c>
      <c r="C1214" s="11">
        <v>45923.0</v>
      </c>
      <c r="D1214" s="84">
        <v>27.0</v>
      </c>
      <c r="E1214" s="84">
        <v>34716.0</v>
      </c>
      <c r="F1214" s="84" t="s">
        <v>31</v>
      </c>
      <c r="G1214" s="85" t="s">
        <v>44</v>
      </c>
      <c r="H1214" s="84" t="s">
        <v>1317</v>
      </c>
      <c r="I1214" s="39" t="s">
        <v>137</v>
      </c>
      <c r="J1214" s="84" t="s">
        <v>35</v>
      </c>
      <c r="K1214" s="84" t="s">
        <v>138</v>
      </c>
      <c r="L1214" s="98" t="s">
        <v>94</v>
      </c>
      <c r="M1214" s="84" t="s">
        <v>1988</v>
      </c>
      <c r="N1214" s="133">
        <v>5760.0</v>
      </c>
      <c r="O1214" s="73">
        <f t="shared" si="26"/>
        <v>0.6944444444</v>
      </c>
      <c r="P1214" s="98">
        <v>4000.0</v>
      </c>
      <c r="Q1214" s="12"/>
      <c r="R1214" s="84">
        <v>1696354.0</v>
      </c>
      <c r="S1214" s="84" t="s">
        <v>40</v>
      </c>
      <c r="T1214" s="90">
        <v>7397558.0</v>
      </c>
      <c r="U1214" s="214">
        <v>45923.875</v>
      </c>
      <c r="V1214" s="214">
        <v>45924.0625</v>
      </c>
      <c r="W1214" s="12"/>
      <c r="X1214" s="214"/>
      <c r="Y1214" s="214">
        <v>45924.82638888889</v>
      </c>
      <c r="Z1214" s="214">
        <v>45925.47222222222</v>
      </c>
      <c r="AA1214" s="12"/>
      <c r="AB1214" s="84">
        <v>265735.0</v>
      </c>
      <c r="AC1214" s="125" t="s">
        <v>827</v>
      </c>
      <c r="AD1214" s="12"/>
      <c r="AE1214" s="207" t="s">
        <v>39</v>
      </c>
      <c r="AF1214" s="207" t="s">
        <v>39</v>
      </c>
      <c r="AG1214" s="22"/>
      <c r="AH1214" s="22"/>
      <c r="AI1214" s="22"/>
      <c r="AJ1214" s="22"/>
      <c r="AK1214" s="22"/>
      <c r="AL1214" s="22"/>
      <c r="AM1214" s="22"/>
      <c r="AN1214" s="22"/>
      <c r="AO1214" s="22"/>
      <c r="AP1214" s="22"/>
    </row>
    <row r="1215" ht="15.75" customHeight="1">
      <c r="A1215" s="103">
        <v>1.1769307E7</v>
      </c>
      <c r="B1215" s="84">
        <v>9.000244262E9</v>
      </c>
      <c r="C1215" s="11">
        <v>45923.0</v>
      </c>
      <c r="D1215" s="84">
        <v>26.0</v>
      </c>
      <c r="E1215" s="84">
        <v>31625.0</v>
      </c>
      <c r="F1215" s="84" t="s">
        <v>31</v>
      </c>
      <c r="G1215" s="84" t="s">
        <v>44</v>
      </c>
      <c r="H1215" s="169" t="s">
        <v>45</v>
      </c>
      <c r="I1215" s="209" t="s">
        <v>46</v>
      </c>
      <c r="J1215" s="12" t="s">
        <v>35</v>
      </c>
      <c r="K1215" s="84" t="s">
        <v>47</v>
      </c>
      <c r="L1215" s="98" t="s">
        <v>108</v>
      </c>
      <c r="M1215" s="84" t="s">
        <v>1999</v>
      </c>
      <c r="N1215" s="133">
        <v>2545.0</v>
      </c>
      <c r="O1215" s="73">
        <f t="shared" si="26"/>
        <v>0.2730844794</v>
      </c>
      <c r="P1215" s="98">
        <v>695.0</v>
      </c>
      <c r="Q1215" s="12"/>
      <c r="R1215" s="84">
        <v>1696197.0</v>
      </c>
      <c r="S1215" s="84" t="s">
        <v>40</v>
      </c>
      <c r="T1215" s="90">
        <v>7396077.0</v>
      </c>
      <c r="U1215" s="214">
        <v>45923.666666666664</v>
      </c>
      <c r="V1215" s="214">
        <v>45923.833333333336</v>
      </c>
      <c r="W1215" s="12"/>
      <c r="X1215" s="84">
        <v>763734.0</v>
      </c>
      <c r="Y1215" s="214">
        <v>45924.375</v>
      </c>
      <c r="Z1215" s="214">
        <v>45924.4375</v>
      </c>
      <c r="AA1215" s="12"/>
      <c r="AB1215" s="84">
        <v>265832.0</v>
      </c>
      <c r="AC1215" s="125" t="s">
        <v>827</v>
      </c>
      <c r="AD1215" s="12"/>
      <c r="AE1215" s="207" t="s">
        <v>39</v>
      </c>
      <c r="AF1215" s="207" t="s">
        <v>39</v>
      </c>
      <c r="AG1215" s="22"/>
      <c r="AH1215" s="22"/>
      <c r="AI1215" s="22"/>
      <c r="AJ1215" s="22"/>
      <c r="AK1215" s="22"/>
      <c r="AL1215" s="22"/>
      <c r="AM1215" s="22"/>
      <c r="AN1215" s="22"/>
      <c r="AO1215" s="22"/>
      <c r="AP1215" s="22"/>
    </row>
    <row r="1216" ht="15.75" customHeight="1">
      <c r="A1216" s="103">
        <v>1.1760005E7</v>
      </c>
      <c r="B1216" s="84">
        <v>9.00023047E9</v>
      </c>
      <c r="C1216" s="11">
        <v>45923.0</v>
      </c>
      <c r="D1216" s="84">
        <v>26.0</v>
      </c>
      <c r="E1216" s="84">
        <v>31749.0</v>
      </c>
      <c r="F1216" s="84" t="s">
        <v>31</v>
      </c>
      <c r="G1216" s="84" t="s">
        <v>74</v>
      </c>
      <c r="H1216" s="12" t="s">
        <v>1835</v>
      </c>
      <c r="I1216" s="85" t="s">
        <v>1836</v>
      </c>
      <c r="J1216" s="25" t="s">
        <v>35</v>
      </c>
      <c r="K1216" s="25" t="s">
        <v>243</v>
      </c>
      <c r="L1216" s="25" t="s">
        <v>188</v>
      </c>
      <c r="M1216" s="84" t="s">
        <v>2000</v>
      </c>
      <c r="N1216" s="133">
        <v>4362.0</v>
      </c>
      <c r="O1216" s="73">
        <f t="shared" si="26"/>
        <v>0.4312242091</v>
      </c>
      <c r="P1216" s="98">
        <v>1881.0</v>
      </c>
      <c r="Q1216" s="12"/>
      <c r="R1216" s="84">
        <v>1696216.0</v>
      </c>
      <c r="S1216" s="84" t="s">
        <v>40</v>
      </c>
      <c r="T1216" s="90">
        <v>7396153.0</v>
      </c>
      <c r="U1216" s="214">
        <v>45923.708333333336</v>
      </c>
      <c r="V1216" s="214">
        <v>45923.875</v>
      </c>
      <c r="W1216" s="12"/>
      <c r="X1216" s="214"/>
      <c r="Y1216" s="214">
        <v>45924.552083333336</v>
      </c>
      <c r="Z1216" s="214">
        <v>45925.541666666664</v>
      </c>
      <c r="AA1216" s="12"/>
      <c r="AB1216" s="84" t="s">
        <v>2001</v>
      </c>
      <c r="AC1216" s="125" t="s">
        <v>2002</v>
      </c>
      <c r="AD1216" s="12"/>
      <c r="AE1216" s="207" t="s">
        <v>39</v>
      </c>
      <c r="AF1216" s="207" t="s">
        <v>39</v>
      </c>
      <c r="AG1216" s="22"/>
      <c r="AH1216" s="22"/>
      <c r="AI1216" s="22"/>
      <c r="AJ1216" s="22"/>
      <c r="AK1216" s="22"/>
      <c r="AL1216" s="22"/>
      <c r="AM1216" s="22"/>
      <c r="AN1216" s="22"/>
      <c r="AO1216" s="22"/>
      <c r="AP1216" s="22"/>
    </row>
    <row r="1217" ht="15.75" customHeight="1">
      <c r="A1217" s="103">
        <v>1.1761741E7</v>
      </c>
      <c r="B1217" s="84">
        <v>9.000233117E9</v>
      </c>
      <c r="C1217" s="11">
        <v>45924.0</v>
      </c>
      <c r="D1217" s="84">
        <v>20.0</v>
      </c>
      <c r="E1217" s="84">
        <v>23986.0</v>
      </c>
      <c r="F1217" s="103" t="s">
        <v>31</v>
      </c>
      <c r="G1217" s="84" t="s">
        <v>74</v>
      </c>
      <c r="H1217" s="84" t="s">
        <v>2003</v>
      </c>
      <c r="I1217" s="84" t="s">
        <v>2004</v>
      </c>
      <c r="J1217" s="84" t="s">
        <v>35</v>
      </c>
      <c r="K1217" s="84" t="s">
        <v>187</v>
      </c>
      <c r="L1217" s="98" t="s">
        <v>188</v>
      </c>
      <c r="M1217" s="125" t="s">
        <v>2005</v>
      </c>
      <c r="N1217" s="133">
        <v>4362.0</v>
      </c>
      <c r="O1217" s="73">
        <f t="shared" si="26"/>
        <v>0.3420449335</v>
      </c>
      <c r="P1217" s="98">
        <v>1492.0</v>
      </c>
      <c r="Q1217" s="84" t="s">
        <v>39</v>
      </c>
      <c r="R1217" s="84">
        <v>1696973.0</v>
      </c>
      <c r="S1217" s="84" t="s">
        <v>40</v>
      </c>
      <c r="T1217" s="90">
        <v>7405148.0</v>
      </c>
      <c r="U1217" s="214">
        <v>45925.8125</v>
      </c>
      <c r="V1217" s="214">
        <v>45925.354166666664</v>
      </c>
      <c r="W1217" s="12"/>
      <c r="X1217" s="214">
        <v>45924.291666666664</v>
      </c>
      <c r="Y1217" s="214">
        <v>45926.541666666664</v>
      </c>
      <c r="Z1217" s="84" t="s">
        <v>2006</v>
      </c>
      <c r="AA1217" s="12"/>
      <c r="AB1217" s="84" t="s">
        <v>2007</v>
      </c>
      <c r="AC1217" s="125" t="s">
        <v>2008</v>
      </c>
      <c r="AD1217" s="12"/>
      <c r="AE1217" s="207" t="s">
        <v>39</v>
      </c>
      <c r="AF1217" s="207" t="s">
        <v>39</v>
      </c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</row>
    <row r="1218" ht="15.75" customHeight="1">
      <c r="A1218" s="103">
        <v>1.1769309E7</v>
      </c>
      <c r="B1218" s="84">
        <v>9.000244529E9</v>
      </c>
      <c r="C1218" s="11">
        <v>45927.0</v>
      </c>
      <c r="D1218" s="84">
        <v>26.0</v>
      </c>
      <c r="E1218" s="84">
        <v>31845.0</v>
      </c>
      <c r="F1218" s="103" t="s">
        <v>43</v>
      </c>
      <c r="G1218" s="84" t="s">
        <v>32</v>
      </c>
      <c r="H1218" s="85" t="s">
        <v>1408</v>
      </c>
      <c r="I1218" s="93" t="s">
        <v>1409</v>
      </c>
      <c r="J1218" s="93" t="s">
        <v>35</v>
      </c>
      <c r="K1218" s="85" t="s">
        <v>1410</v>
      </c>
      <c r="L1218" s="95" t="s">
        <v>114</v>
      </c>
      <c r="M1218" s="216" t="s">
        <v>1883</v>
      </c>
      <c r="N1218" s="133">
        <v>7195.2</v>
      </c>
      <c r="O1218" s="73">
        <f t="shared" si="26"/>
        <v>0.6357015788</v>
      </c>
      <c r="P1218" s="98">
        <v>4574.0</v>
      </c>
      <c r="Q1218" s="84" t="s">
        <v>39</v>
      </c>
      <c r="R1218" s="84">
        <v>1699003.0</v>
      </c>
      <c r="S1218" s="84" t="s">
        <v>40</v>
      </c>
      <c r="T1218" s="90">
        <v>7424133.0</v>
      </c>
      <c r="U1218" s="214">
        <v>45927.395833333336</v>
      </c>
      <c r="V1218" s="214">
        <v>45927.78472222222</v>
      </c>
      <c r="W1218" s="12"/>
      <c r="X1218" s="12"/>
      <c r="Y1218" s="214">
        <v>45929.208333333336</v>
      </c>
      <c r="Z1218" s="214">
        <v>45929.604166666664</v>
      </c>
      <c r="AA1218" s="12"/>
      <c r="AB1218" s="84">
        <v>62796.0</v>
      </c>
      <c r="AC1218" s="125" t="s">
        <v>827</v>
      </c>
      <c r="AD1218" s="12"/>
      <c r="AE1218" s="207" t="s">
        <v>39</v>
      </c>
      <c r="AF1218" s="207" t="s">
        <v>39</v>
      </c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</row>
    <row r="1219" ht="15.75" customHeight="1">
      <c r="A1219" s="103">
        <v>1.176931E7</v>
      </c>
      <c r="B1219" s="84">
        <v>9.000244505E9</v>
      </c>
      <c r="C1219" s="11">
        <v>45927.0</v>
      </c>
      <c r="D1219" s="84">
        <v>14.0</v>
      </c>
      <c r="E1219" s="84">
        <v>15911.0</v>
      </c>
      <c r="F1219" s="125" t="s">
        <v>43</v>
      </c>
      <c r="G1219" s="84" t="s">
        <v>32</v>
      </c>
      <c r="H1219" s="85" t="s">
        <v>2009</v>
      </c>
      <c r="I1219" s="148" t="s">
        <v>1957</v>
      </c>
      <c r="J1219" s="85" t="s">
        <v>1410</v>
      </c>
      <c r="K1219" s="93" t="s">
        <v>35</v>
      </c>
      <c r="L1219" s="95" t="s">
        <v>114</v>
      </c>
      <c r="M1219" s="125" t="s">
        <v>1883</v>
      </c>
      <c r="N1219" s="133">
        <v>4796.8</v>
      </c>
      <c r="O1219" s="73">
        <f t="shared" si="26"/>
        <v>0.5732988659</v>
      </c>
      <c r="P1219" s="98">
        <v>2750.0</v>
      </c>
      <c r="Q1219" s="12"/>
      <c r="R1219" s="84">
        <v>1699840.0</v>
      </c>
      <c r="S1219" s="84" t="s">
        <v>40</v>
      </c>
      <c r="T1219" s="90">
        <v>7431363.0</v>
      </c>
      <c r="U1219" s="214">
        <v>45929.208333333336</v>
      </c>
      <c r="V1219" s="214">
        <v>45929.604166666664</v>
      </c>
      <c r="W1219" s="12"/>
      <c r="X1219" s="12"/>
      <c r="Y1219" s="214">
        <v>45930.447916666664</v>
      </c>
      <c r="Z1219" s="214">
        <v>45931.916666666664</v>
      </c>
      <c r="AA1219" s="12"/>
      <c r="AB1219" s="12"/>
      <c r="AC1219" s="207"/>
      <c r="AD1219" s="12"/>
      <c r="AE1219" s="207" t="s">
        <v>39</v>
      </c>
      <c r="AF1219" s="207" t="s">
        <v>39</v>
      </c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</row>
    <row r="1220" ht="15.75" customHeight="1">
      <c r="A1220" s="103">
        <v>1.1773859E7</v>
      </c>
      <c r="B1220" s="84">
        <v>9.000244007E9</v>
      </c>
      <c r="C1220" s="11">
        <v>45927.0</v>
      </c>
      <c r="D1220" s="84">
        <v>26.0</v>
      </c>
      <c r="E1220" s="84">
        <v>30663.0</v>
      </c>
      <c r="F1220" s="84" t="s">
        <v>31</v>
      </c>
      <c r="G1220" s="84" t="s">
        <v>74</v>
      </c>
      <c r="H1220" s="84" t="s">
        <v>647</v>
      </c>
      <c r="I1220" s="84" t="s">
        <v>2010</v>
      </c>
      <c r="J1220" s="25" t="s">
        <v>35</v>
      </c>
      <c r="K1220" s="84" t="s">
        <v>332</v>
      </c>
      <c r="L1220" s="98" t="s">
        <v>108</v>
      </c>
      <c r="M1220" s="125" t="s">
        <v>2011</v>
      </c>
      <c r="N1220" s="133">
        <v>2797.0</v>
      </c>
      <c r="O1220" s="73">
        <f t="shared" si="26"/>
        <v>0.6900250268</v>
      </c>
      <c r="P1220" s="98">
        <v>1930.0</v>
      </c>
      <c r="Q1220" s="84" t="s">
        <v>39</v>
      </c>
      <c r="R1220" s="84">
        <v>1698931.0</v>
      </c>
      <c r="S1220" s="84" t="s">
        <v>40</v>
      </c>
      <c r="T1220" s="90">
        <v>7424802.0</v>
      </c>
      <c r="U1220" s="214">
        <v>45927.555555555555</v>
      </c>
      <c r="V1220" s="214">
        <v>45927.76388888889</v>
      </c>
      <c r="W1220" s="12"/>
      <c r="X1220" s="12"/>
      <c r="Y1220" s="214">
        <v>45929.54861111111</v>
      </c>
      <c r="Z1220" s="214">
        <v>45930.729166666664</v>
      </c>
      <c r="AA1220" s="12"/>
      <c r="AB1220" s="84" t="s">
        <v>2012</v>
      </c>
      <c r="AC1220" s="125" t="s">
        <v>2013</v>
      </c>
      <c r="AD1220" s="12"/>
      <c r="AE1220" s="207" t="s">
        <v>39</v>
      </c>
      <c r="AF1220" s="207" t="s">
        <v>39</v>
      </c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</row>
    <row r="1221" ht="15.75" customHeight="1">
      <c r="A1221" s="103">
        <v>1.1773846E7</v>
      </c>
      <c r="B1221" s="84">
        <v>9.000246283E9</v>
      </c>
      <c r="C1221" s="11">
        <v>45927.0</v>
      </c>
      <c r="D1221" s="84">
        <v>26.0</v>
      </c>
      <c r="E1221" s="84">
        <v>32468.0</v>
      </c>
      <c r="F1221" s="84" t="s">
        <v>31</v>
      </c>
      <c r="G1221" s="84" t="s">
        <v>74</v>
      </c>
      <c r="H1221" s="84" t="s">
        <v>2014</v>
      </c>
      <c r="I1221" s="84" t="s">
        <v>2015</v>
      </c>
      <c r="J1221" s="25" t="s">
        <v>35</v>
      </c>
      <c r="K1221" s="84" t="s">
        <v>270</v>
      </c>
      <c r="L1221" s="98" t="s">
        <v>94</v>
      </c>
      <c r="M1221" s="125" t="s">
        <v>1971</v>
      </c>
      <c r="N1221" s="133">
        <v>6410.0</v>
      </c>
      <c r="O1221" s="73">
        <f t="shared" si="26"/>
        <v>0.6630265211</v>
      </c>
      <c r="P1221" s="98">
        <v>4250.0</v>
      </c>
      <c r="Q1221" s="84" t="s">
        <v>39</v>
      </c>
      <c r="R1221" s="84">
        <v>1699197.0</v>
      </c>
      <c r="S1221" s="84" t="s">
        <v>40</v>
      </c>
      <c r="T1221" s="90">
        <v>7426147.0</v>
      </c>
      <c r="U1221" s="214">
        <v>45927.916666666664</v>
      </c>
      <c r="V1221" s="214">
        <v>45928.375</v>
      </c>
      <c r="W1221" s="12"/>
      <c r="X1221" s="12"/>
      <c r="Y1221" s="214">
        <v>45929.583333333336</v>
      </c>
      <c r="Z1221" s="214">
        <v>45929.645833333336</v>
      </c>
      <c r="AA1221" s="12"/>
      <c r="AB1221" s="84">
        <v>186327.0</v>
      </c>
      <c r="AC1221" s="217" t="s">
        <v>1998</v>
      </c>
      <c r="AD1221" s="12"/>
      <c r="AE1221" s="207" t="s">
        <v>39</v>
      </c>
      <c r="AF1221" s="207" t="s">
        <v>39</v>
      </c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</row>
    <row r="1222" ht="15.75" customHeight="1">
      <c r="A1222" s="103">
        <v>1.1773847E7</v>
      </c>
      <c r="B1222" s="84">
        <v>9.000249095E9</v>
      </c>
      <c r="C1222" s="11">
        <v>45929.0</v>
      </c>
      <c r="D1222" s="84">
        <v>26.0</v>
      </c>
      <c r="E1222" s="84">
        <v>32468.0</v>
      </c>
      <c r="F1222" s="84" t="s">
        <v>31</v>
      </c>
      <c r="G1222" s="84" t="s">
        <v>74</v>
      </c>
      <c r="H1222" s="84" t="s">
        <v>2014</v>
      </c>
      <c r="I1222" s="84" t="s">
        <v>2015</v>
      </c>
      <c r="J1222" s="25" t="s">
        <v>35</v>
      </c>
      <c r="K1222" s="84" t="s">
        <v>270</v>
      </c>
      <c r="L1222" s="98" t="s">
        <v>94</v>
      </c>
      <c r="M1222" s="125" t="s">
        <v>1945</v>
      </c>
      <c r="N1222" s="133">
        <v>6410.0</v>
      </c>
      <c r="O1222" s="73">
        <f t="shared" si="26"/>
        <v>0.7800312012</v>
      </c>
      <c r="P1222" s="98">
        <v>5000.0</v>
      </c>
      <c r="Q1222" s="84" t="s">
        <v>39</v>
      </c>
      <c r="R1222" s="84">
        <v>1699494.0</v>
      </c>
      <c r="S1222" s="84" t="s">
        <v>40</v>
      </c>
      <c r="T1222" s="90">
        <v>7427102.0</v>
      </c>
      <c r="U1222" s="214">
        <v>45929.333333333336</v>
      </c>
      <c r="V1222" s="214">
        <v>45929.875</v>
      </c>
      <c r="W1222" s="12"/>
      <c r="X1222" s="12"/>
      <c r="Y1222" s="214">
        <v>45931.208333333336</v>
      </c>
      <c r="Z1222" s="214">
        <v>45931.5625</v>
      </c>
      <c r="AA1222" s="12"/>
      <c r="AB1222" s="84" t="s">
        <v>2016</v>
      </c>
      <c r="AC1222" s="125" t="s">
        <v>2017</v>
      </c>
      <c r="AD1222" s="12"/>
      <c r="AE1222" s="207" t="s">
        <v>39</v>
      </c>
      <c r="AF1222" s="207" t="s">
        <v>39</v>
      </c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</row>
    <row r="1223" ht="15.75" customHeight="1">
      <c r="A1223" s="218">
        <v>1.1798094E7</v>
      </c>
      <c r="B1223" s="84">
        <v>9.000287175E9</v>
      </c>
      <c r="C1223" s="11">
        <v>45932.0</v>
      </c>
      <c r="D1223" s="197">
        <v>26.0</v>
      </c>
      <c r="E1223" s="197"/>
      <c r="F1223" s="219"/>
      <c r="G1223" s="168"/>
      <c r="H1223" s="84" t="s">
        <v>2018</v>
      </c>
      <c r="I1223" s="85" t="s">
        <v>1958</v>
      </c>
      <c r="J1223" s="84" t="s">
        <v>270</v>
      </c>
      <c r="K1223" s="25" t="s">
        <v>35</v>
      </c>
      <c r="L1223" s="98" t="s">
        <v>188</v>
      </c>
      <c r="M1223" s="84" t="s">
        <v>1945</v>
      </c>
      <c r="N1223" s="133">
        <v>4250.0</v>
      </c>
      <c r="O1223" s="73">
        <f t="shared" si="26"/>
        <v>0.7647058824</v>
      </c>
      <c r="P1223" s="98">
        <v>3250.0</v>
      </c>
      <c r="Q1223" s="84"/>
      <c r="R1223" s="84">
        <v>1701791.0</v>
      </c>
      <c r="S1223" s="84" t="s">
        <v>40</v>
      </c>
      <c r="T1223" s="90">
        <v>7455522.0</v>
      </c>
      <c r="U1223" s="214">
        <v>45932.680555555555</v>
      </c>
      <c r="V1223" s="214">
        <v>45932.680555555555</v>
      </c>
      <c r="W1223" s="198"/>
      <c r="X1223" s="198"/>
      <c r="Y1223" s="214">
        <v>45937.708333333336</v>
      </c>
      <c r="Z1223" s="214">
        <v>45947.40972222222</v>
      </c>
      <c r="AA1223" s="198"/>
      <c r="AB1223" s="84">
        <v>112887.0</v>
      </c>
      <c r="AC1223" s="125" t="s">
        <v>2019</v>
      </c>
      <c r="AD1223" s="198"/>
      <c r="AE1223" s="207" t="s">
        <v>39</v>
      </c>
      <c r="AF1223" s="207" t="s">
        <v>39</v>
      </c>
      <c r="AG1223" s="199"/>
      <c r="AH1223" s="199"/>
      <c r="AI1223" s="199"/>
      <c r="AJ1223" s="199"/>
      <c r="AK1223" s="199"/>
      <c r="AL1223" s="199"/>
      <c r="AM1223" s="199"/>
      <c r="AN1223" s="199"/>
      <c r="AO1223" s="199"/>
      <c r="AP1223" s="199"/>
    </row>
    <row r="1224" ht="15.75" customHeight="1">
      <c r="A1224" s="219">
        <v>1.1786933E7</v>
      </c>
      <c r="B1224" s="84">
        <v>9.000270859E9</v>
      </c>
      <c r="C1224" s="11">
        <v>45901.0</v>
      </c>
      <c r="D1224" s="197">
        <v>28.0</v>
      </c>
      <c r="E1224" s="197">
        <v>34295.0</v>
      </c>
      <c r="F1224" s="219" t="s">
        <v>43</v>
      </c>
      <c r="G1224" s="168" t="s">
        <v>44</v>
      </c>
      <c r="H1224" s="169" t="s">
        <v>45</v>
      </c>
      <c r="I1224" s="209" t="s">
        <v>46</v>
      </c>
      <c r="J1224" s="12" t="s">
        <v>35</v>
      </c>
      <c r="K1224" s="14" t="s">
        <v>47</v>
      </c>
      <c r="L1224" s="98" t="s">
        <v>110</v>
      </c>
      <c r="M1224" s="84" t="s">
        <v>1883</v>
      </c>
      <c r="N1224" s="133">
        <v>2335.8</v>
      </c>
      <c r="O1224" s="73">
        <f t="shared" si="26"/>
        <v>0.6421782687</v>
      </c>
      <c r="P1224" s="98">
        <v>1500.0</v>
      </c>
      <c r="Q1224" s="84" t="s">
        <v>39</v>
      </c>
      <c r="R1224" s="84">
        <v>1701495.0</v>
      </c>
      <c r="S1224" s="84" t="s">
        <v>40</v>
      </c>
      <c r="T1224" s="90">
        <v>7451775.0</v>
      </c>
      <c r="U1224" s="214">
        <v>45931.916666666664</v>
      </c>
      <c r="V1224" s="214">
        <v>45932.375</v>
      </c>
      <c r="W1224" s="198"/>
      <c r="X1224" s="198"/>
      <c r="Y1224" s="214">
        <v>45932.47222222222</v>
      </c>
      <c r="Z1224" s="214">
        <v>45932.78125</v>
      </c>
      <c r="AA1224" s="198"/>
      <c r="AB1224" s="84">
        <v>337651.0</v>
      </c>
      <c r="AC1224" s="125" t="s">
        <v>827</v>
      </c>
      <c r="AD1224" s="198"/>
      <c r="AE1224" s="207" t="s">
        <v>39</v>
      </c>
      <c r="AF1224" s="207" t="s">
        <v>39</v>
      </c>
      <c r="AG1224" s="199"/>
      <c r="AH1224" s="199"/>
      <c r="AI1224" s="199"/>
      <c r="AJ1224" s="199"/>
      <c r="AK1224" s="199"/>
      <c r="AL1224" s="199"/>
      <c r="AM1224" s="199"/>
      <c r="AN1224" s="199"/>
      <c r="AO1224" s="199"/>
      <c r="AP1224" s="199"/>
    </row>
    <row r="1225" ht="15.75" customHeight="1">
      <c r="A1225" s="103">
        <v>1.1786938E7</v>
      </c>
      <c r="B1225" s="84">
        <v>9.000270899E9</v>
      </c>
      <c r="C1225" s="11">
        <v>45901.0</v>
      </c>
      <c r="D1225" s="84">
        <v>15.0</v>
      </c>
      <c r="E1225" s="84">
        <v>17135.0</v>
      </c>
      <c r="F1225" s="169" t="s">
        <v>43</v>
      </c>
      <c r="G1225" s="168" t="s">
        <v>44</v>
      </c>
      <c r="H1225" s="176" t="s">
        <v>2020</v>
      </c>
      <c r="I1225" s="209" t="s">
        <v>46</v>
      </c>
      <c r="J1225" s="14" t="s">
        <v>47</v>
      </c>
      <c r="K1225" s="12" t="s">
        <v>35</v>
      </c>
      <c r="L1225" s="95" t="s">
        <v>110</v>
      </c>
      <c r="M1225" s="84" t="s">
        <v>1883</v>
      </c>
      <c r="N1225" s="133">
        <v>1557.2</v>
      </c>
      <c r="O1225" s="73">
        <f t="shared" si="26"/>
        <v>0.7063960956</v>
      </c>
      <c r="P1225" s="98">
        <v>1100.0</v>
      </c>
      <c r="Q1225" s="12"/>
      <c r="R1225" s="84">
        <v>1701901.0</v>
      </c>
      <c r="S1225" s="84" t="s">
        <v>40</v>
      </c>
      <c r="T1225" s="90">
        <v>7456951.0</v>
      </c>
      <c r="U1225" s="214">
        <v>45932.78125</v>
      </c>
      <c r="V1225" s="214">
        <v>45932.79861111111</v>
      </c>
      <c r="W1225" s="12"/>
      <c r="X1225" s="12"/>
      <c r="Y1225" s="214">
        <v>45932.96527777778</v>
      </c>
      <c r="Z1225" s="214">
        <v>45933.333333333336</v>
      </c>
      <c r="AA1225" s="12"/>
      <c r="AB1225" s="12"/>
      <c r="AC1225" s="207"/>
      <c r="AD1225" s="12"/>
      <c r="AE1225" s="207" t="s">
        <v>39</v>
      </c>
      <c r="AF1225" s="207" t="s">
        <v>39</v>
      </c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</row>
    <row r="1226" ht="15.75" customHeight="1">
      <c r="A1226" s="103">
        <v>1.1786925E7</v>
      </c>
      <c r="B1226" s="84">
        <v>9.000270791E9</v>
      </c>
      <c r="C1226" s="11">
        <v>45931.0</v>
      </c>
      <c r="D1226" s="84">
        <v>26.0</v>
      </c>
      <c r="E1226" s="84">
        <v>29280.0</v>
      </c>
      <c r="F1226" s="219" t="s">
        <v>43</v>
      </c>
      <c r="G1226" s="168" t="s">
        <v>44</v>
      </c>
      <c r="H1226" s="169" t="s">
        <v>45</v>
      </c>
      <c r="I1226" s="209" t="s">
        <v>46</v>
      </c>
      <c r="J1226" s="12" t="s">
        <v>35</v>
      </c>
      <c r="K1226" s="14" t="s">
        <v>47</v>
      </c>
      <c r="L1226" s="98" t="s">
        <v>110</v>
      </c>
      <c r="M1226" s="84" t="s">
        <v>2021</v>
      </c>
      <c r="N1226" s="133">
        <v>2335.8</v>
      </c>
      <c r="O1226" s="73">
        <f t="shared" si="26"/>
        <v>0.6421782687</v>
      </c>
      <c r="P1226" s="98">
        <v>1500.0</v>
      </c>
      <c r="Q1226" s="84" t="s">
        <v>39</v>
      </c>
      <c r="R1226" s="84">
        <v>1700919.0</v>
      </c>
      <c r="S1226" s="84" t="s">
        <v>40</v>
      </c>
      <c r="T1226" s="90">
        <v>7444969.0</v>
      </c>
      <c r="U1226" s="214">
        <v>45931.34722222222</v>
      </c>
      <c r="V1226" s="214">
        <v>45931.53472222222</v>
      </c>
      <c r="W1226" s="12"/>
      <c r="X1226" s="12"/>
      <c r="Y1226" s="214">
        <v>45932.34722222222</v>
      </c>
      <c r="Z1226" s="214">
        <v>45932.48611111111</v>
      </c>
      <c r="AA1226" s="12"/>
      <c r="AB1226" s="12"/>
      <c r="AC1226" s="207"/>
      <c r="AD1226" s="12"/>
      <c r="AE1226" s="207" t="s">
        <v>39</v>
      </c>
      <c r="AF1226" s="207" t="s">
        <v>39</v>
      </c>
      <c r="AG1226" s="22"/>
      <c r="AH1226" s="22"/>
      <c r="AI1226" s="22"/>
      <c r="AJ1226" s="22"/>
      <c r="AK1226" s="22"/>
      <c r="AL1226" s="22"/>
      <c r="AM1226" s="22"/>
      <c r="AN1226" s="22"/>
      <c r="AO1226" s="22"/>
      <c r="AP1226" s="22"/>
    </row>
    <row r="1227" ht="15.75" customHeight="1">
      <c r="A1227" s="103">
        <v>1.1786936E7</v>
      </c>
      <c r="B1227" s="84">
        <v>9.000270783E9</v>
      </c>
      <c r="C1227" s="11">
        <v>45931.0</v>
      </c>
      <c r="D1227" s="84">
        <v>1.0</v>
      </c>
      <c r="E1227" s="84">
        <v>481.0</v>
      </c>
      <c r="F1227" s="169" t="s">
        <v>43</v>
      </c>
      <c r="G1227" s="168" t="s">
        <v>44</v>
      </c>
      <c r="H1227" s="176" t="s">
        <v>2022</v>
      </c>
      <c r="I1227" s="194" t="s">
        <v>1957</v>
      </c>
      <c r="J1227" s="14" t="s">
        <v>47</v>
      </c>
      <c r="K1227" s="12" t="s">
        <v>35</v>
      </c>
      <c r="L1227" s="95" t="s">
        <v>110</v>
      </c>
      <c r="M1227" s="84" t="s">
        <v>2021</v>
      </c>
      <c r="N1227" s="133">
        <v>1557.2</v>
      </c>
      <c r="O1227" s="73">
        <f t="shared" si="26"/>
        <v>0.7063960956</v>
      </c>
      <c r="P1227" s="98">
        <v>1100.0</v>
      </c>
      <c r="Q1227" s="12"/>
      <c r="R1227" s="84">
        <v>1701862.0</v>
      </c>
      <c r="S1227" s="84" t="s">
        <v>40</v>
      </c>
      <c r="T1227" s="90">
        <v>7456244.0</v>
      </c>
      <c r="U1227" s="214">
        <v>45932.48611111111</v>
      </c>
      <c r="V1227" s="214">
        <v>45932.59375</v>
      </c>
      <c r="W1227" s="12"/>
      <c r="X1227" s="12"/>
      <c r="Y1227" s="214">
        <v>45935.54861111111</v>
      </c>
      <c r="Z1227" s="214">
        <v>45939.916666666664</v>
      </c>
      <c r="AA1227" s="12"/>
      <c r="AB1227" s="84">
        <v>115746.0</v>
      </c>
      <c r="AC1227" s="84" t="s">
        <v>2023</v>
      </c>
      <c r="AD1227" s="12"/>
      <c r="AE1227" s="207" t="s">
        <v>39</v>
      </c>
      <c r="AF1227" s="207" t="s">
        <v>39</v>
      </c>
      <c r="AG1227" s="22"/>
      <c r="AH1227" s="22"/>
      <c r="AI1227" s="22"/>
      <c r="AJ1227" s="22"/>
      <c r="AK1227" s="22"/>
      <c r="AL1227" s="22"/>
      <c r="AM1227" s="22"/>
      <c r="AN1227" s="22"/>
      <c r="AO1227" s="22"/>
      <c r="AP1227" s="22"/>
    </row>
    <row r="1228" ht="15.75" customHeight="1">
      <c r="A1228" s="103">
        <v>1.1787785E7</v>
      </c>
      <c r="B1228" s="84">
        <v>9.000272199E9</v>
      </c>
      <c r="C1228" s="11">
        <v>45901.0</v>
      </c>
      <c r="D1228" s="84">
        <v>27.0</v>
      </c>
      <c r="E1228" s="84">
        <v>34414.0</v>
      </c>
      <c r="F1228" s="103" t="s">
        <v>31</v>
      </c>
      <c r="G1228" s="84" t="s">
        <v>44</v>
      </c>
      <c r="H1228" s="25" t="s">
        <v>104</v>
      </c>
      <c r="I1228" s="25" t="s">
        <v>105</v>
      </c>
      <c r="J1228" s="12" t="s">
        <v>35</v>
      </c>
      <c r="K1228" s="84" t="s">
        <v>106</v>
      </c>
      <c r="L1228" s="98" t="s">
        <v>59</v>
      </c>
      <c r="M1228" s="84" t="s">
        <v>1931</v>
      </c>
      <c r="N1228" s="133">
        <v>5337.0</v>
      </c>
      <c r="O1228" s="73">
        <f t="shared" si="26"/>
        <v>0.5656735994</v>
      </c>
      <c r="P1228" s="98">
        <v>3019.0</v>
      </c>
      <c r="Q1228" s="84" t="s">
        <v>39</v>
      </c>
      <c r="R1228" s="84">
        <v>1701857.0</v>
      </c>
      <c r="S1228" s="84" t="s">
        <v>40</v>
      </c>
      <c r="T1228" s="90">
        <v>7456152.0</v>
      </c>
      <c r="U1228" s="214">
        <v>45932.48263888889</v>
      </c>
      <c r="V1228" s="214">
        <v>45933.25</v>
      </c>
      <c r="W1228" s="12"/>
      <c r="X1228" s="12"/>
      <c r="Y1228" s="214">
        <v>45933.708333333336</v>
      </c>
      <c r="Z1228" s="214">
        <v>45934.333333333336</v>
      </c>
      <c r="AA1228" s="12"/>
      <c r="AB1228" s="84">
        <v>337752.0</v>
      </c>
      <c r="AC1228" s="125" t="s">
        <v>827</v>
      </c>
      <c r="AD1228" s="12"/>
      <c r="AE1228" s="207" t="s">
        <v>39</v>
      </c>
      <c r="AF1228" s="207" t="s">
        <v>39</v>
      </c>
      <c r="AG1228" s="22"/>
      <c r="AH1228" s="22"/>
      <c r="AI1228" s="22"/>
      <c r="AJ1228" s="22"/>
      <c r="AK1228" s="22"/>
      <c r="AL1228" s="22"/>
      <c r="AM1228" s="22"/>
      <c r="AN1228" s="22"/>
      <c r="AO1228" s="22"/>
      <c r="AP1228" s="22"/>
    </row>
    <row r="1229" ht="15.75" customHeight="1">
      <c r="A1229" s="103">
        <v>1.1785404E7</v>
      </c>
      <c r="B1229" s="84">
        <v>9.000268165E9</v>
      </c>
      <c r="C1229" s="11">
        <v>45902.0</v>
      </c>
      <c r="D1229" s="84">
        <v>28.0</v>
      </c>
      <c r="E1229" s="84">
        <v>34048.0</v>
      </c>
      <c r="F1229" s="103" t="s">
        <v>31</v>
      </c>
      <c r="G1229" s="84" t="s">
        <v>74</v>
      </c>
      <c r="H1229" s="84" t="s">
        <v>2024</v>
      </c>
      <c r="I1229" s="84" t="s">
        <v>125</v>
      </c>
      <c r="J1229" s="25" t="s">
        <v>35</v>
      </c>
      <c r="K1229" s="84" t="s">
        <v>2025</v>
      </c>
      <c r="L1229" s="98" t="s">
        <v>94</v>
      </c>
      <c r="M1229" s="84" t="s">
        <v>1860</v>
      </c>
      <c r="N1229" s="133">
        <v>5782.0</v>
      </c>
      <c r="O1229" s="73">
        <f t="shared" si="26"/>
        <v>0.6053268765</v>
      </c>
      <c r="P1229" s="98">
        <v>3500.0</v>
      </c>
      <c r="Q1229" s="12"/>
      <c r="R1229" s="84">
        <v>1702122.0</v>
      </c>
      <c r="S1229" s="84" t="s">
        <v>40</v>
      </c>
      <c r="T1229" s="90">
        <v>7459441.0</v>
      </c>
      <c r="U1229" s="214">
        <v>45933.083333333336</v>
      </c>
      <c r="V1229" s="214">
        <v>45932.791666666664</v>
      </c>
      <c r="W1229" s="12"/>
      <c r="X1229" s="12"/>
      <c r="Y1229" s="214">
        <v>45936.625</v>
      </c>
      <c r="Z1229" s="214">
        <v>45936.666666666664</v>
      </c>
      <c r="AA1229" s="12"/>
      <c r="AB1229" s="84">
        <v>337763.0</v>
      </c>
      <c r="AC1229" s="125" t="s">
        <v>827</v>
      </c>
      <c r="AD1229" s="12"/>
      <c r="AE1229" s="207" t="s">
        <v>39</v>
      </c>
      <c r="AF1229" s="207" t="s">
        <v>39</v>
      </c>
      <c r="AG1229" s="22"/>
      <c r="AH1229" s="22"/>
      <c r="AI1229" s="22"/>
      <c r="AJ1229" s="22"/>
      <c r="AK1229" s="22"/>
      <c r="AL1229" s="22"/>
      <c r="AM1229" s="22"/>
      <c r="AN1229" s="22"/>
      <c r="AO1229" s="22"/>
      <c r="AP1229" s="22"/>
    </row>
    <row r="1230" ht="15.75" customHeight="1">
      <c r="A1230" s="103">
        <v>1.1786928E7</v>
      </c>
      <c r="B1230" s="84">
        <v>9.000270939E9</v>
      </c>
      <c r="C1230" s="11">
        <v>45902.0</v>
      </c>
      <c r="D1230" s="84">
        <v>28.0</v>
      </c>
      <c r="E1230" s="84">
        <v>34295.0</v>
      </c>
      <c r="F1230" s="219" t="s">
        <v>43</v>
      </c>
      <c r="G1230" s="168" t="s">
        <v>44</v>
      </c>
      <c r="H1230" s="169" t="s">
        <v>45</v>
      </c>
      <c r="I1230" s="209" t="s">
        <v>46</v>
      </c>
      <c r="J1230" s="12" t="s">
        <v>35</v>
      </c>
      <c r="K1230" s="14" t="s">
        <v>47</v>
      </c>
      <c r="L1230" s="98" t="s">
        <v>110</v>
      </c>
      <c r="M1230" s="84" t="s">
        <v>1943</v>
      </c>
      <c r="N1230" s="133">
        <v>2335.8</v>
      </c>
      <c r="O1230" s="73">
        <f t="shared" si="26"/>
        <v>0.6421782687</v>
      </c>
      <c r="P1230" s="98">
        <v>1500.0</v>
      </c>
      <c r="Q1230" s="12"/>
      <c r="R1230" s="84">
        <v>1702474.0</v>
      </c>
      <c r="S1230" s="84" t="s">
        <v>40</v>
      </c>
      <c r="T1230" s="90">
        <v>7464216.0</v>
      </c>
      <c r="U1230" s="214">
        <v>45932.5625</v>
      </c>
      <c r="V1230" s="214">
        <v>45933.791666666664</v>
      </c>
      <c r="W1230" s="12"/>
      <c r="X1230" s="12"/>
      <c r="Y1230" s="214">
        <v>45936.416666666664</v>
      </c>
      <c r="Z1230" s="214">
        <v>45936.520833333336</v>
      </c>
      <c r="AA1230" s="12"/>
      <c r="AB1230" s="84">
        <v>337778.0</v>
      </c>
      <c r="AC1230" s="125" t="s">
        <v>827</v>
      </c>
      <c r="AD1230" s="12"/>
      <c r="AE1230" s="207" t="s">
        <v>39</v>
      </c>
      <c r="AF1230" s="207" t="s">
        <v>39</v>
      </c>
      <c r="AG1230" s="22"/>
      <c r="AH1230" s="22"/>
      <c r="AI1230" s="22"/>
      <c r="AJ1230" s="22"/>
      <c r="AK1230" s="22"/>
      <c r="AL1230" s="22"/>
      <c r="AM1230" s="22"/>
      <c r="AN1230" s="22"/>
      <c r="AO1230" s="22"/>
      <c r="AP1230" s="22"/>
    </row>
    <row r="1231" ht="15.75" customHeight="1">
      <c r="A1231" s="103">
        <v>1.1786937E7</v>
      </c>
      <c r="B1231" s="84">
        <v>9.000270953E9</v>
      </c>
      <c r="C1231" s="11">
        <v>45902.0</v>
      </c>
      <c r="D1231" s="84">
        <v>15.0</v>
      </c>
      <c r="E1231" s="84">
        <v>17135.0</v>
      </c>
      <c r="F1231" s="169" t="s">
        <v>43</v>
      </c>
      <c r="G1231" s="168" t="s">
        <v>44</v>
      </c>
      <c r="H1231" s="176" t="s">
        <v>2026</v>
      </c>
      <c r="I1231" s="194" t="s">
        <v>1957</v>
      </c>
      <c r="J1231" s="14" t="s">
        <v>47</v>
      </c>
      <c r="K1231" s="12" t="s">
        <v>35</v>
      </c>
      <c r="L1231" s="95" t="s">
        <v>110</v>
      </c>
      <c r="M1231" s="84" t="s">
        <v>1943</v>
      </c>
      <c r="N1231" s="133">
        <v>1557.2</v>
      </c>
      <c r="O1231" s="73">
        <f t="shared" si="26"/>
        <v>0.7063960956</v>
      </c>
      <c r="P1231" s="98">
        <v>1100.0</v>
      </c>
      <c r="Q1231" s="12"/>
      <c r="R1231" s="84">
        <v>1703714.0</v>
      </c>
      <c r="S1231" s="84" t="s">
        <v>40</v>
      </c>
      <c r="T1231" s="90">
        <v>7474178.0</v>
      </c>
      <c r="U1231" s="214">
        <v>45936.520833333336</v>
      </c>
      <c r="V1231" s="214">
        <v>45936.520833333336</v>
      </c>
      <c r="W1231" s="12"/>
      <c r="X1231" s="12"/>
      <c r="Y1231" s="214">
        <v>45938.604166666664</v>
      </c>
      <c r="Z1231" s="214">
        <v>45939.40277777778</v>
      </c>
      <c r="AA1231" s="12"/>
      <c r="AB1231" s="84"/>
      <c r="AC1231" s="207"/>
      <c r="AD1231" s="12"/>
      <c r="AE1231" s="207" t="s">
        <v>39</v>
      </c>
      <c r="AF1231" s="207" t="s">
        <v>39</v>
      </c>
      <c r="AG1231" s="22"/>
      <c r="AH1231" s="22"/>
      <c r="AI1231" s="22"/>
      <c r="AJ1231" s="22"/>
      <c r="AK1231" s="22"/>
      <c r="AL1231" s="22"/>
      <c r="AM1231" s="22"/>
      <c r="AN1231" s="22"/>
      <c r="AO1231" s="22"/>
      <c r="AP1231" s="22"/>
    </row>
    <row r="1232" ht="15.75" customHeight="1">
      <c r="A1232" s="103">
        <v>1.1745861E7</v>
      </c>
      <c r="B1232" s="84">
        <v>9.00021427E9</v>
      </c>
      <c r="C1232" s="11">
        <v>45917.0</v>
      </c>
      <c r="D1232" s="176">
        <v>26.0</v>
      </c>
      <c r="E1232" s="176">
        <v>31845.0</v>
      </c>
      <c r="F1232" s="219" t="s">
        <v>43</v>
      </c>
      <c r="G1232" s="85" t="s">
        <v>44</v>
      </c>
      <c r="H1232" s="84" t="s">
        <v>1317</v>
      </c>
      <c r="I1232" s="39" t="s">
        <v>137</v>
      </c>
      <c r="J1232" s="84" t="s">
        <v>35</v>
      </c>
      <c r="K1232" s="84" t="s">
        <v>138</v>
      </c>
      <c r="L1232" s="98" t="s">
        <v>94</v>
      </c>
      <c r="M1232" s="84" t="s">
        <v>1931</v>
      </c>
      <c r="N1232" s="133">
        <v>5835.6</v>
      </c>
      <c r="O1232" s="73">
        <f t="shared" si="26"/>
        <v>0</v>
      </c>
      <c r="P1232" s="98"/>
      <c r="Q1232" s="84"/>
      <c r="R1232" s="84">
        <v>1693361.0</v>
      </c>
      <c r="S1232" s="84" t="s">
        <v>40</v>
      </c>
      <c r="T1232" s="90"/>
      <c r="U1232" s="214"/>
      <c r="V1232" s="214"/>
      <c r="W1232" s="198"/>
      <c r="X1232" s="198"/>
      <c r="Y1232" s="214">
        <v>45919.822916666664</v>
      </c>
      <c r="Z1232" s="214">
        <v>45922.572916666664</v>
      </c>
      <c r="AA1232" s="198"/>
      <c r="AB1232" s="84"/>
      <c r="AC1232" s="207"/>
      <c r="AD1232" s="198"/>
      <c r="AE1232" s="207"/>
      <c r="AF1232" s="198"/>
      <c r="AG1232" s="199"/>
      <c r="AH1232" s="199"/>
      <c r="AI1232" s="199"/>
      <c r="AJ1232" s="199"/>
      <c r="AK1232" s="199"/>
      <c r="AL1232" s="199"/>
      <c r="AM1232" s="199"/>
      <c r="AN1232" s="199"/>
      <c r="AO1232" s="199"/>
      <c r="AP1232" s="199"/>
    </row>
    <row r="1233" ht="15.75" customHeight="1">
      <c r="A1233" s="103">
        <v>1.1745867E7</v>
      </c>
      <c r="B1233" s="84">
        <v>9.000214314E9</v>
      </c>
      <c r="C1233" s="11">
        <v>45917.0</v>
      </c>
      <c r="D1233" s="176">
        <v>15.0</v>
      </c>
      <c r="E1233" s="176">
        <v>17135.0</v>
      </c>
      <c r="F1233" s="169" t="s">
        <v>43</v>
      </c>
      <c r="G1233" s="168" t="s">
        <v>44</v>
      </c>
      <c r="H1233" s="84" t="s">
        <v>2027</v>
      </c>
      <c r="I1233" s="39" t="s">
        <v>137</v>
      </c>
      <c r="J1233" s="84" t="s">
        <v>35</v>
      </c>
      <c r="K1233" s="84" t="s">
        <v>138</v>
      </c>
      <c r="L1233" s="98" t="s">
        <v>94</v>
      </c>
      <c r="M1233" s="84" t="s">
        <v>1931</v>
      </c>
      <c r="N1233" s="133">
        <v>3890.4</v>
      </c>
      <c r="O1233" s="73">
        <f t="shared" si="26"/>
        <v>0</v>
      </c>
      <c r="P1233" s="98"/>
      <c r="Q1233" s="84"/>
      <c r="R1233" s="84">
        <v>1695545.0</v>
      </c>
      <c r="S1233" s="84" t="s">
        <v>40</v>
      </c>
      <c r="T1233" s="90"/>
      <c r="U1233" s="214"/>
      <c r="V1233" s="214"/>
      <c r="W1233" s="198"/>
      <c r="X1233" s="198"/>
      <c r="Y1233" s="214"/>
      <c r="Z1233" s="214"/>
      <c r="AA1233" s="198"/>
      <c r="AB1233" s="84">
        <v>88160.0</v>
      </c>
      <c r="AC1233" s="220" t="s">
        <v>2023</v>
      </c>
      <c r="AD1233" s="198"/>
      <c r="AE1233" s="207" t="s">
        <v>39</v>
      </c>
      <c r="AF1233" s="207" t="s">
        <v>39</v>
      </c>
      <c r="AG1233" s="199"/>
      <c r="AH1233" s="199"/>
      <c r="AI1233" s="199"/>
      <c r="AJ1233" s="199"/>
      <c r="AK1233" s="199"/>
      <c r="AL1233" s="199"/>
      <c r="AM1233" s="199"/>
      <c r="AN1233" s="199"/>
      <c r="AO1233" s="199"/>
      <c r="AP1233" s="199"/>
    </row>
    <row r="1234" ht="15.75" customHeight="1">
      <c r="A1234" s="219">
        <v>1.1769339E7</v>
      </c>
      <c r="B1234" s="84">
        <v>9.000244257E9</v>
      </c>
      <c r="C1234" s="11">
        <v>45933.0</v>
      </c>
      <c r="D1234" s="169">
        <v>26.0</v>
      </c>
      <c r="E1234" s="169">
        <v>31343.0</v>
      </c>
      <c r="F1234" s="219" t="s">
        <v>43</v>
      </c>
      <c r="G1234" s="168" t="s">
        <v>44</v>
      </c>
      <c r="H1234" s="169" t="s">
        <v>268</v>
      </c>
      <c r="I1234" s="194" t="s">
        <v>1958</v>
      </c>
      <c r="J1234" s="169" t="s">
        <v>35</v>
      </c>
      <c r="K1234" s="169" t="s">
        <v>270</v>
      </c>
      <c r="L1234" s="171" t="s">
        <v>94</v>
      </c>
      <c r="M1234" s="84" t="s">
        <v>1883</v>
      </c>
      <c r="N1234" s="133">
        <v>5847.0</v>
      </c>
      <c r="O1234" s="73">
        <f t="shared" si="26"/>
        <v>0.7268684796</v>
      </c>
      <c r="P1234" s="98">
        <v>4250.0</v>
      </c>
      <c r="Q1234" s="84" t="s">
        <v>39</v>
      </c>
      <c r="R1234" s="84">
        <v>1702280.0</v>
      </c>
      <c r="S1234" s="84" t="s">
        <v>40</v>
      </c>
      <c r="T1234" s="90">
        <v>7461114.0</v>
      </c>
      <c r="U1234" s="214">
        <v>45933.333333333336</v>
      </c>
      <c r="V1234" s="214">
        <v>45933.48611111111</v>
      </c>
      <c r="W1234" s="198"/>
      <c r="X1234" s="198"/>
      <c r="Y1234" s="214">
        <v>45934.26388888889</v>
      </c>
      <c r="Z1234" s="214">
        <v>45934.743055555555</v>
      </c>
      <c r="AA1234" s="198"/>
      <c r="AB1234" s="84">
        <v>337795.0</v>
      </c>
      <c r="AC1234" s="125" t="s">
        <v>827</v>
      </c>
      <c r="AD1234" s="198"/>
      <c r="AE1234" s="207" t="s">
        <v>39</v>
      </c>
      <c r="AF1234" s="207" t="s">
        <v>39</v>
      </c>
      <c r="AG1234" s="199"/>
      <c r="AH1234" s="199"/>
      <c r="AI1234" s="199"/>
      <c r="AJ1234" s="199"/>
      <c r="AK1234" s="199"/>
      <c r="AL1234" s="199"/>
      <c r="AM1234" s="199"/>
      <c r="AN1234" s="199"/>
      <c r="AO1234" s="199"/>
      <c r="AP1234" s="199"/>
    </row>
    <row r="1235" ht="15.75" customHeight="1">
      <c r="A1235" s="219">
        <v>1.1769344E7</v>
      </c>
      <c r="B1235" s="84">
        <v>9.000244226E9</v>
      </c>
      <c r="C1235" s="11">
        <v>45933.0</v>
      </c>
      <c r="D1235" s="169">
        <v>10.0</v>
      </c>
      <c r="E1235" s="169">
        <v>10551.0</v>
      </c>
      <c r="F1235" s="169" t="s">
        <v>43</v>
      </c>
      <c r="G1235" s="168" t="s">
        <v>44</v>
      </c>
      <c r="H1235" s="169" t="s">
        <v>2028</v>
      </c>
      <c r="I1235" s="194" t="s">
        <v>1957</v>
      </c>
      <c r="J1235" s="170" t="s">
        <v>270</v>
      </c>
      <c r="K1235" s="170" t="s">
        <v>35</v>
      </c>
      <c r="L1235" s="171" t="s">
        <v>43</v>
      </c>
      <c r="M1235" s="84" t="s">
        <v>1883</v>
      </c>
      <c r="N1235" s="133">
        <v>3898.0</v>
      </c>
      <c r="O1235" s="73">
        <f t="shared" si="26"/>
        <v>0.7054899949</v>
      </c>
      <c r="P1235" s="98">
        <v>2750.0</v>
      </c>
      <c r="Q1235" s="198"/>
      <c r="R1235" s="84">
        <v>1702971.0</v>
      </c>
      <c r="S1235" s="84" t="s">
        <v>40</v>
      </c>
      <c r="T1235" s="90">
        <v>7468903.0</v>
      </c>
      <c r="U1235" s="214">
        <v>45934.743055555555</v>
      </c>
      <c r="V1235" s="214">
        <v>45934.743055555555</v>
      </c>
      <c r="W1235" s="198"/>
      <c r="X1235" s="198"/>
      <c r="Y1235" s="214">
        <v>45936.791666666664</v>
      </c>
      <c r="Z1235" s="214">
        <v>45938.3125</v>
      </c>
      <c r="AA1235" s="198"/>
      <c r="AB1235" s="84">
        <v>118531.0</v>
      </c>
      <c r="AC1235" s="125" t="s">
        <v>2023</v>
      </c>
      <c r="AD1235" s="198"/>
      <c r="AE1235" s="207" t="s">
        <v>39</v>
      </c>
      <c r="AF1235" s="207" t="s">
        <v>39</v>
      </c>
      <c r="AG1235" s="199"/>
      <c r="AH1235" s="199"/>
      <c r="AI1235" s="199"/>
      <c r="AJ1235" s="199"/>
      <c r="AK1235" s="199"/>
      <c r="AL1235" s="199"/>
      <c r="AM1235" s="199"/>
      <c r="AN1235" s="199"/>
      <c r="AO1235" s="199"/>
      <c r="AP1235" s="199"/>
    </row>
    <row r="1236" ht="15.75" customHeight="1">
      <c r="A1236" s="103">
        <v>1.1786932E7</v>
      </c>
      <c r="B1236" s="84">
        <v>9.000270924E9</v>
      </c>
      <c r="C1236" s="11">
        <v>45933.0</v>
      </c>
      <c r="D1236" s="84">
        <v>27.0</v>
      </c>
      <c r="E1236" s="84">
        <v>34716.0</v>
      </c>
      <c r="F1236" s="103" t="s">
        <v>31</v>
      </c>
      <c r="G1236" s="84" t="s">
        <v>44</v>
      </c>
      <c r="H1236" s="169" t="s">
        <v>268</v>
      </c>
      <c r="I1236" s="194" t="s">
        <v>1958</v>
      </c>
      <c r="J1236" s="169" t="s">
        <v>35</v>
      </c>
      <c r="K1236" s="169" t="s">
        <v>270</v>
      </c>
      <c r="L1236" s="171" t="s">
        <v>94</v>
      </c>
      <c r="M1236" s="176" t="s">
        <v>1999</v>
      </c>
      <c r="N1236" s="133">
        <v>6410.0</v>
      </c>
      <c r="O1236" s="73">
        <f t="shared" si="26"/>
        <v>0.6630265211</v>
      </c>
      <c r="P1236" s="98">
        <v>4250.0</v>
      </c>
      <c r="Q1236" s="84" t="s">
        <v>39</v>
      </c>
      <c r="R1236" s="84">
        <v>1702494.0</v>
      </c>
      <c r="S1236" s="84" t="s">
        <v>40</v>
      </c>
      <c r="T1236" s="90">
        <v>7464560.0</v>
      </c>
      <c r="U1236" s="214">
        <v>45933.645833333336</v>
      </c>
      <c r="V1236" s="214">
        <v>45934.333333333336</v>
      </c>
      <c r="W1236" s="12"/>
      <c r="X1236" s="12"/>
      <c r="Y1236" s="214">
        <v>45936.666666666664</v>
      </c>
      <c r="Z1236" s="214">
        <v>47033.6875</v>
      </c>
      <c r="AA1236" s="12"/>
      <c r="AB1236" s="84">
        <v>337828.0</v>
      </c>
      <c r="AC1236" s="125" t="s">
        <v>827</v>
      </c>
      <c r="AD1236" s="12"/>
      <c r="AE1236" s="207" t="s">
        <v>39</v>
      </c>
      <c r="AF1236" s="207" t="s">
        <v>39</v>
      </c>
      <c r="AG1236" s="22"/>
      <c r="AH1236" s="22"/>
      <c r="AI1236" s="22"/>
      <c r="AJ1236" s="22"/>
      <c r="AK1236" s="22"/>
      <c r="AL1236" s="22"/>
      <c r="AM1236" s="22"/>
      <c r="AN1236" s="22"/>
      <c r="AO1236" s="22"/>
      <c r="AP1236" s="22"/>
    </row>
    <row r="1237" ht="15.75" customHeight="1">
      <c r="A1237" s="103">
        <v>1.1798345E7</v>
      </c>
      <c r="B1237" s="84">
        <v>9.000287443E9</v>
      </c>
      <c r="C1237" s="11">
        <v>45934.0</v>
      </c>
      <c r="D1237" s="84">
        <v>26.0</v>
      </c>
      <c r="E1237" s="84">
        <v>31625.0</v>
      </c>
      <c r="F1237" s="219" t="s">
        <v>43</v>
      </c>
      <c r="G1237" s="84" t="s">
        <v>44</v>
      </c>
      <c r="H1237" s="169" t="s">
        <v>268</v>
      </c>
      <c r="I1237" s="194" t="s">
        <v>1958</v>
      </c>
      <c r="J1237" s="169" t="s">
        <v>35</v>
      </c>
      <c r="K1237" s="169" t="s">
        <v>270</v>
      </c>
      <c r="L1237" s="171" t="s">
        <v>94</v>
      </c>
      <c r="M1237" s="84" t="s">
        <v>1974</v>
      </c>
      <c r="N1237" s="133">
        <v>6410.0</v>
      </c>
      <c r="O1237" s="73">
        <f t="shared" si="26"/>
        <v>0.6630265211</v>
      </c>
      <c r="P1237" s="98">
        <v>4250.0</v>
      </c>
      <c r="Q1237" s="84" t="s">
        <v>39</v>
      </c>
      <c r="R1237" s="84">
        <v>1702812.0</v>
      </c>
      <c r="S1237" s="84" t="s">
        <v>40</v>
      </c>
      <c r="T1237" s="90">
        <v>7467890.0</v>
      </c>
      <c r="U1237" s="214">
        <v>45934.52777777778</v>
      </c>
      <c r="V1237" s="214">
        <v>45934.76388888889</v>
      </c>
      <c r="W1237" s="12"/>
      <c r="X1237" s="12"/>
      <c r="Y1237" s="214">
        <v>45937.645833333336</v>
      </c>
      <c r="Z1237" s="214">
        <v>45938.0</v>
      </c>
      <c r="AA1237" s="12"/>
      <c r="AB1237" s="84">
        <v>337856.0</v>
      </c>
      <c r="AC1237" s="125" t="s">
        <v>827</v>
      </c>
      <c r="AD1237" s="12"/>
      <c r="AE1237" s="207" t="s">
        <v>39</v>
      </c>
      <c r="AF1237" s="207" t="s">
        <v>39</v>
      </c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</row>
    <row r="1238" ht="15.75" customHeight="1">
      <c r="A1238" s="103">
        <v>1.1811754E7</v>
      </c>
      <c r="B1238" s="84">
        <v>9.000305153E9</v>
      </c>
      <c r="C1238" s="11">
        <v>45938.0</v>
      </c>
      <c r="D1238" s="84">
        <v>14.0</v>
      </c>
      <c r="E1238" s="84">
        <v>15900.0</v>
      </c>
      <c r="F1238" s="219" t="s">
        <v>43</v>
      </c>
      <c r="G1238" s="85" t="s">
        <v>44</v>
      </c>
      <c r="H1238" s="169" t="s">
        <v>2029</v>
      </c>
      <c r="I1238" s="194" t="s">
        <v>1957</v>
      </c>
      <c r="J1238" s="169" t="s">
        <v>270</v>
      </c>
      <c r="K1238" s="169" t="s">
        <v>35</v>
      </c>
      <c r="L1238" s="165" t="s">
        <v>43</v>
      </c>
      <c r="M1238" s="84" t="s">
        <v>1974</v>
      </c>
      <c r="N1238" s="133">
        <v>6410.0</v>
      </c>
      <c r="O1238" s="73">
        <f t="shared" si="26"/>
        <v>0.4290171607</v>
      </c>
      <c r="P1238" s="98">
        <v>2750.0</v>
      </c>
      <c r="Q1238" s="84"/>
      <c r="R1238" s="84">
        <v>1704872.0</v>
      </c>
      <c r="S1238" s="84" t="s">
        <v>40</v>
      </c>
      <c r="T1238" s="90">
        <v>7486979.0</v>
      </c>
      <c r="U1238" s="214">
        <v>45938.270833333336</v>
      </c>
      <c r="V1238" s="214">
        <v>45938.38888888889</v>
      </c>
      <c r="W1238" s="12"/>
      <c r="X1238" s="12"/>
      <c r="Y1238" s="214">
        <v>45939.430555555555</v>
      </c>
      <c r="Z1238" s="214">
        <v>45940.208333333336</v>
      </c>
      <c r="AA1238" s="12"/>
      <c r="AB1238" s="84">
        <v>123554.0</v>
      </c>
      <c r="AC1238" s="125" t="s">
        <v>2023</v>
      </c>
      <c r="AD1238" s="12"/>
      <c r="AE1238" s="207" t="s">
        <v>39</v>
      </c>
      <c r="AF1238" s="207" t="s">
        <v>39</v>
      </c>
      <c r="AG1238" s="22"/>
      <c r="AH1238" s="22"/>
      <c r="AI1238" s="22"/>
      <c r="AJ1238" s="22"/>
      <c r="AK1238" s="22"/>
      <c r="AL1238" s="22"/>
      <c r="AM1238" s="22"/>
      <c r="AN1238" s="22"/>
      <c r="AO1238" s="22"/>
      <c r="AP1238" s="22"/>
    </row>
    <row r="1239" ht="15.75" customHeight="1">
      <c r="A1239" s="103">
        <v>1.178693E7</v>
      </c>
      <c r="B1239" s="84">
        <v>9.000270785E9</v>
      </c>
      <c r="C1239" s="11">
        <v>45937.0</v>
      </c>
      <c r="D1239" s="84">
        <v>28.0</v>
      </c>
      <c r="E1239" s="84">
        <v>34295.0</v>
      </c>
      <c r="F1239" s="219" t="s">
        <v>43</v>
      </c>
      <c r="G1239" s="168" t="s">
        <v>44</v>
      </c>
      <c r="H1239" s="169" t="s">
        <v>268</v>
      </c>
      <c r="I1239" s="194" t="s">
        <v>1958</v>
      </c>
      <c r="J1239" s="169" t="s">
        <v>35</v>
      </c>
      <c r="K1239" s="169" t="s">
        <v>270</v>
      </c>
      <c r="L1239" s="171" t="s">
        <v>94</v>
      </c>
      <c r="M1239" s="146" t="s">
        <v>1883</v>
      </c>
      <c r="N1239" s="133">
        <v>5847.0</v>
      </c>
      <c r="O1239" s="73">
        <f t="shared" si="26"/>
        <v>0.7268684796</v>
      </c>
      <c r="P1239" s="98">
        <v>4250.0</v>
      </c>
      <c r="Q1239" s="12"/>
      <c r="R1239" s="84">
        <v>1704714.0</v>
      </c>
      <c r="S1239" s="84" t="s">
        <v>40</v>
      </c>
      <c r="T1239" s="90">
        <v>7484853.0</v>
      </c>
      <c r="U1239" s="214">
        <v>45938.3125</v>
      </c>
      <c r="V1239" s="214">
        <v>45938.3125</v>
      </c>
      <c r="W1239" s="12"/>
      <c r="X1239" s="12"/>
      <c r="Y1239" s="221">
        <v>45941.0</v>
      </c>
      <c r="Z1239" s="222">
        <v>45959.38888888889</v>
      </c>
      <c r="AA1239" s="12"/>
      <c r="AB1239" s="84" t="s">
        <v>2030</v>
      </c>
      <c r="AC1239" s="84" t="s">
        <v>2031</v>
      </c>
      <c r="AD1239" s="12"/>
      <c r="AE1239" s="62"/>
      <c r="AF1239" s="223"/>
      <c r="AG1239" s="22"/>
      <c r="AH1239" s="22"/>
      <c r="AI1239" s="22"/>
      <c r="AJ1239" s="22"/>
      <c r="AK1239" s="22"/>
      <c r="AL1239" s="22"/>
      <c r="AM1239" s="22"/>
      <c r="AN1239" s="22"/>
      <c r="AO1239" s="22"/>
      <c r="AP1239" s="22"/>
    </row>
    <row r="1240" ht="15.75" customHeight="1">
      <c r="A1240" s="103">
        <v>1.1786935E7</v>
      </c>
      <c r="B1240" s="84">
        <v>9.000270792E9</v>
      </c>
      <c r="C1240" s="11">
        <v>45937.0</v>
      </c>
      <c r="D1240" s="84">
        <v>15.0</v>
      </c>
      <c r="E1240" s="84">
        <v>17135.0</v>
      </c>
      <c r="F1240" s="169" t="s">
        <v>43</v>
      </c>
      <c r="G1240" s="168" t="s">
        <v>44</v>
      </c>
      <c r="H1240" s="169" t="s">
        <v>2032</v>
      </c>
      <c r="I1240" s="194" t="s">
        <v>1957</v>
      </c>
      <c r="J1240" s="170" t="s">
        <v>270</v>
      </c>
      <c r="K1240" s="170" t="s">
        <v>35</v>
      </c>
      <c r="L1240" s="171" t="s">
        <v>43</v>
      </c>
      <c r="M1240" s="216" t="s">
        <v>1883</v>
      </c>
      <c r="N1240" s="133">
        <v>3898.0</v>
      </c>
      <c r="O1240" s="73">
        <f t="shared" si="26"/>
        <v>0</v>
      </c>
      <c r="P1240" s="15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98"/>
      <c r="AG1240" s="22"/>
      <c r="AH1240" s="22"/>
      <c r="AI1240" s="22"/>
      <c r="AJ1240" s="22"/>
      <c r="AK1240" s="22"/>
      <c r="AL1240" s="22"/>
      <c r="AM1240" s="22"/>
      <c r="AN1240" s="22"/>
      <c r="AO1240" s="22"/>
      <c r="AP1240" s="22"/>
    </row>
    <row r="1241" ht="15.75" customHeight="1">
      <c r="A1241" s="103">
        <v>1.1821023E7</v>
      </c>
      <c r="B1241" s="84"/>
      <c r="C1241" s="11">
        <v>45941.0</v>
      </c>
      <c r="D1241" s="84"/>
      <c r="E1241" s="84"/>
      <c r="F1241" s="169"/>
      <c r="G1241" s="168"/>
      <c r="H1241" s="176" t="s">
        <v>2033</v>
      </c>
      <c r="I1241" s="194"/>
      <c r="J1241" s="170" t="s">
        <v>270</v>
      </c>
      <c r="K1241" s="170" t="s">
        <v>35</v>
      </c>
      <c r="L1241" s="171"/>
      <c r="M1241" s="84" t="s">
        <v>2034</v>
      </c>
      <c r="N1241" s="133"/>
      <c r="O1241" s="73"/>
      <c r="P1241" s="15"/>
      <c r="Q1241" s="12"/>
      <c r="R1241" s="84"/>
      <c r="S1241" s="84" t="s">
        <v>40</v>
      </c>
      <c r="T1241" s="12"/>
      <c r="U1241" s="12"/>
      <c r="V1241" s="224">
        <v>45941.0</v>
      </c>
      <c r="W1241" s="12"/>
      <c r="X1241" s="12"/>
      <c r="Y1241" s="225">
        <v>45958.006944444445</v>
      </c>
      <c r="Z1241" s="225">
        <v>45959.38888888889</v>
      </c>
      <c r="AA1241" s="12"/>
      <c r="AB1241" s="12"/>
      <c r="AC1241" s="12"/>
      <c r="AD1241" s="12"/>
      <c r="AE1241" s="62"/>
      <c r="AF1241" s="223"/>
      <c r="AG1241" s="22"/>
      <c r="AH1241" s="22"/>
      <c r="AI1241" s="22"/>
      <c r="AJ1241" s="22"/>
      <c r="AK1241" s="22"/>
      <c r="AL1241" s="22"/>
      <c r="AM1241" s="22"/>
      <c r="AN1241" s="22"/>
      <c r="AO1241" s="22"/>
      <c r="AP1241" s="22"/>
    </row>
    <row r="1242" ht="15.75" customHeight="1">
      <c r="A1242" s="103">
        <v>1.1786929E7</v>
      </c>
      <c r="B1242" s="84">
        <v>9.0002709E9</v>
      </c>
      <c r="C1242" s="11">
        <v>45938.0</v>
      </c>
      <c r="D1242" s="84">
        <v>28.0</v>
      </c>
      <c r="E1242" s="84">
        <v>34295.0</v>
      </c>
      <c r="F1242" s="219" t="s">
        <v>43</v>
      </c>
      <c r="G1242" s="168" t="s">
        <v>44</v>
      </c>
      <c r="H1242" s="169" t="s">
        <v>268</v>
      </c>
      <c r="I1242" s="194" t="s">
        <v>1958</v>
      </c>
      <c r="J1242" s="169" t="s">
        <v>35</v>
      </c>
      <c r="K1242" s="169" t="s">
        <v>270</v>
      </c>
      <c r="L1242" s="171" t="s">
        <v>94</v>
      </c>
      <c r="M1242" s="216" t="s">
        <v>1943</v>
      </c>
      <c r="N1242" s="133">
        <v>5847.0</v>
      </c>
      <c r="O1242" s="73">
        <f t="shared" ref="O1242:O1416" si="27">IFERROR(P1242/N1242,0)</f>
        <v>0.7696254489</v>
      </c>
      <c r="P1242" s="98">
        <v>4500.0</v>
      </c>
      <c r="Q1242" s="84" t="s">
        <v>39</v>
      </c>
      <c r="R1242" s="84">
        <v>1705391.0</v>
      </c>
      <c r="S1242" s="84" t="s">
        <v>40</v>
      </c>
      <c r="T1242" s="90">
        <v>7492619.0</v>
      </c>
      <c r="U1242" s="214">
        <v>45938.604166666664</v>
      </c>
      <c r="V1242" s="214">
        <v>45939.40277777778</v>
      </c>
      <c r="W1242" s="12"/>
      <c r="X1242" s="12"/>
      <c r="Y1242" s="225">
        <v>45940.625</v>
      </c>
      <c r="Z1242" s="225">
        <v>45941.694444444445</v>
      </c>
      <c r="AA1242" s="12"/>
      <c r="AB1242" s="12"/>
      <c r="AC1242" s="207" t="s">
        <v>827</v>
      </c>
      <c r="AD1242" s="12"/>
      <c r="AE1242" s="207" t="s">
        <v>39</v>
      </c>
      <c r="AF1242" s="198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</row>
    <row r="1243" ht="15.75" customHeight="1">
      <c r="A1243" s="103">
        <v>1.1786934E7</v>
      </c>
      <c r="B1243" s="84">
        <v>9.00027095E9</v>
      </c>
      <c r="C1243" s="11">
        <v>45938.0</v>
      </c>
      <c r="D1243" s="84">
        <v>15.0</v>
      </c>
      <c r="E1243" s="84">
        <v>17135.0</v>
      </c>
      <c r="F1243" s="169" t="s">
        <v>43</v>
      </c>
      <c r="G1243" s="168" t="s">
        <v>44</v>
      </c>
      <c r="H1243" s="169" t="s">
        <v>2035</v>
      </c>
      <c r="I1243" s="194" t="s">
        <v>1957</v>
      </c>
      <c r="J1243" s="170" t="s">
        <v>270</v>
      </c>
      <c r="K1243" s="170" t="s">
        <v>35</v>
      </c>
      <c r="L1243" s="171" t="s">
        <v>43</v>
      </c>
      <c r="M1243" s="84" t="s">
        <v>1943</v>
      </c>
      <c r="N1243" s="133">
        <v>3898.0</v>
      </c>
      <c r="O1243" s="73">
        <f t="shared" si="27"/>
        <v>0.7054899949</v>
      </c>
      <c r="P1243" s="98">
        <v>2750.0</v>
      </c>
      <c r="Q1243" s="12"/>
      <c r="R1243" s="84">
        <v>1707066.0</v>
      </c>
      <c r="S1243" s="84" t="s">
        <v>40</v>
      </c>
      <c r="T1243" s="90">
        <v>7511801.0</v>
      </c>
      <c r="U1243" s="225">
        <v>45941.694444444445</v>
      </c>
      <c r="V1243" s="225">
        <v>45941.694444444445</v>
      </c>
      <c r="W1243" s="12"/>
      <c r="X1243" s="12"/>
      <c r="Y1243" s="225">
        <v>45944.40625</v>
      </c>
      <c r="Z1243" s="225">
        <v>45944.40625</v>
      </c>
      <c r="AA1243" s="12"/>
      <c r="AB1243" s="12"/>
      <c r="AC1243" s="207"/>
      <c r="AD1243" s="12"/>
      <c r="AE1243" s="207" t="s">
        <v>39</v>
      </c>
      <c r="AF1243" s="198"/>
      <c r="AG1243" s="22"/>
      <c r="AH1243" s="22"/>
      <c r="AI1243" s="22"/>
      <c r="AJ1243" s="22"/>
      <c r="AK1243" s="22"/>
      <c r="AL1243" s="22"/>
      <c r="AM1243" s="22"/>
      <c r="AN1243" s="22"/>
      <c r="AO1243" s="22"/>
      <c r="AP1243" s="22"/>
    </row>
    <row r="1244" ht="15.75" customHeight="1">
      <c r="A1244" s="103">
        <v>1.1787063E7</v>
      </c>
      <c r="B1244" s="84">
        <v>9.000270887E9</v>
      </c>
      <c r="C1244" s="11">
        <v>45938.0</v>
      </c>
      <c r="D1244" s="84">
        <v>26.0</v>
      </c>
      <c r="E1244" s="84">
        <v>34295.0</v>
      </c>
      <c r="F1244" s="219" t="s">
        <v>43</v>
      </c>
      <c r="G1244" s="168" t="s">
        <v>44</v>
      </c>
      <c r="H1244" s="169" t="s">
        <v>268</v>
      </c>
      <c r="I1244" s="194" t="s">
        <v>1958</v>
      </c>
      <c r="J1244" s="169" t="s">
        <v>35</v>
      </c>
      <c r="K1244" s="169" t="s">
        <v>270</v>
      </c>
      <c r="L1244" s="171" t="s">
        <v>94</v>
      </c>
      <c r="M1244" s="84" t="s">
        <v>2036</v>
      </c>
      <c r="N1244" s="133">
        <v>5847.0</v>
      </c>
      <c r="O1244" s="73">
        <f t="shared" si="27"/>
        <v>0.7696254489</v>
      </c>
      <c r="P1244" s="98">
        <v>4500.0</v>
      </c>
      <c r="Q1244" s="12"/>
      <c r="R1244" s="84">
        <v>1705392.0</v>
      </c>
      <c r="S1244" s="84" t="s">
        <v>40</v>
      </c>
      <c r="T1244" s="90">
        <v>7492626.0</v>
      </c>
      <c r="U1244" s="214">
        <v>45938.6875</v>
      </c>
      <c r="V1244" s="214">
        <v>45939.069444444445</v>
      </c>
      <c r="W1244" s="12"/>
      <c r="X1244" s="12"/>
      <c r="Y1244" s="225">
        <v>45944.430555555555</v>
      </c>
      <c r="Z1244" s="225">
        <v>45944.430555555555</v>
      </c>
      <c r="AA1244" s="12"/>
      <c r="AB1244" s="12"/>
      <c r="AC1244" s="207" t="s">
        <v>827</v>
      </c>
      <c r="AD1244" s="12"/>
      <c r="AE1244" s="207" t="s">
        <v>39</v>
      </c>
      <c r="AF1244" s="198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</row>
    <row r="1245" ht="15.75" customHeight="1">
      <c r="A1245" s="103">
        <v>1.1787064E7</v>
      </c>
      <c r="B1245" s="84">
        <v>9.000270866E9</v>
      </c>
      <c r="C1245" s="11">
        <v>45938.0</v>
      </c>
      <c r="D1245" s="84">
        <v>15.0</v>
      </c>
      <c r="E1245" s="84">
        <v>17135.0</v>
      </c>
      <c r="F1245" s="169" t="s">
        <v>43</v>
      </c>
      <c r="G1245" s="168" t="s">
        <v>44</v>
      </c>
      <c r="H1245" s="169" t="s">
        <v>2037</v>
      </c>
      <c r="I1245" s="194" t="s">
        <v>1957</v>
      </c>
      <c r="J1245" s="170" t="s">
        <v>270</v>
      </c>
      <c r="K1245" s="170" t="s">
        <v>35</v>
      </c>
      <c r="L1245" s="171" t="s">
        <v>43</v>
      </c>
      <c r="M1245" s="84" t="s">
        <v>2036</v>
      </c>
      <c r="N1245" s="133">
        <v>3898.0</v>
      </c>
      <c r="O1245" s="73">
        <f t="shared" si="27"/>
        <v>0.6998460749</v>
      </c>
      <c r="P1245" s="98">
        <v>2728.0</v>
      </c>
      <c r="Q1245" s="12"/>
      <c r="R1245" s="84">
        <v>1709100.0</v>
      </c>
      <c r="S1245" s="84" t="s">
        <v>40</v>
      </c>
      <c r="T1245" s="90">
        <v>7530998.0</v>
      </c>
      <c r="U1245" s="225">
        <v>45944.430555555555</v>
      </c>
      <c r="V1245" s="225">
        <v>45945.020833333336</v>
      </c>
      <c r="W1245" s="12"/>
      <c r="X1245" s="12"/>
      <c r="Y1245" s="225">
        <v>45946.291666666664</v>
      </c>
      <c r="Z1245" s="225">
        <v>45946.60763888889</v>
      </c>
      <c r="AA1245" s="12"/>
      <c r="AB1245" s="12"/>
      <c r="AC1245" s="207"/>
      <c r="AD1245" s="12"/>
      <c r="AE1245" s="207" t="s">
        <v>39</v>
      </c>
      <c r="AF1245" s="198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</row>
    <row r="1246" ht="15.75" customHeight="1">
      <c r="A1246" s="103">
        <v>1.1798343E7</v>
      </c>
      <c r="B1246" s="84">
        <v>9.000287405E9</v>
      </c>
      <c r="C1246" s="11">
        <v>45938.0</v>
      </c>
      <c r="D1246" s="84">
        <v>26.0</v>
      </c>
      <c r="E1246" s="84">
        <v>31625.0</v>
      </c>
      <c r="F1246" s="103" t="s">
        <v>31</v>
      </c>
      <c r="G1246" s="84" t="s">
        <v>44</v>
      </c>
      <c r="H1246" s="169" t="s">
        <v>268</v>
      </c>
      <c r="I1246" s="194" t="s">
        <v>1958</v>
      </c>
      <c r="J1246" s="169" t="s">
        <v>35</v>
      </c>
      <c r="K1246" s="169" t="s">
        <v>270</v>
      </c>
      <c r="L1246" s="171" t="s">
        <v>94</v>
      </c>
      <c r="M1246" s="84" t="s">
        <v>1860</v>
      </c>
      <c r="N1246" s="133">
        <v>6410.0</v>
      </c>
      <c r="O1246" s="73">
        <f t="shared" si="27"/>
        <v>0.6630265211</v>
      </c>
      <c r="P1246" s="98">
        <v>4250.0</v>
      </c>
      <c r="Q1246" s="12"/>
      <c r="R1246" s="84">
        <v>1705545.0</v>
      </c>
      <c r="S1246" s="84" t="s">
        <v>40</v>
      </c>
      <c r="T1246" s="90">
        <v>7494787.0</v>
      </c>
      <c r="U1246" s="214">
        <v>45938.875</v>
      </c>
      <c r="V1246" s="214">
        <v>45939.21875</v>
      </c>
      <c r="W1246" s="12"/>
      <c r="X1246" s="12"/>
      <c r="Y1246" s="225">
        <v>45943.81597222222</v>
      </c>
      <c r="Z1246" s="225">
        <v>45944.760416666664</v>
      </c>
      <c r="AA1246" s="12"/>
      <c r="AB1246" s="12"/>
      <c r="AC1246" s="207" t="s">
        <v>827</v>
      </c>
      <c r="AD1246" s="12"/>
      <c r="AE1246" s="207" t="s">
        <v>39</v>
      </c>
      <c r="AF1246" s="198"/>
      <c r="AG1246" s="22"/>
      <c r="AH1246" s="22"/>
      <c r="AI1246" s="22"/>
      <c r="AJ1246" s="22"/>
      <c r="AK1246" s="22"/>
      <c r="AL1246" s="22"/>
      <c r="AM1246" s="22"/>
      <c r="AN1246" s="22"/>
      <c r="AO1246" s="22"/>
      <c r="AP1246" s="22"/>
    </row>
    <row r="1247" ht="15.75" customHeight="1">
      <c r="A1247" s="103">
        <v>1.1830729E7</v>
      </c>
      <c r="B1247" s="84">
        <v>9.000328358E9</v>
      </c>
      <c r="C1247" s="11">
        <v>45944.0</v>
      </c>
      <c r="D1247" s="226"/>
      <c r="E1247" s="164"/>
      <c r="F1247" s="169" t="s">
        <v>43</v>
      </c>
      <c r="G1247" s="168" t="s">
        <v>44</v>
      </c>
      <c r="H1247" s="169" t="s">
        <v>2038</v>
      </c>
      <c r="I1247" s="194" t="s">
        <v>1957</v>
      </c>
      <c r="J1247" s="170" t="s">
        <v>270</v>
      </c>
      <c r="K1247" s="170" t="s">
        <v>35</v>
      </c>
      <c r="L1247" s="171" t="s">
        <v>43</v>
      </c>
      <c r="M1247" s="84" t="s">
        <v>1860</v>
      </c>
      <c r="N1247" s="227">
        <v>6410.0</v>
      </c>
      <c r="O1247" s="73">
        <f t="shared" si="27"/>
        <v>0.4290171607</v>
      </c>
      <c r="P1247" s="98">
        <v>2750.0</v>
      </c>
      <c r="Q1247" s="12"/>
      <c r="R1247" s="84">
        <v>1708853.0</v>
      </c>
      <c r="S1247" s="84" t="s">
        <v>40</v>
      </c>
      <c r="T1247" s="90">
        <v>7528360.0</v>
      </c>
      <c r="U1247" s="225">
        <v>45944.760416666664</v>
      </c>
      <c r="V1247" s="214">
        <v>45944.774305555555</v>
      </c>
      <c r="W1247" s="12"/>
      <c r="X1247" s="12"/>
      <c r="Y1247" s="225">
        <v>45946.368055555555</v>
      </c>
      <c r="Z1247" s="225">
        <v>45946.916666666664</v>
      </c>
      <c r="AA1247" s="12"/>
      <c r="AB1247" s="12"/>
      <c r="AC1247" s="207"/>
      <c r="AD1247" s="12"/>
      <c r="AE1247" s="207" t="s">
        <v>39</v>
      </c>
      <c r="AF1247" s="198"/>
      <c r="AG1247" s="22"/>
      <c r="AH1247" s="22"/>
      <c r="AI1247" s="22"/>
      <c r="AJ1247" s="22"/>
      <c r="AK1247" s="22"/>
      <c r="AL1247" s="22"/>
      <c r="AM1247" s="22"/>
      <c r="AN1247" s="22"/>
      <c r="AO1247" s="22"/>
      <c r="AP1247" s="22"/>
    </row>
    <row r="1248" ht="15.75" customHeight="1">
      <c r="A1248" s="103">
        <v>1.181397E7</v>
      </c>
      <c r="B1248" s="84">
        <v>9.000307853E9</v>
      </c>
      <c r="C1248" s="11">
        <v>45940.0</v>
      </c>
      <c r="D1248" s="226">
        <v>26.0</v>
      </c>
      <c r="E1248" s="164">
        <v>31625.0</v>
      </c>
      <c r="F1248" s="226" t="s">
        <v>31</v>
      </c>
      <c r="G1248" s="228" t="s">
        <v>32</v>
      </c>
      <c r="H1248" s="226" t="s">
        <v>265</v>
      </c>
      <c r="I1248" s="171" t="s">
        <v>266</v>
      </c>
      <c r="J1248" s="229" t="s">
        <v>35</v>
      </c>
      <c r="K1248" s="226" t="s">
        <v>267</v>
      </c>
      <c r="L1248" s="171" t="s">
        <v>114</v>
      </c>
      <c r="M1248" s="84" t="s">
        <v>1974</v>
      </c>
      <c r="N1248" s="227">
        <v>6527.0</v>
      </c>
      <c r="O1248" s="73">
        <f t="shared" si="27"/>
        <v>0.7375517083</v>
      </c>
      <c r="P1248" s="98">
        <v>4814.0</v>
      </c>
      <c r="Q1248" s="12"/>
      <c r="R1248" s="84">
        <v>1706222.0</v>
      </c>
      <c r="S1248" s="84" t="s">
        <v>40</v>
      </c>
      <c r="T1248" s="90">
        <v>7501927.0</v>
      </c>
      <c r="U1248" s="214">
        <v>45940.208333333336</v>
      </c>
      <c r="V1248" s="214">
        <v>45940.208333333336</v>
      </c>
      <c r="W1248" s="12"/>
      <c r="X1248" s="12"/>
      <c r="Y1248" s="225">
        <v>45941.319444444445</v>
      </c>
      <c r="Z1248" s="225">
        <v>45941.4375</v>
      </c>
      <c r="AA1248" s="12"/>
      <c r="AB1248" s="12"/>
      <c r="AC1248" s="207" t="s">
        <v>827</v>
      </c>
      <c r="AD1248" s="12"/>
      <c r="AE1248" s="207" t="s">
        <v>39</v>
      </c>
      <c r="AF1248" s="198"/>
      <c r="AG1248" s="22"/>
      <c r="AH1248" s="22"/>
      <c r="AI1248" s="22"/>
      <c r="AJ1248" s="22"/>
      <c r="AK1248" s="22"/>
      <c r="AL1248" s="22"/>
      <c r="AM1248" s="22"/>
      <c r="AN1248" s="22"/>
      <c r="AO1248" s="22"/>
      <c r="AP1248" s="22"/>
    </row>
    <row r="1249" ht="15.75" customHeight="1">
      <c r="A1249" s="103">
        <v>1.1804087E7</v>
      </c>
      <c r="B1249" s="84">
        <v>9.000295578E9</v>
      </c>
      <c r="C1249" s="11">
        <v>45944.0</v>
      </c>
      <c r="D1249" s="84">
        <v>28.0</v>
      </c>
      <c r="E1249" s="84">
        <v>34295.0</v>
      </c>
      <c r="F1249" s="219" t="s">
        <v>43</v>
      </c>
      <c r="G1249" s="168" t="s">
        <v>44</v>
      </c>
      <c r="H1249" s="169" t="s">
        <v>268</v>
      </c>
      <c r="I1249" s="194" t="s">
        <v>1958</v>
      </c>
      <c r="J1249" s="169" t="s">
        <v>35</v>
      </c>
      <c r="K1249" s="169" t="s">
        <v>270</v>
      </c>
      <c r="L1249" s="171" t="s">
        <v>94</v>
      </c>
      <c r="M1249" s="84" t="s">
        <v>1943</v>
      </c>
      <c r="N1249" s="133">
        <v>5847.0</v>
      </c>
      <c r="O1249" s="73">
        <f t="shared" si="27"/>
        <v>0.7268684796</v>
      </c>
      <c r="P1249" s="98">
        <v>4250.0</v>
      </c>
      <c r="Q1249" s="84" t="s">
        <v>39</v>
      </c>
      <c r="R1249" s="84">
        <v>1708572.0</v>
      </c>
      <c r="S1249" s="84" t="s">
        <v>40</v>
      </c>
      <c r="T1249" s="90">
        <v>7525877.0</v>
      </c>
      <c r="U1249" s="225">
        <v>45944.40625</v>
      </c>
      <c r="V1249" s="84" t="s">
        <v>2039</v>
      </c>
      <c r="W1249" s="12"/>
      <c r="X1249" s="12"/>
      <c r="Y1249" s="225">
        <v>45945.78472222222</v>
      </c>
      <c r="Z1249" s="225">
        <v>45946.47222222222</v>
      </c>
      <c r="AA1249" s="12"/>
      <c r="AB1249" s="12"/>
      <c r="AC1249" s="207" t="s">
        <v>827</v>
      </c>
      <c r="AD1249" s="12"/>
      <c r="AE1249" s="207" t="s">
        <v>39</v>
      </c>
      <c r="AF1249" s="198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</row>
    <row r="1250" ht="15.75" customHeight="1">
      <c r="A1250" s="103">
        <v>1.1804092E7</v>
      </c>
      <c r="B1250" s="84">
        <v>9.00029551E9</v>
      </c>
      <c r="C1250" s="11">
        <v>45944.0</v>
      </c>
      <c r="D1250" s="84">
        <v>15.0</v>
      </c>
      <c r="E1250" s="84">
        <v>17135.0</v>
      </c>
      <c r="F1250" s="169" t="s">
        <v>43</v>
      </c>
      <c r="G1250" s="168" t="s">
        <v>44</v>
      </c>
      <c r="H1250" s="169" t="s">
        <v>2040</v>
      </c>
      <c r="I1250" s="194" t="s">
        <v>1957</v>
      </c>
      <c r="J1250" s="170" t="s">
        <v>270</v>
      </c>
      <c r="K1250" s="170" t="s">
        <v>35</v>
      </c>
      <c r="L1250" s="171" t="s">
        <v>43</v>
      </c>
      <c r="M1250" s="84" t="s">
        <v>1943</v>
      </c>
      <c r="N1250" s="133">
        <v>3898.0</v>
      </c>
      <c r="O1250" s="73">
        <f t="shared" si="27"/>
        <v>0.7054899949</v>
      </c>
      <c r="P1250" s="98">
        <v>2750.0</v>
      </c>
      <c r="Q1250" s="12"/>
      <c r="R1250" s="84">
        <v>1710092.0</v>
      </c>
      <c r="S1250" s="84" t="s">
        <v>40</v>
      </c>
      <c r="T1250" s="90">
        <v>7540788.0</v>
      </c>
      <c r="U1250" s="225">
        <v>45946.47222222222</v>
      </c>
      <c r="V1250" s="225">
        <v>45946.47222222222</v>
      </c>
      <c r="W1250" s="12"/>
      <c r="X1250" s="12"/>
      <c r="Y1250" s="225">
        <v>45948.680555555555</v>
      </c>
      <c r="Z1250" s="225">
        <v>45948.680555555555</v>
      </c>
      <c r="AA1250" s="12"/>
      <c r="AB1250" s="12"/>
      <c r="AC1250" s="207"/>
      <c r="AD1250" s="12"/>
      <c r="AE1250" s="207" t="s">
        <v>39</v>
      </c>
      <c r="AF1250" s="198"/>
      <c r="AG1250" s="22"/>
      <c r="AH1250" s="22"/>
      <c r="AI1250" s="22"/>
      <c r="AJ1250" s="22"/>
      <c r="AK1250" s="22"/>
      <c r="AL1250" s="22"/>
      <c r="AM1250" s="22"/>
      <c r="AN1250" s="22"/>
      <c r="AO1250" s="22"/>
      <c r="AP1250" s="22"/>
    </row>
    <row r="1251" ht="15.75" customHeight="1">
      <c r="A1251" s="103">
        <v>1.1804088E7</v>
      </c>
      <c r="B1251" s="84">
        <v>9.00029557E9</v>
      </c>
      <c r="C1251" s="11">
        <v>45944.0</v>
      </c>
      <c r="D1251" s="84">
        <v>28.0</v>
      </c>
      <c r="E1251" s="84">
        <v>34295.0</v>
      </c>
      <c r="F1251" s="219" t="s">
        <v>43</v>
      </c>
      <c r="G1251" s="168" t="s">
        <v>44</v>
      </c>
      <c r="H1251" s="169" t="s">
        <v>268</v>
      </c>
      <c r="I1251" s="194" t="s">
        <v>1958</v>
      </c>
      <c r="J1251" s="169" t="s">
        <v>35</v>
      </c>
      <c r="K1251" s="169" t="s">
        <v>270</v>
      </c>
      <c r="L1251" s="171" t="s">
        <v>94</v>
      </c>
      <c r="M1251" s="84" t="s">
        <v>1969</v>
      </c>
      <c r="N1251" s="133">
        <v>5847.0</v>
      </c>
      <c r="O1251" s="73">
        <f t="shared" si="27"/>
        <v>0.3314657089</v>
      </c>
      <c r="P1251" s="98">
        <v>1938.08</v>
      </c>
      <c r="Q1251" s="84" t="s">
        <v>39</v>
      </c>
      <c r="R1251" s="84">
        <v>1708564.0</v>
      </c>
      <c r="S1251" s="84" t="s">
        <v>40</v>
      </c>
      <c r="T1251" s="90">
        <v>7525791.0</v>
      </c>
      <c r="U1251" s="225">
        <v>45944.458333333336</v>
      </c>
      <c r="V1251" s="225">
        <v>45944.725694444445</v>
      </c>
      <c r="W1251" s="12"/>
      <c r="X1251" s="12"/>
      <c r="Y1251" s="225">
        <v>45947.21875</v>
      </c>
      <c r="Z1251" s="225">
        <v>45947.697916666664</v>
      </c>
      <c r="AA1251" s="12"/>
      <c r="AB1251" s="84">
        <v>136959.0</v>
      </c>
      <c r="AC1251" s="84" t="s">
        <v>2041</v>
      </c>
      <c r="AD1251" s="12"/>
      <c r="AE1251" s="207" t="s">
        <v>39</v>
      </c>
      <c r="AF1251" s="198"/>
      <c r="AG1251" s="22"/>
      <c r="AH1251" s="22"/>
      <c r="AI1251" s="22"/>
      <c r="AJ1251" s="22"/>
      <c r="AK1251" s="22"/>
      <c r="AL1251" s="22"/>
      <c r="AM1251" s="22"/>
      <c r="AN1251" s="22"/>
      <c r="AO1251" s="22"/>
      <c r="AP1251" s="22"/>
    </row>
    <row r="1252" ht="15.75" customHeight="1">
      <c r="A1252" s="103">
        <v>1.1804091E7</v>
      </c>
      <c r="B1252" s="84">
        <v>9.000295522E9</v>
      </c>
      <c r="C1252" s="11">
        <v>45944.0</v>
      </c>
      <c r="D1252" s="84">
        <v>15.0</v>
      </c>
      <c r="E1252" s="84">
        <v>17135.0</v>
      </c>
      <c r="F1252" s="169" t="s">
        <v>43</v>
      </c>
      <c r="G1252" s="168" t="s">
        <v>44</v>
      </c>
      <c r="H1252" s="169" t="s">
        <v>2042</v>
      </c>
      <c r="I1252" s="194" t="s">
        <v>1957</v>
      </c>
      <c r="J1252" s="170" t="s">
        <v>270</v>
      </c>
      <c r="K1252" s="170" t="s">
        <v>35</v>
      </c>
      <c r="L1252" s="171" t="s">
        <v>43</v>
      </c>
      <c r="M1252" s="84" t="s">
        <v>1969</v>
      </c>
      <c r="N1252" s="133">
        <v>3898.0</v>
      </c>
      <c r="O1252" s="73">
        <f t="shared" si="27"/>
        <v>0.7054899949</v>
      </c>
      <c r="P1252" s="98">
        <v>2750.0</v>
      </c>
      <c r="Q1252" s="12"/>
      <c r="R1252" s="84">
        <v>1710891.0</v>
      </c>
      <c r="S1252" s="84" t="s">
        <v>40</v>
      </c>
      <c r="T1252" s="90">
        <v>7550228.0</v>
      </c>
      <c r="U1252" s="225">
        <v>45947.697916666664</v>
      </c>
      <c r="V1252" s="225">
        <v>45947.697916666664</v>
      </c>
      <c r="W1252" s="12"/>
      <c r="X1252" s="12"/>
      <c r="Y1252" s="225">
        <v>45948.53125</v>
      </c>
      <c r="Z1252" s="225">
        <v>45948.729166666664</v>
      </c>
      <c r="AA1252" s="12"/>
      <c r="AB1252" s="12"/>
      <c r="AC1252" s="12"/>
      <c r="AD1252" s="12"/>
      <c r="AE1252" s="207" t="s">
        <v>39</v>
      </c>
      <c r="AF1252" s="198"/>
      <c r="AG1252" s="22"/>
      <c r="AH1252" s="22"/>
      <c r="AI1252" s="22"/>
      <c r="AJ1252" s="22"/>
      <c r="AK1252" s="22"/>
      <c r="AL1252" s="22"/>
      <c r="AM1252" s="22"/>
      <c r="AN1252" s="22"/>
      <c r="AO1252" s="22"/>
      <c r="AP1252" s="22"/>
    </row>
    <row r="1253" ht="15.75" customHeight="1">
      <c r="A1253" s="103">
        <v>1.1812311E7</v>
      </c>
      <c r="B1253" s="84">
        <v>9.000305351E9</v>
      </c>
      <c r="C1253" s="11">
        <v>45946.0</v>
      </c>
      <c r="D1253" s="84">
        <v>28.0</v>
      </c>
      <c r="E1253" s="84">
        <v>34295.0</v>
      </c>
      <c r="F1253" s="219" t="s">
        <v>43</v>
      </c>
      <c r="G1253" s="168" t="s">
        <v>44</v>
      </c>
      <c r="H1253" s="169" t="s">
        <v>268</v>
      </c>
      <c r="I1253" s="194" t="s">
        <v>1958</v>
      </c>
      <c r="J1253" s="169" t="s">
        <v>35</v>
      </c>
      <c r="K1253" s="169" t="s">
        <v>270</v>
      </c>
      <c r="L1253" s="171" t="s">
        <v>94</v>
      </c>
      <c r="M1253" s="84" t="s">
        <v>1988</v>
      </c>
      <c r="N1253" s="133">
        <v>5847.0</v>
      </c>
      <c r="O1253" s="73">
        <f t="shared" si="27"/>
        <v>0.403625791</v>
      </c>
      <c r="P1253" s="98">
        <v>2360.0</v>
      </c>
      <c r="Q1253" s="84" t="s">
        <v>39</v>
      </c>
      <c r="R1253" s="84">
        <v>1710199.0</v>
      </c>
      <c r="S1253" s="84" t="s">
        <v>40</v>
      </c>
      <c r="T1253" s="90">
        <v>7542651.0</v>
      </c>
      <c r="U1253" s="225">
        <v>45946.770833333336</v>
      </c>
      <c r="V1253" s="225">
        <v>45947.041666666664</v>
      </c>
      <c r="W1253" s="12"/>
      <c r="X1253" s="12"/>
      <c r="Y1253" s="225">
        <v>45948.3125</v>
      </c>
      <c r="Z1253" s="225">
        <v>45950.395833333336</v>
      </c>
      <c r="AA1253" s="12"/>
      <c r="AB1253" s="84" t="s">
        <v>2043</v>
      </c>
      <c r="AC1253" s="84" t="s">
        <v>2044</v>
      </c>
      <c r="AD1253" s="12"/>
      <c r="AE1253" s="207" t="s">
        <v>39</v>
      </c>
      <c r="AF1253" s="198"/>
      <c r="AG1253" s="22"/>
      <c r="AH1253" s="22"/>
      <c r="AI1253" s="22"/>
      <c r="AJ1253" s="22"/>
      <c r="AK1253" s="22"/>
      <c r="AL1253" s="22"/>
      <c r="AM1253" s="22"/>
      <c r="AN1253" s="22"/>
      <c r="AO1253" s="22"/>
      <c r="AP1253" s="22"/>
    </row>
    <row r="1254" ht="15.75" customHeight="1">
      <c r="A1254" s="103">
        <v>1.1812314E7</v>
      </c>
      <c r="B1254" s="84">
        <v>9.000305372E9</v>
      </c>
      <c r="C1254" s="11">
        <v>45946.0</v>
      </c>
      <c r="D1254" s="84">
        <v>15.0</v>
      </c>
      <c r="E1254" s="84">
        <v>17135.0</v>
      </c>
      <c r="F1254" s="169" t="s">
        <v>43</v>
      </c>
      <c r="G1254" s="168" t="s">
        <v>44</v>
      </c>
      <c r="H1254" s="169" t="s">
        <v>2045</v>
      </c>
      <c r="I1254" s="194" t="s">
        <v>1957</v>
      </c>
      <c r="J1254" s="170" t="s">
        <v>270</v>
      </c>
      <c r="K1254" s="170" t="s">
        <v>35</v>
      </c>
      <c r="L1254" s="171" t="s">
        <v>43</v>
      </c>
      <c r="M1254" s="216" t="s">
        <v>1988</v>
      </c>
      <c r="N1254" s="133">
        <v>3898.0</v>
      </c>
      <c r="O1254" s="73">
        <f t="shared" si="27"/>
        <v>0</v>
      </c>
      <c r="P1254" s="15"/>
      <c r="Q1254" s="12"/>
      <c r="R1254" s="12"/>
      <c r="S1254" s="84" t="s">
        <v>165</v>
      </c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98"/>
      <c r="AG1254" s="22"/>
      <c r="AH1254" s="22"/>
      <c r="AI1254" s="22"/>
      <c r="AJ1254" s="22"/>
      <c r="AK1254" s="22"/>
      <c r="AL1254" s="22"/>
      <c r="AM1254" s="22"/>
      <c r="AN1254" s="22"/>
      <c r="AO1254" s="22"/>
      <c r="AP1254" s="22"/>
    </row>
    <row r="1255" ht="15.75" customHeight="1">
      <c r="A1255" s="103">
        <v>1.1812313E7</v>
      </c>
      <c r="B1255" s="84">
        <v>9.000305401E9</v>
      </c>
      <c r="C1255" s="11">
        <v>45946.0</v>
      </c>
      <c r="D1255" s="84">
        <v>28.0</v>
      </c>
      <c r="E1255" s="84">
        <v>34295.0</v>
      </c>
      <c r="F1255" s="219" t="s">
        <v>43</v>
      </c>
      <c r="G1255" s="168" t="s">
        <v>44</v>
      </c>
      <c r="H1255" s="169" t="s">
        <v>268</v>
      </c>
      <c r="I1255" s="194" t="s">
        <v>1958</v>
      </c>
      <c r="J1255" s="169" t="s">
        <v>35</v>
      </c>
      <c r="K1255" s="169" t="s">
        <v>270</v>
      </c>
      <c r="L1255" s="171" t="s">
        <v>94</v>
      </c>
      <c r="M1255" s="84" t="s">
        <v>1860</v>
      </c>
      <c r="N1255" s="133">
        <v>5847.0</v>
      </c>
      <c r="O1255" s="73">
        <f t="shared" si="27"/>
        <v>0.7268684796</v>
      </c>
      <c r="P1255" s="98">
        <v>4250.0</v>
      </c>
      <c r="Q1255" s="84" t="s">
        <v>39</v>
      </c>
      <c r="R1255" s="84">
        <v>1710275.0</v>
      </c>
      <c r="S1255" s="84" t="s">
        <v>40</v>
      </c>
      <c r="T1255" s="90">
        <v>7542707.0</v>
      </c>
      <c r="U1255" s="225">
        <v>45946.916666666664</v>
      </c>
      <c r="V1255" s="225">
        <v>45947.291666666664</v>
      </c>
      <c r="W1255" s="12"/>
      <c r="X1255" s="12"/>
      <c r="Y1255" s="225">
        <v>45950.694444444445</v>
      </c>
      <c r="Z1255" s="225">
        <v>45951.1875</v>
      </c>
      <c r="AA1255" s="12"/>
      <c r="AB1255" s="12"/>
      <c r="AC1255" s="207" t="s">
        <v>827</v>
      </c>
      <c r="AD1255" s="12"/>
      <c r="AE1255" s="207" t="s">
        <v>39</v>
      </c>
      <c r="AF1255" s="198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</row>
    <row r="1256" ht="15.75" customHeight="1">
      <c r="A1256" s="103">
        <v>1.1812316E7</v>
      </c>
      <c r="B1256" s="84">
        <v>9.000305445E9</v>
      </c>
      <c r="C1256" s="11">
        <v>45946.0</v>
      </c>
      <c r="D1256" s="84">
        <v>15.0</v>
      </c>
      <c r="E1256" s="84">
        <v>17135.0</v>
      </c>
      <c r="F1256" s="169" t="s">
        <v>43</v>
      </c>
      <c r="G1256" s="168" t="s">
        <v>44</v>
      </c>
      <c r="H1256" s="169" t="s">
        <v>2046</v>
      </c>
      <c r="I1256" s="194" t="s">
        <v>1957</v>
      </c>
      <c r="J1256" s="170" t="s">
        <v>270</v>
      </c>
      <c r="K1256" s="170" t="s">
        <v>35</v>
      </c>
      <c r="L1256" s="171" t="s">
        <v>43</v>
      </c>
      <c r="M1256" s="84" t="s">
        <v>1860</v>
      </c>
      <c r="N1256" s="133">
        <v>3898.0</v>
      </c>
      <c r="O1256" s="73">
        <f t="shared" si="27"/>
        <v>0.7054899949</v>
      </c>
      <c r="P1256" s="98">
        <v>2750.0</v>
      </c>
      <c r="Q1256" s="12"/>
      <c r="R1256" s="84">
        <v>1712772.0</v>
      </c>
      <c r="S1256" s="84" t="s">
        <v>40</v>
      </c>
      <c r="T1256" s="90">
        <v>7566909.0</v>
      </c>
      <c r="U1256" s="225">
        <v>45951.1875</v>
      </c>
      <c r="V1256" s="225">
        <v>45951.1875</v>
      </c>
      <c r="W1256" s="12"/>
      <c r="X1256" s="12"/>
      <c r="Y1256" s="225">
        <v>45951.833333333336</v>
      </c>
      <c r="Z1256" s="225">
        <v>45952.770833333336</v>
      </c>
      <c r="AA1256" s="12"/>
      <c r="AB1256" s="12"/>
      <c r="AC1256" s="207"/>
      <c r="AD1256" s="12"/>
      <c r="AE1256" s="207" t="s">
        <v>39</v>
      </c>
      <c r="AF1256" s="198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</row>
    <row r="1257" ht="15.75" customHeight="1">
      <c r="A1257" s="103">
        <v>1.1821167E7</v>
      </c>
      <c r="B1257" s="84">
        <v>9.000317947E9</v>
      </c>
      <c r="C1257" s="11">
        <v>45946.0</v>
      </c>
      <c r="D1257" s="84">
        <v>26.0</v>
      </c>
      <c r="E1257" s="84">
        <v>32147.0</v>
      </c>
      <c r="F1257" s="219" t="s">
        <v>43</v>
      </c>
      <c r="G1257" s="168" t="s">
        <v>44</v>
      </c>
      <c r="H1257" s="169" t="s">
        <v>268</v>
      </c>
      <c r="I1257" s="194" t="s">
        <v>1958</v>
      </c>
      <c r="J1257" s="169" t="s">
        <v>35</v>
      </c>
      <c r="K1257" s="169" t="s">
        <v>270</v>
      </c>
      <c r="L1257" s="171" t="s">
        <v>94</v>
      </c>
      <c r="M1257" s="84" t="s">
        <v>2036</v>
      </c>
      <c r="N1257" s="133">
        <v>5847.0</v>
      </c>
      <c r="O1257" s="73">
        <f t="shared" si="27"/>
        <v>0.7268684796</v>
      </c>
      <c r="P1257" s="98">
        <v>4250.0</v>
      </c>
      <c r="Q1257" s="84" t="s">
        <v>39</v>
      </c>
      <c r="R1257" s="84">
        <v>1710290.0</v>
      </c>
      <c r="S1257" s="84" t="s">
        <v>40</v>
      </c>
      <c r="T1257" s="90">
        <v>7542983.0</v>
      </c>
      <c r="U1257" s="225">
        <v>45946.631944444445</v>
      </c>
      <c r="V1257" s="225">
        <v>45946.875</v>
      </c>
      <c r="W1257" s="12"/>
      <c r="X1257" s="12"/>
      <c r="Y1257" s="225">
        <v>45949.61111111111</v>
      </c>
      <c r="Z1257" s="225">
        <v>45950.555555555555</v>
      </c>
      <c r="AA1257" s="12"/>
      <c r="AB1257" s="84">
        <v>140678.0</v>
      </c>
      <c r="AC1257" s="84" t="s">
        <v>2047</v>
      </c>
      <c r="AD1257" s="12"/>
      <c r="AE1257" s="207" t="s">
        <v>39</v>
      </c>
      <c r="AF1257" s="198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</row>
    <row r="1258" ht="15.75" customHeight="1">
      <c r="A1258" s="103">
        <v>1.1821168E7</v>
      </c>
      <c r="B1258" s="84">
        <v>9.000317914E9</v>
      </c>
      <c r="C1258" s="11">
        <v>45946.0</v>
      </c>
      <c r="D1258" s="84">
        <v>10.0</v>
      </c>
      <c r="E1258" s="84">
        <v>11015.0</v>
      </c>
      <c r="F1258" s="169" t="s">
        <v>43</v>
      </c>
      <c r="G1258" s="168" t="s">
        <v>44</v>
      </c>
      <c r="H1258" s="169" t="s">
        <v>2048</v>
      </c>
      <c r="I1258" s="194" t="s">
        <v>1957</v>
      </c>
      <c r="J1258" s="170" t="s">
        <v>270</v>
      </c>
      <c r="K1258" s="170" t="s">
        <v>35</v>
      </c>
      <c r="L1258" s="171" t="s">
        <v>43</v>
      </c>
      <c r="M1258" s="84" t="s">
        <v>2036</v>
      </c>
      <c r="N1258" s="133">
        <v>3898.0</v>
      </c>
      <c r="O1258" s="73">
        <f t="shared" si="27"/>
        <v>0</v>
      </c>
      <c r="P1258" s="98"/>
      <c r="Q1258" s="12"/>
      <c r="R1258" s="12"/>
      <c r="S1258" s="84" t="s">
        <v>165</v>
      </c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98"/>
      <c r="AG1258" s="22"/>
      <c r="AH1258" s="22"/>
      <c r="AI1258" s="22"/>
      <c r="AJ1258" s="22"/>
      <c r="AK1258" s="22"/>
      <c r="AL1258" s="22"/>
      <c r="AM1258" s="22"/>
      <c r="AN1258" s="22"/>
      <c r="AO1258" s="22"/>
      <c r="AP1258" s="22"/>
    </row>
    <row r="1259" ht="15.75" customHeight="1">
      <c r="A1259" s="103">
        <v>1.1817453E7</v>
      </c>
      <c r="B1259" s="84">
        <v>9.000312412E9</v>
      </c>
      <c r="C1259" s="11">
        <v>45947.0</v>
      </c>
      <c r="D1259" s="84">
        <v>28.0</v>
      </c>
      <c r="E1259" s="84">
        <v>34058.0</v>
      </c>
      <c r="F1259" s="103" t="s">
        <v>31</v>
      </c>
      <c r="G1259" s="84" t="s">
        <v>44</v>
      </c>
      <c r="H1259" s="169" t="s">
        <v>268</v>
      </c>
      <c r="I1259" s="194" t="s">
        <v>1958</v>
      </c>
      <c r="J1259" s="169" t="s">
        <v>35</v>
      </c>
      <c r="K1259" s="169" t="s">
        <v>270</v>
      </c>
      <c r="L1259" s="171" t="s">
        <v>94</v>
      </c>
      <c r="M1259" s="84" t="s">
        <v>1943</v>
      </c>
      <c r="N1259" s="133">
        <v>6410.0</v>
      </c>
      <c r="O1259" s="73">
        <f t="shared" si="27"/>
        <v>0.6630265211</v>
      </c>
      <c r="P1259" s="98">
        <v>4250.0</v>
      </c>
      <c r="Q1259" s="12"/>
      <c r="R1259" s="84">
        <v>1711220.0</v>
      </c>
      <c r="S1259" s="84" t="s">
        <v>40</v>
      </c>
      <c r="T1259" s="90">
        <v>7554180.0</v>
      </c>
      <c r="U1259" s="225">
        <v>45948.680555555555</v>
      </c>
      <c r="V1259" s="225">
        <v>45948.35763888889</v>
      </c>
      <c r="W1259" s="12"/>
      <c r="X1259" s="12"/>
      <c r="Y1259" s="225">
        <v>45950.90972222222</v>
      </c>
      <c r="Z1259" s="225">
        <v>45951.1875</v>
      </c>
      <c r="AA1259" s="12"/>
      <c r="AB1259" s="12"/>
      <c r="AC1259" s="207" t="s">
        <v>827</v>
      </c>
      <c r="AD1259" s="12"/>
      <c r="AE1259" s="207" t="s">
        <v>39</v>
      </c>
      <c r="AF1259" s="198"/>
      <c r="AG1259" s="22"/>
      <c r="AH1259" s="22"/>
      <c r="AI1259" s="22"/>
      <c r="AJ1259" s="22"/>
      <c r="AK1259" s="22"/>
      <c r="AL1259" s="22"/>
      <c r="AM1259" s="22"/>
      <c r="AN1259" s="22"/>
      <c r="AO1259" s="22"/>
      <c r="AP1259" s="22"/>
    </row>
    <row r="1260" ht="15.75" customHeight="1">
      <c r="A1260" s="103">
        <v>1.1833589E7</v>
      </c>
      <c r="B1260" s="84">
        <v>9.000330663E9</v>
      </c>
      <c r="C1260" s="11">
        <v>45948.0</v>
      </c>
      <c r="D1260" s="84">
        <v>26.0</v>
      </c>
      <c r="E1260" s="84">
        <v>30663.0</v>
      </c>
      <c r="F1260" s="103" t="s">
        <v>31</v>
      </c>
      <c r="G1260" s="84" t="s">
        <v>74</v>
      </c>
      <c r="H1260" s="84" t="s">
        <v>2049</v>
      </c>
      <c r="I1260" s="84" t="s">
        <v>2050</v>
      </c>
      <c r="J1260" s="169" t="s">
        <v>35</v>
      </c>
      <c r="K1260" s="84" t="s">
        <v>2051</v>
      </c>
      <c r="L1260" s="98" t="s">
        <v>59</v>
      </c>
      <c r="M1260" s="84" t="s">
        <v>1931</v>
      </c>
      <c r="N1260" s="133">
        <v>5337.0</v>
      </c>
      <c r="O1260" s="73">
        <f t="shared" si="27"/>
        <v>0.7026419337</v>
      </c>
      <c r="P1260" s="98">
        <v>3750.0</v>
      </c>
      <c r="Q1260" s="12"/>
      <c r="R1260" s="84">
        <v>1711293.0</v>
      </c>
      <c r="S1260" s="84" t="s">
        <v>40</v>
      </c>
      <c r="T1260" s="90">
        <v>7554863.0</v>
      </c>
      <c r="U1260" s="225">
        <v>45947.895833333336</v>
      </c>
      <c r="V1260" s="225">
        <v>45948.29861111111</v>
      </c>
      <c r="W1260" s="12"/>
      <c r="X1260" s="225">
        <v>45950.375</v>
      </c>
      <c r="Y1260" s="225">
        <v>45950.479166666664</v>
      </c>
      <c r="Z1260" s="225">
        <v>45950.541666666664</v>
      </c>
      <c r="AA1260" s="12"/>
      <c r="AB1260" s="84" t="s">
        <v>2052</v>
      </c>
      <c r="AC1260" s="84" t="s">
        <v>2053</v>
      </c>
      <c r="AD1260" s="12"/>
      <c r="AE1260" s="207" t="s">
        <v>39</v>
      </c>
      <c r="AF1260" s="198"/>
      <c r="AG1260" s="22"/>
      <c r="AH1260" s="22"/>
      <c r="AI1260" s="22"/>
      <c r="AJ1260" s="22"/>
      <c r="AK1260" s="22"/>
      <c r="AL1260" s="22"/>
      <c r="AM1260" s="22"/>
      <c r="AN1260" s="22"/>
      <c r="AO1260" s="22"/>
      <c r="AP1260" s="22"/>
    </row>
    <row r="1261" ht="15.75" customHeight="1">
      <c r="A1261" s="103">
        <v>1.1833047E7</v>
      </c>
      <c r="B1261" s="84">
        <v>9.000330661E9</v>
      </c>
      <c r="C1261" s="11">
        <v>45948.0</v>
      </c>
      <c r="D1261" s="84">
        <v>26.0</v>
      </c>
      <c r="E1261" s="84">
        <v>32221.0</v>
      </c>
      <c r="F1261" s="103" t="s">
        <v>31</v>
      </c>
      <c r="G1261" s="84" t="s">
        <v>74</v>
      </c>
      <c r="H1261" s="84" t="s">
        <v>2049</v>
      </c>
      <c r="I1261" s="84" t="s">
        <v>2050</v>
      </c>
      <c r="J1261" s="169" t="s">
        <v>35</v>
      </c>
      <c r="K1261" s="84" t="s">
        <v>2051</v>
      </c>
      <c r="L1261" s="98" t="s">
        <v>59</v>
      </c>
      <c r="M1261" s="84" t="s">
        <v>1969</v>
      </c>
      <c r="N1261" s="133">
        <v>5337.0</v>
      </c>
      <c r="O1261" s="73">
        <f t="shared" si="27"/>
        <v>0.7026419337</v>
      </c>
      <c r="P1261" s="98">
        <v>3750.0</v>
      </c>
      <c r="Q1261" s="12"/>
      <c r="R1261" s="84">
        <v>1711532.0</v>
      </c>
      <c r="S1261" s="84" t="s">
        <v>40</v>
      </c>
      <c r="T1261" s="90">
        <v>7557047.0</v>
      </c>
      <c r="U1261" s="225">
        <v>45948.729166666664</v>
      </c>
      <c r="V1261" s="225">
        <v>45948.90972222222</v>
      </c>
      <c r="W1261" s="12"/>
      <c r="X1261" s="12"/>
      <c r="Y1261" s="225">
        <v>45951.72222222222</v>
      </c>
      <c r="Z1261" s="225">
        <v>45952.520833333336</v>
      </c>
      <c r="AA1261" s="12"/>
      <c r="AB1261" s="84">
        <v>146387.0</v>
      </c>
      <c r="AC1261" s="84" t="s">
        <v>2054</v>
      </c>
      <c r="AD1261" s="12"/>
      <c r="AE1261" s="207" t="s">
        <v>39</v>
      </c>
      <c r="AF1261" s="198"/>
      <c r="AG1261" s="22"/>
      <c r="AH1261" s="22"/>
      <c r="AI1261" s="22"/>
      <c r="AJ1261" s="22"/>
      <c r="AK1261" s="22"/>
      <c r="AL1261" s="22"/>
      <c r="AM1261" s="22"/>
      <c r="AN1261" s="22"/>
      <c r="AO1261" s="22"/>
      <c r="AP1261" s="22"/>
    </row>
    <row r="1262" ht="15.75" customHeight="1">
      <c r="A1262" s="103">
        <v>1.1829088E7</v>
      </c>
      <c r="B1262" s="84">
        <v>9.00032635E9</v>
      </c>
      <c r="C1262" s="11">
        <v>45950.0</v>
      </c>
      <c r="D1262" s="84">
        <v>28.0</v>
      </c>
      <c r="E1262" s="84">
        <v>34295.0</v>
      </c>
      <c r="F1262" s="219" t="s">
        <v>43</v>
      </c>
      <c r="G1262" s="168" t="s">
        <v>44</v>
      </c>
      <c r="H1262" s="169" t="s">
        <v>268</v>
      </c>
      <c r="I1262" s="194" t="s">
        <v>1958</v>
      </c>
      <c r="J1262" s="169" t="s">
        <v>35</v>
      </c>
      <c r="K1262" s="169" t="s">
        <v>270</v>
      </c>
      <c r="L1262" s="171" t="s">
        <v>94</v>
      </c>
      <c r="M1262" s="84" t="s">
        <v>1988</v>
      </c>
      <c r="N1262" s="133">
        <v>5847.0</v>
      </c>
      <c r="O1262" s="73">
        <f t="shared" si="27"/>
        <v>0.7268684796</v>
      </c>
      <c r="P1262" s="98">
        <v>4250.0</v>
      </c>
      <c r="Q1262" s="12"/>
      <c r="R1262" s="84">
        <v>1712193.0</v>
      </c>
      <c r="S1262" s="84" t="s">
        <v>40</v>
      </c>
      <c r="T1262" s="90">
        <v>7569778.0</v>
      </c>
      <c r="U1262" s="225">
        <v>45950.86111111111</v>
      </c>
      <c r="V1262" s="225">
        <v>45951.375</v>
      </c>
      <c r="W1262" s="12"/>
      <c r="X1262" s="12"/>
      <c r="Y1262" s="225">
        <v>45951.979166666664</v>
      </c>
      <c r="Z1262" s="225">
        <v>45952.40972222222</v>
      </c>
      <c r="AA1262" s="12"/>
      <c r="AB1262" s="216">
        <v>145451.0</v>
      </c>
      <c r="AC1262" s="84" t="s">
        <v>2055</v>
      </c>
      <c r="AD1262" s="12"/>
      <c r="AE1262" s="207" t="s">
        <v>39</v>
      </c>
      <c r="AF1262" s="198"/>
      <c r="AG1262" s="22"/>
      <c r="AH1262" s="22"/>
      <c r="AI1262" s="22"/>
      <c r="AJ1262" s="22"/>
      <c r="AK1262" s="22"/>
      <c r="AL1262" s="22"/>
      <c r="AM1262" s="22"/>
      <c r="AN1262" s="22"/>
      <c r="AO1262" s="22"/>
      <c r="AP1262" s="22"/>
    </row>
    <row r="1263" ht="15.75" customHeight="1">
      <c r="A1263" s="103">
        <v>1.182909E7</v>
      </c>
      <c r="B1263" s="84">
        <v>9.000326344E9</v>
      </c>
      <c r="C1263" s="11">
        <v>45950.0</v>
      </c>
      <c r="D1263" s="84">
        <v>15.0</v>
      </c>
      <c r="E1263" s="84">
        <v>17135.0</v>
      </c>
      <c r="F1263" s="169" t="s">
        <v>43</v>
      </c>
      <c r="G1263" s="168" t="s">
        <v>44</v>
      </c>
      <c r="H1263" s="169" t="s">
        <v>2056</v>
      </c>
      <c r="I1263" s="194" t="s">
        <v>1957</v>
      </c>
      <c r="J1263" s="170" t="s">
        <v>270</v>
      </c>
      <c r="K1263" s="170" t="s">
        <v>35</v>
      </c>
      <c r="L1263" s="171" t="s">
        <v>43</v>
      </c>
      <c r="M1263" s="84" t="s">
        <v>1988</v>
      </c>
      <c r="N1263" s="133">
        <v>3898.0</v>
      </c>
      <c r="O1263" s="73">
        <f t="shared" si="27"/>
        <v>0</v>
      </c>
      <c r="P1263" s="15"/>
      <c r="Q1263" s="12"/>
      <c r="R1263" s="12"/>
      <c r="S1263" s="84" t="s">
        <v>165</v>
      </c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98"/>
      <c r="AG1263" s="22"/>
      <c r="AH1263" s="22"/>
      <c r="AI1263" s="22"/>
      <c r="AJ1263" s="22"/>
      <c r="AK1263" s="22"/>
      <c r="AL1263" s="22"/>
      <c r="AM1263" s="22"/>
      <c r="AN1263" s="22"/>
      <c r="AO1263" s="22"/>
      <c r="AP1263" s="22"/>
    </row>
    <row r="1264" ht="15.75" customHeight="1">
      <c r="A1264" s="103">
        <v>1.1812372E7</v>
      </c>
      <c r="B1264" s="84">
        <v>9.000305432E9</v>
      </c>
      <c r="C1264" s="11">
        <v>45951.0</v>
      </c>
      <c r="D1264" s="84">
        <v>28.0</v>
      </c>
      <c r="E1264" s="84">
        <v>34295.0</v>
      </c>
      <c r="F1264" s="219" t="s">
        <v>43</v>
      </c>
      <c r="G1264" s="168" t="s">
        <v>44</v>
      </c>
      <c r="H1264" s="169" t="s">
        <v>268</v>
      </c>
      <c r="I1264" s="194" t="s">
        <v>1958</v>
      </c>
      <c r="J1264" s="169" t="s">
        <v>35</v>
      </c>
      <c r="K1264" s="169" t="s">
        <v>270</v>
      </c>
      <c r="L1264" s="171" t="s">
        <v>94</v>
      </c>
      <c r="M1264" s="84" t="s">
        <v>2036</v>
      </c>
      <c r="N1264" s="133">
        <v>5847.0</v>
      </c>
      <c r="O1264" s="73">
        <f t="shared" si="27"/>
        <v>0.7268684796</v>
      </c>
      <c r="P1264" s="98">
        <v>4250.0</v>
      </c>
      <c r="Q1264" s="12"/>
      <c r="R1264" s="84">
        <v>1713222.0</v>
      </c>
      <c r="S1264" s="84" t="s">
        <v>40</v>
      </c>
      <c r="T1264" s="90">
        <v>7572510.0</v>
      </c>
      <c r="U1264" s="225">
        <v>45951.760416666664</v>
      </c>
      <c r="V1264" s="225">
        <v>45952.416666666664</v>
      </c>
      <c r="W1264" s="12"/>
      <c r="X1264" s="12"/>
      <c r="Y1264" s="225">
        <v>45953.916666666664</v>
      </c>
      <c r="Z1264" s="225">
        <v>45954.006944444445</v>
      </c>
      <c r="AA1264" s="12"/>
      <c r="AB1264" s="84">
        <v>150659.0</v>
      </c>
      <c r="AC1264" s="84" t="s">
        <v>2057</v>
      </c>
      <c r="AD1264" s="12"/>
      <c r="AE1264" s="207" t="s">
        <v>39</v>
      </c>
      <c r="AF1264" s="198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</row>
    <row r="1265" ht="15.75" customHeight="1">
      <c r="A1265" s="103">
        <v>1.1812374E7</v>
      </c>
      <c r="B1265" s="84">
        <v>9.000305415E9</v>
      </c>
      <c r="C1265" s="11">
        <v>45951.0</v>
      </c>
      <c r="D1265" s="84">
        <v>15.0</v>
      </c>
      <c r="E1265" s="84">
        <v>17135.0</v>
      </c>
      <c r="F1265" s="169" t="s">
        <v>43</v>
      </c>
      <c r="G1265" s="168" t="s">
        <v>44</v>
      </c>
      <c r="H1265" s="169" t="s">
        <v>2058</v>
      </c>
      <c r="I1265" s="194" t="s">
        <v>1957</v>
      </c>
      <c r="J1265" s="170" t="s">
        <v>270</v>
      </c>
      <c r="K1265" s="170" t="s">
        <v>35</v>
      </c>
      <c r="L1265" s="171" t="s">
        <v>43</v>
      </c>
      <c r="M1265" s="84" t="s">
        <v>2036</v>
      </c>
      <c r="N1265" s="133">
        <v>3898.0</v>
      </c>
      <c r="O1265" s="73">
        <f t="shared" si="27"/>
        <v>0.7054899949</v>
      </c>
      <c r="P1265" s="98">
        <v>2750.0</v>
      </c>
      <c r="Q1265" s="12"/>
      <c r="R1265" s="12"/>
      <c r="S1265" s="84" t="s">
        <v>165</v>
      </c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98"/>
      <c r="AG1265" s="22"/>
      <c r="AH1265" s="22"/>
      <c r="AI1265" s="22"/>
      <c r="AJ1265" s="22"/>
      <c r="AK1265" s="22"/>
      <c r="AL1265" s="22"/>
      <c r="AM1265" s="22"/>
      <c r="AN1265" s="22"/>
      <c r="AO1265" s="22"/>
      <c r="AP1265" s="22"/>
    </row>
    <row r="1266" ht="15.75" customHeight="1">
      <c r="A1266" s="103">
        <v>1.1830797E7</v>
      </c>
      <c r="B1266" s="84">
        <v>9.000328394E9</v>
      </c>
      <c r="C1266" s="11">
        <v>45951.0</v>
      </c>
      <c r="D1266" s="84">
        <v>28.0</v>
      </c>
      <c r="E1266" s="84">
        <v>34295.0</v>
      </c>
      <c r="F1266" s="219" t="s">
        <v>43</v>
      </c>
      <c r="G1266" s="168" t="s">
        <v>44</v>
      </c>
      <c r="H1266" s="169" t="s">
        <v>268</v>
      </c>
      <c r="I1266" s="194" t="s">
        <v>1958</v>
      </c>
      <c r="J1266" s="169" t="s">
        <v>35</v>
      </c>
      <c r="K1266" s="169" t="s">
        <v>270</v>
      </c>
      <c r="L1266" s="171" t="s">
        <v>94</v>
      </c>
      <c r="M1266" s="84" t="s">
        <v>1974</v>
      </c>
      <c r="N1266" s="133">
        <v>5847.0</v>
      </c>
      <c r="O1266" s="73">
        <f t="shared" si="27"/>
        <v>0.7268684796</v>
      </c>
      <c r="P1266" s="98">
        <v>4250.0</v>
      </c>
      <c r="Q1266" s="12"/>
      <c r="R1266" s="84">
        <v>1713312.0</v>
      </c>
      <c r="S1266" s="84" t="s">
        <v>40</v>
      </c>
      <c r="T1266" s="90">
        <v>7573191.0</v>
      </c>
      <c r="U1266" s="225">
        <v>45951.916666666664</v>
      </c>
      <c r="V1266" s="225">
        <v>45952.479166666664</v>
      </c>
      <c r="W1266" s="12"/>
      <c r="X1266" s="12"/>
      <c r="Y1266" s="225">
        <v>45958.680555555555</v>
      </c>
      <c r="Z1266" s="225">
        <v>45959.916666666664</v>
      </c>
      <c r="AA1266" s="12"/>
      <c r="AB1266" s="84">
        <v>162907.0</v>
      </c>
      <c r="AC1266" s="84" t="s">
        <v>2059</v>
      </c>
      <c r="AD1266" s="12"/>
      <c r="AE1266" s="207" t="s">
        <v>39</v>
      </c>
      <c r="AF1266" s="198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</row>
    <row r="1267" ht="15.75" customHeight="1">
      <c r="A1267" s="103">
        <v>1.1830795E7</v>
      </c>
      <c r="B1267" s="84">
        <v>9.000328455E9</v>
      </c>
      <c r="C1267" s="11">
        <v>45951.0</v>
      </c>
      <c r="D1267" s="84">
        <v>15.0</v>
      </c>
      <c r="E1267" s="84">
        <v>17135.0</v>
      </c>
      <c r="F1267" s="169" t="s">
        <v>43</v>
      </c>
      <c r="G1267" s="168" t="s">
        <v>44</v>
      </c>
      <c r="H1267" s="169" t="s">
        <v>2060</v>
      </c>
      <c r="I1267" s="194" t="s">
        <v>1957</v>
      </c>
      <c r="J1267" s="170" t="s">
        <v>270</v>
      </c>
      <c r="K1267" s="170" t="s">
        <v>35</v>
      </c>
      <c r="L1267" s="171" t="s">
        <v>43</v>
      </c>
      <c r="M1267" s="84" t="s">
        <v>1974</v>
      </c>
      <c r="N1267" s="133">
        <v>3898.0</v>
      </c>
      <c r="O1267" s="73">
        <f t="shared" si="27"/>
        <v>0.7054899949</v>
      </c>
      <c r="P1267" s="98">
        <v>2750.0</v>
      </c>
      <c r="Q1267" s="12"/>
      <c r="R1267" s="84">
        <v>1718862.0</v>
      </c>
      <c r="S1267" s="84" t="s">
        <v>40</v>
      </c>
      <c r="T1267" s="90">
        <v>7624904.0</v>
      </c>
      <c r="U1267" s="225">
        <v>45959.916666666664</v>
      </c>
      <c r="V1267" s="225">
        <v>45959.916666666664</v>
      </c>
      <c r="W1267" s="12"/>
      <c r="X1267" s="12"/>
      <c r="Y1267" s="225">
        <v>45961.67361111111</v>
      </c>
      <c r="Z1267" s="214">
        <v>45962.569444444445</v>
      </c>
      <c r="AA1267" s="12"/>
      <c r="AB1267" s="84">
        <v>172094.0</v>
      </c>
      <c r="AC1267" s="84" t="s">
        <v>2059</v>
      </c>
      <c r="AD1267" s="12"/>
      <c r="AE1267" s="207" t="s">
        <v>39</v>
      </c>
      <c r="AF1267" s="198"/>
      <c r="AG1267" s="22"/>
      <c r="AH1267" s="22"/>
      <c r="AI1267" s="22"/>
      <c r="AJ1267" s="22"/>
      <c r="AK1267" s="22"/>
      <c r="AL1267" s="22"/>
      <c r="AM1267" s="22"/>
      <c r="AN1267" s="22"/>
      <c r="AO1267" s="22"/>
      <c r="AP1267" s="22"/>
    </row>
    <row r="1268" ht="15.75" customHeight="1">
      <c r="A1268" s="103">
        <v>1.1829089E7</v>
      </c>
      <c r="B1268" s="84">
        <v>9.000326292E9</v>
      </c>
      <c r="C1268" s="11">
        <v>45952.0</v>
      </c>
      <c r="D1268" s="84">
        <v>27.0</v>
      </c>
      <c r="E1268" s="84">
        <v>34716.0</v>
      </c>
      <c r="F1268" s="103" t="s">
        <v>31</v>
      </c>
      <c r="G1268" s="84" t="s">
        <v>44</v>
      </c>
      <c r="H1268" s="169" t="s">
        <v>268</v>
      </c>
      <c r="I1268" s="194" t="s">
        <v>1958</v>
      </c>
      <c r="J1268" s="169" t="s">
        <v>35</v>
      </c>
      <c r="K1268" s="169" t="s">
        <v>270</v>
      </c>
      <c r="L1268" s="171" t="s">
        <v>94</v>
      </c>
      <c r="M1268" s="84" t="s">
        <v>1985</v>
      </c>
      <c r="N1268" s="133">
        <v>6410.0</v>
      </c>
      <c r="O1268" s="73">
        <f t="shared" si="27"/>
        <v>0.6630265211</v>
      </c>
      <c r="P1268" s="98">
        <v>4250.0</v>
      </c>
      <c r="Q1268" s="12"/>
      <c r="R1268" s="84">
        <v>1714172.0</v>
      </c>
      <c r="S1268" s="84" t="s">
        <v>40</v>
      </c>
      <c r="T1268" s="90">
        <v>7580608.0</v>
      </c>
      <c r="U1268" s="225">
        <v>45952.708333333336</v>
      </c>
      <c r="V1268" s="225">
        <v>45953.069444444445</v>
      </c>
      <c r="W1268" s="12"/>
      <c r="X1268" s="12"/>
      <c r="Y1268" s="225">
        <v>45959.475694444445</v>
      </c>
      <c r="Z1268" s="225">
        <v>45961.020833333336</v>
      </c>
      <c r="AA1268" s="12"/>
      <c r="AB1268" s="84">
        <v>165518.0</v>
      </c>
      <c r="AC1268" s="84" t="s">
        <v>2059</v>
      </c>
      <c r="AD1268" s="12"/>
      <c r="AE1268" s="207" t="s">
        <v>39</v>
      </c>
      <c r="AF1268" s="207" t="s">
        <v>39</v>
      </c>
      <c r="AG1268" s="22"/>
      <c r="AH1268" s="22"/>
      <c r="AI1268" s="22"/>
      <c r="AJ1268" s="22"/>
      <c r="AK1268" s="22"/>
      <c r="AL1268" s="22"/>
      <c r="AM1268" s="22"/>
      <c r="AN1268" s="22"/>
      <c r="AO1268" s="22"/>
      <c r="AP1268" s="22"/>
    </row>
    <row r="1269" ht="15.75" customHeight="1">
      <c r="A1269" s="103">
        <v>1.1834077E7</v>
      </c>
      <c r="B1269" s="84">
        <v>9.000333357E9</v>
      </c>
      <c r="C1269" s="11">
        <v>45952.0</v>
      </c>
      <c r="D1269" s="84">
        <v>28.0</v>
      </c>
      <c r="E1269" s="84">
        <v>34295.0</v>
      </c>
      <c r="F1269" s="219" t="s">
        <v>43</v>
      </c>
      <c r="G1269" s="168" t="s">
        <v>44</v>
      </c>
      <c r="H1269" s="169" t="s">
        <v>268</v>
      </c>
      <c r="I1269" s="194" t="s">
        <v>1958</v>
      </c>
      <c r="J1269" s="169" t="s">
        <v>35</v>
      </c>
      <c r="K1269" s="169" t="s">
        <v>270</v>
      </c>
      <c r="L1269" s="171" t="s">
        <v>94</v>
      </c>
      <c r="M1269" s="84" t="s">
        <v>1860</v>
      </c>
      <c r="N1269" s="133">
        <v>5847.0</v>
      </c>
      <c r="O1269" s="73">
        <f t="shared" si="27"/>
        <v>0.7268684796</v>
      </c>
      <c r="P1269" s="98">
        <v>4250.0</v>
      </c>
      <c r="Q1269" s="12"/>
      <c r="R1269" s="84">
        <v>1713538.0</v>
      </c>
      <c r="S1269" s="84" t="s">
        <v>40</v>
      </c>
      <c r="T1269" s="90">
        <v>7575663.0</v>
      </c>
      <c r="U1269" s="225">
        <v>45952.770833333336</v>
      </c>
      <c r="V1269" s="225">
        <v>45952.770833333336</v>
      </c>
      <c r="W1269" s="12"/>
      <c r="X1269" s="12"/>
      <c r="Y1269" s="225">
        <v>45953.881944444445</v>
      </c>
      <c r="Z1269" s="225">
        <v>45954.06597222222</v>
      </c>
      <c r="AA1269" s="12"/>
      <c r="AB1269" s="84">
        <v>150625.0</v>
      </c>
      <c r="AC1269" s="84" t="s">
        <v>2061</v>
      </c>
      <c r="AD1269" s="12"/>
      <c r="AE1269" s="207" t="s">
        <v>39</v>
      </c>
      <c r="AF1269" s="198"/>
      <c r="AG1269" s="22"/>
      <c r="AH1269" s="22"/>
      <c r="AI1269" s="22"/>
      <c r="AJ1269" s="22"/>
      <c r="AK1269" s="22"/>
      <c r="AL1269" s="22"/>
      <c r="AM1269" s="22"/>
      <c r="AN1269" s="22"/>
      <c r="AO1269" s="22"/>
      <c r="AP1269" s="22"/>
    </row>
    <row r="1270" ht="15.75" customHeight="1">
      <c r="A1270" s="103">
        <v>1.1834101E7</v>
      </c>
      <c r="B1270" s="84">
        <v>9.000333475E9</v>
      </c>
      <c r="C1270" s="11">
        <v>45952.0</v>
      </c>
      <c r="D1270" s="84">
        <v>15.0</v>
      </c>
      <c r="E1270" s="84">
        <v>17135.0</v>
      </c>
      <c r="F1270" s="169" t="s">
        <v>43</v>
      </c>
      <c r="G1270" s="168" t="s">
        <v>44</v>
      </c>
      <c r="H1270" s="169" t="s">
        <v>2062</v>
      </c>
      <c r="I1270" s="194" t="s">
        <v>1957</v>
      </c>
      <c r="J1270" s="170" t="s">
        <v>270</v>
      </c>
      <c r="K1270" s="170" t="s">
        <v>35</v>
      </c>
      <c r="L1270" s="171" t="s">
        <v>43</v>
      </c>
      <c r="M1270" s="84" t="s">
        <v>1860</v>
      </c>
      <c r="N1270" s="133">
        <v>3898.0</v>
      </c>
      <c r="O1270" s="73">
        <f t="shared" si="27"/>
        <v>0.7054899949</v>
      </c>
      <c r="P1270" s="98">
        <v>2750.0</v>
      </c>
      <c r="Q1270" s="12"/>
      <c r="R1270" s="12"/>
      <c r="S1270" s="84" t="s">
        <v>165</v>
      </c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98"/>
      <c r="AG1270" s="22"/>
      <c r="AH1270" s="22"/>
      <c r="AI1270" s="22"/>
      <c r="AJ1270" s="22"/>
      <c r="AK1270" s="22"/>
      <c r="AL1270" s="22"/>
      <c r="AM1270" s="22"/>
      <c r="AN1270" s="22"/>
      <c r="AO1270" s="22"/>
      <c r="AP1270" s="22"/>
    </row>
    <row r="1271" ht="15.75" customHeight="1">
      <c r="A1271" s="103">
        <v>1.1837485E7</v>
      </c>
      <c r="B1271" s="84">
        <v>9.000338581E9</v>
      </c>
      <c r="C1271" s="11">
        <v>45952.0</v>
      </c>
      <c r="D1271" s="84">
        <v>28.0</v>
      </c>
      <c r="E1271" s="84">
        <v>34295.0</v>
      </c>
      <c r="F1271" s="219" t="s">
        <v>43</v>
      </c>
      <c r="G1271" s="168" t="s">
        <v>44</v>
      </c>
      <c r="H1271" s="169" t="s">
        <v>268</v>
      </c>
      <c r="I1271" s="194" t="s">
        <v>1958</v>
      </c>
      <c r="J1271" s="169" t="s">
        <v>35</v>
      </c>
      <c r="K1271" s="169" t="s">
        <v>270</v>
      </c>
      <c r="L1271" s="171" t="s">
        <v>94</v>
      </c>
      <c r="M1271" s="84" t="s">
        <v>1931</v>
      </c>
      <c r="N1271" s="133">
        <v>4872.5</v>
      </c>
      <c r="O1271" s="73">
        <f t="shared" si="27"/>
        <v>0.8722421755</v>
      </c>
      <c r="P1271" s="98">
        <v>4250.0</v>
      </c>
      <c r="Q1271" s="12"/>
      <c r="R1271" s="84">
        <v>1713938.0</v>
      </c>
      <c r="S1271" s="90" t="s">
        <v>40</v>
      </c>
      <c r="T1271" s="90">
        <v>7579129.0</v>
      </c>
      <c r="U1271" s="225">
        <v>45952.805555555555</v>
      </c>
      <c r="V1271" s="225">
        <v>45953.291666666664</v>
      </c>
      <c r="W1271" s="12"/>
      <c r="X1271" s="12"/>
      <c r="Y1271" s="225">
        <v>45954.444444444445</v>
      </c>
      <c r="Z1271" s="225">
        <v>45954.73611111111</v>
      </c>
      <c r="AA1271" s="12"/>
      <c r="AB1271" s="84">
        <v>152207.0</v>
      </c>
      <c r="AC1271" s="84" t="s">
        <v>2063</v>
      </c>
      <c r="AD1271" s="12"/>
      <c r="AE1271" s="207" t="s">
        <v>39</v>
      </c>
      <c r="AF1271" s="198"/>
      <c r="AG1271" s="22"/>
      <c r="AH1271" s="22"/>
      <c r="AI1271" s="22"/>
      <c r="AJ1271" s="22"/>
      <c r="AK1271" s="22"/>
      <c r="AL1271" s="22"/>
      <c r="AM1271" s="22"/>
      <c r="AN1271" s="22"/>
      <c r="AO1271" s="22"/>
      <c r="AP1271" s="22"/>
    </row>
    <row r="1272" ht="15.75" customHeight="1">
      <c r="A1272" s="103">
        <v>1.1837487E7</v>
      </c>
      <c r="B1272" s="84">
        <v>9.000338501E9</v>
      </c>
      <c r="C1272" s="11">
        <v>45952.0</v>
      </c>
      <c r="D1272" s="84">
        <v>15.0</v>
      </c>
      <c r="E1272" s="84">
        <v>17135.0</v>
      </c>
      <c r="F1272" s="169" t="s">
        <v>43</v>
      </c>
      <c r="G1272" s="168" t="s">
        <v>44</v>
      </c>
      <c r="H1272" s="169" t="s">
        <v>2064</v>
      </c>
      <c r="I1272" s="194" t="s">
        <v>1957</v>
      </c>
      <c r="J1272" s="170" t="s">
        <v>270</v>
      </c>
      <c r="K1272" s="170" t="s">
        <v>35</v>
      </c>
      <c r="L1272" s="171" t="s">
        <v>43</v>
      </c>
      <c r="M1272" s="84" t="s">
        <v>1931</v>
      </c>
      <c r="N1272" s="133">
        <v>4872.5</v>
      </c>
      <c r="O1272" s="73">
        <f t="shared" si="27"/>
        <v>0</v>
      </c>
      <c r="P1272" s="15"/>
      <c r="Q1272" s="12"/>
      <c r="R1272" s="12"/>
      <c r="S1272" s="84" t="s">
        <v>165</v>
      </c>
      <c r="T1272" s="12"/>
      <c r="U1272" s="12"/>
      <c r="V1272" s="12"/>
      <c r="W1272" s="12"/>
      <c r="X1272" s="12"/>
      <c r="Y1272" s="225"/>
      <c r="Z1272" s="225"/>
      <c r="AA1272" s="12"/>
      <c r="AB1272" s="12"/>
      <c r="AC1272" s="12"/>
      <c r="AD1272" s="12"/>
      <c r="AE1272" s="12"/>
      <c r="AF1272" s="12"/>
      <c r="AG1272" s="22"/>
      <c r="AH1272" s="22"/>
      <c r="AI1272" s="22"/>
      <c r="AJ1272" s="22"/>
      <c r="AK1272" s="22"/>
      <c r="AL1272" s="22"/>
      <c r="AM1272" s="22"/>
      <c r="AN1272" s="22"/>
      <c r="AO1272" s="22"/>
      <c r="AP1272" s="22"/>
    </row>
    <row r="1273" hidden="1">
      <c r="C1273" s="11"/>
      <c r="H1273" s="230"/>
      <c r="O1273" s="73">
        <f t="shared" si="27"/>
        <v>0</v>
      </c>
      <c r="Y1273" s="225"/>
      <c r="Z1273" s="225"/>
    </row>
    <row r="1274" hidden="1">
      <c r="C1274" s="11"/>
      <c r="H1274" s="230"/>
      <c r="O1274" s="73">
        <f t="shared" si="27"/>
        <v>0</v>
      </c>
      <c r="Y1274" s="225"/>
      <c r="Z1274" s="225"/>
    </row>
    <row r="1275" ht="15.75" customHeight="1">
      <c r="A1275" s="103">
        <v>1.1812312E7</v>
      </c>
      <c r="B1275" s="84">
        <v>9.0003054E9</v>
      </c>
      <c r="C1275" s="11">
        <v>45953.0</v>
      </c>
      <c r="D1275" s="84">
        <v>28.0</v>
      </c>
      <c r="E1275" s="84">
        <v>34058.0</v>
      </c>
      <c r="F1275" s="191" t="s">
        <v>43</v>
      </c>
      <c r="G1275" s="231" t="s">
        <v>44</v>
      </c>
      <c r="H1275" s="169" t="s">
        <v>268</v>
      </c>
      <c r="I1275" s="194" t="s">
        <v>1958</v>
      </c>
      <c r="J1275" s="169" t="s">
        <v>35</v>
      </c>
      <c r="K1275" s="169" t="s">
        <v>270</v>
      </c>
      <c r="L1275" s="171" t="s">
        <v>94</v>
      </c>
      <c r="M1275" s="84" t="s">
        <v>2065</v>
      </c>
      <c r="N1275" s="133">
        <v>6410.0</v>
      </c>
      <c r="O1275" s="73">
        <f t="shared" si="27"/>
        <v>0.4641185647</v>
      </c>
      <c r="P1275" s="98">
        <v>2975.0</v>
      </c>
      <c r="Q1275" s="12"/>
      <c r="R1275" s="84">
        <v>1715443.0</v>
      </c>
      <c r="S1275" s="84" t="s">
        <v>40</v>
      </c>
      <c r="T1275" s="90">
        <v>7595465.0</v>
      </c>
      <c r="U1275" s="225">
        <v>45954.84375</v>
      </c>
      <c r="V1275" s="225">
        <v>45955.21527777778</v>
      </c>
      <c r="W1275" s="12"/>
      <c r="X1275" s="12"/>
      <c r="Y1275" s="225">
        <v>45965.47222222222</v>
      </c>
      <c r="Z1275" s="225">
        <v>45965.8125</v>
      </c>
      <c r="AA1275" s="12"/>
      <c r="AB1275" s="12"/>
      <c r="AC1275" s="12"/>
      <c r="AD1275" s="12"/>
      <c r="AE1275" s="207" t="s">
        <v>39</v>
      </c>
      <c r="AF1275" s="12"/>
      <c r="AG1275" s="22"/>
      <c r="AH1275" s="22"/>
      <c r="AI1275" s="22"/>
      <c r="AJ1275" s="22"/>
      <c r="AK1275" s="22"/>
      <c r="AL1275" s="22"/>
      <c r="AM1275" s="22"/>
      <c r="AN1275" s="22"/>
      <c r="AO1275" s="22"/>
      <c r="AP1275" s="22"/>
    </row>
    <row r="1276" ht="15.75" customHeight="1">
      <c r="A1276" s="103">
        <v>1.1891239E7</v>
      </c>
      <c r="B1276" s="84">
        <v>9.00040414E9</v>
      </c>
      <c r="C1276" s="11">
        <v>45953.0</v>
      </c>
      <c r="D1276" s="84">
        <v>14.0</v>
      </c>
      <c r="E1276" s="84">
        <v>15911.0</v>
      </c>
      <c r="F1276" s="169" t="s">
        <v>43</v>
      </c>
      <c r="G1276" s="168" t="s">
        <v>44</v>
      </c>
      <c r="H1276" s="169" t="s">
        <v>2066</v>
      </c>
      <c r="I1276" s="194" t="s">
        <v>1958</v>
      </c>
      <c r="J1276" s="169" t="s">
        <v>35</v>
      </c>
      <c r="K1276" s="169" t="s">
        <v>270</v>
      </c>
      <c r="L1276" s="171" t="s">
        <v>94</v>
      </c>
      <c r="M1276" s="84" t="s">
        <v>2065</v>
      </c>
      <c r="N1276" s="133">
        <v>5128.0</v>
      </c>
      <c r="O1276" s="73">
        <f t="shared" si="27"/>
        <v>0.5362714509</v>
      </c>
      <c r="P1276" s="98">
        <v>2750.0</v>
      </c>
      <c r="Q1276" s="84"/>
      <c r="R1276" s="84">
        <v>1722842.0</v>
      </c>
      <c r="S1276" s="84" t="s">
        <v>40</v>
      </c>
      <c r="T1276" s="90">
        <v>7657328.0</v>
      </c>
      <c r="U1276" s="225">
        <v>45965.47222222222</v>
      </c>
      <c r="V1276" s="225">
        <v>45965.8125</v>
      </c>
      <c r="W1276" s="12"/>
      <c r="X1276" s="12"/>
      <c r="Y1276" s="225">
        <v>45966.510416666664</v>
      </c>
      <c r="Z1276" s="225">
        <v>45967.291666666664</v>
      </c>
      <c r="AA1276" s="12"/>
      <c r="AB1276" s="84"/>
      <c r="AC1276" s="84"/>
      <c r="AD1276" s="12"/>
      <c r="AE1276" s="207" t="s">
        <v>39</v>
      </c>
      <c r="AF1276" s="1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</row>
    <row r="1277" ht="15.75" customHeight="1">
      <c r="A1277" s="103">
        <v>1.1812371E7</v>
      </c>
      <c r="B1277" s="84">
        <v>9.000305436E9</v>
      </c>
      <c r="C1277" s="11">
        <v>45953.0</v>
      </c>
      <c r="D1277" s="84">
        <v>28.0</v>
      </c>
      <c r="E1277" s="84">
        <v>34295.0</v>
      </c>
      <c r="F1277" s="219" t="s">
        <v>43</v>
      </c>
      <c r="G1277" s="168" t="s">
        <v>44</v>
      </c>
      <c r="H1277" s="169" t="s">
        <v>268</v>
      </c>
      <c r="I1277" s="194" t="s">
        <v>1958</v>
      </c>
      <c r="J1277" s="169" t="s">
        <v>35</v>
      </c>
      <c r="K1277" s="169" t="s">
        <v>270</v>
      </c>
      <c r="L1277" s="171" t="s">
        <v>94</v>
      </c>
      <c r="M1277" s="216" t="s">
        <v>2067</v>
      </c>
      <c r="N1277" s="133">
        <v>4872.5</v>
      </c>
      <c r="O1277" s="73">
        <f t="shared" si="27"/>
        <v>0.8722421755</v>
      </c>
      <c r="P1277" s="98">
        <v>4250.0</v>
      </c>
      <c r="Q1277" s="84" t="s">
        <v>39</v>
      </c>
      <c r="R1277" s="84">
        <v>1716087.0</v>
      </c>
      <c r="S1277" s="84" t="s">
        <v>40</v>
      </c>
      <c r="T1277" s="90">
        <v>7611673.0</v>
      </c>
      <c r="U1277" s="225">
        <v>45955.694444444445</v>
      </c>
      <c r="V1277" s="225">
        <v>45955.958333333336</v>
      </c>
      <c r="W1277" s="12"/>
      <c r="X1277" s="12"/>
      <c r="Y1277" s="225">
        <v>45959.64236111111</v>
      </c>
      <c r="Z1277" s="225">
        <v>45960.979166666664</v>
      </c>
      <c r="AA1277" s="12"/>
      <c r="AB1277" s="84">
        <v>168006.0</v>
      </c>
      <c r="AC1277" s="84" t="s">
        <v>2059</v>
      </c>
      <c r="AD1277" s="12"/>
      <c r="AE1277" s="207" t="s">
        <v>39</v>
      </c>
      <c r="AF1277" s="12"/>
      <c r="AG1277" s="22"/>
      <c r="AH1277" s="22"/>
      <c r="AI1277" s="22"/>
      <c r="AJ1277" s="22"/>
      <c r="AK1277" s="22"/>
      <c r="AL1277" s="22"/>
      <c r="AM1277" s="22"/>
      <c r="AN1277" s="22"/>
      <c r="AO1277" s="22"/>
      <c r="AP1277" s="22"/>
    </row>
    <row r="1278" ht="15.75" customHeight="1">
      <c r="A1278" s="103">
        <v>1.1812373E7</v>
      </c>
      <c r="B1278" s="84">
        <v>9.000305413E9</v>
      </c>
      <c r="C1278" s="11">
        <v>45953.0</v>
      </c>
      <c r="D1278" s="84">
        <v>15.0</v>
      </c>
      <c r="E1278" s="84">
        <v>17135.0</v>
      </c>
      <c r="F1278" s="219" t="s">
        <v>43</v>
      </c>
      <c r="G1278" s="168" t="s">
        <v>44</v>
      </c>
      <c r="H1278" s="169" t="s">
        <v>2068</v>
      </c>
      <c r="I1278" s="194" t="s">
        <v>1957</v>
      </c>
      <c r="J1278" s="170" t="s">
        <v>270</v>
      </c>
      <c r="K1278" s="170" t="s">
        <v>35</v>
      </c>
      <c r="L1278" s="171" t="s">
        <v>43</v>
      </c>
      <c r="M1278" s="84" t="s">
        <v>2067</v>
      </c>
      <c r="N1278" s="133">
        <v>4872.5</v>
      </c>
      <c r="O1278" s="73">
        <f t="shared" si="27"/>
        <v>0.5643919959</v>
      </c>
      <c r="P1278" s="98">
        <v>2750.0</v>
      </c>
      <c r="Q1278" s="12"/>
      <c r="R1278" s="84">
        <v>1719641.0</v>
      </c>
      <c r="S1278" s="90" t="s">
        <v>40</v>
      </c>
      <c r="T1278" s="90">
        <v>7632322.0</v>
      </c>
      <c r="U1278" s="225">
        <v>45960.979166666664</v>
      </c>
      <c r="V1278" s="225">
        <v>45960.979166666664</v>
      </c>
      <c r="W1278" s="12"/>
      <c r="X1278" s="12"/>
      <c r="Y1278" s="225">
        <v>45973.375</v>
      </c>
      <c r="Z1278" s="225">
        <v>45973.916666666664</v>
      </c>
      <c r="AA1278" s="12"/>
      <c r="AB1278" s="12"/>
      <c r="AC1278" s="12"/>
      <c r="AD1278" s="12"/>
      <c r="AE1278" s="207" t="s">
        <v>39</v>
      </c>
      <c r="AF1278" s="12"/>
      <c r="AG1278" s="22"/>
      <c r="AH1278" s="22"/>
      <c r="AI1278" s="22"/>
      <c r="AJ1278" s="22"/>
      <c r="AK1278" s="22"/>
      <c r="AL1278" s="22"/>
      <c r="AM1278" s="22"/>
      <c r="AN1278" s="22"/>
      <c r="AO1278" s="22"/>
      <c r="AP1278" s="22"/>
    </row>
    <row r="1279" ht="15.75" customHeight="1">
      <c r="A1279" s="103">
        <v>1.181237E7</v>
      </c>
      <c r="B1279" s="84">
        <v>9.000305374E9</v>
      </c>
      <c r="C1279" s="11">
        <v>45953.0</v>
      </c>
      <c r="D1279" s="84">
        <v>28.0</v>
      </c>
      <c r="E1279" s="84">
        <v>34295.0</v>
      </c>
      <c r="F1279" s="219" t="s">
        <v>43</v>
      </c>
      <c r="G1279" s="168" t="s">
        <v>44</v>
      </c>
      <c r="H1279" s="169" t="s">
        <v>268</v>
      </c>
      <c r="I1279" s="194" t="s">
        <v>1958</v>
      </c>
      <c r="J1279" s="169" t="s">
        <v>35</v>
      </c>
      <c r="K1279" s="169" t="s">
        <v>270</v>
      </c>
      <c r="L1279" s="171" t="s">
        <v>94</v>
      </c>
      <c r="M1279" s="84" t="s">
        <v>1969</v>
      </c>
      <c r="N1279" s="133">
        <v>4872.5</v>
      </c>
      <c r="O1279" s="73">
        <f t="shared" si="27"/>
        <v>0.8722421755</v>
      </c>
      <c r="P1279" s="98">
        <v>4250.0</v>
      </c>
      <c r="Q1279" s="12"/>
      <c r="R1279" s="84">
        <v>1714747.0</v>
      </c>
      <c r="S1279" s="232" t="s">
        <v>40</v>
      </c>
      <c r="T1279" s="90">
        <v>7586285.0</v>
      </c>
      <c r="U1279" s="225">
        <v>45953.760416666664</v>
      </c>
      <c r="V1279" s="225">
        <v>45953.96527777778</v>
      </c>
      <c r="W1279" s="12"/>
      <c r="X1279" s="12"/>
      <c r="Y1279" s="225">
        <v>45958.5</v>
      </c>
      <c r="Z1279" s="225">
        <v>45959.99652777778</v>
      </c>
      <c r="AA1279" s="12"/>
      <c r="AB1279" s="84">
        <v>162852.0</v>
      </c>
      <c r="AC1279" s="84" t="s">
        <v>2059</v>
      </c>
      <c r="AD1279" s="12"/>
      <c r="AE1279" s="207" t="s">
        <v>39</v>
      </c>
      <c r="AF1279" s="1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</row>
    <row r="1280" ht="15.75" customHeight="1">
      <c r="A1280" s="103">
        <v>1.1812375E7</v>
      </c>
      <c r="B1280" s="84">
        <v>9.000305276E9</v>
      </c>
      <c r="C1280" s="11">
        <v>45953.0</v>
      </c>
      <c r="D1280" s="84">
        <v>15.0</v>
      </c>
      <c r="E1280" s="84">
        <v>17135.0</v>
      </c>
      <c r="F1280" s="169" t="s">
        <v>43</v>
      </c>
      <c r="G1280" s="168" t="s">
        <v>44</v>
      </c>
      <c r="H1280" s="169" t="s">
        <v>2069</v>
      </c>
      <c r="I1280" s="194" t="s">
        <v>1957</v>
      </c>
      <c r="J1280" s="170" t="s">
        <v>270</v>
      </c>
      <c r="K1280" s="170" t="s">
        <v>35</v>
      </c>
      <c r="L1280" s="171" t="s">
        <v>43</v>
      </c>
      <c r="M1280" s="84" t="s">
        <v>1969</v>
      </c>
      <c r="N1280" s="133">
        <v>4872.5</v>
      </c>
      <c r="O1280" s="73">
        <f t="shared" si="27"/>
        <v>0.5643919959</v>
      </c>
      <c r="P1280" s="98">
        <v>2750.0</v>
      </c>
      <c r="Q1280" s="12"/>
      <c r="R1280" s="84">
        <v>1718858.0</v>
      </c>
      <c r="S1280" s="84" t="s">
        <v>40</v>
      </c>
      <c r="T1280" s="90">
        <v>7624803.0</v>
      </c>
      <c r="U1280" s="225">
        <v>45959.99652777778</v>
      </c>
      <c r="V1280" s="225">
        <v>45959.99652777778</v>
      </c>
      <c r="W1280" s="12"/>
      <c r="X1280" s="12"/>
      <c r="Y1280" s="225">
        <v>45961.649305555555</v>
      </c>
      <c r="Z1280" s="225">
        <v>45961.895833333336</v>
      </c>
      <c r="AA1280" s="12"/>
      <c r="AB1280" s="12"/>
      <c r="AC1280" s="12"/>
      <c r="AD1280" s="12"/>
      <c r="AE1280" s="207" t="s">
        <v>39</v>
      </c>
      <c r="AF1280" s="12"/>
      <c r="AG1280" s="22"/>
      <c r="AH1280" s="22"/>
      <c r="AI1280" s="22"/>
      <c r="AJ1280" s="22"/>
      <c r="AK1280" s="22"/>
      <c r="AL1280" s="22"/>
      <c r="AM1280" s="22"/>
      <c r="AN1280" s="22"/>
      <c r="AO1280" s="22"/>
      <c r="AP1280" s="22"/>
    </row>
    <row r="1281" ht="15.75" customHeight="1">
      <c r="A1281" s="103">
        <v>1.1804314E7</v>
      </c>
      <c r="B1281" s="84">
        <v>9.000295604E9</v>
      </c>
      <c r="C1281" s="11">
        <v>45954.0</v>
      </c>
      <c r="D1281" s="84">
        <v>28.0</v>
      </c>
      <c r="E1281" s="84">
        <v>34295.0</v>
      </c>
      <c r="F1281" s="219" t="s">
        <v>43</v>
      </c>
      <c r="G1281" s="168" t="s">
        <v>44</v>
      </c>
      <c r="H1281" s="169" t="s">
        <v>268</v>
      </c>
      <c r="I1281" s="194" t="s">
        <v>1958</v>
      </c>
      <c r="J1281" s="169" t="s">
        <v>35</v>
      </c>
      <c r="K1281" s="169" t="s">
        <v>270</v>
      </c>
      <c r="L1281" s="171" t="s">
        <v>94</v>
      </c>
      <c r="M1281" s="84" t="s">
        <v>1860</v>
      </c>
      <c r="N1281" s="133">
        <v>4872.5</v>
      </c>
      <c r="O1281" s="73">
        <f t="shared" si="27"/>
        <v>0.8722421755</v>
      </c>
      <c r="P1281" s="98">
        <v>4250.0</v>
      </c>
      <c r="Q1281" s="12"/>
      <c r="R1281" s="84">
        <v>1718298.0</v>
      </c>
      <c r="S1281" s="84" t="s">
        <v>40</v>
      </c>
      <c r="T1281" s="90">
        <v>7619263.0</v>
      </c>
      <c r="U1281" s="225">
        <v>45954.805555555555</v>
      </c>
      <c r="V1281" s="225">
        <v>45955.09722222222</v>
      </c>
      <c r="W1281" s="12"/>
      <c r="X1281" s="12"/>
      <c r="Y1281" s="225">
        <v>45959.930555555555</v>
      </c>
      <c r="Z1281" s="225">
        <v>45961.368055555555</v>
      </c>
      <c r="AA1281" s="12"/>
      <c r="AB1281" s="84">
        <v>167992.0</v>
      </c>
      <c r="AC1281" s="84" t="s">
        <v>2059</v>
      </c>
      <c r="AD1281" s="12"/>
      <c r="AE1281" s="207" t="s">
        <v>39</v>
      </c>
      <c r="AF1281" s="207" t="s">
        <v>39</v>
      </c>
      <c r="AG1281" s="22"/>
      <c r="AH1281" s="22"/>
      <c r="AI1281" s="22"/>
      <c r="AJ1281" s="22"/>
      <c r="AK1281" s="22"/>
      <c r="AL1281" s="22"/>
      <c r="AM1281" s="22"/>
      <c r="AN1281" s="22"/>
      <c r="AO1281" s="22"/>
      <c r="AP1281" s="22"/>
    </row>
    <row r="1282" ht="15.75" customHeight="1">
      <c r="A1282" s="103">
        <v>1.1804324E7</v>
      </c>
      <c r="B1282" s="84">
        <v>9.000295559E9</v>
      </c>
      <c r="C1282" s="11">
        <v>45954.0</v>
      </c>
      <c r="D1282" s="84">
        <v>15.0</v>
      </c>
      <c r="E1282" s="84">
        <v>17135.0</v>
      </c>
      <c r="F1282" s="169" t="s">
        <v>43</v>
      </c>
      <c r="G1282" s="168" t="s">
        <v>44</v>
      </c>
      <c r="H1282" s="169" t="s">
        <v>2070</v>
      </c>
      <c r="I1282" s="194" t="s">
        <v>1957</v>
      </c>
      <c r="J1282" s="170" t="s">
        <v>270</v>
      </c>
      <c r="K1282" s="170" t="s">
        <v>35</v>
      </c>
      <c r="L1282" s="171" t="s">
        <v>43</v>
      </c>
      <c r="M1282" s="84" t="s">
        <v>1860</v>
      </c>
      <c r="N1282" s="133">
        <v>4872.5</v>
      </c>
      <c r="O1282" s="73">
        <f t="shared" si="27"/>
        <v>0.5643919959</v>
      </c>
      <c r="P1282" s="98">
        <v>2750.0</v>
      </c>
      <c r="Q1282" s="12"/>
      <c r="R1282" s="84">
        <v>1719663.0</v>
      </c>
      <c r="S1282" s="84" t="s">
        <v>40</v>
      </c>
      <c r="T1282" s="90">
        <v>7632497.0</v>
      </c>
      <c r="U1282" s="225">
        <v>45961.368055555555</v>
      </c>
      <c r="V1282" s="225">
        <v>45961.368055555555</v>
      </c>
      <c r="W1282" s="12"/>
      <c r="X1282" s="12"/>
      <c r="Y1282" s="214">
        <v>45964.666666666664</v>
      </c>
      <c r="Z1282" s="214">
        <v>45964.833333333336</v>
      </c>
      <c r="AA1282" s="12"/>
      <c r="AB1282" s="12"/>
      <c r="AC1282" s="12"/>
      <c r="AD1282" s="12"/>
      <c r="AE1282" s="207" t="s">
        <v>39</v>
      </c>
      <c r="AF1282" s="12"/>
      <c r="AG1282" s="22"/>
      <c r="AH1282" s="22"/>
      <c r="AI1282" s="22"/>
      <c r="AJ1282" s="22"/>
      <c r="AK1282" s="22"/>
      <c r="AL1282" s="22"/>
      <c r="AM1282" s="22"/>
      <c r="AN1282" s="22"/>
      <c r="AO1282" s="22"/>
      <c r="AP1282" s="22"/>
    </row>
    <row r="1283" ht="15.75" customHeight="1">
      <c r="A1283" s="103">
        <v>1.1804315E7</v>
      </c>
      <c r="B1283" s="84">
        <v>9.00029562E9</v>
      </c>
      <c r="C1283" s="11">
        <v>45954.0</v>
      </c>
      <c r="D1283" s="84">
        <v>28.0</v>
      </c>
      <c r="E1283" s="84">
        <v>34295.0</v>
      </c>
      <c r="F1283" s="219" t="s">
        <v>43</v>
      </c>
      <c r="G1283" s="168" t="s">
        <v>44</v>
      </c>
      <c r="H1283" s="169" t="s">
        <v>268</v>
      </c>
      <c r="I1283" s="194" t="s">
        <v>1958</v>
      </c>
      <c r="J1283" s="169" t="s">
        <v>35</v>
      </c>
      <c r="K1283" s="169" t="s">
        <v>270</v>
      </c>
      <c r="L1283" s="171" t="s">
        <v>94</v>
      </c>
      <c r="M1283" s="84" t="s">
        <v>2036</v>
      </c>
      <c r="N1283" s="133">
        <v>4872.5</v>
      </c>
      <c r="O1283" s="73">
        <f t="shared" si="27"/>
        <v>0.8722421755</v>
      </c>
      <c r="P1283" s="98">
        <v>4250.0</v>
      </c>
      <c r="Q1283" s="84" t="s">
        <v>39</v>
      </c>
      <c r="R1283" s="84">
        <v>1715110.0</v>
      </c>
      <c r="S1283" s="84" t="s">
        <v>40</v>
      </c>
      <c r="T1283" s="90">
        <v>7600918.0</v>
      </c>
      <c r="U1283" s="225">
        <v>45954.625</v>
      </c>
      <c r="V1283" s="225">
        <v>45954.791666666664</v>
      </c>
      <c r="W1283" s="12"/>
      <c r="X1283" s="12"/>
      <c r="Y1283" s="225">
        <v>45956.90972222222</v>
      </c>
      <c r="Z1283" s="225">
        <v>45957.458333333336</v>
      </c>
      <c r="AA1283" s="12"/>
      <c r="AB1283" s="84">
        <v>155539.0</v>
      </c>
      <c r="AC1283" s="84" t="s">
        <v>579</v>
      </c>
      <c r="AD1283" s="12"/>
      <c r="AE1283" s="207" t="s">
        <v>39</v>
      </c>
      <c r="AF1283" s="1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</row>
    <row r="1284" ht="15.75" customHeight="1">
      <c r="A1284" s="103">
        <v>1.1804322E7</v>
      </c>
      <c r="B1284" s="84">
        <v>9.000295596E9</v>
      </c>
      <c r="C1284" s="11">
        <v>45954.0</v>
      </c>
      <c r="D1284" s="84">
        <v>15.0</v>
      </c>
      <c r="E1284" s="84">
        <v>17135.0</v>
      </c>
      <c r="F1284" s="169" t="s">
        <v>43</v>
      </c>
      <c r="G1284" s="168" t="s">
        <v>44</v>
      </c>
      <c r="H1284" s="169" t="s">
        <v>2071</v>
      </c>
      <c r="I1284" s="194" t="s">
        <v>1957</v>
      </c>
      <c r="J1284" s="170" t="s">
        <v>270</v>
      </c>
      <c r="K1284" s="170" t="s">
        <v>35</v>
      </c>
      <c r="L1284" s="171" t="s">
        <v>43</v>
      </c>
      <c r="M1284" s="84" t="s">
        <v>2036</v>
      </c>
      <c r="N1284" s="133">
        <v>4872.5</v>
      </c>
      <c r="O1284" s="73">
        <f t="shared" si="27"/>
        <v>0</v>
      </c>
      <c r="P1284" s="15"/>
      <c r="Q1284" s="12"/>
      <c r="R1284" s="12"/>
      <c r="S1284" s="84" t="s">
        <v>165</v>
      </c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</row>
    <row r="1285" ht="15.75" customHeight="1">
      <c r="A1285" s="103">
        <v>1.1804317E7</v>
      </c>
      <c r="B1285" s="84">
        <v>9.000295535E9</v>
      </c>
      <c r="C1285" s="11">
        <v>45955.0</v>
      </c>
      <c r="D1285" s="84">
        <v>28.0</v>
      </c>
      <c r="E1285" s="84">
        <v>34295.0</v>
      </c>
      <c r="F1285" s="219" t="s">
        <v>43</v>
      </c>
      <c r="G1285" s="168" t="s">
        <v>44</v>
      </c>
      <c r="H1285" s="169" t="s">
        <v>268</v>
      </c>
      <c r="I1285" s="194" t="s">
        <v>1958</v>
      </c>
      <c r="J1285" s="169" t="s">
        <v>35</v>
      </c>
      <c r="K1285" s="169" t="s">
        <v>270</v>
      </c>
      <c r="L1285" s="171" t="s">
        <v>94</v>
      </c>
      <c r="M1285" s="216" t="s">
        <v>1936</v>
      </c>
      <c r="N1285" s="133">
        <v>4872.5</v>
      </c>
      <c r="O1285" s="73">
        <f t="shared" si="27"/>
        <v>0.8722421755</v>
      </c>
      <c r="P1285" s="98">
        <v>4250.0</v>
      </c>
      <c r="Q1285" s="84" t="s">
        <v>39</v>
      </c>
      <c r="R1285" s="84">
        <v>1716031.0</v>
      </c>
      <c r="S1285" s="84" t="s">
        <v>40</v>
      </c>
      <c r="T1285" s="90">
        <v>7599675.0</v>
      </c>
      <c r="U1285" s="225">
        <v>45955.541666666664</v>
      </c>
      <c r="V1285" s="225">
        <v>45956.006944444445</v>
      </c>
      <c r="W1285" s="12"/>
      <c r="X1285" s="12"/>
      <c r="Y1285" s="225">
        <v>45958.756944444445</v>
      </c>
      <c r="Z1285" s="225">
        <v>45960.666666666664</v>
      </c>
      <c r="AA1285" s="12"/>
      <c r="AB1285" s="84">
        <v>162877.0</v>
      </c>
      <c r="AC1285" s="84" t="s">
        <v>2059</v>
      </c>
      <c r="AD1285" s="12"/>
      <c r="AE1285" s="207" t="s">
        <v>39</v>
      </c>
      <c r="AF1285" s="207" t="s">
        <v>39</v>
      </c>
      <c r="AG1285" s="22"/>
      <c r="AH1285" s="22"/>
      <c r="AI1285" s="22"/>
      <c r="AJ1285" s="22"/>
      <c r="AK1285" s="22"/>
      <c r="AL1285" s="22"/>
      <c r="AM1285" s="22"/>
      <c r="AN1285" s="22"/>
      <c r="AO1285" s="22"/>
      <c r="AP1285" s="22"/>
    </row>
    <row r="1286" ht="15.75" customHeight="1">
      <c r="A1286" s="103">
        <v>1.1804325E7</v>
      </c>
      <c r="B1286" s="84">
        <v>9.000295528E9</v>
      </c>
      <c r="C1286" s="11">
        <v>45955.0</v>
      </c>
      <c r="D1286" s="84">
        <v>15.0</v>
      </c>
      <c r="E1286" s="84">
        <v>17135.0</v>
      </c>
      <c r="F1286" s="169" t="s">
        <v>43</v>
      </c>
      <c r="G1286" s="168" t="s">
        <v>44</v>
      </c>
      <c r="H1286" s="169" t="s">
        <v>2072</v>
      </c>
      <c r="I1286" s="194" t="s">
        <v>1957</v>
      </c>
      <c r="J1286" s="170" t="s">
        <v>270</v>
      </c>
      <c r="K1286" s="170" t="s">
        <v>35</v>
      </c>
      <c r="L1286" s="171" t="s">
        <v>43</v>
      </c>
      <c r="M1286" s="84" t="s">
        <v>1936</v>
      </c>
      <c r="N1286" s="133">
        <v>4872.5</v>
      </c>
      <c r="O1286" s="73">
        <f t="shared" si="27"/>
        <v>0.5643919959</v>
      </c>
      <c r="P1286" s="98">
        <v>2750.0</v>
      </c>
      <c r="Q1286" s="12"/>
      <c r="R1286" s="84">
        <v>1719337.0</v>
      </c>
      <c r="S1286" s="84" t="s">
        <v>40</v>
      </c>
      <c r="T1286" s="90">
        <v>7629264.0</v>
      </c>
      <c r="U1286" s="225">
        <v>45960.666666666664</v>
      </c>
      <c r="V1286" s="225">
        <v>45960.666666666664</v>
      </c>
      <c r="W1286" s="12"/>
      <c r="X1286" s="12"/>
      <c r="Y1286" s="214">
        <v>45964.75</v>
      </c>
      <c r="Z1286" s="214">
        <v>45965.458333333336</v>
      </c>
      <c r="AA1286" s="12"/>
      <c r="AB1286" s="12"/>
      <c r="AC1286" s="12"/>
      <c r="AD1286" s="12"/>
      <c r="AE1286" s="207" t="s">
        <v>39</v>
      </c>
      <c r="AF1286" s="1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</row>
    <row r="1287" ht="15.75" customHeight="1">
      <c r="A1287" s="103">
        <v>1.1804316E7</v>
      </c>
      <c r="B1287" s="84">
        <v>9.000295569E9</v>
      </c>
      <c r="C1287" s="11">
        <v>45955.0</v>
      </c>
      <c r="D1287" s="84">
        <v>28.0</v>
      </c>
      <c r="E1287" s="84">
        <v>34295.0</v>
      </c>
      <c r="F1287" s="219" t="s">
        <v>43</v>
      </c>
      <c r="G1287" s="168" t="s">
        <v>44</v>
      </c>
      <c r="H1287" s="169" t="s">
        <v>268</v>
      </c>
      <c r="I1287" s="194" t="s">
        <v>1958</v>
      </c>
      <c r="J1287" s="169" t="s">
        <v>35</v>
      </c>
      <c r="K1287" s="169" t="s">
        <v>270</v>
      </c>
      <c r="L1287" s="171" t="s">
        <v>94</v>
      </c>
      <c r="M1287" s="216" t="s">
        <v>1931</v>
      </c>
      <c r="N1287" s="233">
        <v>4872.5</v>
      </c>
      <c r="O1287" s="234">
        <f t="shared" si="27"/>
        <v>0.8722421755</v>
      </c>
      <c r="P1287" s="235">
        <v>4250.0</v>
      </c>
      <c r="Q1287" s="216" t="s">
        <v>39</v>
      </c>
      <c r="R1287" s="216">
        <v>1715582.0</v>
      </c>
      <c r="S1287" s="90" t="s">
        <v>40</v>
      </c>
      <c r="T1287" s="90">
        <v>7599663.0</v>
      </c>
      <c r="U1287" s="225">
        <v>45955.54861111111</v>
      </c>
      <c r="V1287" s="225">
        <v>45955.708333333336</v>
      </c>
      <c r="W1287" s="12"/>
      <c r="X1287" s="12"/>
      <c r="Y1287" s="225">
        <v>45957.4375</v>
      </c>
      <c r="Z1287" s="225" t="s">
        <v>2073</v>
      </c>
      <c r="AA1287" s="12"/>
      <c r="AB1287" s="84">
        <v>159796.0</v>
      </c>
      <c r="AC1287" s="84" t="s">
        <v>2059</v>
      </c>
      <c r="AD1287" s="12"/>
      <c r="AE1287" s="207" t="s">
        <v>39</v>
      </c>
      <c r="AF1287" s="12"/>
      <c r="AG1287" s="22"/>
      <c r="AH1287" s="22"/>
      <c r="AI1287" s="22"/>
      <c r="AJ1287" s="22"/>
      <c r="AK1287" s="22"/>
      <c r="AL1287" s="22"/>
      <c r="AM1287" s="22"/>
      <c r="AN1287" s="22"/>
      <c r="AO1287" s="22"/>
      <c r="AP1287" s="22"/>
    </row>
    <row r="1288" ht="15.75" customHeight="1">
      <c r="A1288" s="103">
        <v>1.1804326E7</v>
      </c>
      <c r="B1288" s="84">
        <v>9.000295527E9</v>
      </c>
      <c r="C1288" s="11">
        <v>45955.0</v>
      </c>
      <c r="D1288" s="84">
        <v>15.0</v>
      </c>
      <c r="E1288" s="84">
        <v>17135.0</v>
      </c>
      <c r="F1288" s="169" t="s">
        <v>43</v>
      </c>
      <c r="G1288" s="168" t="s">
        <v>44</v>
      </c>
      <c r="H1288" s="169" t="s">
        <v>2074</v>
      </c>
      <c r="I1288" s="194" t="s">
        <v>1957</v>
      </c>
      <c r="J1288" s="170" t="s">
        <v>270</v>
      </c>
      <c r="K1288" s="170" t="s">
        <v>35</v>
      </c>
      <c r="L1288" s="171" t="s">
        <v>43</v>
      </c>
      <c r="M1288" s="84" t="s">
        <v>1931</v>
      </c>
      <c r="N1288" s="133">
        <v>4872.5</v>
      </c>
      <c r="O1288" s="73">
        <f t="shared" si="27"/>
        <v>0.8182657773</v>
      </c>
      <c r="P1288" s="98">
        <v>3987.0</v>
      </c>
      <c r="Q1288" s="12"/>
      <c r="R1288" s="84">
        <v>1718064.0</v>
      </c>
      <c r="S1288" s="84" t="s">
        <v>40</v>
      </c>
      <c r="T1288" s="90">
        <v>7417292.0</v>
      </c>
      <c r="U1288" s="225" t="s">
        <v>2073</v>
      </c>
      <c r="V1288" s="225" t="s">
        <v>2073</v>
      </c>
      <c r="W1288" s="12"/>
      <c r="X1288" s="12"/>
      <c r="Y1288" s="225">
        <v>45959.59375</v>
      </c>
      <c r="Z1288" s="225">
        <v>45959.90972222222</v>
      </c>
      <c r="AA1288" s="12"/>
      <c r="AB1288" s="12"/>
      <c r="AC1288" s="12"/>
      <c r="AD1288" s="12"/>
      <c r="AE1288" s="207" t="s">
        <v>39</v>
      </c>
      <c r="AF1288" s="12"/>
      <c r="AG1288" s="22"/>
      <c r="AH1288" s="22"/>
      <c r="AI1288" s="22"/>
      <c r="AJ1288" s="22"/>
      <c r="AK1288" s="22"/>
      <c r="AL1288" s="22"/>
      <c r="AM1288" s="22"/>
      <c r="AN1288" s="22"/>
      <c r="AO1288" s="22"/>
      <c r="AP1288" s="22"/>
    </row>
    <row r="1289" ht="15.75" customHeight="1">
      <c r="A1289" s="103">
        <v>1.1854016E7</v>
      </c>
      <c r="B1289" s="84">
        <v>9.000359823E9</v>
      </c>
      <c r="C1289" s="11">
        <v>45956.0</v>
      </c>
      <c r="D1289" s="84">
        <v>26.0</v>
      </c>
      <c r="E1289" s="84">
        <v>32468.0</v>
      </c>
      <c r="F1289" s="103" t="s">
        <v>31</v>
      </c>
      <c r="G1289" s="84" t="s">
        <v>74</v>
      </c>
      <c r="H1289" s="84" t="s">
        <v>1995</v>
      </c>
      <c r="I1289" s="84" t="s">
        <v>221</v>
      </c>
      <c r="J1289" s="84" t="s">
        <v>35</v>
      </c>
      <c r="K1289" s="84" t="s">
        <v>187</v>
      </c>
      <c r="L1289" s="98" t="s">
        <v>188</v>
      </c>
      <c r="M1289" s="84" t="s">
        <v>2075</v>
      </c>
      <c r="N1289" s="133">
        <v>4155.0</v>
      </c>
      <c r="O1289" s="73">
        <f t="shared" si="27"/>
        <v>0.6767749699</v>
      </c>
      <c r="P1289" s="98">
        <v>2812.0</v>
      </c>
      <c r="Q1289" s="84" t="s">
        <v>39</v>
      </c>
      <c r="R1289" s="84">
        <v>1715921.0</v>
      </c>
      <c r="S1289" s="84" t="s">
        <v>40</v>
      </c>
      <c r="T1289" s="90">
        <v>7599768.0</v>
      </c>
      <c r="U1289" s="225">
        <v>45956.541666666664</v>
      </c>
      <c r="V1289" s="225">
        <v>45956.677083333336</v>
      </c>
      <c r="W1289" s="12"/>
      <c r="X1289" s="12"/>
      <c r="Y1289" s="225">
        <v>45958.368055555555</v>
      </c>
      <c r="Z1289" s="225">
        <v>45958.70138888889</v>
      </c>
      <c r="AA1289" s="12"/>
      <c r="AB1289" s="84">
        <v>163717.0</v>
      </c>
      <c r="AC1289" s="84" t="s">
        <v>1154</v>
      </c>
      <c r="AD1289" s="12"/>
      <c r="AE1289" s="207" t="s">
        <v>39</v>
      </c>
      <c r="AF1289" s="1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</row>
    <row r="1290" ht="15.75" customHeight="1">
      <c r="A1290" s="103">
        <v>1.1854017E7</v>
      </c>
      <c r="B1290" s="84">
        <v>9.000359755E9</v>
      </c>
      <c r="C1290" s="11">
        <v>45956.0</v>
      </c>
      <c r="D1290" s="84">
        <v>26.0</v>
      </c>
      <c r="E1290" s="84">
        <v>30663.0</v>
      </c>
      <c r="F1290" s="103" t="s">
        <v>31</v>
      </c>
      <c r="G1290" s="84" t="s">
        <v>74</v>
      </c>
      <c r="H1290" s="84" t="s">
        <v>1995</v>
      </c>
      <c r="I1290" s="84" t="s">
        <v>221</v>
      </c>
      <c r="J1290" s="84" t="s">
        <v>35</v>
      </c>
      <c r="K1290" s="84" t="s">
        <v>187</v>
      </c>
      <c r="L1290" s="98" t="s">
        <v>188</v>
      </c>
      <c r="M1290" s="84" t="s">
        <v>2076</v>
      </c>
      <c r="N1290" s="133">
        <v>4155.0</v>
      </c>
      <c r="O1290" s="73">
        <f t="shared" si="27"/>
        <v>0.4341756919</v>
      </c>
      <c r="P1290" s="98">
        <v>1804.0</v>
      </c>
      <c r="Q1290" s="84" t="s">
        <v>39</v>
      </c>
      <c r="R1290" s="84">
        <v>1717047.0</v>
      </c>
      <c r="S1290" s="84" t="s">
        <v>40</v>
      </c>
      <c r="T1290" s="90">
        <v>7606684.0</v>
      </c>
      <c r="U1290" s="225">
        <v>45957.458333333336</v>
      </c>
      <c r="V1290" s="225">
        <v>45958.305555555555</v>
      </c>
      <c r="W1290" s="12"/>
      <c r="X1290" s="12"/>
      <c r="Y1290" s="225">
        <v>45959.395833333336</v>
      </c>
      <c r="Z1290" s="225">
        <v>45959.65277777778</v>
      </c>
      <c r="AA1290" s="12"/>
      <c r="AB1290" s="84">
        <v>166375.0</v>
      </c>
      <c r="AC1290" s="84" t="s">
        <v>1154</v>
      </c>
      <c r="AD1290" s="12"/>
      <c r="AE1290" s="207" t="s">
        <v>39</v>
      </c>
      <c r="AF1290" s="12"/>
      <c r="AG1290" s="22"/>
      <c r="AH1290" s="22"/>
      <c r="AI1290" s="22"/>
      <c r="AJ1290" s="22"/>
      <c r="AK1290" s="22"/>
      <c r="AL1290" s="22"/>
      <c r="AM1290" s="22"/>
      <c r="AN1290" s="22"/>
      <c r="AO1290" s="22"/>
      <c r="AP1290" s="22"/>
    </row>
    <row r="1291" ht="15.75" customHeight="1">
      <c r="A1291" s="103">
        <v>1.1858515E7</v>
      </c>
      <c r="B1291" s="84">
        <v>9.000365231E9</v>
      </c>
      <c r="C1291" s="11">
        <v>45957.0</v>
      </c>
      <c r="D1291" s="84">
        <v>27.0</v>
      </c>
      <c r="E1291" s="84">
        <v>33969.0</v>
      </c>
      <c r="F1291" s="103" t="s">
        <v>31</v>
      </c>
      <c r="G1291" s="236" t="s">
        <v>44</v>
      </c>
      <c r="H1291" s="169" t="s">
        <v>45</v>
      </c>
      <c r="I1291" s="209" t="s">
        <v>46</v>
      </c>
      <c r="J1291" s="12" t="s">
        <v>35</v>
      </c>
      <c r="K1291" s="14" t="s">
        <v>47</v>
      </c>
      <c r="L1291" s="98" t="s">
        <v>108</v>
      </c>
      <c r="M1291" s="84" t="s">
        <v>1943</v>
      </c>
      <c r="N1291" s="133">
        <v>2424.0</v>
      </c>
      <c r="O1291" s="73">
        <f t="shared" si="27"/>
        <v>0.5447235974</v>
      </c>
      <c r="P1291" s="98">
        <v>1320.41</v>
      </c>
      <c r="Q1291" s="84" t="s">
        <v>39</v>
      </c>
      <c r="R1291" s="84">
        <v>1717134.0</v>
      </c>
      <c r="S1291" s="84" t="s">
        <v>40</v>
      </c>
      <c r="T1291" s="90">
        <v>7612591.0</v>
      </c>
      <c r="U1291" s="225">
        <v>45958.44097222222</v>
      </c>
      <c r="V1291" s="225">
        <v>45958.666666666664</v>
      </c>
      <c r="W1291" s="12"/>
      <c r="X1291" s="12"/>
      <c r="Y1291" s="225">
        <v>45958.885416666664</v>
      </c>
      <c r="Z1291" s="225">
        <v>45959.583333333336</v>
      </c>
      <c r="AA1291" s="12"/>
      <c r="AB1291" s="12"/>
      <c r="AC1291" s="12"/>
      <c r="AD1291" s="12"/>
      <c r="AE1291" s="207" t="s">
        <v>39</v>
      </c>
      <c r="AF1291" s="1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</row>
    <row r="1292" ht="15.75" customHeight="1">
      <c r="A1292" s="103">
        <v>1.1837486E7</v>
      </c>
      <c r="B1292" s="84">
        <v>9.000338478E9</v>
      </c>
      <c r="C1292" s="11">
        <v>45957.0</v>
      </c>
      <c r="D1292" s="84">
        <v>27.0</v>
      </c>
      <c r="E1292" s="84">
        <v>34716.0</v>
      </c>
      <c r="F1292" s="103" t="s">
        <v>31</v>
      </c>
      <c r="G1292" s="168" t="s">
        <v>44</v>
      </c>
      <c r="H1292" s="169" t="s">
        <v>268</v>
      </c>
      <c r="I1292" s="194" t="s">
        <v>1958</v>
      </c>
      <c r="J1292" s="169" t="s">
        <v>35</v>
      </c>
      <c r="K1292" s="169" t="s">
        <v>270</v>
      </c>
      <c r="L1292" s="171" t="s">
        <v>94</v>
      </c>
      <c r="M1292" s="84" t="s">
        <v>2077</v>
      </c>
      <c r="N1292" s="133">
        <v>6410.0</v>
      </c>
      <c r="O1292" s="73">
        <f t="shared" si="27"/>
        <v>0.6630265211</v>
      </c>
      <c r="P1292" s="98">
        <v>4250.0</v>
      </c>
      <c r="Q1292" s="84" t="s">
        <v>39</v>
      </c>
      <c r="R1292" s="84">
        <v>1721622.0</v>
      </c>
      <c r="S1292" s="84" t="s">
        <v>40</v>
      </c>
      <c r="T1292" s="90">
        <v>7645893.0</v>
      </c>
      <c r="U1292" s="12"/>
      <c r="V1292" s="12"/>
      <c r="W1292" s="12"/>
      <c r="X1292" s="12"/>
      <c r="Y1292" s="214">
        <v>45966.493055555555</v>
      </c>
      <c r="Z1292" s="214">
        <v>45966.975694444445</v>
      </c>
      <c r="AA1292" s="12"/>
      <c r="AB1292" s="12"/>
      <c r="AC1292" s="12"/>
      <c r="AD1292" s="12"/>
      <c r="AE1292" s="207" t="s">
        <v>39</v>
      </c>
      <c r="AF1292" s="12"/>
      <c r="AG1292" s="22"/>
      <c r="AH1292" s="22"/>
      <c r="AI1292" s="22"/>
      <c r="AJ1292" s="22"/>
      <c r="AK1292" s="22"/>
      <c r="AL1292" s="22"/>
      <c r="AM1292" s="22"/>
      <c r="AN1292" s="22"/>
      <c r="AO1292" s="22"/>
      <c r="AP1292" s="22"/>
    </row>
    <row r="1293" ht="15.75" customHeight="1">
      <c r="A1293" s="103">
        <v>1.1851501E7</v>
      </c>
      <c r="B1293" s="84">
        <v>9.000357485E9</v>
      </c>
      <c r="C1293" s="11">
        <v>45958.0</v>
      </c>
      <c r="D1293" s="84">
        <v>26.0</v>
      </c>
      <c r="E1293" s="84">
        <v>32468.0</v>
      </c>
      <c r="F1293" s="103" t="s">
        <v>31</v>
      </c>
      <c r="G1293" s="85" t="s">
        <v>74</v>
      </c>
      <c r="H1293" s="84" t="s">
        <v>1351</v>
      </c>
      <c r="I1293" s="84" t="s">
        <v>1352</v>
      </c>
      <c r="J1293" s="84" t="s">
        <v>35</v>
      </c>
      <c r="K1293" s="84" t="s">
        <v>1353</v>
      </c>
      <c r="L1293" s="98" t="s">
        <v>59</v>
      </c>
      <c r="M1293" s="84" t="s">
        <v>2034</v>
      </c>
      <c r="N1293" s="133">
        <v>5083.0</v>
      </c>
      <c r="O1293" s="73">
        <f t="shared" si="27"/>
        <v>0.7283100531</v>
      </c>
      <c r="P1293" s="98">
        <v>3702.0</v>
      </c>
      <c r="Q1293" s="84" t="s">
        <v>39</v>
      </c>
      <c r="R1293" s="84">
        <v>1717335.0</v>
      </c>
      <c r="S1293" s="90" t="s">
        <v>40</v>
      </c>
      <c r="T1293" s="90">
        <v>7610213.0</v>
      </c>
      <c r="U1293" s="225">
        <v>45958.006944444445</v>
      </c>
      <c r="V1293" s="225">
        <v>45959.645833333336</v>
      </c>
      <c r="W1293" s="12"/>
      <c r="X1293" s="12"/>
      <c r="Y1293" s="225">
        <v>45960.34722222222</v>
      </c>
      <c r="Z1293" s="225">
        <v>45960.48263888889</v>
      </c>
      <c r="AA1293" s="12"/>
      <c r="AB1293" s="84">
        <v>166199.0</v>
      </c>
      <c r="AC1293" s="84" t="s">
        <v>1154</v>
      </c>
      <c r="AD1293" s="12"/>
      <c r="AE1293" s="207" t="s">
        <v>39</v>
      </c>
      <c r="AF1293" s="12"/>
      <c r="AG1293" s="22"/>
      <c r="AH1293" s="22"/>
      <c r="AI1293" s="22"/>
      <c r="AJ1293" s="22"/>
      <c r="AK1293" s="22"/>
      <c r="AL1293" s="22"/>
      <c r="AM1293" s="22"/>
      <c r="AN1293" s="22"/>
      <c r="AO1293" s="22"/>
      <c r="AP1293" s="22"/>
    </row>
    <row r="1294" ht="15.75" customHeight="1">
      <c r="A1294" s="103">
        <v>1.1864625E7</v>
      </c>
      <c r="B1294" s="84">
        <v>9.000372566E9</v>
      </c>
      <c r="C1294" s="11">
        <v>45959.0</v>
      </c>
      <c r="D1294" s="84">
        <v>25.0</v>
      </c>
      <c r="E1294" s="84">
        <v>28942.0</v>
      </c>
      <c r="F1294" s="103" t="s">
        <v>31</v>
      </c>
      <c r="G1294" s="84" t="s">
        <v>74</v>
      </c>
      <c r="H1294" s="84" t="s">
        <v>903</v>
      </c>
      <c r="I1294" s="85" t="s">
        <v>904</v>
      </c>
      <c r="J1294" s="84" t="s">
        <v>35</v>
      </c>
      <c r="K1294" s="84" t="s">
        <v>905</v>
      </c>
      <c r="L1294" s="28" t="s">
        <v>94</v>
      </c>
      <c r="M1294" s="84" t="s">
        <v>1943</v>
      </c>
      <c r="N1294" s="133">
        <v>6781.0</v>
      </c>
      <c r="O1294" s="73">
        <f t="shared" si="27"/>
        <v>0.75210146</v>
      </c>
      <c r="P1294" s="98">
        <v>5100.0</v>
      </c>
      <c r="Q1294" s="84" t="s">
        <v>39</v>
      </c>
      <c r="R1294" s="84">
        <v>1718470.0</v>
      </c>
      <c r="S1294" s="90" t="s">
        <v>40</v>
      </c>
      <c r="T1294" s="90">
        <v>7621974.0</v>
      </c>
      <c r="U1294" s="225">
        <v>45959.73611111111</v>
      </c>
      <c r="V1294" s="225">
        <v>45960.052083333336</v>
      </c>
      <c r="W1294" s="12"/>
      <c r="X1294" s="237">
        <v>45964.36111111111</v>
      </c>
      <c r="Y1294" s="225">
        <v>45963.9375</v>
      </c>
      <c r="Z1294" s="214">
        <v>45964.59375</v>
      </c>
      <c r="AA1294" s="12"/>
      <c r="AB1294" s="84">
        <v>181065.0</v>
      </c>
      <c r="AC1294" s="84" t="s">
        <v>2078</v>
      </c>
      <c r="AD1294" s="12"/>
      <c r="AE1294" s="207" t="s">
        <v>39</v>
      </c>
      <c r="AF1294" s="12"/>
      <c r="AG1294" s="22"/>
      <c r="AH1294" s="22"/>
      <c r="AI1294" s="22"/>
      <c r="AJ1294" s="22"/>
      <c r="AK1294" s="22"/>
      <c r="AL1294" s="22"/>
      <c r="AM1294" s="22"/>
      <c r="AN1294" s="22"/>
      <c r="AO1294" s="22"/>
      <c r="AP1294" s="22"/>
    </row>
    <row r="1295" ht="15.75" customHeight="1">
      <c r="A1295" s="9">
        <v>1.1866518E7</v>
      </c>
      <c r="B1295" s="84">
        <v>9.000375332E9</v>
      </c>
      <c r="C1295" s="11">
        <v>45959.0</v>
      </c>
      <c r="D1295" s="84">
        <v>26.0</v>
      </c>
      <c r="E1295" s="84">
        <v>32468.0</v>
      </c>
      <c r="F1295" s="103" t="s">
        <v>31</v>
      </c>
      <c r="G1295" s="84" t="s">
        <v>74</v>
      </c>
      <c r="H1295" s="84" t="s">
        <v>1995</v>
      </c>
      <c r="I1295" s="84" t="s">
        <v>221</v>
      </c>
      <c r="J1295" s="84" t="s">
        <v>35</v>
      </c>
      <c r="K1295" s="84" t="s">
        <v>187</v>
      </c>
      <c r="L1295" s="98" t="s">
        <v>188</v>
      </c>
      <c r="M1295" s="84" t="s">
        <v>2079</v>
      </c>
      <c r="N1295" s="133">
        <v>4362.0</v>
      </c>
      <c r="O1295" s="73">
        <f t="shared" si="27"/>
        <v>0.3420449335</v>
      </c>
      <c r="P1295" s="98">
        <v>1492.0</v>
      </c>
      <c r="Q1295" s="84" t="s">
        <v>39</v>
      </c>
      <c r="R1295" s="84">
        <v>1718736.0</v>
      </c>
      <c r="S1295" s="90" t="s">
        <v>40</v>
      </c>
      <c r="T1295" s="90">
        <v>7623592.0</v>
      </c>
      <c r="U1295" s="225">
        <v>45959.86111111111</v>
      </c>
      <c r="V1295" s="225">
        <v>45960.15277777778</v>
      </c>
      <c r="W1295" s="12"/>
      <c r="X1295" s="237">
        <v>45961.375</v>
      </c>
      <c r="Y1295" s="225">
        <v>45961.291666666664</v>
      </c>
      <c r="Z1295" s="225">
        <v>45961.708333333336</v>
      </c>
      <c r="AA1295" s="12"/>
      <c r="AB1295" s="84">
        <v>170578.0</v>
      </c>
      <c r="AC1295" s="84" t="s">
        <v>1154</v>
      </c>
      <c r="AD1295" s="12"/>
      <c r="AE1295" s="207" t="s">
        <v>39</v>
      </c>
      <c r="AF1295" s="12"/>
      <c r="AG1295" s="22"/>
      <c r="AH1295" s="22"/>
      <c r="AI1295" s="22"/>
      <c r="AJ1295" s="22"/>
      <c r="AK1295" s="22"/>
      <c r="AL1295" s="22"/>
      <c r="AM1295" s="22"/>
      <c r="AN1295" s="22"/>
      <c r="AO1295" s="22"/>
      <c r="AP1295" s="22"/>
    </row>
    <row r="1296" ht="15.75" customHeight="1">
      <c r="A1296" s="103">
        <v>1.1878818E7</v>
      </c>
      <c r="B1296" s="84">
        <v>9.000393111E9</v>
      </c>
      <c r="C1296" s="11">
        <v>45964.0</v>
      </c>
      <c r="D1296" s="84">
        <v>27.0</v>
      </c>
      <c r="E1296" s="84">
        <v>34715.0</v>
      </c>
      <c r="F1296" s="103" t="s">
        <v>31</v>
      </c>
      <c r="G1296" s="84" t="s">
        <v>44</v>
      </c>
      <c r="H1296" s="169" t="s">
        <v>45</v>
      </c>
      <c r="I1296" s="209" t="s">
        <v>46</v>
      </c>
      <c r="J1296" s="12" t="s">
        <v>35</v>
      </c>
      <c r="K1296" s="14" t="s">
        <v>47</v>
      </c>
      <c r="L1296" s="98" t="s">
        <v>108</v>
      </c>
      <c r="M1296" s="84" t="s">
        <v>1969</v>
      </c>
      <c r="N1296" s="133">
        <v>2545.0</v>
      </c>
      <c r="O1296" s="73">
        <f t="shared" si="27"/>
        <v>0.6962671906</v>
      </c>
      <c r="P1296" s="98">
        <v>1772.0</v>
      </c>
      <c r="Q1296" s="84" t="s">
        <v>39</v>
      </c>
      <c r="R1296" s="84">
        <v>1722204.0</v>
      </c>
      <c r="S1296" s="90" t="s">
        <v>40</v>
      </c>
      <c r="T1296" s="90">
        <v>7651768.0</v>
      </c>
      <c r="U1296" s="214">
        <v>45964.552083333336</v>
      </c>
      <c r="V1296" s="214">
        <v>45964.694444444445</v>
      </c>
      <c r="W1296" s="12"/>
      <c r="X1296" s="12"/>
      <c r="Y1296" s="214">
        <v>45965.552083333336</v>
      </c>
      <c r="Z1296" s="214">
        <v>45965.760416666664</v>
      </c>
      <c r="AA1296" s="12"/>
      <c r="AB1296" s="12"/>
      <c r="AC1296" s="12"/>
      <c r="AD1296" s="12"/>
      <c r="AE1296" s="207" t="s">
        <v>39</v>
      </c>
      <c r="AF1296" s="1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</row>
    <row r="1297" ht="15.75" customHeight="1">
      <c r="A1297" s="103">
        <v>1.1890687E7</v>
      </c>
      <c r="B1297" s="84">
        <v>9.000403422E9</v>
      </c>
      <c r="C1297" s="11">
        <v>45967.0</v>
      </c>
      <c r="D1297" s="84">
        <v>26.0</v>
      </c>
      <c r="E1297" s="84">
        <v>33139.0</v>
      </c>
      <c r="F1297" s="103" t="s">
        <v>31</v>
      </c>
      <c r="G1297" s="84" t="s">
        <v>44</v>
      </c>
      <c r="H1297" s="84" t="s">
        <v>2080</v>
      </c>
      <c r="I1297" s="84" t="s">
        <v>2081</v>
      </c>
      <c r="J1297" s="238" t="s">
        <v>2082</v>
      </c>
      <c r="K1297" s="238" t="s">
        <v>2083</v>
      </c>
      <c r="L1297" s="98" t="s">
        <v>114</v>
      </c>
      <c r="M1297" s="84" t="s">
        <v>1971</v>
      </c>
      <c r="N1297" s="133">
        <v>3475.0</v>
      </c>
      <c r="O1297" s="73">
        <f t="shared" si="27"/>
        <v>0</v>
      </c>
      <c r="P1297" s="15"/>
      <c r="Q1297" s="84" t="s">
        <v>39</v>
      </c>
      <c r="R1297" s="84">
        <v>1724325.0</v>
      </c>
      <c r="S1297" s="84" t="s">
        <v>40</v>
      </c>
      <c r="T1297" s="90">
        <v>7672027.0</v>
      </c>
      <c r="U1297" s="214">
        <v>45967.333333333336</v>
      </c>
      <c r="V1297" s="214">
        <v>45967.572916666664</v>
      </c>
      <c r="W1297" s="12"/>
      <c r="X1297" s="12"/>
      <c r="Y1297" s="214">
        <v>45968.493055555555</v>
      </c>
      <c r="Z1297" s="214">
        <v>45968.65972222222</v>
      </c>
      <c r="AA1297" s="12"/>
      <c r="AB1297" s="84">
        <v>187348.0</v>
      </c>
      <c r="AC1297" s="238" t="s">
        <v>2084</v>
      </c>
      <c r="AD1297" s="12"/>
      <c r="AE1297" s="12"/>
      <c r="AF1297" s="12"/>
      <c r="AG1297" s="22"/>
      <c r="AH1297" s="22"/>
      <c r="AI1297" s="22"/>
      <c r="AJ1297" s="22"/>
      <c r="AK1297" s="22"/>
      <c r="AL1297" s="22"/>
      <c r="AM1297" s="22"/>
      <c r="AN1297" s="22"/>
      <c r="AO1297" s="22"/>
      <c r="AP1297" s="22"/>
    </row>
    <row r="1298" ht="15.75" customHeight="1">
      <c r="A1298" s="103">
        <v>1.1900747E7</v>
      </c>
      <c r="B1298" s="84">
        <v>9.000414797E9</v>
      </c>
      <c r="C1298" s="11">
        <v>45968.0</v>
      </c>
      <c r="D1298" s="84">
        <v>26.0</v>
      </c>
      <c r="E1298" s="84">
        <v>33139.0</v>
      </c>
      <c r="F1298" s="103" t="s">
        <v>31</v>
      </c>
      <c r="G1298" s="84" t="s">
        <v>44</v>
      </c>
      <c r="H1298" s="84" t="s">
        <v>2080</v>
      </c>
      <c r="I1298" s="84" t="s">
        <v>2081</v>
      </c>
      <c r="J1298" s="238" t="s">
        <v>2082</v>
      </c>
      <c r="K1298" s="238" t="s">
        <v>2083</v>
      </c>
      <c r="L1298" s="98" t="s">
        <v>114</v>
      </c>
      <c r="M1298" s="84" t="s">
        <v>2079</v>
      </c>
      <c r="N1298" s="133">
        <v>3475.0</v>
      </c>
      <c r="O1298" s="73">
        <f t="shared" si="27"/>
        <v>0.7</v>
      </c>
      <c r="P1298" s="98">
        <v>2432.5</v>
      </c>
      <c r="Q1298" s="84" t="s">
        <v>39</v>
      </c>
      <c r="R1298" s="84">
        <v>1725051.0</v>
      </c>
      <c r="S1298" s="84" t="s">
        <v>40</v>
      </c>
      <c r="T1298" s="90">
        <v>7678770.0</v>
      </c>
      <c r="U1298" s="214">
        <v>45968.54861111111</v>
      </c>
      <c r="V1298" s="214">
        <v>45968.694444444445</v>
      </c>
      <c r="W1298" s="12"/>
      <c r="X1298" s="12"/>
      <c r="Y1298" s="214">
        <v>45969.39236111111</v>
      </c>
      <c r="Z1298" s="214">
        <v>45969.635416666664</v>
      </c>
      <c r="AA1298" s="12"/>
      <c r="AB1298" s="84">
        <v>188547.0</v>
      </c>
      <c r="AC1298" s="238" t="s">
        <v>2084</v>
      </c>
      <c r="AD1298" s="12"/>
      <c r="AE1298" s="207" t="s">
        <v>39</v>
      </c>
      <c r="AF1298" s="207" t="s">
        <v>39</v>
      </c>
      <c r="AG1298" s="22"/>
      <c r="AH1298" s="22"/>
      <c r="AI1298" s="22"/>
      <c r="AJ1298" s="22"/>
      <c r="AK1298" s="22"/>
      <c r="AL1298" s="22"/>
      <c r="AM1298" s="22"/>
      <c r="AN1298" s="22"/>
      <c r="AO1298" s="22"/>
      <c r="AP1298" s="22"/>
    </row>
    <row r="1299" ht="15.75" customHeight="1">
      <c r="A1299" s="103">
        <v>1.1872425E7</v>
      </c>
      <c r="B1299" s="84">
        <v>9.000384062E9</v>
      </c>
      <c r="C1299" s="11">
        <v>45969.0</v>
      </c>
      <c r="D1299" s="84">
        <v>28.0</v>
      </c>
      <c r="E1299" s="84">
        <v>34295.0</v>
      </c>
      <c r="F1299" s="219" t="s">
        <v>43</v>
      </c>
      <c r="G1299" s="168" t="s">
        <v>44</v>
      </c>
      <c r="H1299" s="169" t="s">
        <v>268</v>
      </c>
      <c r="I1299" s="194" t="s">
        <v>1958</v>
      </c>
      <c r="J1299" s="169" t="s">
        <v>35</v>
      </c>
      <c r="K1299" s="169" t="s">
        <v>270</v>
      </c>
      <c r="L1299" s="171" t="s">
        <v>94</v>
      </c>
      <c r="M1299" s="84" t="s">
        <v>2034</v>
      </c>
      <c r="N1299" s="233">
        <v>4872.5</v>
      </c>
      <c r="O1299" s="73">
        <f t="shared" si="27"/>
        <v>0.8722421755</v>
      </c>
      <c r="P1299" s="98">
        <v>4250.0</v>
      </c>
      <c r="Q1299" s="84" t="s">
        <v>39</v>
      </c>
      <c r="R1299" s="84">
        <v>1725452.0</v>
      </c>
      <c r="S1299" s="84" t="s">
        <v>40</v>
      </c>
      <c r="T1299" s="90">
        <v>7682937.0</v>
      </c>
      <c r="U1299" s="214">
        <v>45969.430555555555</v>
      </c>
      <c r="V1299" s="214">
        <v>45969.84027777778</v>
      </c>
      <c r="W1299" s="12"/>
      <c r="X1299" s="12"/>
      <c r="Y1299" s="214">
        <v>45970.95486111111</v>
      </c>
      <c r="Z1299" s="225">
        <v>45971.40625</v>
      </c>
      <c r="AA1299" s="12"/>
      <c r="AB1299" s="12"/>
      <c r="AC1299" s="12"/>
      <c r="AD1299" s="12"/>
      <c r="AE1299" s="207" t="s">
        <v>39</v>
      </c>
      <c r="AF1299" s="12"/>
      <c r="AG1299" s="22"/>
      <c r="AH1299" s="22"/>
      <c r="AI1299" s="22"/>
      <c r="AJ1299" s="22"/>
      <c r="AK1299" s="22"/>
      <c r="AL1299" s="22"/>
      <c r="AM1299" s="22"/>
      <c r="AN1299" s="22"/>
      <c r="AO1299" s="22"/>
      <c r="AP1299" s="22"/>
    </row>
    <row r="1300" ht="15.75" customHeight="1">
      <c r="A1300" s="103">
        <v>1.1872429E7</v>
      </c>
      <c r="B1300" s="84">
        <v>9.000383981E9</v>
      </c>
      <c r="C1300" s="11">
        <v>45969.0</v>
      </c>
      <c r="D1300" s="84">
        <v>15.0</v>
      </c>
      <c r="E1300" s="84">
        <v>17135.0</v>
      </c>
      <c r="F1300" s="169" t="s">
        <v>43</v>
      </c>
      <c r="G1300" s="168" t="s">
        <v>44</v>
      </c>
      <c r="H1300" s="169" t="s">
        <v>2085</v>
      </c>
      <c r="I1300" s="194" t="s">
        <v>1957</v>
      </c>
      <c r="J1300" s="170" t="s">
        <v>270</v>
      </c>
      <c r="K1300" s="170" t="s">
        <v>35</v>
      </c>
      <c r="L1300" s="171" t="s">
        <v>43</v>
      </c>
      <c r="M1300" s="84" t="s">
        <v>2034</v>
      </c>
      <c r="N1300" s="133">
        <v>4872.5</v>
      </c>
      <c r="O1300" s="73">
        <f t="shared" si="27"/>
        <v>0.5643919959</v>
      </c>
      <c r="P1300" s="98">
        <v>2750.0</v>
      </c>
      <c r="Q1300" s="12"/>
      <c r="R1300" s="84">
        <v>1726437.0</v>
      </c>
      <c r="S1300" s="84" t="s">
        <v>40</v>
      </c>
      <c r="T1300" s="90">
        <v>7689361.0</v>
      </c>
      <c r="U1300" s="225">
        <v>45971.40625</v>
      </c>
      <c r="V1300" s="225">
        <v>45971.40625</v>
      </c>
      <c r="W1300" s="12"/>
      <c r="X1300" s="12"/>
      <c r="Y1300" s="225">
        <v>45972.395833333336</v>
      </c>
      <c r="Z1300" s="225">
        <v>45972.739583333336</v>
      </c>
      <c r="AA1300" s="12"/>
      <c r="AB1300" s="12"/>
      <c r="AC1300" s="12"/>
      <c r="AD1300" s="12"/>
      <c r="AE1300" s="207" t="s">
        <v>39</v>
      </c>
      <c r="AF1300" s="1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</row>
    <row r="1301" ht="15.75" customHeight="1">
      <c r="A1301" s="103">
        <v>1.1872424E7</v>
      </c>
      <c r="B1301" s="84">
        <v>9.000384022E9</v>
      </c>
      <c r="C1301" s="11">
        <v>45971.0</v>
      </c>
      <c r="D1301" s="84">
        <v>28.0</v>
      </c>
      <c r="E1301" s="84">
        <v>34295.0</v>
      </c>
      <c r="F1301" s="219" t="s">
        <v>43</v>
      </c>
      <c r="G1301" s="168" t="s">
        <v>44</v>
      </c>
      <c r="H1301" s="169" t="s">
        <v>268</v>
      </c>
      <c r="I1301" s="194" t="s">
        <v>1958</v>
      </c>
      <c r="J1301" s="169" t="s">
        <v>35</v>
      </c>
      <c r="K1301" s="169" t="s">
        <v>270</v>
      </c>
      <c r="L1301" s="171" t="s">
        <v>94</v>
      </c>
      <c r="M1301" s="84" t="s">
        <v>1936</v>
      </c>
      <c r="N1301" s="233">
        <v>4872.5</v>
      </c>
      <c r="O1301" s="73">
        <f t="shared" si="27"/>
        <v>0.8722421755</v>
      </c>
      <c r="P1301" s="98">
        <v>4250.0</v>
      </c>
      <c r="Q1301" s="84" t="s">
        <v>39</v>
      </c>
      <c r="R1301" s="84">
        <v>1726331.0</v>
      </c>
      <c r="S1301" s="84" t="s">
        <v>40</v>
      </c>
      <c r="T1301" s="90">
        <v>7688459.0</v>
      </c>
      <c r="U1301" s="214">
        <v>45970.822916666664</v>
      </c>
      <c r="V1301" s="225">
        <v>45971.368055555555</v>
      </c>
      <c r="W1301" s="12"/>
      <c r="X1301" s="12"/>
      <c r="Y1301" s="225">
        <v>45972.618055555555</v>
      </c>
      <c r="Z1301" s="225">
        <v>45972.649305555555</v>
      </c>
      <c r="AA1301" s="12"/>
      <c r="AB1301" s="12"/>
      <c r="AC1301" s="12"/>
      <c r="AD1301" s="12"/>
      <c r="AE1301" s="207" t="s">
        <v>39</v>
      </c>
      <c r="AF1301" s="207" t="s">
        <v>39</v>
      </c>
      <c r="AG1301" s="22"/>
      <c r="AH1301" s="22"/>
      <c r="AI1301" s="22"/>
      <c r="AJ1301" s="22"/>
      <c r="AK1301" s="22"/>
      <c r="AL1301" s="22"/>
      <c r="AM1301" s="22"/>
      <c r="AN1301" s="22"/>
      <c r="AO1301" s="22"/>
      <c r="AP1301" s="22"/>
    </row>
    <row r="1302" ht="15.75" customHeight="1">
      <c r="A1302" s="103">
        <v>1.1872428E7</v>
      </c>
      <c r="B1302" s="84">
        <v>9.00038397E9</v>
      </c>
      <c r="C1302" s="11">
        <v>45971.0</v>
      </c>
      <c r="D1302" s="84">
        <v>15.0</v>
      </c>
      <c r="E1302" s="84">
        <v>17135.0</v>
      </c>
      <c r="F1302" s="169" t="s">
        <v>43</v>
      </c>
      <c r="G1302" s="168" t="s">
        <v>44</v>
      </c>
      <c r="H1302" s="169" t="s">
        <v>2086</v>
      </c>
      <c r="I1302" s="194" t="s">
        <v>1957</v>
      </c>
      <c r="J1302" s="170" t="s">
        <v>270</v>
      </c>
      <c r="K1302" s="170" t="s">
        <v>35</v>
      </c>
      <c r="L1302" s="171" t="s">
        <v>43</v>
      </c>
      <c r="M1302" s="84" t="s">
        <v>1936</v>
      </c>
      <c r="N1302" s="133">
        <v>4872.5</v>
      </c>
      <c r="O1302" s="73">
        <f t="shared" si="27"/>
        <v>0.5643919959</v>
      </c>
      <c r="P1302" s="98">
        <v>2750.0</v>
      </c>
      <c r="Q1302" s="12"/>
      <c r="R1302" s="84">
        <v>1727673.0</v>
      </c>
      <c r="S1302" s="84" t="s">
        <v>40</v>
      </c>
      <c r="T1302" s="90">
        <v>7701711.0</v>
      </c>
      <c r="U1302" s="225">
        <v>45972.649305555555</v>
      </c>
      <c r="V1302" s="225">
        <v>45972.649305555555</v>
      </c>
      <c r="W1302" s="12"/>
      <c r="X1302" s="12"/>
      <c r="Y1302" s="225">
        <v>45974.03125</v>
      </c>
      <c r="Z1302" s="225">
        <v>45974.791666666664</v>
      </c>
      <c r="AA1302" s="12"/>
      <c r="AB1302" s="12"/>
      <c r="AC1302" s="12"/>
      <c r="AD1302" s="12"/>
      <c r="AE1302" s="207" t="s">
        <v>39</v>
      </c>
      <c r="AF1302" s="207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</row>
    <row r="1303" ht="15.75" customHeight="1">
      <c r="A1303" s="103">
        <v>1.1907691E7</v>
      </c>
      <c r="B1303" s="84">
        <v>9.000422333E9</v>
      </c>
      <c r="C1303" s="11">
        <v>45971.0</v>
      </c>
      <c r="D1303" s="84">
        <v>26.0</v>
      </c>
      <c r="E1303" s="84">
        <v>32468.0</v>
      </c>
      <c r="F1303" s="103" t="s">
        <v>31</v>
      </c>
      <c r="G1303" s="84" t="s">
        <v>74</v>
      </c>
      <c r="H1303" s="84" t="s">
        <v>2087</v>
      </c>
      <c r="I1303" s="84" t="s">
        <v>2088</v>
      </c>
      <c r="J1303" s="84" t="s">
        <v>35</v>
      </c>
      <c r="K1303" s="84" t="s">
        <v>2089</v>
      </c>
      <c r="L1303" s="98" t="s">
        <v>114</v>
      </c>
      <c r="M1303" s="84" t="s">
        <v>2036</v>
      </c>
      <c r="N1303" s="133">
        <v>5625.0</v>
      </c>
      <c r="O1303" s="73">
        <f t="shared" si="27"/>
        <v>0.7745777778</v>
      </c>
      <c r="P1303" s="98">
        <v>4357.0</v>
      </c>
      <c r="Q1303" s="84" t="s">
        <v>39</v>
      </c>
      <c r="R1303" s="84">
        <v>1726737.0</v>
      </c>
      <c r="S1303" s="84" t="s">
        <v>40</v>
      </c>
      <c r="T1303" s="90">
        <v>7691891.0</v>
      </c>
      <c r="U1303" s="225">
        <v>45971.75</v>
      </c>
      <c r="V1303" s="225">
        <v>45972.03472222222</v>
      </c>
      <c r="W1303" s="12"/>
      <c r="X1303" s="237">
        <v>45972.375</v>
      </c>
      <c r="Y1303" s="225">
        <v>45973.76736111111</v>
      </c>
      <c r="Z1303" s="225">
        <v>45975.805555555555</v>
      </c>
      <c r="AA1303" s="12"/>
      <c r="AB1303" s="84" t="s">
        <v>2090</v>
      </c>
      <c r="AC1303" s="238" t="s">
        <v>2091</v>
      </c>
      <c r="AD1303" s="12"/>
      <c r="AE1303" s="207" t="s">
        <v>39</v>
      </c>
      <c r="AF1303" s="207" t="s">
        <v>39</v>
      </c>
      <c r="AG1303" s="22"/>
      <c r="AH1303" s="22"/>
      <c r="AI1303" s="22"/>
      <c r="AJ1303" s="22"/>
      <c r="AK1303" s="22"/>
      <c r="AL1303" s="22"/>
      <c r="AM1303" s="22"/>
      <c r="AN1303" s="22"/>
      <c r="AO1303" s="22"/>
      <c r="AP1303" s="22"/>
    </row>
    <row r="1304" ht="15.75" customHeight="1">
      <c r="A1304" s="103">
        <v>1.190769E7</v>
      </c>
      <c r="B1304" s="84">
        <v>9.000422308E9</v>
      </c>
      <c r="C1304" s="11">
        <v>45971.0</v>
      </c>
      <c r="D1304" s="84">
        <v>26.0</v>
      </c>
      <c r="E1304" s="84">
        <v>30663.0</v>
      </c>
      <c r="F1304" s="103" t="s">
        <v>31</v>
      </c>
      <c r="G1304" s="84" t="s">
        <v>74</v>
      </c>
      <c r="H1304" s="84" t="s">
        <v>2087</v>
      </c>
      <c r="I1304" s="84" t="s">
        <v>2088</v>
      </c>
      <c r="J1304" s="84" t="s">
        <v>35</v>
      </c>
      <c r="K1304" s="84" t="s">
        <v>2089</v>
      </c>
      <c r="L1304" s="98" t="s">
        <v>114</v>
      </c>
      <c r="M1304" s="84" t="s">
        <v>2092</v>
      </c>
      <c r="N1304" s="133">
        <v>5471.0</v>
      </c>
      <c r="O1304" s="73">
        <f t="shared" si="27"/>
        <v>0.3732407238</v>
      </c>
      <c r="P1304" s="98">
        <v>2042.0</v>
      </c>
      <c r="Q1304" s="84" t="s">
        <v>39</v>
      </c>
      <c r="R1304" s="84">
        <v>1726846.0</v>
      </c>
      <c r="S1304" s="84" t="s">
        <v>40</v>
      </c>
      <c r="T1304" s="90">
        <v>7692774.0</v>
      </c>
      <c r="U1304" s="225">
        <v>45971.760416666664</v>
      </c>
      <c r="V1304" s="225">
        <v>45972.25</v>
      </c>
      <c r="W1304" s="12"/>
      <c r="X1304" s="237">
        <v>45973.375</v>
      </c>
      <c r="Y1304" s="225">
        <v>45972.78125</v>
      </c>
      <c r="Z1304" s="225">
        <v>45974.4375</v>
      </c>
      <c r="AA1304" s="12"/>
      <c r="AB1304" s="84" t="s">
        <v>2093</v>
      </c>
      <c r="AC1304" s="238" t="s">
        <v>2094</v>
      </c>
      <c r="AD1304" s="12"/>
      <c r="AE1304" s="207" t="s">
        <v>39</v>
      </c>
      <c r="AF1304" s="12"/>
      <c r="AG1304" s="22"/>
      <c r="AH1304" s="22"/>
      <c r="AI1304" s="22"/>
      <c r="AJ1304" s="22"/>
      <c r="AK1304" s="22"/>
      <c r="AL1304" s="22"/>
      <c r="AM1304" s="22"/>
      <c r="AN1304" s="22"/>
      <c r="AO1304" s="22"/>
      <c r="AP1304" s="22"/>
    </row>
    <row r="1305" ht="15.75" customHeight="1">
      <c r="A1305" s="103">
        <v>1.1872423E7</v>
      </c>
      <c r="B1305" s="84">
        <v>9.000384019E9</v>
      </c>
      <c r="C1305" s="11">
        <v>45973.0</v>
      </c>
      <c r="D1305" s="84">
        <v>28.0</v>
      </c>
      <c r="E1305" s="84">
        <v>34295.0</v>
      </c>
      <c r="F1305" s="219" t="s">
        <v>43</v>
      </c>
      <c r="G1305" s="168" t="s">
        <v>44</v>
      </c>
      <c r="H1305" s="169" t="s">
        <v>268</v>
      </c>
      <c r="I1305" s="194" t="s">
        <v>1958</v>
      </c>
      <c r="J1305" s="169" t="s">
        <v>35</v>
      </c>
      <c r="K1305" s="169" t="s">
        <v>270</v>
      </c>
      <c r="L1305" s="171" t="s">
        <v>94</v>
      </c>
      <c r="M1305" s="216" t="s">
        <v>2034</v>
      </c>
      <c r="N1305" s="233">
        <v>4872.5</v>
      </c>
      <c r="O1305" s="234">
        <f t="shared" si="27"/>
        <v>0.8722421755</v>
      </c>
      <c r="P1305" s="98">
        <v>4250.0</v>
      </c>
      <c r="Q1305" s="216" t="s">
        <v>39</v>
      </c>
      <c r="R1305" s="216">
        <v>1728283.0</v>
      </c>
      <c r="S1305" s="216" t="s">
        <v>40</v>
      </c>
      <c r="T1305" s="90">
        <v>7706235.0</v>
      </c>
      <c r="U1305" s="225">
        <v>45972.395833333336</v>
      </c>
      <c r="V1305" s="225">
        <v>45973.71527777778</v>
      </c>
      <c r="W1305" s="12"/>
      <c r="X1305" s="12"/>
      <c r="Y1305" s="225">
        <v>45974.913194444445</v>
      </c>
      <c r="Z1305" s="225">
        <v>45975.541666666664</v>
      </c>
      <c r="AA1305" s="12"/>
      <c r="AB1305" s="84">
        <v>201720.0</v>
      </c>
      <c r="AC1305" s="238" t="s">
        <v>2059</v>
      </c>
      <c r="AD1305" s="12"/>
      <c r="AE1305" s="207" t="s">
        <v>39</v>
      </c>
      <c r="AF1305" s="12"/>
      <c r="AG1305" s="22"/>
      <c r="AH1305" s="22"/>
      <c r="AI1305" s="22"/>
      <c r="AJ1305" s="22"/>
      <c r="AK1305" s="22"/>
      <c r="AL1305" s="22"/>
      <c r="AM1305" s="22"/>
      <c r="AN1305" s="22"/>
      <c r="AO1305" s="22"/>
      <c r="AP1305" s="22"/>
    </row>
    <row r="1306" ht="15.75" customHeight="1">
      <c r="A1306" s="103">
        <v>1.1872427E7</v>
      </c>
      <c r="B1306" s="84">
        <v>9.00038407E9</v>
      </c>
      <c r="C1306" s="11">
        <v>45973.0</v>
      </c>
      <c r="D1306" s="84">
        <v>15.0</v>
      </c>
      <c r="E1306" s="84">
        <v>17135.0</v>
      </c>
      <c r="F1306" s="169" t="s">
        <v>43</v>
      </c>
      <c r="G1306" s="168" t="s">
        <v>44</v>
      </c>
      <c r="H1306" s="169" t="s">
        <v>2095</v>
      </c>
      <c r="I1306" s="194" t="s">
        <v>1957</v>
      </c>
      <c r="J1306" s="170" t="s">
        <v>270</v>
      </c>
      <c r="K1306" s="170" t="s">
        <v>35</v>
      </c>
      <c r="L1306" s="171" t="s">
        <v>43</v>
      </c>
      <c r="M1306" s="84" t="s">
        <v>2034</v>
      </c>
      <c r="N1306" s="133">
        <v>4872.5</v>
      </c>
      <c r="O1306" s="73">
        <f t="shared" si="27"/>
        <v>0.5643919959</v>
      </c>
      <c r="P1306" s="98">
        <v>2750.0</v>
      </c>
      <c r="Q1306" s="12"/>
      <c r="R1306" s="84">
        <v>1729944.0</v>
      </c>
      <c r="S1306" s="84" t="s">
        <v>40</v>
      </c>
      <c r="T1306" s="90">
        <v>7723852.0</v>
      </c>
      <c r="U1306" s="225">
        <v>45975.541666666664</v>
      </c>
      <c r="V1306" s="225">
        <v>45975.541666666664</v>
      </c>
      <c r="W1306" s="12"/>
      <c r="X1306" s="12"/>
      <c r="Y1306" s="225">
        <v>45979.5</v>
      </c>
      <c r="Z1306" s="225">
        <v>45980.27777777778</v>
      </c>
      <c r="AA1306" s="12"/>
      <c r="AB1306" s="84">
        <v>210877.0</v>
      </c>
      <c r="AC1306" s="238" t="s">
        <v>2023</v>
      </c>
      <c r="AD1306" s="12"/>
      <c r="AE1306" s="207" t="s">
        <v>39</v>
      </c>
      <c r="AF1306" s="12"/>
      <c r="AG1306" s="22"/>
      <c r="AH1306" s="22"/>
      <c r="AI1306" s="22"/>
      <c r="AJ1306" s="22"/>
      <c r="AK1306" s="22"/>
      <c r="AL1306" s="22"/>
      <c r="AM1306" s="22"/>
      <c r="AN1306" s="22"/>
      <c r="AO1306" s="22"/>
      <c r="AP1306" s="22"/>
    </row>
    <row r="1307" ht="15.75" customHeight="1">
      <c r="A1307" s="103">
        <v>1.1872422E7</v>
      </c>
      <c r="B1307" s="84">
        <v>9.000384003E9</v>
      </c>
      <c r="C1307" s="11">
        <v>45973.0</v>
      </c>
      <c r="D1307" s="84">
        <v>28.0</v>
      </c>
      <c r="E1307" s="84">
        <v>34295.0</v>
      </c>
      <c r="F1307" s="219" t="s">
        <v>43</v>
      </c>
      <c r="G1307" s="168" t="s">
        <v>44</v>
      </c>
      <c r="H1307" s="169" t="s">
        <v>268</v>
      </c>
      <c r="I1307" s="194" t="s">
        <v>1958</v>
      </c>
      <c r="J1307" s="169" t="s">
        <v>35</v>
      </c>
      <c r="K1307" s="169" t="s">
        <v>270</v>
      </c>
      <c r="L1307" s="171" t="s">
        <v>94</v>
      </c>
      <c r="M1307" s="84" t="s">
        <v>1945</v>
      </c>
      <c r="N1307" s="233">
        <v>4872.5</v>
      </c>
      <c r="O1307" s="73">
        <f t="shared" si="27"/>
        <v>0.8722421755</v>
      </c>
      <c r="P1307" s="98">
        <v>4250.0</v>
      </c>
      <c r="Q1307" s="84" t="s">
        <v>39</v>
      </c>
      <c r="R1307" s="84">
        <v>1728691.0</v>
      </c>
      <c r="S1307" s="84" t="s">
        <v>40</v>
      </c>
      <c r="T1307" s="90">
        <v>7711310.0</v>
      </c>
      <c r="U1307" s="225">
        <v>45973.375</v>
      </c>
      <c r="V1307" s="225">
        <v>45973.916666666664</v>
      </c>
      <c r="W1307" s="12"/>
      <c r="X1307" s="12"/>
      <c r="Y1307" s="225">
        <v>45978.90625</v>
      </c>
      <c r="Z1307" s="225">
        <v>45979.5</v>
      </c>
      <c r="AA1307" s="12"/>
      <c r="AB1307" s="12"/>
      <c r="AC1307" s="12"/>
      <c r="AD1307" s="12"/>
      <c r="AE1307" s="207" t="s">
        <v>39</v>
      </c>
      <c r="AF1307" s="239"/>
      <c r="AG1307" s="22"/>
      <c r="AH1307" s="22"/>
      <c r="AI1307" s="22"/>
      <c r="AJ1307" s="22"/>
      <c r="AK1307" s="22"/>
      <c r="AL1307" s="22"/>
      <c r="AM1307" s="22"/>
      <c r="AN1307" s="22"/>
      <c r="AO1307" s="22"/>
      <c r="AP1307" s="22"/>
    </row>
    <row r="1308" ht="15.75" customHeight="1">
      <c r="A1308" s="103">
        <v>1.1872426E7</v>
      </c>
      <c r="B1308" s="84">
        <v>9.000384034E9</v>
      </c>
      <c r="C1308" s="11">
        <v>45973.0</v>
      </c>
      <c r="D1308" s="84">
        <v>15.0</v>
      </c>
      <c r="E1308" s="84">
        <v>17135.0</v>
      </c>
      <c r="F1308" s="169" t="s">
        <v>43</v>
      </c>
      <c r="G1308" s="168" t="s">
        <v>44</v>
      </c>
      <c r="H1308" s="169" t="s">
        <v>2096</v>
      </c>
      <c r="I1308" s="194" t="s">
        <v>1957</v>
      </c>
      <c r="J1308" s="170" t="s">
        <v>270</v>
      </c>
      <c r="K1308" s="170" t="s">
        <v>35</v>
      </c>
      <c r="L1308" s="171" t="s">
        <v>43</v>
      </c>
      <c r="M1308" s="84" t="s">
        <v>1945</v>
      </c>
      <c r="N1308" s="133">
        <v>4872.5</v>
      </c>
      <c r="O1308" s="73">
        <f t="shared" si="27"/>
        <v>0.5643919959</v>
      </c>
      <c r="P1308" s="98">
        <v>2750.0</v>
      </c>
      <c r="Q1308" s="12"/>
      <c r="R1308" s="84">
        <v>1737318.0</v>
      </c>
      <c r="S1308" s="84" t="s">
        <v>40</v>
      </c>
      <c r="T1308" s="90">
        <v>7791308.0</v>
      </c>
      <c r="U1308" s="225">
        <v>45978.5</v>
      </c>
      <c r="V1308" s="225">
        <v>45978.5</v>
      </c>
      <c r="W1308" s="12"/>
      <c r="X1308" s="12"/>
      <c r="Y1308" s="225">
        <v>45987.458333333336</v>
      </c>
      <c r="Z1308" s="225">
        <v>45987.75</v>
      </c>
      <c r="AA1308" s="12"/>
      <c r="AB1308" s="12"/>
      <c r="AC1308" s="12"/>
      <c r="AD1308" s="12"/>
      <c r="AE1308" s="207" t="s">
        <v>39</v>
      </c>
      <c r="AF1308" s="12"/>
      <c r="AG1308" s="22"/>
      <c r="AH1308" s="22"/>
      <c r="AI1308" s="22"/>
      <c r="AJ1308" s="22"/>
      <c r="AK1308" s="22"/>
      <c r="AL1308" s="22"/>
      <c r="AM1308" s="22"/>
      <c r="AN1308" s="22"/>
      <c r="AO1308" s="22"/>
      <c r="AP1308" s="22"/>
    </row>
    <row r="1309" ht="15.75" customHeight="1">
      <c r="A1309" s="103">
        <v>1.1900746E7</v>
      </c>
      <c r="B1309" s="84">
        <v>9.000414786E9</v>
      </c>
      <c r="C1309" s="11">
        <v>45973.0</v>
      </c>
      <c r="D1309" s="84">
        <v>26.0</v>
      </c>
      <c r="E1309" s="84">
        <v>33139.0</v>
      </c>
      <c r="F1309" s="103" t="s">
        <v>31</v>
      </c>
      <c r="G1309" s="84" t="s">
        <v>44</v>
      </c>
      <c r="H1309" s="84" t="s">
        <v>2080</v>
      </c>
      <c r="I1309" s="84" t="s">
        <v>2081</v>
      </c>
      <c r="J1309" s="238" t="s">
        <v>2082</v>
      </c>
      <c r="K1309" s="238" t="s">
        <v>2083</v>
      </c>
      <c r="L1309" s="98" t="s">
        <v>114</v>
      </c>
      <c r="M1309" s="84" t="s">
        <v>2079</v>
      </c>
      <c r="N1309" s="133">
        <v>3475.0</v>
      </c>
      <c r="O1309" s="73">
        <f t="shared" si="27"/>
        <v>0.4961151079</v>
      </c>
      <c r="P1309" s="98">
        <v>1724.0</v>
      </c>
      <c r="Q1309" s="12"/>
      <c r="R1309" s="84">
        <v>1727687.0</v>
      </c>
      <c r="S1309" s="84" t="s">
        <v>40</v>
      </c>
      <c r="T1309" s="90">
        <v>7701770.0</v>
      </c>
      <c r="U1309" s="225">
        <v>45971.84375</v>
      </c>
      <c r="V1309" s="225">
        <v>45972.59722222222</v>
      </c>
      <c r="W1309" s="12"/>
      <c r="X1309" s="12"/>
      <c r="Y1309" s="225">
        <v>45972.791666666664</v>
      </c>
      <c r="Z1309" s="225">
        <v>45973.663194444445</v>
      </c>
      <c r="AA1309" s="12"/>
      <c r="AB1309" s="12"/>
      <c r="AC1309" s="238" t="s">
        <v>827</v>
      </c>
      <c r="AD1309" s="12"/>
      <c r="AE1309" s="207" t="s">
        <v>39</v>
      </c>
      <c r="AF1309" s="207" t="s">
        <v>39</v>
      </c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</row>
    <row r="1310" ht="15.75" customHeight="1">
      <c r="A1310" s="103">
        <v>1.1908531E7</v>
      </c>
      <c r="B1310" s="84">
        <v>9.00042493E9</v>
      </c>
      <c r="C1310" s="11">
        <v>45974.0</v>
      </c>
      <c r="D1310" s="84">
        <v>26.0</v>
      </c>
      <c r="E1310" s="84">
        <v>31798.0</v>
      </c>
      <c r="F1310" s="219" t="s">
        <v>43</v>
      </c>
      <c r="G1310" s="168" t="s">
        <v>44</v>
      </c>
      <c r="H1310" s="12" t="s">
        <v>265</v>
      </c>
      <c r="I1310" s="39" t="s">
        <v>266</v>
      </c>
      <c r="J1310" s="25" t="s">
        <v>35</v>
      </c>
      <c r="K1310" s="25" t="s">
        <v>267</v>
      </c>
      <c r="L1310" s="95" t="s">
        <v>114</v>
      </c>
      <c r="M1310" s="84" t="s">
        <v>2097</v>
      </c>
      <c r="N1310" s="133">
        <v>4997.0</v>
      </c>
      <c r="O1310" s="73">
        <f t="shared" si="27"/>
        <v>0.8505103062</v>
      </c>
      <c r="P1310" s="98">
        <v>4250.0</v>
      </c>
      <c r="Q1310" s="12"/>
      <c r="R1310" s="84">
        <v>1729741.0</v>
      </c>
      <c r="S1310" s="84" t="s">
        <v>40</v>
      </c>
      <c r="T1310" s="90">
        <v>7721575.0</v>
      </c>
      <c r="U1310" s="225">
        <v>45974.40625</v>
      </c>
      <c r="V1310" s="225">
        <v>45975.39236111111</v>
      </c>
      <c r="W1310" s="12"/>
      <c r="X1310" s="12"/>
      <c r="Y1310" s="225">
        <v>45977.895833333336</v>
      </c>
      <c r="Z1310" s="225">
        <v>45978.46875</v>
      </c>
      <c r="AA1310" s="12"/>
      <c r="AB1310" s="12"/>
      <c r="AC1310" s="12"/>
      <c r="AD1310" s="12"/>
      <c r="AE1310" s="207" t="s">
        <v>39</v>
      </c>
      <c r="AF1310" s="207" t="s">
        <v>39</v>
      </c>
      <c r="AG1310" s="22"/>
      <c r="AH1310" s="22"/>
      <c r="AI1310" s="22"/>
      <c r="AJ1310" s="22"/>
      <c r="AK1310" s="22"/>
      <c r="AL1310" s="22"/>
      <c r="AM1310" s="22"/>
      <c r="AN1310" s="22"/>
      <c r="AO1310" s="22"/>
      <c r="AP1310" s="22"/>
    </row>
    <row r="1311" ht="15.75" customHeight="1">
      <c r="A1311" s="103">
        <v>1.1908532E7</v>
      </c>
      <c r="B1311" s="84">
        <v>9.000424931E9</v>
      </c>
      <c r="C1311" s="11">
        <v>45974.0</v>
      </c>
      <c r="D1311" s="84">
        <v>11.0</v>
      </c>
      <c r="E1311" s="84">
        <v>11627.0</v>
      </c>
      <c r="F1311" s="169" t="s">
        <v>43</v>
      </c>
      <c r="G1311" s="168" t="s">
        <v>44</v>
      </c>
      <c r="H1311" s="84" t="s">
        <v>2098</v>
      </c>
      <c r="I1311" s="39" t="s">
        <v>266</v>
      </c>
      <c r="J1311" s="25" t="s">
        <v>267</v>
      </c>
      <c r="K1311" s="25" t="s">
        <v>35</v>
      </c>
      <c r="L1311" s="95" t="s">
        <v>114</v>
      </c>
      <c r="M1311" s="84" t="s">
        <v>2097</v>
      </c>
      <c r="N1311" s="133">
        <v>4997.0</v>
      </c>
      <c r="O1311" s="73">
        <f t="shared" si="27"/>
        <v>0.658395037</v>
      </c>
      <c r="P1311" s="98">
        <v>3290.0</v>
      </c>
      <c r="Q1311" s="12"/>
      <c r="R1311" s="84">
        <v>1731466.0</v>
      </c>
      <c r="S1311" s="84" t="s">
        <v>40</v>
      </c>
      <c r="T1311" s="90">
        <v>7737316.0</v>
      </c>
      <c r="U1311" s="225">
        <v>45978.46875</v>
      </c>
      <c r="V1311" s="225">
        <v>45978.46875</v>
      </c>
      <c r="W1311" s="12"/>
      <c r="X1311" s="12"/>
      <c r="Y1311" s="12"/>
      <c r="Z1311" s="225">
        <v>45983.4375</v>
      </c>
      <c r="AA1311" s="12"/>
      <c r="AB1311" s="12"/>
      <c r="AC1311" s="12"/>
      <c r="AD1311" s="12"/>
      <c r="AE1311" s="207" t="s">
        <v>39</v>
      </c>
      <c r="AF1311" s="12"/>
      <c r="AG1311" s="22"/>
      <c r="AH1311" s="22"/>
      <c r="AI1311" s="22"/>
      <c r="AJ1311" s="22"/>
      <c r="AK1311" s="22"/>
      <c r="AL1311" s="22"/>
      <c r="AM1311" s="22"/>
      <c r="AN1311" s="22"/>
      <c r="AO1311" s="22"/>
      <c r="AP1311" s="22"/>
    </row>
    <row r="1312" ht="15.75" customHeight="1">
      <c r="A1312" s="103">
        <v>1.1908033E7</v>
      </c>
      <c r="B1312" s="84">
        <v>9.00042231E9</v>
      </c>
      <c r="C1312" s="11">
        <v>45975.0</v>
      </c>
      <c r="D1312" s="84">
        <v>24.0</v>
      </c>
      <c r="E1312" s="84">
        <v>28304.0</v>
      </c>
      <c r="F1312" s="103" t="s">
        <v>31</v>
      </c>
      <c r="G1312" s="84" t="s">
        <v>74</v>
      </c>
      <c r="H1312" s="84" t="s">
        <v>1859</v>
      </c>
      <c r="I1312" s="29" t="s">
        <v>427</v>
      </c>
      <c r="J1312" s="25" t="s">
        <v>35</v>
      </c>
      <c r="K1312" s="93" t="s">
        <v>673</v>
      </c>
      <c r="L1312" s="95" t="s">
        <v>108</v>
      </c>
      <c r="M1312" s="84" t="s">
        <v>1936</v>
      </c>
      <c r="N1312" s="133">
        <v>2900.0</v>
      </c>
      <c r="O1312" s="73">
        <f t="shared" si="27"/>
        <v>0.7586206897</v>
      </c>
      <c r="P1312" s="98">
        <v>2200.0</v>
      </c>
      <c r="Q1312" s="12"/>
      <c r="R1312" s="84">
        <v>1730365.0</v>
      </c>
      <c r="S1312" s="84" t="s">
        <v>40</v>
      </c>
      <c r="T1312" s="90">
        <v>7728585.0</v>
      </c>
      <c r="U1312" s="225">
        <v>45975.73263888889</v>
      </c>
      <c r="V1312" s="225">
        <v>45976.34722222222</v>
      </c>
      <c r="W1312" s="12"/>
      <c r="X1312" s="12"/>
      <c r="Y1312" s="225">
        <v>45978.479166666664</v>
      </c>
      <c r="Z1312" s="225">
        <v>45978.677083333336</v>
      </c>
      <c r="AA1312" s="12"/>
      <c r="AB1312" s="84" t="s">
        <v>2099</v>
      </c>
      <c r="AC1312" s="238" t="s">
        <v>2100</v>
      </c>
      <c r="AD1312" s="12"/>
      <c r="AE1312" s="207" t="s">
        <v>39</v>
      </c>
      <c r="AF1312" s="207" t="s">
        <v>39</v>
      </c>
      <c r="AG1312" s="22"/>
      <c r="AH1312" s="22"/>
      <c r="AI1312" s="22"/>
      <c r="AJ1312" s="22"/>
      <c r="AK1312" s="22"/>
      <c r="AL1312" s="22"/>
      <c r="AM1312" s="22"/>
      <c r="AN1312" s="22"/>
      <c r="AO1312" s="22"/>
      <c r="AP1312" s="22"/>
    </row>
    <row r="1313" ht="15.75" customHeight="1">
      <c r="A1313" s="103">
        <v>1.191079E7</v>
      </c>
      <c r="B1313" s="84">
        <v>9.000427301E9</v>
      </c>
      <c r="C1313" s="11">
        <v>45975.0</v>
      </c>
      <c r="D1313" s="84">
        <v>26.0</v>
      </c>
      <c r="E1313" s="84">
        <v>33139.0</v>
      </c>
      <c r="F1313" s="103" t="s">
        <v>31</v>
      </c>
      <c r="G1313" s="84" t="s">
        <v>44</v>
      </c>
      <c r="H1313" s="84" t="s">
        <v>2080</v>
      </c>
      <c r="I1313" s="84" t="s">
        <v>2081</v>
      </c>
      <c r="J1313" s="238" t="s">
        <v>2082</v>
      </c>
      <c r="K1313" s="238" t="s">
        <v>2083</v>
      </c>
      <c r="L1313" s="98" t="s">
        <v>114</v>
      </c>
      <c r="M1313" s="84" t="s">
        <v>2079</v>
      </c>
      <c r="N1313" s="133">
        <v>3475.0</v>
      </c>
      <c r="O1313" s="73">
        <f t="shared" si="27"/>
        <v>0.5047482014</v>
      </c>
      <c r="P1313" s="98">
        <v>1754.0</v>
      </c>
      <c r="Q1313" s="12"/>
      <c r="R1313" s="84">
        <v>1729164.0</v>
      </c>
      <c r="S1313" s="84" t="s">
        <v>40</v>
      </c>
      <c r="T1313" s="90">
        <v>7716112.0</v>
      </c>
      <c r="U1313" s="225">
        <v>45974.34375</v>
      </c>
      <c r="V1313" s="225">
        <v>45974.67361111111</v>
      </c>
      <c r="W1313" s="12"/>
      <c r="X1313" s="12"/>
      <c r="Y1313" s="225">
        <v>45975.84722222222</v>
      </c>
      <c r="Z1313" s="225">
        <v>45976.680555555555</v>
      </c>
      <c r="AA1313" s="12"/>
      <c r="AB1313" s="12"/>
      <c r="AC1313" s="84" t="s">
        <v>827</v>
      </c>
      <c r="AD1313" s="12"/>
      <c r="AE1313" s="207" t="s">
        <v>39</v>
      </c>
      <c r="AF1313" s="207" t="s">
        <v>39</v>
      </c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</row>
    <row r="1314" ht="15.75" customHeight="1">
      <c r="A1314" s="103">
        <v>1.1915663E7</v>
      </c>
      <c r="B1314" s="84">
        <v>9.000434241E9</v>
      </c>
      <c r="C1314" s="11">
        <v>45975.0</v>
      </c>
      <c r="D1314" s="84">
        <v>28.0</v>
      </c>
      <c r="E1314" s="84">
        <v>34295.0</v>
      </c>
      <c r="F1314" s="219" t="s">
        <v>43</v>
      </c>
      <c r="G1314" s="168" t="s">
        <v>44</v>
      </c>
      <c r="H1314" s="169" t="s">
        <v>45</v>
      </c>
      <c r="I1314" s="209" t="s">
        <v>46</v>
      </c>
      <c r="J1314" s="12" t="s">
        <v>35</v>
      </c>
      <c r="K1314" s="14" t="s">
        <v>47</v>
      </c>
      <c r="L1314" s="98" t="s">
        <v>110</v>
      </c>
      <c r="M1314" s="84" t="s">
        <v>1860</v>
      </c>
      <c r="N1314" s="133">
        <v>1945.5</v>
      </c>
      <c r="O1314" s="73">
        <f t="shared" si="27"/>
        <v>0.7710100231</v>
      </c>
      <c r="P1314" s="98">
        <v>1500.0</v>
      </c>
      <c r="Q1314" s="84" t="s">
        <v>39</v>
      </c>
      <c r="R1314" s="84">
        <v>1729283.0</v>
      </c>
      <c r="S1314" s="84" t="s">
        <v>40</v>
      </c>
      <c r="T1314" s="90">
        <v>7717110.0</v>
      </c>
      <c r="U1314" s="225">
        <v>45974.40972222222</v>
      </c>
      <c r="V1314" s="225">
        <v>45974.76736111111</v>
      </c>
      <c r="W1314" s="12"/>
      <c r="X1314" s="12"/>
      <c r="Y1314" s="225">
        <v>45975.34375</v>
      </c>
      <c r="Z1314" s="225">
        <v>45978.520833333336</v>
      </c>
      <c r="AA1314" s="12"/>
      <c r="AB1314" s="84">
        <v>201803.0</v>
      </c>
      <c r="AC1314" s="238" t="s">
        <v>2059</v>
      </c>
      <c r="AD1314" s="12"/>
      <c r="AE1314" s="207" t="s">
        <v>39</v>
      </c>
      <c r="AF1314" s="207" t="s">
        <v>39</v>
      </c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</row>
    <row r="1315" ht="15.75" customHeight="1">
      <c r="A1315" s="103">
        <v>1.1915666E7</v>
      </c>
      <c r="B1315" s="84">
        <v>9.000434244E9</v>
      </c>
      <c r="C1315" s="11">
        <v>45975.0</v>
      </c>
      <c r="D1315" s="84">
        <v>15.0</v>
      </c>
      <c r="E1315" s="84">
        <v>17135.0</v>
      </c>
      <c r="F1315" s="169" t="s">
        <v>43</v>
      </c>
      <c r="G1315" s="168" t="s">
        <v>44</v>
      </c>
      <c r="H1315" s="176" t="s">
        <v>2101</v>
      </c>
      <c r="I1315" s="209" t="s">
        <v>46</v>
      </c>
      <c r="J1315" s="14" t="s">
        <v>47</v>
      </c>
      <c r="K1315" s="12" t="s">
        <v>35</v>
      </c>
      <c r="L1315" s="95" t="s">
        <v>110</v>
      </c>
      <c r="M1315" s="84" t="s">
        <v>1860</v>
      </c>
      <c r="N1315" s="133">
        <v>1945.5</v>
      </c>
      <c r="O1315" s="73">
        <f t="shared" si="27"/>
        <v>0.5654073503</v>
      </c>
      <c r="P1315" s="98">
        <v>1100.0</v>
      </c>
      <c r="Q1315" s="12"/>
      <c r="R1315" s="84">
        <v>1731493.0</v>
      </c>
      <c r="S1315" s="84" t="s">
        <v>40</v>
      </c>
      <c r="T1315" s="90">
        <v>7737486.0</v>
      </c>
      <c r="U1315" s="225">
        <v>45978.520833333336</v>
      </c>
      <c r="V1315" s="225">
        <v>45978.520833333336</v>
      </c>
      <c r="W1315" s="12"/>
      <c r="X1315" s="12"/>
      <c r="Y1315" s="225">
        <v>45978.625</v>
      </c>
      <c r="Z1315" s="225">
        <v>45979.84722222222</v>
      </c>
      <c r="AA1315" s="12"/>
      <c r="AB1315" s="84">
        <v>210823.0</v>
      </c>
      <c r="AC1315" s="84" t="s">
        <v>2023</v>
      </c>
      <c r="AD1315" s="12"/>
      <c r="AE1315" s="207" t="s">
        <v>39</v>
      </c>
      <c r="AF1315" s="1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</row>
    <row r="1316" ht="15.75" customHeight="1">
      <c r="A1316" s="103">
        <v>1.1890687E7</v>
      </c>
      <c r="B1316" s="84">
        <v>9.000434292E9</v>
      </c>
      <c r="C1316" s="11">
        <v>45978.0</v>
      </c>
      <c r="D1316" s="84">
        <v>26.0</v>
      </c>
      <c r="E1316" s="84">
        <v>33139.0</v>
      </c>
      <c r="F1316" s="103" t="s">
        <v>31</v>
      </c>
      <c r="G1316" s="84" t="s">
        <v>44</v>
      </c>
      <c r="H1316" s="84" t="s">
        <v>2080</v>
      </c>
      <c r="I1316" s="84" t="s">
        <v>2081</v>
      </c>
      <c r="J1316" s="238" t="s">
        <v>2082</v>
      </c>
      <c r="K1316" s="238" t="s">
        <v>2083</v>
      </c>
      <c r="L1316" s="98" t="s">
        <v>114</v>
      </c>
      <c r="M1316" s="84" t="s">
        <v>2079</v>
      </c>
      <c r="N1316" s="133">
        <v>3475.0</v>
      </c>
      <c r="O1316" s="73">
        <f t="shared" si="27"/>
        <v>0.3431741007</v>
      </c>
      <c r="P1316" s="98">
        <v>1192.53</v>
      </c>
      <c r="Q1316" s="84" t="s">
        <v>39</v>
      </c>
      <c r="R1316" s="84">
        <v>1731617.0</v>
      </c>
      <c r="S1316" s="84" t="s">
        <v>40</v>
      </c>
      <c r="T1316" s="90">
        <v>7733721.0</v>
      </c>
      <c r="U1316" s="225">
        <v>45977.788194444445</v>
      </c>
      <c r="V1316" s="225">
        <v>45978.524305555555</v>
      </c>
      <c r="W1316" s="12"/>
      <c r="X1316" s="12"/>
      <c r="Y1316" s="225">
        <v>45978.868055555555</v>
      </c>
      <c r="Z1316" s="225">
        <v>45980.875</v>
      </c>
      <c r="AA1316" s="12"/>
      <c r="AB1316" s="84">
        <v>209761.0</v>
      </c>
      <c r="AC1316" s="238" t="s">
        <v>2084</v>
      </c>
      <c r="AD1316" s="12"/>
      <c r="AE1316" s="207" t="s">
        <v>39</v>
      </c>
      <c r="AF1316" s="207" t="s">
        <v>39</v>
      </c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</row>
    <row r="1317" ht="13.5" customHeight="1">
      <c r="A1317" s="103">
        <v>1.1918359E7</v>
      </c>
      <c r="B1317" s="84">
        <v>9.000436505E9</v>
      </c>
      <c r="C1317" s="11">
        <v>45979.0</v>
      </c>
      <c r="D1317" s="84">
        <v>26.0</v>
      </c>
      <c r="E1317" s="84">
        <v>32177.0</v>
      </c>
      <c r="F1317" s="103" t="s">
        <v>31</v>
      </c>
      <c r="G1317" s="84" t="s">
        <v>74</v>
      </c>
      <c r="H1317" s="84" t="s">
        <v>2102</v>
      </c>
      <c r="I1317" s="84" t="s">
        <v>2103</v>
      </c>
      <c r="J1317" s="238" t="s">
        <v>2082</v>
      </c>
      <c r="K1317" s="238" t="s">
        <v>2104</v>
      </c>
      <c r="L1317" s="98" t="s">
        <v>2105</v>
      </c>
      <c r="M1317" s="84" t="s">
        <v>2106</v>
      </c>
      <c r="N1317" s="133">
        <v>5724.0</v>
      </c>
      <c r="O1317" s="73">
        <f t="shared" si="27"/>
        <v>0.5216631726</v>
      </c>
      <c r="P1317" s="98">
        <v>2986.0</v>
      </c>
      <c r="Q1317" s="84" t="s">
        <v>39</v>
      </c>
      <c r="R1317" s="84">
        <v>1732473.0</v>
      </c>
      <c r="S1317" s="84" t="s">
        <v>40</v>
      </c>
      <c r="T1317" s="90">
        <v>7747936.0</v>
      </c>
      <c r="U1317" s="225">
        <v>45979.52777777778</v>
      </c>
      <c r="V1317" s="225">
        <v>45979.618055555555</v>
      </c>
      <c r="W1317" s="12"/>
      <c r="X1317" s="225">
        <v>45980.291666666664</v>
      </c>
      <c r="Y1317" s="225">
        <v>45980.427083333336</v>
      </c>
      <c r="Z1317" s="225">
        <v>45980.833333333336</v>
      </c>
      <c r="AA1317" s="12"/>
      <c r="AB1317" s="84" t="s">
        <v>2107</v>
      </c>
      <c r="AC1317" s="238" t="s">
        <v>2108</v>
      </c>
      <c r="AD1317" s="12"/>
      <c r="AE1317" s="207" t="s">
        <v>39</v>
      </c>
      <c r="AF1317" s="207" t="s">
        <v>39</v>
      </c>
    </row>
    <row r="1318" ht="15.75" customHeight="1">
      <c r="A1318" s="103">
        <v>1.192286E7</v>
      </c>
      <c r="B1318" s="84">
        <v>9.000442136E9</v>
      </c>
      <c r="C1318" s="11">
        <v>45979.0</v>
      </c>
      <c r="D1318" s="84">
        <v>26.0</v>
      </c>
      <c r="E1318" s="84">
        <v>30663.0</v>
      </c>
      <c r="F1318" s="103" t="s">
        <v>31</v>
      </c>
      <c r="G1318" s="84" t="s">
        <v>74</v>
      </c>
      <c r="H1318" s="84" t="s">
        <v>1476</v>
      </c>
      <c r="I1318" s="85" t="s">
        <v>221</v>
      </c>
      <c r="J1318" s="125" t="s">
        <v>35</v>
      </c>
      <c r="K1318" s="125" t="s">
        <v>187</v>
      </c>
      <c r="L1318" s="95" t="s">
        <v>188</v>
      </c>
      <c r="M1318" s="84" t="s">
        <v>2076</v>
      </c>
      <c r="N1318" s="133">
        <v>4362.0</v>
      </c>
      <c r="O1318" s="73">
        <f t="shared" si="27"/>
        <v>0.5272810637</v>
      </c>
      <c r="P1318" s="98">
        <v>2300.0</v>
      </c>
      <c r="Q1318" s="84" t="s">
        <v>39</v>
      </c>
      <c r="R1318" s="84">
        <v>1732680.0</v>
      </c>
      <c r="S1318" s="84" t="s">
        <v>40</v>
      </c>
      <c r="T1318" s="90">
        <v>7750350.0</v>
      </c>
      <c r="U1318" s="225">
        <v>45979.75</v>
      </c>
      <c r="V1318" s="225">
        <v>45980.041666666664</v>
      </c>
      <c r="W1318" s="84"/>
      <c r="X1318" s="225">
        <v>45980.375</v>
      </c>
      <c r="Y1318" s="225">
        <v>45982.5</v>
      </c>
      <c r="Z1318" s="225">
        <v>45983.416666666664</v>
      </c>
      <c r="AA1318" s="12"/>
      <c r="AB1318" s="84" t="s">
        <v>2109</v>
      </c>
      <c r="AC1318" s="238" t="s">
        <v>2110</v>
      </c>
      <c r="AD1318" s="12"/>
      <c r="AE1318" s="207" t="s">
        <v>39</v>
      </c>
      <c r="AF1318" s="207" t="s">
        <v>39</v>
      </c>
      <c r="AG1318" s="22"/>
      <c r="AH1318" s="22"/>
      <c r="AI1318" s="22"/>
      <c r="AJ1318" s="22"/>
      <c r="AK1318" s="22"/>
      <c r="AL1318" s="22"/>
      <c r="AM1318" s="22"/>
      <c r="AN1318" s="22"/>
      <c r="AO1318" s="22"/>
      <c r="AP1318" s="22"/>
    </row>
    <row r="1319">
      <c r="A1319" s="103">
        <v>1.1918659E7</v>
      </c>
      <c r="B1319" s="84">
        <v>9.000436486E9</v>
      </c>
      <c r="C1319" s="11">
        <v>45980.0</v>
      </c>
      <c r="D1319" s="84">
        <v>26.0</v>
      </c>
      <c r="E1319" s="84">
        <v>31409.0</v>
      </c>
      <c r="F1319" s="103" t="s">
        <v>31</v>
      </c>
      <c r="G1319" s="84" t="s">
        <v>74</v>
      </c>
      <c r="H1319" s="84" t="s">
        <v>2049</v>
      </c>
      <c r="I1319" s="84" t="s">
        <v>2050</v>
      </c>
      <c r="J1319" s="169" t="s">
        <v>35</v>
      </c>
      <c r="K1319" s="84" t="s">
        <v>2051</v>
      </c>
      <c r="L1319" s="98" t="s">
        <v>59</v>
      </c>
      <c r="M1319" s="84" t="s">
        <v>1860</v>
      </c>
      <c r="N1319" s="133">
        <v>5337.0</v>
      </c>
      <c r="O1319" s="73">
        <f t="shared" si="27"/>
        <v>0.4684279558</v>
      </c>
      <c r="P1319" s="98">
        <v>2500.0</v>
      </c>
      <c r="Q1319" s="84" t="s">
        <v>39</v>
      </c>
      <c r="R1319" s="84">
        <v>1732937.0</v>
      </c>
      <c r="S1319" s="84" t="s">
        <v>40</v>
      </c>
      <c r="T1319" s="90">
        <v>7753645.0</v>
      </c>
      <c r="U1319" s="225">
        <v>45980.375</v>
      </c>
      <c r="V1319" s="225">
        <v>45980.510416666664</v>
      </c>
      <c r="W1319" s="12"/>
      <c r="X1319" s="225">
        <v>45982.375</v>
      </c>
      <c r="Y1319" s="225">
        <v>45982.302083333336</v>
      </c>
      <c r="Z1319" s="225">
        <v>45982.5625</v>
      </c>
      <c r="AA1319" s="12"/>
      <c r="AB1319" s="12"/>
      <c r="AC1319" s="240"/>
      <c r="AD1319" s="12"/>
      <c r="AE1319" s="207" t="s">
        <v>39</v>
      </c>
      <c r="AF1319" s="207" t="s">
        <v>39</v>
      </c>
    </row>
    <row r="1320">
      <c r="A1320" s="103">
        <v>1.1918893E7</v>
      </c>
      <c r="B1320" s="84">
        <v>9.000436861E9</v>
      </c>
      <c r="C1320" s="11">
        <v>45980.0</v>
      </c>
      <c r="D1320" s="84">
        <v>22.0</v>
      </c>
      <c r="E1320" s="84">
        <v>26545.0</v>
      </c>
      <c r="F1320" s="103" t="s">
        <v>31</v>
      </c>
      <c r="G1320" s="84" t="s">
        <v>74</v>
      </c>
      <c r="H1320" s="84" t="s">
        <v>903</v>
      </c>
      <c r="I1320" s="85" t="s">
        <v>904</v>
      </c>
      <c r="J1320" s="84" t="s">
        <v>35</v>
      </c>
      <c r="K1320" s="84" t="s">
        <v>905</v>
      </c>
      <c r="L1320" s="28" t="s">
        <v>94</v>
      </c>
      <c r="M1320" s="84" t="s">
        <v>2034</v>
      </c>
      <c r="N1320" s="133">
        <v>6781.0</v>
      </c>
      <c r="O1320" s="73">
        <f t="shared" si="27"/>
        <v>0.6636189353</v>
      </c>
      <c r="P1320" s="98">
        <v>4500.0</v>
      </c>
      <c r="Q1320" s="84" t="s">
        <v>39</v>
      </c>
      <c r="R1320" s="84">
        <v>1732942.0</v>
      </c>
      <c r="S1320" s="84" t="s">
        <v>40</v>
      </c>
      <c r="T1320" s="90">
        <v>7753677.0</v>
      </c>
      <c r="U1320" s="225">
        <v>45980.375</v>
      </c>
      <c r="V1320" s="225">
        <v>45980.5</v>
      </c>
      <c r="W1320" s="12"/>
      <c r="X1320" s="225">
        <v>45982.305555555555</v>
      </c>
      <c r="Y1320" s="225">
        <v>45981.614583333336</v>
      </c>
      <c r="Z1320" s="225">
        <v>45982.416666666664</v>
      </c>
      <c r="AA1320" s="12"/>
      <c r="AB1320" s="84">
        <v>216785.0</v>
      </c>
      <c r="AC1320" s="84" t="s">
        <v>1154</v>
      </c>
      <c r="AD1320" s="12"/>
      <c r="AE1320" s="207" t="s">
        <v>39</v>
      </c>
      <c r="AF1320" s="207" t="s">
        <v>39</v>
      </c>
    </row>
    <row r="1321" ht="15.75" customHeight="1">
      <c r="A1321" s="103">
        <v>1.1926951E7</v>
      </c>
      <c r="B1321" s="84">
        <v>9.000447359E9</v>
      </c>
      <c r="C1321" s="11">
        <v>45981.0</v>
      </c>
      <c r="D1321" s="84">
        <v>24.0</v>
      </c>
      <c r="E1321" s="84">
        <v>29971.0</v>
      </c>
      <c r="F1321" s="103" t="s">
        <v>31</v>
      </c>
      <c r="G1321" s="84" t="s">
        <v>74</v>
      </c>
      <c r="H1321" s="84" t="s">
        <v>2111</v>
      </c>
      <c r="I1321" s="84" t="s">
        <v>2112</v>
      </c>
      <c r="J1321" s="12" t="s">
        <v>35</v>
      </c>
      <c r="K1321" s="84" t="s">
        <v>905</v>
      </c>
      <c r="L1321" s="98" t="s">
        <v>114</v>
      </c>
      <c r="M1321" s="84" t="s">
        <v>1985</v>
      </c>
      <c r="N1321" s="133">
        <v>6781.0</v>
      </c>
      <c r="O1321" s="73">
        <f t="shared" si="27"/>
        <v>0.7436956201</v>
      </c>
      <c r="P1321" s="98">
        <v>5043.0</v>
      </c>
      <c r="Q1321" s="84" t="s">
        <v>39</v>
      </c>
      <c r="R1321" s="84">
        <v>1734033.0</v>
      </c>
      <c r="S1321" s="84" t="s">
        <v>40</v>
      </c>
      <c r="T1321" s="90">
        <v>7761983.0</v>
      </c>
      <c r="U1321" s="225">
        <v>45981.375</v>
      </c>
      <c r="V1321" s="225">
        <v>45981.541666666664</v>
      </c>
      <c r="W1321" s="12"/>
      <c r="X1321" s="12"/>
      <c r="Y1321" s="225">
        <v>45982.489583333336</v>
      </c>
      <c r="Z1321" s="225">
        <v>45986.333333333336</v>
      </c>
      <c r="AA1321" s="12"/>
      <c r="AB1321" s="84" t="s">
        <v>2113</v>
      </c>
      <c r="AC1321" s="84" t="s">
        <v>2114</v>
      </c>
      <c r="AD1321" s="12"/>
      <c r="AE1321" s="207" t="s">
        <v>39</v>
      </c>
      <c r="AF1321" s="207" t="s">
        <v>39</v>
      </c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</row>
    <row r="1322" ht="15.75" customHeight="1">
      <c r="A1322" s="103">
        <v>1.1951574E7</v>
      </c>
      <c r="B1322" s="84">
        <v>9.000480528E9</v>
      </c>
      <c r="C1322" s="11">
        <v>45986.0</v>
      </c>
      <c r="D1322" s="84">
        <v>1.0</v>
      </c>
      <c r="E1322" s="84"/>
      <c r="F1322" s="103"/>
      <c r="G1322" s="84"/>
      <c r="H1322" s="207" t="s">
        <v>2115</v>
      </c>
      <c r="I1322" s="194" t="s">
        <v>1957</v>
      </c>
      <c r="J1322" s="84" t="s">
        <v>905</v>
      </c>
      <c r="K1322" s="12" t="s">
        <v>35</v>
      </c>
      <c r="L1322" s="98"/>
      <c r="M1322" s="84" t="s">
        <v>2116</v>
      </c>
      <c r="N1322" s="133">
        <v>5425.0</v>
      </c>
      <c r="O1322" s="73">
        <f t="shared" si="27"/>
        <v>0.4976958525</v>
      </c>
      <c r="P1322" s="98">
        <v>2700.0</v>
      </c>
      <c r="Q1322" s="84"/>
      <c r="R1322" s="84">
        <v>1737308.0</v>
      </c>
      <c r="S1322" s="84" t="s">
        <v>40</v>
      </c>
      <c r="T1322" s="90">
        <v>7791270.0</v>
      </c>
      <c r="U1322" s="225">
        <v>45986.333333333336</v>
      </c>
      <c r="V1322" s="225">
        <v>45986.333333333336</v>
      </c>
      <c r="W1322" s="12"/>
      <c r="X1322" s="241">
        <v>45993.125</v>
      </c>
      <c r="Y1322" s="225"/>
      <c r="Z1322" s="225">
        <v>45993.125</v>
      </c>
      <c r="AA1322" s="12"/>
      <c r="AB1322" s="84"/>
      <c r="AC1322" s="84"/>
      <c r="AD1322" s="12"/>
      <c r="AE1322" s="62"/>
      <c r="AF1322" s="6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</row>
    <row r="1323" ht="15.75" customHeight="1">
      <c r="A1323" s="103">
        <v>1.1937375E7</v>
      </c>
      <c r="B1323" s="84">
        <v>9.000461637E9</v>
      </c>
      <c r="C1323" s="11">
        <v>45981.0</v>
      </c>
      <c r="D1323" s="84">
        <v>26.0</v>
      </c>
      <c r="E1323" s="84">
        <v>32177.0</v>
      </c>
      <c r="F1323" s="103" t="s">
        <v>31</v>
      </c>
      <c r="G1323" s="84" t="s">
        <v>74</v>
      </c>
      <c r="H1323" s="84" t="s">
        <v>2117</v>
      </c>
      <c r="I1323" s="84" t="s">
        <v>2118</v>
      </c>
      <c r="J1323" s="238" t="s">
        <v>2082</v>
      </c>
      <c r="K1323" s="238" t="s">
        <v>2119</v>
      </c>
      <c r="L1323" s="98" t="s">
        <v>2105</v>
      </c>
      <c r="M1323" s="84" t="s">
        <v>2079</v>
      </c>
      <c r="N1323" s="133">
        <v>5737.0</v>
      </c>
      <c r="O1323" s="73">
        <f t="shared" si="27"/>
        <v>0.4877113474</v>
      </c>
      <c r="P1323" s="98">
        <v>2798.0</v>
      </c>
      <c r="Q1323" s="84" t="s">
        <v>39</v>
      </c>
      <c r="R1323" s="84">
        <v>1734047.0</v>
      </c>
      <c r="S1323" s="84" t="s">
        <v>40</v>
      </c>
      <c r="T1323" s="90">
        <v>7762023.0</v>
      </c>
      <c r="U1323" s="225">
        <v>45981.524305555555</v>
      </c>
      <c r="V1323" s="225">
        <v>45981.555555555555</v>
      </c>
      <c r="W1323" s="12"/>
      <c r="X1323" s="225">
        <v>45982.291666666664</v>
      </c>
      <c r="Y1323" s="225">
        <v>45982.256944444445</v>
      </c>
      <c r="Z1323" s="225">
        <v>45982.444444444445</v>
      </c>
      <c r="AA1323" s="12"/>
      <c r="AB1323" s="84">
        <v>216429.0</v>
      </c>
      <c r="AC1323" s="238" t="s">
        <v>2120</v>
      </c>
      <c r="AD1323" s="12"/>
      <c r="AE1323" s="207" t="s">
        <v>39</v>
      </c>
      <c r="AF1323" s="207" t="s">
        <v>39</v>
      </c>
      <c r="AG1323" s="22"/>
      <c r="AH1323" s="22"/>
      <c r="AI1323" s="22"/>
      <c r="AJ1323" s="22"/>
      <c r="AK1323" s="22"/>
      <c r="AL1323" s="22"/>
      <c r="AM1323" s="22"/>
      <c r="AN1323" s="22"/>
      <c r="AO1323" s="22"/>
      <c r="AP1323" s="22"/>
    </row>
    <row r="1324" ht="15.75" customHeight="1">
      <c r="A1324" s="103">
        <v>1.194243E7</v>
      </c>
      <c r="B1324" s="84">
        <v>9.000466701E9</v>
      </c>
      <c r="C1324" s="11">
        <v>45982.0</v>
      </c>
      <c r="D1324" s="84">
        <v>26.0</v>
      </c>
      <c r="E1324" s="84">
        <v>33139.0</v>
      </c>
      <c r="F1324" s="103" t="s">
        <v>31</v>
      </c>
      <c r="G1324" s="84" t="s">
        <v>32</v>
      </c>
      <c r="H1324" s="84" t="s">
        <v>2121</v>
      </c>
      <c r="I1324" s="84" t="s">
        <v>2122</v>
      </c>
      <c r="J1324" s="238" t="s">
        <v>2082</v>
      </c>
      <c r="K1324" s="238" t="s">
        <v>2123</v>
      </c>
      <c r="L1324" s="98" t="s">
        <v>2105</v>
      </c>
      <c r="M1324" s="84" t="s">
        <v>2106</v>
      </c>
      <c r="N1324" s="133">
        <v>6053.0</v>
      </c>
      <c r="O1324" s="73">
        <f t="shared" si="27"/>
        <v>0.4023442921</v>
      </c>
      <c r="P1324" s="98">
        <v>2435.39</v>
      </c>
      <c r="Q1324" s="84" t="s">
        <v>39</v>
      </c>
      <c r="R1324" s="84">
        <v>1734858.0</v>
      </c>
      <c r="S1324" s="84" t="s">
        <v>40</v>
      </c>
      <c r="T1324" s="90">
        <v>7768262.0</v>
      </c>
      <c r="U1324" s="225">
        <v>45982.447916666664</v>
      </c>
      <c r="V1324" s="225">
        <v>45982.572916666664</v>
      </c>
      <c r="W1324" s="12"/>
      <c r="X1324" s="12"/>
      <c r="Y1324" s="225">
        <v>45985.291666666664</v>
      </c>
      <c r="Z1324" s="225">
        <v>45985.395833333336</v>
      </c>
      <c r="AA1324" s="12"/>
      <c r="AB1324" s="84">
        <v>219805.0</v>
      </c>
      <c r="AC1324" s="238" t="s">
        <v>2124</v>
      </c>
      <c r="AD1324" s="12"/>
      <c r="AE1324" s="207" t="s">
        <v>39</v>
      </c>
      <c r="AF1324" s="207" t="s">
        <v>39</v>
      </c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</row>
    <row r="1325" ht="15.75" customHeight="1">
      <c r="A1325" s="103">
        <v>1.1937673E7</v>
      </c>
      <c r="B1325" s="84">
        <v>9.00046144E9</v>
      </c>
      <c r="C1325" s="11">
        <v>45983.0</v>
      </c>
      <c r="D1325" s="84">
        <v>27.0</v>
      </c>
      <c r="E1325" s="84">
        <v>34414.0</v>
      </c>
      <c r="F1325" s="103" t="s">
        <v>31</v>
      </c>
      <c r="G1325" s="208" t="s">
        <v>44</v>
      </c>
      <c r="H1325" s="194" t="s">
        <v>104</v>
      </c>
      <c r="I1325" s="171" t="s">
        <v>105</v>
      </c>
      <c r="J1325" s="170" t="s">
        <v>35</v>
      </c>
      <c r="K1325" s="194" t="s">
        <v>106</v>
      </c>
      <c r="L1325" s="171" t="s">
        <v>59</v>
      </c>
      <c r="M1325" s="84" t="s">
        <v>2097</v>
      </c>
      <c r="N1325" s="133">
        <v>5337.0</v>
      </c>
      <c r="O1325" s="73">
        <f t="shared" si="27"/>
        <v>0.7562300918</v>
      </c>
      <c r="P1325" s="98">
        <v>4036.0</v>
      </c>
      <c r="Q1325" s="84" t="s">
        <v>39</v>
      </c>
      <c r="R1325" s="84">
        <v>1736240.0</v>
      </c>
      <c r="S1325" s="84" t="s">
        <v>40</v>
      </c>
      <c r="T1325" s="90">
        <v>7780314.0</v>
      </c>
      <c r="U1325" s="225">
        <v>45983.4375</v>
      </c>
      <c r="V1325" s="225">
        <v>45983.4375</v>
      </c>
      <c r="W1325" s="12"/>
      <c r="X1325" s="12"/>
      <c r="Y1325" s="84" t="s">
        <v>2125</v>
      </c>
      <c r="Z1325" s="225">
        <v>45986.822916666664</v>
      </c>
      <c r="AA1325" s="12"/>
      <c r="AB1325" s="12"/>
      <c r="AC1325" s="12"/>
      <c r="AD1325" s="12"/>
      <c r="AE1325" s="207" t="s">
        <v>39</v>
      </c>
      <c r="AF1325" s="207" t="s">
        <v>39</v>
      </c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</row>
    <row r="1326" ht="15.75" customHeight="1">
      <c r="A1326" s="103">
        <v>1.1937675E7</v>
      </c>
      <c r="B1326" s="84">
        <v>9.00046141E9</v>
      </c>
      <c r="C1326" s="11">
        <v>45983.0</v>
      </c>
      <c r="D1326" s="84">
        <v>27.0</v>
      </c>
      <c r="E1326" s="84">
        <v>34414.0</v>
      </c>
      <c r="F1326" s="103" t="s">
        <v>31</v>
      </c>
      <c r="G1326" s="208" t="s">
        <v>44</v>
      </c>
      <c r="H1326" s="194" t="s">
        <v>104</v>
      </c>
      <c r="I1326" s="171" t="s">
        <v>105</v>
      </c>
      <c r="J1326" s="170" t="s">
        <v>35</v>
      </c>
      <c r="K1326" s="194" t="s">
        <v>106</v>
      </c>
      <c r="L1326" s="171" t="s">
        <v>59</v>
      </c>
      <c r="M1326" s="84" t="s">
        <v>1936</v>
      </c>
      <c r="N1326" s="133">
        <v>5337.0</v>
      </c>
      <c r="O1326" s="73">
        <f t="shared" si="27"/>
        <v>0.5995877834</v>
      </c>
      <c r="P1326" s="98">
        <v>3200.0</v>
      </c>
      <c r="Q1326" s="84" t="s">
        <v>39</v>
      </c>
      <c r="R1326" s="84">
        <v>1735736.0</v>
      </c>
      <c r="S1326" s="84" t="s">
        <v>40</v>
      </c>
      <c r="T1326" s="90">
        <v>7777572.0</v>
      </c>
      <c r="U1326" s="225">
        <v>45983.65625</v>
      </c>
      <c r="V1326" s="225">
        <v>45984.305555555555</v>
      </c>
      <c r="W1326" s="12"/>
      <c r="X1326" s="12"/>
      <c r="Y1326" s="225">
        <v>45985.614583333336</v>
      </c>
      <c r="Z1326" s="225">
        <v>45985.729166666664</v>
      </c>
      <c r="AA1326" s="12"/>
      <c r="AB1326" s="12"/>
      <c r="AC1326" s="12"/>
      <c r="AD1326" s="12"/>
      <c r="AE1326" s="207" t="s">
        <v>39</v>
      </c>
      <c r="AF1326" s="207" t="s">
        <v>39</v>
      </c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</row>
    <row r="1327" ht="15.75" customHeight="1">
      <c r="A1327" s="103">
        <v>1.193767E7</v>
      </c>
      <c r="B1327" s="84">
        <v>9.000461457E9</v>
      </c>
      <c r="C1327" s="11">
        <v>45985.0</v>
      </c>
      <c r="D1327" s="84">
        <v>28.0</v>
      </c>
      <c r="E1327" s="84">
        <v>33911.0</v>
      </c>
      <c r="F1327" s="103" t="s">
        <v>31</v>
      </c>
      <c r="G1327" s="208" t="s">
        <v>44</v>
      </c>
      <c r="H1327" s="194" t="s">
        <v>104</v>
      </c>
      <c r="I1327" s="171" t="s">
        <v>105</v>
      </c>
      <c r="J1327" s="170" t="s">
        <v>35</v>
      </c>
      <c r="K1327" s="194" t="s">
        <v>106</v>
      </c>
      <c r="L1327" s="171" t="s">
        <v>59</v>
      </c>
      <c r="M1327" s="84" t="s">
        <v>1860</v>
      </c>
      <c r="N1327" s="133">
        <v>5337.0</v>
      </c>
      <c r="O1327" s="73">
        <f t="shared" si="27"/>
        <v>0.6215102117</v>
      </c>
      <c r="P1327" s="98">
        <v>3317.0</v>
      </c>
      <c r="Q1327" s="84" t="s">
        <v>39</v>
      </c>
      <c r="R1327" s="84">
        <v>1736863.0</v>
      </c>
      <c r="S1327" s="84" t="s">
        <v>40</v>
      </c>
      <c r="T1327" s="90">
        <v>7786504.0</v>
      </c>
      <c r="U1327" s="242">
        <v>45985.86111111111</v>
      </c>
      <c r="V1327" s="225">
        <v>45986.270833333336</v>
      </c>
      <c r="W1327" s="12"/>
      <c r="X1327" s="12"/>
      <c r="Y1327" s="225">
        <v>45986.73611111111</v>
      </c>
      <c r="Z1327" s="225">
        <v>45987.385416666664</v>
      </c>
      <c r="AA1327" s="12"/>
      <c r="AB1327" s="12"/>
      <c r="AC1327" s="12"/>
      <c r="AD1327" s="12"/>
      <c r="AE1327" s="207" t="s">
        <v>39</v>
      </c>
      <c r="AF1327" s="207" t="s">
        <v>39</v>
      </c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</row>
    <row r="1328" ht="15.75" customHeight="1">
      <c r="A1328" s="103">
        <v>1.1937671E7</v>
      </c>
      <c r="B1328" s="84">
        <v>9.000461477E9</v>
      </c>
      <c r="C1328" s="11">
        <v>45985.0</v>
      </c>
      <c r="D1328" s="84">
        <v>26.0</v>
      </c>
      <c r="E1328" s="84">
        <v>32711.0</v>
      </c>
      <c r="F1328" s="103" t="s">
        <v>31</v>
      </c>
      <c r="G1328" s="208" t="s">
        <v>44</v>
      </c>
      <c r="H1328" s="194" t="s">
        <v>104</v>
      </c>
      <c r="I1328" s="171" t="s">
        <v>105</v>
      </c>
      <c r="J1328" s="170" t="s">
        <v>35</v>
      </c>
      <c r="K1328" s="194" t="s">
        <v>106</v>
      </c>
      <c r="L1328" s="171" t="s">
        <v>59</v>
      </c>
      <c r="M1328" s="84" t="s">
        <v>2126</v>
      </c>
      <c r="N1328" s="133">
        <v>5337.0</v>
      </c>
      <c r="O1328" s="73">
        <f t="shared" si="27"/>
        <v>0.5059021922</v>
      </c>
      <c r="P1328" s="98">
        <v>2700.0</v>
      </c>
      <c r="Q1328" s="84" t="s">
        <v>39</v>
      </c>
      <c r="R1328" s="84">
        <v>1736392.0</v>
      </c>
      <c r="S1328" s="84" t="s">
        <v>40</v>
      </c>
      <c r="T1328" s="90">
        <v>7781700.0</v>
      </c>
      <c r="U1328" s="225">
        <v>45985.458333333336</v>
      </c>
      <c r="V1328" s="225">
        <v>45985.6875</v>
      </c>
      <c r="W1328" s="12"/>
      <c r="X1328" s="12"/>
      <c r="Y1328" s="225">
        <v>45986.57638888889</v>
      </c>
      <c r="Z1328" s="225">
        <v>45986.8125</v>
      </c>
      <c r="AA1328" s="12"/>
      <c r="AB1328" s="84">
        <v>226150.0</v>
      </c>
      <c r="AC1328" s="84" t="s">
        <v>2059</v>
      </c>
      <c r="AD1328" s="12"/>
      <c r="AE1328" s="207" t="s">
        <v>39</v>
      </c>
      <c r="AF1328" s="207" t="s">
        <v>39</v>
      </c>
      <c r="AG1328" s="22"/>
      <c r="AH1328" s="22"/>
      <c r="AI1328" s="22"/>
      <c r="AJ1328" s="22"/>
      <c r="AK1328" s="22"/>
      <c r="AL1328" s="22"/>
      <c r="AM1328" s="22"/>
      <c r="AN1328" s="22"/>
      <c r="AO1328" s="22"/>
      <c r="AP1328" s="22"/>
    </row>
    <row r="1329" ht="15.75" customHeight="1">
      <c r="A1329" s="103">
        <v>1.1935285E7</v>
      </c>
      <c r="B1329" s="84">
        <v>9.000459341E9</v>
      </c>
      <c r="C1329" s="11">
        <v>45985.0</v>
      </c>
      <c r="D1329" s="84">
        <v>26.0</v>
      </c>
      <c r="E1329" s="84">
        <v>33139.0</v>
      </c>
      <c r="F1329" s="103" t="s">
        <v>31</v>
      </c>
      <c r="G1329" s="84" t="s">
        <v>44</v>
      </c>
      <c r="H1329" s="84" t="s">
        <v>2127</v>
      </c>
      <c r="I1329" s="84" t="s">
        <v>2128</v>
      </c>
      <c r="J1329" s="238" t="s">
        <v>2082</v>
      </c>
      <c r="K1329" s="238" t="s">
        <v>2129</v>
      </c>
      <c r="L1329" s="98" t="s">
        <v>94</v>
      </c>
      <c r="M1329" s="84" t="s">
        <v>2079</v>
      </c>
      <c r="N1329" s="133">
        <v>6726.0</v>
      </c>
      <c r="O1329" s="73">
        <f t="shared" si="27"/>
        <v>0.381504609</v>
      </c>
      <c r="P1329" s="98">
        <v>2566.0</v>
      </c>
      <c r="Q1329" s="84" t="s">
        <v>39</v>
      </c>
      <c r="R1329" s="84">
        <v>1736475.0</v>
      </c>
      <c r="S1329" s="84" t="s">
        <v>40</v>
      </c>
      <c r="T1329" s="90">
        <v>7782364.0</v>
      </c>
      <c r="U1329" s="225">
        <v>45985.256944444445</v>
      </c>
      <c r="V1329" s="225">
        <v>45985.5</v>
      </c>
      <c r="W1329" s="12"/>
      <c r="X1329" s="12"/>
      <c r="Y1329" s="225">
        <v>45986.458333333336</v>
      </c>
      <c r="Z1329" s="225">
        <v>45987.5625</v>
      </c>
      <c r="AA1329" s="12"/>
      <c r="AB1329" s="84">
        <v>226075.0</v>
      </c>
      <c r="AC1329" s="238" t="s">
        <v>2130</v>
      </c>
      <c r="AD1329" s="12"/>
      <c r="AE1329" s="207" t="s">
        <v>39</v>
      </c>
      <c r="AF1329" s="207" t="s">
        <v>39</v>
      </c>
      <c r="AG1329" s="22"/>
      <c r="AH1329" s="22"/>
      <c r="AI1329" s="22"/>
      <c r="AJ1329" s="22"/>
      <c r="AK1329" s="22"/>
      <c r="AL1329" s="22"/>
      <c r="AM1329" s="22"/>
      <c r="AN1329" s="22"/>
      <c r="AO1329" s="22"/>
      <c r="AP1329" s="22"/>
    </row>
    <row r="1330" ht="15.75" customHeight="1">
      <c r="A1330" s="103">
        <v>1.1932635E7</v>
      </c>
      <c r="B1330" s="84">
        <v>9.000456327E9</v>
      </c>
      <c r="C1330" s="11">
        <v>45986.0</v>
      </c>
      <c r="D1330" s="84">
        <v>26.0</v>
      </c>
      <c r="E1330" s="84">
        <v>33264.0</v>
      </c>
      <c r="F1330" s="103" t="s">
        <v>31</v>
      </c>
      <c r="G1330" s="84" t="s">
        <v>44</v>
      </c>
      <c r="H1330" s="84" t="s">
        <v>1317</v>
      </c>
      <c r="I1330" s="89" t="s">
        <v>2131</v>
      </c>
      <c r="J1330" s="84" t="s">
        <v>35</v>
      </c>
      <c r="K1330" s="84" t="s">
        <v>138</v>
      </c>
      <c r="L1330" s="98" t="s">
        <v>94</v>
      </c>
      <c r="M1330" s="84" t="s">
        <v>2034</v>
      </c>
      <c r="N1330" s="133">
        <v>5760.0</v>
      </c>
      <c r="O1330" s="73">
        <f t="shared" si="27"/>
        <v>0.6736111111</v>
      </c>
      <c r="P1330" s="98">
        <v>3880.0</v>
      </c>
      <c r="Q1330" s="12"/>
      <c r="R1330" s="84">
        <v>1738409.0</v>
      </c>
      <c r="S1330" s="84" t="s">
        <v>40</v>
      </c>
      <c r="T1330" s="90">
        <v>7801783.0</v>
      </c>
      <c r="U1330" s="225">
        <v>45985.916666666664</v>
      </c>
      <c r="V1330" s="225">
        <v>45986.680555555555</v>
      </c>
      <c r="W1330" s="12"/>
      <c r="X1330" s="12"/>
      <c r="Y1330" s="225">
        <v>45988.416666666664</v>
      </c>
      <c r="Z1330" s="225">
        <v>45989.51736111111</v>
      </c>
      <c r="AA1330" s="12"/>
      <c r="AB1330" s="84">
        <v>231929.0</v>
      </c>
      <c r="AC1330" s="84" t="s">
        <v>2059</v>
      </c>
      <c r="AD1330" s="12"/>
      <c r="AE1330" s="207" t="s">
        <v>39</v>
      </c>
      <c r="AF1330" s="207" t="s">
        <v>39</v>
      </c>
      <c r="AG1330" s="22"/>
      <c r="AH1330" s="22"/>
      <c r="AI1330" s="22"/>
      <c r="AJ1330" s="22"/>
      <c r="AK1330" s="22"/>
      <c r="AL1330" s="22"/>
      <c r="AM1330" s="22"/>
      <c r="AN1330" s="22"/>
      <c r="AO1330" s="22"/>
      <c r="AP1330" s="22"/>
    </row>
    <row r="1331" ht="15.75" customHeight="1">
      <c r="A1331" s="103">
        <v>1.1936089E7</v>
      </c>
      <c r="B1331" s="84">
        <v>9.00045916E9</v>
      </c>
      <c r="C1331" s="11">
        <v>45986.0</v>
      </c>
      <c r="D1331" s="84">
        <v>28.0</v>
      </c>
      <c r="E1331" s="84">
        <v>34295.0</v>
      </c>
      <c r="F1331" s="103" t="s">
        <v>43</v>
      </c>
      <c r="G1331" s="84" t="s">
        <v>44</v>
      </c>
      <c r="H1331" s="84" t="s">
        <v>268</v>
      </c>
      <c r="I1331" s="194" t="s">
        <v>1958</v>
      </c>
      <c r="J1331" s="84" t="s">
        <v>35</v>
      </c>
      <c r="K1331" s="84" t="s">
        <v>270</v>
      </c>
      <c r="L1331" s="98" t="s">
        <v>94</v>
      </c>
      <c r="M1331" s="84" t="s">
        <v>1974</v>
      </c>
      <c r="N1331" s="133">
        <v>4872.5</v>
      </c>
      <c r="O1331" s="73">
        <f t="shared" si="27"/>
        <v>0.8722421755</v>
      </c>
      <c r="P1331" s="98">
        <v>4250.0</v>
      </c>
      <c r="Q1331" s="84" t="s">
        <v>39</v>
      </c>
      <c r="R1331" s="84">
        <v>1737513.0</v>
      </c>
      <c r="S1331" s="84" t="s">
        <v>40</v>
      </c>
      <c r="T1331" s="90">
        <v>7793443.0</v>
      </c>
      <c r="U1331" s="225">
        <v>45986.5</v>
      </c>
      <c r="V1331" s="225">
        <v>45986.68402777778</v>
      </c>
      <c r="W1331" s="12"/>
      <c r="X1331" s="12"/>
      <c r="Y1331" s="225">
        <v>45987.979166666664</v>
      </c>
      <c r="Z1331" s="225">
        <v>45988.47222222222</v>
      </c>
      <c r="AA1331" s="12"/>
      <c r="AB1331" s="12"/>
      <c r="AC1331" s="12"/>
      <c r="AD1331" s="12"/>
      <c r="AE1331" s="207" t="s">
        <v>39</v>
      </c>
      <c r="AF1331" s="207" t="s">
        <v>39</v>
      </c>
      <c r="AG1331" s="22"/>
      <c r="AH1331" s="22"/>
      <c r="AI1331" s="22"/>
      <c r="AJ1331" s="22"/>
      <c r="AK1331" s="22"/>
      <c r="AL1331" s="22"/>
      <c r="AM1331" s="22"/>
      <c r="AN1331" s="22"/>
      <c r="AO1331" s="22"/>
      <c r="AP1331" s="22"/>
    </row>
    <row r="1332" ht="15.75" customHeight="1">
      <c r="A1332" s="103">
        <v>1.193609E7</v>
      </c>
      <c r="B1332" s="84">
        <v>9.000459188E9</v>
      </c>
      <c r="C1332" s="11">
        <v>45986.0</v>
      </c>
      <c r="D1332" s="84">
        <v>15.0</v>
      </c>
      <c r="E1332" s="84">
        <v>17135.0</v>
      </c>
      <c r="F1332" s="103" t="s">
        <v>43</v>
      </c>
      <c r="G1332" s="84" t="s">
        <v>44</v>
      </c>
      <c r="H1332" s="84" t="s">
        <v>2132</v>
      </c>
      <c r="I1332" s="194" t="s">
        <v>1957</v>
      </c>
      <c r="J1332" s="84" t="s">
        <v>270</v>
      </c>
      <c r="K1332" s="84" t="s">
        <v>35</v>
      </c>
      <c r="L1332" s="98" t="s">
        <v>43</v>
      </c>
      <c r="M1332" s="84" t="s">
        <v>1974</v>
      </c>
      <c r="N1332" s="133">
        <v>4872.5</v>
      </c>
      <c r="O1332" s="73">
        <f t="shared" si="27"/>
        <v>0.5643919959</v>
      </c>
      <c r="P1332" s="98">
        <v>2750.0</v>
      </c>
      <c r="Q1332" s="12"/>
      <c r="R1332" s="84">
        <v>1738932.0</v>
      </c>
      <c r="S1332" s="84" t="s">
        <v>40</v>
      </c>
      <c r="T1332" s="90">
        <v>7808375.0</v>
      </c>
      <c r="U1332" s="225">
        <v>45988.47222222222</v>
      </c>
      <c r="V1332" s="225">
        <v>45988.47222222222</v>
      </c>
      <c r="W1332" s="12"/>
      <c r="X1332" s="12"/>
      <c r="Y1332" s="225">
        <v>45989.520833333336</v>
      </c>
      <c r="Z1332" s="225">
        <v>45989.833333333336</v>
      </c>
      <c r="AA1332" s="12"/>
      <c r="AB1332" s="12"/>
      <c r="AC1332" s="12"/>
      <c r="AD1332" s="12"/>
      <c r="AE1332" s="207" t="s">
        <v>39</v>
      </c>
      <c r="AF1332" s="207" t="s">
        <v>39</v>
      </c>
      <c r="AG1332" s="22"/>
      <c r="AH1332" s="22"/>
      <c r="AI1332" s="22"/>
      <c r="AJ1332" s="22"/>
      <c r="AK1332" s="22"/>
      <c r="AL1332" s="22"/>
      <c r="AM1332" s="22"/>
      <c r="AN1332" s="22"/>
      <c r="AO1332" s="22"/>
      <c r="AP1332" s="22"/>
    </row>
    <row r="1333" ht="15.75" customHeight="1">
      <c r="A1333" s="103">
        <v>1.1941789E7</v>
      </c>
      <c r="B1333" s="84">
        <v>9.000466702E9</v>
      </c>
      <c r="C1333" s="11">
        <v>45986.0</v>
      </c>
      <c r="D1333" s="84">
        <v>26.0</v>
      </c>
      <c r="E1333" s="84">
        <v>33139.0</v>
      </c>
      <c r="F1333" s="103" t="s">
        <v>31</v>
      </c>
      <c r="G1333" s="84" t="s">
        <v>32</v>
      </c>
      <c r="H1333" s="84" t="s">
        <v>2121</v>
      </c>
      <c r="I1333" s="84" t="s">
        <v>2122</v>
      </c>
      <c r="J1333" s="238" t="s">
        <v>2082</v>
      </c>
      <c r="K1333" s="238" t="s">
        <v>2123</v>
      </c>
      <c r="L1333" s="98" t="s">
        <v>2105</v>
      </c>
      <c r="M1333" s="84" t="s">
        <v>2106</v>
      </c>
      <c r="N1333" s="133">
        <v>6053.0</v>
      </c>
      <c r="O1333" s="73">
        <f t="shared" si="27"/>
        <v>0.4458945977</v>
      </c>
      <c r="P1333" s="98">
        <v>2699.0</v>
      </c>
      <c r="Q1333" s="84" t="s">
        <v>39</v>
      </c>
      <c r="R1333" s="84">
        <v>1737400.0</v>
      </c>
      <c r="S1333" s="84" t="s">
        <v>40</v>
      </c>
      <c r="T1333" s="90">
        <v>7792120.0</v>
      </c>
      <c r="U1333" s="225">
        <v>45986.46527777778</v>
      </c>
      <c r="V1333" s="225">
        <v>45986.65972222222</v>
      </c>
      <c r="W1333" s="12"/>
      <c r="X1333" s="12"/>
      <c r="Y1333" s="225">
        <v>45986.458333333336</v>
      </c>
      <c r="Z1333" s="225">
        <v>45987.53125</v>
      </c>
      <c r="AA1333" s="12"/>
      <c r="AB1333" s="12"/>
      <c r="AC1333" s="238" t="s">
        <v>2133</v>
      </c>
      <c r="AD1333" s="12"/>
      <c r="AE1333" s="207" t="s">
        <v>39</v>
      </c>
      <c r="AF1333" s="207" t="s">
        <v>39</v>
      </c>
      <c r="AG1333" s="22"/>
      <c r="AH1333" s="22"/>
      <c r="AI1333" s="22"/>
      <c r="AJ1333" s="22"/>
      <c r="AK1333" s="22"/>
      <c r="AL1333" s="22"/>
      <c r="AM1333" s="22"/>
      <c r="AN1333" s="22"/>
      <c r="AO1333" s="22"/>
      <c r="AP1333" s="22"/>
    </row>
    <row r="1334" ht="15.75" customHeight="1">
      <c r="A1334" s="103">
        <v>1.1937674E7</v>
      </c>
      <c r="B1334" s="84">
        <v>9.00046142E9</v>
      </c>
      <c r="C1334" s="11">
        <v>45987.0</v>
      </c>
      <c r="D1334" s="84">
        <v>27.0</v>
      </c>
      <c r="E1334" s="84">
        <v>34414.0</v>
      </c>
      <c r="F1334" s="103" t="s">
        <v>31</v>
      </c>
      <c r="G1334" s="208" t="s">
        <v>44</v>
      </c>
      <c r="H1334" s="194" t="s">
        <v>104</v>
      </c>
      <c r="I1334" s="171" t="s">
        <v>105</v>
      </c>
      <c r="J1334" s="170" t="s">
        <v>35</v>
      </c>
      <c r="K1334" s="194" t="s">
        <v>106</v>
      </c>
      <c r="L1334" s="171" t="s">
        <v>59</v>
      </c>
      <c r="M1334" s="84" t="s">
        <v>1945</v>
      </c>
      <c r="N1334" s="133">
        <v>5337.0</v>
      </c>
      <c r="O1334" s="73">
        <f t="shared" si="27"/>
        <v>0.6276934607</v>
      </c>
      <c r="P1334" s="98">
        <v>3350.0</v>
      </c>
      <c r="Q1334" s="84" t="s">
        <v>39</v>
      </c>
      <c r="R1334" s="84">
        <v>1738591.0</v>
      </c>
      <c r="S1334" s="84" t="s">
        <v>40</v>
      </c>
      <c r="T1334" s="90">
        <v>7804572.0</v>
      </c>
      <c r="U1334" s="225">
        <v>45987.458333333336</v>
      </c>
      <c r="V1334" s="225">
        <v>45988.041666666664</v>
      </c>
      <c r="W1334" s="12"/>
      <c r="X1334" s="12"/>
      <c r="Y1334" s="225">
        <v>45989.541666666664</v>
      </c>
      <c r="Z1334" s="225">
        <v>45989.69097222222</v>
      </c>
      <c r="AA1334" s="12"/>
      <c r="AB1334" s="12"/>
      <c r="AC1334" s="12"/>
      <c r="AD1334" s="12"/>
      <c r="AE1334" s="207" t="s">
        <v>39</v>
      </c>
      <c r="AF1334" s="12"/>
      <c r="AG1334" s="22"/>
      <c r="AH1334" s="22"/>
      <c r="AI1334" s="22"/>
      <c r="AJ1334" s="22"/>
      <c r="AK1334" s="22"/>
      <c r="AL1334" s="22"/>
      <c r="AM1334" s="22"/>
      <c r="AN1334" s="22"/>
      <c r="AO1334" s="22"/>
      <c r="AP1334" s="22"/>
    </row>
    <row r="1335" ht="15.75" customHeight="1">
      <c r="A1335" s="103">
        <v>1.1937669E7</v>
      </c>
      <c r="B1335" s="84">
        <v>9.000461494E9</v>
      </c>
      <c r="C1335" s="11">
        <v>45987.0</v>
      </c>
      <c r="D1335" s="84">
        <v>27.0</v>
      </c>
      <c r="E1335" s="84">
        <v>34414.0</v>
      </c>
      <c r="F1335" s="103" t="s">
        <v>31</v>
      </c>
      <c r="G1335" s="208" t="s">
        <v>44</v>
      </c>
      <c r="H1335" s="194" t="s">
        <v>104</v>
      </c>
      <c r="I1335" s="171" t="s">
        <v>105</v>
      </c>
      <c r="J1335" s="170" t="s">
        <v>35</v>
      </c>
      <c r="K1335" s="194" t="s">
        <v>106</v>
      </c>
      <c r="L1335" s="171" t="s">
        <v>59</v>
      </c>
      <c r="M1335" s="84" t="s">
        <v>1860</v>
      </c>
      <c r="N1335" s="133">
        <v>5337.0</v>
      </c>
      <c r="O1335" s="73">
        <f t="shared" si="27"/>
        <v>0.7374929736</v>
      </c>
      <c r="P1335" s="98">
        <v>3936.0</v>
      </c>
      <c r="Q1335" s="84" t="s">
        <v>39</v>
      </c>
      <c r="R1335" s="84">
        <v>1738129.0</v>
      </c>
      <c r="S1335" s="84" t="s">
        <v>40</v>
      </c>
      <c r="T1335" s="90">
        <v>7804374.0</v>
      </c>
      <c r="U1335" s="225">
        <v>45987.84722222222</v>
      </c>
      <c r="V1335" s="225">
        <v>45988.041666666664</v>
      </c>
      <c r="W1335" s="12"/>
      <c r="X1335" s="12"/>
      <c r="Y1335" s="225">
        <v>45988.6875</v>
      </c>
      <c r="Z1335" s="225">
        <v>45989.479166666664</v>
      </c>
      <c r="AA1335" s="12"/>
      <c r="AB1335" s="84">
        <v>232251.0</v>
      </c>
      <c r="AC1335" s="84" t="s">
        <v>2059</v>
      </c>
      <c r="AD1335" s="12"/>
      <c r="AE1335" s="207" t="s">
        <v>39</v>
      </c>
      <c r="AF1335" s="207" t="s">
        <v>39</v>
      </c>
      <c r="AG1335" s="22"/>
      <c r="AH1335" s="22"/>
      <c r="AI1335" s="22"/>
      <c r="AJ1335" s="22"/>
      <c r="AK1335" s="22"/>
      <c r="AL1335" s="22"/>
      <c r="AM1335" s="22"/>
      <c r="AN1335" s="22"/>
      <c r="AO1335" s="22"/>
      <c r="AP1335" s="22"/>
    </row>
    <row r="1336" ht="15.75" customHeight="1">
      <c r="A1336" s="103">
        <v>1.1941348E7</v>
      </c>
      <c r="B1336" s="84">
        <v>9.000464333E9</v>
      </c>
      <c r="C1336" s="11">
        <v>45987.0</v>
      </c>
      <c r="D1336" s="84">
        <v>24.0</v>
      </c>
      <c r="E1336" s="84">
        <v>28404.0</v>
      </c>
      <c r="F1336" s="103" t="s">
        <v>31</v>
      </c>
      <c r="G1336" s="84" t="s">
        <v>74</v>
      </c>
      <c r="H1336" s="84" t="s">
        <v>1882</v>
      </c>
      <c r="I1336" s="243" t="s">
        <v>2131</v>
      </c>
      <c r="J1336" s="170" t="s">
        <v>35</v>
      </c>
      <c r="K1336" s="84" t="s">
        <v>138</v>
      </c>
      <c r="L1336" s="98" t="s">
        <v>94</v>
      </c>
      <c r="M1336" s="84" t="s">
        <v>2126</v>
      </c>
      <c r="N1336" s="133">
        <v>5760.0</v>
      </c>
      <c r="O1336" s="73">
        <f t="shared" si="27"/>
        <v>0.78125</v>
      </c>
      <c r="P1336" s="98">
        <v>4500.0</v>
      </c>
      <c r="Q1336" s="84" t="s">
        <v>39</v>
      </c>
      <c r="R1336" s="84">
        <v>1738476.0</v>
      </c>
      <c r="S1336" s="84" t="s">
        <v>40</v>
      </c>
      <c r="T1336" s="90">
        <v>7802619.0</v>
      </c>
      <c r="U1336" s="225">
        <v>45987.84375</v>
      </c>
      <c r="V1336" s="225">
        <v>45988.041666666664</v>
      </c>
      <c r="W1336" s="12"/>
      <c r="X1336" s="12"/>
      <c r="Y1336" s="225">
        <v>45989.35763888889</v>
      </c>
      <c r="Z1336" s="214">
        <v>45992.53125</v>
      </c>
      <c r="AA1336" s="12"/>
      <c r="AB1336" s="84" t="s">
        <v>2134</v>
      </c>
      <c r="AC1336" s="84" t="s">
        <v>2135</v>
      </c>
      <c r="AD1336" s="12"/>
      <c r="AE1336" s="207" t="s">
        <v>39</v>
      </c>
      <c r="AF1336" s="207" t="s">
        <v>39</v>
      </c>
      <c r="AG1336" s="22"/>
      <c r="AH1336" s="22"/>
      <c r="AI1336" s="22"/>
      <c r="AJ1336" s="22"/>
      <c r="AK1336" s="22"/>
      <c r="AL1336" s="22"/>
      <c r="AM1336" s="22"/>
      <c r="AN1336" s="22"/>
      <c r="AO1336" s="22"/>
      <c r="AP1336" s="22"/>
    </row>
    <row r="1337" ht="15.75" customHeight="1">
      <c r="A1337" s="103">
        <v>1.1963668E7</v>
      </c>
      <c r="B1337" s="84">
        <v>9.000493343E9</v>
      </c>
      <c r="C1337" s="11">
        <v>45989.0</v>
      </c>
      <c r="D1337" s="84">
        <v>26.0</v>
      </c>
      <c r="E1337" s="84">
        <v>33139.0</v>
      </c>
      <c r="F1337" s="103" t="s">
        <v>31</v>
      </c>
      <c r="G1337" s="84" t="s">
        <v>44</v>
      </c>
      <c r="H1337" s="84" t="s">
        <v>2080</v>
      </c>
      <c r="I1337" s="84" t="s">
        <v>2081</v>
      </c>
      <c r="J1337" s="238" t="s">
        <v>2082</v>
      </c>
      <c r="K1337" s="238" t="s">
        <v>2083</v>
      </c>
      <c r="L1337" s="98" t="s">
        <v>114</v>
      </c>
      <c r="M1337" s="84" t="s">
        <v>2106</v>
      </c>
      <c r="N1337" s="133">
        <v>3475.0</v>
      </c>
      <c r="O1337" s="73">
        <f t="shared" si="27"/>
        <v>0.7194244604</v>
      </c>
      <c r="P1337" s="98">
        <v>2500.0</v>
      </c>
      <c r="Q1337" s="84" t="s">
        <v>39</v>
      </c>
      <c r="R1337" s="84">
        <v>1740036.0</v>
      </c>
      <c r="S1337" s="84" t="s">
        <v>40</v>
      </c>
      <c r="T1337" s="90">
        <v>7820966.0</v>
      </c>
      <c r="U1337" s="225">
        <v>45989.375</v>
      </c>
      <c r="V1337" s="225">
        <v>45989.631944444445</v>
      </c>
      <c r="W1337" s="12"/>
      <c r="X1337" s="12"/>
      <c r="Y1337" s="225">
        <v>45990.430555555555</v>
      </c>
      <c r="Z1337" s="214">
        <v>45992.625</v>
      </c>
      <c r="AA1337" s="12"/>
      <c r="AB1337" s="84">
        <v>236274.0</v>
      </c>
      <c r="AC1337" s="238" t="s">
        <v>2130</v>
      </c>
      <c r="AD1337" s="12"/>
      <c r="AE1337" s="207" t="s">
        <v>39</v>
      </c>
      <c r="AF1337" s="207" t="s">
        <v>39</v>
      </c>
      <c r="AG1337" s="22"/>
      <c r="AH1337" s="22"/>
      <c r="AI1337" s="22"/>
      <c r="AJ1337" s="22"/>
      <c r="AK1337" s="22"/>
      <c r="AL1337" s="22"/>
      <c r="AM1337" s="22"/>
      <c r="AN1337" s="22"/>
      <c r="AO1337" s="22"/>
      <c r="AP1337" s="22"/>
    </row>
    <row r="1338" ht="15.75" customHeight="1">
      <c r="A1338" s="103">
        <v>1.1952743E7</v>
      </c>
      <c r="B1338" s="84">
        <v>9.000481981E9</v>
      </c>
      <c r="C1338" s="11">
        <v>45989.0</v>
      </c>
      <c r="D1338" s="84">
        <v>26.0</v>
      </c>
      <c r="E1338" s="84">
        <v>30663.0</v>
      </c>
      <c r="F1338" s="103" t="s">
        <v>31</v>
      </c>
      <c r="G1338" s="84" t="s">
        <v>74</v>
      </c>
      <c r="H1338" s="84" t="s">
        <v>1196</v>
      </c>
      <c r="I1338" s="89" t="s">
        <v>186</v>
      </c>
      <c r="J1338" s="84" t="s">
        <v>35</v>
      </c>
      <c r="K1338" s="84" t="s">
        <v>187</v>
      </c>
      <c r="L1338" s="95" t="s">
        <v>188</v>
      </c>
      <c r="M1338" s="84" t="s">
        <v>1985</v>
      </c>
      <c r="N1338" s="133">
        <v>4362.0</v>
      </c>
      <c r="O1338" s="73">
        <f t="shared" si="27"/>
        <v>0.7489683631</v>
      </c>
      <c r="P1338" s="98">
        <v>3267.0</v>
      </c>
      <c r="Q1338" s="84" t="s">
        <v>39</v>
      </c>
      <c r="R1338" s="84">
        <v>1738942.0</v>
      </c>
      <c r="S1338" s="84" t="s">
        <v>40</v>
      </c>
      <c r="T1338" s="90">
        <v>7823489.0</v>
      </c>
      <c r="U1338" s="225">
        <v>45989.78472222222</v>
      </c>
      <c r="V1338" s="225">
        <v>45990.42361111111</v>
      </c>
      <c r="W1338" s="12"/>
      <c r="X1338" s="12"/>
      <c r="Y1338" s="214">
        <v>45992.3125</v>
      </c>
      <c r="Z1338" s="214">
        <v>45992.42361111111</v>
      </c>
      <c r="AA1338" s="12"/>
      <c r="AB1338" s="84" t="s">
        <v>2136</v>
      </c>
      <c r="AC1338" s="84" t="s">
        <v>1134</v>
      </c>
      <c r="AD1338" s="12"/>
      <c r="AE1338" s="207" t="s">
        <v>39</v>
      </c>
      <c r="AF1338" s="207" t="s">
        <v>39</v>
      </c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</row>
    <row r="1339" ht="15.75" customHeight="1">
      <c r="A1339" s="103">
        <v>1.1964623E7</v>
      </c>
      <c r="B1339" s="84">
        <v>9.00049345E9</v>
      </c>
      <c r="C1339" s="11">
        <v>45989.0</v>
      </c>
      <c r="D1339" s="84">
        <v>25.0</v>
      </c>
      <c r="E1339" s="84">
        <v>32294.0</v>
      </c>
      <c r="F1339" s="103" t="s">
        <v>31</v>
      </c>
      <c r="G1339" s="84" t="s">
        <v>74</v>
      </c>
      <c r="H1339" s="84" t="s">
        <v>1914</v>
      </c>
      <c r="I1339" s="84" t="s">
        <v>1915</v>
      </c>
      <c r="J1339" s="93" t="s">
        <v>35</v>
      </c>
      <c r="K1339" s="84" t="s">
        <v>270</v>
      </c>
      <c r="L1339" s="244" t="s">
        <v>94</v>
      </c>
      <c r="M1339" s="84" t="s">
        <v>2137</v>
      </c>
      <c r="N1339" s="133">
        <v>6410.0</v>
      </c>
      <c r="O1339" s="73">
        <f t="shared" si="27"/>
        <v>0.7371294852</v>
      </c>
      <c r="P1339" s="98">
        <v>4725.0</v>
      </c>
      <c r="Q1339" s="84" t="s">
        <v>39</v>
      </c>
      <c r="R1339" s="84">
        <v>1739965.0</v>
      </c>
      <c r="S1339" s="84" t="s">
        <v>40</v>
      </c>
      <c r="T1339" s="90">
        <v>7823558.0</v>
      </c>
      <c r="U1339" s="225">
        <v>45989.791666666664</v>
      </c>
      <c r="V1339" s="225">
        <v>45990.28125</v>
      </c>
      <c r="W1339" s="12"/>
      <c r="X1339" s="12"/>
      <c r="Y1339" s="214">
        <v>45994.01388888889</v>
      </c>
      <c r="Z1339" s="214">
        <v>45994.645833333336</v>
      </c>
      <c r="AA1339" s="12"/>
      <c r="AB1339" s="84" t="s">
        <v>2138</v>
      </c>
      <c r="AC1339" s="238" t="s">
        <v>2139</v>
      </c>
      <c r="AD1339" s="12"/>
      <c r="AE1339" s="207" t="s">
        <v>39</v>
      </c>
      <c r="AF1339" s="207" t="s">
        <v>39</v>
      </c>
      <c r="AG1339" s="22"/>
      <c r="AH1339" s="22"/>
      <c r="AI1339" s="22"/>
      <c r="AJ1339" s="22"/>
      <c r="AK1339" s="22"/>
      <c r="AL1339" s="22"/>
      <c r="AM1339" s="22"/>
      <c r="AN1339" s="22"/>
      <c r="AO1339" s="22"/>
      <c r="AP1339" s="22"/>
    </row>
    <row r="1340" ht="15.75" customHeight="1">
      <c r="A1340" s="103">
        <v>1.1963354E7</v>
      </c>
      <c r="B1340" s="84">
        <v>9.00049292E9</v>
      </c>
      <c r="C1340" s="11">
        <v>45989.0</v>
      </c>
      <c r="D1340" s="84">
        <v>23.0</v>
      </c>
      <c r="E1340" s="84">
        <v>30524.0</v>
      </c>
      <c r="F1340" s="103" t="s">
        <v>43</v>
      </c>
      <c r="G1340" s="84" t="s">
        <v>32</v>
      </c>
      <c r="H1340" s="12" t="s">
        <v>265</v>
      </c>
      <c r="I1340" s="39" t="s">
        <v>266</v>
      </c>
      <c r="J1340" s="25" t="s">
        <v>35</v>
      </c>
      <c r="K1340" s="25" t="s">
        <v>267</v>
      </c>
      <c r="L1340" s="245" t="s">
        <v>114</v>
      </c>
      <c r="M1340" s="84" t="s">
        <v>1974</v>
      </c>
      <c r="N1340" s="133">
        <v>4997.0</v>
      </c>
      <c r="O1340" s="73">
        <f t="shared" si="27"/>
        <v>0.8505103062</v>
      </c>
      <c r="P1340" s="98">
        <v>4250.0</v>
      </c>
      <c r="Q1340" s="84" t="s">
        <v>39</v>
      </c>
      <c r="R1340" s="84">
        <v>1740312.0</v>
      </c>
      <c r="S1340" s="84" t="s">
        <v>40</v>
      </c>
      <c r="T1340" s="90">
        <v>7824147.0</v>
      </c>
      <c r="U1340" s="225">
        <v>45989.833333333336</v>
      </c>
      <c r="V1340" s="225">
        <v>45990.385416666664</v>
      </c>
      <c r="W1340" s="12"/>
      <c r="X1340" s="12"/>
      <c r="Y1340" s="214">
        <v>45993.854166666664</v>
      </c>
      <c r="Z1340" s="214">
        <v>45994.520833333336</v>
      </c>
      <c r="AA1340" s="12"/>
      <c r="AB1340" s="84">
        <v>244134.0</v>
      </c>
      <c r="AC1340" s="238" t="s">
        <v>2130</v>
      </c>
      <c r="AD1340" s="12"/>
      <c r="AE1340" s="207" t="s">
        <v>39</v>
      </c>
      <c r="AF1340" s="207" t="s">
        <v>39</v>
      </c>
      <c r="AG1340" s="22"/>
      <c r="AH1340" s="22"/>
      <c r="AI1340" s="22"/>
      <c r="AJ1340" s="22"/>
      <c r="AK1340" s="22"/>
      <c r="AL1340" s="22"/>
      <c r="AM1340" s="22"/>
      <c r="AN1340" s="22"/>
      <c r="AO1340" s="22"/>
      <c r="AP1340" s="22"/>
    </row>
    <row r="1341" ht="15.75" customHeight="1">
      <c r="A1341" s="103">
        <v>1.1963355E7</v>
      </c>
      <c r="B1341" s="84">
        <v>9.000492917E9</v>
      </c>
      <c r="C1341" s="11">
        <v>45989.0</v>
      </c>
      <c r="D1341" s="84">
        <v>18.0</v>
      </c>
      <c r="E1341" s="84">
        <v>13221.0</v>
      </c>
      <c r="F1341" s="103" t="s">
        <v>43</v>
      </c>
      <c r="G1341" s="84" t="s">
        <v>32</v>
      </c>
      <c r="H1341" s="84" t="s">
        <v>2140</v>
      </c>
      <c r="I1341" s="39" t="s">
        <v>266</v>
      </c>
      <c r="J1341" s="25" t="s">
        <v>267</v>
      </c>
      <c r="K1341" s="25" t="s">
        <v>35</v>
      </c>
      <c r="L1341" s="245" t="s">
        <v>114</v>
      </c>
      <c r="M1341" s="84" t="s">
        <v>1974</v>
      </c>
      <c r="N1341" s="133">
        <v>4997.0</v>
      </c>
      <c r="O1341" s="73">
        <f t="shared" si="27"/>
        <v>0.5503301981</v>
      </c>
      <c r="P1341" s="98">
        <v>2750.0</v>
      </c>
      <c r="Q1341" s="12"/>
      <c r="R1341" s="84">
        <v>1743347.0</v>
      </c>
      <c r="S1341" s="84" t="s">
        <v>40</v>
      </c>
      <c r="T1341" s="90">
        <v>7848891.0</v>
      </c>
      <c r="U1341" s="214">
        <v>45994.520833333336</v>
      </c>
      <c r="V1341" s="214">
        <v>45994.520833333336</v>
      </c>
      <c r="W1341" s="12"/>
      <c r="X1341" s="12"/>
      <c r="Y1341" s="214">
        <v>45996.75</v>
      </c>
      <c r="Z1341" s="214">
        <v>45997.21875</v>
      </c>
      <c r="AA1341" s="12"/>
      <c r="AB1341" s="12"/>
      <c r="AC1341" s="238" t="s">
        <v>2133</v>
      </c>
      <c r="AD1341" s="12"/>
      <c r="AE1341" s="207" t="s">
        <v>39</v>
      </c>
      <c r="AF1341" s="207" t="s">
        <v>39</v>
      </c>
      <c r="AG1341" s="22"/>
      <c r="AH1341" s="22"/>
      <c r="AI1341" s="22"/>
      <c r="AJ1341" s="22"/>
      <c r="AK1341" s="22"/>
      <c r="AL1341" s="22"/>
      <c r="AM1341" s="22"/>
      <c r="AN1341" s="22"/>
      <c r="AO1341" s="22"/>
      <c r="AP1341" s="22"/>
    </row>
    <row r="1342" ht="15.75" customHeight="1">
      <c r="A1342" s="103">
        <v>1.1952744E7</v>
      </c>
      <c r="B1342" s="84">
        <v>9.00048197E9</v>
      </c>
      <c r="C1342" s="11">
        <v>45990.0</v>
      </c>
      <c r="D1342" s="84">
        <v>26.0</v>
      </c>
      <c r="E1342" s="84">
        <v>30663.0</v>
      </c>
      <c r="F1342" s="103" t="s">
        <v>31</v>
      </c>
      <c r="G1342" s="84" t="s">
        <v>74</v>
      </c>
      <c r="H1342" s="84" t="s">
        <v>1196</v>
      </c>
      <c r="I1342" s="89" t="s">
        <v>186</v>
      </c>
      <c r="J1342" s="84" t="s">
        <v>35</v>
      </c>
      <c r="K1342" s="84" t="s">
        <v>187</v>
      </c>
      <c r="L1342" s="95" t="s">
        <v>188</v>
      </c>
      <c r="M1342" s="84" t="s">
        <v>2076</v>
      </c>
      <c r="N1342" s="133">
        <v>4362.0</v>
      </c>
      <c r="O1342" s="73">
        <f t="shared" si="27"/>
        <v>0.628610729</v>
      </c>
      <c r="P1342" s="98">
        <v>2742.0</v>
      </c>
      <c r="Q1342" s="84" t="s">
        <v>39</v>
      </c>
      <c r="R1342" s="84">
        <v>1740549.0</v>
      </c>
      <c r="S1342" s="84" t="s">
        <v>40</v>
      </c>
      <c r="T1342" s="90">
        <v>7825726.0</v>
      </c>
      <c r="U1342" s="225">
        <v>45990.625</v>
      </c>
      <c r="V1342" s="225">
        <v>45990.944444444445</v>
      </c>
      <c r="W1342" s="12"/>
      <c r="X1342" s="12"/>
      <c r="Y1342" s="214">
        <v>45993.32638888889</v>
      </c>
      <c r="Z1342" s="214">
        <v>45994.32986111111</v>
      </c>
      <c r="AA1342" s="12"/>
      <c r="AB1342" s="84" t="s">
        <v>2141</v>
      </c>
      <c r="AC1342" s="84" t="s">
        <v>2142</v>
      </c>
      <c r="AD1342" s="12"/>
      <c r="AE1342" s="207" t="s">
        <v>39</v>
      </c>
      <c r="AF1342" s="207" t="s">
        <v>39</v>
      </c>
      <c r="AG1342" s="22"/>
      <c r="AH1342" s="22"/>
      <c r="AI1342" s="22"/>
      <c r="AJ1342" s="22"/>
      <c r="AK1342" s="22"/>
      <c r="AL1342" s="22"/>
      <c r="AM1342" s="22"/>
      <c r="AN1342" s="22"/>
      <c r="AO1342" s="22"/>
      <c r="AP1342" s="22"/>
    </row>
    <row r="1343" ht="15.75" customHeight="1">
      <c r="A1343" s="103">
        <v>1.1967594E7</v>
      </c>
      <c r="B1343" s="84">
        <v>9.000498073E9</v>
      </c>
      <c r="C1343" s="11">
        <v>45990.0</v>
      </c>
      <c r="D1343" s="84">
        <v>28.0</v>
      </c>
      <c r="E1343" s="84">
        <v>34058.0</v>
      </c>
      <c r="F1343" s="103" t="s">
        <v>31</v>
      </c>
      <c r="G1343" s="84" t="s">
        <v>32</v>
      </c>
      <c r="H1343" s="12" t="s">
        <v>111</v>
      </c>
      <c r="I1343" s="25" t="s">
        <v>112</v>
      </c>
      <c r="J1343" s="12" t="s">
        <v>35</v>
      </c>
      <c r="K1343" s="12" t="s">
        <v>113</v>
      </c>
      <c r="L1343" s="25" t="s">
        <v>114</v>
      </c>
      <c r="M1343" s="84" t="s">
        <v>2034</v>
      </c>
      <c r="N1343" s="133">
        <v>5323.0</v>
      </c>
      <c r="O1343" s="73">
        <f t="shared" si="27"/>
        <v>0.6575239527</v>
      </c>
      <c r="P1343" s="98">
        <v>3500.0</v>
      </c>
      <c r="Q1343" s="84" t="s">
        <v>39</v>
      </c>
      <c r="R1343" s="84">
        <v>1740641.0</v>
      </c>
      <c r="S1343" s="84" t="s">
        <v>40</v>
      </c>
      <c r="T1343" s="90">
        <v>7826644.0</v>
      </c>
      <c r="U1343" s="214">
        <v>45929.791666666664</v>
      </c>
      <c r="V1343" s="225">
        <v>45990.916666666664</v>
      </c>
      <c r="W1343" s="12"/>
      <c r="X1343" s="12"/>
      <c r="Y1343" s="225">
        <v>45991.67361111111</v>
      </c>
      <c r="Z1343" s="214">
        <v>45992.395833333336</v>
      </c>
      <c r="AA1343" s="12"/>
      <c r="AB1343" s="12"/>
      <c r="AC1343" s="12"/>
      <c r="AD1343" s="12"/>
      <c r="AE1343" s="207" t="s">
        <v>39</v>
      </c>
      <c r="AF1343" s="207" t="s">
        <v>39</v>
      </c>
      <c r="AG1343" s="22"/>
      <c r="AH1343" s="22"/>
      <c r="AI1343" s="22"/>
      <c r="AJ1343" s="22"/>
      <c r="AK1343" s="22"/>
      <c r="AL1343" s="22"/>
      <c r="AM1343" s="22"/>
      <c r="AN1343" s="22"/>
      <c r="AO1343" s="22"/>
      <c r="AP1343" s="22"/>
    </row>
    <row r="1344" ht="15.75" customHeight="1">
      <c r="A1344" s="103">
        <v>1.1963748E7</v>
      </c>
      <c r="B1344" s="84">
        <v>9.000493301E9</v>
      </c>
      <c r="C1344" s="11">
        <v>45993.0</v>
      </c>
      <c r="D1344" s="84">
        <v>26.0</v>
      </c>
      <c r="E1344" s="84">
        <v>33139.0</v>
      </c>
      <c r="F1344" s="103" t="s">
        <v>31</v>
      </c>
      <c r="G1344" s="84" t="s">
        <v>44</v>
      </c>
      <c r="H1344" s="84" t="s">
        <v>2080</v>
      </c>
      <c r="I1344" s="84" t="s">
        <v>2081</v>
      </c>
      <c r="J1344" s="238" t="s">
        <v>2082</v>
      </c>
      <c r="K1344" s="238" t="s">
        <v>2083</v>
      </c>
      <c r="L1344" s="98" t="s">
        <v>114</v>
      </c>
      <c r="M1344" s="84" t="s">
        <v>2106</v>
      </c>
      <c r="N1344" s="133">
        <v>3475.0</v>
      </c>
      <c r="O1344" s="73">
        <f t="shared" si="27"/>
        <v>0.5050359712</v>
      </c>
      <c r="P1344" s="98">
        <v>1755.0</v>
      </c>
      <c r="Q1344" s="84" t="s">
        <v>39</v>
      </c>
      <c r="R1344" s="84">
        <v>1742355.0</v>
      </c>
      <c r="S1344" s="84" t="s">
        <v>40</v>
      </c>
      <c r="T1344" s="90">
        <v>7838397.0</v>
      </c>
      <c r="U1344" s="214">
        <v>45993.430555555555</v>
      </c>
      <c r="V1344" s="214">
        <v>45993.63888888889</v>
      </c>
      <c r="W1344" s="12"/>
      <c r="X1344" s="12"/>
      <c r="Y1344" s="214">
        <v>45994.354166666664</v>
      </c>
      <c r="Z1344" s="214">
        <v>45994.833333333336</v>
      </c>
      <c r="AA1344" s="12"/>
      <c r="AB1344" s="84">
        <v>248611.0</v>
      </c>
      <c r="AC1344" s="238" t="s">
        <v>2130</v>
      </c>
      <c r="AD1344" s="12"/>
      <c r="AE1344" s="207" t="s">
        <v>39</v>
      </c>
      <c r="AF1344" s="207" t="s">
        <v>39</v>
      </c>
      <c r="AG1344" s="22"/>
      <c r="AH1344" s="22"/>
      <c r="AI1344" s="22"/>
      <c r="AJ1344" s="22"/>
      <c r="AK1344" s="22"/>
      <c r="AL1344" s="22"/>
      <c r="AM1344" s="22"/>
      <c r="AN1344" s="22"/>
      <c r="AO1344" s="22"/>
      <c r="AP1344" s="22"/>
    </row>
    <row r="1345" ht="15.75" customHeight="1">
      <c r="A1345" s="103">
        <v>1.1973923E7</v>
      </c>
      <c r="B1345" s="84">
        <v>9.000503243E9</v>
      </c>
      <c r="C1345" s="11">
        <v>45993.0</v>
      </c>
      <c r="D1345" s="84">
        <v>28.0</v>
      </c>
      <c r="E1345" s="84">
        <v>34295.0</v>
      </c>
      <c r="F1345" s="103" t="s">
        <v>43</v>
      </c>
      <c r="G1345" s="84" t="s">
        <v>32</v>
      </c>
      <c r="H1345" s="169" t="s">
        <v>45</v>
      </c>
      <c r="I1345" s="209" t="s">
        <v>46</v>
      </c>
      <c r="J1345" s="12" t="s">
        <v>35</v>
      </c>
      <c r="K1345" s="14" t="s">
        <v>47</v>
      </c>
      <c r="L1345" s="98" t="s">
        <v>110</v>
      </c>
      <c r="M1345" s="84" t="s">
        <v>1860</v>
      </c>
      <c r="N1345" s="133">
        <v>1945.5</v>
      </c>
      <c r="O1345" s="73">
        <f t="shared" si="27"/>
        <v>0.7710100231</v>
      </c>
      <c r="P1345" s="98">
        <v>1500.0</v>
      </c>
      <c r="Q1345" s="84" t="s">
        <v>39</v>
      </c>
      <c r="R1345" s="84">
        <v>1742555.0</v>
      </c>
      <c r="S1345" s="84" t="s">
        <v>40</v>
      </c>
      <c r="T1345" s="90">
        <v>7840332.0</v>
      </c>
      <c r="U1345" s="214">
        <v>45993.5</v>
      </c>
      <c r="V1345" s="214">
        <v>45993.70138888889</v>
      </c>
      <c r="W1345" s="12"/>
      <c r="X1345" s="12"/>
      <c r="Y1345" s="214">
        <v>45994.34027777778</v>
      </c>
      <c r="Z1345" s="214">
        <v>45994.444444444445</v>
      </c>
      <c r="AA1345" s="12"/>
      <c r="AB1345" s="12"/>
      <c r="AC1345" s="12"/>
      <c r="AD1345" s="12"/>
      <c r="AE1345" s="207" t="s">
        <v>39</v>
      </c>
      <c r="AF1345" s="207" t="s">
        <v>39</v>
      </c>
      <c r="AG1345" s="22"/>
      <c r="AH1345" s="22"/>
      <c r="AI1345" s="22"/>
      <c r="AJ1345" s="22"/>
      <c r="AK1345" s="22"/>
      <c r="AL1345" s="22"/>
      <c r="AM1345" s="22"/>
      <c r="AN1345" s="22"/>
      <c r="AO1345" s="22"/>
      <c r="AP1345" s="22"/>
    </row>
    <row r="1346" ht="15.75" customHeight="1">
      <c r="A1346" s="103">
        <v>1.1973927E7</v>
      </c>
      <c r="B1346" s="84">
        <v>4.503866927E9</v>
      </c>
      <c r="C1346" s="11">
        <v>45993.0</v>
      </c>
      <c r="D1346" s="84">
        <v>15.0</v>
      </c>
      <c r="E1346" s="84">
        <v>17135.0</v>
      </c>
      <c r="F1346" s="103" t="s">
        <v>43</v>
      </c>
      <c r="G1346" s="84" t="s">
        <v>32</v>
      </c>
      <c r="H1346" s="176" t="s">
        <v>2143</v>
      </c>
      <c r="I1346" s="209" t="s">
        <v>46</v>
      </c>
      <c r="J1346" s="14" t="s">
        <v>47</v>
      </c>
      <c r="K1346" s="12" t="s">
        <v>35</v>
      </c>
      <c r="L1346" s="95" t="s">
        <v>110</v>
      </c>
      <c r="M1346" s="84" t="s">
        <v>1860</v>
      </c>
      <c r="N1346" s="133">
        <v>1945.5</v>
      </c>
      <c r="O1346" s="73">
        <f t="shared" si="27"/>
        <v>0.5654073503</v>
      </c>
      <c r="P1346" s="98">
        <v>1100.0</v>
      </c>
      <c r="Q1346" s="12"/>
      <c r="R1346" s="84">
        <v>1743270.0</v>
      </c>
      <c r="S1346" s="84" t="s">
        <v>40</v>
      </c>
      <c r="T1346" s="90">
        <v>7847386.0</v>
      </c>
      <c r="U1346" s="214">
        <v>45994.444444444445</v>
      </c>
      <c r="V1346" s="214">
        <v>45994.444444444445</v>
      </c>
      <c r="W1346" s="12"/>
      <c r="X1346" s="12"/>
      <c r="Y1346" s="214">
        <v>45994.60763888889</v>
      </c>
      <c r="Z1346" s="214">
        <v>45995.913194444445</v>
      </c>
      <c r="AA1346" s="12"/>
      <c r="AB1346" s="84">
        <v>251585.0</v>
      </c>
      <c r="AC1346" s="84" t="s">
        <v>2023</v>
      </c>
      <c r="AD1346" s="12"/>
      <c r="AE1346" s="207" t="s">
        <v>39</v>
      </c>
      <c r="AF1346" s="207" t="s">
        <v>39</v>
      </c>
      <c r="AG1346" s="22"/>
      <c r="AH1346" s="22"/>
      <c r="AI1346" s="22"/>
      <c r="AJ1346" s="22"/>
      <c r="AK1346" s="22"/>
      <c r="AL1346" s="22"/>
      <c r="AM1346" s="22"/>
      <c r="AN1346" s="22"/>
      <c r="AO1346" s="22"/>
      <c r="AP1346" s="22"/>
    </row>
    <row r="1347" ht="15.75" customHeight="1">
      <c r="A1347" s="103">
        <v>1.197392E7</v>
      </c>
      <c r="B1347" s="84">
        <v>9.000503238E9</v>
      </c>
      <c r="C1347" s="11">
        <v>45994.0</v>
      </c>
      <c r="D1347" s="84">
        <v>28.0</v>
      </c>
      <c r="E1347" s="84">
        <v>34058.0</v>
      </c>
      <c r="F1347" s="103" t="s">
        <v>31</v>
      </c>
      <c r="G1347" s="84" t="s">
        <v>32</v>
      </c>
      <c r="H1347" s="169" t="s">
        <v>45</v>
      </c>
      <c r="I1347" s="209" t="s">
        <v>46</v>
      </c>
      <c r="J1347" s="12" t="s">
        <v>35</v>
      </c>
      <c r="K1347" s="14" t="s">
        <v>47</v>
      </c>
      <c r="L1347" s="244" t="s">
        <v>108</v>
      </c>
      <c r="M1347" s="216" t="s">
        <v>2144</v>
      </c>
      <c r="N1347" s="133">
        <v>2545.0</v>
      </c>
      <c r="O1347" s="73">
        <f t="shared" si="27"/>
        <v>0.5893909627</v>
      </c>
      <c r="P1347" s="98">
        <v>1500.0</v>
      </c>
      <c r="Q1347" s="84" t="s">
        <v>39</v>
      </c>
      <c r="R1347" s="84">
        <v>1743288.0</v>
      </c>
      <c r="S1347" s="84" t="s">
        <v>40</v>
      </c>
      <c r="T1347" s="90">
        <v>7848517.0</v>
      </c>
      <c r="U1347" s="214">
        <v>45994.489583333336</v>
      </c>
      <c r="V1347" s="214">
        <v>45994.78125</v>
      </c>
      <c r="W1347" s="12"/>
      <c r="X1347" s="12"/>
      <c r="Y1347" s="214">
        <v>45995.416666666664</v>
      </c>
      <c r="Z1347" s="214">
        <v>45995.65972222222</v>
      </c>
      <c r="AA1347" s="12"/>
      <c r="AB1347" s="12"/>
      <c r="AC1347" s="238" t="s">
        <v>2133</v>
      </c>
      <c r="AD1347" s="12"/>
      <c r="AE1347" s="207" t="s">
        <v>39</v>
      </c>
      <c r="AF1347" s="207" t="s">
        <v>39</v>
      </c>
      <c r="AG1347" s="22"/>
      <c r="AH1347" s="22"/>
      <c r="AI1347" s="22"/>
      <c r="AJ1347" s="22"/>
      <c r="AK1347" s="22"/>
      <c r="AL1347" s="22"/>
      <c r="AM1347" s="22"/>
      <c r="AN1347" s="22"/>
      <c r="AO1347" s="22"/>
      <c r="AP1347" s="22"/>
    </row>
    <row r="1348" ht="15.75" customHeight="1">
      <c r="A1348" s="103">
        <v>1.1986924E7</v>
      </c>
      <c r="B1348" s="84">
        <v>9.000519441E9</v>
      </c>
      <c r="C1348" s="11">
        <v>45994.0</v>
      </c>
      <c r="D1348" s="84">
        <v>1.0</v>
      </c>
      <c r="E1348" s="84">
        <v>37.0</v>
      </c>
      <c r="F1348" s="103" t="s">
        <v>43</v>
      </c>
      <c r="G1348" s="84" t="s">
        <v>32</v>
      </c>
      <c r="H1348" s="169" t="s">
        <v>45</v>
      </c>
      <c r="I1348" s="209" t="s">
        <v>46</v>
      </c>
      <c r="J1348" s="14" t="s">
        <v>47</v>
      </c>
      <c r="K1348" s="12" t="s">
        <v>35</v>
      </c>
      <c r="L1348" s="98"/>
      <c r="M1348" s="84" t="s">
        <v>2144</v>
      </c>
      <c r="N1348" s="133">
        <v>1596.0</v>
      </c>
      <c r="O1348" s="73">
        <f t="shared" si="27"/>
        <v>0.6892230576</v>
      </c>
      <c r="P1348" s="98">
        <v>1100.0</v>
      </c>
      <c r="Q1348" s="84"/>
      <c r="R1348" s="84">
        <v>1744263.0</v>
      </c>
      <c r="S1348" s="84" t="s">
        <v>40</v>
      </c>
      <c r="T1348" s="90">
        <v>7858862.0</v>
      </c>
      <c r="U1348" s="214">
        <v>45995.65972222222</v>
      </c>
      <c r="V1348" s="214">
        <v>45995.65972222222</v>
      </c>
      <c r="W1348" s="12"/>
      <c r="X1348" s="12"/>
      <c r="Y1348" s="214">
        <v>45996.368055555555</v>
      </c>
      <c r="Z1348" s="214">
        <v>45997.375</v>
      </c>
      <c r="AA1348" s="12"/>
      <c r="AB1348" s="84"/>
      <c r="AC1348" s="12"/>
      <c r="AD1348" s="12"/>
      <c r="AE1348" s="207" t="s">
        <v>39</v>
      </c>
      <c r="AF1348" s="207" t="s">
        <v>39</v>
      </c>
      <c r="AG1348" s="22"/>
      <c r="AH1348" s="22"/>
      <c r="AI1348" s="22"/>
      <c r="AJ1348" s="22"/>
      <c r="AK1348" s="22"/>
      <c r="AL1348" s="22"/>
      <c r="AM1348" s="22"/>
      <c r="AN1348" s="22"/>
      <c r="AO1348" s="22"/>
      <c r="AP1348" s="22"/>
    </row>
    <row r="1349" ht="15.75" customHeight="1">
      <c r="A1349" s="103">
        <v>1.1973919E7</v>
      </c>
      <c r="B1349" s="84">
        <v>9.000503109E9</v>
      </c>
      <c r="C1349" s="11">
        <v>45994.0</v>
      </c>
      <c r="D1349" s="84">
        <v>28.0</v>
      </c>
      <c r="E1349" s="84">
        <v>34058.0</v>
      </c>
      <c r="F1349" s="103" t="s">
        <v>31</v>
      </c>
      <c r="G1349" s="84" t="s">
        <v>32</v>
      </c>
      <c r="H1349" s="169" t="s">
        <v>45</v>
      </c>
      <c r="I1349" s="209" t="s">
        <v>46</v>
      </c>
      <c r="J1349" s="12" t="s">
        <v>35</v>
      </c>
      <c r="K1349" s="14" t="s">
        <v>47</v>
      </c>
      <c r="L1349" s="98" t="s">
        <v>108</v>
      </c>
      <c r="M1349" s="84" t="s">
        <v>1985</v>
      </c>
      <c r="N1349" s="133">
        <v>2545.0</v>
      </c>
      <c r="O1349" s="73">
        <f t="shared" si="27"/>
        <v>0.6876227898</v>
      </c>
      <c r="P1349" s="98">
        <v>1750.0</v>
      </c>
      <c r="Q1349" s="84" t="s">
        <v>39</v>
      </c>
      <c r="R1349" s="84">
        <v>1743453.0</v>
      </c>
      <c r="S1349" s="84" t="s">
        <v>40</v>
      </c>
      <c r="T1349" s="90">
        <v>7849787.0</v>
      </c>
      <c r="U1349" s="214">
        <v>45995.819444444445</v>
      </c>
      <c r="V1349" s="214">
        <v>45996.010416666664</v>
      </c>
      <c r="W1349" s="12"/>
      <c r="X1349" s="12"/>
      <c r="Y1349" s="214">
        <v>45995.614583333336</v>
      </c>
      <c r="Z1349" s="214">
        <v>45995.8125</v>
      </c>
      <c r="AA1349" s="12"/>
      <c r="AB1349" s="84">
        <v>251972.0</v>
      </c>
      <c r="AC1349" s="84" t="s">
        <v>2059</v>
      </c>
      <c r="AD1349" s="12"/>
      <c r="AE1349" s="207" t="s">
        <v>39</v>
      </c>
      <c r="AF1349" s="207" t="s">
        <v>39</v>
      </c>
      <c r="AG1349" s="22"/>
      <c r="AH1349" s="22"/>
      <c r="AI1349" s="22"/>
      <c r="AJ1349" s="22"/>
      <c r="AK1349" s="22"/>
      <c r="AL1349" s="22"/>
      <c r="AM1349" s="22"/>
      <c r="AN1349" s="22"/>
      <c r="AO1349" s="22"/>
      <c r="AP1349" s="22"/>
    </row>
    <row r="1350" ht="15.75" customHeight="1">
      <c r="A1350" s="191">
        <v>1.1973921E7</v>
      </c>
      <c r="B1350" s="192">
        <v>9.000503245E9</v>
      </c>
      <c r="C1350" s="11">
        <v>45995.0</v>
      </c>
      <c r="D1350" s="84">
        <v>27.0</v>
      </c>
      <c r="E1350" s="84">
        <v>34716.0</v>
      </c>
      <c r="F1350" s="103" t="s">
        <v>31</v>
      </c>
      <c r="G1350" s="84" t="s">
        <v>32</v>
      </c>
      <c r="H1350" s="169" t="s">
        <v>45</v>
      </c>
      <c r="I1350" s="209" t="s">
        <v>46</v>
      </c>
      <c r="J1350" s="12" t="s">
        <v>35</v>
      </c>
      <c r="K1350" s="14" t="s">
        <v>47</v>
      </c>
      <c r="L1350" s="98" t="s">
        <v>108</v>
      </c>
      <c r="M1350" s="84" t="s">
        <v>1945</v>
      </c>
      <c r="N1350" s="133">
        <v>2545.0</v>
      </c>
      <c r="O1350" s="73">
        <f t="shared" si="27"/>
        <v>0.5893909627</v>
      </c>
      <c r="P1350" s="98">
        <v>1500.0</v>
      </c>
      <c r="Q1350" s="84" t="s">
        <v>39</v>
      </c>
      <c r="R1350" s="84">
        <v>1744477.0</v>
      </c>
      <c r="S1350" s="84" t="s">
        <v>40</v>
      </c>
      <c r="T1350" s="90">
        <v>7861571.0</v>
      </c>
      <c r="U1350" s="214">
        <v>45995.88888888889</v>
      </c>
      <c r="V1350" s="214">
        <v>45996.041666666664</v>
      </c>
      <c r="W1350" s="12"/>
      <c r="X1350" s="241">
        <v>45999.333333333336</v>
      </c>
      <c r="Y1350" s="214">
        <v>45999.35763888889</v>
      </c>
      <c r="Z1350" s="214">
        <v>45999.541666666664</v>
      </c>
      <c r="AA1350" s="12"/>
      <c r="AB1350" s="84"/>
      <c r="AC1350" s="12"/>
      <c r="AD1350" s="12"/>
      <c r="AE1350" s="207" t="s">
        <v>39</v>
      </c>
      <c r="AF1350" s="207" t="s">
        <v>39</v>
      </c>
      <c r="AG1350" s="22"/>
      <c r="AH1350" s="22"/>
      <c r="AI1350" s="22"/>
      <c r="AJ1350" s="22"/>
      <c r="AK1350" s="22"/>
      <c r="AL1350" s="22"/>
      <c r="AM1350" s="22"/>
      <c r="AN1350" s="22"/>
      <c r="AO1350" s="22"/>
      <c r="AP1350" s="22"/>
    </row>
    <row r="1351" ht="15.75" customHeight="1">
      <c r="A1351" s="103">
        <v>1.1981985E7</v>
      </c>
      <c r="B1351" s="84">
        <v>9.000513997E9</v>
      </c>
      <c r="C1351" s="11">
        <v>45995.0</v>
      </c>
      <c r="D1351" s="84">
        <v>28.0</v>
      </c>
      <c r="E1351" s="84">
        <v>34295.0</v>
      </c>
      <c r="F1351" s="219" t="s">
        <v>43</v>
      </c>
      <c r="G1351" s="85" t="s">
        <v>44</v>
      </c>
      <c r="H1351" s="84" t="s">
        <v>1317</v>
      </c>
      <c r="I1351" s="89" t="s">
        <v>2131</v>
      </c>
      <c r="J1351" s="84" t="s">
        <v>35</v>
      </c>
      <c r="K1351" s="84" t="s">
        <v>138</v>
      </c>
      <c r="L1351" s="98" t="s">
        <v>94</v>
      </c>
      <c r="M1351" s="216" t="s">
        <v>1860</v>
      </c>
      <c r="N1351" s="133">
        <v>4863.0</v>
      </c>
      <c r="O1351" s="73">
        <f t="shared" si="27"/>
        <v>0.7197203372</v>
      </c>
      <c r="P1351" s="98">
        <v>3500.0</v>
      </c>
      <c r="Q1351" s="12"/>
      <c r="R1351" s="84">
        <v>1746333.0</v>
      </c>
      <c r="S1351" s="84" t="s">
        <v>40</v>
      </c>
      <c r="T1351" s="90">
        <v>7879302.0</v>
      </c>
      <c r="U1351" s="214">
        <v>45996.291666666664</v>
      </c>
      <c r="V1351" s="214">
        <v>45995.916666666664</v>
      </c>
      <c r="W1351" s="12"/>
      <c r="X1351" s="12"/>
      <c r="Y1351" s="214">
        <v>46000.541666666664</v>
      </c>
      <c r="Z1351" s="214">
        <v>46000.90277777778</v>
      </c>
      <c r="AA1351" s="12"/>
      <c r="AB1351" s="84"/>
      <c r="AC1351" s="12"/>
      <c r="AD1351" s="12"/>
      <c r="AE1351" s="207" t="s">
        <v>39</v>
      </c>
      <c r="AF1351" s="207" t="s">
        <v>39</v>
      </c>
      <c r="AG1351" s="22"/>
      <c r="AH1351" s="22"/>
      <c r="AI1351" s="22"/>
      <c r="AJ1351" s="22"/>
      <c r="AK1351" s="22"/>
      <c r="AL1351" s="22"/>
      <c r="AM1351" s="22"/>
      <c r="AN1351" s="22"/>
      <c r="AO1351" s="22"/>
      <c r="AP1351" s="22"/>
    </row>
    <row r="1352" ht="15.75" customHeight="1">
      <c r="A1352" s="103">
        <v>1.1981986E7</v>
      </c>
      <c r="B1352" s="84">
        <v>9.000514057E9</v>
      </c>
      <c r="C1352" s="11">
        <v>45995.0</v>
      </c>
      <c r="D1352" s="84">
        <v>15.0</v>
      </c>
      <c r="E1352" s="84">
        <v>17135.0</v>
      </c>
      <c r="F1352" s="169" t="s">
        <v>43</v>
      </c>
      <c r="G1352" s="168" t="s">
        <v>44</v>
      </c>
      <c r="H1352" s="84" t="s">
        <v>2145</v>
      </c>
      <c r="I1352" s="194" t="s">
        <v>1957</v>
      </c>
      <c r="J1352" s="84" t="s">
        <v>138</v>
      </c>
      <c r="K1352" s="84" t="s">
        <v>35</v>
      </c>
      <c r="L1352" s="98" t="s">
        <v>94</v>
      </c>
      <c r="M1352" s="84" t="s">
        <v>1860</v>
      </c>
      <c r="N1352" s="133">
        <v>4863.0</v>
      </c>
      <c r="O1352" s="73">
        <f t="shared" si="27"/>
        <v>0.4665844129</v>
      </c>
      <c r="P1352" s="98">
        <v>2269.0</v>
      </c>
      <c r="Q1352" s="12"/>
      <c r="R1352" s="84">
        <v>1747149.0</v>
      </c>
      <c r="S1352" s="84" t="s">
        <v>40</v>
      </c>
      <c r="T1352" s="90">
        <v>7889372.0</v>
      </c>
      <c r="U1352" s="214">
        <v>46000.541666666664</v>
      </c>
      <c r="V1352" s="214">
        <v>46000.90277777778</v>
      </c>
      <c r="W1352" s="12"/>
      <c r="X1352" s="12"/>
      <c r="Y1352" s="225">
        <v>46001.864583333336</v>
      </c>
      <c r="Z1352" s="214">
        <v>46003.375</v>
      </c>
      <c r="AA1352" s="12"/>
      <c r="AB1352" s="84"/>
      <c r="AC1352" s="12"/>
      <c r="AD1352" s="12"/>
      <c r="AE1352" s="207" t="s">
        <v>39</v>
      </c>
      <c r="AF1352" s="207" t="s">
        <v>39</v>
      </c>
      <c r="AG1352" s="22"/>
      <c r="AH1352" s="22"/>
      <c r="AI1352" s="22"/>
      <c r="AJ1352" s="22"/>
      <c r="AK1352" s="22"/>
      <c r="AL1352" s="22"/>
      <c r="AM1352" s="22"/>
      <c r="AN1352" s="22"/>
      <c r="AO1352" s="22"/>
      <c r="AP1352" s="22"/>
    </row>
    <row r="1353" ht="15.75" customHeight="1">
      <c r="A1353" s="191">
        <v>1.1975786E7</v>
      </c>
      <c r="B1353" s="192">
        <v>9.000505743E9</v>
      </c>
      <c r="C1353" s="11">
        <v>45995.0</v>
      </c>
      <c r="D1353" s="84">
        <v>26.0</v>
      </c>
      <c r="E1353" s="84">
        <v>33139.0</v>
      </c>
      <c r="F1353" s="103" t="s">
        <v>31</v>
      </c>
      <c r="G1353" s="84" t="s">
        <v>44</v>
      </c>
      <c r="H1353" s="84" t="s">
        <v>2080</v>
      </c>
      <c r="I1353" s="84" t="s">
        <v>2081</v>
      </c>
      <c r="J1353" s="238" t="s">
        <v>2082</v>
      </c>
      <c r="K1353" s="238" t="s">
        <v>2083</v>
      </c>
      <c r="L1353" s="98" t="s">
        <v>114</v>
      </c>
      <c r="M1353" s="84" t="s">
        <v>2146</v>
      </c>
      <c r="N1353" s="133">
        <v>3475.0</v>
      </c>
      <c r="O1353" s="73">
        <f t="shared" si="27"/>
        <v>0.7</v>
      </c>
      <c r="P1353" s="98">
        <v>2432.5</v>
      </c>
      <c r="Q1353" s="84" t="s">
        <v>39</v>
      </c>
      <c r="R1353" s="84">
        <v>1743695.0</v>
      </c>
      <c r="S1353" s="84" t="s">
        <v>40</v>
      </c>
      <c r="T1353" s="90">
        <v>7853139.0</v>
      </c>
      <c r="U1353" s="214">
        <v>45995.65277777778</v>
      </c>
      <c r="V1353" s="214">
        <v>45995.82986111111</v>
      </c>
      <c r="W1353" s="12"/>
      <c r="X1353" s="12"/>
      <c r="Y1353" s="214">
        <v>45996.45486111111</v>
      </c>
      <c r="Z1353" s="214">
        <v>45999.541666666664</v>
      </c>
      <c r="AA1353" s="12"/>
      <c r="AB1353" s="84">
        <v>254667.0</v>
      </c>
      <c r="AC1353" s="84" t="s">
        <v>2147</v>
      </c>
      <c r="AD1353" s="12"/>
      <c r="AE1353" s="207" t="s">
        <v>39</v>
      </c>
      <c r="AF1353" s="207" t="s">
        <v>39</v>
      </c>
      <c r="AG1353" s="22"/>
      <c r="AH1353" s="22"/>
      <c r="AI1353" s="22"/>
      <c r="AJ1353" s="22"/>
      <c r="AK1353" s="22"/>
      <c r="AL1353" s="22"/>
      <c r="AM1353" s="22"/>
      <c r="AN1353" s="22"/>
      <c r="AO1353" s="22"/>
      <c r="AP1353" s="22"/>
    </row>
    <row r="1354" ht="15.75" customHeight="1">
      <c r="A1354" s="191">
        <v>1.1975789E7</v>
      </c>
      <c r="B1354" s="192">
        <v>9.000505629E9</v>
      </c>
      <c r="C1354" s="11">
        <v>45995.0</v>
      </c>
      <c r="D1354" s="84">
        <v>26.0</v>
      </c>
      <c r="E1354" s="84">
        <v>33139.0</v>
      </c>
      <c r="F1354" s="103" t="s">
        <v>31</v>
      </c>
      <c r="G1354" s="84" t="s">
        <v>44</v>
      </c>
      <c r="H1354" s="84" t="s">
        <v>2080</v>
      </c>
      <c r="I1354" s="84" t="s">
        <v>2081</v>
      </c>
      <c r="J1354" s="238" t="s">
        <v>2082</v>
      </c>
      <c r="K1354" s="238" t="s">
        <v>2083</v>
      </c>
      <c r="L1354" s="98" t="s">
        <v>114</v>
      </c>
      <c r="M1354" s="84" t="s">
        <v>2106</v>
      </c>
      <c r="N1354" s="133">
        <v>3475.0</v>
      </c>
      <c r="O1354" s="73">
        <f t="shared" si="27"/>
        <v>0.5050359712</v>
      </c>
      <c r="P1354" s="98">
        <v>1755.0</v>
      </c>
      <c r="Q1354" s="84" t="s">
        <v>39</v>
      </c>
      <c r="R1354" s="84">
        <v>1744266.0</v>
      </c>
      <c r="S1354" s="84" t="s">
        <v>40</v>
      </c>
      <c r="T1354" s="90">
        <v>7858891.0</v>
      </c>
      <c r="U1354" s="214">
        <v>45995.63888888889</v>
      </c>
      <c r="V1354" s="214">
        <v>45995.822916666664</v>
      </c>
      <c r="W1354" s="12"/>
      <c r="X1354" s="12"/>
      <c r="Y1354" s="214">
        <v>45996.45486111111</v>
      </c>
      <c r="Z1354" s="214">
        <v>45999.541666666664</v>
      </c>
      <c r="AA1354" s="12"/>
      <c r="AB1354" s="84">
        <v>254694.0</v>
      </c>
      <c r="AC1354" s="84" t="s">
        <v>2148</v>
      </c>
      <c r="AD1354" s="12"/>
      <c r="AE1354" s="207" t="s">
        <v>39</v>
      </c>
      <c r="AF1354" s="207" t="s">
        <v>39</v>
      </c>
      <c r="AG1354" s="22"/>
      <c r="AH1354" s="22"/>
      <c r="AI1354" s="22"/>
      <c r="AJ1354" s="22"/>
      <c r="AK1354" s="22"/>
      <c r="AL1354" s="22"/>
      <c r="AM1354" s="22"/>
      <c r="AN1354" s="22"/>
      <c r="AO1354" s="22"/>
      <c r="AP1354" s="22"/>
    </row>
    <row r="1355" ht="15.75" customHeight="1">
      <c r="A1355" s="103">
        <v>1.1979654E7</v>
      </c>
      <c r="B1355" s="84">
        <v>9.000511214E9</v>
      </c>
      <c r="C1355" s="11">
        <v>45996.0</v>
      </c>
      <c r="D1355" s="84">
        <v>26.0</v>
      </c>
      <c r="E1355" s="84">
        <v>31197.0</v>
      </c>
      <c r="F1355" s="103" t="s">
        <v>43</v>
      </c>
      <c r="G1355" s="84" t="s">
        <v>44</v>
      </c>
      <c r="H1355" s="29" t="s">
        <v>104</v>
      </c>
      <c r="I1355" s="85" t="s">
        <v>2149</v>
      </c>
      <c r="J1355" s="25" t="s">
        <v>35</v>
      </c>
      <c r="K1355" s="39" t="s">
        <v>106</v>
      </c>
      <c r="L1355" s="95" t="s">
        <v>59</v>
      </c>
      <c r="M1355" s="84" t="s">
        <v>1985</v>
      </c>
      <c r="N1355" s="133">
        <v>3812.0</v>
      </c>
      <c r="O1355" s="73">
        <f t="shared" si="27"/>
        <v>0.7607555089</v>
      </c>
      <c r="P1355" s="98">
        <v>2900.0</v>
      </c>
      <c r="Q1355" s="84" t="s">
        <v>39</v>
      </c>
      <c r="R1355" s="84">
        <v>1744478.0</v>
      </c>
      <c r="S1355" s="84" t="s">
        <v>40</v>
      </c>
      <c r="T1355" s="90">
        <v>7861598.0</v>
      </c>
      <c r="U1355" s="214">
        <v>45996.555555555555</v>
      </c>
      <c r="V1355" s="214">
        <v>45997.49652777778</v>
      </c>
      <c r="W1355" s="12"/>
      <c r="X1355" s="12"/>
      <c r="Y1355" s="214">
        <v>46000.23263888889</v>
      </c>
      <c r="Z1355" s="214">
        <v>46000.604166666664</v>
      </c>
      <c r="AA1355" s="12"/>
      <c r="AB1355" s="12"/>
      <c r="AC1355" s="12"/>
      <c r="AD1355" s="12"/>
      <c r="AE1355" s="207" t="s">
        <v>39</v>
      </c>
      <c r="AF1355" s="207" t="s">
        <v>39</v>
      </c>
      <c r="AG1355" s="22"/>
      <c r="AH1355" s="22"/>
      <c r="AI1355" s="22"/>
      <c r="AJ1355" s="22"/>
      <c r="AK1355" s="22"/>
      <c r="AL1355" s="22"/>
      <c r="AM1355" s="22"/>
      <c r="AN1355" s="22"/>
      <c r="AO1355" s="22"/>
      <c r="AP1355" s="22"/>
    </row>
    <row r="1356" ht="15.75" customHeight="1">
      <c r="A1356" s="103">
        <v>1.1979655E7</v>
      </c>
      <c r="B1356" s="84">
        <v>9.000511043E9</v>
      </c>
      <c r="C1356" s="11">
        <v>45996.0</v>
      </c>
      <c r="D1356" s="84">
        <v>15.0</v>
      </c>
      <c r="E1356" s="84">
        <v>10810.0</v>
      </c>
      <c r="F1356" s="103" t="s">
        <v>43</v>
      </c>
      <c r="G1356" s="84" t="s">
        <v>44</v>
      </c>
      <c r="H1356" s="85" t="s">
        <v>2150</v>
      </c>
      <c r="I1356" s="85" t="s">
        <v>2149</v>
      </c>
      <c r="J1356" s="39" t="s">
        <v>106</v>
      </c>
      <c r="K1356" s="25" t="s">
        <v>35</v>
      </c>
      <c r="L1356" s="95" t="s">
        <v>121</v>
      </c>
      <c r="M1356" s="84" t="s">
        <v>1985</v>
      </c>
      <c r="N1356" s="133">
        <v>3812.0</v>
      </c>
      <c r="O1356" s="73">
        <f t="shared" si="27"/>
        <v>0.4664218258</v>
      </c>
      <c r="P1356" s="98">
        <v>1778.0</v>
      </c>
      <c r="Q1356" s="12"/>
      <c r="R1356" s="84">
        <v>1747236.0</v>
      </c>
      <c r="S1356" s="84" t="s">
        <v>40</v>
      </c>
      <c r="T1356" s="90">
        <v>7890009.0</v>
      </c>
      <c r="U1356" s="214">
        <v>46000.604166666664</v>
      </c>
      <c r="V1356" s="214">
        <v>46000.604166666664</v>
      </c>
      <c r="W1356" s="12"/>
      <c r="X1356" s="12"/>
      <c r="Y1356" s="225">
        <v>46001.604166666664</v>
      </c>
      <c r="Z1356" s="214">
        <v>46002.03125</v>
      </c>
      <c r="AA1356" s="12"/>
      <c r="AB1356" s="12"/>
      <c r="AC1356" s="12"/>
      <c r="AD1356" s="12"/>
      <c r="AE1356" s="207" t="s">
        <v>39</v>
      </c>
      <c r="AF1356" s="207" t="s">
        <v>39</v>
      </c>
      <c r="AG1356" s="22"/>
      <c r="AH1356" s="22"/>
      <c r="AI1356" s="22"/>
      <c r="AJ1356" s="22"/>
      <c r="AK1356" s="22"/>
      <c r="AL1356" s="22"/>
      <c r="AM1356" s="22"/>
      <c r="AN1356" s="22"/>
      <c r="AO1356" s="22"/>
      <c r="AP1356" s="22"/>
    </row>
    <row r="1357" ht="15.75" customHeight="1">
      <c r="A1357" s="103">
        <v>1.1975485E7</v>
      </c>
      <c r="B1357" s="84">
        <v>9.000505218E9</v>
      </c>
      <c r="C1357" s="11">
        <v>45997.0</v>
      </c>
      <c r="D1357" s="84">
        <v>28.0</v>
      </c>
      <c r="E1357" s="84">
        <v>34058.0</v>
      </c>
      <c r="F1357" s="103" t="s">
        <v>31</v>
      </c>
      <c r="G1357" s="84" t="s">
        <v>32</v>
      </c>
      <c r="H1357" s="12" t="s">
        <v>111</v>
      </c>
      <c r="I1357" s="25" t="s">
        <v>112</v>
      </c>
      <c r="J1357" s="12" t="s">
        <v>35</v>
      </c>
      <c r="K1357" s="12" t="s">
        <v>113</v>
      </c>
      <c r="L1357" s="246" t="s">
        <v>114</v>
      </c>
      <c r="M1357" s="84" t="s">
        <v>1974</v>
      </c>
      <c r="N1357" s="133">
        <v>5323.0</v>
      </c>
      <c r="O1357" s="73">
        <f t="shared" si="27"/>
        <v>0.6575239527</v>
      </c>
      <c r="P1357" s="98">
        <v>3500.0</v>
      </c>
      <c r="Q1357" s="84" t="s">
        <v>39</v>
      </c>
      <c r="R1357" s="84">
        <v>1745184.0</v>
      </c>
      <c r="S1357" s="84" t="s">
        <v>40</v>
      </c>
      <c r="T1357" s="90">
        <v>7869954.0</v>
      </c>
      <c r="U1357" s="214">
        <v>45997.21875</v>
      </c>
      <c r="V1357" s="214">
        <v>45997.21875</v>
      </c>
      <c r="W1357" s="12"/>
      <c r="X1357" s="12"/>
      <c r="Y1357" s="225">
        <v>46001.756944444445</v>
      </c>
      <c r="Z1357" s="214">
        <v>46002.625</v>
      </c>
      <c r="AA1357" s="12"/>
      <c r="AB1357" s="84">
        <v>267162.0</v>
      </c>
      <c r="AC1357" s="238" t="s">
        <v>2151</v>
      </c>
      <c r="AD1357" s="12"/>
      <c r="AE1357" s="207" t="s">
        <v>39</v>
      </c>
      <c r="AF1357" s="207" t="s">
        <v>39</v>
      </c>
      <c r="AG1357" s="22"/>
      <c r="AH1357" s="22"/>
      <c r="AI1357" s="22"/>
      <c r="AJ1357" s="22"/>
      <c r="AK1357" s="22"/>
      <c r="AL1357" s="22"/>
      <c r="AM1357" s="22"/>
      <c r="AN1357" s="22"/>
      <c r="AO1357" s="22"/>
      <c r="AP1357" s="22"/>
    </row>
    <row r="1358" ht="15.75" customHeight="1">
      <c r="A1358" s="103">
        <v>1.1973924E7</v>
      </c>
      <c r="B1358" s="84">
        <v>9.000503233E9</v>
      </c>
      <c r="C1358" s="11">
        <v>45997.0</v>
      </c>
      <c r="D1358" s="84">
        <v>27.0</v>
      </c>
      <c r="E1358" s="84">
        <v>34716.0</v>
      </c>
      <c r="F1358" s="103" t="s">
        <v>31</v>
      </c>
      <c r="G1358" s="84" t="s">
        <v>32</v>
      </c>
      <c r="H1358" s="169" t="s">
        <v>45</v>
      </c>
      <c r="I1358" s="209" t="s">
        <v>46</v>
      </c>
      <c r="J1358" s="12" t="s">
        <v>35</v>
      </c>
      <c r="K1358" s="14" t="s">
        <v>47</v>
      </c>
      <c r="L1358" s="98" t="s">
        <v>108</v>
      </c>
      <c r="M1358" s="84" t="s">
        <v>2144</v>
      </c>
      <c r="N1358" s="133">
        <v>2545.0</v>
      </c>
      <c r="O1358" s="73">
        <f t="shared" si="27"/>
        <v>0.5893909627</v>
      </c>
      <c r="P1358" s="98">
        <v>1500.0</v>
      </c>
      <c r="Q1358" s="84" t="s">
        <v>39</v>
      </c>
      <c r="R1358" s="84">
        <v>1745187.0</v>
      </c>
      <c r="S1358" s="84" t="s">
        <v>40</v>
      </c>
      <c r="T1358" s="90">
        <v>7869985.0</v>
      </c>
      <c r="U1358" s="214">
        <v>45997.375</v>
      </c>
      <c r="V1358" s="214">
        <v>45997.375</v>
      </c>
      <c r="W1358" s="12"/>
      <c r="X1358" s="241">
        <v>45999.458333333336</v>
      </c>
      <c r="Y1358" s="214">
        <v>45999.46527777778</v>
      </c>
      <c r="Z1358" s="214">
        <v>45999.666666666664</v>
      </c>
      <c r="AA1358" s="12"/>
      <c r="AB1358" s="12"/>
      <c r="AC1358" s="12"/>
      <c r="AD1358" s="12"/>
      <c r="AE1358" s="207" t="s">
        <v>39</v>
      </c>
      <c r="AF1358" s="207" t="s">
        <v>39</v>
      </c>
      <c r="AG1358" s="22"/>
      <c r="AH1358" s="22"/>
      <c r="AI1358" s="22"/>
      <c r="AJ1358" s="22"/>
      <c r="AK1358" s="22"/>
      <c r="AL1358" s="22"/>
      <c r="AM1358" s="22"/>
      <c r="AN1358" s="22"/>
      <c r="AO1358" s="22"/>
      <c r="AP1358" s="22"/>
    </row>
    <row r="1359" ht="15.75" customHeight="1">
      <c r="A1359" s="103">
        <v>1.1976042E7</v>
      </c>
      <c r="B1359" s="84">
        <v>9.00050566E9</v>
      </c>
      <c r="C1359" s="11">
        <v>45997.0</v>
      </c>
      <c r="D1359" s="84">
        <v>28.0</v>
      </c>
      <c r="E1359" s="84">
        <v>34378.0</v>
      </c>
      <c r="F1359" s="84" t="s">
        <v>31</v>
      </c>
      <c r="G1359" s="85" t="s">
        <v>44</v>
      </c>
      <c r="H1359" s="84" t="s">
        <v>1317</v>
      </c>
      <c r="I1359" s="89" t="s">
        <v>2131</v>
      </c>
      <c r="J1359" s="84" t="s">
        <v>35</v>
      </c>
      <c r="K1359" s="84" t="s">
        <v>138</v>
      </c>
      <c r="L1359" s="98" t="s">
        <v>94</v>
      </c>
      <c r="M1359" s="84" t="s">
        <v>2152</v>
      </c>
      <c r="N1359" s="133">
        <v>5760.0</v>
      </c>
      <c r="O1359" s="73">
        <f t="shared" si="27"/>
        <v>0.6944444444</v>
      </c>
      <c r="P1359" s="98">
        <v>4000.0</v>
      </c>
      <c r="Q1359" s="84" t="s">
        <v>39</v>
      </c>
      <c r="R1359" s="84">
        <v>1745190.0</v>
      </c>
      <c r="S1359" s="84" t="s">
        <v>40</v>
      </c>
      <c r="T1359" s="90">
        <v>7869997.0</v>
      </c>
      <c r="U1359" s="214">
        <v>45997.385416666664</v>
      </c>
      <c r="V1359" s="214">
        <v>45998.475694444445</v>
      </c>
      <c r="W1359" s="12"/>
      <c r="X1359" s="12"/>
      <c r="Y1359" s="214">
        <v>46001.5625</v>
      </c>
      <c r="Z1359" s="214">
        <v>46002.5</v>
      </c>
      <c r="AA1359" s="12"/>
      <c r="AB1359" s="84">
        <v>266351.0</v>
      </c>
      <c r="AC1359" s="84" t="s">
        <v>2151</v>
      </c>
      <c r="AD1359" s="12"/>
      <c r="AE1359" s="207" t="s">
        <v>39</v>
      </c>
      <c r="AF1359" s="207" t="s">
        <v>39</v>
      </c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</row>
    <row r="1360" ht="15.75" customHeight="1">
      <c r="A1360" s="103">
        <v>1.1975787E7</v>
      </c>
      <c r="B1360" s="84">
        <v>9.000505693E9</v>
      </c>
      <c r="C1360" s="11">
        <v>45997.0</v>
      </c>
      <c r="D1360" s="84">
        <v>26.0</v>
      </c>
      <c r="E1360" s="84">
        <v>33139.0</v>
      </c>
      <c r="F1360" s="103" t="s">
        <v>31</v>
      </c>
      <c r="G1360" s="84" t="s">
        <v>44</v>
      </c>
      <c r="H1360" s="84" t="s">
        <v>2080</v>
      </c>
      <c r="I1360" s="84" t="s">
        <v>2081</v>
      </c>
      <c r="J1360" s="238" t="s">
        <v>2082</v>
      </c>
      <c r="K1360" s="238" t="s">
        <v>2083</v>
      </c>
      <c r="L1360" s="98" t="s">
        <v>114</v>
      </c>
      <c r="M1360" s="84" t="s">
        <v>2106</v>
      </c>
      <c r="N1360" s="133">
        <v>3475.0</v>
      </c>
      <c r="O1360" s="73">
        <f t="shared" si="27"/>
        <v>0.6667625899</v>
      </c>
      <c r="P1360" s="98">
        <v>2317.0</v>
      </c>
      <c r="Q1360" s="12"/>
      <c r="R1360" s="84">
        <v>1746691.0</v>
      </c>
      <c r="S1360" s="84" t="s">
        <v>40</v>
      </c>
      <c r="T1360" s="90">
        <v>7883399.0</v>
      </c>
      <c r="U1360" s="214">
        <v>45999.756944444445</v>
      </c>
      <c r="V1360" s="214">
        <v>45999.930555555555</v>
      </c>
      <c r="W1360" s="12"/>
      <c r="X1360" s="12"/>
      <c r="Y1360" s="214">
        <v>46000.54861111111</v>
      </c>
      <c r="Z1360" s="84" t="s">
        <v>2153</v>
      </c>
      <c r="AA1360" s="12"/>
      <c r="AB1360" s="84">
        <v>262179.0</v>
      </c>
      <c r="AC1360" s="84" t="s">
        <v>2147</v>
      </c>
      <c r="AD1360" s="12"/>
      <c r="AE1360" s="207" t="s">
        <v>39</v>
      </c>
      <c r="AF1360" s="207" t="s">
        <v>39</v>
      </c>
      <c r="AG1360" s="22"/>
      <c r="AH1360" s="22"/>
      <c r="AI1360" s="22"/>
      <c r="AJ1360" s="22"/>
      <c r="AK1360" s="22"/>
      <c r="AL1360" s="22"/>
      <c r="AM1360" s="22"/>
      <c r="AN1360" s="22"/>
      <c r="AO1360" s="22"/>
      <c r="AP1360" s="22"/>
    </row>
    <row r="1361" ht="15.75" customHeight="1">
      <c r="A1361" s="103">
        <v>1.1975788E7</v>
      </c>
      <c r="B1361" s="84">
        <v>9.000505641E9</v>
      </c>
      <c r="C1361" s="11">
        <v>45997.0</v>
      </c>
      <c r="D1361" s="84">
        <v>26.0</v>
      </c>
      <c r="E1361" s="84">
        <v>33139.0</v>
      </c>
      <c r="F1361" s="103" t="s">
        <v>31</v>
      </c>
      <c r="G1361" s="84" t="s">
        <v>44</v>
      </c>
      <c r="H1361" s="84" t="s">
        <v>2080</v>
      </c>
      <c r="I1361" s="84" t="s">
        <v>2081</v>
      </c>
      <c r="J1361" s="238" t="s">
        <v>2082</v>
      </c>
      <c r="K1361" s="238" t="s">
        <v>2083</v>
      </c>
      <c r="L1361" s="98" t="s">
        <v>114</v>
      </c>
      <c r="M1361" s="84" t="s">
        <v>2146</v>
      </c>
      <c r="N1361" s="133">
        <v>3475.0</v>
      </c>
      <c r="O1361" s="73">
        <f t="shared" si="27"/>
        <v>0.6667625899</v>
      </c>
      <c r="P1361" s="98">
        <v>2317.0</v>
      </c>
      <c r="Q1361" s="12"/>
      <c r="R1361" s="84">
        <v>1746700.0</v>
      </c>
      <c r="S1361" s="84" t="s">
        <v>40</v>
      </c>
      <c r="T1361" s="90">
        <v>7883531.0</v>
      </c>
      <c r="U1361" s="214">
        <v>45999.90625</v>
      </c>
      <c r="V1361" s="214">
        <v>45999.916666666664</v>
      </c>
      <c r="W1361" s="12"/>
      <c r="X1361" s="12"/>
      <c r="Y1361" s="214">
        <v>46000.54861111111</v>
      </c>
      <c r="Z1361" s="214">
        <v>46002.708333333336</v>
      </c>
      <c r="AA1361" s="12"/>
      <c r="AB1361" s="84">
        <v>262235.0</v>
      </c>
      <c r="AC1361" s="84" t="s">
        <v>2147</v>
      </c>
      <c r="AD1361" s="12"/>
      <c r="AE1361" s="207" t="s">
        <v>39</v>
      </c>
      <c r="AF1361" s="207" t="s">
        <v>39</v>
      </c>
      <c r="AG1361" s="22"/>
      <c r="AH1361" s="22"/>
      <c r="AI1361" s="22"/>
      <c r="AJ1361" s="22"/>
      <c r="AK1361" s="22"/>
      <c r="AL1361" s="22"/>
      <c r="AM1361" s="22"/>
      <c r="AN1361" s="22"/>
      <c r="AO1361" s="22"/>
      <c r="AP1361" s="22"/>
    </row>
    <row r="1362" ht="15.75" customHeight="1">
      <c r="A1362" s="103">
        <v>1.1973925E7</v>
      </c>
      <c r="B1362" s="84">
        <v>9.000503234E9</v>
      </c>
      <c r="C1362" s="11">
        <v>45999.0</v>
      </c>
      <c r="D1362" s="84">
        <v>28.0</v>
      </c>
      <c r="E1362" s="84">
        <v>34295.0</v>
      </c>
      <c r="F1362" s="103" t="s">
        <v>43</v>
      </c>
      <c r="G1362" s="84" t="s">
        <v>44</v>
      </c>
      <c r="H1362" s="169" t="s">
        <v>45</v>
      </c>
      <c r="I1362" s="209" t="s">
        <v>46</v>
      </c>
      <c r="J1362" s="12" t="s">
        <v>35</v>
      </c>
      <c r="K1362" s="14" t="s">
        <v>47</v>
      </c>
      <c r="L1362" s="98" t="s">
        <v>108</v>
      </c>
      <c r="M1362" s="84" t="s">
        <v>2144</v>
      </c>
      <c r="N1362" s="133">
        <v>1946.5</v>
      </c>
      <c r="O1362" s="73">
        <f t="shared" si="27"/>
        <v>0.7706139224</v>
      </c>
      <c r="P1362" s="98">
        <v>1500.0</v>
      </c>
      <c r="Q1362" s="12"/>
      <c r="R1362" s="84">
        <v>1746705.0</v>
      </c>
      <c r="S1362" s="84" t="s">
        <v>40</v>
      </c>
      <c r="T1362" s="90">
        <v>7883666.0</v>
      </c>
      <c r="U1362" s="214">
        <v>45999.791666666664</v>
      </c>
      <c r="V1362" s="225">
        <v>46000.28472222222</v>
      </c>
      <c r="W1362" s="12"/>
      <c r="X1362" s="12"/>
      <c r="Y1362" s="12"/>
      <c r="Z1362" s="214">
        <v>46000.708333333336</v>
      </c>
      <c r="AA1362" s="12"/>
      <c r="AB1362" s="12"/>
      <c r="AC1362" s="12"/>
      <c r="AD1362" s="12"/>
      <c r="AE1362" s="207" t="s">
        <v>39</v>
      </c>
      <c r="AF1362" s="12"/>
      <c r="AG1362" s="22"/>
      <c r="AH1362" s="22"/>
      <c r="AI1362" s="22"/>
      <c r="AJ1362" s="22"/>
      <c r="AK1362" s="22"/>
      <c r="AL1362" s="22"/>
      <c r="AM1362" s="22"/>
      <c r="AN1362" s="22"/>
      <c r="AO1362" s="22"/>
      <c r="AP1362" s="22"/>
    </row>
    <row r="1363" ht="15.75" customHeight="1">
      <c r="A1363" s="103">
        <v>1.1973926E7</v>
      </c>
      <c r="B1363" s="84">
        <v>9.000503117E9</v>
      </c>
      <c r="C1363" s="11">
        <v>45999.0</v>
      </c>
      <c r="D1363" s="84">
        <v>15.0</v>
      </c>
      <c r="E1363" s="84">
        <v>17135.0</v>
      </c>
      <c r="F1363" s="103" t="s">
        <v>43</v>
      </c>
      <c r="G1363" s="84" t="s">
        <v>44</v>
      </c>
      <c r="H1363" s="176" t="s">
        <v>2154</v>
      </c>
      <c r="I1363" s="194" t="s">
        <v>1957</v>
      </c>
      <c r="J1363" s="14" t="s">
        <v>47</v>
      </c>
      <c r="K1363" s="12" t="s">
        <v>35</v>
      </c>
      <c r="L1363" s="98" t="s">
        <v>108</v>
      </c>
      <c r="M1363" s="84" t="s">
        <v>2144</v>
      </c>
      <c r="N1363" s="133">
        <v>1946.5</v>
      </c>
      <c r="O1363" s="73">
        <f t="shared" si="27"/>
        <v>0.5651168764</v>
      </c>
      <c r="P1363" s="98">
        <v>1100.0</v>
      </c>
      <c r="Q1363" s="12"/>
      <c r="R1363" s="84">
        <v>1747287.0</v>
      </c>
      <c r="S1363" s="84" t="s">
        <v>40</v>
      </c>
      <c r="T1363" s="90">
        <v>7890744.0</v>
      </c>
      <c r="U1363" s="214">
        <v>46000.708333333336</v>
      </c>
      <c r="V1363" s="214">
        <v>46000.708333333336</v>
      </c>
      <c r="W1363" s="12"/>
      <c r="X1363" s="12"/>
      <c r="Y1363" s="225">
        <v>46001.368055555555</v>
      </c>
      <c r="Z1363" s="214">
        <v>46002.291666666664</v>
      </c>
      <c r="AA1363" s="12"/>
      <c r="AB1363" s="12"/>
      <c r="AC1363" s="12"/>
      <c r="AD1363" s="12"/>
      <c r="AE1363" s="207" t="s">
        <v>39</v>
      </c>
      <c r="AF1363" s="207" t="s">
        <v>39</v>
      </c>
      <c r="AG1363" s="22"/>
      <c r="AH1363" s="22"/>
      <c r="AI1363" s="22"/>
      <c r="AJ1363" s="22"/>
      <c r="AK1363" s="22"/>
      <c r="AL1363" s="22"/>
      <c r="AM1363" s="22"/>
      <c r="AN1363" s="22"/>
      <c r="AO1363" s="22"/>
      <c r="AP1363" s="22"/>
    </row>
    <row r="1364" ht="15.75" customHeight="1">
      <c r="A1364" s="103">
        <v>1.1976041E7</v>
      </c>
      <c r="B1364" s="84">
        <v>9.000505609E9</v>
      </c>
      <c r="C1364" s="11">
        <v>45999.0</v>
      </c>
      <c r="D1364" s="84">
        <v>27.0</v>
      </c>
      <c r="E1364" s="84">
        <v>34716.0</v>
      </c>
      <c r="F1364" s="84" t="s">
        <v>31</v>
      </c>
      <c r="G1364" s="85" t="s">
        <v>44</v>
      </c>
      <c r="H1364" s="84" t="s">
        <v>1317</v>
      </c>
      <c r="I1364" s="89" t="s">
        <v>2131</v>
      </c>
      <c r="J1364" s="84" t="s">
        <v>35</v>
      </c>
      <c r="K1364" s="84" t="s">
        <v>138</v>
      </c>
      <c r="L1364" s="98" t="s">
        <v>94</v>
      </c>
      <c r="M1364" s="84" t="s">
        <v>2076</v>
      </c>
      <c r="N1364" s="133">
        <v>5760.0</v>
      </c>
      <c r="O1364" s="73">
        <f t="shared" si="27"/>
        <v>0.6510416667</v>
      </c>
      <c r="P1364" s="98">
        <v>3750.0</v>
      </c>
      <c r="Q1364" s="12"/>
      <c r="R1364" s="84">
        <v>1746708.0</v>
      </c>
      <c r="S1364" s="84" t="s">
        <v>40</v>
      </c>
      <c r="T1364" s="90">
        <v>7883675.0</v>
      </c>
      <c r="U1364" s="214">
        <v>45999.65972222222</v>
      </c>
      <c r="V1364" s="214">
        <v>46000.375</v>
      </c>
      <c r="W1364" s="12"/>
      <c r="X1364" s="12"/>
      <c r="Y1364" s="225">
        <v>46006.35763888889</v>
      </c>
      <c r="Z1364" s="225">
        <v>46007.6875</v>
      </c>
      <c r="AA1364" s="12"/>
      <c r="AB1364" s="84" t="s">
        <v>2155</v>
      </c>
      <c r="AC1364" s="84" t="s">
        <v>2156</v>
      </c>
      <c r="AD1364" s="12"/>
      <c r="AE1364" s="207" t="s">
        <v>39</v>
      </c>
      <c r="AF1364" s="12"/>
      <c r="AG1364" s="22"/>
      <c r="AH1364" s="22"/>
      <c r="AI1364" s="22"/>
      <c r="AJ1364" s="22"/>
      <c r="AK1364" s="22"/>
      <c r="AL1364" s="22"/>
      <c r="AM1364" s="22"/>
      <c r="AN1364" s="22"/>
      <c r="AO1364" s="22"/>
      <c r="AP1364" s="22"/>
    </row>
    <row r="1365" ht="15.75" customHeight="1">
      <c r="A1365" s="103">
        <v>1.1977299E7</v>
      </c>
      <c r="B1365" s="84">
        <v>9.000508389E9</v>
      </c>
      <c r="C1365" s="11">
        <v>45999.0</v>
      </c>
      <c r="D1365" s="84">
        <v>26.0</v>
      </c>
      <c r="E1365" s="84">
        <v>33139.0</v>
      </c>
      <c r="F1365" s="103" t="s">
        <v>31</v>
      </c>
      <c r="G1365" s="84" t="s">
        <v>44</v>
      </c>
      <c r="H1365" s="84" t="s">
        <v>2080</v>
      </c>
      <c r="I1365" s="84" t="s">
        <v>2081</v>
      </c>
      <c r="J1365" s="238" t="s">
        <v>2082</v>
      </c>
      <c r="K1365" s="238" t="s">
        <v>2083</v>
      </c>
      <c r="L1365" s="98" t="s">
        <v>114</v>
      </c>
      <c r="M1365" s="84" t="s">
        <v>2157</v>
      </c>
      <c r="N1365" s="133">
        <v>3475.0</v>
      </c>
      <c r="O1365" s="73">
        <f t="shared" si="27"/>
        <v>0.6998561151</v>
      </c>
      <c r="P1365" s="98">
        <v>2432.0</v>
      </c>
      <c r="Q1365" s="12"/>
      <c r="R1365" s="84">
        <v>1749736.0</v>
      </c>
      <c r="S1365" s="84" t="s">
        <v>40</v>
      </c>
      <c r="T1365" s="90">
        <v>7921239.0</v>
      </c>
      <c r="U1365" s="225">
        <v>46004.46875</v>
      </c>
      <c r="V1365" s="225">
        <v>46004.822916666664</v>
      </c>
      <c r="W1365" s="12"/>
      <c r="X1365" s="12"/>
      <c r="Y1365" s="225">
        <v>46005.34722222222</v>
      </c>
      <c r="Z1365" s="225">
        <v>46007.583333333336</v>
      </c>
      <c r="AA1365" s="12"/>
      <c r="AB1365" s="84">
        <v>276283.0</v>
      </c>
      <c r="AC1365" s="84" t="s">
        <v>2151</v>
      </c>
      <c r="AD1365" s="12"/>
      <c r="AE1365" s="207" t="s">
        <v>39</v>
      </c>
      <c r="AF1365" s="207" t="s">
        <v>39</v>
      </c>
      <c r="AG1365" s="22"/>
      <c r="AH1365" s="22"/>
      <c r="AI1365" s="22"/>
      <c r="AJ1365" s="22"/>
      <c r="AK1365" s="22"/>
      <c r="AL1365" s="22"/>
      <c r="AM1365" s="22"/>
      <c r="AN1365" s="22"/>
      <c r="AO1365" s="22"/>
      <c r="AP1365" s="22"/>
    </row>
    <row r="1366" ht="15.75" customHeight="1">
      <c r="A1366" s="103">
        <v>1.1977298E7</v>
      </c>
      <c r="B1366" s="84">
        <v>9.000508394E9</v>
      </c>
      <c r="C1366" s="11">
        <v>45999.0</v>
      </c>
      <c r="D1366" s="84">
        <v>26.0</v>
      </c>
      <c r="E1366" s="84">
        <v>33139.0</v>
      </c>
      <c r="F1366" s="103" t="s">
        <v>31</v>
      </c>
      <c r="G1366" s="84" t="s">
        <v>44</v>
      </c>
      <c r="H1366" s="84" t="s">
        <v>2080</v>
      </c>
      <c r="I1366" s="84" t="s">
        <v>2081</v>
      </c>
      <c r="J1366" s="238" t="s">
        <v>2082</v>
      </c>
      <c r="K1366" s="238" t="s">
        <v>2083</v>
      </c>
      <c r="L1366" s="98" t="s">
        <v>114</v>
      </c>
      <c r="M1366" s="84" t="s">
        <v>2152</v>
      </c>
      <c r="N1366" s="133">
        <v>3475.0</v>
      </c>
      <c r="O1366" s="73">
        <f t="shared" si="27"/>
        <v>0.690647482</v>
      </c>
      <c r="P1366" s="98">
        <v>2400.0</v>
      </c>
      <c r="Q1366" s="12"/>
      <c r="R1366" s="84">
        <v>1749114.0</v>
      </c>
      <c r="S1366" s="84" t="s">
        <v>40</v>
      </c>
      <c r="T1366" s="90">
        <v>7913179.0</v>
      </c>
      <c r="U1366" s="225">
        <v>46002.947916666664</v>
      </c>
      <c r="V1366" s="225">
        <v>46003.48611111111</v>
      </c>
      <c r="W1366" s="12"/>
      <c r="X1366" s="12"/>
      <c r="Y1366" s="225">
        <v>46004.493055555555</v>
      </c>
      <c r="Z1366" s="225">
        <v>46006.743055555555</v>
      </c>
      <c r="AA1366" s="12"/>
      <c r="AB1366" s="84">
        <v>273958.0</v>
      </c>
      <c r="AC1366" s="84" t="s">
        <v>2151</v>
      </c>
      <c r="AD1366" s="12"/>
      <c r="AE1366" s="207" t="s">
        <v>39</v>
      </c>
      <c r="AF1366" s="207" t="s">
        <v>39</v>
      </c>
      <c r="AG1366" s="22"/>
      <c r="AH1366" s="22"/>
      <c r="AI1366" s="22"/>
      <c r="AJ1366" s="22"/>
      <c r="AK1366" s="22"/>
      <c r="AL1366" s="22"/>
      <c r="AM1366" s="22"/>
      <c r="AN1366" s="22"/>
      <c r="AO1366" s="22"/>
      <c r="AP1366" s="22"/>
    </row>
    <row r="1367" ht="15.75" customHeight="1">
      <c r="A1367" s="103">
        <v>1.197914E7</v>
      </c>
      <c r="B1367" s="84">
        <v>9.000511248E9</v>
      </c>
      <c r="C1367" s="11">
        <v>46000.0</v>
      </c>
      <c r="D1367" s="84">
        <v>28.0</v>
      </c>
      <c r="E1367" s="84">
        <v>34295.0</v>
      </c>
      <c r="F1367" s="103" t="s">
        <v>43</v>
      </c>
      <c r="G1367" s="84" t="s">
        <v>44</v>
      </c>
      <c r="H1367" s="29" t="s">
        <v>104</v>
      </c>
      <c r="I1367" s="85" t="s">
        <v>2149</v>
      </c>
      <c r="J1367" s="25" t="s">
        <v>35</v>
      </c>
      <c r="K1367" s="39" t="s">
        <v>106</v>
      </c>
      <c r="L1367" s="95" t="s">
        <v>59</v>
      </c>
      <c r="M1367" s="84" t="s">
        <v>2097</v>
      </c>
      <c r="N1367" s="133">
        <v>3812.0</v>
      </c>
      <c r="O1367" s="73">
        <f t="shared" si="27"/>
        <v>0.7607555089</v>
      </c>
      <c r="P1367" s="98">
        <v>2900.0</v>
      </c>
      <c r="Q1367" s="12"/>
      <c r="R1367" s="84">
        <v>1747267.0</v>
      </c>
      <c r="S1367" s="84" t="s">
        <v>40</v>
      </c>
      <c r="T1367" s="90">
        <v>7890469.0</v>
      </c>
      <c r="U1367" s="214">
        <v>46000.65277777778</v>
      </c>
      <c r="V1367" s="225">
        <v>46001.32638888889</v>
      </c>
      <c r="W1367" s="12"/>
      <c r="X1367" s="12"/>
      <c r="Y1367" s="225">
        <v>46002.25</v>
      </c>
      <c r="Z1367" s="225">
        <v>46003.666666666664</v>
      </c>
      <c r="AA1367" s="12"/>
      <c r="AB1367" s="84">
        <v>269327.0</v>
      </c>
      <c r="AC1367" s="84" t="s">
        <v>2151</v>
      </c>
      <c r="AD1367" s="12"/>
      <c r="AE1367" s="207" t="s">
        <v>39</v>
      </c>
      <c r="AF1367" s="207" t="s">
        <v>39</v>
      </c>
      <c r="AG1367" s="22"/>
      <c r="AH1367" s="22"/>
      <c r="AI1367" s="22"/>
      <c r="AJ1367" s="22"/>
      <c r="AK1367" s="22"/>
      <c r="AL1367" s="22"/>
      <c r="AM1367" s="22"/>
      <c r="AN1367" s="22"/>
      <c r="AO1367" s="22"/>
      <c r="AP1367" s="22"/>
    </row>
    <row r="1368" ht="15.75" customHeight="1">
      <c r="A1368" s="103">
        <v>1.1979141E7</v>
      </c>
      <c r="B1368" s="84">
        <v>9.000511064E9</v>
      </c>
      <c r="C1368" s="11">
        <v>46000.0</v>
      </c>
      <c r="D1368" s="84">
        <v>15.0</v>
      </c>
      <c r="E1368" s="84">
        <v>17135.0</v>
      </c>
      <c r="F1368" s="103" t="s">
        <v>43</v>
      </c>
      <c r="G1368" s="84" t="s">
        <v>44</v>
      </c>
      <c r="H1368" s="85" t="s">
        <v>2158</v>
      </c>
      <c r="I1368" s="85" t="s">
        <v>2149</v>
      </c>
      <c r="J1368" s="39" t="s">
        <v>106</v>
      </c>
      <c r="K1368" s="25" t="s">
        <v>35</v>
      </c>
      <c r="L1368" s="95" t="s">
        <v>121</v>
      </c>
      <c r="M1368" s="84" t="s">
        <v>2097</v>
      </c>
      <c r="N1368" s="133">
        <v>3812.0</v>
      </c>
      <c r="O1368" s="73">
        <f t="shared" si="27"/>
        <v>0</v>
      </c>
      <c r="P1368" s="15"/>
      <c r="Q1368" s="12"/>
      <c r="R1368" s="84"/>
      <c r="S1368" s="84" t="s">
        <v>131</v>
      </c>
      <c r="T1368" s="84"/>
      <c r="U1368" s="225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22"/>
      <c r="AH1368" s="22"/>
      <c r="AI1368" s="22"/>
      <c r="AJ1368" s="22"/>
      <c r="AK1368" s="22"/>
      <c r="AL1368" s="22"/>
      <c r="AM1368" s="22"/>
      <c r="AN1368" s="22"/>
      <c r="AO1368" s="22"/>
      <c r="AP1368" s="22"/>
    </row>
    <row r="1369" ht="15.75" customHeight="1">
      <c r="A1369" s="103">
        <v>1.1979651E7</v>
      </c>
      <c r="B1369" s="84">
        <v>9.000511189E9</v>
      </c>
      <c r="C1369" s="11">
        <v>46001.0</v>
      </c>
      <c r="D1369" s="84">
        <v>27.0</v>
      </c>
      <c r="E1369" s="84">
        <v>34716.0</v>
      </c>
      <c r="F1369" s="103" t="s">
        <v>31</v>
      </c>
      <c r="G1369" s="208" t="s">
        <v>44</v>
      </c>
      <c r="H1369" s="194" t="s">
        <v>104</v>
      </c>
      <c r="I1369" s="85" t="s">
        <v>2149</v>
      </c>
      <c r="J1369" s="170" t="s">
        <v>35</v>
      </c>
      <c r="K1369" s="194" t="s">
        <v>106</v>
      </c>
      <c r="L1369" s="247" t="s">
        <v>59</v>
      </c>
      <c r="M1369" s="84" t="s">
        <v>2144</v>
      </c>
      <c r="N1369" s="133">
        <v>5337.0</v>
      </c>
      <c r="O1369" s="73">
        <f t="shared" si="27"/>
        <v>0.5059021922</v>
      </c>
      <c r="P1369" s="98">
        <v>2700.0</v>
      </c>
      <c r="Q1369" s="12"/>
      <c r="R1369" s="84">
        <v>1747989.0</v>
      </c>
      <c r="S1369" s="84" t="s">
        <v>40</v>
      </c>
      <c r="T1369" s="90">
        <v>7899796.0</v>
      </c>
      <c r="U1369" s="214">
        <v>46002.291666666664</v>
      </c>
      <c r="V1369" s="214">
        <v>46002.291666666664</v>
      </c>
      <c r="W1369" s="12"/>
      <c r="X1369" s="12"/>
      <c r="Y1369" s="225">
        <v>46003.416666666664</v>
      </c>
      <c r="Z1369" s="225">
        <v>46003.618055555555</v>
      </c>
      <c r="AA1369" s="12"/>
      <c r="AB1369" s="12"/>
      <c r="AC1369" s="12"/>
      <c r="AD1369" s="12"/>
      <c r="AE1369" s="207" t="s">
        <v>39</v>
      </c>
      <c r="AF1369" s="207" t="s">
        <v>39</v>
      </c>
      <c r="AG1369" s="22"/>
      <c r="AH1369" s="22"/>
      <c r="AI1369" s="22"/>
      <c r="AJ1369" s="22"/>
      <c r="AK1369" s="22"/>
      <c r="AL1369" s="22"/>
      <c r="AM1369" s="22"/>
      <c r="AN1369" s="22"/>
      <c r="AO1369" s="22"/>
      <c r="AP1369" s="22"/>
    </row>
    <row r="1370" ht="15.75" customHeight="1">
      <c r="A1370" s="103">
        <v>1.1979652E7</v>
      </c>
      <c r="B1370" s="84">
        <v>9.000511067E9</v>
      </c>
      <c r="C1370" s="11">
        <v>46001.0</v>
      </c>
      <c r="D1370" s="84">
        <v>27.0</v>
      </c>
      <c r="E1370" s="84">
        <v>34716.0</v>
      </c>
      <c r="F1370" s="103" t="s">
        <v>31</v>
      </c>
      <c r="G1370" s="208" t="s">
        <v>44</v>
      </c>
      <c r="H1370" s="194" t="s">
        <v>104</v>
      </c>
      <c r="I1370" s="85" t="s">
        <v>2149</v>
      </c>
      <c r="J1370" s="170" t="s">
        <v>35</v>
      </c>
      <c r="K1370" s="194" t="s">
        <v>106</v>
      </c>
      <c r="L1370" s="171" t="s">
        <v>59</v>
      </c>
      <c r="M1370" s="84" t="s">
        <v>1936</v>
      </c>
      <c r="N1370" s="133">
        <v>5337.0</v>
      </c>
      <c r="O1370" s="73">
        <f t="shared" si="27"/>
        <v>0.5621135469</v>
      </c>
      <c r="P1370" s="98">
        <v>3000.0</v>
      </c>
      <c r="Q1370" s="12"/>
      <c r="R1370" s="84">
        <v>1747996.0</v>
      </c>
      <c r="S1370" s="84" t="s">
        <v>40</v>
      </c>
      <c r="T1370" s="90">
        <v>7899886.0</v>
      </c>
      <c r="U1370" s="225">
        <v>46001.78125</v>
      </c>
      <c r="V1370" s="225">
        <v>46002.375</v>
      </c>
      <c r="W1370" s="12"/>
      <c r="X1370" s="12"/>
      <c r="Y1370" s="225">
        <v>46003.583333333336</v>
      </c>
      <c r="Z1370" s="225">
        <v>46003.881944444445</v>
      </c>
      <c r="AA1370" s="12"/>
      <c r="AB1370" s="12"/>
      <c r="AC1370" s="12"/>
      <c r="AD1370" s="12"/>
      <c r="AE1370" s="207" t="s">
        <v>39</v>
      </c>
      <c r="AF1370" s="1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</row>
    <row r="1371" ht="15.75" customHeight="1">
      <c r="A1371" s="103">
        <v>1.2006267E7</v>
      </c>
      <c r="B1371" s="84">
        <v>9.000538581E9</v>
      </c>
      <c r="C1371" s="11">
        <v>46001.0</v>
      </c>
      <c r="D1371" s="84">
        <v>27.0</v>
      </c>
      <c r="E1371" s="84">
        <v>34716.0</v>
      </c>
      <c r="F1371" s="103" t="s">
        <v>31</v>
      </c>
      <c r="G1371" s="208" t="s">
        <v>44</v>
      </c>
      <c r="H1371" s="194" t="s">
        <v>104</v>
      </c>
      <c r="I1371" s="85" t="s">
        <v>2149</v>
      </c>
      <c r="J1371" s="170" t="s">
        <v>35</v>
      </c>
      <c r="K1371" s="194" t="s">
        <v>106</v>
      </c>
      <c r="L1371" s="171" t="s">
        <v>59</v>
      </c>
      <c r="M1371" s="84" t="s">
        <v>1985</v>
      </c>
      <c r="N1371" s="133">
        <v>5337.0</v>
      </c>
      <c r="O1371" s="73">
        <f t="shared" si="27"/>
        <v>0.5621135469</v>
      </c>
      <c r="P1371" s="98">
        <v>3000.0</v>
      </c>
      <c r="Q1371" s="12"/>
      <c r="R1371" s="84">
        <v>1747995.0</v>
      </c>
      <c r="S1371" s="84" t="s">
        <v>40</v>
      </c>
      <c r="T1371" s="90">
        <v>7899883.0</v>
      </c>
      <c r="U1371" s="214">
        <v>46002.03125</v>
      </c>
      <c r="V1371" s="214">
        <v>46002.03125</v>
      </c>
      <c r="W1371" s="12"/>
      <c r="X1371" s="12"/>
      <c r="Y1371" s="225">
        <v>46003.46527777778</v>
      </c>
      <c r="Z1371" s="225">
        <v>46003.708333333336</v>
      </c>
      <c r="AA1371" s="12"/>
      <c r="AB1371" s="12"/>
      <c r="AC1371" s="12"/>
      <c r="AD1371" s="12"/>
      <c r="AE1371" s="207" t="s">
        <v>39</v>
      </c>
      <c r="AF1371" s="207" t="s">
        <v>39</v>
      </c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</row>
    <row r="1372" ht="15.75" customHeight="1">
      <c r="A1372" s="103">
        <v>1.1980905E7</v>
      </c>
      <c r="B1372" s="84">
        <v>9.000513896E9</v>
      </c>
      <c r="C1372" s="11">
        <v>46001.0</v>
      </c>
      <c r="D1372" s="84">
        <v>26.0</v>
      </c>
      <c r="E1372" s="84">
        <v>33139.0</v>
      </c>
      <c r="F1372" s="103" t="s">
        <v>31</v>
      </c>
      <c r="G1372" s="84" t="s">
        <v>44</v>
      </c>
      <c r="H1372" s="84" t="s">
        <v>2080</v>
      </c>
      <c r="I1372" s="84" t="s">
        <v>2081</v>
      </c>
      <c r="J1372" s="238" t="s">
        <v>2082</v>
      </c>
      <c r="K1372" s="238" t="s">
        <v>2083</v>
      </c>
      <c r="L1372" s="98" t="s">
        <v>114</v>
      </c>
      <c r="M1372" s="217" t="s">
        <v>2106</v>
      </c>
      <c r="N1372" s="133">
        <v>3475.0</v>
      </c>
      <c r="O1372" s="73">
        <f t="shared" si="27"/>
        <v>0.5050359712</v>
      </c>
      <c r="P1372" s="98">
        <v>1755.0</v>
      </c>
      <c r="Q1372" s="12"/>
      <c r="R1372" s="84">
        <v>1749606.0</v>
      </c>
      <c r="S1372" s="84" t="s">
        <v>40</v>
      </c>
      <c r="T1372" s="90">
        <v>7920136.0</v>
      </c>
      <c r="U1372" s="225">
        <v>46004.319444444445</v>
      </c>
      <c r="V1372" s="225">
        <v>46004.54861111111</v>
      </c>
      <c r="W1372" s="12"/>
      <c r="X1372" s="12"/>
      <c r="Y1372" s="225">
        <v>46006.333333333336</v>
      </c>
      <c r="Z1372" s="225">
        <v>46007.729166666664</v>
      </c>
      <c r="AA1372" s="12"/>
      <c r="AB1372" s="84">
        <v>277183.0</v>
      </c>
      <c r="AC1372" s="84" t="s">
        <v>2151</v>
      </c>
      <c r="AD1372" s="12"/>
      <c r="AE1372" s="207" t="s">
        <v>39</v>
      </c>
      <c r="AF1372" s="207" t="s">
        <v>39</v>
      </c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</row>
    <row r="1373" ht="15.75" customHeight="1">
      <c r="A1373" s="103">
        <v>1.1980906E7</v>
      </c>
      <c r="B1373" s="84">
        <v>9.000513914E9</v>
      </c>
      <c r="C1373" s="11">
        <v>46001.0</v>
      </c>
      <c r="D1373" s="84">
        <v>26.0</v>
      </c>
      <c r="E1373" s="84">
        <v>33139.0</v>
      </c>
      <c r="F1373" s="103" t="s">
        <v>31</v>
      </c>
      <c r="G1373" s="84" t="s">
        <v>44</v>
      </c>
      <c r="H1373" s="84" t="s">
        <v>2080</v>
      </c>
      <c r="I1373" s="84" t="s">
        <v>2081</v>
      </c>
      <c r="J1373" s="238" t="s">
        <v>2082</v>
      </c>
      <c r="K1373" s="238" t="s">
        <v>2083</v>
      </c>
      <c r="L1373" s="98" t="s">
        <v>114</v>
      </c>
      <c r="M1373" s="84" t="s">
        <v>2146</v>
      </c>
      <c r="N1373" s="133">
        <v>3475.0</v>
      </c>
      <c r="O1373" s="73">
        <f t="shared" si="27"/>
        <v>0.3430215827</v>
      </c>
      <c r="P1373" s="98">
        <v>1192.0</v>
      </c>
      <c r="Q1373" s="12"/>
      <c r="R1373" s="84">
        <v>1750441.0</v>
      </c>
      <c r="S1373" s="84" t="s">
        <v>40</v>
      </c>
      <c r="T1373" s="90">
        <v>7926138.0</v>
      </c>
      <c r="U1373" s="225">
        <v>46004.319444444445</v>
      </c>
      <c r="V1373" s="225">
        <v>46004.54861111111</v>
      </c>
      <c r="W1373" s="12"/>
      <c r="X1373" s="12"/>
      <c r="Y1373" s="225">
        <v>46006.333333333336</v>
      </c>
      <c r="Z1373" s="225">
        <v>46008.833333333336</v>
      </c>
      <c r="AA1373" s="12"/>
      <c r="AB1373" s="84">
        <v>277193.0</v>
      </c>
      <c r="AC1373" s="84" t="s">
        <v>2151</v>
      </c>
      <c r="AD1373" s="12"/>
      <c r="AE1373" s="207" t="s">
        <v>39</v>
      </c>
      <c r="AF1373" s="207" t="s">
        <v>39</v>
      </c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</row>
    <row r="1374" ht="15.75" customHeight="1">
      <c r="A1374" s="103">
        <v>1.1996164E7</v>
      </c>
      <c r="B1374" s="84">
        <v>9.000528065E9</v>
      </c>
      <c r="C1374" s="11">
        <v>46002.0</v>
      </c>
      <c r="D1374" s="84">
        <v>28.0</v>
      </c>
      <c r="E1374" s="84">
        <v>34295.0</v>
      </c>
      <c r="F1374" s="103" t="s">
        <v>43</v>
      </c>
      <c r="G1374" s="84" t="s">
        <v>44</v>
      </c>
      <c r="H1374" s="84" t="s">
        <v>268</v>
      </c>
      <c r="I1374" s="194" t="s">
        <v>1958</v>
      </c>
      <c r="J1374" s="84" t="s">
        <v>35</v>
      </c>
      <c r="K1374" s="84" t="s">
        <v>270</v>
      </c>
      <c r="L1374" s="98" t="s">
        <v>94</v>
      </c>
      <c r="M1374" s="84" t="s">
        <v>1860</v>
      </c>
      <c r="N1374" s="133">
        <v>4872.5</v>
      </c>
      <c r="O1374" s="73">
        <f t="shared" si="27"/>
        <v>0.8722421755</v>
      </c>
      <c r="P1374" s="98">
        <v>4250.0</v>
      </c>
      <c r="Q1374" s="12"/>
      <c r="R1374" s="84">
        <v>1748755.0</v>
      </c>
      <c r="S1374" s="84" t="s">
        <v>40</v>
      </c>
      <c r="T1374" s="90">
        <v>7909336.0</v>
      </c>
      <c r="U1374" s="214">
        <v>46003.375</v>
      </c>
      <c r="V1374" s="225">
        <v>46003.4375</v>
      </c>
      <c r="W1374" s="12"/>
      <c r="X1374" s="12"/>
      <c r="Y1374" s="225">
        <v>46007.395833333336</v>
      </c>
      <c r="Z1374" s="225">
        <v>46007.4375</v>
      </c>
      <c r="AA1374" s="12"/>
      <c r="AB1374" s="12"/>
      <c r="AC1374" s="12"/>
      <c r="AD1374" s="12"/>
      <c r="AE1374" s="207" t="s">
        <v>39</v>
      </c>
      <c r="AF1374" s="207" t="s">
        <v>39</v>
      </c>
      <c r="AG1374" s="22"/>
      <c r="AH1374" s="22"/>
      <c r="AI1374" s="22"/>
      <c r="AJ1374" s="22"/>
      <c r="AK1374" s="22"/>
      <c r="AL1374" s="22"/>
      <c r="AM1374" s="22"/>
      <c r="AN1374" s="22"/>
      <c r="AO1374" s="22"/>
      <c r="AP1374" s="22"/>
    </row>
    <row r="1375" ht="15.75" customHeight="1">
      <c r="A1375" s="103">
        <v>1.1996166E7</v>
      </c>
      <c r="B1375" s="84">
        <v>9.000528104E9</v>
      </c>
      <c r="C1375" s="11">
        <v>46002.0</v>
      </c>
      <c r="D1375" s="84">
        <v>15.0</v>
      </c>
      <c r="E1375" s="84">
        <v>17135.0</v>
      </c>
      <c r="F1375" s="103" t="s">
        <v>43</v>
      </c>
      <c r="G1375" s="84" t="s">
        <v>44</v>
      </c>
      <c r="H1375" s="84" t="s">
        <v>2159</v>
      </c>
      <c r="I1375" s="194" t="s">
        <v>1957</v>
      </c>
      <c r="J1375" s="84" t="s">
        <v>270</v>
      </c>
      <c r="K1375" s="84" t="s">
        <v>35</v>
      </c>
      <c r="L1375" s="98" t="s">
        <v>43</v>
      </c>
      <c r="M1375" s="84" t="s">
        <v>1860</v>
      </c>
      <c r="N1375" s="133">
        <v>4872.5</v>
      </c>
      <c r="O1375" s="73">
        <f t="shared" si="27"/>
        <v>0.6528476142</v>
      </c>
      <c r="P1375" s="98">
        <v>3181.0</v>
      </c>
      <c r="Q1375" s="12"/>
      <c r="R1375" s="84">
        <v>1751371.0</v>
      </c>
      <c r="S1375" s="84" t="s">
        <v>40</v>
      </c>
      <c r="T1375" s="90">
        <v>7937751.0</v>
      </c>
      <c r="U1375" s="225">
        <v>46007.4375</v>
      </c>
      <c r="V1375" s="225">
        <v>46007.697916666664</v>
      </c>
      <c r="W1375" s="12"/>
      <c r="X1375" s="12"/>
      <c r="Y1375" s="225">
        <v>46008.75</v>
      </c>
      <c r="Z1375" s="225">
        <v>46010.291666666664</v>
      </c>
      <c r="AA1375" s="12"/>
      <c r="AB1375" s="84">
        <v>280514.0</v>
      </c>
      <c r="AC1375" s="84" t="s">
        <v>1972</v>
      </c>
      <c r="AD1375" s="12"/>
      <c r="AE1375" s="207" t="s">
        <v>39</v>
      </c>
      <c r="AF1375" s="207" t="s">
        <v>39</v>
      </c>
      <c r="AG1375" s="22"/>
      <c r="AH1375" s="22"/>
      <c r="AI1375" s="22"/>
      <c r="AJ1375" s="22"/>
      <c r="AK1375" s="22"/>
      <c r="AL1375" s="22"/>
      <c r="AM1375" s="22"/>
      <c r="AN1375" s="22"/>
      <c r="AO1375" s="22"/>
      <c r="AP1375" s="22"/>
    </row>
    <row r="1376" ht="15.75" customHeight="1">
      <c r="A1376" s="103">
        <v>1.2006734E7</v>
      </c>
      <c r="B1376" s="84">
        <v>9.000535265E9</v>
      </c>
      <c r="C1376" s="11">
        <v>46002.0</v>
      </c>
      <c r="D1376" s="84">
        <v>26.0</v>
      </c>
      <c r="E1376" s="84">
        <v>33430.0</v>
      </c>
      <c r="F1376" s="103" t="s">
        <v>31</v>
      </c>
      <c r="G1376" s="84" t="s">
        <v>44</v>
      </c>
      <c r="H1376" s="169" t="s">
        <v>45</v>
      </c>
      <c r="I1376" s="209" t="s">
        <v>46</v>
      </c>
      <c r="J1376" s="12" t="s">
        <v>35</v>
      </c>
      <c r="K1376" s="14" t="s">
        <v>47</v>
      </c>
      <c r="L1376" s="98" t="s">
        <v>108</v>
      </c>
      <c r="M1376" s="84" t="s">
        <v>2079</v>
      </c>
      <c r="N1376" s="133">
        <v>2545.0</v>
      </c>
      <c r="O1376" s="73">
        <f t="shared" si="27"/>
        <v>0.1555992141</v>
      </c>
      <c r="P1376" s="98">
        <v>396.0</v>
      </c>
      <c r="Q1376" s="12"/>
      <c r="R1376" s="84">
        <v>1748680.0</v>
      </c>
      <c r="S1376" s="84" t="s">
        <v>40</v>
      </c>
      <c r="T1376" s="90">
        <v>7908622.0</v>
      </c>
      <c r="U1376" s="225">
        <v>46002.649305555555</v>
      </c>
      <c r="V1376" s="225">
        <v>46003.28472222222</v>
      </c>
      <c r="W1376" s="12"/>
      <c r="X1376" s="12"/>
      <c r="Y1376" s="225">
        <v>46003.416666666664</v>
      </c>
      <c r="Z1376" s="225">
        <v>46003.458333333336</v>
      </c>
      <c r="AA1376" s="12"/>
      <c r="AB1376" s="12"/>
      <c r="AC1376" s="12"/>
      <c r="AD1376" s="12"/>
      <c r="AE1376" s="207" t="s">
        <v>39</v>
      </c>
      <c r="AF1376" s="207" t="s">
        <v>39</v>
      </c>
      <c r="AG1376" s="22"/>
      <c r="AH1376" s="22"/>
      <c r="AI1376" s="22"/>
      <c r="AJ1376" s="22"/>
      <c r="AK1376" s="22"/>
      <c r="AL1376" s="22"/>
      <c r="AM1376" s="22"/>
      <c r="AN1376" s="22"/>
      <c r="AO1376" s="22"/>
      <c r="AP1376" s="22"/>
    </row>
    <row r="1377" ht="15.75" customHeight="1">
      <c r="A1377" s="103">
        <v>1.2016105E7</v>
      </c>
      <c r="B1377" s="84">
        <v>9.000553587E9</v>
      </c>
      <c r="C1377" s="11">
        <v>46003.0</v>
      </c>
      <c r="D1377" s="84">
        <v>1.0</v>
      </c>
      <c r="E1377" s="84"/>
      <c r="F1377" s="103"/>
      <c r="G1377" s="84"/>
      <c r="H1377" s="176" t="s">
        <v>2160</v>
      </c>
      <c r="I1377" s="194" t="s">
        <v>1957</v>
      </c>
      <c r="J1377" s="14" t="s">
        <v>47</v>
      </c>
      <c r="K1377" s="12" t="s">
        <v>35</v>
      </c>
      <c r="L1377" s="95" t="s">
        <v>43</v>
      </c>
      <c r="M1377" s="84" t="s">
        <v>2161</v>
      </c>
      <c r="N1377" s="133">
        <v>1596.0</v>
      </c>
      <c r="O1377" s="73">
        <f t="shared" si="27"/>
        <v>0.2644110276</v>
      </c>
      <c r="P1377" s="98">
        <v>422.0</v>
      </c>
      <c r="Q1377" s="12"/>
      <c r="R1377" s="84">
        <v>1749306.0</v>
      </c>
      <c r="S1377" s="84" t="s">
        <v>40</v>
      </c>
      <c r="T1377" s="90">
        <v>7916511.0</v>
      </c>
      <c r="U1377" s="225">
        <v>46003.458333333336</v>
      </c>
      <c r="V1377" s="225">
        <v>46003.75</v>
      </c>
      <c r="W1377" s="12"/>
      <c r="X1377" s="237">
        <v>46009.166666666664</v>
      </c>
      <c r="Y1377" s="225">
        <v>46008.944444444445</v>
      </c>
      <c r="Z1377" s="225">
        <v>46011.03472222222</v>
      </c>
      <c r="AA1377" s="12"/>
      <c r="AB1377" s="12"/>
      <c r="AC1377" s="12"/>
      <c r="AD1377" s="12"/>
      <c r="AE1377" s="207" t="s">
        <v>39</v>
      </c>
      <c r="AF1377" s="207" t="s">
        <v>39</v>
      </c>
      <c r="AG1377" s="22"/>
      <c r="AH1377" s="22"/>
      <c r="AI1377" s="22"/>
      <c r="AJ1377" s="22"/>
      <c r="AK1377" s="22"/>
      <c r="AL1377" s="22"/>
      <c r="AM1377" s="22"/>
      <c r="AN1377" s="22"/>
      <c r="AO1377" s="22"/>
      <c r="AP1377" s="22"/>
    </row>
    <row r="1378" ht="15.75" customHeight="1">
      <c r="A1378" s="103">
        <v>1.2006278E7</v>
      </c>
      <c r="B1378" s="84">
        <v>9.000538612E9</v>
      </c>
      <c r="C1378" s="11">
        <v>46003.0</v>
      </c>
      <c r="D1378" s="84">
        <v>27.0</v>
      </c>
      <c r="E1378" s="84">
        <v>34716.0</v>
      </c>
      <c r="F1378" s="103" t="s">
        <v>31</v>
      </c>
      <c r="G1378" s="208" t="s">
        <v>44</v>
      </c>
      <c r="H1378" s="194" t="s">
        <v>104</v>
      </c>
      <c r="I1378" s="85" t="s">
        <v>2149</v>
      </c>
      <c r="J1378" s="170" t="s">
        <v>35</v>
      </c>
      <c r="K1378" s="194" t="s">
        <v>106</v>
      </c>
      <c r="L1378" s="247" t="s">
        <v>59</v>
      </c>
      <c r="M1378" s="84" t="s">
        <v>2144</v>
      </c>
      <c r="N1378" s="133">
        <v>5337.0</v>
      </c>
      <c r="O1378" s="73">
        <f t="shared" si="27"/>
        <v>0.5059021922</v>
      </c>
      <c r="P1378" s="98">
        <v>2700.0</v>
      </c>
      <c r="Q1378" s="12"/>
      <c r="R1378" s="84">
        <v>1749789.0</v>
      </c>
      <c r="S1378" s="84" t="s">
        <v>40</v>
      </c>
      <c r="T1378" s="90">
        <v>7921764.0</v>
      </c>
      <c r="U1378" s="225">
        <v>46004.57638888889</v>
      </c>
      <c r="V1378" s="225">
        <v>46005.368055555555</v>
      </c>
      <c r="W1378" s="12"/>
      <c r="X1378" s="237"/>
      <c r="Y1378" s="225">
        <v>46007.333333333336</v>
      </c>
      <c r="Z1378" s="225">
        <v>46007.458333333336</v>
      </c>
      <c r="AA1378" s="12"/>
      <c r="AB1378" s="12"/>
      <c r="AC1378" s="12"/>
      <c r="AD1378" s="12"/>
      <c r="AE1378" s="207" t="s">
        <v>39</v>
      </c>
      <c r="AF1378" s="207" t="s">
        <v>39</v>
      </c>
      <c r="AG1378" s="22"/>
      <c r="AH1378" s="22"/>
      <c r="AI1378" s="22"/>
      <c r="AJ1378" s="22"/>
      <c r="AK1378" s="22"/>
      <c r="AL1378" s="22"/>
      <c r="AM1378" s="22"/>
      <c r="AN1378" s="22"/>
      <c r="AO1378" s="22"/>
      <c r="AP1378" s="22"/>
    </row>
    <row r="1379" ht="15.75" customHeight="1">
      <c r="A1379" s="103">
        <v>1.1996163E7</v>
      </c>
      <c r="B1379" s="84">
        <v>9.000528083E9</v>
      </c>
      <c r="C1379" s="11">
        <v>46004.0</v>
      </c>
      <c r="D1379" s="84">
        <v>28.0</v>
      </c>
      <c r="E1379" s="84">
        <v>34295.0</v>
      </c>
      <c r="F1379" s="103" t="s">
        <v>43</v>
      </c>
      <c r="G1379" s="84" t="s">
        <v>44</v>
      </c>
      <c r="H1379" s="84" t="s">
        <v>268</v>
      </c>
      <c r="I1379" s="194" t="s">
        <v>1958</v>
      </c>
      <c r="J1379" s="84" t="s">
        <v>35</v>
      </c>
      <c r="K1379" s="84" t="s">
        <v>270</v>
      </c>
      <c r="L1379" s="244" t="s">
        <v>94</v>
      </c>
      <c r="M1379" s="84" t="s">
        <v>1974</v>
      </c>
      <c r="N1379" s="133">
        <v>4872.5</v>
      </c>
      <c r="O1379" s="73">
        <f t="shared" si="27"/>
        <v>0.8722421755</v>
      </c>
      <c r="P1379" s="98">
        <v>4250.0</v>
      </c>
      <c r="Q1379" s="12"/>
      <c r="R1379" s="84">
        <v>1749768.0</v>
      </c>
      <c r="S1379" s="84" t="s">
        <v>40</v>
      </c>
      <c r="T1379" s="90">
        <v>7921623.0</v>
      </c>
      <c r="U1379" s="225">
        <v>46004.645833333336</v>
      </c>
      <c r="V1379" s="225">
        <v>46004.85763888889</v>
      </c>
      <c r="W1379" s="12"/>
      <c r="X1379" s="12"/>
      <c r="Y1379" s="225">
        <v>46007.180555555555</v>
      </c>
      <c r="Z1379" s="225">
        <v>46007.416666666664</v>
      </c>
      <c r="AA1379" s="12"/>
      <c r="AB1379" s="84">
        <v>282153.0</v>
      </c>
      <c r="AC1379" s="84" t="s">
        <v>1972</v>
      </c>
      <c r="AD1379" s="12"/>
      <c r="AE1379" s="207" t="s">
        <v>39</v>
      </c>
      <c r="AF1379" s="207" t="s">
        <v>39</v>
      </c>
      <c r="AG1379" s="22"/>
      <c r="AH1379" s="22"/>
      <c r="AI1379" s="22"/>
      <c r="AJ1379" s="22"/>
      <c r="AK1379" s="22"/>
      <c r="AL1379" s="22"/>
      <c r="AM1379" s="22"/>
      <c r="AN1379" s="22"/>
      <c r="AO1379" s="22"/>
      <c r="AP1379" s="22"/>
    </row>
    <row r="1380" ht="15.75" customHeight="1">
      <c r="A1380" s="103">
        <v>1.1996165E7</v>
      </c>
      <c r="B1380" s="84">
        <v>9.000527945E9</v>
      </c>
      <c r="C1380" s="11">
        <v>46004.0</v>
      </c>
      <c r="D1380" s="84">
        <v>15.0</v>
      </c>
      <c r="E1380" s="84">
        <v>17135.0</v>
      </c>
      <c r="F1380" s="103" t="s">
        <v>43</v>
      </c>
      <c r="G1380" s="84" t="s">
        <v>44</v>
      </c>
      <c r="H1380" s="84" t="s">
        <v>2162</v>
      </c>
      <c r="I1380" s="194" t="s">
        <v>1957</v>
      </c>
      <c r="J1380" s="84" t="s">
        <v>270</v>
      </c>
      <c r="K1380" s="84" t="s">
        <v>35</v>
      </c>
      <c r="L1380" s="98" t="s">
        <v>43</v>
      </c>
      <c r="M1380" s="216" t="s">
        <v>1974</v>
      </c>
      <c r="N1380" s="133">
        <v>4872.5</v>
      </c>
      <c r="O1380" s="73">
        <f t="shared" si="27"/>
        <v>0.5643919959</v>
      </c>
      <c r="P1380" s="98">
        <v>2750.0</v>
      </c>
      <c r="Q1380" s="12"/>
      <c r="R1380" s="12"/>
      <c r="S1380" s="84" t="s">
        <v>131</v>
      </c>
      <c r="T1380" s="12"/>
      <c r="U1380" s="12"/>
      <c r="V1380" s="12"/>
      <c r="W1380" s="12"/>
      <c r="X1380" s="12"/>
      <c r="Y1380" s="12"/>
      <c r="Z1380" s="12"/>
      <c r="AA1380" s="12"/>
      <c r="AB1380" s="84">
        <v>280156.0</v>
      </c>
      <c r="AC1380" s="84" t="s">
        <v>1972</v>
      </c>
      <c r="AD1380" s="12"/>
      <c r="AE1380" s="12"/>
      <c r="AF1380" s="12"/>
      <c r="AG1380" s="22"/>
      <c r="AH1380" s="22"/>
      <c r="AI1380" s="22"/>
      <c r="AJ1380" s="22"/>
      <c r="AK1380" s="22"/>
      <c r="AL1380" s="22"/>
      <c r="AM1380" s="22"/>
      <c r="AN1380" s="22"/>
      <c r="AO1380" s="22"/>
      <c r="AP1380" s="22"/>
    </row>
    <row r="1381" ht="15.75" customHeight="1">
      <c r="A1381" s="103">
        <v>1.1997086E7</v>
      </c>
      <c r="B1381" s="84">
        <v>9.000529771E9</v>
      </c>
      <c r="C1381" s="11">
        <v>46004.0</v>
      </c>
      <c r="D1381" s="84">
        <v>26.0</v>
      </c>
      <c r="E1381" s="84">
        <v>30430.0</v>
      </c>
      <c r="F1381" s="219" t="s">
        <v>43</v>
      </c>
      <c r="G1381" s="85" t="s">
        <v>44</v>
      </c>
      <c r="H1381" s="84" t="s">
        <v>1317</v>
      </c>
      <c r="I1381" s="89" t="s">
        <v>2131</v>
      </c>
      <c r="J1381" s="84" t="s">
        <v>35</v>
      </c>
      <c r="K1381" s="84" t="s">
        <v>138</v>
      </c>
      <c r="L1381" s="244" t="s">
        <v>94</v>
      </c>
      <c r="M1381" s="216" t="s">
        <v>2079</v>
      </c>
      <c r="N1381" s="133">
        <v>4863.0</v>
      </c>
      <c r="O1381" s="73">
        <f t="shared" si="27"/>
        <v>0</v>
      </c>
      <c r="P1381" s="15"/>
      <c r="Q1381" s="12"/>
      <c r="R1381" s="84">
        <v>1749791.0</v>
      </c>
      <c r="S1381" s="84" t="s">
        <v>40</v>
      </c>
      <c r="T1381" s="90">
        <v>7921773.0</v>
      </c>
      <c r="U1381" s="225">
        <v>46004.5625</v>
      </c>
      <c r="V1381" s="225">
        <v>46004.74652777778</v>
      </c>
      <c r="W1381" s="12"/>
      <c r="X1381" s="12"/>
      <c r="Y1381" s="225">
        <v>46006.77777777778</v>
      </c>
      <c r="Z1381" s="225">
        <v>46007.520833333336</v>
      </c>
      <c r="AA1381" s="12"/>
      <c r="AB1381" s="12"/>
      <c r="AC1381" s="12"/>
      <c r="AD1381" s="12"/>
      <c r="AE1381" s="207" t="s">
        <v>39</v>
      </c>
      <c r="AF1381" s="207" t="s">
        <v>39</v>
      </c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</row>
    <row r="1382" ht="15.75" customHeight="1">
      <c r="A1382" s="103">
        <v>1.1997087E7</v>
      </c>
      <c r="B1382" s="84">
        <v>9.000529721E9</v>
      </c>
      <c r="C1382" s="11">
        <v>46004.0</v>
      </c>
      <c r="D1382" s="84">
        <v>4.0</v>
      </c>
      <c r="E1382" s="84">
        <v>555.0</v>
      </c>
      <c r="F1382" s="169" t="s">
        <v>43</v>
      </c>
      <c r="G1382" s="168" t="s">
        <v>44</v>
      </c>
      <c r="H1382" s="84" t="s">
        <v>2163</v>
      </c>
      <c r="I1382" s="89" t="s">
        <v>2131</v>
      </c>
      <c r="J1382" s="84" t="s">
        <v>35</v>
      </c>
      <c r="K1382" s="84" t="s">
        <v>138</v>
      </c>
      <c r="L1382" s="98" t="s">
        <v>94</v>
      </c>
      <c r="M1382" s="84" t="s">
        <v>2164</v>
      </c>
      <c r="N1382" s="133">
        <v>4863.0</v>
      </c>
      <c r="O1382" s="73">
        <f t="shared" si="27"/>
        <v>0.3253382686</v>
      </c>
      <c r="P1382" s="98">
        <v>1582.12</v>
      </c>
      <c r="Q1382" s="12"/>
      <c r="R1382" s="84">
        <v>1751196.0</v>
      </c>
      <c r="S1382" s="84" t="s">
        <v>40</v>
      </c>
      <c r="T1382" s="90">
        <v>7935525.0</v>
      </c>
      <c r="U1382" s="225">
        <v>46007.520833333336</v>
      </c>
      <c r="V1382" s="225">
        <v>46007.520833333336</v>
      </c>
      <c r="W1382" s="12"/>
      <c r="X1382" s="12"/>
      <c r="Y1382" s="225">
        <v>46015.354166666664</v>
      </c>
      <c r="Z1382" s="225">
        <v>46017.46875</v>
      </c>
      <c r="AA1382" s="12"/>
      <c r="AB1382" s="12"/>
      <c r="AC1382" s="12"/>
      <c r="AD1382" s="12"/>
      <c r="AE1382" s="12"/>
      <c r="AF1382" s="1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</row>
    <row r="1383" ht="15.75" customHeight="1">
      <c r="A1383" s="103">
        <v>1.2000323E7</v>
      </c>
      <c r="B1383" s="84">
        <v>9.000533421E9</v>
      </c>
      <c r="C1383" s="11">
        <v>46006.0</v>
      </c>
      <c r="D1383" s="84">
        <v>28.0</v>
      </c>
      <c r="E1383" s="84">
        <v>34295.0</v>
      </c>
      <c r="F1383" s="103" t="s">
        <v>43</v>
      </c>
      <c r="G1383" s="84" t="s">
        <v>44</v>
      </c>
      <c r="H1383" s="169" t="s">
        <v>45</v>
      </c>
      <c r="I1383" s="209" t="s">
        <v>46</v>
      </c>
      <c r="J1383" s="12" t="s">
        <v>35</v>
      </c>
      <c r="K1383" s="14" t="s">
        <v>47</v>
      </c>
      <c r="L1383" s="98" t="s">
        <v>108</v>
      </c>
      <c r="M1383" s="84" t="s">
        <v>1936</v>
      </c>
      <c r="N1383" s="133">
        <v>1946.5</v>
      </c>
      <c r="O1383" s="73">
        <f t="shared" si="27"/>
        <v>0.7706139224</v>
      </c>
      <c r="P1383" s="98">
        <v>1500.0</v>
      </c>
      <c r="Q1383" s="84" t="s">
        <v>39</v>
      </c>
      <c r="R1383" s="84">
        <v>1750215.0</v>
      </c>
      <c r="S1383" s="84" t="s">
        <v>40</v>
      </c>
      <c r="T1383" s="90">
        <v>7931055.0</v>
      </c>
      <c r="U1383" s="225">
        <v>46006.333333333336</v>
      </c>
      <c r="V1383" s="225">
        <v>46006.85763888889</v>
      </c>
      <c r="W1383" s="12"/>
      <c r="X1383" s="12"/>
      <c r="Y1383" s="225">
        <v>46008.59027777778</v>
      </c>
      <c r="Z1383" s="225">
        <v>46008.71875</v>
      </c>
      <c r="AA1383" s="12"/>
      <c r="AB1383" s="84">
        <v>285401.0</v>
      </c>
      <c r="AC1383" s="84" t="s">
        <v>1972</v>
      </c>
      <c r="AD1383" s="12"/>
      <c r="AE1383" s="207" t="s">
        <v>39</v>
      </c>
      <c r="AF1383" s="1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</row>
    <row r="1384" ht="15.75" customHeight="1">
      <c r="A1384" s="103">
        <v>1.2000325E7</v>
      </c>
      <c r="B1384" s="84">
        <v>9.000533417E9</v>
      </c>
      <c r="C1384" s="11">
        <v>46006.0</v>
      </c>
      <c r="D1384" s="84">
        <v>15.0</v>
      </c>
      <c r="E1384" s="84">
        <v>17135.0</v>
      </c>
      <c r="F1384" s="103" t="s">
        <v>43</v>
      </c>
      <c r="G1384" s="84" t="s">
        <v>44</v>
      </c>
      <c r="H1384" s="176" t="s">
        <v>2165</v>
      </c>
      <c r="I1384" s="194" t="s">
        <v>1957</v>
      </c>
      <c r="J1384" s="14" t="s">
        <v>47</v>
      </c>
      <c r="K1384" s="12" t="s">
        <v>35</v>
      </c>
      <c r="L1384" s="98" t="s">
        <v>108</v>
      </c>
      <c r="M1384" s="84" t="s">
        <v>1936</v>
      </c>
      <c r="N1384" s="133">
        <v>1946.5</v>
      </c>
      <c r="O1384" s="73">
        <f t="shared" si="27"/>
        <v>0.5651168764</v>
      </c>
      <c r="P1384" s="98">
        <v>1100.0</v>
      </c>
      <c r="Q1384" s="12"/>
      <c r="R1384" s="12"/>
      <c r="S1384" s="84" t="s">
        <v>131</v>
      </c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</row>
    <row r="1385" ht="15.75" customHeight="1">
      <c r="A1385" s="103">
        <v>1.2000321E7</v>
      </c>
      <c r="B1385" s="84">
        <v>9.000533389E9</v>
      </c>
      <c r="C1385" s="11">
        <v>46006.0</v>
      </c>
      <c r="D1385" s="84">
        <v>28.0</v>
      </c>
      <c r="E1385" s="84">
        <v>34058.0</v>
      </c>
      <c r="F1385" s="103" t="s">
        <v>31</v>
      </c>
      <c r="G1385" s="84" t="s">
        <v>44</v>
      </c>
      <c r="H1385" s="169" t="s">
        <v>45</v>
      </c>
      <c r="I1385" s="209" t="s">
        <v>46</v>
      </c>
      <c r="J1385" s="12" t="s">
        <v>35</v>
      </c>
      <c r="K1385" s="14" t="s">
        <v>47</v>
      </c>
      <c r="L1385" s="98" t="s">
        <v>108</v>
      </c>
      <c r="M1385" s="84" t="s">
        <v>1985</v>
      </c>
      <c r="N1385" s="133">
        <v>2545.0</v>
      </c>
      <c r="O1385" s="73">
        <f t="shared" si="27"/>
        <v>0.5893909627</v>
      </c>
      <c r="P1385" s="98">
        <v>1500.0</v>
      </c>
      <c r="Q1385" s="84" t="s">
        <v>39</v>
      </c>
      <c r="R1385" s="84">
        <v>1750216.0</v>
      </c>
      <c r="S1385" s="84" t="s">
        <v>40</v>
      </c>
      <c r="T1385" s="90">
        <v>7926462.0</v>
      </c>
      <c r="U1385" s="225">
        <v>46006.302083333336</v>
      </c>
      <c r="V1385" s="225">
        <v>46006.458333333336</v>
      </c>
      <c r="W1385" s="12"/>
      <c r="X1385" s="12"/>
      <c r="Y1385" s="225">
        <v>46008.666666666664</v>
      </c>
      <c r="Z1385" s="225">
        <v>46008.791666666664</v>
      </c>
      <c r="AA1385" s="12"/>
      <c r="AB1385" s="12"/>
      <c r="AC1385" s="12"/>
      <c r="AD1385" s="12"/>
      <c r="AE1385" s="207" t="s">
        <v>39</v>
      </c>
      <c r="AF1385" s="207" t="s">
        <v>39</v>
      </c>
      <c r="AG1385" s="22"/>
      <c r="AH1385" s="22"/>
      <c r="AI1385" s="22"/>
      <c r="AJ1385" s="22"/>
      <c r="AK1385" s="22"/>
      <c r="AL1385" s="22"/>
      <c r="AM1385" s="22"/>
      <c r="AN1385" s="22"/>
      <c r="AO1385" s="22"/>
      <c r="AP1385" s="22"/>
    </row>
    <row r="1386" ht="15.75" customHeight="1">
      <c r="A1386" s="103">
        <v>1.2002735E7</v>
      </c>
      <c r="B1386" s="84">
        <v>9.000535478E9</v>
      </c>
      <c r="C1386" s="11">
        <v>46007.0</v>
      </c>
      <c r="D1386" s="84">
        <v>26.0</v>
      </c>
      <c r="E1386" s="84">
        <v>31625.0</v>
      </c>
      <c r="F1386" s="103" t="s">
        <v>31</v>
      </c>
      <c r="G1386" s="84" t="s">
        <v>44</v>
      </c>
      <c r="H1386" s="84" t="s">
        <v>2127</v>
      </c>
      <c r="I1386" s="84" t="s">
        <v>2128</v>
      </c>
      <c r="J1386" s="238" t="s">
        <v>2082</v>
      </c>
      <c r="K1386" s="238" t="s">
        <v>2129</v>
      </c>
      <c r="L1386" s="98" t="s">
        <v>94</v>
      </c>
      <c r="M1386" s="84" t="s">
        <v>2152</v>
      </c>
      <c r="N1386" s="133">
        <v>6639.0</v>
      </c>
      <c r="O1386" s="73">
        <f t="shared" si="27"/>
        <v>0.4820003013</v>
      </c>
      <c r="P1386" s="98">
        <v>3200.0</v>
      </c>
      <c r="Q1386" s="12"/>
      <c r="R1386" s="84">
        <v>1751227.0</v>
      </c>
      <c r="S1386" s="84" t="s">
        <v>40</v>
      </c>
      <c r="T1386" s="90">
        <v>7935756.0</v>
      </c>
      <c r="U1386" s="225">
        <v>46006.90972222222</v>
      </c>
      <c r="V1386" s="225">
        <v>46007.708333333336</v>
      </c>
      <c r="W1386" s="12"/>
      <c r="X1386" s="12"/>
      <c r="Y1386" s="225">
        <v>46008.57638888889</v>
      </c>
      <c r="Z1386" s="225">
        <v>46008.791666666664</v>
      </c>
      <c r="AA1386" s="12"/>
      <c r="AB1386" s="12"/>
      <c r="AC1386" s="12"/>
      <c r="AD1386" s="12"/>
      <c r="AE1386" s="207" t="s">
        <v>39</v>
      </c>
      <c r="AF1386" s="207" t="s">
        <v>39</v>
      </c>
      <c r="AG1386" s="22"/>
      <c r="AH1386" s="22"/>
      <c r="AI1386" s="22"/>
      <c r="AJ1386" s="22"/>
      <c r="AK1386" s="22"/>
      <c r="AL1386" s="22"/>
      <c r="AM1386" s="22"/>
      <c r="AN1386" s="22"/>
      <c r="AO1386" s="22"/>
      <c r="AP1386" s="22"/>
    </row>
    <row r="1387" ht="15.75" customHeight="1">
      <c r="A1387" s="103">
        <v>1.20078E7</v>
      </c>
      <c r="B1387" s="84">
        <v>9.000542067E9</v>
      </c>
      <c r="C1387" s="11">
        <v>46007.0</v>
      </c>
      <c r="D1387" s="84">
        <v>26.0</v>
      </c>
      <c r="E1387" s="84">
        <v>33430.0</v>
      </c>
      <c r="F1387" s="103" t="s">
        <v>31</v>
      </c>
      <c r="G1387" s="208" t="s">
        <v>44</v>
      </c>
      <c r="H1387" s="194" t="s">
        <v>104</v>
      </c>
      <c r="I1387" s="85" t="s">
        <v>2149</v>
      </c>
      <c r="J1387" s="170" t="s">
        <v>35</v>
      </c>
      <c r="K1387" s="194" t="s">
        <v>106</v>
      </c>
      <c r="L1387" s="171" t="s">
        <v>59</v>
      </c>
      <c r="M1387" s="84" t="s">
        <v>2166</v>
      </c>
      <c r="N1387" s="133">
        <v>5337.0</v>
      </c>
      <c r="O1387" s="73">
        <f t="shared" si="27"/>
        <v>0.5746674162</v>
      </c>
      <c r="P1387" s="98">
        <v>3067.0</v>
      </c>
      <c r="Q1387" s="12"/>
      <c r="R1387" s="84">
        <v>1750841.0</v>
      </c>
      <c r="S1387" s="84" t="s">
        <v>40</v>
      </c>
      <c r="T1387" s="90">
        <v>7931346.0</v>
      </c>
      <c r="U1387" s="225">
        <v>46006.958333333336</v>
      </c>
      <c r="V1387" s="225">
        <v>46007.572916666664</v>
      </c>
      <c r="W1387" s="12"/>
      <c r="X1387" s="12"/>
      <c r="Y1387" s="225">
        <v>46009.270833333336</v>
      </c>
      <c r="Z1387" s="225">
        <v>46009.805555555555</v>
      </c>
      <c r="AA1387" s="12"/>
      <c r="AB1387" s="12"/>
      <c r="AC1387" s="12"/>
      <c r="AD1387" s="12"/>
      <c r="AE1387" s="207" t="s">
        <v>39</v>
      </c>
      <c r="AF1387" s="207" t="s">
        <v>39</v>
      </c>
      <c r="AG1387" s="22"/>
      <c r="AH1387" s="22"/>
      <c r="AI1387" s="22"/>
      <c r="AJ1387" s="22"/>
      <c r="AK1387" s="22"/>
      <c r="AL1387" s="22"/>
      <c r="AM1387" s="22"/>
      <c r="AN1387" s="22"/>
      <c r="AO1387" s="22"/>
      <c r="AP1387" s="22"/>
    </row>
    <row r="1388" ht="15.75" customHeight="1">
      <c r="A1388" s="248">
        <v>1.2020602E7</v>
      </c>
      <c r="B1388" s="84">
        <v>9.000556853E9</v>
      </c>
      <c r="C1388" s="11">
        <v>46010.0</v>
      </c>
      <c r="D1388" s="84">
        <v>26.0</v>
      </c>
      <c r="E1388" s="84">
        <v>30960.0</v>
      </c>
      <c r="F1388" s="103" t="s">
        <v>31</v>
      </c>
      <c r="G1388" s="84" t="s">
        <v>74</v>
      </c>
      <c r="H1388" s="84" t="s">
        <v>1914</v>
      </c>
      <c r="I1388" s="84" t="s">
        <v>1915</v>
      </c>
      <c r="J1388" s="93" t="s">
        <v>35</v>
      </c>
      <c r="K1388" s="84" t="s">
        <v>270</v>
      </c>
      <c r="L1388" s="98" t="s">
        <v>94</v>
      </c>
      <c r="M1388" s="84" t="s">
        <v>1860</v>
      </c>
      <c r="N1388" s="133">
        <v>6410.0</v>
      </c>
      <c r="O1388" s="73">
        <f t="shared" si="27"/>
        <v>0.7360374415</v>
      </c>
      <c r="P1388" s="98">
        <v>4718.0</v>
      </c>
      <c r="Q1388" s="84" t="s">
        <v>39</v>
      </c>
      <c r="R1388" s="84">
        <v>1753003.0</v>
      </c>
      <c r="S1388" s="84" t="s">
        <v>40</v>
      </c>
      <c r="T1388" s="90">
        <v>7958252.0</v>
      </c>
      <c r="U1388" s="225">
        <v>46010.291666666664</v>
      </c>
      <c r="V1388" s="225">
        <v>46010.291666666664</v>
      </c>
      <c r="W1388" s="12"/>
      <c r="X1388" s="237">
        <v>46013.208333333336</v>
      </c>
      <c r="Y1388" s="225">
        <v>46013.24652777778</v>
      </c>
      <c r="Z1388" s="225">
        <v>46013.61111111111</v>
      </c>
      <c r="AA1388" s="12"/>
      <c r="AB1388" s="12"/>
      <c r="AC1388" s="249"/>
      <c r="AD1388" s="12"/>
      <c r="AE1388" s="207" t="s">
        <v>39</v>
      </c>
      <c r="AF1388" s="207" t="s">
        <v>39</v>
      </c>
      <c r="AG1388" s="22"/>
      <c r="AH1388" s="22"/>
      <c r="AI1388" s="22"/>
      <c r="AJ1388" s="22"/>
      <c r="AK1388" s="22"/>
      <c r="AL1388" s="22"/>
      <c r="AM1388" s="22"/>
      <c r="AN1388" s="22"/>
      <c r="AO1388" s="22"/>
      <c r="AP1388" s="22"/>
    </row>
    <row r="1389" ht="15.75" customHeight="1">
      <c r="A1389" s="103">
        <v>1.2033718E7</v>
      </c>
      <c r="B1389" s="84">
        <v>9.000575611E9</v>
      </c>
      <c r="C1389" s="11">
        <v>46011.0</v>
      </c>
      <c r="D1389" s="84">
        <v>26.0</v>
      </c>
      <c r="E1389" s="84">
        <v>27613.0</v>
      </c>
      <c r="F1389" s="103" t="s">
        <v>43</v>
      </c>
      <c r="G1389" s="84" t="s">
        <v>44</v>
      </c>
      <c r="H1389" s="169" t="s">
        <v>45</v>
      </c>
      <c r="I1389" s="209" t="s">
        <v>46</v>
      </c>
      <c r="J1389" s="12" t="s">
        <v>35</v>
      </c>
      <c r="K1389" s="14" t="s">
        <v>47</v>
      </c>
      <c r="L1389" s="244" t="s">
        <v>108</v>
      </c>
      <c r="M1389" s="84" t="s">
        <v>2144</v>
      </c>
      <c r="N1389" s="133">
        <v>1946.5</v>
      </c>
      <c r="O1389" s="73">
        <f t="shared" si="27"/>
        <v>0.7706139224</v>
      </c>
      <c r="P1389" s="98">
        <v>1500.0</v>
      </c>
      <c r="Q1389" s="84" t="s">
        <v>39</v>
      </c>
      <c r="R1389" s="84">
        <v>1753914.0</v>
      </c>
      <c r="S1389" s="84" t="s">
        <v>40</v>
      </c>
      <c r="T1389" s="90">
        <v>7968341.0</v>
      </c>
      <c r="U1389" s="225">
        <v>46011.80902777778</v>
      </c>
      <c r="V1389" s="225">
        <v>46011.96875</v>
      </c>
      <c r="W1389" s="12"/>
      <c r="X1389" s="12"/>
      <c r="Y1389" s="225">
        <v>46013.34375</v>
      </c>
      <c r="Z1389" s="225">
        <v>46013.458333333336</v>
      </c>
      <c r="AA1389" s="12"/>
      <c r="AB1389" s="12"/>
      <c r="AC1389" s="12"/>
      <c r="AD1389" s="12"/>
      <c r="AE1389" s="207" t="s">
        <v>39</v>
      </c>
      <c r="AF1389" s="12"/>
      <c r="AG1389" s="22"/>
      <c r="AH1389" s="22"/>
      <c r="AI1389" s="22"/>
      <c r="AJ1389" s="22"/>
      <c r="AK1389" s="22"/>
      <c r="AL1389" s="22"/>
      <c r="AM1389" s="22"/>
      <c r="AN1389" s="22"/>
      <c r="AO1389" s="22"/>
      <c r="AP1389" s="22"/>
    </row>
    <row r="1390" ht="15.75" customHeight="1">
      <c r="A1390" s="103">
        <v>1.2033719E7</v>
      </c>
      <c r="B1390" s="84">
        <v>4.503884641E9</v>
      </c>
      <c r="C1390" s="11">
        <v>46011.0</v>
      </c>
      <c r="D1390" s="84">
        <v>15.0</v>
      </c>
      <c r="E1390" s="84">
        <v>1480.0</v>
      </c>
      <c r="F1390" s="103" t="s">
        <v>43</v>
      </c>
      <c r="G1390" s="84" t="s">
        <v>44</v>
      </c>
      <c r="H1390" s="176" t="s">
        <v>2167</v>
      </c>
      <c r="I1390" s="194" t="s">
        <v>1957</v>
      </c>
      <c r="J1390" s="14" t="s">
        <v>47</v>
      </c>
      <c r="K1390" s="12" t="s">
        <v>35</v>
      </c>
      <c r="L1390" s="244" t="s">
        <v>108</v>
      </c>
      <c r="M1390" s="84" t="s">
        <v>2144</v>
      </c>
      <c r="N1390" s="133">
        <v>1946.5</v>
      </c>
      <c r="O1390" s="73">
        <f t="shared" si="27"/>
        <v>0.5651168764</v>
      </c>
      <c r="P1390" s="98">
        <v>1100.0</v>
      </c>
      <c r="Q1390" s="12"/>
      <c r="R1390" s="84">
        <v>1754559.0</v>
      </c>
      <c r="S1390" s="84" t="s">
        <v>40</v>
      </c>
      <c r="T1390" s="90">
        <v>7972383.0</v>
      </c>
      <c r="U1390" s="225">
        <v>46013.458333333336</v>
      </c>
      <c r="V1390" s="225">
        <v>46013.458333333336</v>
      </c>
      <c r="W1390" s="12"/>
      <c r="X1390" s="12"/>
      <c r="Y1390" s="225">
        <v>46015.364583333336</v>
      </c>
      <c r="Z1390" s="225">
        <v>46018.375</v>
      </c>
      <c r="AA1390" s="12"/>
      <c r="AB1390" s="12"/>
      <c r="AC1390" s="12"/>
      <c r="AD1390" s="12"/>
      <c r="AE1390" s="207" t="s">
        <v>39</v>
      </c>
      <c r="AF1390" s="207" t="s">
        <v>39</v>
      </c>
      <c r="AG1390" s="22"/>
      <c r="AH1390" s="22"/>
      <c r="AI1390" s="22"/>
      <c r="AJ1390" s="22"/>
      <c r="AK1390" s="22"/>
      <c r="AL1390" s="22"/>
      <c r="AM1390" s="22"/>
      <c r="AN1390" s="22"/>
      <c r="AO1390" s="22"/>
      <c r="AP1390" s="22"/>
    </row>
    <row r="1391" ht="15.75" customHeight="1">
      <c r="A1391" s="103">
        <v>1.2033466E7</v>
      </c>
      <c r="B1391" s="84">
        <v>9.000575039E9</v>
      </c>
      <c r="C1391" s="11">
        <v>46011.0</v>
      </c>
      <c r="D1391" s="84">
        <v>27.0</v>
      </c>
      <c r="E1391" s="84">
        <v>34716.0</v>
      </c>
      <c r="F1391" s="103" t="s">
        <v>31</v>
      </c>
      <c r="G1391" s="84" t="s">
        <v>44</v>
      </c>
      <c r="H1391" s="84" t="s">
        <v>1317</v>
      </c>
      <c r="I1391" s="98" t="s">
        <v>2131</v>
      </c>
      <c r="J1391" s="84" t="s">
        <v>35</v>
      </c>
      <c r="K1391" s="84" t="s">
        <v>138</v>
      </c>
      <c r="L1391" s="98" t="s">
        <v>94</v>
      </c>
      <c r="M1391" s="84" t="s">
        <v>2079</v>
      </c>
      <c r="N1391" s="133">
        <v>5760.0</v>
      </c>
      <c r="O1391" s="73">
        <f t="shared" si="27"/>
        <v>0.2788194444</v>
      </c>
      <c r="P1391" s="98">
        <v>1606.0</v>
      </c>
      <c r="Q1391" s="84" t="s">
        <v>39</v>
      </c>
      <c r="R1391" s="84">
        <v>1754519.0</v>
      </c>
      <c r="S1391" s="84" t="s">
        <v>40</v>
      </c>
      <c r="T1391" s="90">
        <v>7971864.0</v>
      </c>
      <c r="U1391" s="225">
        <v>46011.03472222222</v>
      </c>
      <c r="V1391" s="225">
        <v>46011.03472222222</v>
      </c>
      <c r="W1391" s="12"/>
      <c r="X1391" s="12"/>
      <c r="Y1391" s="225">
        <v>46014.31597222222</v>
      </c>
      <c r="Z1391" s="225">
        <v>46014.475694444445</v>
      </c>
      <c r="AA1391" s="12"/>
      <c r="AB1391" s="12"/>
      <c r="AC1391" s="12"/>
      <c r="AD1391" s="12"/>
      <c r="AE1391" s="207" t="s">
        <v>39</v>
      </c>
      <c r="AF1391" s="207" t="s">
        <v>39</v>
      </c>
      <c r="AG1391" s="22"/>
      <c r="AH1391" s="22"/>
      <c r="AI1391" s="22"/>
      <c r="AJ1391" s="22"/>
      <c r="AK1391" s="22"/>
      <c r="AL1391" s="22"/>
      <c r="AM1391" s="22"/>
      <c r="AN1391" s="22"/>
      <c r="AO1391" s="22"/>
      <c r="AP1391" s="22"/>
    </row>
    <row r="1392" ht="15.75" customHeight="1">
      <c r="A1392" s="103">
        <v>1.2033467E7</v>
      </c>
      <c r="B1392" s="84">
        <v>9.000575023E9</v>
      </c>
      <c r="C1392" s="11">
        <v>46011.0</v>
      </c>
      <c r="D1392" s="84">
        <v>26.0</v>
      </c>
      <c r="E1392" s="84">
        <v>32388.0</v>
      </c>
      <c r="F1392" s="103" t="s">
        <v>31</v>
      </c>
      <c r="G1392" s="84" t="s">
        <v>44</v>
      </c>
      <c r="H1392" s="84" t="s">
        <v>1317</v>
      </c>
      <c r="I1392" s="98" t="s">
        <v>2131</v>
      </c>
      <c r="J1392" s="84" t="s">
        <v>35</v>
      </c>
      <c r="K1392" s="84" t="s">
        <v>138</v>
      </c>
      <c r="L1392" s="244" t="s">
        <v>94</v>
      </c>
      <c r="M1392" s="84" t="s">
        <v>2168</v>
      </c>
      <c r="N1392" s="133">
        <v>5760.0</v>
      </c>
      <c r="O1392" s="73">
        <f t="shared" si="27"/>
        <v>0.6944444444</v>
      </c>
      <c r="P1392" s="98">
        <v>4000.0</v>
      </c>
      <c r="Q1392" s="84" t="s">
        <v>39</v>
      </c>
      <c r="R1392" s="84">
        <v>1753916.0</v>
      </c>
      <c r="S1392" s="84" t="s">
        <v>40</v>
      </c>
      <c r="T1392" s="90">
        <v>7968362.0</v>
      </c>
      <c r="U1392" s="225">
        <v>46011.677083333336</v>
      </c>
      <c r="V1392" s="225">
        <v>46011.96527777778</v>
      </c>
      <c r="W1392" s="12"/>
      <c r="X1392" s="12"/>
      <c r="Y1392" s="225">
        <v>46012.788194444445</v>
      </c>
      <c r="Z1392" s="225">
        <v>46013.493055555555</v>
      </c>
      <c r="AA1392" s="12"/>
      <c r="AB1392" s="12"/>
      <c r="AC1392" s="12"/>
      <c r="AD1392" s="12"/>
      <c r="AE1392" s="207" t="s">
        <v>39</v>
      </c>
      <c r="AF1392" s="12"/>
      <c r="AG1392" s="22"/>
      <c r="AH1392" s="22"/>
      <c r="AI1392" s="22"/>
      <c r="AJ1392" s="22"/>
      <c r="AK1392" s="22"/>
      <c r="AL1392" s="22"/>
      <c r="AM1392" s="22"/>
      <c r="AN1392" s="22"/>
      <c r="AO1392" s="22"/>
      <c r="AP1392" s="22"/>
    </row>
    <row r="1393" ht="15.75" customHeight="1">
      <c r="A1393" s="103">
        <v>1.2035174E7</v>
      </c>
      <c r="B1393" s="84">
        <v>9.000575556E9</v>
      </c>
      <c r="C1393" s="11">
        <v>46011.0</v>
      </c>
      <c r="D1393" s="84">
        <v>26.0</v>
      </c>
      <c r="E1393" s="84">
        <v>31199.0</v>
      </c>
      <c r="F1393" s="103" t="s">
        <v>43</v>
      </c>
      <c r="G1393" s="84" t="s">
        <v>32</v>
      </c>
      <c r="H1393" s="12" t="s">
        <v>265</v>
      </c>
      <c r="I1393" s="39" t="s">
        <v>266</v>
      </c>
      <c r="J1393" s="25" t="s">
        <v>35</v>
      </c>
      <c r="K1393" s="25" t="s">
        <v>267</v>
      </c>
      <c r="L1393" s="245" t="s">
        <v>114</v>
      </c>
      <c r="M1393" s="84" t="s">
        <v>1974</v>
      </c>
      <c r="N1393" s="133">
        <v>4997.0</v>
      </c>
      <c r="O1393" s="73">
        <f t="shared" si="27"/>
        <v>0.8505103062</v>
      </c>
      <c r="P1393" s="98">
        <v>4250.0</v>
      </c>
      <c r="Q1393" s="12"/>
      <c r="R1393" s="84">
        <v>1753908.0</v>
      </c>
      <c r="S1393" s="84" t="s">
        <v>40</v>
      </c>
      <c r="T1393" s="90">
        <v>7968319.0</v>
      </c>
      <c r="U1393" s="225">
        <v>46011.555555555555</v>
      </c>
      <c r="V1393" s="225">
        <v>46011.850694444445</v>
      </c>
      <c r="W1393" s="12"/>
      <c r="X1393" s="12"/>
      <c r="Y1393" s="225">
        <v>46014.38888888889</v>
      </c>
      <c r="Z1393" s="225">
        <v>46014.583333333336</v>
      </c>
      <c r="AA1393" s="12"/>
      <c r="AB1393" s="12"/>
      <c r="AC1393" s="12"/>
      <c r="AD1393" s="12"/>
      <c r="AE1393" s="207" t="s">
        <v>39</v>
      </c>
      <c r="AF1393" s="207" t="s">
        <v>39</v>
      </c>
      <c r="AG1393" s="22"/>
      <c r="AH1393" s="22"/>
      <c r="AI1393" s="22"/>
      <c r="AJ1393" s="22"/>
      <c r="AK1393" s="22"/>
      <c r="AL1393" s="22"/>
      <c r="AM1393" s="22"/>
      <c r="AN1393" s="22"/>
      <c r="AO1393" s="22"/>
      <c r="AP1393" s="22"/>
    </row>
    <row r="1394" ht="15.75" customHeight="1">
      <c r="A1394" s="103">
        <v>1.2035175E7</v>
      </c>
      <c r="B1394" s="84">
        <v>9.000575554E9</v>
      </c>
      <c r="C1394" s="11">
        <v>46011.0</v>
      </c>
      <c r="D1394" s="84">
        <v>3.0</v>
      </c>
      <c r="E1394" s="84">
        <v>592.0</v>
      </c>
      <c r="F1394" s="103" t="s">
        <v>43</v>
      </c>
      <c r="G1394" s="84" t="s">
        <v>32</v>
      </c>
      <c r="H1394" s="84" t="s">
        <v>2169</v>
      </c>
      <c r="I1394" s="194" t="s">
        <v>1957</v>
      </c>
      <c r="J1394" s="25" t="s">
        <v>267</v>
      </c>
      <c r="K1394" s="25" t="s">
        <v>35</v>
      </c>
      <c r="L1394" s="95" t="s">
        <v>114</v>
      </c>
      <c r="M1394" s="84" t="s">
        <v>1974</v>
      </c>
      <c r="N1394" s="133">
        <v>4997.0</v>
      </c>
      <c r="O1394" s="73">
        <f t="shared" si="27"/>
        <v>0.5503301981</v>
      </c>
      <c r="P1394" s="98">
        <v>2750.0</v>
      </c>
      <c r="Q1394" s="12"/>
      <c r="R1394" s="84">
        <v>1756609.0</v>
      </c>
      <c r="S1394" s="84" t="s">
        <v>40</v>
      </c>
      <c r="T1394" s="90">
        <v>7990220.0</v>
      </c>
      <c r="U1394" s="225">
        <v>46014.583333333336</v>
      </c>
      <c r="V1394" s="225">
        <v>46014.583333333336</v>
      </c>
      <c r="W1394" s="12"/>
      <c r="X1394" s="12"/>
      <c r="Y1394" s="225">
        <v>46018.59027777778</v>
      </c>
      <c r="Z1394" s="225">
        <v>46019.020833333336</v>
      </c>
      <c r="AA1394" s="12"/>
      <c r="AB1394" s="12"/>
      <c r="AC1394" s="12"/>
      <c r="AD1394" s="12"/>
      <c r="AE1394" s="207" t="s">
        <v>39</v>
      </c>
      <c r="AF1394" s="207" t="s">
        <v>39</v>
      </c>
      <c r="AG1394" s="22"/>
      <c r="AH1394" s="22"/>
      <c r="AI1394" s="22"/>
      <c r="AJ1394" s="22"/>
      <c r="AK1394" s="22"/>
      <c r="AL1394" s="22"/>
      <c r="AM1394" s="22"/>
      <c r="AN1394" s="22"/>
      <c r="AO1394" s="22"/>
      <c r="AP1394" s="22"/>
    </row>
    <row r="1395" ht="15.75" customHeight="1">
      <c r="A1395" s="103">
        <v>1.2024521E7</v>
      </c>
      <c r="B1395" s="84">
        <v>9.00056219E9</v>
      </c>
      <c r="C1395" s="11">
        <v>46014.0</v>
      </c>
      <c r="D1395" s="84">
        <v>27.0</v>
      </c>
      <c r="E1395" s="84">
        <v>34716.0</v>
      </c>
      <c r="F1395" s="103" t="s">
        <v>31</v>
      </c>
      <c r="G1395" s="84" t="s">
        <v>32</v>
      </c>
      <c r="H1395" s="12" t="s">
        <v>265</v>
      </c>
      <c r="I1395" s="39" t="s">
        <v>266</v>
      </c>
      <c r="J1395" s="25" t="s">
        <v>35</v>
      </c>
      <c r="K1395" s="25" t="s">
        <v>267</v>
      </c>
      <c r="L1395" s="98" t="s">
        <v>114</v>
      </c>
      <c r="M1395" s="84" t="s">
        <v>1985</v>
      </c>
      <c r="N1395" s="133">
        <v>6527.0</v>
      </c>
      <c r="O1395" s="73">
        <f t="shared" si="27"/>
        <v>0.7692661253</v>
      </c>
      <c r="P1395" s="98">
        <v>5021.0</v>
      </c>
      <c r="Q1395" s="12"/>
      <c r="R1395" s="84">
        <v>1755153.0</v>
      </c>
      <c r="S1395" s="84" t="s">
        <v>40</v>
      </c>
      <c r="T1395" s="90">
        <v>7980271.0</v>
      </c>
      <c r="U1395" s="225">
        <v>46014.395833333336</v>
      </c>
      <c r="V1395" s="225">
        <v>46014.618055555555</v>
      </c>
      <c r="W1395" s="12"/>
      <c r="X1395" s="12"/>
      <c r="Y1395" s="225">
        <v>46019.583333333336</v>
      </c>
      <c r="Z1395" s="225">
        <v>46020.56597222222</v>
      </c>
      <c r="AA1395" s="12"/>
      <c r="AB1395" s="12"/>
      <c r="AC1395" s="12"/>
      <c r="AD1395" s="12"/>
      <c r="AE1395" s="207" t="s">
        <v>39</v>
      </c>
      <c r="AF1395" s="207" t="s">
        <v>39</v>
      </c>
      <c r="AG1395" s="22"/>
      <c r="AH1395" s="22"/>
      <c r="AI1395" s="22"/>
      <c r="AJ1395" s="22"/>
      <c r="AK1395" s="22"/>
      <c r="AL1395" s="22"/>
      <c r="AM1395" s="22"/>
      <c r="AN1395" s="22"/>
      <c r="AO1395" s="22"/>
      <c r="AP1395" s="22"/>
    </row>
    <row r="1396" ht="15.75" customHeight="1">
      <c r="A1396" s="103">
        <v>1.2046965E7</v>
      </c>
      <c r="B1396" s="84">
        <v>9.000588456E9</v>
      </c>
      <c r="C1396" s="11">
        <v>46014.0</v>
      </c>
      <c r="D1396" s="84">
        <v>24.0</v>
      </c>
      <c r="E1396" s="84">
        <v>24896.0</v>
      </c>
      <c r="F1396" s="219" t="s">
        <v>43</v>
      </c>
      <c r="G1396" s="85" t="s">
        <v>44</v>
      </c>
      <c r="H1396" s="84" t="s">
        <v>1317</v>
      </c>
      <c r="I1396" s="89" t="s">
        <v>2131</v>
      </c>
      <c r="J1396" s="84" t="s">
        <v>35</v>
      </c>
      <c r="K1396" s="84" t="s">
        <v>138</v>
      </c>
      <c r="L1396" s="244" t="s">
        <v>94</v>
      </c>
      <c r="M1396" s="216" t="s">
        <v>2170</v>
      </c>
      <c r="N1396" s="133">
        <v>4863.0</v>
      </c>
      <c r="O1396" s="73">
        <f t="shared" si="27"/>
        <v>0</v>
      </c>
      <c r="P1396" s="98">
        <v>0.0</v>
      </c>
      <c r="Q1396" s="12"/>
      <c r="R1396" s="84">
        <v>1756981.0</v>
      </c>
      <c r="S1396" s="84" t="s">
        <v>40</v>
      </c>
      <c r="T1396" s="90">
        <v>7994669.0</v>
      </c>
      <c r="U1396" s="225">
        <v>46014.8125</v>
      </c>
      <c r="V1396" s="225">
        <v>46015.354166666664</v>
      </c>
      <c r="W1396" s="12"/>
      <c r="X1396" s="12"/>
      <c r="Y1396" s="225">
        <v>46019.71527777778</v>
      </c>
      <c r="Z1396" s="225">
        <v>46020.65277777778</v>
      </c>
      <c r="AA1396" s="12"/>
      <c r="AB1396" s="12"/>
      <c r="AC1396" s="12"/>
      <c r="AD1396" s="12"/>
      <c r="AE1396" s="213"/>
      <c r="AF1396" s="213"/>
      <c r="AG1396" s="22"/>
      <c r="AH1396" s="22"/>
      <c r="AI1396" s="22"/>
      <c r="AJ1396" s="22"/>
      <c r="AK1396" s="22"/>
      <c r="AL1396" s="22"/>
      <c r="AM1396" s="22"/>
      <c r="AN1396" s="22"/>
      <c r="AO1396" s="22"/>
      <c r="AP1396" s="22"/>
    </row>
    <row r="1397" ht="15.75" customHeight="1">
      <c r="A1397" s="103">
        <v>1.2046966E7</v>
      </c>
      <c r="B1397" s="84">
        <v>9.000588451E9</v>
      </c>
      <c r="C1397" s="11">
        <v>46014.0</v>
      </c>
      <c r="D1397" s="84">
        <v>18.0</v>
      </c>
      <c r="E1397" s="84">
        <v>8601.0</v>
      </c>
      <c r="F1397" s="169" t="s">
        <v>43</v>
      </c>
      <c r="G1397" s="168" t="s">
        <v>44</v>
      </c>
      <c r="H1397" s="84" t="s">
        <v>2171</v>
      </c>
      <c r="I1397" s="89" t="s">
        <v>2131</v>
      </c>
      <c r="J1397" s="84" t="s">
        <v>35</v>
      </c>
      <c r="K1397" s="84" t="s">
        <v>138</v>
      </c>
      <c r="L1397" s="244" t="s">
        <v>94</v>
      </c>
      <c r="M1397" s="84" t="s">
        <v>2170</v>
      </c>
      <c r="N1397" s="133">
        <v>4863.0</v>
      </c>
      <c r="O1397" s="73">
        <f t="shared" si="27"/>
        <v>0</v>
      </c>
      <c r="P1397" s="98">
        <v>0.0</v>
      </c>
      <c r="Q1397" s="12"/>
      <c r="R1397" s="84">
        <v>1758015.0</v>
      </c>
      <c r="S1397" s="84" t="s">
        <v>40</v>
      </c>
      <c r="T1397" s="90">
        <v>8001597.0</v>
      </c>
      <c r="U1397" s="225">
        <v>46020.65277777778</v>
      </c>
      <c r="V1397" s="225">
        <v>46020.65277777778</v>
      </c>
      <c r="W1397" s="12"/>
      <c r="X1397" s="12"/>
      <c r="Y1397" s="214">
        <v>46024.395833333336</v>
      </c>
      <c r="Z1397" s="214">
        <v>46024.819444444445</v>
      </c>
      <c r="AA1397" s="12"/>
      <c r="AB1397" s="12"/>
      <c r="AC1397" s="12"/>
      <c r="AD1397" s="12"/>
      <c r="AE1397" s="12"/>
      <c r="AF1397" s="12"/>
      <c r="AG1397" s="22"/>
      <c r="AH1397" s="22"/>
      <c r="AI1397" s="22"/>
      <c r="AJ1397" s="22"/>
      <c r="AK1397" s="22"/>
      <c r="AL1397" s="22"/>
      <c r="AM1397" s="22"/>
      <c r="AN1397" s="22"/>
      <c r="AO1397" s="22"/>
      <c r="AP1397" s="22"/>
    </row>
    <row r="1398" ht="15.75" customHeight="1">
      <c r="A1398" s="103">
        <v>1.2025868E7</v>
      </c>
      <c r="B1398" s="84">
        <v>9.000564174E9</v>
      </c>
      <c r="C1398" s="11">
        <v>46014.0</v>
      </c>
      <c r="D1398" s="84">
        <v>26.0</v>
      </c>
      <c r="E1398" s="84">
        <v>25510.0</v>
      </c>
      <c r="F1398" s="103" t="s">
        <v>43</v>
      </c>
      <c r="G1398" s="84" t="s">
        <v>32</v>
      </c>
      <c r="H1398" s="12" t="s">
        <v>265</v>
      </c>
      <c r="I1398" s="39" t="s">
        <v>266</v>
      </c>
      <c r="J1398" s="25" t="s">
        <v>35</v>
      </c>
      <c r="K1398" s="25" t="s">
        <v>267</v>
      </c>
      <c r="L1398" s="95" t="s">
        <v>114</v>
      </c>
      <c r="M1398" s="84" t="s">
        <v>1936</v>
      </c>
      <c r="N1398" s="133">
        <v>4997.0</v>
      </c>
      <c r="O1398" s="73">
        <f t="shared" si="27"/>
        <v>0.8505103062</v>
      </c>
      <c r="P1398" s="98">
        <v>4250.0</v>
      </c>
      <c r="Q1398" s="12"/>
      <c r="R1398" s="84">
        <v>1755593.0</v>
      </c>
      <c r="S1398" s="84" t="s">
        <v>40</v>
      </c>
      <c r="T1398" s="90">
        <v>7984220.0</v>
      </c>
      <c r="U1398" s="225">
        <v>46014.774305555555</v>
      </c>
      <c r="V1398" s="225">
        <v>46015.375</v>
      </c>
      <c r="W1398" s="12"/>
      <c r="X1398" s="12"/>
      <c r="Y1398" s="225">
        <v>46018.28125</v>
      </c>
      <c r="Z1398" s="225">
        <v>46018.475694444445</v>
      </c>
      <c r="AA1398" s="12"/>
      <c r="AB1398" s="12"/>
      <c r="AC1398" s="12"/>
      <c r="AD1398" s="12"/>
      <c r="AE1398" s="207" t="s">
        <v>39</v>
      </c>
      <c r="AF1398" s="207" t="s">
        <v>39</v>
      </c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</row>
    <row r="1399" ht="15.75" customHeight="1">
      <c r="A1399" s="103">
        <v>1.2025869E7</v>
      </c>
      <c r="B1399" s="84">
        <v>9.000564158E9</v>
      </c>
      <c r="C1399" s="11">
        <v>46014.0</v>
      </c>
      <c r="D1399" s="84">
        <v>12.0</v>
      </c>
      <c r="E1399" s="84">
        <v>3261.0</v>
      </c>
      <c r="F1399" s="103" t="s">
        <v>43</v>
      </c>
      <c r="G1399" s="84" t="s">
        <v>32</v>
      </c>
      <c r="H1399" s="84" t="s">
        <v>2172</v>
      </c>
      <c r="I1399" s="194" t="s">
        <v>1957</v>
      </c>
      <c r="J1399" s="25" t="s">
        <v>267</v>
      </c>
      <c r="K1399" s="25" t="s">
        <v>35</v>
      </c>
      <c r="L1399" s="95" t="s">
        <v>114</v>
      </c>
      <c r="M1399" s="84" t="s">
        <v>1936</v>
      </c>
      <c r="N1399" s="133">
        <v>4997.0</v>
      </c>
      <c r="O1399" s="73">
        <f t="shared" si="27"/>
        <v>0.5503301981</v>
      </c>
      <c r="P1399" s="98">
        <v>2750.0</v>
      </c>
      <c r="Q1399" s="12"/>
      <c r="R1399" s="84">
        <v>1757001.0</v>
      </c>
      <c r="S1399" s="84" t="s">
        <v>40</v>
      </c>
      <c r="T1399" s="90">
        <v>7994760.0</v>
      </c>
      <c r="U1399" s="225">
        <v>46018.475694444445</v>
      </c>
      <c r="V1399" s="225">
        <v>46018.475694444445</v>
      </c>
      <c r="W1399" s="12"/>
      <c r="X1399" s="12"/>
      <c r="Y1399" s="225">
        <v>46020.805555555555</v>
      </c>
      <c r="Z1399" s="225">
        <v>46021.51388888889</v>
      </c>
      <c r="AA1399" s="12"/>
      <c r="AB1399" s="12"/>
      <c r="AC1399" s="12"/>
      <c r="AD1399" s="12"/>
      <c r="AE1399" s="207" t="s">
        <v>39</v>
      </c>
      <c r="AF1399" s="12"/>
      <c r="AG1399" s="22"/>
      <c r="AH1399" s="22"/>
      <c r="AI1399" s="22"/>
      <c r="AJ1399" s="22"/>
      <c r="AK1399" s="22"/>
      <c r="AL1399" s="22"/>
      <c r="AM1399" s="22"/>
      <c r="AN1399" s="22"/>
      <c r="AO1399" s="22"/>
      <c r="AP1399" s="22"/>
    </row>
    <row r="1400" ht="15.75" customHeight="1">
      <c r="A1400" s="103">
        <v>1.2040677E7</v>
      </c>
      <c r="B1400" s="84">
        <v>9.000581071E9</v>
      </c>
      <c r="C1400" s="11">
        <v>46014.0</v>
      </c>
      <c r="D1400" s="84">
        <v>26.0</v>
      </c>
      <c r="E1400" s="84">
        <v>30527.0</v>
      </c>
      <c r="F1400" s="103" t="s">
        <v>31</v>
      </c>
      <c r="G1400" s="84" t="s">
        <v>74</v>
      </c>
      <c r="H1400" s="84" t="s">
        <v>2173</v>
      </c>
      <c r="I1400" s="84" t="s">
        <v>836</v>
      </c>
      <c r="J1400" s="170" t="s">
        <v>35</v>
      </c>
      <c r="K1400" s="84" t="s">
        <v>837</v>
      </c>
      <c r="L1400" s="98" t="s">
        <v>78</v>
      </c>
      <c r="M1400" s="84" t="s">
        <v>1943</v>
      </c>
      <c r="N1400" s="133">
        <v>7898.0</v>
      </c>
      <c r="O1400" s="73">
        <f t="shared" si="27"/>
        <v>0.6999240314</v>
      </c>
      <c r="P1400" s="98">
        <v>5528.0</v>
      </c>
      <c r="Q1400" s="12"/>
      <c r="R1400" s="84">
        <v>1755128.0</v>
      </c>
      <c r="S1400" s="84" t="s">
        <v>40</v>
      </c>
      <c r="T1400" s="90">
        <v>7980983.0</v>
      </c>
      <c r="U1400" s="225">
        <v>46014.635416666664</v>
      </c>
      <c r="V1400" s="225">
        <v>46014.770833333336</v>
      </c>
      <c r="W1400" s="12"/>
      <c r="X1400" s="237">
        <v>46020.291666666664</v>
      </c>
      <c r="Y1400" s="225">
        <v>46020.25</v>
      </c>
      <c r="Z1400" s="225">
        <v>46020.625</v>
      </c>
      <c r="AA1400" s="12"/>
      <c r="AB1400" s="84" t="s">
        <v>2174</v>
      </c>
      <c r="AC1400" s="84" t="s">
        <v>2175</v>
      </c>
      <c r="AD1400" s="12"/>
      <c r="AE1400" s="207" t="s">
        <v>39</v>
      </c>
      <c r="AF1400" s="207" t="s">
        <v>39</v>
      </c>
      <c r="AG1400" s="22"/>
      <c r="AH1400" s="22"/>
      <c r="AI1400" s="22"/>
      <c r="AJ1400" s="22"/>
      <c r="AK1400" s="22"/>
      <c r="AL1400" s="22"/>
      <c r="AM1400" s="22"/>
      <c r="AN1400" s="22"/>
      <c r="AO1400" s="22"/>
      <c r="AP1400" s="22"/>
    </row>
    <row r="1401" ht="15.0" customHeight="1">
      <c r="A1401" s="103">
        <v>1.2032341E7</v>
      </c>
      <c r="B1401" s="84">
        <v>9.000571941E9</v>
      </c>
      <c r="C1401" s="11">
        <v>46015.0</v>
      </c>
      <c r="D1401" s="84">
        <v>26.0</v>
      </c>
      <c r="E1401" s="84">
        <v>30917.0</v>
      </c>
      <c r="F1401" s="103" t="s">
        <v>31</v>
      </c>
      <c r="G1401" s="84" t="s">
        <v>74</v>
      </c>
      <c r="H1401" s="84" t="s">
        <v>2003</v>
      </c>
      <c r="I1401" s="84" t="s">
        <v>2004</v>
      </c>
      <c r="J1401" s="84" t="s">
        <v>35</v>
      </c>
      <c r="K1401" s="84" t="s">
        <v>187</v>
      </c>
      <c r="L1401" s="98" t="s">
        <v>188</v>
      </c>
      <c r="M1401" s="84" t="s">
        <v>2152</v>
      </c>
      <c r="N1401" s="133">
        <v>4362.0</v>
      </c>
      <c r="O1401" s="73">
        <f t="shared" si="27"/>
        <v>0.6744612563</v>
      </c>
      <c r="P1401" s="98">
        <v>2942.0</v>
      </c>
      <c r="Q1401" s="12"/>
      <c r="R1401" s="84">
        <v>1755613.0</v>
      </c>
      <c r="S1401" s="84" t="s">
        <v>40</v>
      </c>
      <c r="T1401" s="90">
        <v>7984413.0</v>
      </c>
      <c r="U1401" s="225">
        <v>46014.9375</v>
      </c>
      <c r="V1401" s="225">
        <v>46015.322916666664</v>
      </c>
      <c r="W1401" s="12"/>
      <c r="X1401" s="12"/>
      <c r="Y1401" s="12"/>
      <c r="Z1401" s="225">
        <v>46018.479166666664</v>
      </c>
      <c r="AA1401" s="12"/>
      <c r="AB1401" s="12"/>
      <c r="AC1401" s="12"/>
      <c r="AD1401" s="12"/>
      <c r="AE1401" s="207" t="s">
        <v>39</v>
      </c>
      <c r="AF1401" s="207" t="s">
        <v>39</v>
      </c>
      <c r="AG1401" s="22"/>
      <c r="AH1401" s="22"/>
      <c r="AI1401" s="22"/>
      <c r="AJ1401" s="22"/>
      <c r="AK1401" s="22"/>
      <c r="AL1401" s="22"/>
      <c r="AM1401" s="22"/>
      <c r="AN1401" s="22"/>
      <c r="AO1401" s="22"/>
      <c r="AP1401" s="22"/>
    </row>
    <row r="1402" ht="15.75" customHeight="1">
      <c r="A1402" s="103">
        <v>1.2034263E7</v>
      </c>
      <c r="B1402" s="84">
        <v>9.00057565E9</v>
      </c>
      <c r="C1402" s="11">
        <v>46017.0</v>
      </c>
      <c r="D1402" s="84">
        <v>28.0</v>
      </c>
      <c r="E1402" s="84">
        <v>34058.0</v>
      </c>
      <c r="F1402" s="103" t="s">
        <v>31</v>
      </c>
      <c r="G1402" s="208" t="s">
        <v>44</v>
      </c>
      <c r="H1402" s="194" t="s">
        <v>104</v>
      </c>
      <c r="I1402" s="85" t="s">
        <v>2149</v>
      </c>
      <c r="J1402" s="170" t="s">
        <v>35</v>
      </c>
      <c r="K1402" s="194" t="s">
        <v>106</v>
      </c>
      <c r="L1402" s="247" t="s">
        <v>59</v>
      </c>
      <c r="M1402" s="84" t="s">
        <v>2144</v>
      </c>
      <c r="N1402" s="133">
        <v>5337.0</v>
      </c>
      <c r="O1402" s="73">
        <f t="shared" si="27"/>
        <v>0.5059021922</v>
      </c>
      <c r="P1402" s="98">
        <v>2700.0</v>
      </c>
      <c r="Q1402" s="12"/>
      <c r="R1402" s="84">
        <v>1756857.0</v>
      </c>
      <c r="S1402" s="84" t="s">
        <v>40</v>
      </c>
      <c r="T1402" s="90">
        <v>7993410.0</v>
      </c>
      <c r="U1402" s="225">
        <v>46018.375</v>
      </c>
      <c r="V1402" s="225">
        <v>46018.375</v>
      </c>
      <c r="W1402" s="12"/>
      <c r="X1402" s="237">
        <v>46024.5625</v>
      </c>
      <c r="Y1402" s="214">
        <v>46024.583333333336</v>
      </c>
      <c r="Z1402" s="214">
        <v>46024.760416666664</v>
      </c>
      <c r="AA1402" s="12"/>
      <c r="AB1402" s="12"/>
      <c r="AC1402" s="12"/>
      <c r="AD1402" s="12"/>
      <c r="AE1402" s="207" t="s">
        <v>39</v>
      </c>
      <c r="AF1402" s="207" t="s">
        <v>39</v>
      </c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</row>
    <row r="1403" ht="15.75" customHeight="1">
      <c r="A1403" s="103">
        <v>1.2044365E7</v>
      </c>
      <c r="B1403" s="84">
        <v>9.000585919E9</v>
      </c>
      <c r="C1403" s="11">
        <v>46017.0</v>
      </c>
      <c r="D1403" s="84">
        <v>27.0</v>
      </c>
      <c r="E1403" s="84">
        <v>34716.0</v>
      </c>
      <c r="F1403" s="103" t="s">
        <v>31</v>
      </c>
      <c r="G1403" s="84" t="s">
        <v>44</v>
      </c>
      <c r="H1403" s="84" t="s">
        <v>1317</v>
      </c>
      <c r="I1403" s="98" t="s">
        <v>2131</v>
      </c>
      <c r="J1403" s="84" t="s">
        <v>35</v>
      </c>
      <c r="K1403" s="84" t="s">
        <v>138</v>
      </c>
      <c r="L1403" s="98" t="s">
        <v>94</v>
      </c>
      <c r="M1403" s="84" t="s">
        <v>2034</v>
      </c>
      <c r="N1403" s="133">
        <v>5760.0</v>
      </c>
      <c r="O1403" s="73">
        <f t="shared" si="27"/>
        <v>0.7204861111</v>
      </c>
      <c r="P1403" s="98">
        <v>4150.0</v>
      </c>
      <c r="Q1403" s="12"/>
      <c r="R1403" s="84">
        <v>1756764.0</v>
      </c>
      <c r="S1403" s="84" t="s">
        <v>40</v>
      </c>
      <c r="T1403" s="90">
        <v>7992418.0</v>
      </c>
      <c r="U1403" s="225">
        <v>46017.46875</v>
      </c>
      <c r="V1403" s="225">
        <v>46017.8125</v>
      </c>
      <c r="W1403" s="12"/>
      <c r="X1403" s="12"/>
      <c r="Y1403" s="225">
        <v>46019.833333333336</v>
      </c>
      <c r="Z1403" s="225">
        <v>46020.51388888889</v>
      </c>
      <c r="AA1403" s="12"/>
      <c r="AB1403" s="12"/>
      <c r="AC1403" s="12"/>
      <c r="AD1403" s="12"/>
      <c r="AE1403" s="207" t="s">
        <v>39</v>
      </c>
      <c r="AF1403" s="207" t="s">
        <v>39</v>
      </c>
      <c r="AG1403" s="22"/>
      <c r="AH1403" s="22"/>
      <c r="AI1403" s="22"/>
      <c r="AJ1403" s="22"/>
      <c r="AK1403" s="22"/>
      <c r="AL1403" s="22"/>
      <c r="AM1403" s="22"/>
      <c r="AN1403" s="22"/>
      <c r="AO1403" s="22"/>
      <c r="AP1403" s="22"/>
    </row>
    <row r="1404" ht="15.75" customHeight="1">
      <c r="A1404" s="103">
        <v>1.2034264E7</v>
      </c>
      <c r="B1404" s="84">
        <v>9.000575561E9</v>
      </c>
      <c r="C1404" s="11">
        <v>46018.0</v>
      </c>
      <c r="D1404" s="84">
        <v>26.0</v>
      </c>
      <c r="E1404" s="84">
        <v>32711.0</v>
      </c>
      <c r="F1404" s="103" t="s">
        <v>31</v>
      </c>
      <c r="G1404" s="208" t="s">
        <v>44</v>
      </c>
      <c r="H1404" s="194" t="s">
        <v>104</v>
      </c>
      <c r="I1404" s="85" t="s">
        <v>2149</v>
      </c>
      <c r="J1404" s="170" t="s">
        <v>35</v>
      </c>
      <c r="K1404" s="194" t="s">
        <v>106</v>
      </c>
      <c r="L1404" s="247" t="s">
        <v>59</v>
      </c>
      <c r="M1404" s="84" t="s">
        <v>2176</v>
      </c>
      <c r="N1404" s="133">
        <v>5337.0</v>
      </c>
      <c r="O1404" s="73">
        <f t="shared" si="27"/>
        <v>0.6308169384</v>
      </c>
      <c r="P1404" s="98">
        <v>3366.67</v>
      </c>
      <c r="Q1404" s="12"/>
      <c r="R1404" s="84">
        <v>1757097.0</v>
      </c>
      <c r="S1404" s="84" t="s">
        <v>40</v>
      </c>
      <c r="T1404" s="90">
        <v>7995481.0</v>
      </c>
      <c r="U1404" s="12"/>
      <c r="V1404" s="12"/>
      <c r="W1404" s="12"/>
      <c r="X1404" s="237">
        <v>46020.5625</v>
      </c>
      <c r="Y1404" s="12"/>
      <c r="Z1404" s="225">
        <v>46020.75</v>
      </c>
      <c r="AA1404" s="12"/>
      <c r="AB1404" s="12"/>
      <c r="AC1404" s="12"/>
      <c r="AD1404" s="12"/>
      <c r="AE1404" s="207" t="s">
        <v>39</v>
      </c>
      <c r="AF1404" s="207" t="s">
        <v>39</v>
      </c>
      <c r="AG1404" s="22"/>
      <c r="AH1404" s="22"/>
      <c r="AI1404" s="22"/>
      <c r="AJ1404" s="22"/>
      <c r="AK1404" s="22"/>
      <c r="AL1404" s="22"/>
      <c r="AM1404" s="22"/>
      <c r="AN1404" s="22"/>
      <c r="AO1404" s="22"/>
      <c r="AP1404" s="22"/>
    </row>
    <row r="1405" ht="15.75" customHeight="1">
      <c r="A1405" s="103">
        <v>1.204713E7</v>
      </c>
      <c r="B1405" s="84">
        <v>9.000588455E9</v>
      </c>
      <c r="C1405" s="11">
        <v>46018.0</v>
      </c>
      <c r="D1405" s="84">
        <v>26.0</v>
      </c>
      <c r="E1405" s="84">
        <v>31217.0</v>
      </c>
      <c r="F1405" s="103" t="s">
        <v>43</v>
      </c>
      <c r="G1405" s="84" t="s">
        <v>44</v>
      </c>
      <c r="H1405" s="84" t="s">
        <v>268</v>
      </c>
      <c r="I1405" s="194" t="s">
        <v>1958</v>
      </c>
      <c r="J1405" s="84" t="s">
        <v>35</v>
      </c>
      <c r="K1405" s="84" t="s">
        <v>270</v>
      </c>
      <c r="L1405" s="98" t="s">
        <v>94</v>
      </c>
      <c r="M1405" s="84" t="s">
        <v>1974</v>
      </c>
      <c r="N1405" s="133">
        <v>4872.5</v>
      </c>
      <c r="O1405" s="73">
        <f t="shared" si="27"/>
        <v>0.8722421755</v>
      </c>
      <c r="P1405" s="98">
        <v>4250.0</v>
      </c>
      <c r="Q1405" s="12"/>
      <c r="R1405" s="84">
        <v>1757376.0</v>
      </c>
      <c r="S1405" s="84" t="s">
        <v>40</v>
      </c>
      <c r="T1405" s="90">
        <v>7996870.0</v>
      </c>
      <c r="U1405" s="225">
        <v>46019.020833333336</v>
      </c>
      <c r="V1405" s="225">
        <v>46019.020833333336</v>
      </c>
      <c r="W1405" s="12"/>
      <c r="X1405" s="237">
        <v>46020.375</v>
      </c>
      <c r="Y1405" s="225">
        <v>46020.15277777778</v>
      </c>
      <c r="Z1405" s="225">
        <v>46020.47222222222</v>
      </c>
      <c r="AA1405" s="12"/>
      <c r="AB1405" s="12"/>
      <c r="AC1405" s="12"/>
      <c r="AD1405" s="12"/>
      <c r="AE1405" s="207" t="s">
        <v>39</v>
      </c>
      <c r="AF1405" s="207" t="s">
        <v>39</v>
      </c>
      <c r="AG1405" s="22"/>
      <c r="AH1405" s="22"/>
      <c r="AI1405" s="22"/>
      <c r="AJ1405" s="22"/>
      <c r="AK1405" s="22"/>
      <c r="AL1405" s="22"/>
      <c r="AM1405" s="22"/>
      <c r="AN1405" s="22"/>
      <c r="AO1405" s="22"/>
      <c r="AP1405" s="22"/>
    </row>
    <row r="1406" ht="15.75" customHeight="1">
      <c r="A1406" s="103">
        <v>1.2047131E7</v>
      </c>
      <c r="B1406" s="84">
        <v>9.00058845E9</v>
      </c>
      <c r="C1406" s="11">
        <v>46018.0</v>
      </c>
      <c r="D1406" s="84">
        <v>9.0</v>
      </c>
      <c r="E1406" s="84">
        <v>9791.0</v>
      </c>
      <c r="F1406" s="103" t="s">
        <v>43</v>
      </c>
      <c r="G1406" s="84" t="s">
        <v>44</v>
      </c>
      <c r="H1406" s="84" t="s">
        <v>2177</v>
      </c>
      <c r="I1406" s="194" t="s">
        <v>1957</v>
      </c>
      <c r="J1406" s="84" t="s">
        <v>270</v>
      </c>
      <c r="K1406" s="84" t="s">
        <v>35</v>
      </c>
      <c r="L1406" s="98" t="s">
        <v>43</v>
      </c>
      <c r="M1406" s="84" t="s">
        <v>1974</v>
      </c>
      <c r="N1406" s="133">
        <v>4872.5</v>
      </c>
      <c r="O1406" s="73">
        <f t="shared" si="27"/>
        <v>0.5643919959</v>
      </c>
      <c r="P1406" s="98">
        <v>2750.0</v>
      </c>
      <c r="Q1406" s="12"/>
      <c r="R1406" s="84">
        <v>1757872.0</v>
      </c>
      <c r="S1406" s="84" t="s">
        <v>40</v>
      </c>
      <c r="T1406" s="90">
        <v>8000057.0</v>
      </c>
      <c r="U1406" s="225">
        <v>46020.47222222222</v>
      </c>
      <c r="V1406" s="225">
        <v>46020.47222222222</v>
      </c>
      <c r="W1406" s="12"/>
      <c r="X1406" s="12"/>
      <c r="Y1406" s="214">
        <v>46042.645833333336</v>
      </c>
      <c r="Z1406" s="214">
        <v>46042.833333333336</v>
      </c>
      <c r="AA1406" s="12"/>
      <c r="AB1406" s="12"/>
      <c r="AC1406" s="12"/>
      <c r="AD1406" s="12"/>
      <c r="AE1406" s="207" t="s">
        <v>39</v>
      </c>
      <c r="AF1406" s="207" t="s">
        <v>39</v>
      </c>
      <c r="AG1406" s="22"/>
      <c r="AH1406" s="22"/>
      <c r="AI1406" s="22"/>
      <c r="AJ1406" s="22"/>
      <c r="AK1406" s="22"/>
      <c r="AL1406" s="22"/>
      <c r="AM1406" s="22"/>
      <c r="AN1406" s="22"/>
      <c r="AO1406" s="22"/>
      <c r="AP1406" s="22"/>
    </row>
    <row r="1407" ht="15.75" customHeight="1">
      <c r="A1407" s="103">
        <v>1.2048333E7</v>
      </c>
      <c r="B1407" s="84">
        <v>9.000590884E9</v>
      </c>
      <c r="C1407" s="11">
        <v>46019.0</v>
      </c>
      <c r="D1407" s="84">
        <v>26.0</v>
      </c>
      <c r="E1407" s="84">
        <v>28895.0</v>
      </c>
      <c r="F1407" s="103" t="s">
        <v>43</v>
      </c>
      <c r="G1407" s="84" t="s">
        <v>44</v>
      </c>
      <c r="H1407" s="84" t="s">
        <v>1408</v>
      </c>
      <c r="I1407" s="85" t="s">
        <v>1409</v>
      </c>
      <c r="J1407" s="84" t="s">
        <v>35</v>
      </c>
      <c r="K1407" s="84" t="s">
        <v>1410</v>
      </c>
      <c r="L1407" s="245" t="s">
        <v>114</v>
      </c>
      <c r="M1407" s="216" t="s">
        <v>2178</v>
      </c>
      <c r="N1407" s="133">
        <v>5996.0</v>
      </c>
      <c r="O1407" s="73">
        <f t="shared" si="27"/>
        <v>0.6671114076</v>
      </c>
      <c r="P1407" s="98">
        <v>4000.0</v>
      </c>
      <c r="Q1407" s="12"/>
      <c r="R1407" s="84">
        <v>1757817.0</v>
      </c>
      <c r="S1407" s="84" t="s">
        <v>40</v>
      </c>
      <c r="T1407" s="90">
        <v>7999561.0</v>
      </c>
      <c r="U1407" s="225">
        <v>46019.697916666664</v>
      </c>
      <c r="V1407" s="225">
        <v>46020.22222222222</v>
      </c>
      <c r="W1407" s="12"/>
      <c r="X1407" s="12"/>
      <c r="Y1407" s="225">
        <v>46021.510416666664</v>
      </c>
      <c r="Z1407" s="225">
        <v>46021.805555555555</v>
      </c>
      <c r="AA1407" s="12"/>
      <c r="AB1407" s="12"/>
      <c r="AC1407" s="12"/>
      <c r="AD1407" s="12"/>
      <c r="AE1407" s="207" t="s">
        <v>39</v>
      </c>
      <c r="AF1407" s="207" t="s">
        <v>39</v>
      </c>
      <c r="AG1407" s="22"/>
      <c r="AH1407" s="22"/>
      <c r="AI1407" s="22"/>
      <c r="AJ1407" s="22"/>
      <c r="AK1407" s="22"/>
      <c r="AL1407" s="22"/>
      <c r="AM1407" s="22"/>
      <c r="AN1407" s="22"/>
      <c r="AO1407" s="22"/>
      <c r="AP1407" s="22"/>
    </row>
    <row r="1408" ht="15.75" customHeight="1">
      <c r="A1408" s="103">
        <v>1.2048334E7</v>
      </c>
      <c r="B1408" s="84">
        <v>9.000590875E9</v>
      </c>
      <c r="C1408" s="11">
        <v>46019.0</v>
      </c>
      <c r="D1408" s="84">
        <v>19.0</v>
      </c>
      <c r="E1408" s="84">
        <v>9529.0</v>
      </c>
      <c r="F1408" s="103" t="s">
        <v>43</v>
      </c>
      <c r="G1408" s="84" t="s">
        <v>44</v>
      </c>
      <c r="H1408" s="84" t="s">
        <v>1408</v>
      </c>
      <c r="I1408" s="194" t="s">
        <v>1957</v>
      </c>
      <c r="J1408" s="84" t="s">
        <v>1410</v>
      </c>
      <c r="K1408" s="84" t="s">
        <v>35</v>
      </c>
      <c r="L1408" s="245" t="s">
        <v>43</v>
      </c>
      <c r="M1408" s="84" t="s">
        <v>2178</v>
      </c>
      <c r="N1408" s="133">
        <v>5996.0</v>
      </c>
      <c r="O1408" s="73">
        <f t="shared" si="27"/>
        <v>0.4586390927</v>
      </c>
      <c r="P1408" s="98">
        <v>2750.0</v>
      </c>
      <c r="Q1408" s="12"/>
      <c r="R1408" s="84">
        <v>1758567.0</v>
      </c>
      <c r="S1408" s="84" t="s">
        <v>40</v>
      </c>
      <c r="T1408" s="90">
        <v>8009581.0</v>
      </c>
      <c r="U1408" s="225">
        <v>46021.805555555555</v>
      </c>
      <c r="V1408" s="225">
        <v>46021.805555555555</v>
      </c>
      <c r="W1408" s="12"/>
      <c r="X1408" s="12"/>
      <c r="Y1408" s="214">
        <v>46026.77777777778</v>
      </c>
      <c r="Z1408" s="214">
        <v>46027.368055555555</v>
      </c>
      <c r="AA1408" s="12"/>
      <c r="AB1408" s="12"/>
      <c r="AC1408" s="12"/>
      <c r="AD1408" s="12"/>
      <c r="AE1408" s="207" t="s">
        <v>39</v>
      </c>
      <c r="AF1408" s="207" t="s">
        <v>39</v>
      </c>
      <c r="AG1408" s="22"/>
      <c r="AH1408" s="22"/>
      <c r="AI1408" s="22"/>
      <c r="AJ1408" s="22"/>
      <c r="AK1408" s="22"/>
      <c r="AL1408" s="22"/>
      <c r="AM1408" s="22"/>
      <c r="AN1408" s="22"/>
      <c r="AO1408" s="22"/>
      <c r="AP1408" s="22"/>
    </row>
    <row r="1409" ht="16.5" customHeight="1">
      <c r="A1409" s="103">
        <v>1.2059469E7</v>
      </c>
      <c r="B1409" s="84">
        <v>9.000601323E9</v>
      </c>
      <c r="C1409" s="11">
        <v>46021.0</v>
      </c>
      <c r="D1409" s="84">
        <v>28.0</v>
      </c>
      <c r="E1409" s="84">
        <v>29250.0</v>
      </c>
      <c r="F1409" s="85" t="s">
        <v>31</v>
      </c>
      <c r="G1409" s="84" t="s">
        <v>74</v>
      </c>
      <c r="H1409" s="84" t="s">
        <v>1914</v>
      </c>
      <c r="I1409" s="84" t="s">
        <v>1915</v>
      </c>
      <c r="J1409" s="93" t="s">
        <v>35</v>
      </c>
      <c r="K1409" s="84" t="s">
        <v>270</v>
      </c>
      <c r="L1409" s="244" t="s">
        <v>94</v>
      </c>
      <c r="M1409" s="84" t="s">
        <v>1936</v>
      </c>
      <c r="N1409" s="133">
        <v>6410.0</v>
      </c>
      <c r="O1409" s="73">
        <f t="shared" si="27"/>
        <v>0.7400936037</v>
      </c>
      <c r="P1409" s="98">
        <v>4744.0</v>
      </c>
      <c r="Q1409" s="12"/>
      <c r="R1409" s="84">
        <v>1758451.0</v>
      </c>
      <c r="S1409" s="84" t="s">
        <v>40</v>
      </c>
      <c r="T1409" s="90">
        <v>8007840.0</v>
      </c>
      <c r="U1409" s="225">
        <v>46021.51388888889</v>
      </c>
      <c r="V1409" s="225">
        <v>46021.51388888889</v>
      </c>
      <c r="W1409" s="12"/>
      <c r="X1409" s="214">
        <v>46025.291666666664</v>
      </c>
      <c r="Y1409" s="214">
        <v>46028.510416666664</v>
      </c>
      <c r="Z1409" s="214">
        <v>46036.416666666664</v>
      </c>
      <c r="AA1409" s="12"/>
      <c r="AB1409" s="84" t="s">
        <v>2179</v>
      </c>
      <c r="AC1409" s="84" t="s">
        <v>2180</v>
      </c>
      <c r="AD1409" s="12"/>
      <c r="AE1409" s="207" t="s">
        <v>39</v>
      </c>
      <c r="AF1409" s="207" t="s">
        <v>39</v>
      </c>
      <c r="AG1409" s="22"/>
      <c r="AH1409" s="22"/>
      <c r="AI1409" s="22"/>
      <c r="AJ1409" s="22"/>
      <c r="AK1409" s="22"/>
      <c r="AL1409" s="22"/>
      <c r="AM1409" s="22"/>
      <c r="AN1409" s="22"/>
      <c r="AO1409" s="22"/>
      <c r="AP1409" s="22"/>
    </row>
    <row r="1410" ht="15.75" customHeight="1">
      <c r="A1410" s="103">
        <v>1.2053831E7</v>
      </c>
      <c r="B1410" s="84">
        <v>9.000596002E9</v>
      </c>
      <c r="C1410" s="11">
        <v>46024.0</v>
      </c>
      <c r="D1410" s="84">
        <v>26.0</v>
      </c>
      <c r="E1410" s="84">
        <v>33430.0</v>
      </c>
      <c r="F1410" s="103" t="s">
        <v>31</v>
      </c>
      <c r="G1410" s="208" t="s">
        <v>44</v>
      </c>
      <c r="H1410" s="194" t="s">
        <v>104</v>
      </c>
      <c r="I1410" s="85" t="s">
        <v>2149</v>
      </c>
      <c r="J1410" s="170" t="s">
        <v>35</v>
      </c>
      <c r="K1410" s="194" t="s">
        <v>106</v>
      </c>
      <c r="L1410" s="171" t="s">
        <v>59</v>
      </c>
      <c r="M1410" s="84" t="s">
        <v>2079</v>
      </c>
      <c r="N1410" s="133">
        <v>5337.0</v>
      </c>
      <c r="O1410" s="73">
        <f t="shared" si="27"/>
        <v>0.2604459434</v>
      </c>
      <c r="P1410" s="98">
        <v>1390.0</v>
      </c>
      <c r="Q1410" s="12"/>
      <c r="R1410" s="84">
        <v>1759516.0</v>
      </c>
      <c r="S1410" s="84" t="s">
        <v>40</v>
      </c>
      <c r="T1410" s="90">
        <v>8016866.0</v>
      </c>
      <c r="U1410" s="214">
        <v>46024.88888888889</v>
      </c>
      <c r="V1410" s="214">
        <v>46025.583333333336</v>
      </c>
      <c r="W1410" s="12"/>
      <c r="X1410" s="214">
        <v>46027.645833333336</v>
      </c>
      <c r="Y1410" s="214">
        <v>46027.47222222222</v>
      </c>
      <c r="Z1410" s="214">
        <v>46027.75</v>
      </c>
      <c r="AA1410" s="12"/>
      <c r="AB1410" s="12"/>
      <c r="AC1410" s="12"/>
      <c r="AD1410" s="12"/>
      <c r="AE1410" s="207" t="s">
        <v>39</v>
      </c>
      <c r="AF1410" s="207" t="s">
        <v>39</v>
      </c>
      <c r="AG1410" s="22"/>
      <c r="AH1410" s="22"/>
      <c r="AI1410" s="22"/>
      <c r="AJ1410" s="22"/>
      <c r="AK1410" s="22"/>
      <c r="AL1410" s="22"/>
      <c r="AM1410" s="22"/>
      <c r="AN1410" s="22"/>
      <c r="AO1410" s="22"/>
      <c r="AP1410" s="22"/>
    </row>
    <row r="1411" ht="15.75" customHeight="1">
      <c r="A1411" s="103">
        <v>1.2059489E7</v>
      </c>
      <c r="B1411" s="84">
        <v>9.000601232E9</v>
      </c>
      <c r="C1411" s="11">
        <v>46024.0</v>
      </c>
      <c r="D1411" s="84">
        <v>28.0</v>
      </c>
      <c r="E1411" s="84">
        <v>34058.0</v>
      </c>
      <c r="F1411" s="103" t="s">
        <v>31</v>
      </c>
      <c r="G1411" s="84" t="s">
        <v>44</v>
      </c>
      <c r="H1411" s="84" t="s">
        <v>1317</v>
      </c>
      <c r="I1411" s="98" t="s">
        <v>2131</v>
      </c>
      <c r="J1411" s="84" t="s">
        <v>35</v>
      </c>
      <c r="K1411" s="84" t="s">
        <v>138</v>
      </c>
      <c r="L1411" s="98" t="s">
        <v>94</v>
      </c>
      <c r="M1411" s="84" t="s">
        <v>2152</v>
      </c>
      <c r="N1411" s="133">
        <v>5760.0</v>
      </c>
      <c r="O1411" s="73">
        <f t="shared" si="27"/>
        <v>0.7585069444</v>
      </c>
      <c r="P1411" s="98">
        <v>4369.0</v>
      </c>
      <c r="Q1411" s="12"/>
      <c r="R1411" s="84">
        <v>1759501.0</v>
      </c>
      <c r="S1411" s="250" t="s">
        <v>40</v>
      </c>
      <c r="T1411" s="251">
        <v>8016655.0</v>
      </c>
      <c r="U1411" s="214">
        <v>46024.666666666664</v>
      </c>
      <c r="V1411" s="214">
        <v>46025.447916666664</v>
      </c>
      <c r="W1411" s="252"/>
      <c r="X1411" s="252"/>
      <c r="Y1411" s="214">
        <v>46028.555555555555</v>
      </c>
      <c r="Z1411" s="214">
        <v>46029.333333333336</v>
      </c>
      <c r="AA1411" s="253"/>
      <c r="AB1411" s="84">
        <v>325080.0</v>
      </c>
      <c r="AC1411" s="84" t="s">
        <v>2181</v>
      </c>
      <c r="AD1411" s="12"/>
      <c r="AE1411" s="207" t="s">
        <v>39</v>
      </c>
      <c r="AF1411" s="207" t="s">
        <v>39</v>
      </c>
      <c r="AG1411" s="22"/>
      <c r="AH1411" s="22"/>
      <c r="AI1411" s="22"/>
      <c r="AJ1411" s="22"/>
      <c r="AK1411" s="22"/>
      <c r="AL1411" s="22"/>
      <c r="AM1411" s="22"/>
      <c r="AN1411" s="22"/>
      <c r="AO1411" s="22"/>
      <c r="AP1411" s="22"/>
    </row>
    <row r="1412" ht="15.75" customHeight="1">
      <c r="A1412" s="103">
        <v>1.2059488E7</v>
      </c>
      <c r="B1412" s="84">
        <v>9.000601185E9</v>
      </c>
      <c r="C1412" s="11">
        <v>46024.0</v>
      </c>
      <c r="D1412" s="84">
        <v>28.0</v>
      </c>
      <c r="E1412" s="84">
        <v>34058.0</v>
      </c>
      <c r="F1412" s="103" t="s">
        <v>31</v>
      </c>
      <c r="G1412" s="84" t="s">
        <v>44</v>
      </c>
      <c r="H1412" s="84" t="s">
        <v>1317</v>
      </c>
      <c r="I1412" s="98" t="s">
        <v>2131</v>
      </c>
      <c r="J1412" s="84" t="s">
        <v>35</v>
      </c>
      <c r="K1412" s="84" t="s">
        <v>138</v>
      </c>
      <c r="L1412" s="98" t="s">
        <v>94</v>
      </c>
      <c r="M1412" s="84" t="s">
        <v>2097</v>
      </c>
      <c r="N1412" s="133">
        <v>5760.0</v>
      </c>
      <c r="O1412" s="73">
        <f t="shared" si="27"/>
        <v>0.7581597222</v>
      </c>
      <c r="P1412" s="98">
        <v>4367.0</v>
      </c>
      <c r="Q1412" s="12"/>
      <c r="R1412" s="84">
        <v>1759520.0</v>
      </c>
      <c r="S1412" s="250" t="s">
        <v>40</v>
      </c>
      <c r="T1412" s="90">
        <v>8016979.0</v>
      </c>
      <c r="U1412" s="214">
        <v>46024.79861111111</v>
      </c>
      <c r="V1412" s="214">
        <v>46025.64236111111</v>
      </c>
      <c r="W1412" s="12"/>
      <c r="X1412" s="12"/>
      <c r="Y1412" s="214">
        <v>46027.600694444445</v>
      </c>
      <c r="Z1412" s="214">
        <v>46028.1875</v>
      </c>
      <c r="AA1412" s="12"/>
      <c r="AB1412" s="84">
        <v>326236.0</v>
      </c>
      <c r="AC1412" s="84" t="s">
        <v>2059</v>
      </c>
      <c r="AD1412" s="12"/>
      <c r="AE1412" s="207" t="s">
        <v>39</v>
      </c>
      <c r="AF1412" s="207" t="s">
        <v>39</v>
      </c>
      <c r="AG1412" s="22"/>
      <c r="AH1412" s="22"/>
      <c r="AI1412" s="22"/>
      <c r="AJ1412" s="22"/>
      <c r="AK1412" s="22"/>
      <c r="AL1412" s="22"/>
      <c r="AM1412" s="22"/>
      <c r="AN1412" s="22"/>
      <c r="AO1412" s="22"/>
      <c r="AP1412" s="22"/>
    </row>
    <row r="1413" ht="15.75" customHeight="1">
      <c r="A1413" s="103">
        <v>1.2063164E7</v>
      </c>
      <c r="B1413" s="84">
        <v>9.000605291E9</v>
      </c>
      <c r="C1413" s="11">
        <v>46025.0</v>
      </c>
      <c r="D1413" s="84">
        <v>26.0</v>
      </c>
      <c r="E1413" s="84">
        <v>30399.0</v>
      </c>
      <c r="F1413" s="219" t="s">
        <v>43</v>
      </c>
      <c r="G1413" s="168" t="s">
        <v>44</v>
      </c>
      <c r="H1413" s="169" t="s">
        <v>268</v>
      </c>
      <c r="I1413" s="194" t="s">
        <v>1958</v>
      </c>
      <c r="J1413" s="169" t="s">
        <v>35</v>
      </c>
      <c r="K1413" s="169" t="s">
        <v>270</v>
      </c>
      <c r="L1413" s="247" t="s">
        <v>94</v>
      </c>
      <c r="M1413" s="84" t="s">
        <v>2170</v>
      </c>
      <c r="N1413" s="233">
        <v>4872.5</v>
      </c>
      <c r="O1413" s="73">
        <f t="shared" si="27"/>
        <v>0</v>
      </c>
      <c r="P1413" s="98">
        <v>0.0</v>
      </c>
      <c r="Q1413" s="12"/>
      <c r="R1413" s="84">
        <v>1759891.0</v>
      </c>
      <c r="S1413" s="254" t="s">
        <v>40</v>
      </c>
      <c r="T1413" s="90">
        <v>8020139.0</v>
      </c>
      <c r="U1413" s="214">
        <v>46024.822916666664</v>
      </c>
      <c r="V1413" s="214">
        <v>46025.697916666664</v>
      </c>
      <c r="W1413" s="12"/>
      <c r="X1413" s="241">
        <v>46027.708333333336</v>
      </c>
      <c r="Y1413" s="214">
        <v>46027.45138888889</v>
      </c>
      <c r="Z1413" s="214">
        <v>46028.375</v>
      </c>
      <c r="AA1413" s="12"/>
      <c r="AB1413" s="12"/>
      <c r="AC1413" s="12"/>
      <c r="AD1413" s="12"/>
      <c r="AE1413" s="207" t="s">
        <v>39</v>
      </c>
      <c r="AF1413" s="207" t="s">
        <v>39</v>
      </c>
      <c r="AG1413" s="22"/>
      <c r="AH1413" s="22"/>
      <c r="AI1413" s="22"/>
      <c r="AJ1413" s="22"/>
      <c r="AK1413" s="22"/>
      <c r="AL1413" s="22"/>
      <c r="AM1413" s="22"/>
      <c r="AN1413" s="22"/>
      <c r="AO1413" s="22"/>
      <c r="AP1413" s="22"/>
    </row>
    <row r="1414" ht="15.75" customHeight="1">
      <c r="A1414" s="103">
        <v>1.2063165E7</v>
      </c>
      <c r="B1414" s="84">
        <v>9.000605243E9</v>
      </c>
      <c r="C1414" s="11">
        <v>46025.0</v>
      </c>
      <c r="D1414" s="84">
        <v>1.0</v>
      </c>
      <c r="E1414" s="84">
        <v>222.0</v>
      </c>
      <c r="F1414" s="169" t="s">
        <v>43</v>
      </c>
      <c r="G1414" s="168" t="s">
        <v>44</v>
      </c>
      <c r="H1414" s="169" t="s">
        <v>2182</v>
      </c>
      <c r="I1414" s="194" t="s">
        <v>1957</v>
      </c>
      <c r="J1414" s="170" t="s">
        <v>270</v>
      </c>
      <c r="K1414" s="170" t="s">
        <v>35</v>
      </c>
      <c r="L1414" s="171" t="s">
        <v>43</v>
      </c>
      <c r="M1414" s="84" t="s">
        <v>2170</v>
      </c>
      <c r="N1414" s="133">
        <v>4872.5</v>
      </c>
      <c r="O1414" s="73">
        <f t="shared" si="27"/>
        <v>0</v>
      </c>
      <c r="P1414" s="98">
        <v>0.0</v>
      </c>
      <c r="Q1414" s="12"/>
      <c r="R1414" s="84">
        <v>1761175.0</v>
      </c>
      <c r="S1414" s="84" t="s">
        <v>40</v>
      </c>
      <c r="T1414" s="90">
        <v>8030291.0</v>
      </c>
      <c r="U1414" s="214">
        <v>46028.375</v>
      </c>
      <c r="V1414" s="214">
        <v>46028.375</v>
      </c>
      <c r="W1414" s="12"/>
      <c r="X1414" s="12"/>
      <c r="Y1414" s="214">
        <v>46029.86111111111</v>
      </c>
      <c r="Z1414" s="214">
        <v>46034.958333333336</v>
      </c>
      <c r="AA1414" s="12"/>
      <c r="AB1414" s="84">
        <v>334416.0</v>
      </c>
      <c r="AC1414" s="84" t="s">
        <v>2183</v>
      </c>
      <c r="AD1414" s="12"/>
      <c r="AE1414" s="207" t="s">
        <v>39</v>
      </c>
      <c r="AF1414" s="207" t="s">
        <v>39</v>
      </c>
      <c r="AG1414" s="22"/>
      <c r="AH1414" s="22"/>
      <c r="AI1414" s="22"/>
      <c r="AJ1414" s="22"/>
      <c r="AK1414" s="22"/>
      <c r="AL1414" s="22"/>
      <c r="AM1414" s="22"/>
      <c r="AN1414" s="22"/>
      <c r="AO1414" s="22"/>
      <c r="AP1414" s="22"/>
    </row>
    <row r="1415" ht="15.75" customHeight="1">
      <c r="A1415" s="103">
        <v>1.2058875E7</v>
      </c>
      <c r="B1415" s="84">
        <v>9.00060086E9</v>
      </c>
      <c r="C1415" s="11">
        <v>46027.0</v>
      </c>
      <c r="D1415" s="84">
        <v>26.0</v>
      </c>
      <c r="E1415" s="84">
        <v>31625.0</v>
      </c>
      <c r="F1415" s="103" t="s">
        <v>31</v>
      </c>
      <c r="G1415" s="84" t="s">
        <v>44</v>
      </c>
      <c r="H1415" s="84" t="s">
        <v>2127</v>
      </c>
      <c r="I1415" s="84" t="s">
        <v>2184</v>
      </c>
      <c r="J1415" s="238" t="s">
        <v>2082</v>
      </c>
      <c r="K1415" s="238" t="s">
        <v>2129</v>
      </c>
      <c r="L1415" s="98" t="s">
        <v>94</v>
      </c>
      <c r="M1415" s="84" t="s">
        <v>2185</v>
      </c>
      <c r="N1415" s="133">
        <v>6639.0</v>
      </c>
      <c r="O1415" s="73">
        <f t="shared" si="27"/>
        <v>0.7079379425</v>
      </c>
      <c r="P1415" s="98">
        <v>4700.0</v>
      </c>
      <c r="Q1415" s="12"/>
      <c r="R1415" s="84">
        <v>1760518.0</v>
      </c>
      <c r="S1415" s="84" t="s">
        <v>40</v>
      </c>
      <c r="T1415" s="90">
        <v>8023505.0</v>
      </c>
      <c r="U1415" s="214">
        <v>46027.291666666664</v>
      </c>
      <c r="V1415" s="214">
        <v>46027.572916666664</v>
      </c>
      <c r="W1415" s="12"/>
      <c r="X1415" s="12"/>
      <c r="Y1415" s="214">
        <v>46028.319444444445</v>
      </c>
      <c r="Z1415" s="214">
        <v>46029.600694444445</v>
      </c>
      <c r="AA1415" s="12"/>
      <c r="AB1415" s="84">
        <v>327205.0</v>
      </c>
      <c r="AC1415" s="84" t="s">
        <v>2059</v>
      </c>
      <c r="AD1415" s="12"/>
      <c r="AE1415" s="207" t="s">
        <v>39</v>
      </c>
      <c r="AF1415" s="207" t="s">
        <v>39</v>
      </c>
      <c r="AG1415" s="22"/>
      <c r="AH1415" s="22"/>
      <c r="AI1415" s="22"/>
      <c r="AJ1415" s="22"/>
      <c r="AK1415" s="22"/>
      <c r="AL1415" s="22"/>
      <c r="AM1415" s="22"/>
      <c r="AN1415" s="22"/>
      <c r="AO1415" s="22"/>
      <c r="AP1415" s="22"/>
    </row>
    <row r="1416" ht="17.25" customHeight="1">
      <c r="A1416" s="103">
        <v>1.2058403E7</v>
      </c>
      <c r="B1416" s="84">
        <v>9.000600878E9</v>
      </c>
      <c r="C1416" s="11">
        <v>46027.0</v>
      </c>
      <c r="D1416" s="84">
        <v>26.0</v>
      </c>
      <c r="E1416" s="84">
        <v>31625.0</v>
      </c>
      <c r="F1416" s="103" t="s">
        <v>31</v>
      </c>
      <c r="G1416" s="84" t="s">
        <v>44</v>
      </c>
      <c r="H1416" s="84" t="s">
        <v>2127</v>
      </c>
      <c r="I1416" s="84" t="s">
        <v>2184</v>
      </c>
      <c r="J1416" s="238" t="s">
        <v>2082</v>
      </c>
      <c r="K1416" s="238" t="s">
        <v>2129</v>
      </c>
      <c r="L1416" s="98" t="s">
        <v>94</v>
      </c>
      <c r="M1416" s="84" t="s">
        <v>2186</v>
      </c>
      <c r="N1416" s="133">
        <v>6639.0</v>
      </c>
      <c r="O1416" s="73">
        <f t="shared" si="27"/>
        <v>0.7079379425</v>
      </c>
      <c r="P1416" s="98">
        <v>4700.0</v>
      </c>
      <c r="Q1416" s="12"/>
      <c r="R1416" s="84">
        <v>1760522.0</v>
      </c>
      <c r="S1416" s="84" t="s">
        <v>40</v>
      </c>
      <c r="T1416" s="90">
        <v>8023536.0</v>
      </c>
      <c r="U1416" s="214">
        <v>46027.291666666664</v>
      </c>
      <c r="V1416" s="214">
        <v>46027.510416666664</v>
      </c>
      <c r="W1416" s="12"/>
      <c r="X1416" s="12"/>
      <c r="Y1416" s="214">
        <v>46028.302083333336</v>
      </c>
      <c r="Z1416" s="214">
        <v>46029.56597222222</v>
      </c>
      <c r="AA1416" s="12"/>
      <c r="AB1416" s="84" t="s">
        <v>2187</v>
      </c>
      <c r="AC1416" s="84" t="s">
        <v>1983</v>
      </c>
      <c r="AD1416" s="12"/>
      <c r="AE1416" s="207" t="s">
        <v>39</v>
      </c>
      <c r="AF1416" s="207" t="s">
        <v>39</v>
      </c>
      <c r="AG1416" s="22"/>
      <c r="AH1416" s="22"/>
      <c r="AI1416" s="22"/>
      <c r="AJ1416" s="22"/>
      <c r="AK1416" s="22"/>
      <c r="AL1416" s="22"/>
      <c r="AM1416" s="22"/>
      <c r="AN1416" s="22"/>
      <c r="AO1416" s="22"/>
      <c r="AP1416" s="22"/>
    </row>
    <row r="1417" ht="17.25" customHeight="1">
      <c r="A1417" s="103">
        <v>1.2086679E7</v>
      </c>
      <c r="B1417" s="84"/>
      <c r="C1417" s="11"/>
      <c r="D1417" s="84"/>
      <c r="E1417" s="84"/>
      <c r="F1417" s="103"/>
      <c r="G1417" s="84"/>
      <c r="H1417" s="84"/>
      <c r="I1417" s="84"/>
      <c r="J1417" s="238" t="s">
        <v>2129</v>
      </c>
      <c r="K1417" s="238" t="s">
        <v>2082</v>
      </c>
      <c r="L1417" s="98"/>
      <c r="M1417" s="84"/>
      <c r="N1417" s="133"/>
      <c r="O1417" s="73"/>
      <c r="P1417" s="98"/>
      <c r="Q1417" s="12"/>
      <c r="R1417" s="84"/>
      <c r="S1417" s="84" t="s">
        <v>131</v>
      </c>
      <c r="T1417" s="84"/>
      <c r="U1417" s="214"/>
      <c r="V1417" s="214"/>
      <c r="W1417" s="12"/>
      <c r="X1417" s="12"/>
      <c r="Y1417" s="214"/>
      <c r="Z1417" s="214"/>
      <c r="AA1417" s="12"/>
      <c r="AB1417" s="84">
        <v>338859.0</v>
      </c>
      <c r="AC1417" s="84" t="s">
        <v>1972</v>
      </c>
      <c r="AD1417" s="12"/>
      <c r="AE1417" s="207"/>
      <c r="AF1417" s="207"/>
      <c r="AG1417" s="22"/>
      <c r="AH1417" s="22"/>
      <c r="AI1417" s="22"/>
      <c r="AJ1417" s="22"/>
      <c r="AK1417" s="22"/>
      <c r="AL1417" s="22"/>
      <c r="AM1417" s="22"/>
      <c r="AN1417" s="22"/>
      <c r="AO1417" s="22"/>
      <c r="AP1417" s="22"/>
    </row>
    <row r="1418" ht="15.75" customHeight="1">
      <c r="A1418" s="103">
        <v>1.2058711E7</v>
      </c>
      <c r="B1418" s="84">
        <v>9.000600838E9</v>
      </c>
      <c r="C1418" s="11">
        <v>46028.0</v>
      </c>
      <c r="D1418" s="84">
        <v>26.0</v>
      </c>
      <c r="E1418" s="84">
        <v>31625.0</v>
      </c>
      <c r="F1418" s="103" t="s">
        <v>31</v>
      </c>
      <c r="G1418" s="84" t="s">
        <v>44</v>
      </c>
      <c r="H1418" s="84" t="s">
        <v>2127</v>
      </c>
      <c r="I1418" s="84" t="s">
        <v>2184</v>
      </c>
      <c r="J1418" s="238" t="s">
        <v>2082</v>
      </c>
      <c r="K1418" s="238" t="s">
        <v>2129</v>
      </c>
      <c r="L1418" s="98" t="s">
        <v>94</v>
      </c>
      <c r="M1418" s="84" t="s">
        <v>2188</v>
      </c>
      <c r="N1418" s="133">
        <v>6639.0</v>
      </c>
      <c r="O1418" s="73">
        <f>IFERROR(P1418/N1418,0)</f>
        <v>0.7079379425</v>
      </c>
      <c r="P1418" s="98">
        <v>4700.0</v>
      </c>
      <c r="Q1418" s="12"/>
      <c r="R1418" s="84">
        <v>1758602.0</v>
      </c>
      <c r="S1418" s="84" t="s">
        <v>40</v>
      </c>
      <c r="T1418" s="90">
        <v>8023547.0</v>
      </c>
      <c r="U1418" s="214">
        <v>46027.291666666664</v>
      </c>
      <c r="V1418" s="214">
        <v>46027.541666666664</v>
      </c>
      <c r="W1418" s="12"/>
      <c r="X1418" s="12"/>
      <c r="Y1418" s="214">
        <v>46028.30902777778</v>
      </c>
      <c r="Z1418" s="214">
        <v>46029.6875</v>
      </c>
      <c r="AA1418" s="12"/>
      <c r="AB1418" s="84" t="s">
        <v>2189</v>
      </c>
      <c r="AC1418" s="84" t="s">
        <v>1983</v>
      </c>
      <c r="AD1418" s="12"/>
      <c r="AE1418" s="207" t="s">
        <v>39</v>
      </c>
      <c r="AF1418" s="207" t="s">
        <v>39</v>
      </c>
      <c r="AG1418" s="22"/>
      <c r="AH1418" s="22"/>
      <c r="AI1418" s="22"/>
      <c r="AJ1418" s="22"/>
      <c r="AK1418" s="22"/>
      <c r="AL1418" s="22"/>
      <c r="AM1418" s="22"/>
      <c r="AN1418" s="22"/>
      <c r="AO1418" s="22"/>
      <c r="AP1418" s="22"/>
    </row>
    <row r="1419" ht="15.75" customHeight="1">
      <c r="A1419" s="103">
        <v>1.2086681E7</v>
      </c>
      <c r="B1419" s="84"/>
      <c r="C1419" s="11"/>
      <c r="D1419" s="84"/>
      <c r="E1419" s="84"/>
      <c r="F1419" s="103"/>
      <c r="G1419" s="84"/>
      <c r="H1419" s="84"/>
      <c r="I1419" s="84"/>
      <c r="J1419" s="238" t="s">
        <v>2129</v>
      </c>
      <c r="K1419" s="238" t="s">
        <v>2082</v>
      </c>
      <c r="L1419" s="98"/>
      <c r="M1419" s="84"/>
      <c r="N1419" s="133"/>
      <c r="O1419" s="73"/>
      <c r="P1419" s="98"/>
      <c r="Q1419" s="12"/>
      <c r="R1419" s="84"/>
      <c r="S1419" s="84" t="s">
        <v>131</v>
      </c>
      <c r="T1419" s="84"/>
      <c r="U1419" s="214"/>
      <c r="V1419" s="214"/>
      <c r="W1419" s="12"/>
      <c r="X1419" s="12"/>
      <c r="Y1419" s="214"/>
      <c r="Z1419" s="214"/>
      <c r="AA1419" s="12"/>
      <c r="AB1419" s="84">
        <v>338886.0</v>
      </c>
      <c r="AC1419" s="84" t="s">
        <v>1972</v>
      </c>
      <c r="AD1419" s="12"/>
      <c r="AE1419" s="207"/>
      <c r="AF1419" s="207"/>
      <c r="AG1419" s="22"/>
      <c r="AH1419" s="22"/>
      <c r="AI1419" s="22"/>
      <c r="AJ1419" s="22"/>
      <c r="AK1419" s="22"/>
      <c r="AL1419" s="22"/>
      <c r="AM1419" s="22"/>
      <c r="AN1419" s="22"/>
      <c r="AO1419" s="22"/>
      <c r="AP1419" s="22"/>
    </row>
    <row r="1420" ht="15.75" customHeight="1">
      <c r="A1420" s="103">
        <v>1.2058874E7</v>
      </c>
      <c r="B1420" s="84">
        <v>9.000600722E9</v>
      </c>
      <c r="C1420" s="11">
        <v>46028.0</v>
      </c>
      <c r="D1420" s="84">
        <v>26.0</v>
      </c>
      <c r="E1420" s="84">
        <v>31625.0</v>
      </c>
      <c r="F1420" s="103" t="s">
        <v>31</v>
      </c>
      <c r="G1420" s="84" t="s">
        <v>44</v>
      </c>
      <c r="H1420" s="84" t="s">
        <v>2127</v>
      </c>
      <c r="I1420" s="84" t="s">
        <v>2128</v>
      </c>
      <c r="J1420" s="238" t="s">
        <v>2082</v>
      </c>
      <c r="K1420" s="238" t="s">
        <v>2129</v>
      </c>
      <c r="L1420" s="98" t="s">
        <v>94</v>
      </c>
      <c r="M1420" s="84" t="s">
        <v>2190</v>
      </c>
      <c r="N1420" s="133">
        <v>6639.0</v>
      </c>
      <c r="O1420" s="73">
        <f t="shared" ref="O1420:O1431" si="28">IFERROR(P1420/N1420,0)</f>
        <v>0.7079379425</v>
      </c>
      <c r="P1420" s="98">
        <v>4700.0</v>
      </c>
      <c r="Q1420" s="12"/>
      <c r="R1420" s="84">
        <v>1760525.0</v>
      </c>
      <c r="S1420" s="84" t="s">
        <v>40</v>
      </c>
      <c r="T1420" s="90">
        <v>8023560.0</v>
      </c>
      <c r="U1420" s="214">
        <v>46027.291666666664</v>
      </c>
      <c r="V1420" s="214">
        <v>46027.65277777778</v>
      </c>
      <c r="W1420" s="12"/>
      <c r="X1420" s="12"/>
      <c r="Y1420" s="214">
        <v>46028.30902777778</v>
      </c>
      <c r="Z1420" s="214">
        <v>46029.61111111111</v>
      </c>
      <c r="AA1420" s="12"/>
      <c r="AB1420" s="84">
        <v>327217.0</v>
      </c>
      <c r="AC1420" s="84" t="s">
        <v>2059</v>
      </c>
      <c r="AD1420" s="12"/>
      <c r="AE1420" s="207" t="s">
        <v>39</v>
      </c>
      <c r="AF1420" s="207" t="s">
        <v>39</v>
      </c>
      <c r="AG1420" s="22"/>
      <c r="AH1420" s="22"/>
      <c r="AI1420" s="22"/>
      <c r="AJ1420" s="22"/>
      <c r="AK1420" s="22"/>
      <c r="AL1420" s="22"/>
      <c r="AM1420" s="22"/>
      <c r="AN1420" s="22"/>
      <c r="AO1420" s="22"/>
      <c r="AP1420" s="22"/>
    </row>
    <row r="1421" ht="15.75" customHeight="1">
      <c r="A1421" s="103">
        <v>1.2079979E7</v>
      </c>
      <c r="B1421" s="84">
        <v>9.00061921E9</v>
      </c>
      <c r="C1421" s="11">
        <v>46028.0</v>
      </c>
      <c r="D1421" s="84">
        <v>24.0</v>
      </c>
      <c r="E1421" s="84">
        <v>30859.0</v>
      </c>
      <c r="F1421" s="103" t="s">
        <v>31</v>
      </c>
      <c r="G1421" s="168" t="s">
        <v>44</v>
      </c>
      <c r="H1421" s="169" t="s">
        <v>268</v>
      </c>
      <c r="I1421" s="194" t="s">
        <v>1958</v>
      </c>
      <c r="J1421" s="169" t="s">
        <v>35</v>
      </c>
      <c r="K1421" s="169" t="s">
        <v>270</v>
      </c>
      <c r="L1421" s="247" t="s">
        <v>94</v>
      </c>
      <c r="M1421" s="84" t="s">
        <v>2178</v>
      </c>
      <c r="N1421" s="133">
        <v>6410.0</v>
      </c>
      <c r="O1421" s="73">
        <f t="shared" si="28"/>
        <v>0.6630265211</v>
      </c>
      <c r="P1421" s="98">
        <v>4250.0</v>
      </c>
      <c r="Q1421" s="12"/>
      <c r="R1421" s="84">
        <v>1761457.0</v>
      </c>
      <c r="S1421" s="84" t="s">
        <v>40</v>
      </c>
      <c r="T1421" s="90">
        <v>8033602.0</v>
      </c>
      <c r="U1421" s="214">
        <v>46028.625</v>
      </c>
      <c r="V1421" s="214">
        <v>46029.506944444445</v>
      </c>
      <c r="W1421" s="12"/>
      <c r="X1421" s="241">
        <v>46030.708333333336</v>
      </c>
      <c r="Y1421" s="214">
        <v>46030.444444444445</v>
      </c>
      <c r="Z1421" s="214">
        <v>46031.0</v>
      </c>
      <c r="AA1421" s="12"/>
      <c r="AB1421" s="12"/>
      <c r="AC1421" s="12"/>
      <c r="AD1421" s="12"/>
      <c r="AE1421" s="207" t="s">
        <v>39</v>
      </c>
      <c r="AF1421" s="12"/>
      <c r="AG1421" s="22"/>
      <c r="AH1421" s="22"/>
      <c r="AI1421" s="22"/>
      <c r="AJ1421" s="22"/>
      <c r="AK1421" s="22"/>
      <c r="AL1421" s="22"/>
      <c r="AM1421" s="22"/>
      <c r="AN1421" s="22"/>
      <c r="AO1421" s="22"/>
      <c r="AP1421" s="22"/>
    </row>
    <row r="1422" ht="15.75" customHeight="1">
      <c r="A1422" s="103">
        <v>1.2088486E7</v>
      </c>
      <c r="B1422" s="84">
        <v>9.000630756E9</v>
      </c>
      <c r="C1422" s="11">
        <v>46030.0</v>
      </c>
      <c r="D1422" s="84">
        <v>20.0</v>
      </c>
      <c r="E1422" s="84">
        <v>14430.0</v>
      </c>
      <c r="F1422" s="103" t="s">
        <v>43</v>
      </c>
      <c r="G1422" s="236" t="s">
        <v>44</v>
      </c>
      <c r="H1422" s="169" t="s">
        <v>2191</v>
      </c>
      <c r="I1422" s="194" t="s">
        <v>1957</v>
      </c>
      <c r="J1422" s="169" t="s">
        <v>270</v>
      </c>
      <c r="K1422" s="169" t="s">
        <v>35</v>
      </c>
      <c r="L1422" s="247"/>
      <c r="M1422" s="84" t="s">
        <v>2178</v>
      </c>
      <c r="N1422" s="133">
        <v>5128.0</v>
      </c>
      <c r="O1422" s="73">
        <f t="shared" si="28"/>
        <v>0.5362714509</v>
      </c>
      <c r="P1422" s="98">
        <v>2750.0</v>
      </c>
      <c r="Q1422" s="12"/>
      <c r="R1422" s="84">
        <v>1762939.0</v>
      </c>
      <c r="S1422" s="84" t="s">
        <v>40</v>
      </c>
      <c r="T1422" s="90">
        <v>8052107.0</v>
      </c>
      <c r="U1422" s="214">
        <v>46031.0</v>
      </c>
      <c r="V1422" s="214">
        <v>46031.0</v>
      </c>
      <c r="W1422" s="12"/>
      <c r="X1422" s="241"/>
      <c r="Y1422" s="214">
        <v>46031.875</v>
      </c>
      <c r="Z1422" s="214">
        <v>46037.75</v>
      </c>
      <c r="AA1422" s="12"/>
      <c r="AB1422" s="84">
        <v>335174.0</v>
      </c>
      <c r="AC1422" s="84" t="s">
        <v>2183</v>
      </c>
      <c r="AD1422" s="12"/>
      <c r="AE1422" s="207" t="s">
        <v>39</v>
      </c>
      <c r="AF1422" s="207" t="s">
        <v>39</v>
      </c>
      <c r="AG1422" s="22"/>
      <c r="AH1422" s="22"/>
      <c r="AI1422" s="22"/>
      <c r="AJ1422" s="22"/>
      <c r="AK1422" s="22"/>
      <c r="AL1422" s="22"/>
      <c r="AM1422" s="22"/>
      <c r="AN1422" s="22"/>
      <c r="AO1422" s="22"/>
      <c r="AP1422" s="22"/>
    </row>
    <row r="1423" ht="15.75" customHeight="1">
      <c r="A1423" s="103">
        <v>1.2077513E7</v>
      </c>
      <c r="B1423" s="84">
        <v>9.000616224E9</v>
      </c>
      <c r="C1423" s="11">
        <v>46030.0</v>
      </c>
      <c r="D1423" s="84">
        <v>18.0</v>
      </c>
      <c r="E1423" s="84">
        <v>21228.0</v>
      </c>
      <c r="F1423" s="103" t="s">
        <v>31</v>
      </c>
      <c r="G1423" s="84" t="s">
        <v>74</v>
      </c>
      <c r="H1423" s="84" t="s">
        <v>2192</v>
      </c>
      <c r="I1423" s="84" t="s">
        <v>2193</v>
      </c>
      <c r="J1423" s="238" t="s">
        <v>2082</v>
      </c>
      <c r="K1423" s="238" t="s">
        <v>2194</v>
      </c>
      <c r="L1423" s="98" t="s">
        <v>2105</v>
      </c>
      <c r="M1423" s="84" t="s">
        <v>2186</v>
      </c>
      <c r="N1423" s="133">
        <v>6093.0</v>
      </c>
      <c r="O1423" s="73">
        <f t="shared" si="28"/>
        <v>0.7631708518</v>
      </c>
      <c r="P1423" s="98">
        <v>4650.0</v>
      </c>
      <c r="Q1423" s="84" t="s">
        <v>39</v>
      </c>
      <c r="R1423" s="84">
        <v>1762618.0</v>
      </c>
      <c r="S1423" s="84" t="s">
        <v>40</v>
      </c>
      <c r="T1423" s="90">
        <v>8047789.0</v>
      </c>
      <c r="U1423" s="214">
        <v>46030.333333333336</v>
      </c>
      <c r="V1423" s="214">
        <v>46030.55902777778</v>
      </c>
      <c r="W1423" s="12"/>
      <c r="X1423" s="83"/>
      <c r="Y1423" s="214">
        <v>46034.29861111111</v>
      </c>
      <c r="Z1423" s="214">
        <v>46034.663194444445</v>
      </c>
      <c r="AA1423" s="12"/>
      <c r="AB1423" s="84" t="s">
        <v>2195</v>
      </c>
      <c r="AC1423" s="84" t="s">
        <v>2196</v>
      </c>
      <c r="AD1423" s="12"/>
      <c r="AE1423" s="207" t="s">
        <v>39</v>
      </c>
      <c r="AF1423" s="207" t="s">
        <v>39</v>
      </c>
      <c r="AG1423" s="22"/>
      <c r="AH1423" s="22"/>
      <c r="AI1423" s="22"/>
      <c r="AJ1423" s="22"/>
      <c r="AK1423" s="22"/>
      <c r="AL1423" s="22"/>
      <c r="AM1423" s="22"/>
      <c r="AN1423" s="22"/>
      <c r="AO1423" s="22"/>
      <c r="AP1423" s="22"/>
    </row>
    <row r="1424" ht="15.75" customHeight="1">
      <c r="A1424" s="103">
        <v>1.2077603E7</v>
      </c>
      <c r="B1424" s="84">
        <v>9.000616417E9</v>
      </c>
      <c r="C1424" s="11">
        <v>46030.0</v>
      </c>
      <c r="D1424" s="84">
        <v>26.0</v>
      </c>
      <c r="E1424" s="84">
        <v>33139.0</v>
      </c>
      <c r="F1424" s="103" t="s">
        <v>31</v>
      </c>
      <c r="G1424" s="84" t="s">
        <v>44</v>
      </c>
      <c r="H1424" s="84" t="s">
        <v>2080</v>
      </c>
      <c r="I1424" s="84" t="s">
        <v>2081</v>
      </c>
      <c r="J1424" s="238" t="s">
        <v>2082</v>
      </c>
      <c r="K1424" s="238" t="s">
        <v>2083</v>
      </c>
      <c r="L1424" s="98" t="s">
        <v>114</v>
      </c>
      <c r="M1424" s="84" t="s">
        <v>2190</v>
      </c>
      <c r="N1424" s="133">
        <v>3475.0</v>
      </c>
      <c r="O1424" s="73">
        <f t="shared" si="28"/>
        <v>0.6998561151</v>
      </c>
      <c r="P1424" s="98">
        <v>2432.0</v>
      </c>
      <c r="Q1424" s="84" t="s">
        <v>39</v>
      </c>
      <c r="R1424" s="84">
        <v>1762498.0</v>
      </c>
      <c r="S1424" s="84" t="s">
        <v>40</v>
      </c>
      <c r="T1424" s="90">
        <v>8046465.0</v>
      </c>
      <c r="U1424" s="214">
        <v>46030.36111111111</v>
      </c>
      <c r="V1424" s="214">
        <v>46030.47222222222</v>
      </c>
      <c r="W1424" s="12"/>
      <c r="X1424" s="12"/>
      <c r="Y1424" s="214">
        <v>46030.73611111111</v>
      </c>
      <c r="Z1424" s="214">
        <v>46031.475694444445</v>
      </c>
      <c r="AA1424" s="12"/>
      <c r="AB1424" s="12"/>
      <c r="AC1424" s="12"/>
      <c r="AD1424" s="12"/>
      <c r="AE1424" s="207" t="s">
        <v>39</v>
      </c>
      <c r="AF1424" s="207" t="s">
        <v>39</v>
      </c>
      <c r="AG1424" s="22"/>
      <c r="AH1424" s="22"/>
      <c r="AI1424" s="22"/>
      <c r="AJ1424" s="22"/>
      <c r="AK1424" s="22"/>
      <c r="AL1424" s="22"/>
      <c r="AM1424" s="22"/>
      <c r="AN1424" s="22"/>
      <c r="AO1424" s="22"/>
      <c r="AP1424" s="22"/>
    </row>
    <row r="1425" ht="15.75" customHeight="1">
      <c r="A1425" s="103">
        <v>1.2081478E7</v>
      </c>
      <c r="B1425" s="84">
        <v>9.000620102E9</v>
      </c>
      <c r="C1425" s="11">
        <v>46030.0</v>
      </c>
      <c r="D1425" s="84">
        <v>26.0</v>
      </c>
      <c r="E1425" s="84">
        <v>33139.0</v>
      </c>
      <c r="F1425" s="103" t="s">
        <v>31</v>
      </c>
      <c r="G1425" s="84" t="s">
        <v>44</v>
      </c>
      <c r="H1425" s="84" t="s">
        <v>2080</v>
      </c>
      <c r="I1425" s="84" t="s">
        <v>2081</v>
      </c>
      <c r="J1425" s="238" t="s">
        <v>2082</v>
      </c>
      <c r="K1425" s="238" t="s">
        <v>2083</v>
      </c>
      <c r="L1425" s="98" t="s">
        <v>114</v>
      </c>
      <c r="M1425" s="84" t="s">
        <v>2185</v>
      </c>
      <c r="N1425" s="133">
        <v>3475.0</v>
      </c>
      <c r="O1425" s="73">
        <f t="shared" si="28"/>
        <v>0.6998561151</v>
      </c>
      <c r="P1425" s="98">
        <v>2432.0</v>
      </c>
      <c r="Q1425" s="84" t="s">
        <v>39</v>
      </c>
      <c r="R1425" s="84">
        <v>1762580.0</v>
      </c>
      <c r="S1425" s="84" t="s">
        <v>40</v>
      </c>
      <c r="T1425" s="90">
        <v>8047239.0</v>
      </c>
      <c r="U1425" s="214">
        <v>46030.34375</v>
      </c>
      <c r="V1425" s="214">
        <v>46030.47222222222</v>
      </c>
      <c r="W1425" s="12"/>
      <c r="X1425" s="12"/>
      <c r="Y1425" s="214">
        <v>46030.73611111111</v>
      </c>
      <c r="Z1425" s="214">
        <v>46031.475694444445</v>
      </c>
      <c r="AA1425" s="12"/>
      <c r="AB1425" s="12"/>
      <c r="AC1425" s="12"/>
      <c r="AD1425" s="12"/>
      <c r="AE1425" s="207" t="s">
        <v>39</v>
      </c>
      <c r="AF1425" s="207" t="s">
        <v>39</v>
      </c>
      <c r="AG1425" s="22"/>
      <c r="AH1425" s="22"/>
      <c r="AI1425" s="22"/>
      <c r="AJ1425" s="22"/>
      <c r="AK1425" s="22"/>
      <c r="AL1425" s="22"/>
      <c r="AM1425" s="22"/>
      <c r="AN1425" s="22"/>
      <c r="AO1425" s="22"/>
      <c r="AP1425" s="22"/>
    </row>
    <row r="1426" ht="15.75" customHeight="1">
      <c r="A1426" s="103">
        <v>1.2086731E7</v>
      </c>
      <c r="B1426" s="84">
        <v>9.000625091E9</v>
      </c>
      <c r="C1426" s="11">
        <v>46030.0</v>
      </c>
      <c r="D1426" s="84">
        <v>26.0</v>
      </c>
      <c r="E1426" s="84">
        <v>30527.0</v>
      </c>
      <c r="F1426" s="103" t="s">
        <v>31</v>
      </c>
      <c r="G1426" s="84" t="s">
        <v>74</v>
      </c>
      <c r="H1426" s="84" t="s">
        <v>2197</v>
      </c>
      <c r="I1426" s="84" t="s">
        <v>2198</v>
      </c>
      <c r="J1426" s="238" t="s">
        <v>2082</v>
      </c>
      <c r="K1426" s="238" t="s">
        <v>2199</v>
      </c>
      <c r="L1426" s="98" t="s">
        <v>2105</v>
      </c>
      <c r="M1426" s="84" t="s">
        <v>2200</v>
      </c>
      <c r="N1426" s="133">
        <v>4717.0</v>
      </c>
      <c r="O1426" s="73">
        <f t="shared" si="28"/>
        <v>0.7737969048</v>
      </c>
      <c r="P1426" s="98">
        <v>3650.0</v>
      </c>
      <c r="Q1426" s="84" t="s">
        <v>39</v>
      </c>
      <c r="R1426" s="84">
        <v>1762591.0</v>
      </c>
      <c r="S1426" s="84" t="s">
        <v>40</v>
      </c>
      <c r="T1426" s="90">
        <v>8047367.0</v>
      </c>
      <c r="U1426" s="214">
        <v>46030.375</v>
      </c>
      <c r="V1426" s="214">
        <v>46030.618055555555</v>
      </c>
      <c r="W1426" s="12"/>
      <c r="X1426" s="241">
        <v>46034.291666666664</v>
      </c>
      <c r="Y1426" s="214">
        <v>46034.225694444445</v>
      </c>
      <c r="Z1426" s="214">
        <v>46034.70138888889</v>
      </c>
      <c r="AA1426" s="12"/>
      <c r="AB1426" s="84" t="s">
        <v>2201</v>
      </c>
      <c r="AC1426" s="84" t="s">
        <v>2202</v>
      </c>
      <c r="AD1426" s="12"/>
      <c r="AE1426" s="207" t="s">
        <v>39</v>
      </c>
      <c r="AF1426" s="207" t="s">
        <v>39</v>
      </c>
      <c r="AG1426" s="22"/>
      <c r="AH1426" s="22"/>
      <c r="AI1426" s="22"/>
      <c r="AJ1426" s="22"/>
      <c r="AK1426" s="22"/>
      <c r="AL1426" s="22"/>
      <c r="AM1426" s="22"/>
      <c r="AN1426" s="22"/>
      <c r="AO1426" s="22"/>
      <c r="AP1426" s="22"/>
    </row>
    <row r="1427" ht="15.75" customHeight="1">
      <c r="A1427" s="103">
        <v>1.2084864E7</v>
      </c>
      <c r="B1427" s="84">
        <v>9.000625074E9</v>
      </c>
      <c r="C1427" s="11">
        <v>46034.0</v>
      </c>
      <c r="D1427" s="84">
        <v>19.0</v>
      </c>
      <c r="E1427" s="84">
        <v>22308.0</v>
      </c>
      <c r="F1427" s="103" t="s">
        <v>31</v>
      </c>
      <c r="G1427" s="84" t="s">
        <v>74</v>
      </c>
      <c r="H1427" s="84" t="s">
        <v>2197</v>
      </c>
      <c r="I1427" s="84" t="s">
        <v>2198</v>
      </c>
      <c r="J1427" s="238" t="s">
        <v>2082</v>
      </c>
      <c r="K1427" s="238" t="s">
        <v>2199</v>
      </c>
      <c r="L1427" s="98" t="s">
        <v>2105</v>
      </c>
      <c r="M1427" s="84" t="s">
        <v>2190</v>
      </c>
      <c r="N1427" s="133">
        <v>4717.0</v>
      </c>
      <c r="O1427" s="73">
        <f t="shared" si="28"/>
        <v>0.7799448802</v>
      </c>
      <c r="P1427" s="133">
        <v>3679.0</v>
      </c>
      <c r="Q1427" s="12"/>
      <c r="R1427" s="84">
        <v>1764336.0</v>
      </c>
      <c r="S1427" s="84" t="s">
        <v>40</v>
      </c>
      <c r="T1427" s="90">
        <v>8067704.0</v>
      </c>
      <c r="U1427" s="214">
        <v>46034.520833333336</v>
      </c>
      <c r="V1427" s="214">
        <v>46034.805555555555</v>
      </c>
      <c r="W1427" s="12"/>
      <c r="X1427" s="241">
        <v>46036.291666666664</v>
      </c>
      <c r="Y1427" s="214">
        <v>46035.364583333336</v>
      </c>
      <c r="Z1427" s="214">
        <v>46035.541666666664</v>
      </c>
      <c r="AA1427" s="12"/>
      <c r="AB1427" s="84">
        <v>339410.0</v>
      </c>
      <c r="AC1427" s="84" t="s">
        <v>1154</v>
      </c>
      <c r="AD1427" s="12"/>
      <c r="AE1427" s="207" t="s">
        <v>39</v>
      </c>
      <c r="AF1427" s="12"/>
      <c r="AG1427" s="22"/>
      <c r="AH1427" s="22"/>
      <c r="AI1427" s="22"/>
      <c r="AJ1427" s="22"/>
      <c r="AK1427" s="22"/>
      <c r="AL1427" s="22"/>
      <c r="AM1427" s="22"/>
      <c r="AN1427" s="22"/>
      <c r="AO1427" s="22"/>
      <c r="AP1427" s="22"/>
    </row>
    <row r="1428" ht="15.75" customHeight="1">
      <c r="A1428" s="103">
        <v>1.2084866E7</v>
      </c>
      <c r="B1428" s="84">
        <v>9.00062507E9</v>
      </c>
      <c r="C1428" s="11">
        <v>46034.0</v>
      </c>
      <c r="D1428" s="84">
        <v>26.0</v>
      </c>
      <c r="E1428" s="84">
        <v>30663.0</v>
      </c>
      <c r="F1428" s="103" t="s">
        <v>31</v>
      </c>
      <c r="G1428" s="84" t="s">
        <v>74</v>
      </c>
      <c r="H1428" s="84" t="s">
        <v>2203</v>
      </c>
      <c r="I1428" s="84" t="s">
        <v>2204</v>
      </c>
      <c r="J1428" s="238" t="s">
        <v>2082</v>
      </c>
      <c r="K1428" s="238" t="s">
        <v>2119</v>
      </c>
      <c r="L1428" s="98" t="s">
        <v>2105</v>
      </c>
      <c r="M1428" s="84" t="s">
        <v>2185</v>
      </c>
      <c r="N1428" s="133">
        <v>5662.0</v>
      </c>
      <c r="O1428" s="73">
        <f t="shared" si="28"/>
        <v>0.7779936418</v>
      </c>
      <c r="P1428" s="98">
        <v>4405.0</v>
      </c>
      <c r="Q1428" s="84" t="s">
        <v>39</v>
      </c>
      <c r="R1428" s="84">
        <v>1764292.0</v>
      </c>
      <c r="S1428" s="84" t="s">
        <v>40</v>
      </c>
      <c r="T1428" s="90">
        <v>8066522.0</v>
      </c>
      <c r="U1428" s="214">
        <v>46034.333333333336</v>
      </c>
      <c r="V1428" s="214">
        <v>46034.55902777778</v>
      </c>
      <c r="W1428" s="12"/>
      <c r="X1428" s="241">
        <v>46035.291666666664</v>
      </c>
      <c r="Y1428" s="214">
        <v>46034.875</v>
      </c>
      <c r="Z1428" s="214">
        <v>46036.052083333336</v>
      </c>
      <c r="AA1428" s="12"/>
      <c r="AB1428" s="84" t="s">
        <v>2205</v>
      </c>
      <c r="AC1428" s="84" t="s">
        <v>2206</v>
      </c>
      <c r="AD1428" s="12"/>
      <c r="AE1428" s="207" t="s">
        <v>39</v>
      </c>
      <c r="AF1428" s="207" t="s">
        <v>39</v>
      </c>
      <c r="AG1428" s="22"/>
      <c r="AH1428" s="22"/>
      <c r="AI1428" s="22"/>
      <c r="AJ1428" s="22"/>
      <c r="AK1428" s="22"/>
      <c r="AL1428" s="22"/>
      <c r="AM1428" s="22"/>
      <c r="AN1428" s="22"/>
      <c r="AO1428" s="22"/>
      <c r="AP1428" s="22"/>
    </row>
    <row r="1429" ht="15.75" customHeight="1">
      <c r="A1429" s="103">
        <v>1.2087649E7</v>
      </c>
      <c r="B1429" s="84">
        <v>9.000629835E9</v>
      </c>
      <c r="C1429" s="11">
        <v>46034.0</v>
      </c>
      <c r="D1429" s="84">
        <v>28.0</v>
      </c>
      <c r="E1429" s="84">
        <v>34295.0</v>
      </c>
      <c r="F1429" s="103" t="s">
        <v>43</v>
      </c>
      <c r="G1429" s="84" t="s">
        <v>44</v>
      </c>
      <c r="H1429" s="169" t="s">
        <v>45</v>
      </c>
      <c r="I1429" s="209" t="s">
        <v>46</v>
      </c>
      <c r="J1429" s="12" t="s">
        <v>35</v>
      </c>
      <c r="K1429" s="14" t="s">
        <v>47</v>
      </c>
      <c r="L1429" s="244" t="s">
        <v>108</v>
      </c>
      <c r="M1429" s="84" t="s">
        <v>2170</v>
      </c>
      <c r="N1429" s="133">
        <v>1946.5</v>
      </c>
      <c r="O1429" s="73">
        <f t="shared" si="28"/>
        <v>0</v>
      </c>
      <c r="P1429" s="98">
        <v>0.0</v>
      </c>
      <c r="Q1429" s="84" t="s">
        <v>39</v>
      </c>
      <c r="R1429" s="84">
        <v>1764467.0</v>
      </c>
      <c r="S1429" s="84" t="s">
        <v>40</v>
      </c>
      <c r="T1429" s="90">
        <v>8070421.0</v>
      </c>
      <c r="U1429" s="214">
        <v>46029.86111111111</v>
      </c>
      <c r="V1429" s="214">
        <v>46035.3125</v>
      </c>
      <c r="W1429" s="12"/>
      <c r="X1429" s="241">
        <v>46036.354166666664</v>
      </c>
      <c r="Y1429" s="214">
        <v>46036.291666666664</v>
      </c>
      <c r="Z1429" s="214">
        <v>46036.416666666664</v>
      </c>
      <c r="AA1429" s="12"/>
      <c r="AB1429" s="12"/>
      <c r="AC1429" s="12"/>
      <c r="AD1429" s="12"/>
      <c r="AE1429" s="207" t="s">
        <v>39</v>
      </c>
      <c r="AF1429" s="207" t="s">
        <v>39</v>
      </c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</row>
    <row r="1430" ht="15.75" customHeight="1">
      <c r="A1430" s="103">
        <v>1.2087653E7</v>
      </c>
      <c r="B1430" s="84">
        <v>9.000629907E9</v>
      </c>
      <c r="C1430" s="11">
        <v>46034.0</v>
      </c>
      <c r="D1430" s="84">
        <v>15.0</v>
      </c>
      <c r="E1430" s="84">
        <v>17135.0</v>
      </c>
      <c r="F1430" s="103" t="s">
        <v>43</v>
      </c>
      <c r="G1430" s="84" t="s">
        <v>44</v>
      </c>
      <c r="H1430" s="176" t="s">
        <v>2207</v>
      </c>
      <c r="I1430" s="194" t="s">
        <v>1957</v>
      </c>
      <c r="J1430" s="14" t="s">
        <v>47</v>
      </c>
      <c r="K1430" s="12" t="s">
        <v>35</v>
      </c>
      <c r="L1430" s="244" t="s">
        <v>108</v>
      </c>
      <c r="M1430" s="84" t="s">
        <v>2170</v>
      </c>
      <c r="N1430" s="133">
        <v>1946.5</v>
      </c>
      <c r="O1430" s="73">
        <f t="shared" si="28"/>
        <v>0</v>
      </c>
      <c r="P1430" s="98">
        <v>0.0</v>
      </c>
      <c r="Q1430" s="84"/>
      <c r="R1430" s="84">
        <v>1765334.0</v>
      </c>
      <c r="S1430" s="84" t="s">
        <v>40</v>
      </c>
      <c r="T1430" s="90">
        <v>8081980.0</v>
      </c>
      <c r="U1430" s="214">
        <v>46036.416666666664</v>
      </c>
      <c r="V1430" s="214">
        <v>46036.416666666664</v>
      </c>
      <c r="W1430" s="12"/>
      <c r="X1430" s="12"/>
      <c r="Y1430" s="214">
        <v>46036.572916666664</v>
      </c>
      <c r="Z1430" s="214">
        <v>46037.625</v>
      </c>
      <c r="AA1430" s="12"/>
      <c r="AB1430" s="12"/>
      <c r="AC1430" s="12"/>
      <c r="AD1430" s="12"/>
      <c r="AE1430" s="207" t="s">
        <v>39</v>
      </c>
      <c r="AF1430" s="207" t="s">
        <v>39</v>
      </c>
      <c r="AG1430" s="22"/>
      <c r="AH1430" s="22"/>
      <c r="AI1430" s="22"/>
      <c r="AJ1430" s="22"/>
      <c r="AK1430" s="22"/>
      <c r="AL1430" s="22"/>
      <c r="AM1430" s="22"/>
      <c r="AN1430" s="22"/>
      <c r="AO1430" s="22"/>
      <c r="AP1430" s="22"/>
    </row>
    <row r="1431" ht="15.75" customHeight="1">
      <c r="A1431" s="103">
        <v>1.2084865E7</v>
      </c>
      <c r="B1431" s="84">
        <v>9.000625064E9</v>
      </c>
      <c r="C1431" s="11">
        <v>46035.0</v>
      </c>
      <c r="D1431" s="84">
        <v>26.0</v>
      </c>
      <c r="E1431" s="84">
        <v>30527.0</v>
      </c>
      <c r="F1431" s="103" t="s">
        <v>31</v>
      </c>
      <c r="G1431" s="84" t="s">
        <v>74</v>
      </c>
      <c r="H1431" s="84" t="s">
        <v>2203</v>
      </c>
      <c r="I1431" s="84" t="s">
        <v>2204</v>
      </c>
      <c r="J1431" s="238" t="s">
        <v>2082</v>
      </c>
      <c r="K1431" s="238" t="s">
        <v>2119</v>
      </c>
      <c r="L1431" s="98" t="s">
        <v>2105</v>
      </c>
      <c r="M1431" s="84" t="s">
        <v>2208</v>
      </c>
      <c r="N1431" s="133">
        <v>5662.0</v>
      </c>
      <c r="O1431" s="73">
        <f t="shared" si="28"/>
        <v>0.7734016249</v>
      </c>
      <c r="P1431" s="98">
        <v>4379.0</v>
      </c>
      <c r="Q1431" s="12"/>
      <c r="R1431" s="84">
        <v>1764492.0</v>
      </c>
      <c r="S1431" s="84" t="s">
        <v>40</v>
      </c>
      <c r="T1431" s="90">
        <v>8070715.0</v>
      </c>
      <c r="U1431" s="214">
        <v>46035.305555555555</v>
      </c>
      <c r="V1431" s="214">
        <v>46035.88888888889</v>
      </c>
      <c r="W1431" s="12"/>
      <c r="X1431" s="241">
        <v>46036.291666666664</v>
      </c>
      <c r="Y1431" s="214">
        <v>46036.6875</v>
      </c>
      <c r="Z1431" s="214">
        <v>46037.979166666664</v>
      </c>
      <c r="AA1431" s="12"/>
      <c r="AB1431" s="84" t="s">
        <v>2209</v>
      </c>
      <c r="AC1431" s="84" t="s">
        <v>2210</v>
      </c>
      <c r="AD1431" s="12"/>
      <c r="AE1431" s="207" t="s">
        <v>39</v>
      </c>
      <c r="AF1431" s="207" t="s">
        <v>39</v>
      </c>
      <c r="AG1431" s="22"/>
      <c r="AH1431" s="22"/>
      <c r="AI1431" s="22"/>
      <c r="AJ1431" s="22"/>
      <c r="AK1431" s="22"/>
      <c r="AL1431" s="22"/>
      <c r="AM1431" s="22"/>
      <c r="AN1431" s="22"/>
      <c r="AO1431" s="22"/>
      <c r="AP1431" s="22"/>
    </row>
    <row r="1432" ht="15.75" customHeight="1">
      <c r="A1432" s="103">
        <v>1.2126807E7</v>
      </c>
      <c r="B1432" s="84"/>
      <c r="C1432" s="11">
        <v>46035.0</v>
      </c>
      <c r="D1432" s="84">
        <v>26.0</v>
      </c>
      <c r="E1432" s="84"/>
      <c r="F1432" s="103"/>
      <c r="G1432" s="84"/>
      <c r="H1432" s="107" t="s">
        <v>2211</v>
      </c>
      <c r="I1432" s="84" t="s">
        <v>2212</v>
      </c>
      <c r="J1432" s="238" t="s">
        <v>2119</v>
      </c>
      <c r="K1432" s="238" t="s">
        <v>2082</v>
      </c>
      <c r="L1432" s="98"/>
      <c r="M1432" s="84" t="s">
        <v>2208</v>
      </c>
      <c r="N1432" s="133">
        <v>4530.0</v>
      </c>
      <c r="O1432" s="73"/>
      <c r="P1432" s="98"/>
      <c r="Q1432" s="12"/>
      <c r="R1432" s="84"/>
      <c r="S1432" s="84"/>
      <c r="T1432" s="84"/>
      <c r="U1432" s="214"/>
      <c r="V1432" s="214"/>
      <c r="W1432" s="12"/>
      <c r="X1432" s="241"/>
      <c r="Y1432" s="214"/>
      <c r="Z1432" s="214"/>
      <c r="AA1432" s="12"/>
      <c r="AB1432" s="84"/>
      <c r="AC1432" s="84"/>
      <c r="AD1432" s="12"/>
      <c r="AE1432" s="207"/>
      <c r="AF1432" s="12"/>
      <c r="AG1432" s="22"/>
      <c r="AH1432" s="22"/>
      <c r="AI1432" s="22"/>
      <c r="AJ1432" s="22"/>
      <c r="AK1432" s="22"/>
      <c r="AL1432" s="22"/>
      <c r="AM1432" s="22"/>
      <c r="AN1432" s="22"/>
      <c r="AO1432" s="22"/>
      <c r="AP1432" s="22"/>
    </row>
    <row r="1433" ht="15.75" customHeight="1">
      <c r="A1433" s="103">
        <v>1.2081476E7</v>
      </c>
      <c r="B1433" s="84">
        <v>9.000620148E9</v>
      </c>
      <c r="C1433" s="11">
        <v>46035.0</v>
      </c>
      <c r="D1433" s="84">
        <v>26.0</v>
      </c>
      <c r="E1433" s="84">
        <v>33139.0</v>
      </c>
      <c r="F1433" s="103" t="s">
        <v>31</v>
      </c>
      <c r="G1433" s="84" t="s">
        <v>44</v>
      </c>
      <c r="H1433" s="84" t="s">
        <v>2080</v>
      </c>
      <c r="I1433" s="84" t="s">
        <v>2081</v>
      </c>
      <c r="J1433" s="238" t="s">
        <v>2082</v>
      </c>
      <c r="K1433" s="238" t="s">
        <v>2083</v>
      </c>
      <c r="L1433" s="98" t="s">
        <v>114</v>
      </c>
      <c r="M1433" s="84" t="s">
        <v>2200</v>
      </c>
      <c r="N1433" s="133">
        <v>3475.0</v>
      </c>
      <c r="O1433" s="73">
        <f t="shared" ref="O1433:O1519" si="29">IFERROR(P1433/N1433,0)</f>
        <v>0.6998561151</v>
      </c>
      <c r="P1433" s="98">
        <v>2432.0</v>
      </c>
      <c r="Q1433" s="12"/>
      <c r="R1433" s="84">
        <v>1764473.0</v>
      </c>
      <c r="S1433" s="84" t="s">
        <v>40</v>
      </c>
      <c r="T1433" s="90">
        <v>8070483.0</v>
      </c>
      <c r="U1433" s="214">
        <v>46035.32638888889</v>
      </c>
      <c r="V1433" s="214">
        <v>46036.333333333336</v>
      </c>
      <c r="W1433" s="12"/>
      <c r="X1433" s="241"/>
      <c r="Y1433" s="214">
        <v>46036.510416666664</v>
      </c>
      <c r="Z1433" s="214">
        <v>46037.631944444445</v>
      </c>
      <c r="AA1433" s="12"/>
      <c r="AB1433" s="84">
        <v>342012.0</v>
      </c>
      <c r="AC1433" s="84" t="s">
        <v>2059</v>
      </c>
      <c r="AD1433" s="12"/>
      <c r="AE1433" s="207" t="s">
        <v>39</v>
      </c>
      <c r="AF1433" s="207" t="s">
        <v>39</v>
      </c>
      <c r="AG1433" s="22"/>
      <c r="AH1433" s="22"/>
      <c r="AI1433" s="22"/>
      <c r="AJ1433" s="22"/>
      <c r="AK1433" s="22"/>
      <c r="AL1433" s="22"/>
      <c r="AM1433" s="22"/>
      <c r="AN1433" s="22"/>
      <c r="AO1433" s="22"/>
      <c r="AP1433" s="22"/>
    </row>
    <row r="1434" ht="15.75" customHeight="1">
      <c r="A1434" s="103">
        <v>1.2081477E7</v>
      </c>
      <c r="B1434" s="84">
        <v>9.000620219E9</v>
      </c>
      <c r="C1434" s="11">
        <v>46037.0</v>
      </c>
      <c r="D1434" s="84">
        <v>26.0</v>
      </c>
      <c r="E1434" s="84">
        <v>33139.0</v>
      </c>
      <c r="F1434" s="103" t="s">
        <v>31</v>
      </c>
      <c r="G1434" s="84" t="s">
        <v>44</v>
      </c>
      <c r="H1434" s="84" t="s">
        <v>2080</v>
      </c>
      <c r="I1434" s="84" t="s">
        <v>2081</v>
      </c>
      <c r="J1434" s="238" t="s">
        <v>2082</v>
      </c>
      <c r="K1434" s="238" t="s">
        <v>2083</v>
      </c>
      <c r="L1434" s="98" t="s">
        <v>114</v>
      </c>
      <c r="M1434" s="84" t="s">
        <v>2185</v>
      </c>
      <c r="N1434" s="133">
        <v>3475.0</v>
      </c>
      <c r="O1434" s="73">
        <f t="shared" si="29"/>
        <v>0.7</v>
      </c>
      <c r="P1434" s="98">
        <v>2432.5</v>
      </c>
      <c r="Q1434" s="12"/>
      <c r="R1434" s="84">
        <v>1765980.0</v>
      </c>
      <c r="S1434" s="84" t="s">
        <v>40</v>
      </c>
      <c r="T1434" s="90">
        <v>8089933.0</v>
      </c>
      <c r="U1434" s="214">
        <v>46037.354166666664</v>
      </c>
      <c r="V1434" s="214">
        <v>46037.666666666664</v>
      </c>
      <c r="W1434" s="12"/>
      <c r="X1434" s="241"/>
      <c r="Y1434" s="214">
        <v>46037.833333333336</v>
      </c>
      <c r="Z1434" s="214">
        <v>46038.416666666664</v>
      </c>
      <c r="AA1434" s="12"/>
      <c r="AB1434" s="12"/>
      <c r="AC1434" s="12"/>
      <c r="AD1434" s="12"/>
      <c r="AE1434" s="207" t="s">
        <v>39</v>
      </c>
      <c r="AF1434" s="207" t="s">
        <v>39</v>
      </c>
      <c r="AG1434" s="22"/>
      <c r="AH1434" s="22"/>
      <c r="AI1434" s="22"/>
      <c r="AJ1434" s="22"/>
      <c r="AK1434" s="22"/>
      <c r="AL1434" s="22"/>
      <c r="AM1434" s="22"/>
      <c r="AN1434" s="22"/>
      <c r="AO1434" s="22"/>
      <c r="AP1434" s="22"/>
    </row>
    <row r="1435" ht="15.75" customHeight="1">
      <c r="A1435" s="103">
        <v>1.2077602E7</v>
      </c>
      <c r="B1435" s="84">
        <v>9.000616543E9</v>
      </c>
      <c r="C1435" s="11">
        <v>46036.0</v>
      </c>
      <c r="D1435" s="84">
        <v>26.0</v>
      </c>
      <c r="E1435" s="84">
        <v>33136.0</v>
      </c>
      <c r="F1435" s="103" t="s">
        <v>31</v>
      </c>
      <c r="G1435" s="84" t="s">
        <v>44</v>
      </c>
      <c r="H1435" s="84" t="s">
        <v>2080</v>
      </c>
      <c r="I1435" s="84" t="s">
        <v>2081</v>
      </c>
      <c r="J1435" s="238" t="s">
        <v>2082</v>
      </c>
      <c r="K1435" s="238" t="s">
        <v>2083</v>
      </c>
      <c r="L1435" s="98" t="s">
        <v>114</v>
      </c>
      <c r="M1435" s="84" t="s">
        <v>2190</v>
      </c>
      <c r="N1435" s="133">
        <v>3475.0</v>
      </c>
      <c r="O1435" s="73">
        <f t="shared" si="29"/>
        <v>0.7</v>
      </c>
      <c r="P1435" s="98">
        <v>2432.5</v>
      </c>
      <c r="Q1435" s="84" t="s">
        <v>39</v>
      </c>
      <c r="R1435" s="84">
        <v>1765966.0</v>
      </c>
      <c r="S1435" s="84" t="s">
        <v>40</v>
      </c>
      <c r="T1435" s="90">
        <v>8089733.0</v>
      </c>
      <c r="U1435" s="214">
        <v>46036.61111111111</v>
      </c>
      <c r="V1435" s="214">
        <v>46037.25</v>
      </c>
      <c r="W1435" s="12"/>
      <c r="X1435" s="12"/>
      <c r="Y1435" s="214">
        <v>46037.604166666664</v>
      </c>
      <c r="Z1435" s="214">
        <v>46038.22222222222</v>
      </c>
      <c r="AA1435" s="12"/>
      <c r="AB1435" s="12"/>
      <c r="AC1435" s="12"/>
      <c r="AD1435" s="12"/>
      <c r="AE1435" s="207" t="s">
        <v>39</v>
      </c>
      <c r="AF1435" s="207" t="s">
        <v>39</v>
      </c>
      <c r="AG1435" s="22"/>
      <c r="AH1435" s="22"/>
      <c r="AI1435" s="22"/>
      <c r="AJ1435" s="22"/>
      <c r="AK1435" s="22"/>
      <c r="AL1435" s="22"/>
      <c r="AM1435" s="22"/>
      <c r="AN1435" s="22"/>
      <c r="AO1435" s="22"/>
      <c r="AP1435" s="22"/>
    </row>
    <row r="1436" ht="15.75" customHeight="1">
      <c r="A1436" s="103">
        <v>1.2104735E7</v>
      </c>
      <c r="B1436" s="84">
        <v>9.000650909E9</v>
      </c>
      <c r="C1436" s="11">
        <v>46037.0</v>
      </c>
      <c r="D1436" s="84">
        <v>28.0</v>
      </c>
      <c r="E1436" s="84">
        <v>34058.0</v>
      </c>
      <c r="F1436" s="103" t="s">
        <v>31</v>
      </c>
      <c r="G1436" s="84" t="s">
        <v>44</v>
      </c>
      <c r="H1436" s="169" t="s">
        <v>268</v>
      </c>
      <c r="I1436" s="194" t="s">
        <v>1958</v>
      </c>
      <c r="J1436" s="84" t="s">
        <v>35</v>
      </c>
      <c r="K1436" s="84" t="s">
        <v>270</v>
      </c>
      <c r="L1436" s="98" t="s">
        <v>94</v>
      </c>
      <c r="M1436" s="84" t="s">
        <v>2152</v>
      </c>
      <c r="N1436" s="133">
        <v>6410.0</v>
      </c>
      <c r="O1436" s="73">
        <f t="shared" si="29"/>
        <v>0.6630265211</v>
      </c>
      <c r="P1436" s="98">
        <v>4250.0</v>
      </c>
      <c r="Q1436" s="84" t="s">
        <v>39</v>
      </c>
      <c r="R1436" s="84">
        <v>1766522.0</v>
      </c>
      <c r="S1436" s="84" t="s">
        <v>40</v>
      </c>
      <c r="T1436" s="90">
        <v>8097056.0</v>
      </c>
      <c r="U1436" s="214">
        <v>46037.697916666664</v>
      </c>
      <c r="V1436" s="214">
        <v>46038.135416666664</v>
      </c>
      <c r="W1436" s="12"/>
      <c r="X1436" s="241">
        <v>46038.458333333336</v>
      </c>
      <c r="Y1436" s="214">
        <v>46039.444444444445</v>
      </c>
      <c r="Z1436" s="214">
        <v>46039.84722222222</v>
      </c>
      <c r="AA1436" s="12"/>
      <c r="AB1436" s="12"/>
      <c r="AC1436" s="12"/>
      <c r="AD1436" s="12"/>
      <c r="AE1436" s="207" t="s">
        <v>39</v>
      </c>
      <c r="AF1436" s="207" t="s">
        <v>39</v>
      </c>
      <c r="AG1436" s="22"/>
      <c r="AH1436" s="22"/>
      <c r="AI1436" s="22"/>
      <c r="AJ1436" s="22"/>
      <c r="AK1436" s="22"/>
      <c r="AL1436" s="22"/>
      <c r="AM1436" s="22"/>
      <c r="AN1436" s="22"/>
      <c r="AO1436" s="22"/>
      <c r="AP1436" s="22"/>
    </row>
    <row r="1437" ht="15.75" customHeight="1">
      <c r="A1437" s="103">
        <v>1.2099022E7</v>
      </c>
      <c r="B1437" s="84">
        <v>9.00064399E9</v>
      </c>
      <c r="C1437" s="11">
        <v>46037.0</v>
      </c>
      <c r="D1437" s="84">
        <v>27.0</v>
      </c>
      <c r="E1437" s="84">
        <v>34716.0</v>
      </c>
      <c r="F1437" s="103" t="s">
        <v>31</v>
      </c>
      <c r="G1437" s="208" t="s">
        <v>44</v>
      </c>
      <c r="H1437" s="194" t="s">
        <v>104</v>
      </c>
      <c r="I1437" s="85" t="s">
        <v>2149</v>
      </c>
      <c r="J1437" s="170" t="s">
        <v>35</v>
      </c>
      <c r="K1437" s="194" t="s">
        <v>106</v>
      </c>
      <c r="L1437" s="247" t="s">
        <v>59</v>
      </c>
      <c r="M1437" s="84" t="s">
        <v>2170</v>
      </c>
      <c r="N1437" s="133">
        <v>5337.0</v>
      </c>
      <c r="O1437" s="73">
        <f t="shared" si="29"/>
        <v>0</v>
      </c>
      <c r="P1437" s="98">
        <v>0.0</v>
      </c>
      <c r="Q1437" s="84" t="s">
        <v>39</v>
      </c>
      <c r="R1437" s="84">
        <v>1766545.0</v>
      </c>
      <c r="S1437" s="84" t="s">
        <v>40</v>
      </c>
      <c r="T1437" s="90">
        <v>8097354.0</v>
      </c>
      <c r="U1437" s="214">
        <v>46037.625</v>
      </c>
      <c r="V1437" s="214">
        <v>46038.53472222222</v>
      </c>
      <c r="W1437" s="12"/>
      <c r="X1437" s="241">
        <v>46041.520833333336</v>
      </c>
      <c r="Y1437" s="214">
        <v>46040.743055555555</v>
      </c>
      <c r="Z1437" s="214">
        <v>46043.625</v>
      </c>
      <c r="AA1437" s="12"/>
      <c r="AB1437" s="84">
        <v>352900.0</v>
      </c>
      <c r="AC1437" s="84" t="s">
        <v>2059</v>
      </c>
      <c r="AD1437" s="12"/>
      <c r="AE1437" s="207" t="s">
        <v>39</v>
      </c>
      <c r="AF1437" s="207" t="s">
        <v>39</v>
      </c>
      <c r="AG1437" s="22"/>
      <c r="AH1437" s="22"/>
      <c r="AI1437" s="22"/>
      <c r="AJ1437" s="22"/>
      <c r="AK1437" s="22"/>
      <c r="AL1437" s="22"/>
      <c r="AM1437" s="22"/>
      <c r="AN1437" s="22"/>
      <c r="AO1437" s="22"/>
      <c r="AP1437" s="22"/>
    </row>
    <row r="1438" ht="15.75" customHeight="1">
      <c r="A1438" s="103">
        <v>1.2098035E7</v>
      </c>
      <c r="B1438" s="84">
        <v>9.000641453E9</v>
      </c>
      <c r="C1438" s="11">
        <v>46041.0</v>
      </c>
      <c r="D1438" s="84">
        <v>24.0</v>
      </c>
      <c r="E1438" s="84">
        <v>28304.0</v>
      </c>
      <c r="F1438" s="29" t="s">
        <v>31</v>
      </c>
      <c r="G1438" s="85" t="s">
        <v>74</v>
      </c>
      <c r="H1438" s="84" t="s">
        <v>426</v>
      </c>
      <c r="I1438" s="85" t="s">
        <v>427</v>
      </c>
      <c r="J1438" s="25" t="s">
        <v>35</v>
      </c>
      <c r="K1438" s="93" t="s">
        <v>424</v>
      </c>
      <c r="L1438" s="95" t="s">
        <v>188</v>
      </c>
      <c r="M1438" s="85" t="s">
        <v>1945</v>
      </c>
      <c r="N1438" s="133">
        <v>2900.0</v>
      </c>
      <c r="O1438" s="73">
        <f t="shared" si="29"/>
        <v>0.7396551724</v>
      </c>
      <c r="P1438" s="98">
        <v>2145.0</v>
      </c>
      <c r="Q1438" s="84" t="s">
        <v>39</v>
      </c>
      <c r="R1438" s="84">
        <v>1768126.0</v>
      </c>
      <c r="S1438" s="84" t="s">
        <v>40</v>
      </c>
      <c r="T1438" s="90">
        <v>8113444.0</v>
      </c>
      <c r="U1438" s="214">
        <v>46041.625</v>
      </c>
      <c r="V1438" s="214">
        <v>46041.916666666664</v>
      </c>
      <c r="W1438" s="12"/>
      <c r="X1438" s="241">
        <v>46043.291666666664</v>
      </c>
      <c r="Y1438" s="214">
        <v>46042.458333333336</v>
      </c>
      <c r="Z1438" s="214">
        <v>46042.625</v>
      </c>
      <c r="AA1438" s="12"/>
      <c r="AB1438" s="84" t="s">
        <v>2213</v>
      </c>
      <c r="AC1438" s="84" t="s">
        <v>2214</v>
      </c>
      <c r="AD1438" s="12"/>
      <c r="AE1438" s="207" t="s">
        <v>39</v>
      </c>
      <c r="AF1438" s="207" t="s">
        <v>39</v>
      </c>
      <c r="AG1438" s="22"/>
      <c r="AH1438" s="22"/>
      <c r="AI1438" s="22"/>
      <c r="AJ1438" s="22"/>
      <c r="AK1438" s="22"/>
      <c r="AL1438" s="22"/>
      <c r="AM1438" s="22"/>
      <c r="AN1438" s="22"/>
      <c r="AO1438" s="22"/>
      <c r="AP1438" s="22"/>
    </row>
    <row r="1439" ht="15.75" customHeight="1">
      <c r="A1439" s="103">
        <v>1.2099026E7</v>
      </c>
      <c r="B1439" s="84">
        <v>9.000644024E9</v>
      </c>
      <c r="C1439" s="11">
        <v>46041.0</v>
      </c>
      <c r="D1439" s="84">
        <v>27.0</v>
      </c>
      <c r="E1439" s="84">
        <v>34716.0</v>
      </c>
      <c r="F1439" s="103" t="s">
        <v>31</v>
      </c>
      <c r="G1439" s="208" t="s">
        <v>44</v>
      </c>
      <c r="H1439" s="194" t="s">
        <v>104</v>
      </c>
      <c r="I1439" s="85" t="s">
        <v>2149</v>
      </c>
      <c r="J1439" s="170" t="s">
        <v>35</v>
      </c>
      <c r="K1439" s="194" t="s">
        <v>106</v>
      </c>
      <c r="L1439" s="171" t="s">
        <v>59</v>
      </c>
      <c r="M1439" s="84" t="s">
        <v>1943</v>
      </c>
      <c r="N1439" s="133">
        <v>5337.0</v>
      </c>
      <c r="O1439" s="73">
        <f t="shared" si="29"/>
        <v>0.5621135469</v>
      </c>
      <c r="P1439" s="98">
        <v>3000.0</v>
      </c>
      <c r="Q1439" s="84" t="s">
        <v>39</v>
      </c>
      <c r="R1439" s="84">
        <v>1768129.0</v>
      </c>
      <c r="S1439" s="84" t="s">
        <v>40</v>
      </c>
      <c r="T1439" s="90">
        <v>8113490.0</v>
      </c>
      <c r="U1439" s="214">
        <v>46041.625</v>
      </c>
      <c r="V1439" s="214">
        <v>46041.916666666664</v>
      </c>
      <c r="W1439" s="12"/>
      <c r="X1439" s="241">
        <v>46043.4375</v>
      </c>
      <c r="Y1439" s="214">
        <v>46043.53472222222</v>
      </c>
      <c r="Z1439" s="214">
        <v>46043.635416666664</v>
      </c>
      <c r="AA1439" s="12"/>
      <c r="AB1439" s="12"/>
      <c r="AC1439" s="12"/>
      <c r="AD1439" s="12"/>
      <c r="AE1439" s="207" t="s">
        <v>39</v>
      </c>
      <c r="AF1439" s="207" t="s">
        <v>39</v>
      </c>
      <c r="AG1439" s="22"/>
      <c r="AH1439" s="22"/>
      <c r="AI1439" s="22"/>
      <c r="AJ1439" s="22"/>
      <c r="AK1439" s="22"/>
      <c r="AL1439" s="22"/>
      <c r="AM1439" s="22"/>
      <c r="AN1439" s="22"/>
      <c r="AO1439" s="22"/>
      <c r="AP1439" s="22"/>
    </row>
    <row r="1440" ht="15.75" customHeight="1">
      <c r="A1440" s="103">
        <v>1.2091664E7</v>
      </c>
      <c r="B1440" s="84">
        <v>9.000634996E9</v>
      </c>
      <c r="C1440" s="11">
        <v>46042.0</v>
      </c>
      <c r="D1440" s="84">
        <v>26.0</v>
      </c>
      <c r="E1440" s="84">
        <v>31625.0</v>
      </c>
      <c r="F1440" s="103" t="s">
        <v>31</v>
      </c>
      <c r="G1440" s="84" t="s">
        <v>44</v>
      </c>
      <c r="H1440" s="84" t="s">
        <v>2127</v>
      </c>
      <c r="I1440" s="84" t="s">
        <v>2184</v>
      </c>
      <c r="J1440" s="238" t="s">
        <v>2082</v>
      </c>
      <c r="K1440" s="238" t="s">
        <v>2129</v>
      </c>
      <c r="L1440" s="98" t="s">
        <v>94</v>
      </c>
      <c r="M1440" s="84" t="s">
        <v>2200</v>
      </c>
      <c r="N1440" s="133">
        <v>6639.0</v>
      </c>
      <c r="O1440" s="73">
        <f t="shared" si="29"/>
        <v>0.7079379425</v>
      </c>
      <c r="P1440" s="98">
        <v>4700.0</v>
      </c>
      <c r="Q1440" s="84" t="s">
        <v>39</v>
      </c>
      <c r="R1440" s="84">
        <v>1768514.0</v>
      </c>
      <c r="S1440" s="84" t="s">
        <v>40</v>
      </c>
      <c r="T1440" s="90">
        <v>8117660.0</v>
      </c>
      <c r="U1440" s="214">
        <v>46042.291666666664</v>
      </c>
      <c r="V1440" s="214">
        <v>46042.70138888889</v>
      </c>
      <c r="W1440" s="12"/>
      <c r="X1440" s="12"/>
      <c r="Y1440" s="214">
        <v>46043.305555555555</v>
      </c>
      <c r="Z1440" s="214">
        <v>46044.333333333336</v>
      </c>
      <c r="AA1440" s="12"/>
      <c r="AB1440" s="84" t="s">
        <v>2215</v>
      </c>
      <c r="AC1440" s="84" t="s">
        <v>1983</v>
      </c>
      <c r="AD1440" s="12"/>
      <c r="AE1440" s="207" t="s">
        <v>39</v>
      </c>
      <c r="AF1440" s="207" t="s">
        <v>39</v>
      </c>
      <c r="AG1440" s="22"/>
      <c r="AH1440" s="22"/>
      <c r="AI1440" s="22"/>
      <c r="AJ1440" s="22"/>
      <c r="AK1440" s="22"/>
      <c r="AL1440" s="22"/>
      <c r="AM1440" s="22"/>
      <c r="AN1440" s="22"/>
      <c r="AO1440" s="22"/>
      <c r="AP1440" s="22"/>
    </row>
    <row r="1441" ht="15.75" customHeight="1">
      <c r="A1441" s="103">
        <v>1.2123215E7</v>
      </c>
      <c r="B1441" s="84">
        <v>9.000670232E9</v>
      </c>
      <c r="C1441" s="11">
        <v>46043.0</v>
      </c>
      <c r="D1441" s="84">
        <v>3.0</v>
      </c>
      <c r="E1441" s="84">
        <v>15918.0</v>
      </c>
      <c r="F1441" s="38" t="s">
        <v>43</v>
      </c>
      <c r="G1441" s="84" t="s">
        <v>44</v>
      </c>
      <c r="H1441" s="84" t="s">
        <v>2216</v>
      </c>
      <c r="I1441" s="84" t="s">
        <v>2212</v>
      </c>
      <c r="J1441" s="238" t="s">
        <v>2129</v>
      </c>
      <c r="K1441" s="238" t="s">
        <v>2082</v>
      </c>
      <c r="L1441" s="98" t="s">
        <v>2105</v>
      </c>
      <c r="M1441" s="84" t="s">
        <v>2200</v>
      </c>
      <c r="N1441" s="133">
        <v>5311.0</v>
      </c>
      <c r="O1441" s="73">
        <f t="shared" si="29"/>
        <v>0</v>
      </c>
      <c r="P1441" s="98"/>
      <c r="Q1441" s="84"/>
      <c r="R1441" s="84"/>
      <c r="S1441" s="84" t="s">
        <v>131</v>
      </c>
      <c r="T1441" s="84"/>
      <c r="U1441" s="214"/>
      <c r="V1441" s="214"/>
      <c r="W1441" s="12"/>
      <c r="X1441" s="12"/>
      <c r="Y1441" s="214"/>
      <c r="Z1441" s="12"/>
      <c r="AA1441" s="12"/>
      <c r="AB1441" s="84"/>
      <c r="AC1441" s="84"/>
      <c r="AD1441" s="12"/>
      <c r="AE1441" s="12"/>
      <c r="AF1441" s="12"/>
      <c r="AG1441" s="22"/>
      <c r="AH1441" s="22"/>
      <c r="AI1441" s="22"/>
      <c r="AJ1441" s="22"/>
      <c r="AK1441" s="22"/>
      <c r="AL1441" s="22"/>
      <c r="AM1441" s="22"/>
      <c r="AN1441" s="22"/>
      <c r="AO1441" s="22"/>
      <c r="AP1441" s="22"/>
    </row>
    <row r="1442" ht="15.75" customHeight="1">
      <c r="A1442" s="103">
        <v>1.2091665E7</v>
      </c>
      <c r="B1442" s="84">
        <v>9.000635043E9</v>
      </c>
      <c r="C1442" s="11">
        <v>46042.0</v>
      </c>
      <c r="D1442" s="84">
        <v>26.0</v>
      </c>
      <c r="E1442" s="84">
        <v>31625.0</v>
      </c>
      <c r="F1442" s="103" t="s">
        <v>31</v>
      </c>
      <c r="G1442" s="84" t="s">
        <v>44</v>
      </c>
      <c r="H1442" s="84" t="s">
        <v>2127</v>
      </c>
      <c r="I1442" s="84" t="s">
        <v>2184</v>
      </c>
      <c r="J1442" s="238" t="s">
        <v>2082</v>
      </c>
      <c r="K1442" s="238" t="s">
        <v>2129</v>
      </c>
      <c r="L1442" s="98" t="s">
        <v>94</v>
      </c>
      <c r="M1442" s="84" t="s">
        <v>2186</v>
      </c>
      <c r="N1442" s="133">
        <v>6639.0</v>
      </c>
      <c r="O1442" s="73">
        <f t="shared" si="29"/>
        <v>0.7079379425</v>
      </c>
      <c r="P1442" s="98">
        <v>4700.0</v>
      </c>
      <c r="Q1442" s="84" t="s">
        <v>39</v>
      </c>
      <c r="R1442" s="84">
        <v>1768601.0</v>
      </c>
      <c r="S1442" s="84" t="s">
        <v>40</v>
      </c>
      <c r="T1442" s="90">
        <v>8118835.0</v>
      </c>
      <c r="U1442" s="214">
        <v>46042.291666666664</v>
      </c>
      <c r="V1442" s="214">
        <v>46042.506944444445</v>
      </c>
      <c r="W1442" s="12"/>
      <c r="X1442" s="12"/>
      <c r="Y1442" s="214">
        <v>46042.875</v>
      </c>
      <c r="Z1442" s="214">
        <v>46044.208333333336</v>
      </c>
      <c r="AA1442" s="12"/>
      <c r="AB1442" s="84">
        <v>357044.0</v>
      </c>
      <c r="AC1442" s="84" t="s">
        <v>2059</v>
      </c>
      <c r="AD1442" s="12"/>
      <c r="AE1442" s="207" t="s">
        <v>39</v>
      </c>
      <c r="AF1442" s="207" t="s">
        <v>39</v>
      </c>
      <c r="AG1442" s="22"/>
      <c r="AH1442" s="22"/>
      <c r="AI1442" s="22"/>
      <c r="AJ1442" s="22"/>
      <c r="AK1442" s="22"/>
      <c r="AL1442" s="22"/>
      <c r="AM1442" s="22"/>
      <c r="AN1442" s="22"/>
      <c r="AO1442" s="22"/>
      <c r="AP1442" s="22"/>
    </row>
    <row r="1443" ht="15.75" customHeight="1">
      <c r="A1443" s="103">
        <v>1.2123216E7</v>
      </c>
      <c r="B1443" s="84">
        <v>9.000670233E9</v>
      </c>
      <c r="C1443" s="11">
        <v>46042.0</v>
      </c>
      <c r="D1443" s="84">
        <v>1.0</v>
      </c>
      <c r="E1443" s="84">
        <v>16354.0</v>
      </c>
      <c r="F1443" s="38" t="s">
        <v>43</v>
      </c>
      <c r="G1443" s="84" t="s">
        <v>44</v>
      </c>
      <c r="H1443" s="84" t="s">
        <v>2217</v>
      </c>
      <c r="I1443" s="84" t="s">
        <v>2212</v>
      </c>
      <c r="J1443" s="238" t="s">
        <v>2129</v>
      </c>
      <c r="K1443" s="238" t="s">
        <v>2082</v>
      </c>
      <c r="L1443" s="95" t="s">
        <v>2105</v>
      </c>
      <c r="M1443" s="84" t="s">
        <v>2186</v>
      </c>
      <c r="N1443" s="133">
        <v>5311.0</v>
      </c>
      <c r="O1443" s="73">
        <f t="shared" si="29"/>
        <v>0.6025230653</v>
      </c>
      <c r="P1443" s="98">
        <v>3200.0</v>
      </c>
      <c r="Q1443" s="84"/>
      <c r="R1443" s="84">
        <v>1770105.0</v>
      </c>
      <c r="S1443" s="84" t="s">
        <v>40</v>
      </c>
      <c r="T1443" s="90">
        <v>8136457.0</v>
      </c>
      <c r="U1443" s="214">
        <v>46044.208333333336</v>
      </c>
      <c r="V1443" s="214">
        <v>46044.208333333336</v>
      </c>
      <c r="W1443" s="12"/>
      <c r="X1443" s="12"/>
      <c r="Y1443" s="214">
        <v>46044.614583333336</v>
      </c>
      <c r="Z1443" s="214">
        <v>46044.666666666664</v>
      </c>
      <c r="AA1443" s="12"/>
      <c r="AB1443" s="12"/>
      <c r="AC1443" s="12"/>
      <c r="AD1443" s="12"/>
      <c r="AE1443" s="207" t="s">
        <v>39</v>
      </c>
      <c r="AF1443" s="207" t="s">
        <v>39</v>
      </c>
      <c r="AG1443" s="22"/>
      <c r="AH1443" s="22"/>
      <c r="AI1443" s="22"/>
      <c r="AJ1443" s="22"/>
      <c r="AK1443" s="22"/>
      <c r="AL1443" s="22"/>
      <c r="AM1443" s="22"/>
      <c r="AN1443" s="22"/>
      <c r="AO1443" s="22"/>
      <c r="AP1443" s="22"/>
    </row>
    <row r="1444" ht="15.75" customHeight="1">
      <c r="A1444" s="103">
        <v>1.2091661E7</v>
      </c>
      <c r="B1444" s="84">
        <v>9.000635003E9</v>
      </c>
      <c r="C1444" s="11">
        <v>46042.0</v>
      </c>
      <c r="D1444" s="84">
        <v>26.0</v>
      </c>
      <c r="E1444" s="84">
        <v>31625.0</v>
      </c>
      <c r="F1444" s="103" t="s">
        <v>31</v>
      </c>
      <c r="G1444" s="84" t="s">
        <v>44</v>
      </c>
      <c r="H1444" s="84" t="s">
        <v>2127</v>
      </c>
      <c r="I1444" s="84" t="s">
        <v>2184</v>
      </c>
      <c r="J1444" s="238" t="s">
        <v>2082</v>
      </c>
      <c r="K1444" s="238" t="s">
        <v>2129</v>
      </c>
      <c r="L1444" s="98" t="s">
        <v>94</v>
      </c>
      <c r="M1444" s="84" t="s">
        <v>2190</v>
      </c>
      <c r="N1444" s="133">
        <v>6639.0</v>
      </c>
      <c r="O1444" s="73">
        <f t="shared" si="29"/>
        <v>0.7699954812</v>
      </c>
      <c r="P1444" s="98">
        <v>5112.0</v>
      </c>
      <c r="Q1444" s="84" t="s">
        <v>39</v>
      </c>
      <c r="R1444" s="84">
        <v>1768520.0</v>
      </c>
      <c r="S1444" s="84" t="s">
        <v>40</v>
      </c>
      <c r="T1444" s="90">
        <v>8117718.0</v>
      </c>
      <c r="U1444" s="214">
        <v>46042.291666666664</v>
      </c>
      <c r="V1444" s="214">
        <v>46042.74652777778</v>
      </c>
      <c r="W1444" s="12"/>
      <c r="X1444" s="12"/>
      <c r="Y1444" s="214">
        <v>46043.572916666664</v>
      </c>
      <c r="Z1444" s="214">
        <v>46044.729166666664</v>
      </c>
      <c r="AA1444" s="12"/>
      <c r="AB1444" s="84" t="s">
        <v>2218</v>
      </c>
      <c r="AC1444" s="84" t="s">
        <v>1983</v>
      </c>
      <c r="AD1444" s="12"/>
      <c r="AE1444" s="207" t="s">
        <v>39</v>
      </c>
      <c r="AF1444" s="12"/>
      <c r="AG1444" s="22"/>
      <c r="AH1444" s="22"/>
      <c r="AI1444" s="22"/>
      <c r="AJ1444" s="22"/>
      <c r="AK1444" s="22"/>
      <c r="AL1444" s="22"/>
      <c r="AM1444" s="22"/>
      <c r="AN1444" s="22"/>
      <c r="AO1444" s="22"/>
      <c r="AP1444" s="22"/>
    </row>
    <row r="1445" ht="15.75" customHeight="1">
      <c r="A1445" s="103">
        <v>1.2123214E7</v>
      </c>
      <c r="B1445" s="84">
        <v>9.000670231E9</v>
      </c>
      <c r="C1445" s="11">
        <v>46043.0</v>
      </c>
      <c r="D1445" s="84">
        <v>1.0</v>
      </c>
      <c r="E1445" s="84">
        <v>16354.0</v>
      </c>
      <c r="F1445" s="38" t="s">
        <v>43</v>
      </c>
      <c r="G1445" s="84" t="s">
        <v>44</v>
      </c>
      <c r="H1445" s="84" t="s">
        <v>2219</v>
      </c>
      <c r="I1445" s="84" t="s">
        <v>2212</v>
      </c>
      <c r="J1445" s="238" t="s">
        <v>2129</v>
      </c>
      <c r="K1445" s="238" t="s">
        <v>2082</v>
      </c>
      <c r="L1445" s="95" t="s">
        <v>2105</v>
      </c>
      <c r="M1445" s="216" t="s">
        <v>2190</v>
      </c>
      <c r="N1445" s="133">
        <v>5311.0</v>
      </c>
      <c r="O1445" s="73">
        <f t="shared" si="29"/>
        <v>0</v>
      </c>
      <c r="P1445" s="98"/>
      <c r="Q1445" s="84"/>
      <c r="R1445" s="84"/>
      <c r="S1445" s="84" t="s">
        <v>131</v>
      </c>
      <c r="T1445" s="84"/>
      <c r="U1445" s="214"/>
      <c r="V1445" s="214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22"/>
      <c r="AH1445" s="22"/>
      <c r="AI1445" s="22"/>
      <c r="AJ1445" s="22"/>
      <c r="AK1445" s="22"/>
      <c r="AL1445" s="22"/>
      <c r="AM1445" s="22"/>
      <c r="AN1445" s="22"/>
      <c r="AO1445" s="22"/>
      <c r="AP1445" s="22"/>
    </row>
    <row r="1446" ht="15.75" customHeight="1">
      <c r="A1446" s="103">
        <v>1.209166E7</v>
      </c>
      <c r="B1446" s="84">
        <v>9.000635061E9</v>
      </c>
      <c r="C1446" s="11">
        <v>46042.0</v>
      </c>
      <c r="D1446" s="84">
        <v>26.0</v>
      </c>
      <c r="E1446" s="84">
        <v>31625.0</v>
      </c>
      <c r="F1446" s="103" t="s">
        <v>31</v>
      </c>
      <c r="G1446" s="84" t="s">
        <v>44</v>
      </c>
      <c r="H1446" s="84" t="s">
        <v>2127</v>
      </c>
      <c r="I1446" s="84" t="s">
        <v>2184</v>
      </c>
      <c r="J1446" s="238" t="s">
        <v>2082</v>
      </c>
      <c r="K1446" s="238" t="s">
        <v>2129</v>
      </c>
      <c r="L1446" s="98" t="s">
        <v>94</v>
      </c>
      <c r="M1446" s="84" t="s">
        <v>2220</v>
      </c>
      <c r="N1446" s="133">
        <v>6639.0</v>
      </c>
      <c r="O1446" s="73">
        <f t="shared" si="29"/>
        <v>0.7079379425</v>
      </c>
      <c r="P1446" s="98">
        <v>4700.0</v>
      </c>
      <c r="Q1446" s="84" t="s">
        <v>39</v>
      </c>
      <c r="R1446" s="84">
        <v>1768523.0</v>
      </c>
      <c r="S1446" s="84" t="s">
        <v>40</v>
      </c>
      <c r="T1446" s="90">
        <v>8117748.0</v>
      </c>
      <c r="U1446" s="214">
        <v>46041.333333333336</v>
      </c>
      <c r="V1446" s="214">
        <v>46042.84375</v>
      </c>
      <c r="W1446" s="12"/>
      <c r="X1446" s="12"/>
      <c r="Y1446" s="214">
        <v>46043.572916666664</v>
      </c>
      <c r="Z1446" s="214">
        <v>46046.583333333336</v>
      </c>
      <c r="AA1446" s="12"/>
      <c r="AB1446" s="84" t="s">
        <v>2221</v>
      </c>
      <c r="AC1446" s="84" t="s">
        <v>2222</v>
      </c>
      <c r="AD1446" s="12"/>
      <c r="AE1446" s="207" t="s">
        <v>39</v>
      </c>
      <c r="AF1446" s="12"/>
      <c r="AG1446" s="22"/>
      <c r="AH1446" s="22"/>
      <c r="AI1446" s="22"/>
      <c r="AJ1446" s="22"/>
      <c r="AK1446" s="22"/>
      <c r="AL1446" s="22"/>
      <c r="AM1446" s="22"/>
      <c r="AN1446" s="22"/>
      <c r="AO1446" s="22"/>
      <c r="AP1446" s="22"/>
    </row>
    <row r="1447" ht="15.75" customHeight="1">
      <c r="A1447" s="103">
        <v>1.2123213E7</v>
      </c>
      <c r="B1447" s="84">
        <v>9.00067023E9</v>
      </c>
      <c r="C1447" s="11">
        <v>46042.0</v>
      </c>
      <c r="D1447" s="84">
        <v>1.0</v>
      </c>
      <c r="E1447" s="84">
        <v>16354.0</v>
      </c>
      <c r="F1447" s="38" t="s">
        <v>43</v>
      </c>
      <c r="G1447" s="84" t="s">
        <v>44</v>
      </c>
      <c r="H1447" s="84" t="s">
        <v>2223</v>
      </c>
      <c r="I1447" s="84" t="s">
        <v>2212</v>
      </c>
      <c r="J1447" s="238" t="s">
        <v>2129</v>
      </c>
      <c r="K1447" s="238" t="s">
        <v>2082</v>
      </c>
      <c r="L1447" s="95" t="s">
        <v>2105</v>
      </c>
      <c r="M1447" s="216" t="s">
        <v>2220</v>
      </c>
      <c r="N1447" s="133">
        <v>5311.0</v>
      </c>
      <c r="O1447" s="73">
        <f t="shared" si="29"/>
        <v>0</v>
      </c>
      <c r="P1447" s="98"/>
      <c r="Q1447" s="84"/>
      <c r="R1447" s="84"/>
      <c r="S1447" s="84" t="s">
        <v>165</v>
      </c>
      <c r="T1447" s="84"/>
      <c r="U1447" s="214"/>
      <c r="V1447" s="214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22"/>
      <c r="AH1447" s="22"/>
      <c r="AI1447" s="22"/>
      <c r="AJ1447" s="22"/>
      <c r="AK1447" s="22"/>
      <c r="AL1447" s="22"/>
      <c r="AM1447" s="22"/>
      <c r="AN1447" s="22"/>
      <c r="AO1447" s="22"/>
      <c r="AP1447" s="22"/>
    </row>
    <row r="1448" ht="15.75" customHeight="1">
      <c r="A1448" s="103">
        <v>1.2111348E7</v>
      </c>
      <c r="B1448" s="84">
        <v>9.000655023E9</v>
      </c>
      <c r="C1448" s="11">
        <v>46042.0</v>
      </c>
      <c r="D1448" s="84">
        <v>26.0</v>
      </c>
      <c r="E1448" s="84">
        <v>21418.0</v>
      </c>
      <c r="F1448" s="9" t="s">
        <v>43</v>
      </c>
      <c r="G1448" s="12" t="s">
        <v>32</v>
      </c>
      <c r="H1448" s="84" t="s">
        <v>1408</v>
      </c>
      <c r="I1448" s="93" t="s">
        <v>1409</v>
      </c>
      <c r="J1448" s="93" t="s">
        <v>35</v>
      </c>
      <c r="K1448" s="84" t="s">
        <v>1410</v>
      </c>
      <c r="L1448" s="95" t="s">
        <v>114</v>
      </c>
      <c r="M1448" s="84" t="s">
        <v>1945</v>
      </c>
      <c r="N1448" s="133">
        <v>5996.0</v>
      </c>
      <c r="O1448" s="73">
        <f t="shared" si="29"/>
        <v>0.7088058706</v>
      </c>
      <c r="P1448" s="98">
        <v>4250.0</v>
      </c>
      <c r="Q1448" s="84" t="s">
        <v>39</v>
      </c>
      <c r="R1448" s="84">
        <v>1769174.0</v>
      </c>
      <c r="S1448" s="84" t="s">
        <v>40</v>
      </c>
      <c r="T1448" s="90">
        <v>8125598.0</v>
      </c>
      <c r="U1448" s="214">
        <v>46042.875</v>
      </c>
      <c r="V1448" s="214">
        <v>46043.25</v>
      </c>
      <c r="W1448" s="12"/>
      <c r="X1448" s="12"/>
      <c r="Y1448" s="214">
        <v>46044.274305555555</v>
      </c>
      <c r="Z1448" s="214">
        <v>46044.45138888889</v>
      </c>
      <c r="AA1448" s="12"/>
      <c r="AB1448" s="12"/>
      <c r="AC1448" s="12"/>
      <c r="AD1448" s="12"/>
      <c r="AE1448" s="207" t="s">
        <v>39</v>
      </c>
      <c r="AF1448" s="207" t="s">
        <v>39</v>
      </c>
      <c r="AG1448" s="22"/>
      <c r="AH1448" s="22"/>
      <c r="AI1448" s="22"/>
      <c r="AJ1448" s="22"/>
      <c r="AK1448" s="22"/>
      <c r="AL1448" s="22"/>
      <c r="AM1448" s="22"/>
      <c r="AN1448" s="22"/>
      <c r="AO1448" s="22"/>
      <c r="AP1448" s="22"/>
    </row>
    <row r="1449" ht="15.75" customHeight="1">
      <c r="A1449" s="103">
        <v>1.2111349E7</v>
      </c>
      <c r="B1449" s="84">
        <v>9.00065507E9</v>
      </c>
      <c r="C1449" s="11">
        <v>46042.0</v>
      </c>
      <c r="D1449" s="84">
        <v>10.0</v>
      </c>
      <c r="E1449" s="84">
        <v>10383.0</v>
      </c>
      <c r="F1449" s="38" t="s">
        <v>43</v>
      </c>
      <c r="G1449" s="12" t="s">
        <v>32</v>
      </c>
      <c r="H1449" s="85" t="s">
        <v>2224</v>
      </c>
      <c r="I1449" s="194" t="s">
        <v>1957</v>
      </c>
      <c r="J1449" s="93" t="s">
        <v>1410</v>
      </c>
      <c r="K1449" s="85" t="s">
        <v>35</v>
      </c>
      <c r="L1449" s="95" t="s">
        <v>43</v>
      </c>
      <c r="M1449" s="84" t="s">
        <v>1945</v>
      </c>
      <c r="N1449" s="133">
        <v>5996.0</v>
      </c>
      <c r="O1449" s="73">
        <f t="shared" si="29"/>
        <v>0.4586390927</v>
      </c>
      <c r="P1449" s="98">
        <v>2750.0</v>
      </c>
      <c r="Q1449" s="12"/>
      <c r="R1449" s="84">
        <v>1770020.0</v>
      </c>
      <c r="S1449" s="84" t="s">
        <v>40</v>
      </c>
      <c r="T1449" s="90">
        <v>8135464.0</v>
      </c>
      <c r="U1449" s="214">
        <v>46044.45138888889</v>
      </c>
      <c r="V1449" s="214">
        <v>46044.45138888889</v>
      </c>
      <c r="W1449" s="12"/>
      <c r="X1449" s="12"/>
      <c r="Y1449" s="214">
        <v>46045.375</v>
      </c>
      <c r="Z1449" s="225">
        <v>45680.75</v>
      </c>
      <c r="AA1449" s="12"/>
      <c r="AB1449" s="12"/>
      <c r="AC1449" s="12"/>
      <c r="AD1449" s="12"/>
      <c r="AE1449" s="207" t="s">
        <v>39</v>
      </c>
      <c r="AF1449" s="207" t="s">
        <v>39</v>
      </c>
      <c r="AG1449" s="22"/>
      <c r="AH1449" s="22"/>
      <c r="AI1449" s="22"/>
      <c r="AJ1449" s="22"/>
      <c r="AK1449" s="22"/>
      <c r="AL1449" s="22"/>
      <c r="AM1449" s="22"/>
      <c r="AN1449" s="22"/>
      <c r="AO1449" s="22"/>
      <c r="AP1449" s="22"/>
    </row>
    <row r="1450" ht="15.75" customHeight="1">
      <c r="A1450" s="103">
        <v>1.210512E7</v>
      </c>
      <c r="B1450" s="84">
        <v>9.000650667E9</v>
      </c>
      <c r="C1450" s="11">
        <v>46042.0</v>
      </c>
      <c r="D1450" s="84">
        <v>26.0</v>
      </c>
      <c r="E1450" s="84">
        <v>33139.0</v>
      </c>
      <c r="F1450" s="103" t="s">
        <v>31</v>
      </c>
      <c r="G1450" s="84" t="s">
        <v>74</v>
      </c>
      <c r="H1450" s="84" t="s">
        <v>2225</v>
      </c>
      <c r="I1450" s="84" t="s">
        <v>2226</v>
      </c>
      <c r="J1450" s="238" t="s">
        <v>2082</v>
      </c>
      <c r="K1450" s="238" t="s">
        <v>2227</v>
      </c>
      <c r="L1450" s="98" t="s">
        <v>2105</v>
      </c>
      <c r="M1450" s="84" t="s">
        <v>2208</v>
      </c>
      <c r="N1450" s="133">
        <v>5724.0</v>
      </c>
      <c r="O1450" s="73">
        <f t="shared" si="29"/>
        <v>0.6988120196</v>
      </c>
      <c r="P1450" s="98">
        <v>4000.0</v>
      </c>
      <c r="Q1450" s="84" t="s">
        <v>39</v>
      </c>
      <c r="R1450" s="84">
        <v>1768662.0</v>
      </c>
      <c r="S1450" s="84" t="s">
        <v>40</v>
      </c>
      <c r="T1450" s="90">
        <v>8119601.0</v>
      </c>
      <c r="U1450" s="214">
        <v>46042.291666666664</v>
      </c>
      <c r="V1450" s="214">
        <v>46042.631944444445</v>
      </c>
      <c r="W1450" s="12"/>
      <c r="X1450" s="241">
        <v>46044.291666666664</v>
      </c>
      <c r="Y1450" s="214">
        <v>46043.350694444445</v>
      </c>
      <c r="Z1450" s="214">
        <v>46043.70138888889</v>
      </c>
      <c r="AA1450" s="12"/>
      <c r="AB1450" s="84" t="s">
        <v>2228</v>
      </c>
      <c r="AC1450" s="84" t="s">
        <v>2202</v>
      </c>
      <c r="AD1450" s="12"/>
      <c r="AE1450" s="207" t="s">
        <v>39</v>
      </c>
      <c r="AF1450" s="207" t="s">
        <v>39</v>
      </c>
      <c r="AG1450" s="22"/>
      <c r="AH1450" s="22"/>
      <c r="AI1450" s="22"/>
      <c r="AJ1450" s="22"/>
      <c r="AK1450" s="22"/>
      <c r="AL1450" s="22"/>
      <c r="AM1450" s="22"/>
      <c r="AN1450" s="22"/>
      <c r="AO1450" s="22"/>
      <c r="AP1450" s="22"/>
    </row>
    <row r="1451" ht="15.75" customHeight="1">
      <c r="A1451" s="103">
        <v>1.2112465E7</v>
      </c>
      <c r="B1451" s="84">
        <v>9.000656843E9</v>
      </c>
      <c r="C1451" s="11">
        <v>46042.0</v>
      </c>
      <c r="D1451" s="84">
        <v>26.0</v>
      </c>
      <c r="E1451" s="84">
        <v>32177.0</v>
      </c>
      <c r="F1451" s="103" t="s">
        <v>31</v>
      </c>
      <c r="G1451" s="84" t="s">
        <v>74</v>
      </c>
      <c r="H1451" s="84" t="s">
        <v>2225</v>
      </c>
      <c r="I1451" s="84" t="s">
        <v>2226</v>
      </c>
      <c r="J1451" s="238" t="s">
        <v>2082</v>
      </c>
      <c r="K1451" s="238" t="s">
        <v>2227</v>
      </c>
      <c r="L1451" s="98" t="s">
        <v>2105</v>
      </c>
      <c r="M1451" s="84" t="s">
        <v>2229</v>
      </c>
      <c r="N1451" s="133">
        <v>5724.0</v>
      </c>
      <c r="O1451" s="73">
        <f t="shared" si="29"/>
        <v>0.6988120196</v>
      </c>
      <c r="P1451" s="98">
        <v>4000.0</v>
      </c>
      <c r="Q1451" s="84" t="s">
        <v>39</v>
      </c>
      <c r="R1451" s="84">
        <v>1768859.0</v>
      </c>
      <c r="S1451" s="84" t="s">
        <v>40</v>
      </c>
      <c r="T1451" s="90">
        <v>8121679.0</v>
      </c>
      <c r="U1451" s="214">
        <v>46042.291666666664</v>
      </c>
      <c r="V1451" s="214">
        <v>46042.90277777778</v>
      </c>
      <c r="W1451" s="12"/>
      <c r="X1451" s="241">
        <v>46044.291666666664</v>
      </c>
      <c r="Y1451" s="214">
        <v>46043.583333333336</v>
      </c>
      <c r="Z1451" s="214">
        <v>46044.541666666664</v>
      </c>
      <c r="AA1451" s="12"/>
      <c r="AB1451" s="84" t="s">
        <v>2230</v>
      </c>
      <c r="AC1451" s="84" t="s">
        <v>2231</v>
      </c>
      <c r="AD1451" s="12"/>
      <c r="AE1451" s="12"/>
      <c r="AF1451" s="12"/>
      <c r="AG1451" s="22"/>
      <c r="AH1451" s="22"/>
      <c r="AI1451" s="22"/>
      <c r="AJ1451" s="22"/>
      <c r="AK1451" s="22"/>
      <c r="AL1451" s="22"/>
      <c r="AM1451" s="22"/>
      <c r="AN1451" s="22"/>
      <c r="AO1451" s="22"/>
      <c r="AP1451" s="22"/>
    </row>
    <row r="1452" ht="15.75" customHeight="1">
      <c r="A1452" s="103">
        <v>1.2112597E7</v>
      </c>
      <c r="B1452" s="84">
        <v>9.000656894E9</v>
      </c>
      <c r="C1452" s="11">
        <v>46043.0</v>
      </c>
      <c r="D1452" s="84">
        <v>26.0</v>
      </c>
      <c r="E1452" s="84">
        <v>31625.0</v>
      </c>
      <c r="F1452" s="103" t="s">
        <v>31</v>
      </c>
      <c r="G1452" s="84" t="s">
        <v>44</v>
      </c>
      <c r="H1452" s="84" t="s">
        <v>2127</v>
      </c>
      <c r="I1452" s="84" t="s">
        <v>2184</v>
      </c>
      <c r="J1452" s="238" t="s">
        <v>2082</v>
      </c>
      <c r="K1452" s="238" t="s">
        <v>2129</v>
      </c>
      <c r="L1452" s="98" t="s">
        <v>94</v>
      </c>
      <c r="M1452" s="84" t="s">
        <v>2232</v>
      </c>
      <c r="N1452" s="133">
        <v>6639.0</v>
      </c>
      <c r="O1452" s="73">
        <f t="shared" si="29"/>
        <v>0.7079379425</v>
      </c>
      <c r="P1452" s="98">
        <v>4700.0</v>
      </c>
      <c r="Q1452" s="12"/>
      <c r="R1452" s="84">
        <v>1769458.0</v>
      </c>
      <c r="S1452" s="84" t="s">
        <v>40</v>
      </c>
      <c r="T1452" s="90">
        <v>8128397.0</v>
      </c>
      <c r="U1452" s="214">
        <v>46043.552083333336</v>
      </c>
      <c r="V1452" s="214">
        <v>46043.916666666664</v>
      </c>
      <c r="W1452" s="12"/>
      <c r="X1452" s="12"/>
      <c r="Y1452" s="214">
        <v>46044.65625</v>
      </c>
      <c r="Z1452" s="214">
        <v>46045.645833333336</v>
      </c>
      <c r="AA1452" s="12"/>
      <c r="AB1452" s="12"/>
      <c r="AC1452" s="12"/>
      <c r="AD1452" s="12"/>
      <c r="AE1452" s="207" t="s">
        <v>39</v>
      </c>
      <c r="AF1452" s="207" t="s">
        <v>39</v>
      </c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</row>
    <row r="1453" ht="15.75" customHeight="1">
      <c r="A1453" s="103">
        <v>1.2116404E7</v>
      </c>
      <c r="B1453" s="84">
        <v>9.000661236E9</v>
      </c>
      <c r="C1453" s="11">
        <v>46043.0</v>
      </c>
      <c r="D1453" s="84">
        <v>26.0</v>
      </c>
      <c r="E1453" s="84">
        <v>30527.0</v>
      </c>
      <c r="F1453" s="103" t="s">
        <v>31</v>
      </c>
      <c r="G1453" s="84" t="s">
        <v>74</v>
      </c>
      <c r="H1453" s="84" t="s">
        <v>2233</v>
      </c>
      <c r="I1453" s="84" t="s">
        <v>2234</v>
      </c>
      <c r="J1453" s="238" t="s">
        <v>2082</v>
      </c>
      <c r="K1453" s="238" t="s">
        <v>2235</v>
      </c>
      <c r="L1453" s="98" t="s">
        <v>2105</v>
      </c>
      <c r="M1453" s="84" t="s">
        <v>2236</v>
      </c>
      <c r="N1453" s="133">
        <v>6090.0</v>
      </c>
      <c r="O1453" s="73">
        <f t="shared" si="29"/>
        <v>0.7224958949</v>
      </c>
      <c r="P1453" s="98">
        <v>4400.0</v>
      </c>
      <c r="Q1453" s="12"/>
      <c r="R1453" s="84">
        <v>1768913.0</v>
      </c>
      <c r="S1453" s="84" t="s">
        <v>40</v>
      </c>
      <c r="T1453" s="90">
        <v>8128451.0</v>
      </c>
      <c r="U1453" s="214">
        <v>46043.44097222222</v>
      </c>
      <c r="V1453" s="214">
        <v>46043.78472222222</v>
      </c>
      <c r="W1453" s="12"/>
      <c r="X1453" s="241">
        <v>46045.291666666664</v>
      </c>
      <c r="Y1453" s="214">
        <v>46044.36111111111</v>
      </c>
      <c r="Z1453" s="214">
        <v>46044.993055555555</v>
      </c>
      <c r="AA1453" s="12"/>
      <c r="AB1453" s="84" t="s">
        <v>2237</v>
      </c>
      <c r="AC1453" s="125" t="s">
        <v>2238</v>
      </c>
      <c r="AD1453" s="12"/>
      <c r="AE1453" s="207" t="s">
        <v>39</v>
      </c>
      <c r="AF1453" s="207" t="s">
        <v>39</v>
      </c>
      <c r="AG1453" s="22"/>
      <c r="AH1453" s="22"/>
      <c r="AI1453" s="22"/>
      <c r="AJ1453" s="22"/>
      <c r="AK1453" s="22"/>
      <c r="AL1453" s="22"/>
      <c r="AM1453" s="22"/>
      <c r="AN1453" s="22"/>
      <c r="AO1453" s="22"/>
      <c r="AP1453" s="22"/>
    </row>
    <row r="1454" ht="15.75" customHeight="1">
      <c r="A1454" s="103">
        <v>1.2108087E7</v>
      </c>
      <c r="B1454" s="84">
        <v>9.000653146E9</v>
      </c>
      <c r="C1454" s="11">
        <v>46043.0</v>
      </c>
      <c r="D1454" s="84">
        <v>28.0</v>
      </c>
      <c r="E1454" s="84">
        <v>34058.0</v>
      </c>
      <c r="F1454" s="103" t="s">
        <v>31</v>
      </c>
      <c r="G1454" s="84" t="s">
        <v>44</v>
      </c>
      <c r="H1454" s="169" t="s">
        <v>268</v>
      </c>
      <c r="I1454" s="194" t="s">
        <v>1958</v>
      </c>
      <c r="J1454" s="84" t="s">
        <v>35</v>
      </c>
      <c r="K1454" s="84" t="s">
        <v>270</v>
      </c>
      <c r="L1454" s="244" t="s">
        <v>94</v>
      </c>
      <c r="M1454" s="84" t="s">
        <v>1974</v>
      </c>
      <c r="N1454" s="133">
        <v>6410.0</v>
      </c>
      <c r="O1454" s="73">
        <f t="shared" si="29"/>
        <v>0.6630265211</v>
      </c>
      <c r="P1454" s="98">
        <v>4250.0</v>
      </c>
      <c r="Q1454" s="12"/>
      <c r="R1454" s="84">
        <v>1770160.0</v>
      </c>
      <c r="S1454" s="84" t="s">
        <v>40</v>
      </c>
      <c r="T1454" s="90">
        <v>8137074.0</v>
      </c>
      <c r="U1454" s="214">
        <v>46042.833333333336</v>
      </c>
      <c r="V1454" s="214">
        <v>46042.833333333336</v>
      </c>
      <c r="W1454" s="12"/>
      <c r="X1454" s="241">
        <v>46050.375</v>
      </c>
      <c r="Y1454" s="214">
        <v>46049.770833333336</v>
      </c>
      <c r="Z1454" s="214">
        <v>46050.86111111111</v>
      </c>
      <c r="AA1454" s="12"/>
      <c r="AB1454" s="84" t="s">
        <v>2239</v>
      </c>
      <c r="AC1454" s="84" t="s">
        <v>2240</v>
      </c>
      <c r="AD1454" s="12"/>
      <c r="AE1454" s="207" t="s">
        <v>39</v>
      </c>
      <c r="AF1454" s="12"/>
      <c r="AG1454" s="22"/>
      <c r="AH1454" s="22"/>
      <c r="AI1454" s="22"/>
      <c r="AJ1454" s="22"/>
      <c r="AK1454" s="22"/>
      <c r="AL1454" s="22"/>
      <c r="AM1454" s="22"/>
      <c r="AN1454" s="22"/>
      <c r="AO1454" s="22"/>
      <c r="AP1454" s="22"/>
    </row>
    <row r="1455" ht="15.75" customHeight="1">
      <c r="A1455" s="103">
        <v>1.2108622E7</v>
      </c>
      <c r="B1455" s="84">
        <v>9.000653071E9</v>
      </c>
      <c r="C1455" s="11">
        <v>46044.0</v>
      </c>
      <c r="D1455" s="84">
        <v>28.0</v>
      </c>
      <c r="E1455" s="84">
        <v>34058.0</v>
      </c>
      <c r="F1455" s="103" t="s">
        <v>31</v>
      </c>
      <c r="G1455" s="208" t="s">
        <v>44</v>
      </c>
      <c r="H1455" s="194" t="s">
        <v>104</v>
      </c>
      <c r="I1455" s="85" t="s">
        <v>2149</v>
      </c>
      <c r="J1455" s="170" t="s">
        <v>35</v>
      </c>
      <c r="K1455" s="194" t="s">
        <v>106</v>
      </c>
      <c r="L1455" s="247" t="s">
        <v>59</v>
      </c>
      <c r="M1455" s="84" t="s">
        <v>2144</v>
      </c>
      <c r="N1455" s="133">
        <v>5337.0</v>
      </c>
      <c r="O1455" s="73">
        <f t="shared" si="29"/>
        <v>0.5621135469</v>
      </c>
      <c r="P1455" s="98">
        <v>3000.0</v>
      </c>
      <c r="Q1455" s="12"/>
      <c r="R1455" s="84">
        <v>1770251.0</v>
      </c>
      <c r="S1455" s="84" t="s">
        <v>40</v>
      </c>
      <c r="T1455" s="90">
        <v>8138641.0</v>
      </c>
      <c r="U1455" s="214">
        <v>46044.84375</v>
      </c>
      <c r="V1455" s="214">
        <v>46045.01388888889</v>
      </c>
      <c r="W1455" s="12"/>
      <c r="X1455" s="241">
        <v>46045.645833333336</v>
      </c>
      <c r="Y1455" s="214">
        <v>46045.68402777778</v>
      </c>
      <c r="Z1455" s="214">
        <v>46045.8125</v>
      </c>
      <c r="AA1455" s="12"/>
      <c r="AB1455" s="12"/>
      <c r="AC1455" s="12"/>
      <c r="AD1455" s="12"/>
      <c r="AE1455" s="207" t="s">
        <v>39</v>
      </c>
      <c r="AF1455" s="207" t="s">
        <v>39</v>
      </c>
      <c r="AG1455" s="22"/>
      <c r="AH1455" s="22"/>
      <c r="AI1455" s="22"/>
      <c r="AJ1455" s="22"/>
      <c r="AK1455" s="22"/>
      <c r="AL1455" s="22"/>
      <c r="AM1455" s="22"/>
      <c r="AN1455" s="22"/>
      <c r="AO1455" s="22"/>
      <c r="AP1455" s="22"/>
    </row>
    <row r="1456" ht="15.75" customHeight="1">
      <c r="A1456" s="103">
        <v>1.211132E7</v>
      </c>
      <c r="B1456" s="84">
        <v>9.000655265E9</v>
      </c>
      <c r="C1456" s="11">
        <v>46044.0</v>
      </c>
      <c r="D1456" s="84">
        <v>26.0</v>
      </c>
      <c r="E1456" s="84">
        <v>32766.0</v>
      </c>
      <c r="F1456" s="103" t="s">
        <v>43</v>
      </c>
      <c r="G1456" s="84" t="s">
        <v>44</v>
      </c>
      <c r="H1456" s="169" t="s">
        <v>45</v>
      </c>
      <c r="I1456" s="209" t="s">
        <v>46</v>
      </c>
      <c r="J1456" s="12" t="s">
        <v>35</v>
      </c>
      <c r="K1456" s="14" t="s">
        <v>47</v>
      </c>
      <c r="L1456" s="244" t="s">
        <v>108</v>
      </c>
      <c r="M1456" s="84" t="s">
        <v>2170</v>
      </c>
      <c r="N1456" s="133">
        <v>1946.5</v>
      </c>
      <c r="O1456" s="73">
        <f t="shared" si="29"/>
        <v>0</v>
      </c>
      <c r="P1456" s="98">
        <v>0.0</v>
      </c>
      <c r="Q1456" s="12"/>
      <c r="R1456" s="84">
        <v>1770248.0</v>
      </c>
      <c r="S1456" s="84" t="s">
        <v>40</v>
      </c>
      <c r="T1456" s="90">
        <v>8138543.0</v>
      </c>
      <c r="U1456" s="214">
        <v>46044.645833333336</v>
      </c>
      <c r="V1456" s="214">
        <v>46044.77777777778</v>
      </c>
      <c r="W1456" s="12"/>
      <c r="X1456" s="241">
        <v>46045.427083333336</v>
      </c>
      <c r="Y1456" s="214">
        <v>46045.375</v>
      </c>
      <c r="Z1456" s="214">
        <v>46045.510416666664</v>
      </c>
      <c r="AA1456" s="12"/>
      <c r="AB1456" s="12"/>
      <c r="AC1456" s="12"/>
      <c r="AD1456" s="12"/>
      <c r="AE1456" s="207" t="s">
        <v>39</v>
      </c>
      <c r="AF1456" s="207" t="s">
        <v>39</v>
      </c>
      <c r="AG1456" s="22"/>
      <c r="AH1456" s="22"/>
      <c r="AI1456" s="22"/>
      <c r="AJ1456" s="22"/>
      <c r="AK1456" s="22"/>
      <c r="AL1456" s="22"/>
      <c r="AM1456" s="22"/>
      <c r="AN1456" s="22"/>
      <c r="AO1456" s="22"/>
      <c r="AP1456" s="22"/>
    </row>
    <row r="1457" ht="15.75" customHeight="1">
      <c r="A1457" s="103">
        <v>1.2111321E7</v>
      </c>
      <c r="B1457" s="84">
        <v>9.000655277E9</v>
      </c>
      <c r="C1457" s="11">
        <v>46044.0</v>
      </c>
      <c r="D1457" s="84">
        <v>3.0</v>
      </c>
      <c r="E1457" s="84">
        <v>111.0</v>
      </c>
      <c r="F1457" s="103" t="s">
        <v>43</v>
      </c>
      <c r="G1457" s="84" t="s">
        <v>44</v>
      </c>
      <c r="H1457" s="176" t="s">
        <v>2241</v>
      </c>
      <c r="I1457" s="194" t="s">
        <v>1957</v>
      </c>
      <c r="J1457" s="14" t="s">
        <v>47</v>
      </c>
      <c r="K1457" s="12" t="s">
        <v>35</v>
      </c>
      <c r="L1457" s="244" t="s">
        <v>108</v>
      </c>
      <c r="M1457" s="84" t="s">
        <v>2170</v>
      </c>
      <c r="N1457" s="133">
        <v>1946.5</v>
      </c>
      <c r="O1457" s="73">
        <f t="shared" si="29"/>
        <v>0</v>
      </c>
      <c r="P1457" s="98">
        <v>0.0</v>
      </c>
      <c r="Q1457" s="12"/>
      <c r="R1457" s="84">
        <v>1770672.0</v>
      </c>
      <c r="S1457" s="84" t="s">
        <v>40</v>
      </c>
      <c r="T1457" s="90">
        <v>8143818.0</v>
      </c>
      <c r="U1457" s="214">
        <v>46045.510416666664</v>
      </c>
      <c r="V1457" s="214">
        <v>46045.510416666664</v>
      </c>
      <c r="W1457" s="12"/>
      <c r="X1457" s="12"/>
      <c r="Y1457" s="214">
        <v>46045.791666666664</v>
      </c>
      <c r="Z1457" s="214">
        <v>46046.291666666664</v>
      </c>
      <c r="AA1457" s="12"/>
      <c r="AB1457" s="12"/>
      <c r="AC1457" s="12"/>
      <c r="AD1457" s="12"/>
      <c r="AE1457" s="207" t="s">
        <v>39</v>
      </c>
      <c r="AF1457" s="207" t="s">
        <v>39</v>
      </c>
      <c r="AG1457" s="22"/>
      <c r="AH1457" s="22"/>
      <c r="AI1457" s="22"/>
      <c r="AJ1457" s="22"/>
      <c r="AK1457" s="22"/>
      <c r="AL1457" s="22"/>
      <c r="AM1457" s="22"/>
      <c r="AN1457" s="22"/>
      <c r="AO1457" s="22"/>
      <c r="AP1457" s="22"/>
    </row>
    <row r="1458" ht="15.75" customHeight="1">
      <c r="A1458" s="103">
        <v>1.2119471E7</v>
      </c>
      <c r="B1458" s="84">
        <v>9.000663994E9</v>
      </c>
      <c r="C1458" s="11">
        <v>46044.0</v>
      </c>
      <c r="D1458" s="84">
        <v>26.0</v>
      </c>
      <c r="E1458" s="84">
        <v>31674.0</v>
      </c>
      <c r="F1458" s="103" t="s">
        <v>43</v>
      </c>
      <c r="G1458" s="84" t="s">
        <v>44</v>
      </c>
      <c r="H1458" s="169" t="s">
        <v>268</v>
      </c>
      <c r="I1458" s="194" t="s">
        <v>1958</v>
      </c>
      <c r="J1458" s="84" t="s">
        <v>35</v>
      </c>
      <c r="K1458" s="84" t="s">
        <v>270</v>
      </c>
      <c r="L1458" s="98" t="s">
        <v>94</v>
      </c>
      <c r="M1458" s="84" t="s">
        <v>1985</v>
      </c>
      <c r="N1458" s="133">
        <v>6410.0</v>
      </c>
      <c r="O1458" s="73">
        <f t="shared" si="29"/>
        <v>0.6630265211</v>
      </c>
      <c r="P1458" s="98">
        <v>4250.0</v>
      </c>
      <c r="Q1458" s="12"/>
      <c r="R1458" s="84">
        <v>1770252.0</v>
      </c>
      <c r="S1458" s="84" t="s">
        <v>40</v>
      </c>
      <c r="T1458" s="90">
        <v>8138662.0</v>
      </c>
      <c r="U1458" s="214">
        <v>46044.69097222222</v>
      </c>
      <c r="V1458" s="214">
        <v>46044.90277777778</v>
      </c>
      <c r="W1458" s="12"/>
      <c r="X1458" s="241">
        <v>46045.791666666664</v>
      </c>
      <c r="Y1458" s="214">
        <v>46048.541666666664</v>
      </c>
      <c r="Z1458" s="214">
        <v>46048.73611111111</v>
      </c>
      <c r="AA1458" s="12"/>
      <c r="AB1458" s="12"/>
      <c r="AC1458" s="12"/>
      <c r="AD1458" s="12"/>
      <c r="AE1458" s="207" t="s">
        <v>39</v>
      </c>
      <c r="AF1458" s="207" t="s">
        <v>39</v>
      </c>
      <c r="AG1458" s="22"/>
      <c r="AH1458" s="22"/>
      <c r="AI1458" s="22"/>
      <c r="AJ1458" s="22"/>
      <c r="AK1458" s="22"/>
      <c r="AL1458" s="22"/>
      <c r="AM1458" s="22"/>
      <c r="AN1458" s="22"/>
      <c r="AO1458" s="22"/>
      <c r="AP1458" s="22"/>
    </row>
    <row r="1459" ht="15.75" customHeight="1">
      <c r="A1459" s="103">
        <v>1.2134146E7</v>
      </c>
      <c r="B1459" s="84">
        <v>9.000683729E9</v>
      </c>
      <c r="C1459" s="11">
        <v>46048.0</v>
      </c>
      <c r="D1459" s="84">
        <v>14.0</v>
      </c>
      <c r="E1459" s="84">
        <v>15900.0</v>
      </c>
      <c r="F1459" s="103" t="s">
        <v>43</v>
      </c>
      <c r="G1459" s="84" t="s">
        <v>44</v>
      </c>
      <c r="H1459" s="176" t="s">
        <v>2242</v>
      </c>
      <c r="I1459" s="194" t="s">
        <v>1957</v>
      </c>
      <c r="J1459" s="84" t="s">
        <v>270</v>
      </c>
      <c r="K1459" s="84" t="s">
        <v>35</v>
      </c>
      <c r="L1459" s="244" t="s">
        <v>110</v>
      </c>
      <c r="M1459" s="84" t="s">
        <v>1985</v>
      </c>
      <c r="N1459" s="133">
        <v>5128.0</v>
      </c>
      <c r="O1459" s="73">
        <f t="shared" si="29"/>
        <v>0.6378705148</v>
      </c>
      <c r="P1459" s="98">
        <v>3271.0</v>
      </c>
      <c r="Q1459" s="12"/>
      <c r="R1459" s="84">
        <v>1772491.0</v>
      </c>
      <c r="S1459" s="84" t="s">
        <v>40</v>
      </c>
      <c r="T1459" s="90">
        <v>8163561.0</v>
      </c>
      <c r="U1459" s="214">
        <v>46048.73611111111</v>
      </c>
      <c r="V1459" s="214">
        <v>46048.73611111111</v>
      </c>
      <c r="W1459" s="12"/>
      <c r="X1459" s="241"/>
      <c r="Y1459" s="214">
        <v>46050.5625</v>
      </c>
      <c r="Z1459" s="214">
        <v>46051.625</v>
      </c>
      <c r="AA1459" s="12"/>
      <c r="AB1459" s="12"/>
      <c r="AC1459" s="12"/>
      <c r="AD1459" s="12"/>
      <c r="AE1459" s="207" t="s">
        <v>39</v>
      </c>
      <c r="AF1459" s="207" t="s">
        <v>39</v>
      </c>
      <c r="AG1459" s="22"/>
      <c r="AH1459" s="22"/>
      <c r="AI1459" s="22"/>
      <c r="AJ1459" s="22"/>
      <c r="AK1459" s="22"/>
      <c r="AL1459" s="22"/>
      <c r="AM1459" s="22"/>
      <c r="AN1459" s="22"/>
      <c r="AO1459" s="22"/>
      <c r="AP1459" s="22"/>
    </row>
    <row r="1460" ht="15.75" customHeight="1">
      <c r="A1460" s="103">
        <v>1.2119757E7</v>
      </c>
      <c r="B1460" s="84">
        <v>9.000661266E9</v>
      </c>
      <c r="C1460" s="11">
        <v>46044.0</v>
      </c>
      <c r="D1460" s="84">
        <v>26.0</v>
      </c>
      <c r="E1460" s="84">
        <v>31625.0</v>
      </c>
      <c r="F1460" s="103" t="s">
        <v>31</v>
      </c>
      <c r="G1460" s="84" t="s">
        <v>32</v>
      </c>
      <c r="H1460" s="84" t="s">
        <v>2243</v>
      </c>
      <c r="I1460" s="84" t="s">
        <v>2244</v>
      </c>
      <c r="J1460" s="238" t="s">
        <v>2082</v>
      </c>
      <c r="K1460" s="238" t="s">
        <v>2245</v>
      </c>
      <c r="L1460" s="98" t="s">
        <v>2105</v>
      </c>
      <c r="M1460" s="84" t="s">
        <v>2208</v>
      </c>
      <c r="N1460" s="133">
        <v>3259.0</v>
      </c>
      <c r="O1460" s="73">
        <f t="shared" si="29"/>
        <v>0.7671064744</v>
      </c>
      <c r="P1460" s="98">
        <v>2500.0</v>
      </c>
      <c r="Q1460" s="12"/>
      <c r="R1460" s="84">
        <v>1770249.0</v>
      </c>
      <c r="S1460" s="84" t="s">
        <v>40</v>
      </c>
      <c r="T1460" s="90">
        <v>8138543.0</v>
      </c>
      <c r="U1460" s="214">
        <v>46044.395833333336</v>
      </c>
      <c r="V1460" s="214">
        <v>46044.833333333336</v>
      </c>
      <c r="W1460" s="12"/>
      <c r="X1460" s="12"/>
      <c r="Y1460" s="214">
        <v>46045.427083333336</v>
      </c>
      <c r="Z1460" s="214">
        <v>46045.697916666664</v>
      </c>
      <c r="AA1460" s="12"/>
      <c r="AB1460" s="12"/>
      <c r="AC1460" s="12"/>
      <c r="AD1460" s="12"/>
      <c r="AE1460" s="207" t="s">
        <v>39</v>
      </c>
      <c r="AF1460" s="207" t="s">
        <v>39</v>
      </c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</row>
    <row r="1461" ht="15.75" customHeight="1">
      <c r="A1461" s="103">
        <v>1.2112594E7</v>
      </c>
      <c r="B1461" s="84">
        <v>9.000656933E9</v>
      </c>
      <c r="C1461" s="11">
        <v>46044.0</v>
      </c>
      <c r="D1461" s="84">
        <v>26.0</v>
      </c>
      <c r="E1461" s="84">
        <v>31625.0</v>
      </c>
      <c r="F1461" s="103" t="s">
        <v>31</v>
      </c>
      <c r="G1461" s="84" t="s">
        <v>44</v>
      </c>
      <c r="H1461" s="84" t="s">
        <v>2127</v>
      </c>
      <c r="I1461" s="84" t="s">
        <v>2184</v>
      </c>
      <c r="J1461" s="238" t="s">
        <v>2082</v>
      </c>
      <c r="K1461" s="238" t="s">
        <v>2129</v>
      </c>
      <c r="L1461" s="98" t="s">
        <v>94</v>
      </c>
      <c r="M1461" s="84" t="s">
        <v>2200</v>
      </c>
      <c r="N1461" s="133">
        <v>6639.0</v>
      </c>
      <c r="O1461" s="73">
        <f t="shared" si="29"/>
        <v>0.7079379425</v>
      </c>
      <c r="P1461" s="98">
        <v>4700.0</v>
      </c>
      <c r="Q1461" s="12"/>
      <c r="R1461" s="84">
        <v>1770239.0</v>
      </c>
      <c r="S1461" s="84" t="s">
        <v>40</v>
      </c>
      <c r="T1461" s="90">
        <v>8138293.0</v>
      </c>
      <c r="U1461" s="214">
        <v>46044.65625</v>
      </c>
      <c r="V1461" s="214">
        <v>46045.229166666664</v>
      </c>
      <c r="W1461" s="12"/>
      <c r="X1461" s="12"/>
      <c r="Y1461" s="214">
        <v>46045.552083333336</v>
      </c>
      <c r="Z1461" s="214">
        <v>46046.416666666664</v>
      </c>
      <c r="AA1461" s="12"/>
      <c r="AB1461" s="84">
        <v>364285.0</v>
      </c>
      <c r="AC1461" s="84" t="s">
        <v>2059</v>
      </c>
      <c r="AD1461" s="12"/>
      <c r="AE1461" s="207" t="s">
        <v>39</v>
      </c>
      <c r="AF1461" s="207" t="s">
        <v>39</v>
      </c>
      <c r="AG1461" s="22"/>
      <c r="AH1461" s="22"/>
      <c r="AI1461" s="22"/>
      <c r="AJ1461" s="22"/>
      <c r="AK1461" s="22"/>
      <c r="AL1461" s="22"/>
      <c r="AM1461" s="22"/>
      <c r="AN1461" s="22"/>
      <c r="AO1461" s="22"/>
      <c r="AP1461" s="22"/>
    </row>
    <row r="1462" ht="15.75" customHeight="1">
      <c r="A1462" s="103">
        <v>1.2112596E7</v>
      </c>
      <c r="B1462" s="84">
        <v>9.000656975E9</v>
      </c>
      <c r="C1462" s="11">
        <v>46045.0</v>
      </c>
      <c r="D1462" s="84">
        <v>26.0</v>
      </c>
      <c r="E1462" s="84">
        <v>31625.0</v>
      </c>
      <c r="F1462" s="103" t="s">
        <v>31</v>
      </c>
      <c r="G1462" s="84" t="s">
        <v>44</v>
      </c>
      <c r="H1462" s="84" t="s">
        <v>2127</v>
      </c>
      <c r="I1462" s="84" t="s">
        <v>2184</v>
      </c>
      <c r="J1462" s="238" t="s">
        <v>2082</v>
      </c>
      <c r="K1462" s="238" t="s">
        <v>2129</v>
      </c>
      <c r="L1462" s="98" t="s">
        <v>94</v>
      </c>
      <c r="M1462" s="84" t="s">
        <v>2186</v>
      </c>
      <c r="N1462" s="133">
        <v>6639.0</v>
      </c>
      <c r="O1462" s="73">
        <f t="shared" si="29"/>
        <v>0.7079379425</v>
      </c>
      <c r="P1462" s="98">
        <v>4700.0</v>
      </c>
      <c r="Q1462" s="12"/>
      <c r="R1462" s="84">
        <v>1770338.0</v>
      </c>
      <c r="S1462" s="84" t="s">
        <v>40</v>
      </c>
      <c r="T1462" s="90">
        <v>8139784.0</v>
      </c>
      <c r="U1462" s="214">
        <v>46044.666666666664</v>
      </c>
      <c r="V1462" s="214">
        <v>46044.875</v>
      </c>
      <c r="W1462" s="12"/>
      <c r="X1462" s="12"/>
      <c r="Y1462" s="214">
        <v>46045.552083333336</v>
      </c>
      <c r="Z1462" s="214">
        <v>46046.375</v>
      </c>
      <c r="AA1462" s="12"/>
      <c r="AB1462" s="84">
        <v>364295.0</v>
      </c>
      <c r="AC1462" s="84" t="s">
        <v>2059</v>
      </c>
      <c r="AD1462" s="12"/>
      <c r="AE1462" s="207" t="s">
        <v>39</v>
      </c>
      <c r="AF1462" s="207" t="s">
        <v>39</v>
      </c>
      <c r="AG1462" s="22"/>
      <c r="AH1462" s="22"/>
      <c r="AI1462" s="22"/>
      <c r="AJ1462" s="22"/>
      <c r="AK1462" s="22"/>
      <c r="AL1462" s="22"/>
      <c r="AM1462" s="22"/>
      <c r="AN1462" s="22"/>
      <c r="AO1462" s="22"/>
      <c r="AP1462" s="22"/>
    </row>
    <row r="1463" ht="15.75" customHeight="1">
      <c r="A1463" s="103">
        <v>1.2112595E7</v>
      </c>
      <c r="B1463" s="84">
        <v>9.000656886E9</v>
      </c>
      <c r="C1463" s="11">
        <v>46045.0</v>
      </c>
      <c r="D1463" s="84">
        <v>26.0</v>
      </c>
      <c r="E1463" s="84">
        <v>31625.0</v>
      </c>
      <c r="F1463" s="103" t="s">
        <v>31</v>
      </c>
      <c r="G1463" s="84" t="s">
        <v>44</v>
      </c>
      <c r="H1463" s="84" t="s">
        <v>2127</v>
      </c>
      <c r="I1463" s="84" t="s">
        <v>2184</v>
      </c>
      <c r="J1463" s="238" t="s">
        <v>2082</v>
      </c>
      <c r="K1463" s="238" t="s">
        <v>2129</v>
      </c>
      <c r="L1463" s="98" t="s">
        <v>94</v>
      </c>
      <c r="M1463" s="84" t="s">
        <v>2190</v>
      </c>
      <c r="N1463" s="133">
        <v>6639.0</v>
      </c>
      <c r="O1463" s="73">
        <f t="shared" si="29"/>
        <v>0.7079379425</v>
      </c>
      <c r="P1463" s="98">
        <v>4700.0</v>
      </c>
      <c r="Q1463" s="12"/>
      <c r="R1463" s="84">
        <v>1770663.0</v>
      </c>
      <c r="S1463" s="84" t="s">
        <v>40</v>
      </c>
      <c r="T1463" s="90">
        <v>8143759.0</v>
      </c>
      <c r="U1463" s="214">
        <v>46045.3125</v>
      </c>
      <c r="V1463" s="214">
        <v>46045.645833333336</v>
      </c>
      <c r="W1463" s="12"/>
      <c r="X1463" s="12"/>
      <c r="Y1463" s="214">
        <v>46047.6875</v>
      </c>
      <c r="Z1463" s="214">
        <v>46048.375</v>
      </c>
      <c r="AA1463" s="12"/>
      <c r="AB1463" s="12"/>
      <c r="AC1463" s="12"/>
      <c r="AD1463" s="12"/>
      <c r="AE1463" s="207" t="s">
        <v>39</v>
      </c>
      <c r="AF1463" s="207" t="s">
        <v>39</v>
      </c>
      <c r="AG1463" s="22"/>
      <c r="AH1463" s="22"/>
      <c r="AI1463" s="22"/>
      <c r="AJ1463" s="22"/>
      <c r="AK1463" s="22"/>
      <c r="AL1463" s="22"/>
      <c r="AM1463" s="22"/>
      <c r="AN1463" s="22"/>
      <c r="AO1463" s="22"/>
      <c r="AP1463" s="22"/>
    </row>
    <row r="1464" ht="15.75" customHeight="1">
      <c r="A1464" s="103">
        <v>1.2123437E7</v>
      </c>
      <c r="B1464" s="84">
        <v>9.000670303E9</v>
      </c>
      <c r="C1464" s="11">
        <v>46045.0</v>
      </c>
      <c r="D1464" s="84">
        <v>26.0</v>
      </c>
      <c r="E1464" s="84">
        <v>32468.0</v>
      </c>
      <c r="F1464" s="103" t="s">
        <v>31</v>
      </c>
      <c r="G1464" s="84" t="s">
        <v>74</v>
      </c>
      <c r="H1464" s="84" t="s">
        <v>1882</v>
      </c>
      <c r="I1464" s="84" t="s">
        <v>191</v>
      </c>
      <c r="J1464" s="12" t="s">
        <v>35</v>
      </c>
      <c r="K1464" s="84" t="s">
        <v>138</v>
      </c>
      <c r="L1464" s="98" t="s">
        <v>114</v>
      </c>
      <c r="M1464" s="84" t="s">
        <v>1945</v>
      </c>
      <c r="N1464" s="133">
        <v>5760.0</v>
      </c>
      <c r="O1464" s="73">
        <f t="shared" si="29"/>
        <v>0.6944444444</v>
      </c>
      <c r="P1464" s="98">
        <v>4000.0</v>
      </c>
      <c r="Q1464" s="12"/>
      <c r="R1464" s="84">
        <v>1770715.0</v>
      </c>
      <c r="S1464" s="84" t="s">
        <v>40</v>
      </c>
      <c r="T1464" s="90">
        <v>8144729.0</v>
      </c>
      <c r="U1464" s="225">
        <v>45680.75</v>
      </c>
      <c r="V1464" s="214">
        <v>46045.895833333336</v>
      </c>
      <c r="W1464" s="12"/>
      <c r="X1464" s="241">
        <v>46049.333333333336</v>
      </c>
      <c r="Y1464" s="214">
        <v>46048.416666666664</v>
      </c>
      <c r="Z1464" s="214">
        <v>46048.82638888889</v>
      </c>
      <c r="AA1464" s="12"/>
      <c r="AB1464" s="84" t="s">
        <v>2246</v>
      </c>
      <c r="AC1464" s="84" t="s">
        <v>2247</v>
      </c>
      <c r="AD1464" s="12"/>
      <c r="AE1464" s="207" t="s">
        <v>39</v>
      </c>
      <c r="AF1464" s="207" t="s">
        <v>39</v>
      </c>
      <c r="AG1464" s="22"/>
      <c r="AH1464" s="22"/>
      <c r="AI1464" s="22"/>
      <c r="AJ1464" s="22"/>
      <c r="AK1464" s="22"/>
      <c r="AL1464" s="22"/>
      <c r="AM1464" s="22"/>
      <c r="AN1464" s="22"/>
      <c r="AO1464" s="22"/>
      <c r="AP1464" s="22"/>
    </row>
    <row r="1465" ht="15.75" customHeight="1">
      <c r="A1465" s="103">
        <v>1.2125918E7</v>
      </c>
      <c r="B1465" s="84">
        <v>9.000672942E9</v>
      </c>
      <c r="C1465" s="11">
        <v>46045.0</v>
      </c>
      <c r="D1465" s="84">
        <v>28.0</v>
      </c>
      <c r="E1465" s="84">
        <v>34058.0</v>
      </c>
      <c r="F1465" s="219" t="s">
        <v>31</v>
      </c>
      <c r="G1465" s="208" t="s">
        <v>44</v>
      </c>
      <c r="H1465" s="169" t="s">
        <v>1317</v>
      </c>
      <c r="I1465" s="209" t="s">
        <v>2131</v>
      </c>
      <c r="J1465" s="169" t="s">
        <v>35</v>
      </c>
      <c r="K1465" s="169" t="s">
        <v>138</v>
      </c>
      <c r="L1465" s="209" t="s">
        <v>94</v>
      </c>
      <c r="M1465" s="176" t="s">
        <v>2170</v>
      </c>
      <c r="N1465" s="196">
        <v>5760.0</v>
      </c>
      <c r="O1465" s="73">
        <f t="shared" si="29"/>
        <v>0</v>
      </c>
      <c r="P1465" s="98">
        <v>0.0</v>
      </c>
      <c r="Q1465" s="12"/>
      <c r="R1465" s="84">
        <v>1770881.0</v>
      </c>
      <c r="S1465" s="84" t="s">
        <v>40</v>
      </c>
      <c r="T1465" s="90">
        <v>8147469.0</v>
      </c>
      <c r="U1465" s="214">
        <v>46046.291666666664</v>
      </c>
      <c r="V1465" s="214">
        <v>46046.291666666664</v>
      </c>
      <c r="W1465" s="12"/>
      <c r="X1465" s="12"/>
      <c r="Y1465" s="214">
        <v>46047.416666666664</v>
      </c>
      <c r="Z1465" s="214">
        <v>46048.583333333336</v>
      </c>
      <c r="AA1465" s="12"/>
      <c r="AB1465" s="12"/>
      <c r="AC1465" s="12"/>
      <c r="AD1465" s="12"/>
      <c r="AE1465" s="207" t="s">
        <v>39</v>
      </c>
      <c r="AF1465" s="207" t="s">
        <v>39</v>
      </c>
      <c r="AG1465" s="22"/>
      <c r="AH1465" s="22"/>
      <c r="AI1465" s="22"/>
      <c r="AJ1465" s="22"/>
      <c r="AK1465" s="22"/>
      <c r="AL1465" s="22"/>
      <c r="AM1465" s="22"/>
      <c r="AN1465" s="22"/>
      <c r="AO1465" s="22"/>
      <c r="AP1465" s="22"/>
    </row>
    <row r="1466" ht="15.75" customHeight="1">
      <c r="A1466" s="103">
        <v>1.2102507E7</v>
      </c>
      <c r="B1466" s="84">
        <v>9.000647799E9</v>
      </c>
      <c r="C1466" s="11">
        <v>46045.0</v>
      </c>
      <c r="D1466" s="84">
        <v>26.0</v>
      </c>
      <c r="E1466" s="84">
        <v>31625.0</v>
      </c>
      <c r="F1466" s="103" t="s">
        <v>31</v>
      </c>
      <c r="G1466" s="84" t="s">
        <v>32</v>
      </c>
      <c r="H1466" s="84" t="s">
        <v>2243</v>
      </c>
      <c r="I1466" s="84" t="s">
        <v>2244</v>
      </c>
      <c r="J1466" s="238" t="s">
        <v>2082</v>
      </c>
      <c r="K1466" s="238" t="s">
        <v>2245</v>
      </c>
      <c r="L1466" s="98" t="s">
        <v>2105</v>
      </c>
      <c r="M1466" s="84" t="s">
        <v>2229</v>
      </c>
      <c r="N1466" s="133">
        <v>3259.0</v>
      </c>
      <c r="O1466" s="73">
        <f t="shared" si="29"/>
        <v>0.7</v>
      </c>
      <c r="P1466" s="98">
        <v>2281.3</v>
      </c>
      <c r="Q1466" s="12"/>
      <c r="R1466" s="84">
        <v>1770843.0</v>
      </c>
      <c r="S1466" s="84" t="s">
        <v>40</v>
      </c>
      <c r="T1466" s="90">
        <v>8146832.0</v>
      </c>
      <c r="U1466" s="214">
        <v>46045.427083333336</v>
      </c>
      <c r="V1466" s="214">
        <v>46045.77777777778</v>
      </c>
      <c r="W1466" s="12"/>
      <c r="X1466" s="12"/>
      <c r="Y1466" s="214">
        <v>46046.25</v>
      </c>
      <c r="Z1466" s="214">
        <v>46048.48611111111</v>
      </c>
      <c r="AA1466" s="12"/>
      <c r="AB1466" s="84">
        <v>364859.0</v>
      </c>
      <c r="AC1466" s="125" t="s">
        <v>2059</v>
      </c>
      <c r="AD1466" s="12"/>
      <c r="AE1466" s="207" t="s">
        <v>39</v>
      </c>
      <c r="AF1466" s="207" t="s">
        <v>39</v>
      </c>
      <c r="AG1466" s="22"/>
      <c r="AH1466" s="22"/>
      <c r="AI1466" s="22"/>
      <c r="AJ1466" s="22"/>
      <c r="AK1466" s="22"/>
      <c r="AL1466" s="22"/>
      <c r="AM1466" s="22"/>
      <c r="AN1466" s="22"/>
      <c r="AO1466" s="22"/>
      <c r="AP1466" s="22"/>
    </row>
    <row r="1467" ht="15.75" customHeight="1">
      <c r="A1467" s="103">
        <v>1.2119152E7</v>
      </c>
      <c r="B1467" s="84">
        <v>9.000663891E9</v>
      </c>
      <c r="C1467" s="11">
        <v>46045.0</v>
      </c>
      <c r="D1467" s="84">
        <v>26.0</v>
      </c>
      <c r="E1467" s="84">
        <v>30960.0</v>
      </c>
      <c r="F1467" s="103" t="s">
        <v>31</v>
      </c>
      <c r="G1467" s="84" t="s">
        <v>74</v>
      </c>
      <c r="H1467" s="84" t="s">
        <v>2117</v>
      </c>
      <c r="I1467" s="84" t="s">
        <v>2248</v>
      </c>
      <c r="J1467" s="238" t="s">
        <v>2082</v>
      </c>
      <c r="K1467" s="238" t="s">
        <v>2119</v>
      </c>
      <c r="L1467" s="98" t="s">
        <v>2105</v>
      </c>
      <c r="M1467" s="255" t="s">
        <v>2236</v>
      </c>
      <c r="N1467" s="133">
        <v>5662.0</v>
      </c>
      <c r="O1467" s="73">
        <f t="shared" si="29"/>
        <v>0.6999293536</v>
      </c>
      <c r="P1467" s="98">
        <v>3963.0</v>
      </c>
      <c r="Q1467" s="12"/>
      <c r="R1467" s="84">
        <v>1770899.0</v>
      </c>
      <c r="S1467" s="84" t="s">
        <v>40</v>
      </c>
      <c r="T1467" s="90">
        <v>8147820.0</v>
      </c>
      <c r="U1467" s="214">
        <v>46046.729166666664</v>
      </c>
      <c r="V1467" s="214">
        <v>46046.055555555555</v>
      </c>
      <c r="W1467" s="12"/>
      <c r="X1467" s="12"/>
      <c r="Y1467" s="214">
        <v>46049.333333333336</v>
      </c>
      <c r="Z1467" s="214">
        <v>46057.36111111111</v>
      </c>
      <c r="AA1467" s="12"/>
      <c r="AB1467" s="84" t="s">
        <v>2249</v>
      </c>
      <c r="AC1467" s="125" t="s">
        <v>2250</v>
      </c>
      <c r="AD1467" s="12"/>
      <c r="AE1467" s="12"/>
      <c r="AF1467" s="12"/>
      <c r="AG1467" s="22"/>
      <c r="AH1467" s="22"/>
      <c r="AI1467" s="22"/>
      <c r="AJ1467" s="22"/>
      <c r="AK1467" s="22"/>
      <c r="AL1467" s="22"/>
      <c r="AM1467" s="22"/>
      <c r="AN1467" s="22"/>
      <c r="AO1467" s="22"/>
      <c r="AP1467" s="22"/>
    </row>
    <row r="1468" ht="15.75" customHeight="1">
      <c r="A1468" s="103">
        <v>1.2129172E7</v>
      </c>
      <c r="B1468" s="84">
        <v>9.000675155E9</v>
      </c>
      <c r="C1468" s="11">
        <v>46046.0</v>
      </c>
      <c r="D1468" s="84">
        <v>26.0</v>
      </c>
      <c r="E1468" s="84">
        <v>31625.0</v>
      </c>
      <c r="F1468" s="103" t="s">
        <v>31</v>
      </c>
      <c r="G1468" s="84" t="s">
        <v>32</v>
      </c>
      <c r="H1468" s="84" t="s">
        <v>2243</v>
      </c>
      <c r="I1468" s="84" t="s">
        <v>2244</v>
      </c>
      <c r="J1468" s="238" t="s">
        <v>2082</v>
      </c>
      <c r="K1468" s="238" t="s">
        <v>2245</v>
      </c>
      <c r="L1468" s="98" t="s">
        <v>2105</v>
      </c>
      <c r="M1468" s="84" t="s">
        <v>2208</v>
      </c>
      <c r="N1468" s="133">
        <v>3259.0</v>
      </c>
      <c r="O1468" s="73">
        <f t="shared" si="29"/>
        <v>0.7</v>
      </c>
      <c r="P1468" s="98">
        <v>2281.3</v>
      </c>
      <c r="Q1468" s="12"/>
      <c r="R1468" s="84">
        <v>1771084.0</v>
      </c>
      <c r="S1468" s="84" t="s">
        <v>40</v>
      </c>
      <c r="T1468" s="90">
        <v>8149918.0</v>
      </c>
      <c r="U1468" s="214">
        <v>46046.27777777778</v>
      </c>
      <c r="V1468" s="214">
        <v>46046.479166666664</v>
      </c>
      <c r="W1468" s="12"/>
      <c r="X1468" s="12"/>
      <c r="Y1468" s="214">
        <v>46048.38402777778</v>
      </c>
      <c r="Z1468" s="214">
        <v>46049.618055555555</v>
      </c>
      <c r="AA1468" s="12"/>
      <c r="AB1468" s="84">
        <v>368216.0</v>
      </c>
      <c r="AC1468" s="125" t="s">
        <v>2059</v>
      </c>
      <c r="AD1468" s="12"/>
      <c r="AE1468" s="207" t="s">
        <v>39</v>
      </c>
      <c r="AF1468" s="12"/>
      <c r="AG1468" s="22"/>
      <c r="AH1468" s="22"/>
      <c r="AI1468" s="22"/>
      <c r="AJ1468" s="22"/>
      <c r="AK1468" s="22"/>
      <c r="AL1468" s="22"/>
      <c r="AM1468" s="22"/>
      <c r="AN1468" s="22"/>
      <c r="AO1468" s="22"/>
      <c r="AP1468" s="22"/>
    </row>
    <row r="1469" ht="15.75" customHeight="1">
      <c r="A1469" s="103">
        <v>1.212917E7</v>
      </c>
      <c r="B1469" s="84">
        <v>9.000675161E9</v>
      </c>
      <c r="C1469" s="11">
        <v>46046.0</v>
      </c>
      <c r="D1469" s="84">
        <v>26.0</v>
      </c>
      <c r="E1469" s="84">
        <v>31625.0</v>
      </c>
      <c r="F1469" s="103" t="s">
        <v>31</v>
      </c>
      <c r="G1469" s="84" t="s">
        <v>32</v>
      </c>
      <c r="H1469" s="84" t="s">
        <v>2243</v>
      </c>
      <c r="I1469" s="84" t="s">
        <v>2244</v>
      </c>
      <c r="J1469" s="238" t="s">
        <v>2082</v>
      </c>
      <c r="K1469" s="238" t="s">
        <v>2245</v>
      </c>
      <c r="L1469" s="98" t="s">
        <v>2105</v>
      </c>
      <c r="M1469" s="84" t="s">
        <v>2232</v>
      </c>
      <c r="N1469" s="133">
        <v>3259.0</v>
      </c>
      <c r="O1469" s="73">
        <f t="shared" si="29"/>
        <v>0.7</v>
      </c>
      <c r="P1469" s="98">
        <v>2281.3</v>
      </c>
      <c r="Q1469" s="12"/>
      <c r="R1469" s="84">
        <v>1771098.0</v>
      </c>
      <c r="S1469" s="84" t="s">
        <v>40</v>
      </c>
      <c r="T1469" s="90">
        <v>8150161.0</v>
      </c>
      <c r="U1469" s="214">
        <v>46046.27777777778</v>
      </c>
      <c r="V1469" s="214">
        <v>46046.458333333336</v>
      </c>
      <c r="W1469" s="12"/>
      <c r="X1469" s="12"/>
      <c r="Y1469" s="214">
        <v>46047.791666666664</v>
      </c>
      <c r="Z1469" s="214">
        <v>46049.416666666664</v>
      </c>
      <c r="AA1469" s="12"/>
      <c r="AB1469" s="84">
        <v>368269.0</v>
      </c>
      <c r="AC1469" s="125" t="s">
        <v>2059</v>
      </c>
      <c r="AD1469" s="12"/>
      <c r="AE1469" s="207" t="s">
        <v>39</v>
      </c>
      <c r="AF1469" s="207" t="s">
        <v>39</v>
      </c>
      <c r="AG1469" s="22"/>
      <c r="AH1469" s="22"/>
      <c r="AI1469" s="22"/>
      <c r="AJ1469" s="22"/>
      <c r="AK1469" s="22"/>
      <c r="AL1469" s="22"/>
      <c r="AM1469" s="22"/>
      <c r="AN1469" s="22"/>
      <c r="AO1469" s="22"/>
      <c r="AP1469" s="22"/>
    </row>
    <row r="1470" ht="15.75" customHeight="1">
      <c r="A1470" s="103">
        <v>1.2122108E7</v>
      </c>
      <c r="B1470" s="84">
        <v>9.00066424E9</v>
      </c>
      <c r="C1470" s="11">
        <v>46046.0</v>
      </c>
      <c r="D1470" s="84">
        <v>26.0</v>
      </c>
      <c r="E1470" s="84">
        <v>31845.0</v>
      </c>
      <c r="F1470" s="103" t="s">
        <v>43</v>
      </c>
      <c r="G1470" s="84" t="s">
        <v>32</v>
      </c>
      <c r="H1470" s="84" t="s">
        <v>2243</v>
      </c>
      <c r="I1470" s="84" t="s">
        <v>2244</v>
      </c>
      <c r="J1470" s="238" t="s">
        <v>2082</v>
      </c>
      <c r="K1470" s="238" t="s">
        <v>2245</v>
      </c>
      <c r="L1470" s="98" t="s">
        <v>2105</v>
      </c>
      <c r="M1470" s="84" t="s">
        <v>2186</v>
      </c>
      <c r="N1470" s="133">
        <v>2037.0</v>
      </c>
      <c r="O1470" s="73">
        <f t="shared" si="29"/>
        <v>0.7</v>
      </c>
      <c r="P1470" s="98">
        <v>1425.9</v>
      </c>
      <c r="Q1470" s="84" t="s">
        <v>39</v>
      </c>
      <c r="R1470" s="84">
        <v>1771142.0</v>
      </c>
      <c r="S1470" s="84" t="s">
        <v>40</v>
      </c>
      <c r="T1470" s="90">
        <v>8150494.0</v>
      </c>
      <c r="U1470" s="214">
        <v>46046.645833333336</v>
      </c>
      <c r="V1470" s="214">
        <v>46047.26736111111</v>
      </c>
      <c r="W1470" s="12"/>
      <c r="X1470" s="12"/>
      <c r="Y1470" s="214">
        <v>46048.40625</v>
      </c>
      <c r="Z1470" s="214">
        <v>46048.729166666664</v>
      </c>
      <c r="AA1470" s="12"/>
      <c r="AB1470" s="84">
        <v>368339.0</v>
      </c>
      <c r="AC1470" s="125" t="s">
        <v>2059</v>
      </c>
      <c r="AD1470" s="12"/>
      <c r="AE1470" s="207" t="s">
        <v>39</v>
      </c>
      <c r="AF1470" s="207" t="s">
        <v>39</v>
      </c>
      <c r="AG1470" s="22"/>
      <c r="AH1470" s="22"/>
      <c r="AI1470" s="22"/>
      <c r="AJ1470" s="22"/>
      <c r="AK1470" s="22"/>
      <c r="AL1470" s="22"/>
      <c r="AM1470" s="22"/>
      <c r="AN1470" s="22"/>
      <c r="AO1470" s="22"/>
      <c r="AP1470" s="22"/>
    </row>
    <row r="1471" ht="15.75" customHeight="1">
      <c r="A1471" s="103">
        <v>1.2122109E7</v>
      </c>
      <c r="B1471" s="84">
        <v>9.000664259E9</v>
      </c>
      <c r="C1471" s="11">
        <v>46046.0</v>
      </c>
      <c r="D1471" s="84">
        <v>3.0</v>
      </c>
      <c r="E1471" s="84">
        <v>15911.0</v>
      </c>
      <c r="F1471" s="103" t="s">
        <v>43</v>
      </c>
      <c r="G1471" s="84" t="s">
        <v>32</v>
      </c>
      <c r="H1471" s="84" t="s">
        <v>2251</v>
      </c>
      <c r="I1471" s="84" t="s">
        <v>2212</v>
      </c>
      <c r="J1471" s="238" t="s">
        <v>2245</v>
      </c>
      <c r="K1471" s="238" t="s">
        <v>2082</v>
      </c>
      <c r="L1471" s="98" t="s">
        <v>2105</v>
      </c>
      <c r="M1471" s="84" t="s">
        <v>2186</v>
      </c>
      <c r="N1471" s="133">
        <v>2037.0</v>
      </c>
      <c r="O1471" s="73">
        <f t="shared" si="29"/>
        <v>0.7</v>
      </c>
      <c r="P1471" s="98">
        <v>1425.9</v>
      </c>
      <c r="Q1471" s="12"/>
      <c r="R1471" s="84">
        <v>1772215.0</v>
      </c>
      <c r="S1471" s="84" t="s">
        <v>40</v>
      </c>
      <c r="T1471" s="90">
        <v>8160210.0</v>
      </c>
      <c r="U1471" s="214">
        <v>46048.729166666664</v>
      </c>
      <c r="V1471" s="214">
        <v>46048.729166666664</v>
      </c>
      <c r="W1471" s="12"/>
      <c r="X1471" s="12"/>
      <c r="Y1471" s="214">
        <v>46049.416666666664</v>
      </c>
      <c r="Z1471" s="214">
        <v>46050.25</v>
      </c>
      <c r="AA1471" s="12"/>
      <c r="AB1471" s="12"/>
      <c r="AC1471" s="12"/>
      <c r="AD1471" s="12"/>
      <c r="AE1471" s="207" t="s">
        <v>39</v>
      </c>
      <c r="AF1471" s="12"/>
      <c r="AG1471" s="22"/>
      <c r="AH1471" s="22"/>
      <c r="AI1471" s="22"/>
      <c r="AJ1471" s="22"/>
      <c r="AK1471" s="22"/>
      <c r="AL1471" s="22"/>
      <c r="AM1471" s="22"/>
      <c r="AN1471" s="22"/>
      <c r="AO1471" s="22"/>
      <c r="AP1471" s="22"/>
    </row>
    <row r="1472" ht="15.75" customHeight="1">
      <c r="A1472" s="103">
        <v>1.2120324E7</v>
      </c>
      <c r="B1472" s="84">
        <v>9.000666372E9</v>
      </c>
      <c r="C1472" s="11">
        <v>46048.0</v>
      </c>
      <c r="D1472" s="84">
        <v>26.0</v>
      </c>
      <c r="E1472" s="84">
        <v>15934.0</v>
      </c>
      <c r="F1472" s="103" t="s">
        <v>43</v>
      </c>
      <c r="G1472" s="84" t="s">
        <v>32</v>
      </c>
      <c r="H1472" s="84" t="s">
        <v>2243</v>
      </c>
      <c r="I1472" s="84" t="s">
        <v>2244</v>
      </c>
      <c r="J1472" s="238" t="s">
        <v>2082</v>
      </c>
      <c r="K1472" s="238" t="s">
        <v>2245</v>
      </c>
      <c r="L1472" s="98" t="s">
        <v>2105</v>
      </c>
      <c r="M1472" s="84" t="s">
        <v>2200</v>
      </c>
      <c r="N1472" s="133">
        <v>2037.0</v>
      </c>
      <c r="O1472" s="73">
        <f t="shared" si="29"/>
        <v>0.7049091802</v>
      </c>
      <c r="P1472" s="98">
        <v>1435.9</v>
      </c>
      <c r="Q1472" s="84" t="s">
        <v>39</v>
      </c>
      <c r="R1472" s="84">
        <v>1771958.0</v>
      </c>
      <c r="S1472" s="84" t="s">
        <v>40</v>
      </c>
      <c r="T1472" s="90">
        <v>8156145.0</v>
      </c>
      <c r="U1472" s="214">
        <v>46048.333333333336</v>
      </c>
      <c r="V1472" s="214">
        <v>46048.458333333336</v>
      </c>
      <c r="W1472" s="12"/>
      <c r="X1472" s="12"/>
      <c r="Y1472" s="214">
        <v>46048.81597222222</v>
      </c>
      <c r="Z1472" s="214">
        <v>46049.77777777778</v>
      </c>
      <c r="AA1472" s="12"/>
      <c r="AB1472" s="12"/>
      <c r="AC1472" s="12"/>
      <c r="AD1472" s="12"/>
      <c r="AE1472" s="207" t="s">
        <v>39</v>
      </c>
      <c r="AF1472" s="207" t="s">
        <v>39</v>
      </c>
      <c r="AG1472" s="22"/>
      <c r="AH1472" s="22"/>
      <c r="AI1472" s="22"/>
      <c r="AJ1472" s="22"/>
      <c r="AK1472" s="22"/>
      <c r="AL1472" s="22"/>
      <c r="AM1472" s="22"/>
      <c r="AN1472" s="22"/>
      <c r="AO1472" s="22"/>
      <c r="AP1472" s="22"/>
    </row>
    <row r="1473" ht="15.75" customHeight="1">
      <c r="A1473" s="103">
        <v>1.2120325E7</v>
      </c>
      <c r="B1473" s="84">
        <v>9.000666346E9</v>
      </c>
      <c r="C1473" s="11">
        <v>46048.0</v>
      </c>
      <c r="D1473" s="84">
        <v>3.0</v>
      </c>
      <c r="E1473" s="84">
        <v>15911.0</v>
      </c>
      <c r="F1473" s="103" t="s">
        <v>43</v>
      </c>
      <c r="G1473" s="84" t="s">
        <v>32</v>
      </c>
      <c r="H1473" s="84" t="s">
        <v>2252</v>
      </c>
      <c r="I1473" s="84" t="s">
        <v>2212</v>
      </c>
      <c r="J1473" s="238" t="s">
        <v>2245</v>
      </c>
      <c r="K1473" s="238" t="s">
        <v>2082</v>
      </c>
      <c r="L1473" s="98" t="s">
        <v>2105</v>
      </c>
      <c r="M1473" s="84" t="s">
        <v>2200</v>
      </c>
      <c r="N1473" s="133">
        <v>2037.0</v>
      </c>
      <c r="O1473" s="73">
        <f t="shared" si="29"/>
        <v>0.7</v>
      </c>
      <c r="P1473" s="98">
        <v>1425.9</v>
      </c>
      <c r="Q1473" s="12"/>
      <c r="R1473" s="84">
        <v>1773122.0</v>
      </c>
      <c r="S1473" s="84" t="s">
        <v>40</v>
      </c>
      <c r="T1473" s="90">
        <v>8171912.0</v>
      </c>
      <c r="U1473" s="214">
        <v>46049.77777777778</v>
      </c>
      <c r="V1473" s="214">
        <v>46049.77777777778</v>
      </c>
      <c r="W1473" s="12"/>
      <c r="X1473" s="12"/>
      <c r="Y1473" s="214">
        <v>46050.291666666664</v>
      </c>
      <c r="Z1473" s="214">
        <v>46050.84722222222</v>
      </c>
      <c r="AA1473" s="12"/>
      <c r="AB1473" s="12"/>
      <c r="AC1473" s="12"/>
      <c r="AD1473" s="12"/>
      <c r="AE1473" s="207" t="s">
        <v>39</v>
      </c>
      <c r="AF1473" s="12"/>
      <c r="AG1473" s="22"/>
      <c r="AH1473" s="22"/>
      <c r="AI1473" s="22"/>
      <c r="AJ1473" s="22"/>
      <c r="AK1473" s="22"/>
      <c r="AL1473" s="22"/>
      <c r="AM1473" s="22"/>
      <c r="AN1473" s="22"/>
      <c r="AO1473" s="22"/>
      <c r="AP1473" s="22"/>
    </row>
    <row r="1474" ht="15.75" customHeight="1">
      <c r="A1474" s="103">
        <v>1.2123092E7</v>
      </c>
      <c r="B1474" s="84">
        <v>9.000670113E9</v>
      </c>
      <c r="C1474" s="11">
        <v>46048.0</v>
      </c>
      <c r="D1474" s="84">
        <v>26.0</v>
      </c>
      <c r="E1474" s="84">
        <v>32117.0</v>
      </c>
      <c r="F1474" s="103" t="s">
        <v>31</v>
      </c>
      <c r="G1474" s="84" t="s">
        <v>74</v>
      </c>
      <c r="H1474" s="84" t="s">
        <v>2117</v>
      </c>
      <c r="I1474" s="84" t="s">
        <v>2248</v>
      </c>
      <c r="J1474" s="238" t="s">
        <v>2082</v>
      </c>
      <c r="K1474" s="238" t="s">
        <v>2119</v>
      </c>
      <c r="L1474" s="98" t="s">
        <v>2105</v>
      </c>
      <c r="M1474" s="232" t="s">
        <v>2220</v>
      </c>
      <c r="N1474" s="133">
        <v>5737.0</v>
      </c>
      <c r="O1474" s="73">
        <f t="shared" si="29"/>
        <v>0.7</v>
      </c>
      <c r="P1474" s="98">
        <v>4015.9</v>
      </c>
      <c r="Q1474" s="12"/>
      <c r="R1474" s="84">
        <v>1771936.0</v>
      </c>
      <c r="S1474" s="84" t="s">
        <v>40</v>
      </c>
      <c r="T1474" s="90">
        <v>8155932.0</v>
      </c>
      <c r="U1474" s="214">
        <v>46048.333333333336</v>
      </c>
      <c r="V1474" s="214">
        <v>46048.4375</v>
      </c>
      <c r="W1474" s="12"/>
      <c r="X1474" s="12"/>
      <c r="Y1474" s="214">
        <v>46048.743055555555</v>
      </c>
      <c r="Z1474" s="214">
        <v>46056.4375</v>
      </c>
      <c r="AA1474" s="12"/>
      <c r="AB1474" s="84" t="s">
        <v>2253</v>
      </c>
      <c r="AC1474" s="125" t="s">
        <v>2254</v>
      </c>
      <c r="AD1474" s="12"/>
      <c r="AE1474" s="12"/>
      <c r="AF1474" s="12"/>
      <c r="AG1474" s="22"/>
      <c r="AH1474" s="22"/>
      <c r="AI1474" s="22"/>
      <c r="AJ1474" s="22"/>
      <c r="AK1474" s="22"/>
      <c r="AL1474" s="22"/>
      <c r="AM1474" s="22"/>
      <c r="AN1474" s="22"/>
      <c r="AO1474" s="22"/>
      <c r="AP1474" s="22"/>
    </row>
    <row r="1475" ht="15.75" customHeight="1">
      <c r="A1475" s="103">
        <v>1.2125917E7</v>
      </c>
      <c r="B1475" s="84">
        <v>9.000672969E9</v>
      </c>
      <c r="C1475" s="11">
        <v>46048.0</v>
      </c>
      <c r="D1475" s="84">
        <v>26.0</v>
      </c>
      <c r="E1475" s="84">
        <v>32309.0</v>
      </c>
      <c r="F1475" s="219" t="s">
        <v>31</v>
      </c>
      <c r="G1475" s="208" t="s">
        <v>44</v>
      </c>
      <c r="H1475" s="169" t="s">
        <v>1317</v>
      </c>
      <c r="I1475" s="209" t="s">
        <v>2131</v>
      </c>
      <c r="J1475" s="169" t="s">
        <v>35</v>
      </c>
      <c r="K1475" s="169" t="s">
        <v>138</v>
      </c>
      <c r="L1475" s="209" t="s">
        <v>94</v>
      </c>
      <c r="M1475" s="176" t="s">
        <v>1860</v>
      </c>
      <c r="N1475" s="196">
        <v>5760.0</v>
      </c>
      <c r="O1475" s="73">
        <f t="shared" si="29"/>
        <v>0.7378472222</v>
      </c>
      <c r="P1475" s="98">
        <v>4250.0</v>
      </c>
      <c r="Q1475" s="12"/>
      <c r="R1475" s="84">
        <v>1772142.0</v>
      </c>
      <c r="S1475" s="84" t="s">
        <v>40</v>
      </c>
      <c r="T1475" s="90">
        <v>8159030.0</v>
      </c>
      <c r="U1475" s="214">
        <v>46048.5625</v>
      </c>
      <c r="V1475" s="214">
        <v>46048.875</v>
      </c>
      <c r="W1475" s="12"/>
      <c r="X1475" s="12"/>
      <c r="Y1475" s="214">
        <v>46050.375</v>
      </c>
      <c r="Z1475" s="214">
        <v>46050.489583333336</v>
      </c>
      <c r="AA1475" s="12"/>
      <c r="AB1475" s="12"/>
      <c r="AC1475" s="12"/>
      <c r="AD1475" s="12"/>
      <c r="AE1475" s="207" t="s">
        <v>39</v>
      </c>
      <c r="AF1475" s="207" t="s">
        <v>39</v>
      </c>
      <c r="AG1475" s="22"/>
      <c r="AH1475" s="22"/>
      <c r="AI1475" s="22"/>
      <c r="AJ1475" s="22"/>
      <c r="AK1475" s="22"/>
      <c r="AL1475" s="22"/>
      <c r="AM1475" s="22"/>
      <c r="AN1475" s="22"/>
      <c r="AO1475" s="22"/>
      <c r="AP1475" s="22"/>
    </row>
    <row r="1476" ht="15.75" customHeight="1">
      <c r="A1476" s="103">
        <v>1.2130073E7</v>
      </c>
      <c r="B1476" s="84">
        <v>9.000679484E9</v>
      </c>
      <c r="C1476" s="11">
        <v>46049.0</v>
      </c>
      <c r="D1476" s="84">
        <v>26.0</v>
      </c>
      <c r="E1476" s="84">
        <v>25692.0</v>
      </c>
      <c r="F1476" s="103" t="s">
        <v>43</v>
      </c>
      <c r="G1476" s="84" t="s">
        <v>32</v>
      </c>
      <c r="H1476" s="12" t="s">
        <v>265</v>
      </c>
      <c r="I1476" s="39" t="s">
        <v>266</v>
      </c>
      <c r="J1476" s="25" t="s">
        <v>35</v>
      </c>
      <c r="K1476" s="25" t="s">
        <v>267</v>
      </c>
      <c r="L1476" s="95" t="s">
        <v>114</v>
      </c>
      <c r="M1476" s="84" t="s">
        <v>1936</v>
      </c>
      <c r="N1476" s="133">
        <v>4997.0</v>
      </c>
      <c r="O1476" s="73">
        <f t="shared" si="29"/>
        <v>0.8505103062</v>
      </c>
      <c r="P1476" s="98">
        <v>4250.0</v>
      </c>
      <c r="Q1476" s="12"/>
      <c r="R1476" s="84">
        <v>1772717.0</v>
      </c>
      <c r="S1476" s="84" t="s">
        <v>40</v>
      </c>
      <c r="T1476" s="90">
        <v>8166428.0</v>
      </c>
      <c r="U1476" s="214">
        <v>46049.5</v>
      </c>
      <c r="V1476" s="214">
        <v>46049.930555555555</v>
      </c>
      <c r="W1476" s="12"/>
      <c r="X1476" s="12"/>
      <c r="Y1476" s="214">
        <v>46051.413194444445</v>
      </c>
      <c r="Z1476" s="214">
        <v>46052.5</v>
      </c>
      <c r="AA1476" s="12"/>
      <c r="AB1476" s="12"/>
      <c r="AC1476" s="12"/>
      <c r="AD1476" s="12"/>
      <c r="AE1476" s="207" t="s">
        <v>39</v>
      </c>
      <c r="AF1476" s="207" t="s">
        <v>39</v>
      </c>
      <c r="AG1476" s="22"/>
      <c r="AH1476" s="22"/>
      <c r="AI1476" s="22"/>
      <c r="AJ1476" s="22"/>
      <c r="AK1476" s="22"/>
      <c r="AL1476" s="22"/>
      <c r="AM1476" s="22"/>
      <c r="AN1476" s="22"/>
      <c r="AO1476" s="22"/>
      <c r="AP1476" s="22"/>
    </row>
    <row r="1477" ht="15.75" customHeight="1">
      <c r="A1477" s="103">
        <v>1.2130074E7</v>
      </c>
      <c r="B1477" s="84">
        <v>9.000679467E9</v>
      </c>
      <c r="C1477" s="11">
        <v>46049.0</v>
      </c>
      <c r="D1477" s="84">
        <v>6.0</v>
      </c>
      <c r="E1477" s="84">
        <v>6378.0</v>
      </c>
      <c r="F1477" s="103" t="s">
        <v>43</v>
      </c>
      <c r="G1477" s="84" t="s">
        <v>32</v>
      </c>
      <c r="H1477" s="84" t="s">
        <v>2255</v>
      </c>
      <c r="I1477" s="194" t="s">
        <v>1957</v>
      </c>
      <c r="J1477" s="25" t="s">
        <v>267</v>
      </c>
      <c r="K1477" s="25" t="s">
        <v>35</v>
      </c>
      <c r="L1477" s="95" t="s">
        <v>114</v>
      </c>
      <c r="M1477" s="84" t="s">
        <v>1936</v>
      </c>
      <c r="N1477" s="133">
        <v>4997.0</v>
      </c>
      <c r="O1477" s="73">
        <f t="shared" si="29"/>
        <v>0.5503301981</v>
      </c>
      <c r="P1477" s="98">
        <v>2750.0</v>
      </c>
      <c r="Q1477" s="12"/>
      <c r="R1477" s="84">
        <v>1774733.0</v>
      </c>
      <c r="S1477" s="84" t="s">
        <v>40</v>
      </c>
      <c r="T1477" s="90">
        <v>8192308.0</v>
      </c>
      <c r="U1477" s="214">
        <v>46052.5</v>
      </c>
      <c r="V1477" s="214">
        <v>46052.5</v>
      </c>
      <c r="W1477" s="12"/>
      <c r="X1477" s="12"/>
      <c r="Y1477" s="214">
        <v>46055.444444444445</v>
      </c>
      <c r="Z1477" s="214">
        <v>46056.354166666664</v>
      </c>
      <c r="AA1477" s="12"/>
      <c r="AB1477" s="12"/>
      <c r="AC1477" s="12"/>
      <c r="AD1477" s="12"/>
      <c r="AE1477" s="207" t="s">
        <v>39</v>
      </c>
      <c r="AF1477" s="12"/>
      <c r="AG1477" s="22"/>
      <c r="AH1477" s="22"/>
      <c r="AI1477" s="22"/>
      <c r="AJ1477" s="22"/>
      <c r="AK1477" s="22"/>
      <c r="AL1477" s="22"/>
      <c r="AM1477" s="22"/>
      <c r="AN1477" s="22"/>
      <c r="AO1477" s="22"/>
      <c r="AP1477" s="22"/>
    </row>
    <row r="1478" ht="15.75" customHeight="1">
      <c r="A1478" s="103">
        <v>1.2130177E7</v>
      </c>
      <c r="B1478" s="84">
        <v>9.000679412E9</v>
      </c>
      <c r="C1478" s="11">
        <v>46049.0</v>
      </c>
      <c r="D1478" s="84">
        <v>26.0</v>
      </c>
      <c r="E1478" s="84">
        <v>30663.0</v>
      </c>
      <c r="F1478" s="219" t="s">
        <v>31</v>
      </c>
      <c r="G1478" s="84" t="s">
        <v>32</v>
      </c>
      <c r="H1478" s="84" t="s">
        <v>2256</v>
      </c>
      <c r="I1478" s="163" t="s">
        <v>2257</v>
      </c>
      <c r="J1478" s="84" t="s">
        <v>35</v>
      </c>
      <c r="K1478" s="84" t="s">
        <v>270</v>
      </c>
      <c r="L1478" s="95" t="s">
        <v>94</v>
      </c>
      <c r="M1478" s="84" t="s">
        <v>2152</v>
      </c>
      <c r="N1478" s="133">
        <v>6410.0</v>
      </c>
      <c r="O1478" s="73">
        <f t="shared" si="29"/>
        <v>0.6630265211</v>
      </c>
      <c r="P1478" s="98">
        <v>4250.0</v>
      </c>
      <c r="Q1478" s="84" t="s">
        <v>39</v>
      </c>
      <c r="R1478" s="84">
        <v>1772724.0</v>
      </c>
      <c r="S1478" s="84" t="s">
        <v>40</v>
      </c>
      <c r="T1478" s="90">
        <v>8166482.0</v>
      </c>
      <c r="U1478" s="214">
        <v>46049.583333333336</v>
      </c>
      <c r="V1478" s="214">
        <v>46050.333333333336</v>
      </c>
      <c r="W1478" s="12"/>
      <c r="X1478" s="241">
        <v>46051.583333333336</v>
      </c>
      <c r="Y1478" s="214">
        <v>46051.48611111111</v>
      </c>
      <c r="Z1478" s="214">
        <v>46052.75</v>
      </c>
      <c r="AA1478" s="12"/>
      <c r="AB1478" s="84" t="s">
        <v>2258</v>
      </c>
      <c r="AC1478" s="125" t="s">
        <v>2259</v>
      </c>
      <c r="AD1478" s="12"/>
      <c r="AE1478" s="207" t="s">
        <v>39</v>
      </c>
      <c r="AF1478" s="12"/>
      <c r="AG1478" s="22"/>
      <c r="AH1478" s="22"/>
      <c r="AI1478" s="22"/>
      <c r="AJ1478" s="22"/>
      <c r="AK1478" s="22"/>
      <c r="AL1478" s="22"/>
      <c r="AM1478" s="22"/>
      <c r="AN1478" s="22"/>
      <c r="AO1478" s="22"/>
      <c r="AP1478" s="22"/>
    </row>
    <row r="1479" ht="15.75" customHeight="1">
      <c r="A1479" s="103">
        <v>1.2123091E7</v>
      </c>
      <c r="B1479" s="84">
        <v>9.000670103E9</v>
      </c>
      <c r="C1479" s="11">
        <v>46049.0</v>
      </c>
      <c r="D1479" s="84">
        <v>26.0</v>
      </c>
      <c r="E1479" s="84">
        <v>32117.0</v>
      </c>
      <c r="F1479" s="103" t="s">
        <v>31</v>
      </c>
      <c r="G1479" s="84" t="s">
        <v>74</v>
      </c>
      <c r="H1479" s="84" t="s">
        <v>2117</v>
      </c>
      <c r="I1479" s="84" t="s">
        <v>2248</v>
      </c>
      <c r="J1479" s="238" t="s">
        <v>2082</v>
      </c>
      <c r="K1479" s="238" t="s">
        <v>2119</v>
      </c>
      <c r="L1479" s="98" t="s">
        <v>2105</v>
      </c>
      <c r="M1479" s="84" t="s">
        <v>2190</v>
      </c>
      <c r="N1479" s="133">
        <v>5737.0</v>
      </c>
      <c r="O1479" s="73">
        <f t="shared" si="29"/>
        <v>0.752640753</v>
      </c>
      <c r="P1479" s="98">
        <v>4317.9</v>
      </c>
      <c r="Q1479" s="84" t="s">
        <v>39</v>
      </c>
      <c r="R1479" s="84">
        <v>1772601.0</v>
      </c>
      <c r="S1479" s="84" t="s">
        <v>40</v>
      </c>
      <c r="T1479" s="90">
        <v>8165294.0</v>
      </c>
      <c r="U1479" s="214">
        <v>46049.270833333336</v>
      </c>
      <c r="V1479" s="214">
        <v>46049.458333333336</v>
      </c>
      <c r="W1479" s="12"/>
      <c r="X1479" s="12"/>
      <c r="Y1479" s="214">
        <v>46049.788194444445</v>
      </c>
      <c r="Z1479" s="214">
        <v>46050.625</v>
      </c>
      <c r="AA1479" s="12"/>
      <c r="AB1479" s="84" t="s">
        <v>2260</v>
      </c>
      <c r="AC1479" s="125" t="s">
        <v>2259</v>
      </c>
      <c r="AD1479" s="12"/>
      <c r="AE1479" s="207" t="s">
        <v>39</v>
      </c>
      <c r="AF1479" s="12"/>
      <c r="AG1479" s="22"/>
      <c r="AH1479" s="22"/>
      <c r="AI1479" s="22"/>
      <c r="AJ1479" s="22"/>
      <c r="AK1479" s="22"/>
      <c r="AL1479" s="22"/>
      <c r="AM1479" s="22"/>
      <c r="AN1479" s="22"/>
      <c r="AO1479" s="22"/>
      <c r="AP1479" s="22"/>
    </row>
    <row r="1480" ht="15.75" customHeight="1">
      <c r="A1480" s="103">
        <v>1.2123089E7</v>
      </c>
      <c r="B1480" s="84">
        <v>9.000670087E9</v>
      </c>
      <c r="C1480" s="11">
        <v>46049.0</v>
      </c>
      <c r="D1480" s="84">
        <v>26.0</v>
      </c>
      <c r="E1480" s="84">
        <v>32117.0</v>
      </c>
      <c r="F1480" s="103" t="s">
        <v>31</v>
      </c>
      <c r="G1480" s="84" t="s">
        <v>74</v>
      </c>
      <c r="H1480" s="84" t="s">
        <v>2117</v>
      </c>
      <c r="I1480" s="84" t="s">
        <v>2248</v>
      </c>
      <c r="J1480" s="238" t="s">
        <v>2082</v>
      </c>
      <c r="K1480" s="238" t="s">
        <v>2119</v>
      </c>
      <c r="L1480" s="98" t="s">
        <v>2105</v>
      </c>
      <c r="M1480" s="84" t="s">
        <v>2229</v>
      </c>
      <c r="N1480" s="133">
        <v>5737.0</v>
      </c>
      <c r="O1480" s="73">
        <f t="shared" si="29"/>
        <v>0.7</v>
      </c>
      <c r="P1480" s="98">
        <v>4015.9</v>
      </c>
      <c r="Q1480" s="84" t="s">
        <v>39</v>
      </c>
      <c r="R1480" s="84">
        <v>1772609.0</v>
      </c>
      <c r="S1480" s="84" t="s">
        <v>40</v>
      </c>
      <c r="T1480" s="90">
        <v>8165313.0</v>
      </c>
      <c r="U1480" s="214">
        <v>46049.270833333336</v>
      </c>
      <c r="V1480" s="225">
        <v>46353.46875</v>
      </c>
      <c r="W1480" s="12"/>
      <c r="X1480" s="12"/>
      <c r="Y1480" s="214">
        <v>46049.788194444445</v>
      </c>
      <c r="Z1480" s="214">
        <v>46050.63888888889</v>
      </c>
      <c r="AA1480" s="12"/>
      <c r="AB1480" s="84" t="s">
        <v>2261</v>
      </c>
      <c r="AC1480" s="125" t="s">
        <v>2254</v>
      </c>
      <c r="AD1480" s="12"/>
      <c r="AE1480" s="207" t="s">
        <v>39</v>
      </c>
      <c r="AF1480" s="207" t="s">
        <v>39</v>
      </c>
      <c r="AG1480" s="22"/>
      <c r="AH1480" s="22"/>
      <c r="AI1480" s="22"/>
      <c r="AJ1480" s="22"/>
      <c r="AK1480" s="22"/>
      <c r="AL1480" s="22"/>
      <c r="AM1480" s="22"/>
      <c r="AN1480" s="22"/>
      <c r="AO1480" s="22"/>
      <c r="AP1480" s="22"/>
    </row>
    <row r="1481" ht="15.75" customHeight="1">
      <c r="A1481" s="103">
        <v>1.212309E7</v>
      </c>
      <c r="B1481" s="84">
        <v>9.000670105E9</v>
      </c>
      <c r="C1481" s="11">
        <v>46049.0</v>
      </c>
      <c r="D1481" s="84">
        <v>26.0</v>
      </c>
      <c r="E1481" s="84">
        <v>32117.0</v>
      </c>
      <c r="F1481" s="103" t="s">
        <v>31</v>
      </c>
      <c r="G1481" s="84" t="s">
        <v>74</v>
      </c>
      <c r="H1481" s="84" t="s">
        <v>2117</v>
      </c>
      <c r="I1481" s="84" t="s">
        <v>2248</v>
      </c>
      <c r="J1481" s="238" t="s">
        <v>2082</v>
      </c>
      <c r="K1481" s="238" t="s">
        <v>2119</v>
      </c>
      <c r="L1481" s="98" t="s">
        <v>2105</v>
      </c>
      <c r="M1481" s="216" t="s">
        <v>2232</v>
      </c>
      <c r="N1481" s="133">
        <v>5737.0</v>
      </c>
      <c r="O1481" s="73">
        <f t="shared" si="29"/>
        <v>0.7</v>
      </c>
      <c r="P1481" s="98">
        <v>4015.9</v>
      </c>
      <c r="Q1481" s="84" t="s">
        <v>39</v>
      </c>
      <c r="R1481" s="84">
        <v>1772804.0</v>
      </c>
      <c r="S1481" s="84" t="s">
        <v>40</v>
      </c>
      <c r="T1481" s="90">
        <v>8167633.0</v>
      </c>
      <c r="U1481" s="214">
        <v>46049.59722222222</v>
      </c>
      <c r="V1481" s="214">
        <v>46049.9375</v>
      </c>
      <c r="W1481" s="12"/>
      <c r="X1481" s="12"/>
      <c r="Y1481" s="214">
        <v>46050.614583333336</v>
      </c>
      <c r="Z1481" s="214">
        <v>46051.788194444445</v>
      </c>
      <c r="AA1481" s="12"/>
      <c r="AB1481" s="84" t="s">
        <v>2262</v>
      </c>
      <c r="AC1481" s="84" t="s">
        <v>2263</v>
      </c>
      <c r="AD1481" s="12"/>
      <c r="AE1481" s="207" t="s">
        <v>39</v>
      </c>
      <c r="AF1481" s="207" t="s">
        <v>39</v>
      </c>
      <c r="AG1481" s="22"/>
      <c r="AH1481" s="22"/>
      <c r="AI1481" s="22"/>
      <c r="AJ1481" s="22"/>
      <c r="AK1481" s="22"/>
      <c r="AL1481" s="22"/>
      <c r="AM1481" s="22"/>
      <c r="AN1481" s="22"/>
      <c r="AO1481" s="22"/>
      <c r="AP1481" s="22"/>
    </row>
    <row r="1482" ht="15.75" customHeight="1">
      <c r="A1482" s="103">
        <v>1.2149638E7</v>
      </c>
      <c r="B1482" s="84">
        <v>9.0007007E9</v>
      </c>
      <c r="C1482" s="11">
        <v>46052.0</v>
      </c>
      <c r="D1482" s="84">
        <v>13.0</v>
      </c>
      <c r="E1482" s="84">
        <v>16088.0</v>
      </c>
      <c r="F1482" s="103" t="s">
        <v>31</v>
      </c>
      <c r="G1482" s="84" t="s">
        <v>74</v>
      </c>
      <c r="H1482" s="84" t="s">
        <v>2264</v>
      </c>
      <c r="I1482" s="84" t="s">
        <v>2212</v>
      </c>
      <c r="J1482" s="238" t="s">
        <v>2119</v>
      </c>
      <c r="K1482" s="238" t="s">
        <v>2082</v>
      </c>
      <c r="L1482" s="98" t="s">
        <v>2105</v>
      </c>
      <c r="M1482" s="84" t="s">
        <v>2232</v>
      </c>
      <c r="N1482" s="133">
        <v>4590.0</v>
      </c>
      <c r="O1482" s="73">
        <f t="shared" si="29"/>
        <v>0.6823529412</v>
      </c>
      <c r="P1482" s="98">
        <v>3132.0</v>
      </c>
      <c r="Q1482" s="84"/>
      <c r="R1482" s="84">
        <v>1774214.0</v>
      </c>
      <c r="S1482" s="84" t="s">
        <v>40</v>
      </c>
      <c r="T1482" s="90">
        <v>8185515.0</v>
      </c>
      <c r="U1482" s="214">
        <v>46051.788194444445</v>
      </c>
      <c r="V1482" s="214">
        <v>46051.788194444445</v>
      </c>
      <c r="W1482" s="12"/>
      <c r="X1482" s="12"/>
      <c r="Y1482" s="214">
        <v>46055.260416666664</v>
      </c>
      <c r="Z1482" s="214">
        <v>46056.875</v>
      </c>
      <c r="AA1482" s="12"/>
      <c r="AB1482" s="12"/>
      <c r="AC1482" s="12"/>
      <c r="AD1482" s="12"/>
      <c r="AE1482" s="207" t="s">
        <v>39</v>
      </c>
      <c r="AF1482" s="207"/>
      <c r="AG1482" s="22"/>
      <c r="AH1482" s="22"/>
      <c r="AI1482" s="22"/>
      <c r="AJ1482" s="22"/>
      <c r="AK1482" s="22"/>
      <c r="AL1482" s="22"/>
      <c r="AM1482" s="22"/>
      <c r="AN1482" s="22"/>
      <c r="AO1482" s="22"/>
      <c r="AP1482" s="22"/>
    </row>
    <row r="1483" ht="15.75" customHeight="1">
      <c r="A1483" s="103">
        <v>1.2129173E7</v>
      </c>
      <c r="B1483" s="84">
        <v>9.000675225E9</v>
      </c>
      <c r="C1483" s="11">
        <v>46049.0</v>
      </c>
      <c r="D1483" s="84">
        <v>26.0</v>
      </c>
      <c r="E1483" s="84">
        <v>31625.0</v>
      </c>
      <c r="F1483" s="103" t="s">
        <v>31</v>
      </c>
      <c r="G1483" s="84" t="s">
        <v>32</v>
      </c>
      <c r="H1483" s="84" t="s">
        <v>2243</v>
      </c>
      <c r="I1483" s="84" t="s">
        <v>2244</v>
      </c>
      <c r="J1483" s="238" t="s">
        <v>2082</v>
      </c>
      <c r="K1483" s="238" t="s">
        <v>2245</v>
      </c>
      <c r="L1483" s="98" t="s">
        <v>2105</v>
      </c>
      <c r="M1483" s="84" t="s">
        <v>2186</v>
      </c>
      <c r="N1483" s="133">
        <v>3259.0</v>
      </c>
      <c r="O1483" s="73">
        <f t="shared" si="29"/>
        <v>0.7</v>
      </c>
      <c r="P1483" s="98">
        <v>2281.3</v>
      </c>
      <c r="Q1483" s="84" t="s">
        <v>39</v>
      </c>
      <c r="R1483" s="84">
        <v>1772808.0</v>
      </c>
      <c r="S1483" s="84" t="s">
        <v>40</v>
      </c>
      <c r="T1483" s="90">
        <v>8167653.0</v>
      </c>
      <c r="U1483" s="214">
        <v>46049.416666666664</v>
      </c>
      <c r="V1483" s="214">
        <v>46050.25</v>
      </c>
      <c r="W1483" s="12"/>
      <c r="X1483" s="12"/>
      <c r="Y1483" s="214">
        <v>46050.381944444445</v>
      </c>
      <c r="Z1483" s="214">
        <v>46050.59722222222</v>
      </c>
      <c r="AA1483" s="12"/>
      <c r="AB1483" s="12"/>
      <c r="AC1483" s="12"/>
      <c r="AD1483" s="12"/>
      <c r="AE1483" s="207" t="s">
        <v>39</v>
      </c>
      <c r="AF1483" s="207" t="s">
        <v>39</v>
      </c>
      <c r="AG1483" s="22"/>
      <c r="AH1483" s="22"/>
      <c r="AI1483" s="22"/>
      <c r="AJ1483" s="22"/>
      <c r="AK1483" s="22"/>
      <c r="AL1483" s="22"/>
      <c r="AM1483" s="22"/>
      <c r="AN1483" s="22"/>
      <c r="AO1483" s="22"/>
      <c r="AP1483" s="22"/>
    </row>
    <row r="1484" ht="15.75" customHeight="1">
      <c r="A1484" s="103">
        <v>1.2129171E7</v>
      </c>
      <c r="B1484" s="84">
        <v>9.000675175E9</v>
      </c>
      <c r="C1484" s="11">
        <v>46050.0</v>
      </c>
      <c r="D1484" s="84">
        <v>26.0</v>
      </c>
      <c r="E1484" s="84">
        <v>31625.0</v>
      </c>
      <c r="F1484" s="103" t="s">
        <v>31</v>
      </c>
      <c r="G1484" s="84" t="s">
        <v>32</v>
      </c>
      <c r="H1484" s="84" t="s">
        <v>2243</v>
      </c>
      <c r="I1484" s="84" t="s">
        <v>2244</v>
      </c>
      <c r="J1484" s="238" t="s">
        <v>2082</v>
      </c>
      <c r="K1484" s="238" t="s">
        <v>2245</v>
      </c>
      <c r="L1484" s="98" t="s">
        <v>2105</v>
      </c>
      <c r="M1484" s="84" t="s">
        <v>2208</v>
      </c>
      <c r="N1484" s="133">
        <v>3259.0</v>
      </c>
      <c r="O1484" s="73">
        <f t="shared" si="29"/>
        <v>0.7</v>
      </c>
      <c r="P1484" s="98">
        <v>2281.3</v>
      </c>
      <c r="Q1484" s="12"/>
      <c r="R1484" s="84">
        <v>1773194.0</v>
      </c>
      <c r="S1484" s="84" t="s">
        <v>40</v>
      </c>
      <c r="T1484" s="90">
        <v>8172719.0</v>
      </c>
      <c r="U1484" s="214">
        <v>46050.291666666664</v>
      </c>
      <c r="V1484" s="214">
        <v>46050.458333333336</v>
      </c>
      <c r="W1484" s="12"/>
      <c r="X1484" s="12"/>
      <c r="Y1484" s="214">
        <v>46050.75</v>
      </c>
      <c r="Z1484" s="214">
        <v>46051.40277777778</v>
      </c>
      <c r="AA1484" s="12"/>
      <c r="AB1484" s="12"/>
      <c r="AC1484" s="12"/>
      <c r="AD1484" s="12"/>
      <c r="AE1484" s="239"/>
      <c r="AF1484" s="239"/>
      <c r="AG1484" s="22"/>
      <c r="AH1484" s="22"/>
      <c r="AI1484" s="22"/>
      <c r="AJ1484" s="22"/>
      <c r="AK1484" s="22"/>
      <c r="AL1484" s="22"/>
      <c r="AM1484" s="22"/>
      <c r="AN1484" s="22"/>
      <c r="AO1484" s="22"/>
      <c r="AP1484" s="22"/>
    </row>
    <row r="1485" ht="15.75" customHeight="1">
      <c r="A1485" s="103">
        <v>1.212884E7</v>
      </c>
      <c r="B1485" s="84">
        <v>9.000677167E9</v>
      </c>
      <c r="C1485" s="11">
        <v>46050.0</v>
      </c>
      <c r="D1485" s="84">
        <v>26.0</v>
      </c>
      <c r="E1485" s="84">
        <v>31625.0</v>
      </c>
      <c r="F1485" s="103" t="s">
        <v>43</v>
      </c>
      <c r="G1485" s="84" t="s">
        <v>32</v>
      </c>
      <c r="H1485" s="84" t="s">
        <v>2243</v>
      </c>
      <c r="I1485" s="84" t="s">
        <v>2244</v>
      </c>
      <c r="J1485" s="238" t="s">
        <v>2082</v>
      </c>
      <c r="K1485" s="238" t="s">
        <v>2245</v>
      </c>
      <c r="L1485" s="98" t="s">
        <v>2105</v>
      </c>
      <c r="M1485" s="84" t="s">
        <v>2200</v>
      </c>
      <c r="N1485" s="133">
        <v>3259.0</v>
      </c>
      <c r="O1485" s="73">
        <f t="shared" si="29"/>
        <v>0.7</v>
      </c>
      <c r="P1485" s="98">
        <v>2281.3</v>
      </c>
      <c r="Q1485" s="12"/>
      <c r="R1485" s="84">
        <v>1773449.0</v>
      </c>
      <c r="S1485" s="84" t="s">
        <v>40</v>
      </c>
      <c r="T1485" s="90">
        <v>8175708.0</v>
      </c>
      <c r="U1485" s="214">
        <v>46050.4375</v>
      </c>
      <c r="V1485" s="214">
        <v>46051.23055555556</v>
      </c>
      <c r="W1485" s="12"/>
      <c r="X1485" s="12"/>
      <c r="Y1485" s="214">
        <v>46051.35208333333</v>
      </c>
      <c r="Z1485" s="214">
        <v>46051.475694444445</v>
      </c>
      <c r="AA1485" s="12"/>
      <c r="AB1485" s="84">
        <v>378892.0</v>
      </c>
      <c r="AC1485" s="84" t="s">
        <v>2265</v>
      </c>
      <c r="AD1485" s="12"/>
      <c r="AE1485" s="207" t="s">
        <v>39</v>
      </c>
      <c r="AF1485" s="207" t="s">
        <v>39</v>
      </c>
      <c r="AG1485" s="22"/>
      <c r="AH1485" s="22"/>
      <c r="AI1485" s="22"/>
      <c r="AJ1485" s="22"/>
      <c r="AK1485" s="22"/>
      <c r="AL1485" s="22"/>
      <c r="AM1485" s="22"/>
      <c r="AN1485" s="22"/>
      <c r="AO1485" s="22"/>
      <c r="AP1485" s="22"/>
    </row>
    <row r="1486" ht="15.75" customHeight="1">
      <c r="A1486" s="103">
        <v>1.2149714E7</v>
      </c>
      <c r="B1486" s="84">
        <v>9.000700749E9</v>
      </c>
      <c r="C1486" s="11">
        <v>46052.0</v>
      </c>
      <c r="D1486" s="84"/>
      <c r="E1486" s="84">
        <v>14430.0</v>
      </c>
      <c r="F1486" s="103" t="s">
        <v>43</v>
      </c>
      <c r="G1486" s="84" t="s">
        <v>32</v>
      </c>
      <c r="H1486" s="84" t="s">
        <v>2266</v>
      </c>
      <c r="I1486" s="84" t="s">
        <v>2212</v>
      </c>
      <c r="J1486" s="238" t="s">
        <v>2245</v>
      </c>
      <c r="K1486" s="238" t="s">
        <v>2082</v>
      </c>
      <c r="L1486" s="98" t="s">
        <v>2105</v>
      </c>
      <c r="M1486" s="84" t="s">
        <v>2200</v>
      </c>
      <c r="N1486" s="133">
        <v>2607.0</v>
      </c>
      <c r="O1486" s="73">
        <f t="shared" si="29"/>
        <v>0.6904487917</v>
      </c>
      <c r="P1486" s="98">
        <v>1800.0</v>
      </c>
      <c r="Q1486" s="12"/>
      <c r="R1486" s="84">
        <v>1774446.0</v>
      </c>
      <c r="S1486" s="84" t="s">
        <v>40</v>
      </c>
      <c r="T1486" s="90">
        <v>8188402.0</v>
      </c>
      <c r="U1486" s="214">
        <v>46051.475694444445</v>
      </c>
      <c r="V1486" s="214">
        <v>46051.475694444445</v>
      </c>
      <c r="W1486" s="12"/>
      <c r="X1486" s="12"/>
      <c r="Y1486" s="214">
        <v>46051.78125</v>
      </c>
      <c r="Z1486" s="214">
        <v>46052.70138888889</v>
      </c>
      <c r="AA1486" s="12"/>
      <c r="AB1486" s="84"/>
      <c r="AC1486" s="84"/>
      <c r="AD1486" s="12"/>
      <c r="AE1486" s="12"/>
      <c r="AF1486" s="12"/>
      <c r="AG1486" s="22"/>
      <c r="AH1486" s="22"/>
      <c r="AI1486" s="22"/>
      <c r="AJ1486" s="22"/>
      <c r="AK1486" s="22"/>
      <c r="AL1486" s="22"/>
      <c r="AM1486" s="22"/>
      <c r="AN1486" s="22"/>
      <c r="AO1486" s="22"/>
      <c r="AP1486" s="22"/>
    </row>
    <row r="1487" ht="15.75" customHeight="1">
      <c r="A1487" s="103">
        <v>1.2138247E7</v>
      </c>
      <c r="B1487" s="84">
        <v>9.00068874E9</v>
      </c>
      <c r="C1487" s="11">
        <v>46051.0</v>
      </c>
      <c r="D1487" s="84">
        <v>26.0</v>
      </c>
      <c r="E1487" s="84">
        <v>30527.0</v>
      </c>
      <c r="F1487" s="103" t="s">
        <v>31</v>
      </c>
      <c r="G1487" s="84" t="s">
        <v>74</v>
      </c>
      <c r="H1487" s="84" t="s">
        <v>2203</v>
      </c>
      <c r="I1487" s="84" t="s">
        <v>2204</v>
      </c>
      <c r="J1487" s="238" t="s">
        <v>2082</v>
      </c>
      <c r="K1487" s="238" t="s">
        <v>2119</v>
      </c>
      <c r="L1487" s="98" t="s">
        <v>2105</v>
      </c>
      <c r="M1487" s="84" t="s">
        <v>2229</v>
      </c>
      <c r="N1487" s="133">
        <v>5662.0</v>
      </c>
      <c r="O1487" s="73">
        <f t="shared" si="29"/>
        <v>0.7614623808</v>
      </c>
      <c r="P1487" s="98">
        <v>4311.4</v>
      </c>
      <c r="Q1487" s="84" t="s">
        <v>39</v>
      </c>
      <c r="R1487" s="84">
        <v>1773788.0</v>
      </c>
      <c r="S1487" s="84" t="s">
        <v>40</v>
      </c>
      <c r="T1487" s="90">
        <v>8180180.0</v>
      </c>
      <c r="U1487" s="214">
        <v>46051.282638888886</v>
      </c>
      <c r="V1487" s="214">
        <v>46051.42638888889</v>
      </c>
      <c r="W1487" s="12"/>
      <c r="X1487" s="241">
        <v>46052.291666666664</v>
      </c>
      <c r="Y1487" s="214">
        <v>46051.875</v>
      </c>
      <c r="Z1487" s="214">
        <v>46052.541666666664</v>
      </c>
      <c r="AA1487" s="12"/>
      <c r="AB1487" s="84">
        <v>387716.0</v>
      </c>
      <c r="AC1487" s="84" t="s">
        <v>1154</v>
      </c>
      <c r="AD1487" s="12"/>
      <c r="AE1487" s="207" t="s">
        <v>39</v>
      </c>
      <c r="AF1487" s="12"/>
      <c r="AG1487" s="22"/>
      <c r="AH1487" s="22"/>
      <c r="AI1487" s="22"/>
      <c r="AJ1487" s="22"/>
      <c r="AK1487" s="22"/>
      <c r="AL1487" s="22"/>
      <c r="AM1487" s="22"/>
      <c r="AN1487" s="22"/>
      <c r="AO1487" s="22"/>
      <c r="AP1487" s="22"/>
    </row>
    <row r="1488" ht="15.75" customHeight="1">
      <c r="A1488" s="103">
        <v>1.2128621E7</v>
      </c>
      <c r="B1488" s="84">
        <v>9.000677032E9</v>
      </c>
      <c r="C1488" s="11">
        <v>46051.0</v>
      </c>
      <c r="D1488" s="84">
        <v>26.0</v>
      </c>
      <c r="E1488" s="84">
        <v>30663.0</v>
      </c>
      <c r="F1488" s="103" t="s">
        <v>31</v>
      </c>
      <c r="G1488" s="84" t="s">
        <v>74</v>
      </c>
      <c r="H1488" s="84" t="s">
        <v>2267</v>
      </c>
      <c r="I1488" s="84" t="s">
        <v>2268</v>
      </c>
      <c r="J1488" s="238" t="s">
        <v>2082</v>
      </c>
      <c r="K1488" s="238" t="s">
        <v>2119</v>
      </c>
      <c r="L1488" s="98" t="s">
        <v>2105</v>
      </c>
      <c r="M1488" s="84" t="s">
        <v>2190</v>
      </c>
      <c r="N1488" s="133">
        <v>5662.0</v>
      </c>
      <c r="O1488" s="73">
        <f t="shared" si="29"/>
        <v>0.7</v>
      </c>
      <c r="P1488" s="98">
        <v>3963.4</v>
      </c>
      <c r="Q1488" s="84" t="s">
        <v>39</v>
      </c>
      <c r="R1488" s="84">
        <v>1773962.0</v>
      </c>
      <c r="S1488" s="84" t="s">
        <v>40</v>
      </c>
      <c r="T1488" s="90">
        <v>8182036.0</v>
      </c>
      <c r="U1488" s="214">
        <v>46051.29513888889</v>
      </c>
      <c r="V1488" s="214">
        <v>46051.46527777778</v>
      </c>
      <c r="W1488" s="12"/>
      <c r="X1488" s="241">
        <v>46052.291666666664</v>
      </c>
      <c r="Y1488" s="214">
        <v>46051.84722222222</v>
      </c>
      <c r="Z1488" s="214">
        <v>46056.30902777778</v>
      </c>
      <c r="AA1488" s="12"/>
      <c r="AB1488" s="84" t="s">
        <v>2269</v>
      </c>
      <c r="AC1488" s="84" t="s">
        <v>1888</v>
      </c>
      <c r="AD1488" s="12"/>
      <c r="AE1488" s="207" t="s">
        <v>39</v>
      </c>
      <c r="AF1488" s="12"/>
      <c r="AG1488" s="22"/>
      <c r="AH1488" s="22"/>
      <c r="AI1488" s="22"/>
      <c r="AJ1488" s="22"/>
      <c r="AK1488" s="22"/>
      <c r="AL1488" s="22"/>
      <c r="AM1488" s="22"/>
      <c r="AN1488" s="22"/>
      <c r="AO1488" s="22"/>
      <c r="AP1488" s="22"/>
    </row>
    <row r="1489" ht="15.75" customHeight="1">
      <c r="A1489" s="103">
        <v>1.2128619E7</v>
      </c>
      <c r="B1489" s="84">
        <v>9.000677089E9</v>
      </c>
      <c r="C1489" s="11">
        <v>46051.0</v>
      </c>
      <c r="D1489" s="84">
        <v>26.0</v>
      </c>
      <c r="E1489" s="84">
        <v>30663.0</v>
      </c>
      <c r="F1489" s="103" t="s">
        <v>31</v>
      </c>
      <c r="G1489" s="84" t="s">
        <v>74</v>
      </c>
      <c r="H1489" s="84" t="s">
        <v>2267</v>
      </c>
      <c r="I1489" s="84" t="s">
        <v>2268</v>
      </c>
      <c r="J1489" s="238" t="s">
        <v>2082</v>
      </c>
      <c r="K1489" s="238" t="s">
        <v>2119</v>
      </c>
      <c r="L1489" s="98" t="s">
        <v>2105</v>
      </c>
      <c r="M1489" s="216" t="s">
        <v>2200</v>
      </c>
      <c r="N1489" s="133">
        <v>5662.0</v>
      </c>
      <c r="O1489" s="73">
        <f t="shared" si="29"/>
        <v>0.7091133875</v>
      </c>
      <c r="P1489" s="98">
        <v>4015.0</v>
      </c>
      <c r="Q1489" s="84" t="s">
        <v>39</v>
      </c>
      <c r="R1489" s="84">
        <v>1774660.0</v>
      </c>
      <c r="S1489" s="84" t="s">
        <v>40</v>
      </c>
      <c r="T1489" s="90">
        <v>8191150.0</v>
      </c>
      <c r="U1489" s="214">
        <v>46052.70138888889</v>
      </c>
      <c r="V1489" s="214">
        <v>46052.70138888889</v>
      </c>
      <c r="W1489" s="12"/>
      <c r="X1489" s="241">
        <v>46052.291666666664</v>
      </c>
      <c r="Y1489" s="214">
        <v>46055.52777777778</v>
      </c>
      <c r="Z1489" s="214">
        <v>46056.3125</v>
      </c>
      <c r="AA1489" s="12"/>
      <c r="AB1489" s="84" t="s">
        <v>2270</v>
      </c>
      <c r="AC1489" s="84" t="s">
        <v>1888</v>
      </c>
      <c r="AD1489" s="12"/>
      <c r="AE1489" s="207" t="s">
        <v>39</v>
      </c>
      <c r="AF1489" s="207" t="s">
        <v>39</v>
      </c>
      <c r="AG1489" s="22"/>
      <c r="AH1489" s="22"/>
      <c r="AI1489" s="22"/>
      <c r="AJ1489" s="22"/>
      <c r="AK1489" s="22"/>
      <c r="AL1489" s="22"/>
      <c r="AM1489" s="22"/>
      <c r="AN1489" s="22"/>
      <c r="AO1489" s="22"/>
      <c r="AP1489" s="22"/>
    </row>
    <row r="1490" ht="15.75" customHeight="1">
      <c r="A1490" s="103">
        <v>1.212862E7</v>
      </c>
      <c r="B1490" s="84">
        <v>9.000677049E9</v>
      </c>
      <c r="C1490" s="11">
        <v>46051.0</v>
      </c>
      <c r="D1490" s="84">
        <v>26.0</v>
      </c>
      <c r="E1490" s="84">
        <v>30663.0</v>
      </c>
      <c r="F1490" s="103" t="s">
        <v>31</v>
      </c>
      <c r="G1490" s="84" t="s">
        <v>74</v>
      </c>
      <c r="H1490" s="84" t="s">
        <v>2267</v>
      </c>
      <c r="I1490" s="84" t="s">
        <v>2268</v>
      </c>
      <c r="J1490" s="238" t="s">
        <v>2082</v>
      </c>
      <c r="K1490" s="238" t="s">
        <v>2119</v>
      </c>
      <c r="L1490" s="98" t="s">
        <v>2105</v>
      </c>
      <c r="M1490" s="84" t="s">
        <v>2208</v>
      </c>
      <c r="N1490" s="133">
        <v>5662.0</v>
      </c>
      <c r="O1490" s="73">
        <f t="shared" si="29"/>
        <v>0.7091133875</v>
      </c>
      <c r="P1490" s="98">
        <v>4015.0</v>
      </c>
      <c r="Q1490" s="84" t="s">
        <v>39</v>
      </c>
      <c r="R1490" s="84">
        <v>1774150.0</v>
      </c>
      <c r="S1490" s="84" t="s">
        <v>40</v>
      </c>
      <c r="T1490" s="90">
        <v>8185046.0</v>
      </c>
      <c r="U1490" s="214">
        <v>46051.555555555555</v>
      </c>
      <c r="V1490" s="214">
        <v>46051.84027777778</v>
      </c>
      <c r="W1490" s="12"/>
      <c r="X1490" s="241">
        <v>46052.291666666664</v>
      </c>
      <c r="Y1490" s="214">
        <v>46052.5625</v>
      </c>
      <c r="Z1490" s="214">
        <v>46052.979166666664</v>
      </c>
      <c r="AA1490" s="12"/>
      <c r="AB1490" s="84">
        <v>389010.0</v>
      </c>
      <c r="AC1490" s="84" t="s">
        <v>1154</v>
      </c>
      <c r="AD1490" s="12"/>
      <c r="AE1490" s="207" t="s">
        <v>39</v>
      </c>
      <c r="AF1490" s="12"/>
      <c r="AG1490" s="22"/>
      <c r="AH1490" s="22"/>
      <c r="AI1490" s="22"/>
      <c r="AJ1490" s="22"/>
      <c r="AK1490" s="22"/>
      <c r="AL1490" s="22"/>
      <c r="AM1490" s="22"/>
      <c r="AN1490" s="22"/>
      <c r="AO1490" s="22"/>
      <c r="AP1490" s="22"/>
    </row>
    <row r="1491" ht="15.75" customHeight="1">
      <c r="A1491" s="103">
        <v>1.214068E7</v>
      </c>
      <c r="B1491" s="84">
        <v>9.000691312E9</v>
      </c>
      <c r="C1491" s="11">
        <v>46052.0</v>
      </c>
      <c r="D1491" s="84">
        <v>26.0</v>
      </c>
      <c r="E1491" s="84">
        <v>31625.0</v>
      </c>
      <c r="F1491" s="103" t="s">
        <v>31</v>
      </c>
      <c r="G1491" s="84" t="s">
        <v>44</v>
      </c>
      <c r="H1491" s="84" t="s">
        <v>2127</v>
      </c>
      <c r="I1491" s="84" t="s">
        <v>2184</v>
      </c>
      <c r="J1491" s="238" t="s">
        <v>2082</v>
      </c>
      <c r="K1491" s="238" t="s">
        <v>2129</v>
      </c>
      <c r="L1491" s="98" t="s">
        <v>94</v>
      </c>
      <c r="M1491" s="84" t="s">
        <v>2185</v>
      </c>
      <c r="N1491" s="133">
        <v>6639.0</v>
      </c>
      <c r="O1491" s="73">
        <f t="shared" si="29"/>
        <v>0.7531254707</v>
      </c>
      <c r="P1491" s="98">
        <v>5000.0</v>
      </c>
      <c r="Q1491" s="12"/>
      <c r="R1491" s="84">
        <v>1774620.0</v>
      </c>
      <c r="S1491" s="84" t="s">
        <v>40</v>
      </c>
      <c r="T1491" s="90">
        <v>8190520.0</v>
      </c>
      <c r="U1491" s="214">
        <v>46052.34027777778</v>
      </c>
      <c r="V1491" s="214">
        <v>46052.618055555555</v>
      </c>
      <c r="W1491" s="12"/>
      <c r="X1491" s="12"/>
      <c r="Y1491" s="214">
        <v>46052.92361111111</v>
      </c>
      <c r="Z1491" s="214">
        <v>46053.333333333336</v>
      </c>
      <c r="AA1491" s="12"/>
      <c r="AB1491" s="12"/>
      <c r="AC1491" s="12"/>
      <c r="AD1491" s="12"/>
      <c r="AE1491" s="207" t="s">
        <v>39</v>
      </c>
      <c r="AF1491" s="207" t="s">
        <v>39</v>
      </c>
      <c r="AG1491" s="22"/>
      <c r="AH1491" s="22"/>
      <c r="AI1491" s="22"/>
      <c r="AJ1491" s="22"/>
      <c r="AK1491" s="22"/>
      <c r="AL1491" s="22"/>
      <c r="AM1491" s="22"/>
      <c r="AN1491" s="22"/>
      <c r="AO1491" s="22"/>
      <c r="AP1491" s="22"/>
    </row>
    <row r="1492" ht="15.75" customHeight="1">
      <c r="A1492" s="103">
        <v>1.2144181E7</v>
      </c>
      <c r="B1492" s="84">
        <v>9.000693626E9</v>
      </c>
      <c r="C1492" s="11">
        <v>46052.0</v>
      </c>
      <c r="D1492" s="84">
        <v>26.0</v>
      </c>
      <c r="E1492" s="84">
        <v>31625.0</v>
      </c>
      <c r="F1492" s="103" t="s">
        <v>31</v>
      </c>
      <c r="G1492" s="84" t="s">
        <v>32</v>
      </c>
      <c r="H1492" s="84" t="s">
        <v>2121</v>
      </c>
      <c r="I1492" s="84" t="s">
        <v>2271</v>
      </c>
      <c r="J1492" s="238" t="s">
        <v>2082</v>
      </c>
      <c r="K1492" s="238" t="s">
        <v>2272</v>
      </c>
      <c r="L1492" s="98" t="s">
        <v>2105</v>
      </c>
      <c r="M1492" s="84" t="s">
        <v>2186</v>
      </c>
      <c r="N1492" s="133">
        <v>7066.0</v>
      </c>
      <c r="O1492" s="73">
        <f t="shared" si="29"/>
        <v>0.6934616473</v>
      </c>
      <c r="P1492" s="98">
        <v>4900.0</v>
      </c>
      <c r="Q1492" s="12"/>
      <c r="R1492" s="84">
        <v>1774882.0</v>
      </c>
      <c r="S1492" s="84" t="s">
        <v>40</v>
      </c>
      <c r="T1492" s="90" t="s">
        <v>2273</v>
      </c>
      <c r="U1492" s="214">
        <v>46052.625</v>
      </c>
      <c r="V1492" s="214">
        <v>46052.770833333336</v>
      </c>
      <c r="W1492" s="12"/>
      <c r="X1492" s="12"/>
      <c r="Y1492" s="214">
        <v>46055.27777777778</v>
      </c>
      <c r="Z1492" s="214">
        <v>46055.40625</v>
      </c>
      <c r="AA1492" s="12"/>
      <c r="AB1492" s="12"/>
      <c r="AC1492" s="12"/>
      <c r="AD1492" s="12"/>
      <c r="AE1492" s="207" t="s">
        <v>39</v>
      </c>
      <c r="AF1492" s="207" t="s">
        <v>39</v>
      </c>
      <c r="AG1492" s="22"/>
      <c r="AH1492" s="22"/>
      <c r="AI1492" s="22"/>
      <c r="AJ1492" s="22"/>
      <c r="AK1492" s="22"/>
      <c r="AL1492" s="22"/>
      <c r="AM1492" s="22"/>
      <c r="AN1492" s="22"/>
      <c r="AO1492" s="22"/>
      <c r="AP1492" s="22"/>
    </row>
    <row r="1493" ht="15.75" customHeight="1">
      <c r="A1493" s="103">
        <v>1.2140679E7</v>
      </c>
      <c r="B1493" s="84">
        <v>9.000691339E9</v>
      </c>
      <c r="C1493" s="11">
        <v>46055.0</v>
      </c>
      <c r="D1493" s="84">
        <v>26.0</v>
      </c>
      <c r="E1493" s="84">
        <v>31625.0</v>
      </c>
      <c r="F1493" s="103" t="s">
        <v>31</v>
      </c>
      <c r="G1493" s="84" t="s">
        <v>44</v>
      </c>
      <c r="H1493" s="84" t="s">
        <v>2127</v>
      </c>
      <c r="I1493" s="84" t="s">
        <v>2184</v>
      </c>
      <c r="J1493" s="238" t="s">
        <v>2082</v>
      </c>
      <c r="K1493" s="238" t="s">
        <v>2129</v>
      </c>
      <c r="L1493" s="98" t="s">
        <v>94</v>
      </c>
      <c r="M1493" s="84" t="s">
        <v>2208</v>
      </c>
      <c r="N1493" s="133">
        <v>6639.0</v>
      </c>
      <c r="O1493" s="73">
        <f t="shared" si="29"/>
        <v>0.7079379425</v>
      </c>
      <c r="P1493" s="98">
        <v>4700.0</v>
      </c>
      <c r="Q1493" s="84" t="s">
        <v>39</v>
      </c>
      <c r="R1493" s="84">
        <v>1775500.0</v>
      </c>
      <c r="S1493" s="84" t="s">
        <v>40</v>
      </c>
      <c r="T1493" s="90">
        <v>8200243.0</v>
      </c>
      <c r="U1493" s="214">
        <v>46055.375</v>
      </c>
      <c r="V1493" s="214">
        <v>46055.680555555555</v>
      </c>
      <c r="W1493" s="12"/>
      <c r="X1493" s="12"/>
      <c r="Y1493" s="214">
        <v>46057.458333333336</v>
      </c>
      <c r="Z1493" s="214">
        <v>46057.572916666664</v>
      </c>
      <c r="AA1493" s="12"/>
      <c r="AB1493" s="12"/>
      <c r="AC1493" s="12"/>
      <c r="AD1493" s="12"/>
      <c r="AE1493" s="207" t="s">
        <v>39</v>
      </c>
      <c r="AF1493" s="12"/>
      <c r="AG1493" s="22"/>
      <c r="AH1493" s="22"/>
      <c r="AI1493" s="22"/>
      <c r="AJ1493" s="22"/>
      <c r="AK1493" s="22"/>
      <c r="AL1493" s="22"/>
      <c r="AM1493" s="22"/>
      <c r="AN1493" s="22"/>
      <c r="AO1493" s="22"/>
      <c r="AP1493" s="22"/>
    </row>
    <row r="1494" ht="15.75" customHeight="1">
      <c r="A1494" s="103">
        <v>1.2147898E7</v>
      </c>
      <c r="B1494" s="84">
        <v>9.000698406E9</v>
      </c>
      <c r="C1494" s="11">
        <v>46055.0</v>
      </c>
      <c r="D1494" s="84">
        <v>28.0</v>
      </c>
      <c r="E1494" s="84">
        <v>34058.0</v>
      </c>
      <c r="F1494" s="103" t="s">
        <v>31</v>
      </c>
      <c r="G1494" s="84" t="s">
        <v>32</v>
      </c>
      <c r="H1494" s="84" t="s">
        <v>2274</v>
      </c>
      <c r="I1494" s="84" t="s">
        <v>2275</v>
      </c>
      <c r="J1494" s="238" t="s">
        <v>2082</v>
      </c>
      <c r="K1494" s="238" t="s">
        <v>2276</v>
      </c>
      <c r="L1494" s="98" t="s">
        <v>2105</v>
      </c>
      <c r="M1494" s="255" t="s">
        <v>2229</v>
      </c>
      <c r="N1494" s="133">
        <v>7184.0</v>
      </c>
      <c r="O1494" s="73">
        <f t="shared" si="29"/>
        <v>0.6998886414</v>
      </c>
      <c r="P1494" s="98">
        <v>5028.0</v>
      </c>
      <c r="Q1494" s="84" t="s">
        <v>39</v>
      </c>
      <c r="R1494" s="84">
        <v>1775508.0</v>
      </c>
      <c r="S1494" s="84" t="s">
        <v>40</v>
      </c>
      <c r="T1494" s="90">
        <v>8200277.0</v>
      </c>
      <c r="U1494" s="214">
        <v>46055.26388888889</v>
      </c>
      <c r="V1494" s="214">
        <v>46055.44097222222</v>
      </c>
      <c r="W1494" s="12"/>
      <c r="X1494" s="12"/>
      <c r="Y1494" s="214">
        <v>46056.40972222222</v>
      </c>
      <c r="Z1494" s="214">
        <v>46057.59375</v>
      </c>
      <c r="AA1494" s="12"/>
      <c r="AB1494" s="84">
        <v>390179.0</v>
      </c>
      <c r="AC1494" s="125" t="s">
        <v>2059</v>
      </c>
      <c r="AD1494" s="12"/>
      <c r="AE1494" s="12"/>
      <c r="AF1494" s="12"/>
      <c r="AG1494" s="22"/>
      <c r="AH1494" s="22"/>
      <c r="AI1494" s="22"/>
      <c r="AJ1494" s="22"/>
      <c r="AK1494" s="22"/>
      <c r="AL1494" s="22"/>
      <c r="AM1494" s="22"/>
      <c r="AN1494" s="22"/>
      <c r="AO1494" s="22"/>
      <c r="AP1494" s="22"/>
    </row>
    <row r="1495" ht="15.75" customHeight="1">
      <c r="A1495" s="103">
        <v>1.2149469E7</v>
      </c>
      <c r="B1495" s="84">
        <v>9.000698407E9</v>
      </c>
      <c r="C1495" s="11">
        <v>46055.0</v>
      </c>
      <c r="D1495" s="84">
        <v>28.0</v>
      </c>
      <c r="E1495" s="84">
        <v>34058.0</v>
      </c>
      <c r="F1495" s="103" t="s">
        <v>31</v>
      </c>
      <c r="G1495" s="84" t="s">
        <v>32</v>
      </c>
      <c r="H1495" s="84" t="s">
        <v>2274</v>
      </c>
      <c r="I1495" s="84" t="s">
        <v>2275</v>
      </c>
      <c r="J1495" s="238" t="s">
        <v>2082</v>
      </c>
      <c r="K1495" s="238" t="s">
        <v>2276</v>
      </c>
      <c r="L1495" s="98" t="s">
        <v>2105</v>
      </c>
      <c r="M1495" s="90" t="s">
        <v>2232</v>
      </c>
      <c r="N1495" s="133">
        <v>7184.0</v>
      </c>
      <c r="O1495" s="73">
        <f t="shared" si="29"/>
        <v>0.7</v>
      </c>
      <c r="P1495" s="98">
        <v>5028.8</v>
      </c>
      <c r="Q1495" s="84" t="s">
        <v>39</v>
      </c>
      <c r="R1495" s="84">
        <v>1776155.0</v>
      </c>
      <c r="S1495" s="84" t="s">
        <v>40</v>
      </c>
      <c r="T1495" s="90">
        <v>8207056.0</v>
      </c>
      <c r="U1495" s="214">
        <v>46055.260416666664</v>
      </c>
      <c r="V1495" s="214">
        <v>46056.875</v>
      </c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22"/>
      <c r="AH1495" s="22"/>
      <c r="AI1495" s="22"/>
      <c r="AJ1495" s="22"/>
      <c r="AK1495" s="22"/>
      <c r="AL1495" s="22"/>
      <c r="AM1495" s="22"/>
      <c r="AN1495" s="22"/>
      <c r="AO1495" s="22"/>
      <c r="AP1495" s="22"/>
    </row>
    <row r="1496" ht="15.75" customHeight="1">
      <c r="A1496" s="103">
        <v>1.2155371E7</v>
      </c>
      <c r="B1496" s="84">
        <v>9.000702128E9</v>
      </c>
      <c r="C1496" s="11">
        <v>46055.0</v>
      </c>
      <c r="D1496" s="84">
        <v>26.0</v>
      </c>
      <c r="E1496" s="84">
        <v>30960.0</v>
      </c>
      <c r="F1496" s="84" t="s">
        <v>31</v>
      </c>
      <c r="G1496" s="84" t="s">
        <v>74</v>
      </c>
      <c r="H1496" s="84" t="s">
        <v>2014</v>
      </c>
      <c r="I1496" s="84" t="s">
        <v>2015</v>
      </c>
      <c r="J1496" s="25" t="s">
        <v>35</v>
      </c>
      <c r="K1496" s="84" t="s">
        <v>270</v>
      </c>
      <c r="L1496" s="245" t="s">
        <v>114</v>
      </c>
      <c r="M1496" s="90" t="s">
        <v>2079</v>
      </c>
      <c r="N1496" s="133">
        <v>6410.0</v>
      </c>
      <c r="O1496" s="73">
        <f t="shared" si="29"/>
        <v>0.6630265211</v>
      </c>
      <c r="P1496" s="98">
        <v>4250.0</v>
      </c>
      <c r="Q1496" s="84" t="s">
        <v>39</v>
      </c>
      <c r="R1496" s="84">
        <v>1776157.0</v>
      </c>
      <c r="S1496" s="84" t="s">
        <v>40</v>
      </c>
      <c r="T1496" s="90">
        <v>8207120.0</v>
      </c>
      <c r="U1496" s="214">
        <v>46056.791666666664</v>
      </c>
      <c r="V1496" s="214">
        <v>46056.34722222222</v>
      </c>
      <c r="W1496" s="12"/>
      <c r="X1496" s="241">
        <v>46058.25</v>
      </c>
      <c r="Y1496" s="12"/>
      <c r="Z1496" s="12"/>
      <c r="AA1496" s="12"/>
      <c r="AB1496" s="12"/>
      <c r="AC1496" s="12"/>
      <c r="AD1496" s="12"/>
      <c r="AE1496" s="12"/>
      <c r="AF1496" s="12"/>
      <c r="AG1496" s="22"/>
      <c r="AH1496" s="22"/>
      <c r="AI1496" s="22"/>
      <c r="AJ1496" s="22"/>
      <c r="AK1496" s="22"/>
      <c r="AL1496" s="22"/>
      <c r="AM1496" s="22"/>
      <c r="AN1496" s="22"/>
      <c r="AO1496" s="22"/>
      <c r="AP1496" s="22"/>
    </row>
    <row r="1497" ht="15.75" customHeight="1">
      <c r="A1497" s="103">
        <v>1.2136354E7</v>
      </c>
      <c r="B1497" s="84">
        <v>9.000686001E9</v>
      </c>
      <c r="C1497" s="11">
        <v>46055.0</v>
      </c>
      <c r="D1497" s="84">
        <v>27.0</v>
      </c>
      <c r="E1497" s="84">
        <v>32841.0</v>
      </c>
      <c r="F1497" s="103" t="s">
        <v>31</v>
      </c>
      <c r="G1497" s="84" t="s">
        <v>32</v>
      </c>
      <c r="H1497" s="12" t="s">
        <v>265</v>
      </c>
      <c r="I1497" s="39" t="s">
        <v>266</v>
      </c>
      <c r="J1497" s="25" t="s">
        <v>35</v>
      </c>
      <c r="K1497" s="25" t="s">
        <v>267</v>
      </c>
      <c r="L1497" s="95" t="s">
        <v>114</v>
      </c>
      <c r="M1497" s="90" t="s">
        <v>1936</v>
      </c>
      <c r="N1497" s="133">
        <v>6527.0</v>
      </c>
      <c r="O1497" s="73">
        <f t="shared" si="29"/>
        <v>0.6511414126</v>
      </c>
      <c r="P1497" s="98">
        <v>4250.0</v>
      </c>
      <c r="Q1497" s="12"/>
      <c r="R1497" s="84">
        <v>1776311.0</v>
      </c>
      <c r="S1497" s="84" t="s">
        <v>40</v>
      </c>
      <c r="T1497" s="90">
        <v>8209442.0</v>
      </c>
      <c r="U1497" s="214">
        <v>46055.444444444445</v>
      </c>
      <c r="V1497" s="214">
        <v>46056.354166666664</v>
      </c>
      <c r="W1497" s="12"/>
      <c r="X1497" s="12"/>
      <c r="Y1497" s="214">
        <v>46057.458333333336</v>
      </c>
      <c r="Z1497" s="214">
        <v>46057.614583333336</v>
      </c>
      <c r="AA1497" s="12"/>
      <c r="AB1497" s="12"/>
      <c r="AC1497" s="12"/>
      <c r="AD1497" s="12"/>
      <c r="AE1497" s="207" t="s">
        <v>39</v>
      </c>
      <c r="AF1497" s="12"/>
      <c r="AG1497" s="22"/>
      <c r="AH1497" s="22"/>
      <c r="AI1497" s="22"/>
      <c r="AJ1497" s="22"/>
      <c r="AK1497" s="22"/>
      <c r="AL1497" s="22"/>
      <c r="AM1497" s="22"/>
      <c r="AN1497" s="22"/>
      <c r="AO1497" s="22"/>
      <c r="AP1497" s="22"/>
    </row>
    <row r="1498" ht="15.75" customHeight="1">
      <c r="A1498" s="103">
        <v>1.2138124E7</v>
      </c>
      <c r="B1498" s="84">
        <v>9.000688897E9</v>
      </c>
      <c r="C1498" s="11">
        <v>46055.0</v>
      </c>
      <c r="D1498" s="84">
        <v>28.0</v>
      </c>
      <c r="E1498" s="84">
        <v>34295.0</v>
      </c>
      <c r="F1498" s="103" t="s">
        <v>43</v>
      </c>
      <c r="G1498" s="84" t="s">
        <v>44</v>
      </c>
      <c r="H1498" s="29" t="s">
        <v>104</v>
      </c>
      <c r="I1498" s="85" t="s">
        <v>2149</v>
      </c>
      <c r="J1498" s="25" t="s">
        <v>35</v>
      </c>
      <c r="K1498" s="39" t="s">
        <v>106</v>
      </c>
      <c r="L1498" s="245" t="s">
        <v>59</v>
      </c>
      <c r="M1498" s="84" t="s">
        <v>2277</v>
      </c>
      <c r="N1498" s="133">
        <v>3812.0</v>
      </c>
      <c r="O1498" s="73">
        <f t="shared" si="29"/>
        <v>0.7082896118</v>
      </c>
      <c r="P1498" s="98">
        <v>2700.0</v>
      </c>
      <c r="Q1498" s="84" t="s">
        <v>39</v>
      </c>
      <c r="R1498" s="84">
        <v>1775438.0</v>
      </c>
      <c r="S1498" s="84" t="s">
        <v>40</v>
      </c>
      <c r="T1498" s="90">
        <v>8199953.0</v>
      </c>
      <c r="U1498" s="214">
        <v>46055.305555555555</v>
      </c>
      <c r="V1498" s="214">
        <v>46055.645833333336</v>
      </c>
      <c r="W1498" s="12"/>
      <c r="X1498" s="241">
        <v>46056.458333333336</v>
      </c>
      <c r="Y1498" s="214">
        <v>46056.444444444445</v>
      </c>
      <c r="Z1498" s="214">
        <v>46056.520833333336</v>
      </c>
      <c r="AA1498" s="12"/>
      <c r="AB1498" s="12"/>
      <c r="AC1498" s="12"/>
      <c r="AD1498" s="12"/>
      <c r="AE1498" s="207" t="s">
        <v>39</v>
      </c>
      <c r="AF1498" s="12"/>
      <c r="AG1498" s="22"/>
      <c r="AH1498" s="22"/>
      <c r="AI1498" s="22"/>
      <c r="AJ1498" s="22"/>
      <c r="AK1498" s="22"/>
      <c r="AL1498" s="22"/>
      <c r="AM1498" s="22"/>
      <c r="AN1498" s="22"/>
      <c r="AO1498" s="22"/>
      <c r="AP1498" s="22"/>
    </row>
    <row r="1499" ht="15.75" customHeight="1">
      <c r="A1499" s="103">
        <v>1.2138126E7</v>
      </c>
      <c r="B1499" s="84">
        <v>9.000688913E9</v>
      </c>
      <c r="C1499" s="11">
        <v>46055.0</v>
      </c>
      <c r="D1499" s="84">
        <v>15.0</v>
      </c>
      <c r="E1499" s="84">
        <v>17135.0</v>
      </c>
      <c r="F1499" s="103" t="s">
        <v>43</v>
      </c>
      <c r="G1499" s="84" t="s">
        <v>44</v>
      </c>
      <c r="H1499" s="85" t="s">
        <v>2278</v>
      </c>
      <c r="I1499" s="85" t="s">
        <v>2149</v>
      </c>
      <c r="J1499" s="39" t="s">
        <v>106</v>
      </c>
      <c r="K1499" s="25" t="s">
        <v>35</v>
      </c>
      <c r="L1499" s="95" t="s">
        <v>121</v>
      </c>
      <c r="M1499" s="90" t="s">
        <v>2277</v>
      </c>
      <c r="N1499" s="133">
        <v>3812.0</v>
      </c>
      <c r="O1499" s="73">
        <f t="shared" si="29"/>
        <v>0.6558237146</v>
      </c>
      <c r="P1499" s="98">
        <v>2500.0</v>
      </c>
      <c r="Q1499" s="84" t="s">
        <v>39</v>
      </c>
      <c r="R1499" s="84">
        <v>1776487.0</v>
      </c>
      <c r="S1499" s="84" t="s">
        <v>40</v>
      </c>
      <c r="T1499" s="90">
        <v>8212324.0</v>
      </c>
      <c r="U1499" s="214">
        <v>46056.520833333336</v>
      </c>
      <c r="V1499" s="214">
        <v>46056.520833333336</v>
      </c>
      <c r="W1499" s="12"/>
      <c r="X1499" s="12"/>
      <c r="Y1499" s="214">
        <v>46057.40972222222</v>
      </c>
      <c r="Z1499" s="12"/>
      <c r="AA1499" s="12"/>
      <c r="AB1499" s="12"/>
      <c r="AC1499" s="12"/>
      <c r="AD1499" s="12"/>
      <c r="AE1499" s="12"/>
      <c r="AF1499" s="12"/>
      <c r="AG1499" s="22"/>
      <c r="AH1499" s="22"/>
      <c r="AI1499" s="22"/>
      <c r="AJ1499" s="22"/>
      <c r="AK1499" s="22"/>
      <c r="AL1499" s="22"/>
      <c r="AM1499" s="22"/>
      <c r="AN1499" s="22"/>
      <c r="AO1499" s="22"/>
      <c r="AP1499" s="22"/>
    </row>
    <row r="1500" ht="15.75" customHeight="1">
      <c r="A1500" s="103">
        <v>1.2149731E7</v>
      </c>
      <c r="B1500" s="84">
        <v>9.000700502E9</v>
      </c>
      <c r="C1500" s="11">
        <v>46025.0</v>
      </c>
      <c r="D1500" s="84">
        <v>26.0</v>
      </c>
      <c r="E1500" s="84">
        <v>31625.0</v>
      </c>
      <c r="F1500" s="103" t="s">
        <v>31</v>
      </c>
      <c r="G1500" s="84" t="s">
        <v>44</v>
      </c>
      <c r="H1500" s="84" t="s">
        <v>2127</v>
      </c>
      <c r="I1500" s="84" t="s">
        <v>2184</v>
      </c>
      <c r="J1500" s="238" t="s">
        <v>2082</v>
      </c>
      <c r="K1500" s="238" t="s">
        <v>2129</v>
      </c>
      <c r="L1500" s="98" t="s">
        <v>94</v>
      </c>
      <c r="M1500" s="84" t="s">
        <v>2186</v>
      </c>
      <c r="N1500" s="133">
        <v>6639.0</v>
      </c>
      <c r="O1500" s="73">
        <f t="shared" si="29"/>
        <v>0.7079379425</v>
      </c>
      <c r="P1500" s="98">
        <v>4700.0</v>
      </c>
      <c r="Q1500" s="12"/>
      <c r="R1500" s="84">
        <v>1776360.0</v>
      </c>
      <c r="S1500" s="84" t="s">
        <v>40</v>
      </c>
      <c r="T1500" s="90">
        <v>8210051.0</v>
      </c>
      <c r="U1500" s="214">
        <v>46055.739583333336</v>
      </c>
      <c r="V1500" s="214">
        <v>46056.72222222222</v>
      </c>
      <c r="W1500" s="12"/>
      <c r="X1500" s="12"/>
      <c r="Y1500" s="214">
        <v>46057.458333333336</v>
      </c>
      <c r="Z1500" s="214">
        <v>46057.555555555555</v>
      </c>
      <c r="AA1500" s="12"/>
      <c r="AB1500" s="12"/>
      <c r="AC1500" s="12"/>
      <c r="AD1500" s="12"/>
      <c r="AE1500" s="207" t="s">
        <v>39</v>
      </c>
      <c r="AF1500" s="12"/>
      <c r="AG1500" s="22"/>
      <c r="AH1500" s="22"/>
      <c r="AI1500" s="22"/>
      <c r="AJ1500" s="22"/>
      <c r="AK1500" s="22"/>
      <c r="AL1500" s="22"/>
      <c r="AM1500" s="22"/>
      <c r="AN1500" s="22"/>
      <c r="AO1500" s="22"/>
      <c r="AP1500" s="22"/>
    </row>
    <row r="1501" ht="15.75" customHeight="1">
      <c r="A1501" s="103">
        <v>1.214973E7</v>
      </c>
      <c r="B1501" s="84">
        <v>9.000700493E9</v>
      </c>
      <c r="C1501" s="11">
        <v>46025.0</v>
      </c>
      <c r="D1501" s="84">
        <v>26.0</v>
      </c>
      <c r="E1501" s="84">
        <v>31625.0</v>
      </c>
      <c r="F1501" s="103" t="s">
        <v>31</v>
      </c>
      <c r="G1501" s="84" t="s">
        <v>44</v>
      </c>
      <c r="H1501" s="84" t="s">
        <v>2127</v>
      </c>
      <c r="I1501" s="84" t="s">
        <v>2184</v>
      </c>
      <c r="J1501" s="238" t="s">
        <v>2082</v>
      </c>
      <c r="K1501" s="238" t="s">
        <v>2129</v>
      </c>
      <c r="L1501" s="98" t="s">
        <v>94</v>
      </c>
      <c r="M1501" s="84" t="s">
        <v>2220</v>
      </c>
      <c r="N1501" s="133">
        <v>6639.0</v>
      </c>
      <c r="O1501" s="73">
        <f t="shared" si="29"/>
        <v>0.7079379425</v>
      </c>
      <c r="P1501" s="98">
        <v>4700.0</v>
      </c>
      <c r="Q1501" s="12"/>
      <c r="R1501" s="84">
        <v>1776651.0</v>
      </c>
      <c r="S1501" s="84" t="s">
        <v>40</v>
      </c>
      <c r="T1501" s="90">
        <v>8214956.0</v>
      </c>
      <c r="U1501" s="214">
        <v>46056.84027777778</v>
      </c>
      <c r="V1501" s="214">
        <v>46056.854166666664</v>
      </c>
      <c r="W1501" s="12"/>
      <c r="X1501" s="12"/>
      <c r="Y1501" s="214">
        <v>46057.538194444445</v>
      </c>
      <c r="Z1501" s="214">
        <v>46057.618055555555</v>
      </c>
      <c r="AA1501" s="12"/>
      <c r="AB1501" s="12"/>
      <c r="AC1501" s="12"/>
      <c r="AD1501" s="12"/>
      <c r="AE1501" s="207" t="s">
        <v>39</v>
      </c>
      <c r="AF1501" s="12"/>
      <c r="AG1501" s="22"/>
      <c r="AH1501" s="22"/>
      <c r="AI1501" s="22"/>
      <c r="AJ1501" s="22"/>
      <c r="AK1501" s="22"/>
      <c r="AL1501" s="22"/>
      <c r="AM1501" s="22"/>
      <c r="AN1501" s="22"/>
      <c r="AO1501" s="22"/>
      <c r="AP1501" s="22"/>
    </row>
    <row r="1502" ht="15.75" customHeight="1">
      <c r="A1502" s="103">
        <v>1.215098E7</v>
      </c>
      <c r="B1502" s="84">
        <v>9.000702158E9</v>
      </c>
      <c r="C1502" s="11">
        <v>46025.0</v>
      </c>
      <c r="D1502" s="84">
        <v>26.0</v>
      </c>
      <c r="E1502" s="84">
        <v>31845.0</v>
      </c>
      <c r="F1502" s="103" t="s">
        <v>43</v>
      </c>
      <c r="G1502" s="84" t="s">
        <v>32</v>
      </c>
      <c r="H1502" s="84" t="s">
        <v>2243</v>
      </c>
      <c r="I1502" s="84" t="s">
        <v>2244</v>
      </c>
      <c r="J1502" s="238" t="s">
        <v>2082</v>
      </c>
      <c r="K1502" s="238" t="s">
        <v>2245</v>
      </c>
      <c r="L1502" s="98" t="s">
        <v>2105</v>
      </c>
      <c r="M1502" s="90" t="s">
        <v>2190</v>
      </c>
      <c r="N1502" s="133">
        <v>2037.0</v>
      </c>
      <c r="O1502" s="73">
        <f t="shared" si="29"/>
        <v>0</v>
      </c>
      <c r="P1502" s="15"/>
      <c r="Q1502" s="12"/>
      <c r="R1502" s="84">
        <v>1777007.0</v>
      </c>
      <c r="S1502" s="84" t="s">
        <v>40</v>
      </c>
      <c r="T1502" s="90">
        <v>8219162.0</v>
      </c>
      <c r="U1502" s="214">
        <v>46056.770833333336</v>
      </c>
      <c r="V1502" s="214">
        <v>46057.395833333336</v>
      </c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22"/>
      <c r="AH1502" s="22"/>
      <c r="AI1502" s="22"/>
      <c r="AJ1502" s="22"/>
      <c r="AK1502" s="22"/>
      <c r="AL1502" s="22"/>
      <c r="AM1502" s="22"/>
      <c r="AN1502" s="22"/>
      <c r="AO1502" s="22"/>
      <c r="AP1502" s="22"/>
    </row>
    <row r="1503" ht="15.75" customHeight="1">
      <c r="A1503" s="103">
        <v>1.2150981E7</v>
      </c>
      <c r="B1503" s="84">
        <v>9.000702147E9</v>
      </c>
      <c r="C1503" s="11">
        <v>46025.0</v>
      </c>
      <c r="D1503" s="84">
        <v>3.0</v>
      </c>
      <c r="E1503" s="84">
        <v>15911.0</v>
      </c>
      <c r="F1503" s="103" t="s">
        <v>43</v>
      </c>
      <c r="G1503" s="84" t="s">
        <v>32</v>
      </c>
      <c r="H1503" s="84" t="s">
        <v>2279</v>
      </c>
      <c r="I1503" s="84" t="s">
        <v>2212</v>
      </c>
      <c r="J1503" s="238" t="s">
        <v>2245</v>
      </c>
      <c r="K1503" s="238" t="s">
        <v>2082</v>
      </c>
      <c r="L1503" s="98" t="s">
        <v>2105</v>
      </c>
      <c r="M1503" s="84" t="s">
        <v>2190</v>
      </c>
      <c r="N1503" s="133">
        <v>2037.0</v>
      </c>
      <c r="O1503" s="73">
        <f t="shared" si="29"/>
        <v>0</v>
      </c>
      <c r="P1503" s="15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</row>
    <row r="1504" ht="15.75" customHeight="1">
      <c r="A1504" s="103">
        <v>1.2138125E7</v>
      </c>
      <c r="B1504" s="84">
        <v>9.000688853E9</v>
      </c>
      <c r="C1504" s="11">
        <v>46025.0</v>
      </c>
      <c r="D1504" s="84">
        <v>28.0</v>
      </c>
      <c r="E1504" s="84">
        <v>34378.0</v>
      </c>
      <c r="F1504" s="103" t="s">
        <v>31</v>
      </c>
      <c r="G1504" s="84" t="s">
        <v>44</v>
      </c>
      <c r="H1504" s="169" t="s">
        <v>268</v>
      </c>
      <c r="I1504" s="194" t="s">
        <v>1958</v>
      </c>
      <c r="J1504" s="84" t="s">
        <v>35</v>
      </c>
      <c r="K1504" s="84" t="s">
        <v>270</v>
      </c>
      <c r="L1504" s="98" t="s">
        <v>94</v>
      </c>
      <c r="M1504" s="90" t="s">
        <v>1945</v>
      </c>
      <c r="N1504" s="133">
        <v>6410.0</v>
      </c>
      <c r="O1504" s="73">
        <f t="shared" si="29"/>
        <v>0.6630265211</v>
      </c>
      <c r="P1504" s="98">
        <v>4250.0</v>
      </c>
      <c r="Q1504" s="12"/>
      <c r="R1504" s="84">
        <v>1776536.0</v>
      </c>
      <c r="S1504" s="84" t="s">
        <v>40</v>
      </c>
      <c r="T1504" s="90">
        <v>8213284.0</v>
      </c>
      <c r="U1504" s="214">
        <v>46056.645833333336</v>
      </c>
      <c r="V1504" s="214">
        <v>46057.51388888889</v>
      </c>
      <c r="W1504" s="12"/>
      <c r="X1504" s="241">
        <v>46058.541666666664</v>
      </c>
      <c r="Y1504" s="12"/>
      <c r="Z1504" s="12"/>
      <c r="AA1504" s="12"/>
      <c r="AB1504" s="12"/>
      <c r="AC1504" s="12"/>
      <c r="AD1504" s="12"/>
      <c r="AE1504" s="12"/>
      <c r="AF1504" s="12"/>
      <c r="AG1504" s="22"/>
      <c r="AH1504" s="22"/>
      <c r="AI1504" s="22"/>
      <c r="AJ1504" s="22"/>
      <c r="AK1504" s="22"/>
      <c r="AL1504" s="22"/>
      <c r="AM1504" s="22"/>
      <c r="AN1504" s="22"/>
      <c r="AO1504" s="22"/>
      <c r="AP1504" s="22"/>
    </row>
    <row r="1505" ht="15.75" customHeight="1">
      <c r="A1505" s="103">
        <v>1.2160596E7</v>
      </c>
      <c r="B1505" s="84">
        <v>9.000702121E9</v>
      </c>
      <c r="C1505" s="11">
        <v>46025.0</v>
      </c>
      <c r="D1505" s="84">
        <v>26.0</v>
      </c>
      <c r="E1505" s="84">
        <v>32177.0</v>
      </c>
      <c r="F1505" s="103" t="s">
        <v>31</v>
      </c>
      <c r="G1505" s="84" t="s">
        <v>74</v>
      </c>
      <c r="H1505" s="84" t="s">
        <v>647</v>
      </c>
      <c r="I1505" s="84" t="s">
        <v>2010</v>
      </c>
      <c r="J1505" s="12" t="s">
        <v>35</v>
      </c>
      <c r="K1505" s="84" t="s">
        <v>332</v>
      </c>
      <c r="L1505" s="98" t="s">
        <v>108</v>
      </c>
      <c r="M1505" s="90" t="s">
        <v>2152</v>
      </c>
      <c r="N1505" s="133">
        <v>3124.0</v>
      </c>
      <c r="O1505" s="73">
        <f t="shared" si="29"/>
        <v>0.4801536492</v>
      </c>
      <c r="P1505" s="98">
        <v>1500.0</v>
      </c>
      <c r="Q1505" s="12"/>
      <c r="R1505" s="84">
        <v>1776659.0</v>
      </c>
      <c r="S1505" s="84" t="s">
        <v>40</v>
      </c>
      <c r="T1505" s="90">
        <v>8215088.0</v>
      </c>
      <c r="U1505" s="214">
        <v>46056.82638888889</v>
      </c>
      <c r="V1505" s="214">
        <v>46057.38888888889</v>
      </c>
      <c r="W1505" s="12"/>
      <c r="X1505" s="241">
        <v>46058.291666666664</v>
      </c>
      <c r="Y1505" s="12"/>
      <c r="Z1505" s="12"/>
      <c r="AA1505" s="12"/>
      <c r="AB1505" s="12"/>
      <c r="AC1505" s="12"/>
      <c r="AD1505" s="12"/>
      <c r="AE1505" s="12"/>
      <c r="AF1505" s="12"/>
      <c r="AG1505" s="22"/>
      <c r="AH1505" s="22"/>
      <c r="AI1505" s="22"/>
      <c r="AJ1505" s="22"/>
      <c r="AK1505" s="22"/>
      <c r="AL1505" s="22"/>
      <c r="AM1505" s="22"/>
      <c r="AN1505" s="22"/>
      <c r="AO1505" s="22"/>
      <c r="AP1505" s="22"/>
    </row>
    <row r="1506" ht="15.75" customHeight="1">
      <c r="A1506" s="103">
        <v>1.2149816E7</v>
      </c>
      <c r="B1506" s="84">
        <v>9.000700421E9</v>
      </c>
      <c r="C1506" s="11">
        <v>46057.0</v>
      </c>
      <c r="D1506" s="84">
        <v>28.0</v>
      </c>
      <c r="E1506" s="84">
        <v>34058.0</v>
      </c>
      <c r="F1506" s="103" t="s">
        <v>31</v>
      </c>
      <c r="G1506" s="84" t="s">
        <v>44</v>
      </c>
      <c r="H1506" s="169" t="s">
        <v>268</v>
      </c>
      <c r="I1506" s="194" t="s">
        <v>1958</v>
      </c>
      <c r="J1506" s="84" t="s">
        <v>35</v>
      </c>
      <c r="K1506" s="84" t="s">
        <v>270</v>
      </c>
      <c r="L1506" s="98" t="s">
        <v>94</v>
      </c>
      <c r="M1506" s="238" t="s">
        <v>1985</v>
      </c>
      <c r="N1506" s="133">
        <v>6410.0</v>
      </c>
      <c r="O1506" s="73">
        <f t="shared" si="29"/>
        <v>0</v>
      </c>
      <c r="P1506" s="15"/>
      <c r="Q1506" s="84" t="s">
        <v>39</v>
      </c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22"/>
      <c r="AH1506" s="22"/>
      <c r="AI1506" s="22"/>
      <c r="AJ1506" s="22"/>
      <c r="AK1506" s="22"/>
      <c r="AL1506" s="22"/>
      <c r="AM1506" s="22"/>
      <c r="AN1506" s="22"/>
      <c r="AO1506" s="22"/>
      <c r="AP1506" s="22"/>
    </row>
    <row r="1507" ht="15.75" customHeight="1">
      <c r="A1507" s="103">
        <v>1.2149817E7</v>
      </c>
      <c r="B1507" s="84">
        <v>9.000700304E9</v>
      </c>
      <c r="C1507" s="11">
        <v>46057.0</v>
      </c>
      <c r="D1507" s="84">
        <v>26.0</v>
      </c>
      <c r="E1507" s="84">
        <v>31922.0</v>
      </c>
      <c r="F1507" s="103" t="s">
        <v>31</v>
      </c>
      <c r="G1507" s="84" t="s">
        <v>44</v>
      </c>
      <c r="H1507" s="169" t="s">
        <v>268</v>
      </c>
      <c r="I1507" s="194" t="s">
        <v>1958</v>
      </c>
      <c r="J1507" s="84" t="s">
        <v>35</v>
      </c>
      <c r="K1507" s="84" t="s">
        <v>270</v>
      </c>
      <c r="L1507" s="98" t="s">
        <v>94</v>
      </c>
      <c r="M1507" s="238" t="s">
        <v>2277</v>
      </c>
      <c r="N1507" s="133">
        <v>6410.0</v>
      </c>
      <c r="O1507" s="73">
        <f t="shared" si="29"/>
        <v>0</v>
      </c>
      <c r="P1507" s="15"/>
      <c r="Q1507" s="84" t="s">
        <v>39</v>
      </c>
      <c r="R1507" s="12"/>
      <c r="S1507" s="12"/>
      <c r="T1507" s="12"/>
      <c r="U1507" s="214">
        <v>46057.40972222222</v>
      </c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22"/>
      <c r="AH1507" s="22"/>
      <c r="AI1507" s="22"/>
      <c r="AJ1507" s="22"/>
      <c r="AK1507" s="22"/>
      <c r="AL1507" s="22"/>
      <c r="AM1507" s="22"/>
      <c r="AN1507" s="22"/>
      <c r="AO1507" s="22"/>
      <c r="AP1507" s="22"/>
    </row>
    <row r="1508" ht="15.75" customHeight="1">
      <c r="A1508" s="103">
        <v>1.2160559E7</v>
      </c>
      <c r="B1508" s="84">
        <v>9.00070209E9</v>
      </c>
      <c r="C1508" s="11">
        <v>46057.0</v>
      </c>
      <c r="D1508" s="84">
        <v>26.0</v>
      </c>
      <c r="E1508" s="84">
        <v>32177.0</v>
      </c>
      <c r="F1508" s="103" t="s">
        <v>31</v>
      </c>
      <c r="G1508" s="84" t="s">
        <v>74</v>
      </c>
      <c r="H1508" s="84" t="s">
        <v>647</v>
      </c>
      <c r="I1508" s="84" t="s">
        <v>2010</v>
      </c>
      <c r="J1508" s="12" t="s">
        <v>35</v>
      </c>
      <c r="K1508" s="84" t="s">
        <v>332</v>
      </c>
      <c r="L1508" s="98" t="s">
        <v>108</v>
      </c>
      <c r="M1508" s="238" t="s">
        <v>2144</v>
      </c>
      <c r="N1508" s="133">
        <v>3124.0</v>
      </c>
      <c r="O1508" s="73">
        <f t="shared" si="29"/>
        <v>0</v>
      </c>
      <c r="P1508" s="15"/>
      <c r="Q1508" s="84" t="s">
        <v>39</v>
      </c>
      <c r="R1508" s="12"/>
      <c r="S1508" s="12"/>
      <c r="T1508" s="12"/>
      <c r="U1508" s="12"/>
      <c r="V1508" s="12"/>
      <c r="W1508" s="12"/>
      <c r="X1508" s="241">
        <v>46059.291666666664</v>
      </c>
      <c r="Y1508" s="12"/>
      <c r="Z1508" s="12"/>
      <c r="AA1508" s="12"/>
      <c r="AB1508" s="12"/>
      <c r="AC1508" s="12"/>
      <c r="AD1508" s="12"/>
      <c r="AE1508" s="12"/>
      <c r="AF1508" s="12"/>
      <c r="AG1508" s="22"/>
      <c r="AH1508" s="22"/>
      <c r="AI1508" s="22"/>
      <c r="AJ1508" s="22"/>
      <c r="AK1508" s="22"/>
      <c r="AL1508" s="22"/>
      <c r="AM1508" s="22"/>
      <c r="AN1508" s="22"/>
      <c r="AO1508" s="22"/>
      <c r="AP1508" s="22"/>
    </row>
    <row r="1509" ht="15.75" customHeight="1">
      <c r="A1509" s="103">
        <v>1.2161375E7</v>
      </c>
      <c r="B1509" s="84">
        <v>9.00071071E9</v>
      </c>
      <c r="C1509" s="11">
        <v>46058.0</v>
      </c>
      <c r="D1509" s="84">
        <v>26.0</v>
      </c>
      <c r="E1509" s="84">
        <v>27968.0</v>
      </c>
      <c r="F1509" s="103" t="s">
        <v>43</v>
      </c>
      <c r="G1509" s="84" t="s">
        <v>44</v>
      </c>
      <c r="H1509" s="169" t="s">
        <v>45</v>
      </c>
      <c r="I1509" s="209" t="s">
        <v>46</v>
      </c>
      <c r="J1509" s="12" t="s">
        <v>35</v>
      </c>
      <c r="K1509" s="14" t="s">
        <v>47</v>
      </c>
      <c r="L1509" s="98" t="s">
        <v>108</v>
      </c>
      <c r="M1509" s="84"/>
      <c r="N1509" s="133">
        <v>1946.5</v>
      </c>
      <c r="O1509" s="73">
        <f t="shared" si="29"/>
        <v>0</v>
      </c>
      <c r="P1509" s="15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22"/>
      <c r="AH1509" s="22"/>
      <c r="AI1509" s="22"/>
      <c r="AJ1509" s="22"/>
      <c r="AK1509" s="22"/>
      <c r="AL1509" s="22"/>
      <c r="AM1509" s="22"/>
      <c r="AN1509" s="22"/>
      <c r="AO1509" s="22"/>
      <c r="AP1509" s="22"/>
    </row>
    <row r="1510" ht="15.75" customHeight="1">
      <c r="A1510" s="103">
        <v>1.216138E7</v>
      </c>
      <c r="B1510" s="84">
        <v>9.000710727E9</v>
      </c>
      <c r="C1510" s="11">
        <v>46058.0</v>
      </c>
      <c r="D1510" s="84">
        <v>6.0</v>
      </c>
      <c r="E1510" s="84">
        <v>740.0</v>
      </c>
      <c r="F1510" s="103" t="s">
        <v>43</v>
      </c>
      <c r="G1510" s="84" t="s">
        <v>44</v>
      </c>
      <c r="H1510" s="176" t="s">
        <v>2280</v>
      </c>
      <c r="I1510" s="194" t="s">
        <v>1957</v>
      </c>
      <c r="J1510" s="14" t="s">
        <v>47</v>
      </c>
      <c r="K1510" s="12" t="s">
        <v>35</v>
      </c>
      <c r="L1510" s="98" t="s">
        <v>108</v>
      </c>
      <c r="M1510" s="84"/>
      <c r="N1510" s="133">
        <v>1946.5</v>
      </c>
      <c r="O1510" s="73">
        <f t="shared" si="29"/>
        <v>0</v>
      </c>
      <c r="P1510" s="15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22"/>
      <c r="AH1510" s="22"/>
      <c r="AI1510" s="22"/>
      <c r="AJ1510" s="22"/>
      <c r="AK1510" s="22"/>
      <c r="AL1510" s="22"/>
      <c r="AM1510" s="22"/>
      <c r="AN1510" s="22"/>
      <c r="AO1510" s="22"/>
      <c r="AP1510" s="22"/>
    </row>
    <row r="1511" ht="15.75" customHeight="1">
      <c r="A1511" s="103">
        <v>1.2163911E7</v>
      </c>
      <c r="B1511" s="84">
        <v>9.000713048E9</v>
      </c>
      <c r="C1511" s="11">
        <v>46060.0</v>
      </c>
      <c r="D1511" s="84">
        <v>26.0</v>
      </c>
      <c r="E1511" s="84">
        <v>30527.0</v>
      </c>
      <c r="F1511" s="103" t="s">
        <v>31</v>
      </c>
      <c r="G1511" s="84" t="s">
        <v>74</v>
      </c>
      <c r="H1511" s="84" t="s">
        <v>2203</v>
      </c>
      <c r="I1511" s="84" t="s">
        <v>2204</v>
      </c>
      <c r="J1511" s="238" t="s">
        <v>2082</v>
      </c>
      <c r="K1511" s="238" t="s">
        <v>2119</v>
      </c>
      <c r="L1511" s="98" t="s">
        <v>2105</v>
      </c>
      <c r="M1511" s="84"/>
      <c r="N1511" s="133">
        <v>5662.0</v>
      </c>
      <c r="O1511" s="73">
        <f t="shared" si="29"/>
        <v>0</v>
      </c>
      <c r="P1511" s="15"/>
      <c r="Q1511" s="12"/>
      <c r="R1511" s="12"/>
      <c r="S1511" s="12"/>
      <c r="T1511" s="12"/>
      <c r="U1511" s="12"/>
      <c r="V1511" s="12"/>
      <c r="W1511" s="12"/>
      <c r="X1511" s="241">
        <v>46062.333333333336</v>
      </c>
      <c r="Y1511" s="12"/>
      <c r="Z1511" s="12"/>
      <c r="AA1511" s="12"/>
      <c r="AB1511" s="12"/>
      <c r="AC1511" s="12"/>
      <c r="AD1511" s="12"/>
      <c r="AE1511" s="12"/>
      <c r="AF1511" s="12"/>
      <c r="AG1511" s="22"/>
      <c r="AH1511" s="22"/>
      <c r="AI1511" s="22"/>
      <c r="AJ1511" s="22"/>
      <c r="AK1511" s="22"/>
      <c r="AL1511" s="22"/>
      <c r="AM1511" s="22"/>
      <c r="AN1511" s="22"/>
      <c r="AO1511" s="22"/>
      <c r="AP1511" s="22"/>
    </row>
    <row r="1512" ht="15.75" customHeight="1">
      <c r="A1512" s="103">
        <v>1.216391E7</v>
      </c>
      <c r="B1512" s="84">
        <v>9.000713089E9</v>
      </c>
      <c r="C1512" s="11">
        <v>46060.0</v>
      </c>
      <c r="D1512" s="84">
        <v>26.0</v>
      </c>
      <c r="E1512" s="84">
        <v>30527.0</v>
      </c>
      <c r="F1512" s="103" t="s">
        <v>31</v>
      </c>
      <c r="G1512" s="84" t="s">
        <v>74</v>
      </c>
      <c r="H1512" s="84" t="s">
        <v>2203</v>
      </c>
      <c r="I1512" s="84" t="s">
        <v>2204</v>
      </c>
      <c r="J1512" s="238" t="s">
        <v>2082</v>
      </c>
      <c r="K1512" s="238" t="s">
        <v>2119</v>
      </c>
      <c r="L1512" s="98" t="s">
        <v>2105</v>
      </c>
      <c r="M1512" s="84"/>
      <c r="N1512" s="133">
        <v>5662.0</v>
      </c>
      <c r="O1512" s="73">
        <f t="shared" si="29"/>
        <v>0</v>
      </c>
      <c r="P1512" s="15"/>
      <c r="Q1512" s="12"/>
      <c r="R1512" s="12"/>
      <c r="S1512" s="12"/>
      <c r="T1512" s="12"/>
      <c r="U1512" s="12"/>
      <c r="V1512" s="12"/>
      <c r="W1512" s="12"/>
      <c r="X1512" s="241">
        <v>46062.333333333336</v>
      </c>
      <c r="Y1512" s="12"/>
      <c r="Z1512" s="12"/>
      <c r="AA1512" s="12"/>
      <c r="AB1512" s="12"/>
      <c r="AC1512" s="12"/>
      <c r="AD1512" s="12"/>
      <c r="AE1512" s="12"/>
      <c r="AF1512" s="12"/>
      <c r="AG1512" s="22"/>
      <c r="AH1512" s="22"/>
      <c r="AI1512" s="22"/>
      <c r="AJ1512" s="22"/>
      <c r="AK1512" s="22"/>
      <c r="AL1512" s="22"/>
      <c r="AM1512" s="22"/>
      <c r="AN1512" s="22"/>
      <c r="AO1512" s="22"/>
      <c r="AP1512" s="22"/>
    </row>
    <row r="1513" ht="15.75" customHeight="1">
      <c r="A1513" s="103">
        <v>1.2163913E7</v>
      </c>
      <c r="B1513" s="84">
        <v>9.000713017E9</v>
      </c>
      <c r="C1513" s="11">
        <v>46060.0</v>
      </c>
      <c r="D1513" s="84">
        <v>26.0</v>
      </c>
      <c r="E1513" s="84">
        <v>30527.0</v>
      </c>
      <c r="F1513" s="103" t="s">
        <v>31</v>
      </c>
      <c r="G1513" s="84" t="s">
        <v>74</v>
      </c>
      <c r="H1513" s="84" t="s">
        <v>2203</v>
      </c>
      <c r="I1513" s="84" t="s">
        <v>2204</v>
      </c>
      <c r="J1513" s="238" t="s">
        <v>2082</v>
      </c>
      <c r="K1513" s="238" t="s">
        <v>2119</v>
      </c>
      <c r="L1513" s="98" t="s">
        <v>2105</v>
      </c>
      <c r="M1513" s="84"/>
      <c r="N1513" s="133">
        <v>5662.0</v>
      </c>
      <c r="O1513" s="73">
        <f t="shared" si="29"/>
        <v>0</v>
      </c>
      <c r="P1513" s="15"/>
      <c r="Q1513" s="12"/>
      <c r="R1513" s="12"/>
      <c r="S1513" s="12"/>
      <c r="T1513" s="12"/>
      <c r="U1513" s="12"/>
      <c r="V1513" s="12"/>
      <c r="W1513" s="12"/>
      <c r="X1513" s="241">
        <v>46062.333333333336</v>
      </c>
      <c r="Y1513" s="12"/>
      <c r="Z1513" s="12"/>
      <c r="AA1513" s="12"/>
      <c r="AB1513" s="12"/>
      <c r="AC1513" s="12"/>
      <c r="AD1513" s="12"/>
      <c r="AE1513" s="12"/>
      <c r="AF1513" s="12"/>
      <c r="AG1513" s="22"/>
      <c r="AH1513" s="22"/>
      <c r="AI1513" s="22"/>
      <c r="AJ1513" s="22"/>
      <c r="AK1513" s="22"/>
      <c r="AL1513" s="22"/>
      <c r="AM1513" s="22"/>
      <c r="AN1513" s="22"/>
      <c r="AO1513" s="22"/>
      <c r="AP1513" s="22"/>
    </row>
    <row r="1514" ht="15.75" customHeight="1">
      <c r="A1514" s="103">
        <v>1.2160619E7</v>
      </c>
      <c r="B1514" s="84">
        <v>9.000709823E9</v>
      </c>
      <c r="C1514" s="11">
        <v>46060.0</v>
      </c>
      <c r="D1514" s="84">
        <v>26.0</v>
      </c>
      <c r="E1514" s="84">
        <v>28293.0</v>
      </c>
      <c r="F1514" s="9" t="s">
        <v>43</v>
      </c>
      <c r="G1514" s="84" t="s">
        <v>44</v>
      </c>
      <c r="H1514" s="84" t="s">
        <v>1317</v>
      </c>
      <c r="I1514" s="98" t="s">
        <v>2131</v>
      </c>
      <c r="J1514" s="84" t="s">
        <v>35</v>
      </c>
      <c r="K1514" s="84" t="s">
        <v>138</v>
      </c>
      <c r="L1514" s="98" t="s">
        <v>94</v>
      </c>
      <c r="M1514" s="84"/>
      <c r="N1514" s="133">
        <v>4863.0</v>
      </c>
      <c r="O1514" s="73">
        <f t="shared" si="29"/>
        <v>0</v>
      </c>
      <c r="P1514" s="15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22"/>
      <c r="AH1514" s="22"/>
      <c r="AI1514" s="22"/>
      <c r="AJ1514" s="22"/>
      <c r="AK1514" s="22"/>
      <c r="AL1514" s="22"/>
      <c r="AM1514" s="22"/>
      <c r="AN1514" s="22"/>
      <c r="AO1514" s="22"/>
      <c r="AP1514" s="22"/>
    </row>
    <row r="1515" ht="15.75" customHeight="1">
      <c r="A1515" s="103">
        <v>1.2160621E7</v>
      </c>
      <c r="B1515" s="84">
        <v>9.000709879E9</v>
      </c>
      <c r="C1515" s="11">
        <v>46060.0</v>
      </c>
      <c r="D1515" s="84">
        <v>23.0</v>
      </c>
      <c r="E1515" s="84">
        <v>1887.0</v>
      </c>
      <c r="F1515" s="9" t="s">
        <v>43</v>
      </c>
      <c r="G1515" s="12" t="s">
        <v>44</v>
      </c>
      <c r="H1515" s="84" t="s">
        <v>2281</v>
      </c>
      <c r="I1515" s="98" t="s">
        <v>2131</v>
      </c>
      <c r="J1515" s="84" t="s">
        <v>35</v>
      </c>
      <c r="K1515" s="84" t="s">
        <v>138</v>
      </c>
      <c r="L1515" s="98" t="s">
        <v>94</v>
      </c>
      <c r="M1515" s="84"/>
      <c r="N1515" s="133">
        <v>4863.0</v>
      </c>
      <c r="O1515" s="73">
        <f t="shared" si="29"/>
        <v>0</v>
      </c>
      <c r="P1515" s="15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22"/>
      <c r="AH1515" s="22"/>
      <c r="AI1515" s="22"/>
      <c r="AJ1515" s="22"/>
      <c r="AK1515" s="22"/>
      <c r="AL1515" s="22"/>
      <c r="AM1515" s="22"/>
      <c r="AN1515" s="22"/>
      <c r="AO1515" s="22"/>
      <c r="AP1515" s="22"/>
    </row>
    <row r="1516" ht="15.75" customHeight="1">
      <c r="A1516" s="103">
        <v>1.2161374E7</v>
      </c>
      <c r="B1516" s="84">
        <v>9.000710788E9</v>
      </c>
      <c r="C1516" s="11">
        <v>46060.0</v>
      </c>
      <c r="D1516" s="84">
        <v>26.0</v>
      </c>
      <c r="E1516" s="84">
        <v>31752.0</v>
      </c>
      <c r="F1516" s="103" t="s">
        <v>43</v>
      </c>
      <c r="G1516" s="84" t="s">
        <v>44</v>
      </c>
      <c r="H1516" s="169" t="s">
        <v>45</v>
      </c>
      <c r="I1516" s="209" t="s">
        <v>46</v>
      </c>
      <c r="J1516" s="12" t="s">
        <v>35</v>
      </c>
      <c r="K1516" s="14" t="s">
        <v>47</v>
      </c>
      <c r="L1516" s="98" t="s">
        <v>108</v>
      </c>
      <c r="M1516" s="84"/>
      <c r="N1516" s="133">
        <v>1946.5</v>
      </c>
      <c r="O1516" s="73">
        <f t="shared" si="29"/>
        <v>0</v>
      </c>
      <c r="P1516" s="15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22"/>
      <c r="AH1516" s="22"/>
      <c r="AI1516" s="22"/>
      <c r="AJ1516" s="22"/>
      <c r="AK1516" s="22"/>
      <c r="AL1516" s="22"/>
      <c r="AM1516" s="22"/>
      <c r="AN1516" s="22"/>
      <c r="AO1516" s="22"/>
      <c r="AP1516" s="22"/>
    </row>
    <row r="1517" ht="15.75" customHeight="1">
      <c r="A1517" s="103">
        <v>1.2161377E7</v>
      </c>
      <c r="B1517" s="84">
        <v>9.000710794E9</v>
      </c>
      <c r="C1517" s="11">
        <v>46060.0</v>
      </c>
      <c r="D1517" s="84">
        <v>9.0</v>
      </c>
      <c r="E1517" s="84">
        <v>9179.0</v>
      </c>
      <c r="F1517" s="103" t="s">
        <v>43</v>
      </c>
      <c r="G1517" s="84" t="s">
        <v>44</v>
      </c>
      <c r="H1517" s="176" t="s">
        <v>2282</v>
      </c>
      <c r="I1517" s="194" t="s">
        <v>1957</v>
      </c>
      <c r="J1517" s="14" t="s">
        <v>47</v>
      </c>
      <c r="K1517" s="12" t="s">
        <v>35</v>
      </c>
      <c r="L1517" s="98" t="s">
        <v>108</v>
      </c>
      <c r="M1517" s="84"/>
      <c r="N1517" s="133">
        <v>1946.5</v>
      </c>
      <c r="O1517" s="73">
        <f t="shared" si="29"/>
        <v>0</v>
      </c>
      <c r="P1517" s="15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22"/>
      <c r="AH1517" s="22"/>
      <c r="AI1517" s="22"/>
      <c r="AJ1517" s="22"/>
      <c r="AK1517" s="22"/>
      <c r="AL1517" s="22"/>
      <c r="AM1517" s="22"/>
      <c r="AN1517" s="22"/>
      <c r="AO1517" s="22"/>
      <c r="AP1517" s="22"/>
    </row>
    <row r="1518" ht="15.75" customHeight="1">
      <c r="A1518" s="103">
        <v>1.2161376E7</v>
      </c>
      <c r="B1518" s="84">
        <v>9.000710786E9</v>
      </c>
      <c r="C1518" s="11">
        <v>46060.0</v>
      </c>
      <c r="D1518" s="84">
        <v>28.0</v>
      </c>
      <c r="E1518" s="84">
        <v>34058.0</v>
      </c>
      <c r="F1518" s="103" t="s">
        <v>31</v>
      </c>
      <c r="G1518" s="84" t="s">
        <v>44</v>
      </c>
      <c r="H1518" s="169" t="s">
        <v>45</v>
      </c>
      <c r="I1518" s="209" t="s">
        <v>46</v>
      </c>
      <c r="J1518" s="12" t="s">
        <v>35</v>
      </c>
      <c r="K1518" s="14" t="s">
        <v>47</v>
      </c>
      <c r="L1518" s="98" t="s">
        <v>108</v>
      </c>
      <c r="M1518" s="84"/>
      <c r="N1518" s="133">
        <v>2545.0</v>
      </c>
      <c r="O1518" s="73">
        <f t="shared" si="29"/>
        <v>0</v>
      </c>
      <c r="P1518" s="15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22"/>
      <c r="AH1518" s="22"/>
      <c r="AI1518" s="22"/>
      <c r="AJ1518" s="22"/>
      <c r="AK1518" s="22"/>
      <c r="AL1518" s="22"/>
      <c r="AM1518" s="22"/>
      <c r="AN1518" s="22"/>
      <c r="AO1518" s="22"/>
      <c r="AP1518" s="22"/>
    </row>
    <row r="1519" ht="15.75" customHeight="1">
      <c r="A1519" s="103">
        <v>1.2160888E7</v>
      </c>
      <c r="B1519" s="84">
        <v>9.000709781E9</v>
      </c>
      <c r="C1519" s="11">
        <v>46062.0</v>
      </c>
      <c r="D1519" s="84">
        <v>25.0</v>
      </c>
      <c r="E1519" s="84">
        <v>30321.0</v>
      </c>
      <c r="F1519" s="103" t="s">
        <v>31</v>
      </c>
      <c r="G1519" s="84" t="s">
        <v>74</v>
      </c>
      <c r="H1519" s="84" t="s">
        <v>2049</v>
      </c>
      <c r="I1519" s="84" t="s">
        <v>2283</v>
      </c>
      <c r="J1519" s="25" t="s">
        <v>35</v>
      </c>
      <c r="K1519" s="84" t="s">
        <v>2089</v>
      </c>
      <c r="L1519" s="98" t="s">
        <v>114</v>
      </c>
      <c r="M1519" s="84"/>
      <c r="N1519" s="133">
        <v>5471.0</v>
      </c>
      <c r="O1519" s="73">
        <f t="shared" si="29"/>
        <v>0</v>
      </c>
      <c r="P1519" s="15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22"/>
      <c r="AH1519" s="22"/>
      <c r="AI1519" s="22"/>
      <c r="AJ1519" s="22"/>
      <c r="AK1519" s="22"/>
      <c r="AL1519" s="22"/>
      <c r="AM1519" s="22"/>
      <c r="AN1519" s="22"/>
      <c r="AO1519" s="22"/>
      <c r="AP1519" s="22"/>
    </row>
    <row r="1520" ht="15.75" customHeight="1">
      <c r="A1520" s="9"/>
      <c r="B1520" s="84"/>
      <c r="C1520" s="11"/>
      <c r="D1520" s="12"/>
      <c r="E1520" s="12"/>
      <c r="F1520" s="9"/>
      <c r="G1520" s="12"/>
      <c r="H1520" s="12"/>
      <c r="I1520" s="12"/>
      <c r="J1520" s="12"/>
      <c r="K1520" s="12"/>
      <c r="L1520" s="15"/>
      <c r="M1520" s="12"/>
      <c r="N1520" s="24"/>
      <c r="O1520" s="73"/>
      <c r="P1520" s="15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22"/>
      <c r="AH1520" s="22"/>
      <c r="AI1520" s="22"/>
      <c r="AJ1520" s="22"/>
      <c r="AK1520" s="22"/>
      <c r="AL1520" s="22"/>
      <c r="AM1520" s="22"/>
      <c r="AN1520" s="22"/>
      <c r="AO1520" s="22"/>
      <c r="AP1520" s="22"/>
    </row>
    <row r="1521" ht="15.75" customHeight="1">
      <c r="A1521" s="9"/>
      <c r="B1521" s="84"/>
      <c r="C1521" s="11"/>
      <c r="D1521" s="12"/>
      <c r="E1521" s="12"/>
      <c r="F1521" s="9"/>
      <c r="G1521" s="12"/>
      <c r="H1521" s="12"/>
      <c r="I1521" s="12"/>
      <c r="J1521" s="12"/>
      <c r="K1521" s="12"/>
      <c r="L1521" s="15"/>
      <c r="M1521" s="12"/>
      <c r="N1521" s="24"/>
      <c r="O1521" s="73"/>
      <c r="P1521" s="15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22"/>
      <c r="AH1521" s="22"/>
      <c r="AI1521" s="22"/>
      <c r="AJ1521" s="22"/>
      <c r="AK1521" s="22"/>
      <c r="AL1521" s="22"/>
      <c r="AM1521" s="22"/>
      <c r="AN1521" s="22"/>
      <c r="AO1521" s="22"/>
      <c r="AP1521" s="22"/>
    </row>
    <row r="1522" ht="15.75" customHeight="1">
      <c r="A1522" s="9"/>
      <c r="B1522" s="84"/>
      <c r="C1522" s="11"/>
      <c r="D1522" s="12"/>
      <c r="E1522" s="12"/>
      <c r="F1522" s="9"/>
      <c r="G1522" s="12"/>
      <c r="H1522" s="12"/>
      <c r="I1522" s="12"/>
      <c r="J1522" s="12"/>
      <c r="K1522" s="12"/>
      <c r="L1522" s="15"/>
      <c r="M1522" s="12"/>
      <c r="N1522" s="24"/>
      <c r="O1522" s="73"/>
      <c r="P1522" s="15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22"/>
      <c r="AH1522" s="22"/>
      <c r="AI1522" s="22"/>
      <c r="AJ1522" s="22"/>
      <c r="AK1522" s="22"/>
      <c r="AL1522" s="22"/>
      <c r="AM1522" s="22"/>
      <c r="AN1522" s="22"/>
      <c r="AO1522" s="22"/>
      <c r="AP1522" s="22"/>
    </row>
    <row r="1523" ht="15.75" customHeight="1">
      <c r="A1523" s="9"/>
      <c r="B1523" s="84"/>
      <c r="C1523" s="11"/>
      <c r="D1523" s="12"/>
      <c r="E1523" s="12"/>
      <c r="F1523" s="9"/>
      <c r="G1523" s="12"/>
      <c r="H1523" s="12"/>
      <c r="I1523" s="12"/>
      <c r="J1523" s="12"/>
      <c r="K1523" s="12"/>
      <c r="L1523" s="15"/>
      <c r="M1523" s="12"/>
      <c r="N1523" s="24"/>
      <c r="O1523" s="73"/>
      <c r="P1523" s="15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22"/>
      <c r="AH1523" s="22"/>
      <c r="AI1523" s="22"/>
      <c r="AJ1523" s="22"/>
      <c r="AK1523" s="22"/>
      <c r="AL1523" s="22"/>
      <c r="AM1523" s="22"/>
      <c r="AN1523" s="22"/>
      <c r="AO1523" s="22"/>
      <c r="AP1523" s="22"/>
    </row>
    <row r="1524" ht="15.75" customHeight="1">
      <c r="A1524" s="9"/>
      <c r="B1524" s="84"/>
      <c r="C1524" s="11"/>
      <c r="D1524" s="12"/>
      <c r="E1524" s="12"/>
      <c r="F1524" s="9"/>
      <c r="G1524" s="12"/>
      <c r="H1524" s="12"/>
      <c r="I1524" s="12"/>
      <c r="J1524" s="12"/>
      <c r="K1524" s="12"/>
      <c r="L1524" s="15"/>
      <c r="M1524" s="12"/>
      <c r="N1524" s="24"/>
      <c r="O1524" s="73"/>
      <c r="P1524" s="15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22"/>
      <c r="AH1524" s="22"/>
      <c r="AI1524" s="22"/>
      <c r="AJ1524" s="22"/>
      <c r="AK1524" s="22"/>
      <c r="AL1524" s="22"/>
      <c r="AM1524" s="22"/>
      <c r="AN1524" s="22"/>
      <c r="AO1524" s="22"/>
      <c r="AP1524" s="22"/>
    </row>
    <row r="1525" ht="15.75" customHeight="1">
      <c r="A1525" s="9"/>
      <c r="B1525" s="84"/>
      <c r="C1525" s="11"/>
      <c r="D1525" s="12"/>
      <c r="E1525" s="12"/>
      <c r="F1525" s="9"/>
      <c r="G1525" s="12"/>
      <c r="H1525" s="12"/>
      <c r="I1525" s="12"/>
      <c r="J1525" s="12"/>
      <c r="K1525" s="12"/>
      <c r="L1525" s="15"/>
      <c r="M1525" s="12"/>
      <c r="N1525" s="24"/>
      <c r="O1525" s="73"/>
      <c r="P1525" s="15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22"/>
      <c r="AH1525" s="22"/>
      <c r="AI1525" s="22"/>
      <c r="AJ1525" s="22"/>
      <c r="AK1525" s="22"/>
      <c r="AL1525" s="22"/>
      <c r="AM1525" s="22"/>
      <c r="AN1525" s="22"/>
      <c r="AO1525" s="22"/>
      <c r="AP1525" s="22"/>
    </row>
    <row r="1526" ht="15.75" customHeight="1">
      <c r="A1526" s="9"/>
      <c r="B1526" s="84"/>
      <c r="C1526" s="11"/>
      <c r="D1526" s="12"/>
      <c r="E1526" s="12"/>
      <c r="F1526" s="9"/>
      <c r="G1526" s="12"/>
      <c r="H1526" s="12"/>
      <c r="I1526" s="12"/>
      <c r="J1526" s="12"/>
      <c r="K1526" s="12"/>
      <c r="L1526" s="15"/>
      <c r="M1526" s="12"/>
      <c r="N1526" s="24"/>
      <c r="O1526" s="73"/>
      <c r="P1526" s="15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22"/>
      <c r="AH1526" s="22"/>
      <c r="AI1526" s="22"/>
      <c r="AJ1526" s="22"/>
      <c r="AK1526" s="22"/>
      <c r="AL1526" s="22"/>
      <c r="AM1526" s="22"/>
      <c r="AN1526" s="22"/>
      <c r="AO1526" s="22"/>
      <c r="AP1526" s="22"/>
    </row>
    <row r="1527" ht="15.75" customHeight="1">
      <c r="A1527" s="9"/>
      <c r="B1527" s="84"/>
      <c r="C1527" s="11"/>
      <c r="D1527" s="12"/>
      <c r="E1527" s="12"/>
      <c r="F1527" s="9"/>
      <c r="G1527" s="12"/>
      <c r="H1527" s="12"/>
      <c r="I1527" s="12"/>
      <c r="J1527" s="12"/>
      <c r="K1527" s="12"/>
      <c r="L1527" s="15"/>
      <c r="M1527" s="12"/>
      <c r="N1527" s="24"/>
      <c r="O1527" s="73"/>
      <c r="P1527" s="15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</row>
    <row r="1528" ht="15.75" customHeight="1">
      <c r="A1528" s="9"/>
      <c r="B1528" s="84"/>
      <c r="C1528" s="11"/>
      <c r="D1528" s="12"/>
      <c r="E1528" s="12"/>
      <c r="F1528" s="9"/>
      <c r="G1528" s="12"/>
      <c r="H1528" s="12"/>
      <c r="I1528" s="12"/>
      <c r="J1528" s="12"/>
      <c r="K1528" s="12"/>
      <c r="L1528" s="15"/>
      <c r="M1528" s="12"/>
      <c r="N1528" s="24"/>
      <c r="O1528" s="73"/>
      <c r="P1528" s="15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22"/>
      <c r="AH1528" s="22"/>
      <c r="AI1528" s="22"/>
      <c r="AJ1528" s="22"/>
      <c r="AK1528" s="22"/>
      <c r="AL1528" s="22"/>
      <c r="AM1528" s="22"/>
      <c r="AN1528" s="22"/>
      <c r="AO1528" s="22"/>
      <c r="AP1528" s="22"/>
    </row>
    <row r="1529" ht="15.75" customHeight="1">
      <c r="A1529" s="9"/>
      <c r="B1529" s="84"/>
      <c r="C1529" s="11"/>
      <c r="D1529" s="12"/>
      <c r="E1529" s="12"/>
      <c r="F1529" s="9"/>
      <c r="G1529" s="12"/>
      <c r="H1529" s="12"/>
      <c r="I1529" s="12"/>
      <c r="J1529" s="12"/>
      <c r="K1529" s="12"/>
      <c r="L1529" s="15"/>
      <c r="M1529" s="12"/>
      <c r="N1529" s="24"/>
      <c r="O1529" s="73"/>
      <c r="P1529" s="15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22"/>
      <c r="AH1529" s="22"/>
      <c r="AI1529" s="22"/>
      <c r="AJ1529" s="22"/>
      <c r="AK1529" s="22"/>
      <c r="AL1529" s="22"/>
      <c r="AM1529" s="22"/>
      <c r="AN1529" s="22"/>
      <c r="AO1529" s="22"/>
      <c r="AP1529" s="22"/>
    </row>
    <row r="1530" ht="15.75" customHeight="1">
      <c r="A1530" s="9"/>
      <c r="B1530" s="84"/>
      <c r="C1530" s="11"/>
      <c r="D1530" s="12"/>
      <c r="E1530" s="12"/>
      <c r="F1530" s="9"/>
      <c r="G1530" s="12"/>
      <c r="H1530" s="12"/>
      <c r="I1530" s="12"/>
      <c r="J1530" s="12"/>
      <c r="K1530" s="12"/>
      <c r="L1530" s="15"/>
      <c r="M1530" s="12"/>
      <c r="N1530" s="24"/>
      <c r="O1530" s="73"/>
      <c r="P1530" s="15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22"/>
      <c r="AH1530" s="22"/>
      <c r="AI1530" s="22"/>
      <c r="AJ1530" s="22"/>
      <c r="AK1530" s="22"/>
      <c r="AL1530" s="22"/>
      <c r="AM1530" s="22"/>
      <c r="AN1530" s="22"/>
      <c r="AO1530" s="22"/>
      <c r="AP1530" s="22"/>
    </row>
    <row r="1531" ht="15.75" customHeight="1">
      <c r="A1531" s="9"/>
      <c r="B1531" s="84"/>
      <c r="C1531" s="11"/>
      <c r="D1531" s="12"/>
      <c r="E1531" s="12"/>
      <c r="F1531" s="9"/>
      <c r="G1531" s="12"/>
      <c r="H1531" s="12"/>
      <c r="I1531" s="12"/>
      <c r="J1531" s="12"/>
      <c r="K1531" s="12"/>
      <c r="L1531" s="15"/>
      <c r="M1531" s="12"/>
      <c r="N1531" s="24"/>
      <c r="O1531" s="73"/>
      <c r="P1531" s="15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22"/>
      <c r="AH1531" s="22"/>
      <c r="AI1531" s="22"/>
      <c r="AJ1531" s="22"/>
      <c r="AK1531" s="22"/>
      <c r="AL1531" s="22"/>
      <c r="AM1531" s="22"/>
      <c r="AN1531" s="22"/>
      <c r="AO1531" s="22"/>
      <c r="AP1531" s="22"/>
    </row>
    <row r="1532" ht="15.75" customHeight="1">
      <c r="A1532" s="9"/>
      <c r="B1532" s="84"/>
      <c r="C1532" s="11"/>
      <c r="D1532" s="12"/>
      <c r="E1532" s="12"/>
      <c r="F1532" s="9"/>
      <c r="G1532" s="12"/>
      <c r="H1532" s="12"/>
      <c r="I1532" s="12"/>
      <c r="J1532" s="12"/>
      <c r="K1532" s="12"/>
      <c r="L1532" s="15"/>
      <c r="M1532" s="12"/>
      <c r="N1532" s="24"/>
      <c r="O1532" s="73"/>
      <c r="P1532" s="15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22"/>
      <c r="AH1532" s="22"/>
      <c r="AI1532" s="22"/>
      <c r="AJ1532" s="22"/>
      <c r="AK1532" s="22"/>
      <c r="AL1532" s="22"/>
      <c r="AM1532" s="22"/>
      <c r="AN1532" s="22"/>
      <c r="AO1532" s="22"/>
      <c r="AP1532" s="22"/>
    </row>
    <row r="1533" ht="15.75" customHeight="1">
      <c r="A1533" s="9"/>
      <c r="B1533" s="84"/>
      <c r="C1533" s="11"/>
      <c r="D1533" s="12"/>
      <c r="E1533" s="12"/>
      <c r="F1533" s="9"/>
      <c r="G1533" s="12"/>
      <c r="H1533" s="12"/>
      <c r="I1533" s="12"/>
      <c r="J1533" s="12"/>
      <c r="K1533" s="12"/>
      <c r="L1533" s="15"/>
      <c r="M1533" s="12"/>
      <c r="N1533" s="24"/>
      <c r="O1533" s="73"/>
      <c r="P1533" s="15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22"/>
      <c r="AH1533" s="22"/>
      <c r="AI1533" s="22"/>
      <c r="AJ1533" s="22"/>
      <c r="AK1533" s="22"/>
      <c r="AL1533" s="22"/>
      <c r="AM1533" s="22"/>
      <c r="AN1533" s="22"/>
      <c r="AO1533" s="22"/>
      <c r="AP1533" s="22"/>
    </row>
    <row r="1534" ht="15.75" customHeight="1">
      <c r="A1534" s="9"/>
      <c r="B1534" s="84"/>
      <c r="C1534" s="11"/>
      <c r="D1534" s="12"/>
      <c r="E1534" s="12"/>
      <c r="F1534" s="9"/>
      <c r="G1534" s="12"/>
      <c r="H1534" s="12"/>
      <c r="I1534" s="12"/>
      <c r="J1534" s="12"/>
      <c r="K1534" s="12"/>
      <c r="L1534" s="15"/>
      <c r="M1534" s="12"/>
      <c r="N1534" s="24"/>
      <c r="O1534" s="73"/>
      <c r="P1534" s="15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22"/>
      <c r="AH1534" s="22"/>
      <c r="AI1534" s="22"/>
      <c r="AJ1534" s="22"/>
      <c r="AK1534" s="22"/>
      <c r="AL1534" s="22"/>
      <c r="AM1534" s="22"/>
      <c r="AN1534" s="22"/>
      <c r="AO1534" s="22"/>
      <c r="AP1534" s="22"/>
    </row>
    <row r="1535" ht="15.75" customHeight="1">
      <c r="A1535" s="9"/>
      <c r="B1535" s="84"/>
      <c r="C1535" s="11"/>
      <c r="D1535" s="12"/>
      <c r="E1535" s="12"/>
      <c r="F1535" s="9"/>
      <c r="G1535" s="12"/>
      <c r="H1535" s="12"/>
      <c r="I1535" s="12"/>
      <c r="J1535" s="12"/>
      <c r="K1535" s="12"/>
      <c r="L1535" s="15"/>
      <c r="M1535" s="12"/>
      <c r="N1535" s="24"/>
      <c r="O1535" s="73"/>
      <c r="P1535" s="15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22"/>
      <c r="AH1535" s="22"/>
      <c r="AI1535" s="22"/>
      <c r="AJ1535" s="22"/>
      <c r="AK1535" s="22"/>
      <c r="AL1535" s="22"/>
      <c r="AM1535" s="22"/>
      <c r="AN1535" s="22"/>
      <c r="AO1535" s="22"/>
      <c r="AP1535" s="22"/>
    </row>
    <row r="1536" ht="15.75" customHeight="1">
      <c r="A1536" s="9"/>
      <c r="B1536" s="84"/>
      <c r="C1536" s="11"/>
      <c r="D1536" s="12"/>
      <c r="E1536" s="12"/>
      <c r="F1536" s="9"/>
      <c r="G1536" s="12"/>
      <c r="H1536" s="12"/>
      <c r="I1536" s="12"/>
      <c r="J1536" s="12"/>
      <c r="K1536" s="12"/>
      <c r="L1536" s="15"/>
      <c r="M1536" s="12"/>
      <c r="N1536" s="24"/>
      <c r="O1536" s="73"/>
      <c r="P1536" s="15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22"/>
      <c r="AH1536" s="22"/>
      <c r="AI1536" s="22"/>
      <c r="AJ1536" s="22"/>
      <c r="AK1536" s="22"/>
      <c r="AL1536" s="22"/>
      <c r="AM1536" s="22"/>
      <c r="AN1536" s="22"/>
      <c r="AO1536" s="22"/>
      <c r="AP1536" s="22"/>
    </row>
    <row r="1537" ht="15.75" customHeight="1">
      <c r="A1537" s="9"/>
      <c r="B1537" s="84"/>
      <c r="C1537" s="11"/>
      <c r="D1537" s="12"/>
      <c r="E1537" s="12"/>
      <c r="F1537" s="9"/>
      <c r="G1537" s="12"/>
      <c r="H1537" s="12"/>
      <c r="I1537" s="12"/>
      <c r="J1537" s="12"/>
      <c r="K1537" s="12"/>
      <c r="L1537" s="15"/>
      <c r="M1537" s="12"/>
      <c r="N1537" s="24"/>
      <c r="O1537" s="73"/>
      <c r="P1537" s="15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22"/>
      <c r="AH1537" s="22"/>
      <c r="AI1537" s="22"/>
      <c r="AJ1537" s="22"/>
      <c r="AK1537" s="22"/>
      <c r="AL1537" s="22"/>
      <c r="AM1537" s="22"/>
      <c r="AN1537" s="22"/>
      <c r="AO1537" s="22"/>
      <c r="AP1537" s="22"/>
    </row>
    <row r="1538" ht="15.75" customHeight="1">
      <c r="A1538" s="9"/>
      <c r="B1538" s="84"/>
      <c r="C1538" s="11"/>
      <c r="D1538" s="12"/>
      <c r="E1538" s="12"/>
      <c r="F1538" s="9"/>
      <c r="G1538" s="12"/>
      <c r="H1538" s="12"/>
      <c r="I1538" s="12"/>
      <c r="J1538" s="12"/>
      <c r="K1538" s="12"/>
      <c r="L1538" s="15"/>
      <c r="M1538" s="12"/>
      <c r="N1538" s="24"/>
      <c r="O1538" s="73"/>
      <c r="P1538" s="15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22"/>
      <c r="AH1538" s="22"/>
      <c r="AI1538" s="22"/>
      <c r="AJ1538" s="22"/>
      <c r="AK1538" s="22"/>
      <c r="AL1538" s="22"/>
      <c r="AM1538" s="22"/>
      <c r="AN1538" s="22"/>
      <c r="AO1538" s="22"/>
      <c r="AP1538" s="22"/>
    </row>
    <row r="1539" ht="15.75" customHeight="1">
      <c r="A1539" s="9"/>
      <c r="B1539" s="84"/>
      <c r="C1539" s="11"/>
      <c r="D1539" s="12"/>
      <c r="E1539" s="12"/>
      <c r="F1539" s="9"/>
      <c r="G1539" s="12"/>
      <c r="H1539" s="12"/>
      <c r="I1539" s="12"/>
      <c r="J1539" s="12"/>
      <c r="K1539" s="12"/>
      <c r="L1539" s="15"/>
      <c r="M1539" s="12"/>
      <c r="N1539" s="24"/>
      <c r="O1539" s="73"/>
      <c r="P1539" s="15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22"/>
      <c r="AH1539" s="22"/>
      <c r="AI1539" s="22"/>
      <c r="AJ1539" s="22"/>
      <c r="AK1539" s="22"/>
      <c r="AL1539" s="22"/>
      <c r="AM1539" s="22"/>
      <c r="AN1539" s="22"/>
      <c r="AO1539" s="22"/>
      <c r="AP1539" s="22"/>
    </row>
    <row r="1540" ht="15.75" customHeight="1">
      <c r="A1540" s="9"/>
      <c r="B1540" s="84"/>
      <c r="C1540" s="11"/>
      <c r="D1540" s="12"/>
      <c r="E1540" s="12"/>
      <c r="F1540" s="9"/>
      <c r="G1540" s="12"/>
      <c r="H1540" s="12"/>
      <c r="I1540" s="12"/>
      <c r="J1540" s="12"/>
      <c r="K1540" s="12"/>
      <c r="L1540" s="15"/>
      <c r="M1540" s="12"/>
      <c r="N1540" s="24"/>
      <c r="O1540" s="73"/>
      <c r="P1540" s="15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22"/>
      <c r="AH1540" s="22"/>
      <c r="AI1540" s="22"/>
      <c r="AJ1540" s="22"/>
      <c r="AK1540" s="22"/>
      <c r="AL1540" s="22"/>
      <c r="AM1540" s="22"/>
      <c r="AN1540" s="22"/>
      <c r="AO1540" s="22"/>
      <c r="AP1540" s="22"/>
    </row>
    <row r="1541" ht="15.75" customHeight="1">
      <c r="A1541" s="9"/>
      <c r="B1541" s="84"/>
      <c r="C1541" s="11"/>
      <c r="D1541" s="12"/>
      <c r="E1541" s="12"/>
      <c r="F1541" s="9"/>
      <c r="G1541" s="12"/>
      <c r="H1541" s="12"/>
      <c r="I1541" s="12"/>
      <c r="J1541" s="12"/>
      <c r="K1541" s="12"/>
      <c r="L1541" s="15"/>
      <c r="M1541" s="12"/>
      <c r="N1541" s="24"/>
      <c r="O1541" s="73"/>
      <c r="P1541" s="15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22"/>
      <c r="AH1541" s="22"/>
      <c r="AI1541" s="22"/>
      <c r="AJ1541" s="22"/>
      <c r="AK1541" s="22"/>
      <c r="AL1541" s="22"/>
      <c r="AM1541" s="22"/>
      <c r="AN1541" s="22"/>
      <c r="AO1541" s="22"/>
      <c r="AP1541" s="22"/>
    </row>
    <row r="1542" ht="15.75" customHeight="1">
      <c r="A1542" s="9"/>
      <c r="B1542" s="84"/>
      <c r="C1542" s="11"/>
      <c r="D1542" s="12"/>
      <c r="E1542" s="12"/>
      <c r="F1542" s="9"/>
      <c r="G1542" s="12"/>
      <c r="H1542" s="12"/>
      <c r="I1542" s="12"/>
      <c r="J1542" s="12"/>
      <c r="K1542" s="12"/>
      <c r="L1542" s="15"/>
      <c r="M1542" s="12"/>
      <c r="N1542" s="24"/>
      <c r="O1542" s="73"/>
      <c r="P1542" s="15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22"/>
      <c r="AH1542" s="22"/>
      <c r="AI1542" s="22"/>
      <c r="AJ1542" s="22"/>
      <c r="AK1542" s="22"/>
      <c r="AL1542" s="22"/>
      <c r="AM1542" s="22"/>
      <c r="AN1542" s="22"/>
      <c r="AO1542" s="22"/>
      <c r="AP1542" s="22"/>
    </row>
    <row r="1543" ht="15.75" customHeight="1">
      <c r="A1543" s="9"/>
      <c r="B1543" s="84"/>
      <c r="C1543" s="11"/>
      <c r="D1543" s="12"/>
      <c r="E1543" s="12"/>
      <c r="F1543" s="9"/>
      <c r="G1543" s="12"/>
      <c r="H1543" s="12"/>
      <c r="I1543" s="12"/>
      <c r="J1543" s="12"/>
      <c r="K1543" s="12"/>
      <c r="L1543" s="15"/>
      <c r="M1543" s="12"/>
      <c r="N1543" s="24"/>
      <c r="O1543" s="73"/>
      <c r="P1543" s="15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22"/>
      <c r="AH1543" s="22"/>
      <c r="AI1543" s="22"/>
      <c r="AJ1543" s="22"/>
      <c r="AK1543" s="22"/>
      <c r="AL1543" s="22"/>
      <c r="AM1543" s="22"/>
      <c r="AN1543" s="22"/>
      <c r="AO1543" s="22"/>
      <c r="AP1543" s="22"/>
    </row>
    <row r="1544" ht="15.75" customHeight="1">
      <c r="A1544" s="9"/>
      <c r="B1544" s="84"/>
      <c r="C1544" s="11"/>
      <c r="D1544" s="12"/>
      <c r="E1544" s="12"/>
      <c r="F1544" s="9"/>
      <c r="G1544" s="12"/>
      <c r="H1544" s="12"/>
      <c r="I1544" s="12"/>
      <c r="J1544" s="12"/>
      <c r="K1544" s="12"/>
      <c r="L1544" s="15"/>
      <c r="M1544" s="12"/>
      <c r="N1544" s="24"/>
      <c r="O1544" s="73"/>
      <c r="P1544" s="15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22"/>
      <c r="AH1544" s="22"/>
      <c r="AI1544" s="22"/>
      <c r="AJ1544" s="22"/>
      <c r="AK1544" s="22"/>
      <c r="AL1544" s="22"/>
      <c r="AM1544" s="22"/>
      <c r="AN1544" s="22"/>
      <c r="AO1544" s="22"/>
      <c r="AP1544" s="22"/>
    </row>
    <row r="1545" ht="15.75" customHeight="1">
      <c r="A1545" s="9"/>
      <c r="B1545" s="84"/>
      <c r="C1545" s="11"/>
      <c r="D1545" s="12"/>
      <c r="E1545" s="12"/>
      <c r="F1545" s="9"/>
      <c r="G1545" s="12"/>
      <c r="H1545" s="12"/>
      <c r="I1545" s="12"/>
      <c r="J1545" s="12"/>
      <c r="K1545" s="12"/>
      <c r="L1545" s="15"/>
      <c r="M1545" s="12"/>
      <c r="N1545" s="24"/>
      <c r="O1545" s="73"/>
      <c r="P1545" s="15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22"/>
      <c r="AH1545" s="22"/>
      <c r="AI1545" s="22"/>
      <c r="AJ1545" s="22"/>
      <c r="AK1545" s="22"/>
      <c r="AL1545" s="22"/>
      <c r="AM1545" s="22"/>
      <c r="AN1545" s="22"/>
      <c r="AO1545" s="22"/>
      <c r="AP1545" s="22"/>
    </row>
    <row r="1546" ht="15.75" customHeight="1">
      <c r="A1546" s="9"/>
      <c r="B1546" s="84"/>
      <c r="C1546" s="11"/>
      <c r="D1546" s="12"/>
      <c r="E1546" s="12"/>
      <c r="F1546" s="9"/>
      <c r="G1546" s="12"/>
      <c r="H1546" s="12"/>
      <c r="I1546" s="12"/>
      <c r="J1546" s="12"/>
      <c r="K1546" s="12"/>
      <c r="L1546" s="15"/>
      <c r="M1546" s="12"/>
      <c r="N1546" s="24"/>
      <c r="O1546" s="73"/>
      <c r="P1546" s="15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22"/>
      <c r="AH1546" s="22"/>
      <c r="AI1546" s="22"/>
      <c r="AJ1546" s="22"/>
      <c r="AK1546" s="22"/>
      <c r="AL1546" s="22"/>
      <c r="AM1546" s="22"/>
      <c r="AN1546" s="22"/>
      <c r="AO1546" s="22"/>
      <c r="AP1546" s="22"/>
    </row>
    <row r="1547" ht="15.75" customHeight="1">
      <c r="A1547" s="9"/>
      <c r="B1547" s="84"/>
      <c r="C1547" s="11"/>
      <c r="D1547" s="12"/>
      <c r="E1547" s="12"/>
      <c r="F1547" s="9"/>
      <c r="G1547" s="12"/>
      <c r="H1547" s="12"/>
      <c r="I1547" s="12"/>
      <c r="J1547" s="12"/>
      <c r="K1547" s="12"/>
      <c r="L1547" s="15"/>
      <c r="M1547" s="12"/>
      <c r="N1547" s="24"/>
      <c r="O1547" s="73"/>
      <c r="P1547" s="15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22"/>
      <c r="AH1547" s="22"/>
      <c r="AI1547" s="22"/>
      <c r="AJ1547" s="22"/>
      <c r="AK1547" s="22"/>
      <c r="AL1547" s="22"/>
      <c r="AM1547" s="22"/>
      <c r="AN1547" s="22"/>
      <c r="AO1547" s="22"/>
      <c r="AP1547" s="22"/>
    </row>
    <row r="1548" ht="15.75" customHeight="1">
      <c r="A1548" s="9"/>
      <c r="B1548" s="84"/>
      <c r="C1548" s="11"/>
      <c r="D1548" s="12"/>
      <c r="E1548" s="12"/>
      <c r="F1548" s="9"/>
      <c r="G1548" s="12"/>
      <c r="H1548" s="12"/>
      <c r="I1548" s="12"/>
      <c r="J1548" s="12"/>
      <c r="K1548" s="12"/>
      <c r="L1548" s="15"/>
      <c r="M1548" s="12"/>
      <c r="N1548" s="24"/>
      <c r="O1548" s="73"/>
      <c r="P1548" s="15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22"/>
      <c r="AH1548" s="22"/>
      <c r="AI1548" s="22"/>
      <c r="AJ1548" s="22"/>
      <c r="AK1548" s="22"/>
      <c r="AL1548" s="22"/>
      <c r="AM1548" s="22"/>
      <c r="AN1548" s="22"/>
      <c r="AO1548" s="22"/>
      <c r="AP1548" s="22"/>
    </row>
    <row r="1549" ht="15.75" customHeight="1">
      <c r="A1549" s="9"/>
      <c r="B1549" s="84"/>
      <c r="C1549" s="11"/>
      <c r="D1549" s="12"/>
      <c r="E1549" s="12"/>
      <c r="F1549" s="9"/>
      <c r="G1549" s="12"/>
      <c r="H1549" s="12"/>
      <c r="I1549" s="12"/>
      <c r="J1549" s="12"/>
      <c r="K1549" s="12"/>
      <c r="L1549" s="15"/>
      <c r="M1549" s="12"/>
      <c r="N1549" s="24"/>
      <c r="O1549" s="73"/>
      <c r="P1549" s="15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22"/>
      <c r="AH1549" s="22"/>
      <c r="AI1549" s="22"/>
      <c r="AJ1549" s="22"/>
      <c r="AK1549" s="22"/>
      <c r="AL1549" s="22"/>
      <c r="AM1549" s="22"/>
      <c r="AN1549" s="22"/>
      <c r="AO1549" s="22"/>
      <c r="AP1549" s="22"/>
    </row>
    <row r="1550" ht="15.75" customHeight="1">
      <c r="A1550" s="9"/>
      <c r="B1550" s="84"/>
      <c r="C1550" s="11"/>
      <c r="D1550" s="12"/>
      <c r="E1550" s="12"/>
      <c r="F1550" s="9"/>
      <c r="G1550" s="12"/>
      <c r="H1550" s="12"/>
      <c r="I1550" s="12"/>
      <c r="J1550" s="12"/>
      <c r="K1550" s="12"/>
      <c r="L1550" s="15"/>
      <c r="M1550" s="12"/>
      <c r="N1550" s="24"/>
      <c r="O1550" s="73"/>
      <c r="P1550" s="15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22"/>
      <c r="AH1550" s="22"/>
      <c r="AI1550" s="22"/>
      <c r="AJ1550" s="22"/>
      <c r="AK1550" s="22"/>
      <c r="AL1550" s="22"/>
      <c r="AM1550" s="22"/>
      <c r="AN1550" s="22"/>
      <c r="AO1550" s="22"/>
      <c r="AP1550" s="22"/>
    </row>
    <row r="1551" ht="15.75" customHeight="1">
      <c r="A1551" s="9"/>
      <c r="B1551" s="84"/>
      <c r="C1551" s="11"/>
      <c r="D1551" s="12"/>
      <c r="E1551" s="12"/>
      <c r="F1551" s="9"/>
      <c r="G1551" s="12"/>
      <c r="H1551" s="12"/>
      <c r="I1551" s="12"/>
      <c r="J1551" s="12"/>
      <c r="K1551" s="12"/>
      <c r="L1551" s="15"/>
      <c r="M1551" s="12"/>
      <c r="N1551" s="24"/>
      <c r="O1551" s="73"/>
      <c r="P1551" s="15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22"/>
      <c r="AH1551" s="22"/>
      <c r="AI1551" s="22"/>
      <c r="AJ1551" s="22"/>
      <c r="AK1551" s="22"/>
      <c r="AL1551" s="22"/>
      <c r="AM1551" s="22"/>
      <c r="AN1551" s="22"/>
      <c r="AO1551" s="22"/>
      <c r="AP1551" s="22"/>
    </row>
    <row r="1552" ht="15.75" customHeight="1">
      <c r="A1552" s="9"/>
      <c r="B1552" s="84"/>
      <c r="C1552" s="11"/>
      <c r="D1552" s="12"/>
      <c r="E1552" s="12"/>
      <c r="F1552" s="9"/>
      <c r="G1552" s="12"/>
      <c r="H1552" s="12"/>
      <c r="I1552" s="12"/>
      <c r="J1552" s="12"/>
      <c r="K1552" s="12"/>
      <c r="L1552" s="15"/>
      <c r="M1552" s="12"/>
      <c r="N1552" s="24"/>
      <c r="O1552" s="73"/>
      <c r="P1552" s="15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22"/>
      <c r="AH1552" s="22"/>
      <c r="AI1552" s="22"/>
      <c r="AJ1552" s="22"/>
      <c r="AK1552" s="22"/>
      <c r="AL1552" s="22"/>
      <c r="AM1552" s="22"/>
      <c r="AN1552" s="22"/>
      <c r="AO1552" s="22"/>
      <c r="AP1552" s="22"/>
    </row>
    <row r="1553" ht="15.75" customHeight="1">
      <c r="A1553" s="9"/>
      <c r="B1553" s="84"/>
      <c r="C1553" s="11"/>
      <c r="D1553" s="12"/>
      <c r="E1553" s="12"/>
      <c r="F1553" s="9"/>
      <c r="G1553" s="12"/>
      <c r="H1553" s="12"/>
      <c r="I1553" s="12"/>
      <c r="J1553" s="12"/>
      <c r="K1553" s="12"/>
      <c r="L1553" s="15"/>
      <c r="M1553" s="12"/>
      <c r="N1553" s="24"/>
      <c r="O1553" s="73"/>
      <c r="P1553" s="15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22"/>
      <c r="AH1553" s="22"/>
      <c r="AI1553" s="22"/>
      <c r="AJ1553" s="22"/>
      <c r="AK1553" s="22"/>
      <c r="AL1553" s="22"/>
      <c r="AM1553" s="22"/>
      <c r="AN1553" s="22"/>
      <c r="AO1553" s="22"/>
      <c r="AP1553" s="22"/>
    </row>
    <row r="1554" ht="15.75" customHeight="1">
      <c r="A1554" s="9"/>
      <c r="B1554" s="84"/>
      <c r="C1554" s="11"/>
      <c r="D1554" s="12"/>
      <c r="E1554" s="12"/>
      <c r="F1554" s="9"/>
      <c r="G1554" s="12"/>
      <c r="H1554" s="12"/>
      <c r="I1554" s="12"/>
      <c r="J1554" s="12"/>
      <c r="K1554" s="12"/>
      <c r="L1554" s="15"/>
      <c r="M1554" s="12"/>
      <c r="N1554" s="24"/>
      <c r="O1554" s="73"/>
      <c r="P1554" s="15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22"/>
      <c r="AH1554" s="22"/>
      <c r="AI1554" s="22"/>
      <c r="AJ1554" s="22"/>
      <c r="AK1554" s="22"/>
      <c r="AL1554" s="22"/>
      <c r="AM1554" s="22"/>
      <c r="AN1554" s="22"/>
      <c r="AO1554" s="22"/>
      <c r="AP1554" s="22"/>
    </row>
    <row r="1555" ht="15.75" customHeight="1">
      <c r="A1555" s="9"/>
      <c r="B1555" s="84"/>
      <c r="C1555" s="11"/>
      <c r="D1555" s="12"/>
      <c r="E1555" s="12"/>
      <c r="F1555" s="9"/>
      <c r="G1555" s="12"/>
      <c r="H1555" s="12"/>
      <c r="I1555" s="12"/>
      <c r="J1555" s="12"/>
      <c r="K1555" s="12"/>
      <c r="L1555" s="15"/>
      <c r="M1555" s="12"/>
      <c r="N1555" s="24"/>
      <c r="O1555" s="73"/>
      <c r="P1555" s="15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22"/>
      <c r="AH1555" s="22"/>
      <c r="AI1555" s="22"/>
      <c r="AJ1555" s="22"/>
      <c r="AK1555" s="22"/>
      <c r="AL1555" s="22"/>
      <c r="AM1555" s="22"/>
      <c r="AN1555" s="22"/>
      <c r="AO1555" s="22"/>
      <c r="AP1555" s="22"/>
    </row>
    <row r="1556" ht="15.75" customHeight="1">
      <c r="A1556" s="9"/>
      <c r="B1556" s="84"/>
      <c r="C1556" s="11"/>
      <c r="D1556" s="12"/>
      <c r="E1556" s="12"/>
      <c r="F1556" s="9"/>
      <c r="G1556" s="12"/>
      <c r="H1556" s="12"/>
      <c r="I1556" s="12"/>
      <c r="J1556" s="12"/>
      <c r="K1556" s="12"/>
      <c r="L1556" s="15"/>
      <c r="M1556" s="12"/>
      <c r="N1556" s="24"/>
      <c r="O1556" s="73"/>
      <c r="P1556" s="15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22"/>
      <c r="AH1556" s="22"/>
      <c r="AI1556" s="22"/>
      <c r="AJ1556" s="22"/>
      <c r="AK1556" s="22"/>
      <c r="AL1556" s="22"/>
      <c r="AM1556" s="22"/>
      <c r="AN1556" s="22"/>
      <c r="AO1556" s="22"/>
      <c r="AP1556" s="22"/>
    </row>
    <row r="1557" ht="15.75" customHeight="1">
      <c r="A1557" s="9"/>
      <c r="B1557" s="84"/>
      <c r="C1557" s="11"/>
      <c r="D1557" s="12"/>
      <c r="E1557" s="12"/>
      <c r="F1557" s="9"/>
      <c r="G1557" s="12"/>
      <c r="H1557" s="12"/>
      <c r="I1557" s="12"/>
      <c r="J1557" s="12"/>
      <c r="K1557" s="12"/>
      <c r="L1557" s="15"/>
      <c r="M1557" s="12"/>
      <c r="N1557" s="24"/>
      <c r="O1557" s="73"/>
      <c r="P1557" s="15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22"/>
      <c r="AH1557" s="22"/>
      <c r="AI1557" s="22"/>
      <c r="AJ1557" s="22"/>
      <c r="AK1557" s="22"/>
      <c r="AL1557" s="22"/>
      <c r="AM1557" s="22"/>
      <c r="AN1557" s="22"/>
      <c r="AO1557" s="22"/>
      <c r="AP1557" s="22"/>
    </row>
    <row r="1558" ht="15.75" customHeight="1">
      <c r="A1558" s="9"/>
      <c r="B1558" s="84"/>
      <c r="C1558" s="11"/>
      <c r="D1558" s="12"/>
      <c r="E1558" s="12"/>
      <c r="F1558" s="9"/>
      <c r="G1558" s="12"/>
      <c r="H1558" s="12"/>
      <c r="I1558" s="12"/>
      <c r="J1558" s="12"/>
      <c r="K1558" s="12"/>
      <c r="L1558" s="15"/>
      <c r="M1558" s="12"/>
      <c r="N1558" s="24"/>
      <c r="O1558" s="73"/>
      <c r="P1558" s="15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22"/>
      <c r="AH1558" s="22"/>
      <c r="AI1558" s="22"/>
      <c r="AJ1558" s="22"/>
      <c r="AK1558" s="22"/>
      <c r="AL1558" s="22"/>
      <c r="AM1558" s="22"/>
      <c r="AN1558" s="22"/>
      <c r="AO1558" s="22"/>
      <c r="AP1558" s="22"/>
    </row>
    <row r="1559" ht="15.75" customHeight="1">
      <c r="A1559" s="9"/>
      <c r="B1559" s="84"/>
      <c r="C1559" s="11"/>
      <c r="D1559" s="12"/>
      <c r="E1559" s="12"/>
      <c r="F1559" s="9"/>
      <c r="G1559" s="12"/>
      <c r="H1559" s="12"/>
      <c r="I1559" s="12"/>
      <c r="J1559" s="12"/>
      <c r="K1559" s="12"/>
      <c r="L1559" s="15"/>
      <c r="M1559" s="12"/>
      <c r="N1559" s="24"/>
      <c r="O1559" s="73"/>
      <c r="P1559" s="15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22"/>
      <c r="AH1559" s="22"/>
      <c r="AI1559" s="22"/>
      <c r="AJ1559" s="22"/>
      <c r="AK1559" s="22"/>
      <c r="AL1559" s="22"/>
      <c r="AM1559" s="22"/>
      <c r="AN1559" s="22"/>
      <c r="AO1559" s="22"/>
      <c r="AP1559" s="22"/>
    </row>
    <row r="1560" ht="15.75" customHeight="1">
      <c r="A1560" s="9"/>
      <c r="B1560" s="84"/>
      <c r="C1560" s="11"/>
      <c r="D1560" s="12"/>
      <c r="E1560" s="12"/>
      <c r="F1560" s="9"/>
      <c r="G1560" s="12"/>
      <c r="H1560" s="12"/>
      <c r="I1560" s="12"/>
      <c r="J1560" s="12"/>
      <c r="K1560" s="12"/>
      <c r="L1560" s="15"/>
      <c r="M1560" s="12"/>
      <c r="N1560" s="24"/>
      <c r="O1560" s="73"/>
      <c r="P1560" s="15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22"/>
      <c r="AH1560" s="22"/>
      <c r="AI1560" s="22"/>
      <c r="AJ1560" s="22"/>
      <c r="AK1560" s="22"/>
      <c r="AL1560" s="22"/>
      <c r="AM1560" s="22"/>
      <c r="AN1560" s="22"/>
      <c r="AO1560" s="22"/>
      <c r="AP1560" s="22"/>
    </row>
    <row r="1561" ht="15.75" customHeight="1">
      <c r="A1561" s="9"/>
      <c r="B1561" s="84"/>
      <c r="C1561" s="11"/>
      <c r="D1561" s="12"/>
      <c r="E1561" s="12"/>
      <c r="F1561" s="9"/>
      <c r="G1561" s="12"/>
      <c r="H1561" s="12"/>
      <c r="I1561" s="12"/>
      <c r="J1561" s="12"/>
      <c r="K1561" s="12"/>
      <c r="L1561" s="15"/>
      <c r="M1561" s="12"/>
      <c r="N1561" s="24"/>
      <c r="O1561" s="73"/>
      <c r="P1561" s="15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22"/>
      <c r="AH1561" s="22"/>
      <c r="AI1561" s="22"/>
      <c r="AJ1561" s="22"/>
      <c r="AK1561" s="22"/>
      <c r="AL1561" s="22"/>
      <c r="AM1561" s="22"/>
      <c r="AN1561" s="22"/>
      <c r="AO1561" s="22"/>
      <c r="AP1561" s="22"/>
    </row>
    <row r="1562" ht="15.75" customHeight="1">
      <c r="A1562" s="9"/>
      <c r="B1562" s="84"/>
      <c r="C1562" s="11"/>
      <c r="D1562" s="12"/>
      <c r="E1562" s="12"/>
      <c r="F1562" s="9"/>
      <c r="G1562" s="12"/>
      <c r="H1562" s="12"/>
      <c r="I1562" s="12"/>
      <c r="J1562" s="12"/>
      <c r="K1562" s="12"/>
      <c r="L1562" s="15"/>
      <c r="M1562" s="12"/>
      <c r="N1562" s="24"/>
      <c r="O1562" s="73"/>
      <c r="P1562" s="15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22"/>
      <c r="AH1562" s="22"/>
      <c r="AI1562" s="22"/>
      <c r="AJ1562" s="22"/>
      <c r="AK1562" s="22"/>
      <c r="AL1562" s="22"/>
      <c r="AM1562" s="22"/>
      <c r="AN1562" s="22"/>
      <c r="AO1562" s="22"/>
      <c r="AP1562" s="22"/>
    </row>
    <row r="1563" ht="15.75" customHeight="1">
      <c r="A1563" s="9"/>
      <c r="B1563" s="84"/>
      <c r="C1563" s="11"/>
      <c r="D1563" s="12"/>
      <c r="E1563" s="12"/>
      <c r="F1563" s="9"/>
      <c r="G1563" s="12"/>
      <c r="H1563" s="12"/>
      <c r="I1563" s="12"/>
      <c r="J1563" s="12"/>
      <c r="K1563" s="12"/>
      <c r="L1563" s="15"/>
      <c r="M1563" s="12"/>
      <c r="N1563" s="24"/>
      <c r="O1563" s="73"/>
      <c r="P1563" s="15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22"/>
      <c r="AH1563" s="22"/>
      <c r="AI1563" s="22"/>
      <c r="AJ1563" s="22"/>
      <c r="AK1563" s="22"/>
      <c r="AL1563" s="22"/>
      <c r="AM1563" s="22"/>
      <c r="AN1563" s="22"/>
      <c r="AO1563" s="22"/>
      <c r="AP1563" s="22"/>
    </row>
    <row r="1564" ht="15.75" customHeight="1">
      <c r="A1564" s="9"/>
      <c r="B1564" s="84"/>
      <c r="C1564" s="11"/>
      <c r="D1564" s="12"/>
      <c r="E1564" s="12"/>
      <c r="F1564" s="9"/>
      <c r="G1564" s="12"/>
      <c r="H1564" s="12"/>
      <c r="I1564" s="12"/>
      <c r="J1564" s="12"/>
      <c r="K1564" s="12"/>
      <c r="L1564" s="15"/>
      <c r="M1564" s="12"/>
      <c r="N1564" s="24"/>
      <c r="O1564" s="73"/>
      <c r="P1564" s="15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22"/>
      <c r="AH1564" s="22"/>
      <c r="AI1564" s="22"/>
      <c r="AJ1564" s="22"/>
      <c r="AK1564" s="22"/>
      <c r="AL1564" s="22"/>
      <c r="AM1564" s="22"/>
      <c r="AN1564" s="22"/>
      <c r="AO1564" s="22"/>
      <c r="AP1564" s="22"/>
    </row>
    <row r="1565" ht="15.75" customHeight="1">
      <c r="A1565" s="9"/>
      <c r="B1565" s="84"/>
      <c r="C1565" s="11"/>
      <c r="D1565" s="12"/>
      <c r="E1565" s="12"/>
      <c r="F1565" s="9"/>
      <c r="G1565" s="12"/>
      <c r="H1565" s="12"/>
      <c r="I1565" s="12"/>
      <c r="J1565" s="12"/>
      <c r="K1565" s="12"/>
      <c r="L1565" s="15"/>
      <c r="M1565" s="12"/>
      <c r="N1565" s="24"/>
      <c r="O1565" s="73"/>
      <c r="P1565" s="15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22"/>
      <c r="AH1565" s="22"/>
      <c r="AI1565" s="22"/>
      <c r="AJ1565" s="22"/>
      <c r="AK1565" s="22"/>
      <c r="AL1565" s="22"/>
      <c r="AM1565" s="22"/>
      <c r="AN1565" s="22"/>
      <c r="AO1565" s="22"/>
      <c r="AP1565" s="22"/>
    </row>
    <row r="1566" ht="15.75" customHeight="1">
      <c r="A1566" s="9"/>
      <c r="B1566" s="84"/>
      <c r="C1566" s="11"/>
      <c r="D1566" s="12"/>
      <c r="E1566" s="12"/>
      <c r="F1566" s="9"/>
      <c r="G1566" s="12"/>
      <c r="H1566" s="12"/>
      <c r="I1566" s="12"/>
      <c r="J1566" s="12"/>
      <c r="K1566" s="12"/>
      <c r="L1566" s="15"/>
      <c r="M1566" s="12"/>
      <c r="N1566" s="24"/>
      <c r="O1566" s="73"/>
      <c r="P1566" s="15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22"/>
      <c r="AH1566" s="22"/>
      <c r="AI1566" s="22"/>
      <c r="AJ1566" s="22"/>
      <c r="AK1566" s="22"/>
      <c r="AL1566" s="22"/>
      <c r="AM1566" s="22"/>
      <c r="AN1566" s="22"/>
      <c r="AO1566" s="22"/>
      <c r="AP1566" s="22"/>
    </row>
    <row r="1567" ht="15.75" customHeight="1">
      <c r="A1567" s="9"/>
      <c r="B1567" s="84"/>
      <c r="C1567" s="11"/>
      <c r="D1567" s="12"/>
      <c r="E1567" s="12"/>
      <c r="F1567" s="9"/>
      <c r="G1567" s="12"/>
      <c r="H1567" s="12"/>
      <c r="I1567" s="12"/>
      <c r="J1567" s="12"/>
      <c r="K1567" s="12"/>
      <c r="L1567" s="15"/>
      <c r="M1567" s="12"/>
      <c r="N1567" s="24"/>
      <c r="O1567" s="73"/>
      <c r="P1567" s="15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22"/>
      <c r="AH1567" s="22"/>
      <c r="AI1567" s="22"/>
      <c r="AJ1567" s="22"/>
      <c r="AK1567" s="22"/>
      <c r="AL1567" s="22"/>
      <c r="AM1567" s="22"/>
      <c r="AN1567" s="22"/>
      <c r="AO1567" s="22"/>
      <c r="AP1567" s="22"/>
    </row>
    <row r="1568" ht="15.75" customHeight="1">
      <c r="A1568" s="9"/>
      <c r="B1568" s="84"/>
      <c r="C1568" s="11"/>
      <c r="D1568" s="12"/>
      <c r="E1568" s="12"/>
      <c r="F1568" s="9"/>
      <c r="G1568" s="12"/>
      <c r="H1568" s="12"/>
      <c r="I1568" s="12"/>
      <c r="J1568" s="12"/>
      <c r="K1568" s="12"/>
      <c r="L1568" s="15"/>
      <c r="M1568" s="12"/>
      <c r="N1568" s="24"/>
      <c r="O1568" s="73"/>
      <c r="P1568" s="15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22"/>
      <c r="AH1568" s="22"/>
      <c r="AI1568" s="22"/>
      <c r="AJ1568" s="22"/>
      <c r="AK1568" s="22"/>
      <c r="AL1568" s="22"/>
      <c r="AM1568" s="22"/>
      <c r="AN1568" s="22"/>
      <c r="AO1568" s="22"/>
      <c r="AP1568" s="22"/>
    </row>
    <row r="1569" ht="15.75" customHeight="1">
      <c r="A1569" s="9"/>
      <c r="B1569" s="84"/>
      <c r="C1569" s="11"/>
      <c r="D1569" s="12"/>
      <c r="E1569" s="12"/>
      <c r="F1569" s="9"/>
      <c r="G1569" s="12"/>
      <c r="H1569" s="12"/>
      <c r="I1569" s="12"/>
      <c r="J1569" s="12"/>
      <c r="K1569" s="12"/>
      <c r="L1569" s="15"/>
      <c r="M1569" s="12"/>
      <c r="N1569" s="24"/>
      <c r="O1569" s="73"/>
      <c r="P1569" s="15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22"/>
      <c r="AH1569" s="22"/>
      <c r="AI1569" s="22"/>
      <c r="AJ1569" s="22"/>
      <c r="AK1569" s="22"/>
      <c r="AL1569" s="22"/>
      <c r="AM1569" s="22"/>
      <c r="AN1569" s="22"/>
      <c r="AO1569" s="22"/>
      <c r="AP1569" s="22"/>
    </row>
    <row r="1570" ht="15.75" customHeight="1">
      <c r="A1570" s="9"/>
      <c r="B1570" s="84"/>
      <c r="C1570" s="11"/>
      <c r="D1570" s="12"/>
      <c r="E1570" s="12"/>
      <c r="F1570" s="9"/>
      <c r="G1570" s="12"/>
      <c r="H1570" s="12"/>
      <c r="I1570" s="12"/>
      <c r="J1570" s="12"/>
      <c r="K1570" s="12"/>
      <c r="L1570" s="15"/>
      <c r="M1570" s="12"/>
      <c r="N1570" s="24"/>
      <c r="O1570" s="73"/>
      <c r="P1570" s="15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22"/>
      <c r="AH1570" s="22"/>
      <c r="AI1570" s="22"/>
      <c r="AJ1570" s="22"/>
      <c r="AK1570" s="22"/>
      <c r="AL1570" s="22"/>
      <c r="AM1570" s="22"/>
      <c r="AN1570" s="22"/>
      <c r="AO1570" s="22"/>
      <c r="AP1570" s="22"/>
    </row>
    <row r="1571" ht="15.75" customHeight="1">
      <c r="A1571" s="9"/>
      <c r="B1571" s="84"/>
      <c r="C1571" s="11"/>
      <c r="D1571" s="12"/>
      <c r="E1571" s="12"/>
      <c r="F1571" s="9"/>
      <c r="G1571" s="12"/>
      <c r="H1571" s="12"/>
      <c r="I1571" s="12"/>
      <c r="J1571" s="12"/>
      <c r="K1571" s="12"/>
      <c r="L1571" s="15"/>
      <c r="M1571" s="12"/>
      <c r="N1571" s="24"/>
      <c r="O1571" s="73"/>
      <c r="P1571" s="15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22"/>
      <c r="AH1571" s="22"/>
      <c r="AI1571" s="22"/>
      <c r="AJ1571" s="22"/>
      <c r="AK1571" s="22"/>
      <c r="AL1571" s="22"/>
      <c r="AM1571" s="22"/>
      <c r="AN1571" s="22"/>
      <c r="AO1571" s="22"/>
      <c r="AP1571" s="22"/>
    </row>
    <row r="1572" ht="15.75" customHeight="1">
      <c r="A1572" s="9"/>
      <c r="B1572" s="84"/>
      <c r="C1572" s="11"/>
      <c r="D1572" s="12"/>
      <c r="E1572" s="12"/>
      <c r="F1572" s="9"/>
      <c r="G1572" s="12"/>
      <c r="H1572" s="12"/>
      <c r="I1572" s="12"/>
      <c r="J1572" s="12"/>
      <c r="K1572" s="12"/>
      <c r="L1572" s="15"/>
      <c r="M1572" s="12"/>
      <c r="N1572" s="24"/>
      <c r="O1572" s="73"/>
      <c r="P1572" s="15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22"/>
      <c r="AH1572" s="22"/>
      <c r="AI1572" s="22"/>
      <c r="AJ1572" s="22"/>
      <c r="AK1572" s="22"/>
      <c r="AL1572" s="22"/>
      <c r="AM1572" s="22"/>
      <c r="AN1572" s="22"/>
      <c r="AO1572" s="22"/>
      <c r="AP1572" s="22"/>
    </row>
    <row r="1573" ht="15.75" customHeight="1">
      <c r="A1573" s="9"/>
      <c r="B1573" s="84"/>
      <c r="C1573" s="11"/>
      <c r="D1573" s="12"/>
      <c r="E1573" s="12"/>
      <c r="F1573" s="9"/>
      <c r="G1573" s="12"/>
      <c r="H1573" s="12"/>
      <c r="I1573" s="12"/>
      <c r="J1573" s="12"/>
      <c r="K1573" s="12"/>
      <c r="L1573" s="15"/>
      <c r="M1573" s="12"/>
      <c r="N1573" s="24"/>
      <c r="O1573" s="73"/>
      <c r="P1573" s="15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22"/>
      <c r="AH1573" s="22"/>
      <c r="AI1573" s="22"/>
      <c r="AJ1573" s="22"/>
      <c r="AK1573" s="22"/>
      <c r="AL1573" s="22"/>
      <c r="AM1573" s="22"/>
      <c r="AN1573" s="22"/>
      <c r="AO1573" s="22"/>
      <c r="AP1573" s="22"/>
    </row>
    <row r="1574" ht="15.75" customHeight="1">
      <c r="A1574" s="9"/>
      <c r="B1574" s="84"/>
      <c r="C1574" s="11"/>
      <c r="D1574" s="12"/>
      <c r="E1574" s="12"/>
      <c r="F1574" s="9"/>
      <c r="G1574" s="12"/>
      <c r="H1574" s="12"/>
      <c r="I1574" s="12"/>
      <c r="J1574" s="12"/>
      <c r="K1574" s="12"/>
      <c r="L1574" s="15"/>
      <c r="M1574" s="12"/>
      <c r="N1574" s="24"/>
      <c r="O1574" s="73"/>
      <c r="P1574" s="15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22"/>
      <c r="AH1574" s="22"/>
      <c r="AI1574" s="22"/>
      <c r="AJ1574" s="22"/>
      <c r="AK1574" s="22"/>
      <c r="AL1574" s="22"/>
      <c r="AM1574" s="22"/>
      <c r="AN1574" s="22"/>
      <c r="AO1574" s="22"/>
      <c r="AP1574" s="22"/>
    </row>
    <row r="1575" ht="15.75" customHeight="1">
      <c r="A1575" s="9"/>
      <c r="B1575" s="84"/>
      <c r="C1575" s="11"/>
      <c r="D1575" s="12"/>
      <c r="E1575" s="12"/>
      <c r="F1575" s="9"/>
      <c r="G1575" s="12"/>
      <c r="H1575" s="12"/>
      <c r="I1575" s="12"/>
      <c r="J1575" s="12"/>
      <c r="K1575" s="12"/>
      <c r="L1575" s="15"/>
      <c r="M1575" s="12"/>
      <c r="N1575" s="24"/>
      <c r="O1575" s="73"/>
      <c r="P1575" s="15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22"/>
      <c r="AH1575" s="22"/>
      <c r="AI1575" s="22"/>
      <c r="AJ1575" s="22"/>
      <c r="AK1575" s="22"/>
      <c r="AL1575" s="22"/>
      <c r="AM1575" s="22"/>
      <c r="AN1575" s="22"/>
      <c r="AO1575" s="22"/>
      <c r="AP1575" s="22"/>
    </row>
    <row r="1576" ht="15.75" customHeight="1">
      <c r="A1576" s="9"/>
      <c r="B1576" s="84"/>
      <c r="C1576" s="11"/>
      <c r="D1576" s="12"/>
      <c r="E1576" s="12"/>
      <c r="F1576" s="9"/>
      <c r="G1576" s="12"/>
      <c r="H1576" s="12"/>
      <c r="I1576" s="12"/>
      <c r="J1576" s="12"/>
      <c r="K1576" s="12"/>
      <c r="L1576" s="15"/>
      <c r="M1576" s="12"/>
      <c r="N1576" s="24"/>
      <c r="O1576" s="73"/>
      <c r="P1576" s="15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22"/>
      <c r="AH1576" s="22"/>
      <c r="AI1576" s="22"/>
      <c r="AJ1576" s="22"/>
      <c r="AK1576" s="22"/>
      <c r="AL1576" s="22"/>
      <c r="AM1576" s="22"/>
      <c r="AN1576" s="22"/>
      <c r="AO1576" s="22"/>
      <c r="AP1576" s="22"/>
    </row>
    <row r="1577" ht="15.75" customHeight="1">
      <c r="A1577" s="9"/>
      <c r="B1577" s="84"/>
      <c r="C1577" s="11"/>
      <c r="D1577" s="12"/>
      <c r="E1577" s="12"/>
      <c r="F1577" s="9"/>
      <c r="G1577" s="12"/>
      <c r="H1577" s="12"/>
      <c r="I1577" s="12"/>
      <c r="J1577" s="12"/>
      <c r="K1577" s="12"/>
      <c r="L1577" s="15"/>
      <c r="M1577" s="12"/>
      <c r="N1577" s="24"/>
      <c r="O1577" s="73"/>
      <c r="P1577" s="15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22"/>
      <c r="AH1577" s="22"/>
      <c r="AI1577" s="22"/>
      <c r="AJ1577" s="22"/>
      <c r="AK1577" s="22"/>
      <c r="AL1577" s="22"/>
      <c r="AM1577" s="22"/>
      <c r="AN1577" s="22"/>
      <c r="AO1577" s="22"/>
      <c r="AP1577" s="22"/>
    </row>
    <row r="1578" ht="15.75" customHeight="1">
      <c r="A1578" s="9"/>
      <c r="B1578" s="84"/>
      <c r="C1578" s="11"/>
      <c r="D1578" s="12"/>
      <c r="E1578" s="12"/>
      <c r="F1578" s="9"/>
      <c r="G1578" s="12"/>
      <c r="H1578" s="12"/>
      <c r="I1578" s="12"/>
      <c r="J1578" s="12"/>
      <c r="K1578" s="12"/>
      <c r="L1578" s="15"/>
      <c r="M1578" s="12"/>
      <c r="N1578" s="24"/>
      <c r="O1578" s="73"/>
      <c r="P1578" s="15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22"/>
      <c r="AH1578" s="22"/>
      <c r="AI1578" s="22"/>
      <c r="AJ1578" s="22"/>
      <c r="AK1578" s="22"/>
      <c r="AL1578" s="22"/>
      <c r="AM1578" s="22"/>
      <c r="AN1578" s="22"/>
      <c r="AO1578" s="22"/>
      <c r="AP1578" s="22"/>
    </row>
    <row r="1579" ht="15.75" customHeight="1">
      <c r="A1579" s="9"/>
      <c r="B1579" s="84"/>
      <c r="C1579" s="11"/>
      <c r="D1579" s="12"/>
      <c r="E1579" s="12"/>
      <c r="F1579" s="9"/>
      <c r="G1579" s="12"/>
      <c r="H1579" s="12"/>
      <c r="I1579" s="12"/>
      <c r="J1579" s="12"/>
      <c r="K1579" s="12"/>
      <c r="L1579" s="15"/>
      <c r="M1579" s="12"/>
      <c r="N1579" s="24"/>
      <c r="O1579" s="73"/>
      <c r="P1579" s="15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22"/>
      <c r="AH1579" s="22"/>
      <c r="AI1579" s="22"/>
      <c r="AJ1579" s="22"/>
      <c r="AK1579" s="22"/>
      <c r="AL1579" s="22"/>
      <c r="AM1579" s="22"/>
      <c r="AN1579" s="22"/>
      <c r="AO1579" s="22"/>
      <c r="AP1579" s="22"/>
    </row>
    <row r="1580" ht="15.75" customHeight="1">
      <c r="A1580" s="9"/>
      <c r="B1580" s="84"/>
      <c r="C1580" s="11"/>
      <c r="D1580" s="12"/>
      <c r="E1580" s="12"/>
      <c r="F1580" s="9"/>
      <c r="G1580" s="12"/>
      <c r="H1580" s="12"/>
      <c r="I1580" s="12"/>
      <c r="J1580" s="12"/>
      <c r="K1580" s="12"/>
      <c r="L1580" s="15"/>
      <c r="M1580" s="12"/>
      <c r="N1580" s="24"/>
      <c r="O1580" s="73"/>
      <c r="P1580" s="15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22"/>
      <c r="AH1580" s="22"/>
      <c r="AI1580" s="22"/>
      <c r="AJ1580" s="22"/>
      <c r="AK1580" s="22"/>
      <c r="AL1580" s="22"/>
      <c r="AM1580" s="22"/>
      <c r="AN1580" s="22"/>
      <c r="AO1580" s="22"/>
      <c r="AP1580" s="22"/>
    </row>
    <row r="1581" ht="15.75" customHeight="1">
      <c r="A1581" s="9"/>
      <c r="B1581" s="84"/>
      <c r="C1581" s="11"/>
      <c r="D1581" s="12"/>
      <c r="E1581" s="12"/>
      <c r="F1581" s="9"/>
      <c r="G1581" s="12"/>
      <c r="H1581" s="12"/>
      <c r="I1581" s="12"/>
      <c r="J1581" s="12"/>
      <c r="K1581" s="12"/>
      <c r="L1581" s="15"/>
      <c r="M1581" s="12"/>
      <c r="N1581" s="24"/>
      <c r="O1581" s="73"/>
      <c r="P1581" s="15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22"/>
      <c r="AH1581" s="22"/>
      <c r="AI1581" s="22"/>
      <c r="AJ1581" s="22"/>
      <c r="AK1581" s="22"/>
      <c r="AL1581" s="22"/>
      <c r="AM1581" s="22"/>
      <c r="AN1581" s="22"/>
      <c r="AO1581" s="22"/>
      <c r="AP1581" s="22"/>
    </row>
    <row r="1582" ht="15.75" customHeight="1">
      <c r="A1582" s="9"/>
      <c r="B1582" s="84"/>
      <c r="C1582" s="11"/>
      <c r="D1582" s="12"/>
      <c r="E1582" s="12"/>
      <c r="F1582" s="9"/>
      <c r="G1582" s="12"/>
      <c r="H1582" s="12"/>
      <c r="I1582" s="12"/>
      <c r="J1582" s="12"/>
      <c r="K1582" s="12"/>
      <c r="L1582" s="15"/>
      <c r="M1582" s="12"/>
      <c r="N1582" s="24"/>
      <c r="O1582" s="73"/>
      <c r="P1582" s="15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22"/>
      <c r="AH1582" s="22"/>
      <c r="AI1582" s="22"/>
      <c r="AJ1582" s="22"/>
      <c r="AK1582" s="22"/>
      <c r="AL1582" s="22"/>
      <c r="AM1582" s="22"/>
      <c r="AN1582" s="22"/>
      <c r="AO1582" s="22"/>
      <c r="AP1582" s="22"/>
    </row>
    <row r="1583" ht="15.75" customHeight="1">
      <c r="A1583" s="9"/>
      <c r="B1583" s="84"/>
      <c r="C1583" s="11"/>
      <c r="D1583" s="12"/>
      <c r="E1583" s="12"/>
      <c r="F1583" s="9"/>
      <c r="G1583" s="12"/>
      <c r="H1583" s="12"/>
      <c r="I1583" s="12"/>
      <c r="J1583" s="12"/>
      <c r="K1583" s="12"/>
      <c r="L1583" s="15"/>
      <c r="M1583" s="12"/>
      <c r="N1583" s="24"/>
      <c r="O1583" s="73"/>
      <c r="P1583" s="15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22"/>
      <c r="AH1583" s="22"/>
      <c r="AI1583" s="22"/>
      <c r="AJ1583" s="22"/>
      <c r="AK1583" s="22"/>
      <c r="AL1583" s="22"/>
      <c r="AM1583" s="22"/>
      <c r="AN1583" s="22"/>
      <c r="AO1583" s="22"/>
      <c r="AP1583" s="22"/>
    </row>
    <row r="1584" ht="15.75" customHeight="1">
      <c r="A1584" s="9"/>
      <c r="B1584" s="84"/>
      <c r="C1584" s="11"/>
      <c r="D1584" s="12"/>
      <c r="E1584" s="12"/>
      <c r="F1584" s="9"/>
      <c r="G1584" s="12"/>
      <c r="H1584" s="12"/>
      <c r="I1584" s="12"/>
      <c r="J1584" s="12"/>
      <c r="K1584" s="12"/>
      <c r="L1584" s="15"/>
      <c r="M1584" s="12"/>
      <c r="N1584" s="24"/>
      <c r="O1584" s="73"/>
      <c r="P1584" s="15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22"/>
      <c r="AH1584" s="22"/>
      <c r="AI1584" s="22"/>
      <c r="AJ1584" s="22"/>
      <c r="AK1584" s="22"/>
      <c r="AL1584" s="22"/>
      <c r="AM1584" s="22"/>
      <c r="AN1584" s="22"/>
      <c r="AO1584" s="22"/>
      <c r="AP1584" s="22"/>
    </row>
    <row r="1585" ht="15.75" customHeight="1">
      <c r="A1585" s="9"/>
      <c r="B1585" s="84"/>
      <c r="C1585" s="11"/>
      <c r="D1585" s="12"/>
      <c r="E1585" s="12"/>
      <c r="F1585" s="9"/>
      <c r="G1585" s="12"/>
      <c r="H1585" s="12"/>
      <c r="I1585" s="12"/>
      <c r="J1585" s="12"/>
      <c r="K1585" s="12"/>
      <c r="L1585" s="15"/>
      <c r="M1585" s="12"/>
      <c r="N1585" s="24"/>
      <c r="O1585" s="73"/>
      <c r="P1585" s="15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22"/>
      <c r="AH1585" s="22"/>
      <c r="AI1585" s="22"/>
      <c r="AJ1585" s="22"/>
      <c r="AK1585" s="22"/>
      <c r="AL1585" s="22"/>
      <c r="AM1585" s="22"/>
      <c r="AN1585" s="22"/>
      <c r="AO1585" s="22"/>
      <c r="AP1585" s="22"/>
    </row>
    <row r="1586" ht="15.75" customHeight="1">
      <c r="A1586" s="9"/>
      <c r="B1586" s="84"/>
      <c r="C1586" s="11"/>
      <c r="D1586" s="12"/>
      <c r="E1586" s="12"/>
      <c r="F1586" s="9"/>
      <c r="G1586" s="12"/>
      <c r="H1586" s="12"/>
      <c r="I1586" s="12"/>
      <c r="J1586" s="12"/>
      <c r="K1586" s="12"/>
      <c r="L1586" s="15"/>
      <c r="M1586" s="12"/>
      <c r="N1586" s="24"/>
      <c r="O1586" s="73"/>
      <c r="P1586" s="15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22"/>
      <c r="AH1586" s="22"/>
      <c r="AI1586" s="22"/>
      <c r="AJ1586" s="22"/>
      <c r="AK1586" s="22"/>
      <c r="AL1586" s="22"/>
      <c r="AM1586" s="22"/>
      <c r="AN1586" s="22"/>
      <c r="AO1586" s="22"/>
      <c r="AP1586" s="22"/>
    </row>
    <row r="1587" ht="15.75" customHeight="1">
      <c r="A1587" s="9"/>
      <c r="B1587" s="84"/>
      <c r="C1587" s="11"/>
      <c r="D1587" s="12"/>
      <c r="E1587" s="12"/>
      <c r="F1587" s="9"/>
      <c r="G1587" s="12"/>
      <c r="H1587" s="12"/>
      <c r="I1587" s="12"/>
      <c r="J1587" s="12"/>
      <c r="K1587" s="12"/>
      <c r="L1587" s="15"/>
      <c r="M1587" s="12"/>
      <c r="N1587" s="24"/>
      <c r="O1587" s="73"/>
      <c r="P1587" s="15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22"/>
      <c r="AH1587" s="22"/>
      <c r="AI1587" s="22"/>
      <c r="AJ1587" s="22"/>
      <c r="AK1587" s="22"/>
      <c r="AL1587" s="22"/>
      <c r="AM1587" s="22"/>
      <c r="AN1587" s="22"/>
      <c r="AO1587" s="22"/>
      <c r="AP1587" s="22"/>
    </row>
    <row r="1588" ht="15.75" customHeight="1">
      <c r="A1588" s="9"/>
      <c r="B1588" s="84"/>
      <c r="C1588" s="11"/>
      <c r="D1588" s="12"/>
      <c r="E1588" s="12"/>
      <c r="F1588" s="9"/>
      <c r="G1588" s="12"/>
      <c r="H1588" s="12"/>
      <c r="I1588" s="12"/>
      <c r="J1588" s="12"/>
      <c r="K1588" s="12"/>
      <c r="L1588" s="15"/>
      <c r="M1588" s="12"/>
      <c r="N1588" s="24"/>
      <c r="O1588" s="73"/>
      <c r="P1588" s="15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22"/>
      <c r="AH1588" s="22"/>
      <c r="AI1588" s="22"/>
      <c r="AJ1588" s="22"/>
      <c r="AK1588" s="22"/>
      <c r="AL1588" s="22"/>
      <c r="AM1588" s="22"/>
      <c r="AN1588" s="22"/>
      <c r="AO1588" s="22"/>
      <c r="AP1588" s="22"/>
    </row>
    <row r="1589" ht="15.75" customHeight="1">
      <c r="A1589" s="9"/>
      <c r="B1589" s="84"/>
      <c r="C1589" s="11"/>
      <c r="D1589" s="12"/>
      <c r="E1589" s="12"/>
      <c r="F1589" s="9"/>
      <c r="G1589" s="12"/>
      <c r="H1589" s="12"/>
      <c r="I1589" s="12"/>
      <c r="J1589" s="12"/>
      <c r="K1589" s="12"/>
      <c r="L1589" s="15"/>
      <c r="M1589" s="12"/>
      <c r="N1589" s="24"/>
      <c r="O1589" s="73"/>
      <c r="P1589" s="15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22"/>
      <c r="AH1589" s="22"/>
      <c r="AI1589" s="22"/>
      <c r="AJ1589" s="22"/>
      <c r="AK1589" s="22"/>
      <c r="AL1589" s="22"/>
      <c r="AM1589" s="22"/>
      <c r="AN1589" s="22"/>
      <c r="AO1589" s="22"/>
      <c r="AP1589" s="22"/>
    </row>
    <row r="1590" ht="15.75" customHeight="1">
      <c r="A1590" s="9"/>
      <c r="B1590" s="84"/>
      <c r="C1590" s="11"/>
      <c r="D1590" s="12"/>
      <c r="E1590" s="12"/>
      <c r="F1590" s="9"/>
      <c r="G1590" s="12"/>
      <c r="H1590" s="12"/>
      <c r="I1590" s="12"/>
      <c r="J1590" s="12"/>
      <c r="K1590" s="12"/>
      <c r="L1590" s="15"/>
      <c r="M1590" s="12"/>
      <c r="N1590" s="24"/>
      <c r="O1590" s="73"/>
      <c r="P1590" s="15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22"/>
      <c r="AH1590" s="22"/>
      <c r="AI1590" s="22"/>
      <c r="AJ1590" s="22"/>
      <c r="AK1590" s="22"/>
      <c r="AL1590" s="22"/>
      <c r="AM1590" s="22"/>
      <c r="AN1590" s="22"/>
      <c r="AO1590" s="22"/>
      <c r="AP1590" s="22"/>
    </row>
    <row r="1591" ht="15.75" customHeight="1">
      <c r="A1591" s="9"/>
      <c r="B1591" s="84"/>
      <c r="C1591" s="11"/>
      <c r="D1591" s="12"/>
      <c r="E1591" s="12"/>
      <c r="F1591" s="9"/>
      <c r="G1591" s="12"/>
      <c r="H1591" s="12"/>
      <c r="I1591" s="12"/>
      <c r="J1591" s="12"/>
      <c r="K1591" s="12"/>
      <c r="L1591" s="15"/>
      <c r="M1591" s="12"/>
      <c r="N1591" s="24"/>
      <c r="O1591" s="73"/>
      <c r="P1591" s="15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22"/>
      <c r="AH1591" s="22"/>
      <c r="AI1591" s="22"/>
      <c r="AJ1591" s="22"/>
      <c r="AK1591" s="22"/>
      <c r="AL1591" s="22"/>
      <c r="AM1591" s="22"/>
      <c r="AN1591" s="22"/>
      <c r="AO1591" s="22"/>
      <c r="AP1591" s="22"/>
    </row>
    <row r="1592" ht="15.75" customHeight="1">
      <c r="A1592" s="9"/>
      <c r="B1592" s="84"/>
      <c r="C1592" s="11"/>
      <c r="D1592" s="12"/>
      <c r="E1592" s="12"/>
      <c r="F1592" s="9"/>
      <c r="G1592" s="12"/>
      <c r="H1592" s="12"/>
      <c r="I1592" s="12"/>
      <c r="J1592" s="12"/>
      <c r="K1592" s="12"/>
      <c r="L1592" s="15"/>
      <c r="M1592" s="12"/>
      <c r="N1592" s="24"/>
      <c r="O1592" s="73"/>
      <c r="P1592" s="15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22"/>
      <c r="AH1592" s="22"/>
      <c r="AI1592" s="22"/>
      <c r="AJ1592" s="22"/>
      <c r="AK1592" s="22"/>
      <c r="AL1592" s="22"/>
      <c r="AM1592" s="22"/>
      <c r="AN1592" s="22"/>
      <c r="AO1592" s="22"/>
      <c r="AP1592" s="22"/>
    </row>
    <row r="1593" ht="15.75" customHeight="1">
      <c r="A1593" s="9"/>
      <c r="B1593" s="84"/>
      <c r="C1593" s="11"/>
      <c r="D1593" s="12"/>
      <c r="E1593" s="12"/>
      <c r="F1593" s="9"/>
      <c r="G1593" s="12"/>
      <c r="H1593" s="12"/>
      <c r="I1593" s="12"/>
      <c r="J1593" s="12"/>
      <c r="K1593" s="12"/>
      <c r="L1593" s="15"/>
      <c r="M1593" s="12"/>
      <c r="N1593" s="24"/>
      <c r="O1593" s="73"/>
      <c r="P1593" s="15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22"/>
      <c r="AH1593" s="22"/>
      <c r="AI1593" s="22"/>
      <c r="AJ1593" s="22"/>
      <c r="AK1593" s="22"/>
      <c r="AL1593" s="22"/>
      <c r="AM1593" s="22"/>
      <c r="AN1593" s="22"/>
      <c r="AO1593" s="22"/>
      <c r="AP1593" s="22"/>
    </row>
    <row r="1594" ht="15.75" customHeight="1">
      <c r="A1594" s="9"/>
      <c r="B1594" s="84"/>
      <c r="C1594" s="11"/>
      <c r="D1594" s="12"/>
      <c r="E1594" s="12"/>
      <c r="F1594" s="9"/>
      <c r="G1594" s="12"/>
      <c r="H1594" s="12"/>
      <c r="I1594" s="12"/>
      <c r="J1594" s="12"/>
      <c r="K1594" s="12"/>
      <c r="L1594" s="15"/>
      <c r="M1594" s="12"/>
      <c r="N1594" s="24"/>
      <c r="O1594" s="73"/>
      <c r="P1594" s="15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22"/>
      <c r="AH1594" s="22"/>
      <c r="AI1594" s="22"/>
      <c r="AJ1594" s="22"/>
      <c r="AK1594" s="22"/>
      <c r="AL1594" s="22"/>
      <c r="AM1594" s="22"/>
      <c r="AN1594" s="22"/>
      <c r="AO1594" s="22"/>
      <c r="AP1594" s="22"/>
    </row>
    <row r="1595" ht="15.75" customHeight="1">
      <c r="A1595" s="9"/>
      <c r="B1595" s="84"/>
      <c r="C1595" s="11"/>
      <c r="D1595" s="12"/>
      <c r="E1595" s="12"/>
      <c r="F1595" s="9"/>
      <c r="G1595" s="12"/>
      <c r="H1595" s="12"/>
      <c r="I1595" s="12"/>
      <c r="J1595" s="12"/>
      <c r="K1595" s="12"/>
      <c r="L1595" s="15"/>
      <c r="M1595" s="12"/>
      <c r="N1595" s="24"/>
      <c r="O1595" s="73"/>
      <c r="P1595" s="15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22"/>
      <c r="AH1595" s="22"/>
      <c r="AI1595" s="22"/>
      <c r="AJ1595" s="22"/>
      <c r="AK1595" s="22"/>
      <c r="AL1595" s="22"/>
      <c r="AM1595" s="22"/>
      <c r="AN1595" s="22"/>
      <c r="AO1595" s="22"/>
      <c r="AP1595" s="22"/>
    </row>
    <row r="1596" ht="15.75" customHeight="1">
      <c r="A1596" s="9"/>
      <c r="B1596" s="84"/>
      <c r="C1596" s="11"/>
      <c r="D1596" s="12"/>
      <c r="E1596" s="12"/>
      <c r="F1596" s="9"/>
      <c r="G1596" s="12"/>
      <c r="H1596" s="12"/>
      <c r="I1596" s="12"/>
      <c r="J1596" s="12"/>
      <c r="K1596" s="12"/>
      <c r="L1596" s="15"/>
      <c r="M1596" s="12"/>
      <c r="N1596" s="24"/>
      <c r="O1596" s="73"/>
      <c r="P1596" s="15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22"/>
      <c r="AH1596" s="22"/>
      <c r="AI1596" s="22"/>
      <c r="AJ1596" s="22"/>
      <c r="AK1596" s="22"/>
      <c r="AL1596" s="22"/>
      <c r="AM1596" s="22"/>
      <c r="AN1596" s="22"/>
      <c r="AO1596" s="22"/>
      <c r="AP1596" s="22"/>
    </row>
    <row r="1597" ht="15.75" customHeight="1">
      <c r="A1597" s="9"/>
      <c r="B1597" s="84"/>
      <c r="C1597" s="11"/>
      <c r="D1597" s="12"/>
      <c r="E1597" s="12"/>
      <c r="F1597" s="9"/>
      <c r="G1597" s="12"/>
      <c r="H1597" s="12"/>
      <c r="I1597" s="12"/>
      <c r="J1597" s="12"/>
      <c r="K1597" s="12"/>
      <c r="L1597" s="15"/>
      <c r="M1597" s="12"/>
      <c r="N1597" s="24"/>
      <c r="O1597" s="73"/>
      <c r="P1597" s="15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22"/>
      <c r="AH1597" s="22"/>
      <c r="AI1597" s="22"/>
      <c r="AJ1597" s="22"/>
      <c r="AK1597" s="22"/>
      <c r="AL1597" s="22"/>
      <c r="AM1597" s="22"/>
      <c r="AN1597" s="22"/>
      <c r="AO1597" s="22"/>
      <c r="AP1597" s="22"/>
    </row>
    <row r="1598" ht="15.75" customHeight="1">
      <c r="A1598" s="9"/>
      <c r="B1598" s="84"/>
      <c r="C1598" s="11"/>
      <c r="D1598" s="12"/>
      <c r="E1598" s="12"/>
      <c r="F1598" s="9"/>
      <c r="G1598" s="12"/>
      <c r="H1598" s="12"/>
      <c r="I1598" s="12"/>
      <c r="J1598" s="12"/>
      <c r="K1598" s="12"/>
      <c r="L1598" s="15"/>
      <c r="M1598" s="12"/>
      <c r="N1598" s="24"/>
      <c r="O1598" s="73"/>
      <c r="P1598" s="15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22"/>
      <c r="AH1598" s="22"/>
      <c r="AI1598" s="22"/>
      <c r="AJ1598" s="22"/>
      <c r="AK1598" s="22"/>
      <c r="AL1598" s="22"/>
      <c r="AM1598" s="22"/>
      <c r="AN1598" s="22"/>
      <c r="AO1598" s="22"/>
      <c r="AP1598" s="22"/>
    </row>
    <row r="1599" ht="15.75" customHeight="1">
      <c r="A1599" s="9"/>
      <c r="B1599" s="84"/>
      <c r="C1599" s="11"/>
      <c r="D1599" s="12"/>
      <c r="E1599" s="12"/>
      <c r="F1599" s="9"/>
      <c r="G1599" s="12"/>
      <c r="H1599" s="12"/>
      <c r="I1599" s="12"/>
      <c r="J1599" s="12"/>
      <c r="K1599" s="12"/>
      <c r="L1599" s="15"/>
      <c r="M1599" s="12"/>
      <c r="N1599" s="24"/>
      <c r="O1599" s="73"/>
      <c r="P1599" s="15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22"/>
      <c r="AH1599" s="22"/>
      <c r="AI1599" s="22"/>
      <c r="AJ1599" s="22"/>
      <c r="AK1599" s="22"/>
      <c r="AL1599" s="22"/>
      <c r="AM1599" s="22"/>
      <c r="AN1599" s="22"/>
      <c r="AO1599" s="22"/>
      <c r="AP1599" s="22"/>
    </row>
    <row r="1600" ht="15.75" customHeight="1">
      <c r="A1600" s="9"/>
      <c r="B1600" s="84"/>
      <c r="C1600" s="11"/>
      <c r="D1600" s="12"/>
      <c r="E1600" s="12"/>
      <c r="F1600" s="9"/>
      <c r="G1600" s="12"/>
      <c r="H1600" s="12"/>
      <c r="I1600" s="12"/>
      <c r="J1600" s="12"/>
      <c r="K1600" s="12"/>
      <c r="L1600" s="15"/>
      <c r="M1600" s="12"/>
      <c r="N1600" s="24"/>
      <c r="O1600" s="73"/>
      <c r="P1600" s="15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22"/>
      <c r="AH1600" s="22"/>
      <c r="AI1600" s="22"/>
      <c r="AJ1600" s="22"/>
      <c r="AK1600" s="22"/>
      <c r="AL1600" s="22"/>
      <c r="AM1600" s="22"/>
      <c r="AN1600" s="22"/>
      <c r="AO1600" s="22"/>
      <c r="AP1600" s="22"/>
    </row>
    <row r="1601" ht="15.75" customHeight="1">
      <c r="A1601" s="9"/>
      <c r="B1601" s="84"/>
      <c r="C1601" s="11"/>
      <c r="D1601" s="12"/>
      <c r="E1601" s="12"/>
      <c r="F1601" s="9"/>
      <c r="G1601" s="12"/>
      <c r="H1601" s="12"/>
      <c r="I1601" s="12"/>
      <c r="J1601" s="12"/>
      <c r="K1601" s="12"/>
      <c r="L1601" s="15"/>
      <c r="M1601" s="12"/>
      <c r="N1601" s="24"/>
      <c r="O1601" s="73"/>
      <c r="P1601" s="15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22"/>
      <c r="AH1601" s="22"/>
      <c r="AI1601" s="22"/>
      <c r="AJ1601" s="22"/>
      <c r="AK1601" s="22"/>
      <c r="AL1601" s="22"/>
      <c r="AM1601" s="22"/>
      <c r="AN1601" s="22"/>
      <c r="AO1601" s="22"/>
      <c r="AP1601" s="22"/>
    </row>
    <row r="1602" ht="15.75" customHeight="1">
      <c r="A1602" s="9"/>
      <c r="B1602" s="84"/>
      <c r="C1602" s="11"/>
      <c r="D1602" s="12"/>
      <c r="E1602" s="12"/>
      <c r="F1602" s="9"/>
      <c r="G1602" s="12"/>
      <c r="H1602" s="12"/>
      <c r="I1602" s="12"/>
      <c r="J1602" s="12"/>
      <c r="K1602" s="12"/>
      <c r="L1602" s="15"/>
      <c r="M1602" s="12"/>
      <c r="N1602" s="24"/>
      <c r="O1602" s="73"/>
      <c r="P1602" s="15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22"/>
      <c r="AH1602" s="22"/>
      <c r="AI1602" s="22"/>
      <c r="AJ1602" s="22"/>
      <c r="AK1602" s="22"/>
      <c r="AL1602" s="22"/>
      <c r="AM1602" s="22"/>
      <c r="AN1602" s="22"/>
      <c r="AO1602" s="22"/>
      <c r="AP1602" s="22"/>
    </row>
    <row r="1603" ht="15.75" customHeight="1">
      <c r="A1603" s="9"/>
      <c r="B1603" s="84"/>
      <c r="C1603" s="11"/>
      <c r="D1603" s="12"/>
      <c r="E1603" s="12"/>
      <c r="F1603" s="9"/>
      <c r="G1603" s="12"/>
      <c r="H1603" s="12"/>
      <c r="I1603" s="12"/>
      <c r="J1603" s="12"/>
      <c r="K1603" s="12"/>
      <c r="L1603" s="15"/>
      <c r="M1603" s="12"/>
      <c r="N1603" s="24"/>
      <c r="O1603" s="73"/>
      <c r="P1603" s="15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22"/>
      <c r="AH1603" s="22"/>
      <c r="AI1603" s="22"/>
      <c r="AJ1603" s="22"/>
      <c r="AK1603" s="22"/>
      <c r="AL1603" s="22"/>
      <c r="AM1603" s="22"/>
      <c r="AN1603" s="22"/>
      <c r="AO1603" s="22"/>
      <c r="AP1603" s="22"/>
    </row>
    <row r="1604" ht="15.75" customHeight="1">
      <c r="A1604" s="9"/>
      <c r="B1604" s="84"/>
      <c r="C1604" s="11"/>
      <c r="D1604" s="12"/>
      <c r="E1604" s="12"/>
      <c r="F1604" s="9"/>
      <c r="G1604" s="12"/>
      <c r="H1604" s="12"/>
      <c r="I1604" s="12"/>
      <c r="J1604" s="12"/>
      <c r="K1604" s="12"/>
      <c r="L1604" s="15"/>
      <c r="M1604" s="12"/>
      <c r="N1604" s="24"/>
      <c r="O1604" s="73"/>
      <c r="P1604" s="15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22"/>
      <c r="AH1604" s="22"/>
      <c r="AI1604" s="22"/>
      <c r="AJ1604" s="22"/>
      <c r="AK1604" s="22"/>
      <c r="AL1604" s="22"/>
      <c r="AM1604" s="22"/>
      <c r="AN1604" s="22"/>
      <c r="AO1604" s="22"/>
      <c r="AP1604" s="22"/>
    </row>
    <row r="1605" ht="15.75" customHeight="1">
      <c r="A1605" s="9"/>
      <c r="B1605" s="84"/>
      <c r="C1605" s="11"/>
      <c r="D1605" s="12"/>
      <c r="E1605" s="12"/>
      <c r="F1605" s="9"/>
      <c r="G1605" s="12"/>
      <c r="H1605" s="12"/>
      <c r="I1605" s="12"/>
      <c r="J1605" s="12"/>
      <c r="K1605" s="12"/>
      <c r="L1605" s="15"/>
      <c r="M1605" s="12"/>
      <c r="N1605" s="24"/>
      <c r="O1605" s="73"/>
      <c r="P1605" s="15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22"/>
      <c r="AH1605" s="22"/>
      <c r="AI1605" s="22"/>
      <c r="AJ1605" s="22"/>
      <c r="AK1605" s="22"/>
      <c r="AL1605" s="22"/>
      <c r="AM1605" s="22"/>
      <c r="AN1605" s="22"/>
      <c r="AO1605" s="22"/>
      <c r="AP1605" s="22"/>
    </row>
    <row r="1606" ht="15.75" customHeight="1">
      <c r="A1606" s="9"/>
      <c r="B1606" s="84"/>
      <c r="C1606" s="11"/>
      <c r="D1606" s="12"/>
      <c r="E1606" s="12"/>
      <c r="F1606" s="9"/>
      <c r="G1606" s="12"/>
      <c r="H1606" s="12"/>
      <c r="I1606" s="12"/>
      <c r="J1606" s="12"/>
      <c r="K1606" s="12"/>
      <c r="L1606" s="15"/>
      <c r="M1606" s="12"/>
      <c r="N1606" s="24"/>
      <c r="O1606" s="73"/>
      <c r="P1606" s="15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22"/>
      <c r="AH1606" s="22"/>
      <c r="AI1606" s="22"/>
      <c r="AJ1606" s="22"/>
      <c r="AK1606" s="22"/>
      <c r="AL1606" s="22"/>
      <c r="AM1606" s="22"/>
      <c r="AN1606" s="22"/>
      <c r="AO1606" s="22"/>
      <c r="AP1606" s="22"/>
    </row>
    <row r="1607" ht="15.75" customHeight="1">
      <c r="A1607" s="9"/>
      <c r="B1607" s="84"/>
      <c r="C1607" s="11"/>
      <c r="D1607" s="12"/>
      <c r="E1607" s="12"/>
      <c r="F1607" s="9"/>
      <c r="G1607" s="12"/>
      <c r="H1607" s="12"/>
      <c r="I1607" s="12"/>
      <c r="J1607" s="12"/>
      <c r="K1607" s="12"/>
      <c r="L1607" s="15"/>
      <c r="M1607" s="12"/>
      <c r="N1607" s="24"/>
      <c r="O1607" s="73"/>
      <c r="P1607" s="15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22"/>
      <c r="AH1607" s="22"/>
      <c r="AI1607" s="22"/>
      <c r="AJ1607" s="22"/>
      <c r="AK1607" s="22"/>
      <c r="AL1607" s="22"/>
      <c r="AM1607" s="22"/>
      <c r="AN1607" s="22"/>
      <c r="AO1607" s="22"/>
      <c r="AP1607" s="22"/>
    </row>
    <row r="1608" ht="15.75" customHeight="1">
      <c r="A1608" s="9"/>
      <c r="B1608" s="84"/>
      <c r="C1608" s="11"/>
      <c r="D1608" s="12"/>
      <c r="E1608" s="12"/>
      <c r="F1608" s="9"/>
      <c r="G1608" s="12"/>
      <c r="H1608" s="12"/>
      <c r="I1608" s="12"/>
      <c r="J1608" s="12"/>
      <c r="K1608" s="12"/>
      <c r="L1608" s="15"/>
      <c r="M1608" s="12"/>
      <c r="N1608" s="24"/>
      <c r="O1608" s="73"/>
      <c r="P1608" s="15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22"/>
      <c r="AH1608" s="22"/>
      <c r="AI1608" s="22"/>
      <c r="AJ1608" s="22"/>
      <c r="AK1608" s="22"/>
      <c r="AL1608" s="22"/>
      <c r="AM1608" s="22"/>
      <c r="AN1608" s="22"/>
      <c r="AO1608" s="22"/>
      <c r="AP1608" s="22"/>
    </row>
    <row r="1609" ht="15.75" customHeight="1">
      <c r="A1609" s="9"/>
      <c r="B1609" s="84"/>
      <c r="C1609" s="11"/>
      <c r="D1609" s="12"/>
      <c r="E1609" s="12"/>
      <c r="F1609" s="9"/>
      <c r="G1609" s="12"/>
      <c r="H1609" s="12"/>
      <c r="I1609" s="12"/>
      <c r="J1609" s="12"/>
      <c r="K1609" s="12"/>
      <c r="L1609" s="15"/>
      <c r="M1609" s="12"/>
      <c r="N1609" s="24"/>
      <c r="O1609" s="73"/>
      <c r="P1609" s="15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22"/>
      <c r="AH1609" s="22"/>
      <c r="AI1609" s="22"/>
      <c r="AJ1609" s="22"/>
      <c r="AK1609" s="22"/>
      <c r="AL1609" s="22"/>
      <c r="AM1609" s="22"/>
      <c r="AN1609" s="22"/>
      <c r="AO1609" s="22"/>
      <c r="AP1609" s="22"/>
    </row>
    <row r="1610" ht="15.75" customHeight="1">
      <c r="A1610" s="9"/>
      <c r="B1610" s="84"/>
      <c r="C1610" s="11"/>
      <c r="D1610" s="12"/>
      <c r="E1610" s="12"/>
      <c r="F1610" s="9"/>
      <c r="G1610" s="12"/>
      <c r="H1610" s="12"/>
      <c r="I1610" s="12"/>
      <c r="J1610" s="12"/>
      <c r="K1610" s="12"/>
      <c r="L1610" s="15"/>
      <c r="M1610" s="12"/>
      <c r="N1610" s="24"/>
      <c r="O1610" s="73"/>
      <c r="P1610" s="15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22"/>
      <c r="AH1610" s="22"/>
      <c r="AI1610" s="22"/>
      <c r="AJ1610" s="22"/>
      <c r="AK1610" s="22"/>
      <c r="AL1610" s="22"/>
      <c r="AM1610" s="22"/>
      <c r="AN1610" s="22"/>
      <c r="AO1610" s="22"/>
      <c r="AP1610" s="22"/>
    </row>
    <row r="1611" ht="15.75" customHeight="1">
      <c r="A1611" s="9"/>
      <c r="B1611" s="84"/>
      <c r="C1611" s="11"/>
      <c r="D1611" s="12"/>
      <c r="E1611" s="12"/>
      <c r="F1611" s="9"/>
      <c r="G1611" s="12"/>
      <c r="H1611" s="12"/>
      <c r="I1611" s="12"/>
      <c r="J1611" s="12"/>
      <c r="K1611" s="12"/>
      <c r="L1611" s="15"/>
      <c r="M1611" s="12"/>
      <c r="N1611" s="24"/>
      <c r="O1611" s="73"/>
      <c r="P1611" s="15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22"/>
      <c r="AH1611" s="22"/>
      <c r="AI1611" s="22"/>
      <c r="AJ1611" s="22"/>
      <c r="AK1611" s="22"/>
      <c r="AL1611" s="22"/>
      <c r="AM1611" s="22"/>
      <c r="AN1611" s="22"/>
      <c r="AO1611" s="22"/>
      <c r="AP1611" s="22"/>
    </row>
    <row r="1612" ht="15.75" customHeight="1">
      <c r="A1612" s="9"/>
      <c r="B1612" s="84"/>
      <c r="C1612" s="11"/>
      <c r="D1612" s="12"/>
      <c r="E1612" s="12"/>
      <c r="F1612" s="9"/>
      <c r="G1612" s="12"/>
      <c r="H1612" s="12"/>
      <c r="I1612" s="12"/>
      <c r="J1612" s="12"/>
      <c r="K1612" s="12"/>
      <c r="L1612" s="15"/>
      <c r="M1612" s="12"/>
      <c r="N1612" s="24"/>
      <c r="O1612" s="73"/>
      <c r="P1612" s="15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22"/>
      <c r="AH1612" s="22"/>
      <c r="AI1612" s="22"/>
      <c r="AJ1612" s="22"/>
      <c r="AK1612" s="22"/>
      <c r="AL1612" s="22"/>
      <c r="AM1612" s="22"/>
      <c r="AN1612" s="22"/>
      <c r="AO1612" s="22"/>
      <c r="AP1612" s="22"/>
    </row>
    <row r="1613" ht="15.75" customHeight="1">
      <c r="A1613" s="9"/>
      <c r="B1613" s="84"/>
      <c r="C1613" s="11"/>
      <c r="D1613" s="12"/>
      <c r="E1613" s="12"/>
      <c r="F1613" s="9"/>
      <c r="G1613" s="12"/>
      <c r="H1613" s="12"/>
      <c r="I1613" s="12"/>
      <c r="J1613" s="12"/>
      <c r="K1613" s="12"/>
      <c r="L1613" s="15"/>
      <c r="M1613" s="12"/>
      <c r="N1613" s="24"/>
      <c r="O1613" s="73"/>
      <c r="P1613" s="15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22"/>
      <c r="AH1613" s="22"/>
      <c r="AI1613" s="22"/>
      <c r="AJ1613" s="22"/>
      <c r="AK1613" s="22"/>
      <c r="AL1613" s="22"/>
      <c r="AM1613" s="22"/>
      <c r="AN1613" s="22"/>
      <c r="AO1613" s="22"/>
      <c r="AP1613" s="22"/>
    </row>
    <row r="1614" ht="15.75" customHeight="1">
      <c r="A1614" s="9"/>
      <c r="B1614" s="84"/>
      <c r="C1614" s="11"/>
      <c r="D1614" s="12"/>
      <c r="E1614" s="12"/>
      <c r="F1614" s="9"/>
      <c r="G1614" s="12"/>
      <c r="H1614" s="12"/>
      <c r="I1614" s="12"/>
      <c r="J1614" s="12"/>
      <c r="K1614" s="12"/>
      <c r="L1614" s="15"/>
      <c r="M1614" s="12"/>
      <c r="N1614" s="24"/>
      <c r="O1614" s="73"/>
      <c r="P1614" s="15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22"/>
      <c r="AH1614" s="22"/>
      <c r="AI1614" s="22"/>
      <c r="AJ1614" s="22"/>
      <c r="AK1614" s="22"/>
      <c r="AL1614" s="22"/>
      <c r="AM1614" s="22"/>
      <c r="AN1614" s="22"/>
      <c r="AO1614" s="22"/>
      <c r="AP1614" s="22"/>
    </row>
    <row r="1615" ht="15.75" customHeight="1">
      <c r="A1615" s="9"/>
      <c r="B1615" s="84"/>
      <c r="C1615" s="11"/>
      <c r="D1615" s="12"/>
      <c r="E1615" s="12"/>
      <c r="F1615" s="9"/>
      <c r="G1615" s="12"/>
      <c r="H1615" s="12"/>
      <c r="I1615" s="12"/>
      <c r="J1615" s="12"/>
      <c r="K1615" s="12"/>
      <c r="L1615" s="15"/>
      <c r="M1615" s="12"/>
      <c r="N1615" s="24"/>
      <c r="O1615" s="73"/>
      <c r="P1615" s="15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22"/>
      <c r="AH1615" s="22"/>
      <c r="AI1615" s="22"/>
      <c r="AJ1615" s="22"/>
      <c r="AK1615" s="22"/>
      <c r="AL1615" s="22"/>
      <c r="AM1615" s="22"/>
      <c r="AN1615" s="22"/>
      <c r="AO1615" s="22"/>
      <c r="AP1615" s="22"/>
    </row>
    <row r="1616" ht="15.75" customHeight="1">
      <c r="A1616" s="9"/>
      <c r="B1616" s="84"/>
      <c r="C1616" s="11"/>
      <c r="D1616" s="12"/>
      <c r="E1616" s="12"/>
      <c r="F1616" s="9"/>
      <c r="G1616" s="12"/>
      <c r="H1616" s="12"/>
      <c r="I1616" s="12"/>
      <c r="J1616" s="12"/>
      <c r="K1616" s="12"/>
      <c r="L1616" s="15"/>
      <c r="M1616" s="12"/>
      <c r="N1616" s="24"/>
      <c r="O1616" s="73"/>
      <c r="P1616" s="15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22"/>
      <c r="AH1616" s="22"/>
      <c r="AI1616" s="22"/>
      <c r="AJ1616" s="22"/>
      <c r="AK1616" s="22"/>
      <c r="AL1616" s="22"/>
      <c r="AM1616" s="22"/>
      <c r="AN1616" s="22"/>
      <c r="AO1616" s="22"/>
      <c r="AP1616" s="22"/>
    </row>
    <row r="1617" ht="15.75" customHeight="1">
      <c r="A1617" s="9"/>
      <c r="B1617" s="84"/>
      <c r="C1617" s="11"/>
      <c r="D1617" s="12"/>
      <c r="E1617" s="12"/>
      <c r="F1617" s="9"/>
      <c r="G1617" s="12"/>
      <c r="H1617" s="12"/>
      <c r="I1617" s="12"/>
      <c r="J1617" s="12"/>
      <c r="K1617" s="12"/>
      <c r="L1617" s="15"/>
      <c r="M1617" s="12"/>
      <c r="N1617" s="24"/>
      <c r="O1617" s="73"/>
      <c r="P1617" s="15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22"/>
      <c r="AH1617" s="22"/>
      <c r="AI1617" s="22"/>
      <c r="AJ1617" s="22"/>
      <c r="AK1617" s="22"/>
      <c r="AL1617" s="22"/>
      <c r="AM1617" s="22"/>
      <c r="AN1617" s="22"/>
      <c r="AO1617" s="22"/>
      <c r="AP1617" s="22"/>
    </row>
    <row r="1618" ht="15.75" customHeight="1">
      <c r="A1618" s="9"/>
      <c r="B1618" s="84"/>
      <c r="C1618" s="11"/>
      <c r="D1618" s="12"/>
      <c r="E1618" s="12"/>
      <c r="F1618" s="9"/>
      <c r="G1618" s="12"/>
      <c r="H1618" s="12"/>
      <c r="I1618" s="12"/>
      <c r="J1618" s="12"/>
      <c r="K1618" s="12"/>
      <c r="L1618" s="15"/>
      <c r="M1618" s="12"/>
      <c r="N1618" s="24"/>
      <c r="O1618" s="73"/>
      <c r="P1618" s="15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22"/>
      <c r="AH1618" s="22"/>
      <c r="AI1618" s="22"/>
      <c r="AJ1618" s="22"/>
      <c r="AK1618" s="22"/>
      <c r="AL1618" s="22"/>
      <c r="AM1618" s="22"/>
      <c r="AN1618" s="22"/>
      <c r="AO1618" s="22"/>
      <c r="AP1618" s="22"/>
    </row>
    <row r="1619" ht="15.75" customHeight="1">
      <c r="A1619" s="9"/>
      <c r="B1619" s="84"/>
      <c r="C1619" s="11"/>
      <c r="D1619" s="12"/>
      <c r="E1619" s="12"/>
      <c r="F1619" s="9"/>
      <c r="G1619" s="12"/>
      <c r="H1619" s="12"/>
      <c r="I1619" s="12"/>
      <c r="J1619" s="12"/>
      <c r="K1619" s="12"/>
      <c r="L1619" s="15"/>
      <c r="M1619" s="12"/>
      <c r="N1619" s="24"/>
      <c r="O1619" s="73"/>
      <c r="P1619" s="15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22"/>
      <c r="AH1619" s="22"/>
      <c r="AI1619" s="22"/>
      <c r="AJ1619" s="22"/>
      <c r="AK1619" s="22"/>
      <c r="AL1619" s="22"/>
      <c r="AM1619" s="22"/>
      <c r="AN1619" s="22"/>
      <c r="AO1619" s="22"/>
      <c r="AP1619" s="22"/>
    </row>
    <row r="1620" ht="15.75" customHeight="1">
      <c r="A1620" s="9"/>
      <c r="B1620" s="84"/>
      <c r="C1620" s="11"/>
      <c r="D1620" s="12"/>
      <c r="E1620" s="12"/>
      <c r="F1620" s="9"/>
      <c r="G1620" s="12"/>
      <c r="H1620" s="12"/>
      <c r="I1620" s="12"/>
      <c r="J1620" s="12"/>
      <c r="K1620" s="12"/>
      <c r="L1620" s="15"/>
      <c r="M1620" s="12"/>
      <c r="N1620" s="24"/>
      <c r="O1620" s="73"/>
      <c r="P1620" s="15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22"/>
      <c r="AH1620" s="22"/>
      <c r="AI1620" s="22"/>
      <c r="AJ1620" s="22"/>
      <c r="AK1620" s="22"/>
      <c r="AL1620" s="22"/>
      <c r="AM1620" s="22"/>
      <c r="AN1620" s="22"/>
      <c r="AO1620" s="22"/>
      <c r="AP1620" s="22"/>
    </row>
    <row r="1621" ht="15.75" customHeight="1">
      <c r="A1621" s="9"/>
      <c r="B1621" s="84"/>
      <c r="C1621" s="11"/>
      <c r="D1621" s="12"/>
      <c r="E1621" s="12"/>
      <c r="F1621" s="9"/>
      <c r="G1621" s="12"/>
      <c r="H1621" s="12"/>
      <c r="I1621" s="12"/>
      <c r="J1621" s="12"/>
      <c r="K1621" s="12"/>
      <c r="L1621" s="15"/>
      <c r="M1621" s="12"/>
      <c r="N1621" s="24"/>
      <c r="O1621" s="73"/>
      <c r="P1621" s="15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22"/>
      <c r="AH1621" s="22"/>
      <c r="AI1621" s="22"/>
      <c r="AJ1621" s="22"/>
      <c r="AK1621" s="22"/>
      <c r="AL1621" s="22"/>
      <c r="AM1621" s="22"/>
      <c r="AN1621" s="22"/>
      <c r="AO1621" s="22"/>
      <c r="AP1621" s="22"/>
    </row>
    <row r="1622" ht="15.75" customHeight="1">
      <c r="A1622" s="9"/>
      <c r="B1622" s="84"/>
      <c r="C1622" s="11"/>
      <c r="D1622" s="12"/>
      <c r="E1622" s="12"/>
      <c r="F1622" s="9"/>
      <c r="G1622" s="12"/>
      <c r="H1622" s="12"/>
      <c r="I1622" s="12"/>
      <c r="J1622" s="12"/>
      <c r="K1622" s="12"/>
      <c r="L1622" s="15"/>
      <c r="M1622" s="12"/>
      <c r="N1622" s="24"/>
      <c r="O1622" s="73"/>
      <c r="P1622" s="15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22"/>
      <c r="AH1622" s="22"/>
      <c r="AI1622" s="22"/>
      <c r="AJ1622" s="22"/>
      <c r="AK1622" s="22"/>
      <c r="AL1622" s="22"/>
      <c r="AM1622" s="22"/>
      <c r="AN1622" s="22"/>
      <c r="AO1622" s="22"/>
      <c r="AP1622" s="22"/>
    </row>
    <row r="1623" ht="15.75" customHeight="1">
      <c r="A1623" s="9"/>
      <c r="B1623" s="84"/>
      <c r="C1623" s="11"/>
      <c r="D1623" s="12"/>
      <c r="E1623" s="12"/>
      <c r="F1623" s="9"/>
      <c r="G1623" s="12"/>
      <c r="H1623" s="12"/>
      <c r="I1623" s="12"/>
      <c r="J1623" s="12"/>
      <c r="K1623" s="12"/>
      <c r="L1623" s="15"/>
      <c r="M1623" s="12"/>
      <c r="N1623" s="24"/>
      <c r="O1623" s="73"/>
      <c r="P1623" s="15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22"/>
      <c r="AH1623" s="22"/>
      <c r="AI1623" s="22"/>
      <c r="AJ1623" s="22"/>
      <c r="AK1623" s="22"/>
      <c r="AL1623" s="22"/>
      <c r="AM1623" s="22"/>
      <c r="AN1623" s="22"/>
      <c r="AO1623" s="22"/>
      <c r="AP1623" s="22"/>
    </row>
    <row r="1624" ht="15.75" customHeight="1">
      <c r="A1624" s="9"/>
      <c r="B1624" s="84"/>
      <c r="C1624" s="11"/>
      <c r="D1624" s="12"/>
      <c r="E1624" s="12"/>
      <c r="F1624" s="9"/>
      <c r="G1624" s="12"/>
      <c r="H1624" s="12"/>
      <c r="I1624" s="12"/>
      <c r="J1624" s="12"/>
      <c r="K1624" s="12"/>
      <c r="L1624" s="15"/>
      <c r="M1624" s="12"/>
      <c r="N1624" s="24"/>
      <c r="O1624" s="73"/>
      <c r="P1624" s="15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22"/>
      <c r="AH1624" s="22"/>
      <c r="AI1624" s="22"/>
      <c r="AJ1624" s="22"/>
      <c r="AK1624" s="22"/>
      <c r="AL1624" s="22"/>
      <c r="AM1624" s="22"/>
      <c r="AN1624" s="22"/>
      <c r="AO1624" s="22"/>
      <c r="AP1624" s="22"/>
    </row>
    <row r="1625" ht="15.75" customHeight="1">
      <c r="A1625" s="9"/>
      <c r="B1625" s="84"/>
      <c r="C1625" s="11"/>
      <c r="D1625" s="12"/>
      <c r="E1625" s="12"/>
      <c r="F1625" s="9"/>
      <c r="G1625" s="12"/>
      <c r="H1625" s="12"/>
      <c r="I1625" s="12"/>
      <c r="J1625" s="12"/>
      <c r="K1625" s="12"/>
      <c r="L1625" s="15"/>
      <c r="M1625" s="12"/>
      <c r="N1625" s="24"/>
      <c r="O1625" s="73"/>
      <c r="P1625" s="15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22"/>
      <c r="AH1625" s="22"/>
      <c r="AI1625" s="22"/>
      <c r="AJ1625" s="22"/>
      <c r="AK1625" s="22"/>
      <c r="AL1625" s="22"/>
      <c r="AM1625" s="22"/>
      <c r="AN1625" s="22"/>
      <c r="AO1625" s="22"/>
      <c r="AP1625" s="22"/>
    </row>
    <row r="1626" ht="15.75" customHeight="1">
      <c r="A1626" s="9"/>
      <c r="B1626" s="84"/>
      <c r="C1626" s="11"/>
      <c r="D1626" s="12"/>
      <c r="E1626" s="12"/>
      <c r="F1626" s="9"/>
      <c r="G1626" s="12"/>
      <c r="H1626" s="12"/>
      <c r="I1626" s="12"/>
      <c r="J1626" s="12"/>
      <c r="K1626" s="12"/>
      <c r="L1626" s="15"/>
      <c r="M1626" s="12"/>
      <c r="N1626" s="24"/>
      <c r="O1626" s="73"/>
      <c r="P1626" s="15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22"/>
      <c r="AH1626" s="22"/>
      <c r="AI1626" s="22"/>
      <c r="AJ1626" s="22"/>
      <c r="AK1626" s="22"/>
      <c r="AL1626" s="22"/>
      <c r="AM1626" s="22"/>
      <c r="AN1626" s="22"/>
      <c r="AO1626" s="22"/>
      <c r="AP1626" s="22"/>
    </row>
    <row r="1627" ht="15.75" customHeight="1">
      <c r="A1627" s="9"/>
      <c r="B1627" s="84"/>
      <c r="C1627" s="11"/>
      <c r="D1627" s="12"/>
      <c r="E1627" s="12"/>
      <c r="F1627" s="9"/>
      <c r="G1627" s="12"/>
      <c r="H1627" s="12"/>
      <c r="I1627" s="12"/>
      <c r="J1627" s="12"/>
      <c r="K1627" s="12"/>
      <c r="L1627" s="15"/>
      <c r="M1627" s="12"/>
      <c r="N1627" s="24"/>
      <c r="O1627" s="73"/>
      <c r="P1627" s="15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22"/>
      <c r="AH1627" s="22"/>
      <c r="AI1627" s="22"/>
      <c r="AJ1627" s="22"/>
      <c r="AK1627" s="22"/>
      <c r="AL1627" s="22"/>
      <c r="AM1627" s="22"/>
      <c r="AN1627" s="22"/>
      <c r="AO1627" s="22"/>
      <c r="AP1627" s="22"/>
    </row>
    <row r="1628" ht="15.75" customHeight="1">
      <c r="A1628" s="9"/>
      <c r="B1628" s="84"/>
      <c r="C1628" s="11"/>
      <c r="D1628" s="12"/>
      <c r="E1628" s="12"/>
      <c r="F1628" s="9"/>
      <c r="G1628" s="12"/>
      <c r="H1628" s="12"/>
      <c r="I1628" s="12"/>
      <c r="J1628" s="12"/>
      <c r="K1628" s="12"/>
      <c r="L1628" s="15"/>
      <c r="M1628" s="12"/>
      <c r="N1628" s="24"/>
      <c r="O1628" s="73"/>
      <c r="P1628" s="15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22"/>
      <c r="AH1628" s="22"/>
      <c r="AI1628" s="22"/>
      <c r="AJ1628" s="22"/>
      <c r="AK1628" s="22"/>
      <c r="AL1628" s="22"/>
      <c r="AM1628" s="22"/>
      <c r="AN1628" s="22"/>
      <c r="AO1628" s="22"/>
      <c r="AP1628" s="22"/>
    </row>
    <row r="1629" ht="15.75" customHeight="1">
      <c r="A1629" s="9"/>
      <c r="B1629" s="84"/>
      <c r="C1629" s="11"/>
      <c r="D1629" s="12"/>
      <c r="E1629" s="12"/>
      <c r="F1629" s="9"/>
      <c r="G1629" s="12"/>
      <c r="H1629" s="12"/>
      <c r="I1629" s="12"/>
      <c r="J1629" s="12"/>
      <c r="K1629" s="12"/>
      <c r="L1629" s="15"/>
      <c r="M1629" s="12"/>
      <c r="N1629" s="24"/>
      <c r="O1629" s="73"/>
      <c r="P1629" s="15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22"/>
      <c r="AH1629" s="22"/>
      <c r="AI1629" s="22"/>
      <c r="AJ1629" s="22"/>
      <c r="AK1629" s="22"/>
      <c r="AL1629" s="22"/>
      <c r="AM1629" s="22"/>
      <c r="AN1629" s="22"/>
      <c r="AO1629" s="22"/>
      <c r="AP1629" s="22"/>
    </row>
    <row r="1630" ht="15.75" customHeight="1">
      <c r="A1630" s="9"/>
      <c r="B1630" s="84"/>
      <c r="C1630" s="11"/>
      <c r="D1630" s="12"/>
      <c r="E1630" s="12"/>
      <c r="F1630" s="9"/>
      <c r="G1630" s="12"/>
      <c r="H1630" s="12"/>
      <c r="I1630" s="12"/>
      <c r="J1630" s="12"/>
      <c r="K1630" s="12"/>
      <c r="L1630" s="15"/>
      <c r="M1630" s="12"/>
      <c r="N1630" s="24"/>
      <c r="O1630" s="73"/>
      <c r="P1630" s="15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22"/>
      <c r="AH1630" s="22"/>
      <c r="AI1630" s="22"/>
      <c r="AJ1630" s="22"/>
      <c r="AK1630" s="22"/>
      <c r="AL1630" s="22"/>
      <c r="AM1630" s="22"/>
      <c r="AN1630" s="22"/>
      <c r="AO1630" s="22"/>
      <c r="AP1630" s="22"/>
    </row>
    <row r="1631" ht="15.75" customHeight="1">
      <c r="A1631" s="9"/>
      <c r="B1631" s="84"/>
      <c r="C1631" s="11"/>
      <c r="D1631" s="12"/>
      <c r="E1631" s="12"/>
      <c r="F1631" s="9"/>
      <c r="G1631" s="12"/>
      <c r="H1631" s="12"/>
      <c r="I1631" s="12"/>
      <c r="J1631" s="12"/>
      <c r="K1631" s="12"/>
      <c r="L1631" s="15"/>
      <c r="M1631" s="12"/>
      <c r="N1631" s="24"/>
      <c r="O1631" s="73"/>
      <c r="P1631" s="15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22"/>
      <c r="AH1631" s="22"/>
      <c r="AI1631" s="22"/>
      <c r="AJ1631" s="22"/>
      <c r="AK1631" s="22"/>
      <c r="AL1631" s="22"/>
      <c r="AM1631" s="22"/>
      <c r="AN1631" s="22"/>
      <c r="AO1631" s="22"/>
      <c r="AP1631" s="22"/>
    </row>
    <row r="1632" ht="15.75" customHeight="1">
      <c r="A1632" s="9"/>
      <c r="B1632" s="84"/>
      <c r="C1632" s="11"/>
      <c r="D1632" s="12"/>
      <c r="E1632" s="12"/>
      <c r="F1632" s="9"/>
      <c r="G1632" s="12"/>
      <c r="H1632" s="12"/>
      <c r="I1632" s="12"/>
      <c r="J1632" s="12"/>
      <c r="K1632" s="12"/>
      <c r="L1632" s="15"/>
      <c r="M1632" s="12"/>
      <c r="N1632" s="24"/>
      <c r="O1632" s="73"/>
      <c r="P1632" s="15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22"/>
      <c r="AH1632" s="22"/>
      <c r="AI1632" s="22"/>
      <c r="AJ1632" s="22"/>
      <c r="AK1632" s="22"/>
      <c r="AL1632" s="22"/>
      <c r="AM1632" s="22"/>
      <c r="AN1632" s="22"/>
      <c r="AO1632" s="22"/>
      <c r="AP1632" s="22"/>
    </row>
    <row r="1633" ht="15.75" customHeight="1">
      <c r="A1633" s="9"/>
      <c r="B1633" s="84"/>
      <c r="C1633" s="11"/>
      <c r="D1633" s="12"/>
      <c r="E1633" s="12"/>
      <c r="F1633" s="9"/>
      <c r="G1633" s="12"/>
      <c r="H1633" s="12"/>
      <c r="I1633" s="12"/>
      <c r="J1633" s="12"/>
      <c r="K1633" s="12"/>
      <c r="L1633" s="15"/>
      <c r="M1633" s="12"/>
      <c r="N1633" s="24"/>
      <c r="O1633" s="73"/>
      <c r="P1633" s="15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22"/>
      <c r="AH1633" s="22"/>
      <c r="AI1633" s="22"/>
      <c r="AJ1633" s="22"/>
      <c r="AK1633" s="22"/>
      <c r="AL1633" s="22"/>
      <c r="AM1633" s="22"/>
      <c r="AN1633" s="22"/>
      <c r="AO1633" s="22"/>
      <c r="AP1633" s="22"/>
    </row>
    <row r="1634" ht="15.75" customHeight="1">
      <c r="A1634" s="9"/>
      <c r="B1634" s="84"/>
      <c r="C1634" s="11"/>
      <c r="D1634" s="12"/>
      <c r="E1634" s="12"/>
      <c r="F1634" s="9"/>
      <c r="G1634" s="12"/>
      <c r="H1634" s="12"/>
      <c r="I1634" s="12"/>
      <c r="J1634" s="12"/>
      <c r="K1634" s="12"/>
      <c r="L1634" s="15"/>
      <c r="M1634" s="12"/>
      <c r="N1634" s="24"/>
      <c r="O1634" s="73"/>
      <c r="P1634" s="15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22"/>
      <c r="AH1634" s="22"/>
      <c r="AI1634" s="22"/>
      <c r="AJ1634" s="22"/>
      <c r="AK1634" s="22"/>
      <c r="AL1634" s="22"/>
      <c r="AM1634" s="22"/>
      <c r="AN1634" s="22"/>
      <c r="AO1634" s="22"/>
      <c r="AP1634" s="22"/>
    </row>
    <row r="1635" ht="15.75" customHeight="1">
      <c r="A1635" s="9"/>
      <c r="B1635" s="84"/>
      <c r="C1635" s="11"/>
      <c r="D1635" s="12"/>
      <c r="E1635" s="12"/>
      <c r="F1635" s="9"/>
      <c r="G1635" s="12"/>
      <c r="H1635" s="12"/>
      <c r="I1635" s="12"/>
      <c r="J1635" s="12"/>
      <c r="K1635" s="12"/>
      <c r="L1635" s="15"/>
      <c r="M1635" s="12"/>
      <c r="N1635" s="24"/>
      <c r="O1635" s="73"/>
      <c r="P1635" s="15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22"/>
      <c r="AH1635" s="22"/>
      <c r="AI1635" s="22"/>
      <c r="AJ1635" s="22"/>
      <c r="AK1635" s="22"/>
      <c r="AL1635" s="22"/>
      <c r="AM1635" s="22"/>
      <c r="AN1635" s="22"/>
      <c r="AO1635" s="22"/>
      <c r="AP1635" s="22"/>
    </row>
    <row r="1636" ht="15.75" customHeight="1">
      <c r="A1636" s="9"/>
      <c r="B1636" s="84"/>
      <c r="C1636" s="11"/>
      <c r="D1636" s="12"/>
      <c r="E1636" s="12"/>
      <c r="F1636" s="9"/>
      <c r="G1636" s="12"/>
      <c r="H1636" s="12"/>
      <c r="I1636" s="12"/>
      <c r="J1636" s="12"/>
      <c r="K1636" s="12"/>
      <c r="L1636" s="15"/>
      <c r="M1636" s="12"/>
      <c r="N1636" s="24"/>
      <c r="O1636" s="73"/>
      <c r="P1636" s="15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22"/>
      <c r="AH1636" s="22"/>
      <c r="AI1636" s="22"/>
      <c r="AJ1636" s="22"/>
      <c r="AK1636" s="22"/>
      <c r="AL1636" s="22"/>
      <c r="AM1636" s="22"/>
      <c r="AN1636" s="22"/>
      <c r="AO1636" s="22"/>
      <c r="AP1636" s="22"/>
    </row>
    <row r="1637" ht="15.75" customHeight="1">
      <c r="A1637" s="9"/>
      <c r="B1637" s="84"/>
      <c r="C1637" s="11"/>
      <c r="D1637" s="12"/>
      <c r="E1637" s="12"/>
      <c r="F1637" s="9"/>
      <c r="G1637" s="12"/>
      <c r="H1637" s="12"/>
      <c r="I1637" s="12"/>
      <c r="J1637" s="12"/>
      <c r="K1637" s="12"/>
      <c r="L1637" s="15"/>
      <c r="M1637" s="12"/>
      <c r="N1637" s="24"/>
      <c r="O1637" s="73"/>
      <c r="P1637" s="15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22"/>
      <c r="AH1637" s="22"/>
      <c r="AI1637" s="22"/>
      <c r="AJ1637" s="22"/>
      <c r="AK1637" s="22"/>
      <c r="AL1637" s="22"/>
      <c r="AM1637" s="22"/>
      <c r="AN1637" s="22"/>
      <c r="AO1637" s="22"/>
      <c r="AP1637" s="22"/>
    </row>
    <row r="1638" ht="15.75" customHeight="1">
      <c r="A1638" s="9"/>
      <c r="B1638" s="84"/>
      <c r="C1638" s="11"/>
      <c r="D1638" s="12"/>
      <c r="E1638" s="12"/>
      <c r="F1638" s="9"/>
      <c r="G1638" s="12"/>
      <c r="H1638" s="12"/>
      <c r="I1638" s="12"/>
      <c r="J1638" s="12"/>
      <c r="K1638" s="12"/>
      <c r="L1638" s="15"/>
      <c r="M1638" s="12"/>
      <c r="N1638" s="24"/>
      <c r="O1638" s="73"/>
      <c r="P1638" s="15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22"/>
      <c r="AH1638" s="22"/>
      <c r="AI1638" s="22"/>
      <c r="AJ1638" s="22"/>
      <c r="AK1638" s="22"/>
      <c r="AL1638" s="22"/>
      <c r="AM1638" s="22"/>
      <c r="AN1638" s="22"/>
      <c r="AO1638" s="22"/>
      <c r="AP1638" s="22"/>
    </row>
    <row r="1639" ht="15.75" customHeight="1">
      <c r="A1639" s="9"/>
      <c r="B1639" s="84"/>
      <c r="C1639" s="11"/>
      <c r="D1639" s="12"/>
      <c r="E1639" s="12"/>
      <c r="F1639" s="9"/>
      <c r="G1639" s="12"/>
      <c r="H1639" s="12"/>
      <c r="I1639" s="12"/>
      <c r="J1639" s="12"/>
      <c r="K1639" s="12"/>
      <c r="L1639" s="15"/>
      <c r="M1639" s="12"/>
      <c r="N1639" s="24"/>
      <c r="O1639" s="73"/>
      <c r="P1639" s="15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22"/>
      <c r="AH1639" s="22"/>
      <c r="AI1639" s="22"/>
      <c r="AJ1639" s="22"/>
      <c r="AK1639" s="22"/>
      <c r="AL1639" s="22"/>
      <c r="AM1639" s="22"/>
      <c r="AN1639" s="22"/>
      <c r="AO1639" s="22"/>
      <c r="AP1639" s="22"/>
    </row>
    <row r="1640" ht="15.75" customHeight="1">
      <c r="A1640" s="9"/>
      <c r="B1640" s="84"/>
      <c r="C1640" s="11"/>
      <c r="D1640" s="12"/>
      <c r="E1640" s="12"/>
      <c r="F1640" s="9"/>
      <c r="G1640" s="12"/>
      <c r="H1640" s="12"/>
      <c r="I1640" s="12"/>
      <c r="J1640" s="12"/>
      <c r="K1640" s="12"/>
      <c r="L1640" s="15"/>
      <c r="M1640" s="12"/>
      <c r="N1640" s="24"/>
      <c r="O1640" s="73"/>
      <c r="P1640" s="15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22"/>
      <c r="AH1640" s="22"/>
      <c r="AI1640" s="22"/>
      <c r="AJ1640" s="22"/>
      <c r="AK1640" s="22"/>
      <c r="AL1640" s="22"/>
      <c r="AM1640" s="22"/>
      <c r="AN1640" s="22"/>
      <c r="AO1640" s="22"/>
      <c r="AP1640" s="22"/>
    </row>
    <row r="1641" ht="15.75" customHeight="1">
      <c r="A1641" s="9"/>
      <c r="B1641" s="84"/>
      <c r="C1641" s="11"/>
      <c r="D1641" s="12"/>
      <c r="E1641" s="12"/>
      <c r="F1641" s="9"/>
      <c r="G1641" s="12"/>
      <c r="H1641" s="12"/>
      <c r="I1641" s="12"/>
      <c r="J1641" s="12"/>
      <c r="K1641" s="12"/>
      <c r="L1641" s="15"/>
      <c r="M1641" s="12"/>
      <c r="N1641" s="24"/>
      <c r="O1641" s="73"/>
      <c r="P1641" s="15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22"/>
      <c r="AH1641" s="22"/>
      <c r="AI1641" s="22"/>
      <c r="AJ1641" s="22"/>
      <c r="AK1641" s="22"/>
      <c r="AL1641" s="22"/>
      <c r="AM1641" s="22"/>
      <c r="AN1641" s="22"/>
      <c r="AO1641" s="22"/>
      <c r="AP1641" s="22"/>
    </row>
    <row r="1642" ht="15.75" customHeight="1">
      <c r="A1642" s="9"/>
      <c r="B1642" s="84"/>
      <c r="C1642" s="11"/>
      <c r="D1642" s="12"/>
      <c r="E1642" s="12"/>
      <c r="F1642" s="9"/>
      <c r="G1642" s="12"/>
      <c r="H1642" s="12"/>
      <c r="I1642" s="12"/>
      <c r="J1642" s="12"/>
      <c r="K1642" s="12"/>
      <c r="L1642" s="15"/>
      <c r="M1642" s="12"/>
      <c r="N1642" s="24"/>
      <c r="O1642" s="73"/>
      <c r="P1642" s="15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22"/>
      <c r="AH1642" s="22"/>
      <c r="AI1642" s="22"/>
      <c r="AJ1642" s="22"/>
      <c r="AK1642" s="22"/>
      <c r="AL1642" s="22"/>
      <c r="AM1642" s="22"/>
      <c r="AN1642" s="22"/>
      <c r="AO1642" s="22"/>
      <c r="AP1642" s="22"/>
    </row>
    <row r="1643" ht="15.75" customHeight="1">
      <c r="A1643" s="9"/>
      <c r="B1643" s="84"/>
      <c r="C1643" s="11"/>
      <c r="D1643" s="12"/>
      <c r="E1643" s="12"/>
      <c r="F1643" s="9"/>
      <c r="G1643" s="12"/>
      <c r="H1643" s="12"/>
      <c r="I1643" s="12"/>
      <c r="J1643" s="12"/>
      <c r="K1643" s="12"/>
      <c r="L1643" s="15"/>
      <c r="M1643" s="12"/>
      <c r="N1643" s="24"/>
      <c r="O1643" s="73"/>
      <c r="P1643" s="15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22"/>
      <c r="AH1643" s="22"/>
      <c r="AI1643" s="22"/>
      <c r="AJ1643" s="22"/>
      <c r="AK1643" s="22"/>
      <c r="AL1643" s="22"/>
      <c r="AM1643" s="22"/>
      <c r="AN1643" s="22"/>
      <c r="AO1643" s="22"/>
      <c r="AP1643" s="22"/>
    </row>
    <row r="1644" ht="15.75" customHeight="1">
      <c r="A1644" s="9"/>
      <c r="B1644" s="84"/>
      <c r="C1644" s="11"/>
      <c r="D1644" s="12"/>
      <c r="E1644" s="12"/>
      <c r="F1644" s="9"/>
      <c r="G1644" s="12"/>
      <c r="H1644" s="12"/>
      <c r="I1644" s="12"/>
      <c r="J1644" s="12"/>
      <c r="K1644" s="12"/>
      <c r="L1644" s="15"/>
      <c r="M1644" s="12"/>
      <c r="N1644" s="24"/>
      <c r="O1644" s="73"/>
      <c r="P1644" s="15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22"/>
      <c r="AH1644" s="22"/>
      <c r="AI1644" s="22"/>
      <c r="AJ1644" s="22"/>
      <c r="AK1644" s="22"/>
      <c r="AL1644" s="22"/>
      <c r="AM1644" s="22"/>
      <c r="AN1644" s="22"/>
      <c r="AO1644" s="22"/>
      <c r="AP1644" s="22"/>
    </row>
    <row r="1645" ht="15.75" customHeight="1">
      <c r="A1645" s="9"/>
      <c r="B1645" s="84"/>
      <c r="C1645" s="11"/>
      <c r="D1645" s="12"/>
      <c r="E1645" s="12"/>
      <c r="F1645" s="9"/>
      <c r="G1645" s="12"/>
      <c r="H1645" s="12"/>
      <c r="I1645" s="12"/>
      <c r="J1645" s="12"/>
      <c r="K1645" s="12"/>
      <c r="L1645" s="15"/>
      <c r="M1645" s="12"/>
      <c r="N1645" s="24"/>
      <c r="O1645" s="73"/>
      <c r="P1645" s="15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22"/>
      <c r="AH1645" s="22"/>
      <c r="AI1645" s="22"/>
      <c r="AJ1645" s="22"/>
      <c r="AK1645" s="22"/>
      <c r="AL1645" s="22"/>
      <c r="AM1645" s="22"/>
      <c r="AN1645" s="22"/>
      <c r="AO1645" s="22"/>
      <c r="AP1645" s="22"/>
    </row>
    <row r="1646" ht="15.75" customHeight="1">
      <c r="A1646" s="9"/>
      <c r="B1646" s="84"/>
      <c r="C1646" s="11"/>
      <c r="D1646" s="12"/>
      <c r="E1646" s="12"/>
      <c r="F1646" s="9"/>
      <c r="G1646" s="12"/>
      <c r="H1646" s="12"/>
      <c r="I1646" s="12"/>
      <c r="J1646" s="12"/>
      <c r="K1646" s="12"/>
      <c r="L1646" s="15"/>
      <c r="M1646" s="12"/>
      <c r="N1646" s="24"/>
      <c r="O1646" s="73"/>
      <c r="P1646" s="15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22"/>
      <c r="AH1646" s="22"/>
      <c r="AI1646" s="22"/>
      <c r="AJ1646" s="22"/>
      <c r="AK1646" s="22"/>
      <c r="AL1646" s="22"/>
      <c r="AM1646" s="22"/>
      <c r="AN1646" s="22"/>
      <c r="AO1646" s="22"/>
      <c r="AP1646" s="22"/>
    </row>
    <row r="1647" ht="15.75" customHeight="1">
      <c r="A1647" s="9"/>
      <c r="B1647" s="84"/>
      <c r="C1647" s="11"/>
      <c r="D1647" s="12"/>
      <c r="E1647" s="12"/>
      <c r="F1647" s="9"/>
      <c r="G1647" s="12"/>
      <c r="H1647" s="12"/>
      <c r="I1647" s="12"/>
      <c r="J1647" s="12"/>
      <c r="K1647" s="12"/>
      <c r="L1647" s="15"/>
      <c r="M1647" s="12"/>
      <c r="N1647" s="24"/>
      <c r="O1647" s="73"/>
      <c r="P1647" s="15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22"/>
      <c r="AH1647" s="22"/>
      <c r="AI1647" s="22"/>
      <c r="AJ1647" s="22"/>
      <c r="AK1647" s="22"/>
      <c r="AL1647" s="22"/>
      <c r="AM1647" s="22"/>
      <c r="AN1647" s="22"/>
      <c r="AO1647" s="22"/>
      <c r="AP1647" s="22"/>
    </row>
    <row r="1648" ht="15.75" customHeight="1">
      <c r="A1648" s="9"/>
      <c r="B1648" s="84"/>
      <c r="C1648" s="11"/>
      <c r="D1648" s="12"/>
      <c r="E1648" s="12"/>
      <c r="F1648" s="9"/>
      <c r="G1648" s="12"/>
      <c r="H1648" s="12"/>
      <c r="I1648" s="12"/>
      <c r="J1648" s="12"/>
      <c r="K1648" s="12"/>
      <c r="L1648" s="15"/>
      <c r="M1648" s="12"/>
      <c r="N1648" s="24"/>
      <c r="O1648" s="73"/>
      <c r="P1648" s="15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22"/>
      <c r="AH1648" s="22"/>
      <c r="AI1648" s="22"/>
      <c r="AJ1648" s="22"/>
      <c r="AK1648" s="22"/>
      <c r="AL1648" s="22"/>
      <c r="AM1648" s="22"/>
      <c r="AN1648" s="22"/>
      <c r="AO1648" s="22"/>
      <c r="AP1648" s="22"/>
    </row>
    <row r="1649" ht="15.75" customHeight="1">
      <c r="A1649" s="9"/>
      <c r="B1649" s="84"/>
      <c r="C1649" s="11"/>
      <c r="D1649" s="12"/>
      <c r="E1649" s="12"/>
      <c r="F1649" s="9"/>
      <c r="G1649" s="12"/>
      <c r="H1649" s="12"/>
      <c r="I1649" s="12"/>
      <c r="J1649" s="12"/>
      <c r="K1649" s="12"/>
      <c r="L1649" s="15"/>
      <c r="M1649" s="12"/>
      <c r="N1649" s="24"/>
      <c r="O1649" s="73"/>
      <c r="P1649" s="15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22"/>
      <c r="AH1649" s="22"/>
      <c r="AI1649" s="22"/>
      <c r="AJ1649" s="22"/>
      <c r="AK1649" s="22"/>
      <c r="AL1649" s="22"/>
      <c r="AM1649" s="22"/>
      <c r="AN1649" s="22"/>
      <c r="AO1649" s="22"/>
      <c r="AP1649" s="22"/>
    </row>
    <row r="1650" ht="15.75" customHeight="1">
      <c r="A1650" s="9"/>
      <c r="B1650" s="84"/>
      <c r="C1650" s="11"/>
      <c r="D1650" s="12"/>
      <c r="E1650" s="12"/>
      <c r="F1650" s="9"/>
      <c r="G1650" s="12"/>
      <c r="H1650" s="12"/>
      <c r="I1650" s="12"/>
      <c r="J1650" s="12"/>
      <c r="K1650" s="12"/>
      <c r="L1650" s="15"/>
      <c r="M1650" s="12"/>
      <c r="N1650" s="24"/>
      <c r="O1650" s="73"/>
      <c r="P1650" s="15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22"/>
      <c r="AH1650" s="22"/>
      <c r="AI1650" s="22"/>
      <c r="AJ1650" s="22"/>
      <c r="AK1650" s="22"/>
      <c r="AL1650" s="22"/>
      <c r="AM1650" s="22"/>
      <c r="AN1650" s="22"/>
      <c r="AO1650" s="22"/>
      <c r="AP1650" s="22"/>
    </row>
    <row r="1651" ht="15.75" customHeight="1">
      <c r="A1651" s="9"/>
      <c r="B1651" s="84"/>
      <c r="C1651" s="11"/>
      <c r="D1651" s="12"/>
      <c r="E1651" s="12"/>
      <c r="F1651" s="9"/>
      <c r="G1651" s="12"/>
      <c r="H1651" s="12"/>
      <c r="I1651" s="12"/>
      <c r="J1651" s="12"/>
      <c r="K1651" s="12"/>
      <c r="L1651" s="15"/>
      <c r="M1651" s="12"/>
      <c r="N1651" s="24"/>
      <c r="O1651" s="73"/>
      <c r="P1651" s="15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22"/>
      <c r="AH1651" s="22"/>
      <c r="AI1651" s="22"/>
      <c r="AJ1651" s="22"/>
      <c r="AK1651" s="22"/>
      <c r="AL1651" s="22"/>
      <c r="AM1651" s="22"/>
      <c r="AN1651" s="22"/>
      <c r="AO1651" s="22"/>
      <c r="AP1651" s="22"/>
    </row>
    <row r="1652" ht="15.75" customHeight="1">
      <c r="A1652" s="9"/>
      <c r="B1652" s="84"/>
      <c r="C1652" s="11"/>
      <c r="D1652" s="12"/>
      <c r="E1652" s="12"/>
      <c r="F1652" s="9"/>
      <c r="G1652" s="12"/>
      <c r="H1652" s="12"/>
      <c r="I1652" s="12"/>
      <c r="J1652" s="12"/>
      <c r="K1652" s="12"/>
      <c r="L1652" s="15"/>
      <c r="M1652" s="12"/>
      <c r="N1652" s="24"/>
      <c r="O1652" s="73"/>
      <c r="P1652" s="15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22"/>
      <c r="AH1652" s="22"/>
      <c r="AI1652" s="22"/>
      <c r="AJ1652" s="22"/>
      <c r="AK1652" s="22"/>
      <c r="AL1652" s="22"/>
      <c r="AM1652" s="22"/>
      <c r="AN1652" s="22"/>
      <c r="AO1652" s="22"/>
      <c r="AP1652" s="22"/>
    </row>
    <row r="1653" ht="15.75" customHeight="1">
      <c r="A1653" s="9"/>
      <c r="B1653" s="84"/>
      <c r="C1653" s="11"/>
      <c r="D1653" s="12"/>
      <c r="E1653" s="12"/>
      <c r="F1653" s="9"/>
      <c r="G1653" s="12"/>
      <c r="H1653" s="12"/>
      <c r="I1653" s="12"/>
      <c r="J1653" s="12"/>
      <c r="K1653" s="12"/>
      <c r="L1653" s="15"/>
      <c r="M1653" s="12"/>
      <c r="N1653" s="24"/>
      <c r="O1653" s="73"/>
      <c r="P1653" s="15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22"/>
      <c r="AH1653" s="22"/>
      <c r="AI1653" s="22"/>
      <c r="AJ1653" s="22"/>
      <c r="AK1653" s="22"/>
      <c r="AL1653" s="22"/>
      <c r="AM1653" s="22"/>
      <c r="AN1653" s="22"/>
      <c r="AO1653" s="22"/>
      <c r="AP1653" s="22"/>
    </row>
    <row r="1654" ht="15.75" customHeight="1">
      <c r="A1654" s="9"/>
      <c r="B1654" s="84"/>
      <c r="C1654" s="11"/>
      <c r="D1654" s="12"/>
      <c r="E1654" s="12"/>
      <c r="F1654" s="9"/>
      <c r="G1654" s="12"/>
      <c r="H1654" s="12"/>
      <c r="I1654" s="12"/>
      <c r="J1654" s="12"/>
      <c r="K1654" s="12"/>
      <c r="L1654" s="15"/>
      <c r="M1654" s="12"/>
      <c r="N1654" s="24"/>
      <c r="O1654" s="73"/>
      <c r="P1654" s="15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22"/>
      <c r="AH1654" s="22"/>
      <c r="AI1654" s="22"/>
      <c r="AJ1654" s="22"/>
      <c r="AK1654" s="22"/>
      <c r="AL1654" s="22"/>
      <c r="AM1654" s="22"/>
      <c r="AN1654" s="22"/>
      <c r="AO1654" s="22"/>
      <c r="AP1654" s="22"/>
    </row>
    <row r="1655" ht="15.75" customHeight="1">
      <c r="A1655" s="9"/>
      <c r="B1655" s="84"/>
      <c r="C1655" s="11"/>
      <c r="D1655" s="12"/>
      <c r="E1655" s="12"/>
      <c r="F1655" s="9"/>
      <c r="G1655" s="12"/>
      <c r="H1655" s="12"/>
      <c r="I1655" s="12"/>
      <c r="J1655" s="12"/>
      <c r="K1655" s="12"/>
      <c r="L1655" s="15"/>
      <c r="M1655" s="12"/>
      <c r="N1655" s="24"/>
      <c r="O1655" s="73"/>
      <c r="P1655" s="15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22"/>
      <c r="AH1655" s="22"/>
      <c r="AI1655" s="22"/>
      <c r="AJ1655" s="22"/>
      <c r="AK1655" s="22"/>
      <c r="AL1655" s="22"/>
      <c r="AM1655" s="22"/>
      <c r="AN1655" s="22"/>
      <c r="AO1655" s="22"/>
      <c r="AP1655" s="22"/>
    </row>
    <row r="1656" ht="15.75" customHeight="1">
      <c r="A1656" s="9"/>
      <c r="B1656" s="84"/>
      <c r="C1656" s="11"/>
      <c r="D1656" s="12"/>
      <c r="E1656" s="12"/>
      <c r="F1656" s="9"/>
      <c r="G1656" s="12"/>
      <c r="H1656" s="12"/>
      <c r="I1656" s="12"/>
      <c r="J1656" s="12"/>
      <c r="K1656" s="12"/>
      <c r="L1656" s="15"/>
      <c r="M1656" s="12"/>
      <c r="N1656" s="24"/>
      <c r="O1656" s="73"/>
      <c r="P1656" s="15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22"/>
      <c r="AH1656" s="22"/>
      <c r="AI1656" s="22"/>
      <c r="AJ1656" s="22"/>
      <c r="AK1656" s="22"/>
      <c r="AL1656" s="22"/>
      <c r="AM1656" s="22"/>
      <c r="AN1656" s="22"/>
      <c r="AO1656" s="22"/>
      <c r="AP1656" s="22"/>
    </row>
    <row r="1657" ht="15.75" customHeight="1">
      <c r="A1657" s="9"/>
      <c r="B1657" s="84"/>
      <c r="C1657" s="11"/>
      <c r="D1657" s="12"/>
      <c r="E1657" s="12"/>
      <c r="F1657" s="9"/>
      <c r="G1657" s="12"/>
      <c r="H1657" s="12"/>
      <c r="I1657" s="12"/>
      <c r="J1657" s="12"/>
      <c r="K1657" s="12"/>
      <c r="L1657" s="15"/>
      <c r="M1657" s="12"/>
      <c r="N1657" s="24"/>
      <c r="O1657" s="73"/>
      <c r="P1657" s="15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22"/>
      <c r="AH1657" s="22"/>
      <c r="AI1657" s="22"/>
      <c r="AJ1657" s="22"/>
      <c r="AK1657" s="22"/>
      <c r="AL1657" s="22"/>
      <c r="AM1657" s="22"/>
      <c r="AN1657" s="22"/>
      <c r="AO1657" s="22"/>
      <c r="AP1657" s="22"/>
    </row>
    <row r="1658" ht="15.75" customHeight="1">
      <c r="A1658" s="9"/>
      <c r="B1658" s="84"/>
      <c r="C1658" s="11"/>
      <c r="D1658" s="12"/>
      <c r="E1658" s="12"/>
      <c r="F1658" s="9"/>
      <c r="G1658" s="12"/>
      <c r="H1658" s="12"/>
      <c r="I1658" s="12"/>
      <c r="J1658" s="12"/>
      <c r="K1658" s="12"/>
      <c r="L1658" s="15"/>
      <c r="M1658" s="12"/>
      <c r="N1658" s="24"/>
      <c r="O1658" s="73"/>
      <c r="P1658" s="15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22"/>
      <c r="AH1658" s="22"/>
      <c r="AI1658" s="22"/>
      <c r="AJ1658" s="22"/>
      <c r="AK1658" s="22"/>
      <c r="AL1658" s="22"/>
      <c r="AM1658" s="22"/>
      <c r="AN1658" s="22"/>
      <c r="AO1658" s="22"/>
      <c r="AP1658" s="22"/>
    </row>
    <row r="1659" ht="15.75" customHeight="1">
      <c r="A1659" s="9"/>
      <c r="B1659" s="84"/>
      <c r="C1659" s="11"/>
      <c r="D1659" s="12"/>
      <c r="E1659" s="12"/>
      <c r="F1659" s="9"/>
      <c r="G1659" s="12"/>
      <c r="H1659" s="12"/>
      <c r="I1659" s="12"/>
      <c r="J1659" s="12"/>
      <c r="K1659" s="12"/>
      <c r="L1659" s="15"/>
      <c r="M1659" s="12"/>
      <c r="N1659" s="24"/>
      <c r="O1659" s="73"/>
      <c r="P1659" s="15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22"/>
      <c r="AH1659" s="22"/>
      <c r="AI1659" s="22"/>
      <c r="AJ1659" s="22"/>
      <c r="AK1659" s="22"/>
      <c r="AL1659" s="22"/>
      <c r="AM1659" s="22"/>
      <c r="AN1659" s="22"/>
      <c r="AO1659" s="22"/>
      <c r="AP1659" s="22"/>
    </row>
    <row r="1660" ht="15.75" customHeight="1">
      <c r="A1660" s="9"/>
      <c r="B1660" s="84"/>
      <c r="C1660" s="11"/>
      <c r="D1660" s="12"/>
      <c r="E1660" s="12"/>
      <c r="F1660" s="9"/>
      <c r="G1660" s="12"/>
      <c r="H1660" s="12"/>
      <c r="I1660" s="12"/>
      <c r="J1660" s="12"/>
      <c r="K1660" s="12"/>
      <c r="L1660" s="15"/>
      <c r="M1660" s="12"/>
      <c r="N1660" s="24"/>
      <c r="O1660" s="73"/>
      <c r="P1660" s="15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22"/>
      <c r="AH1660" s="22"/>
      <c r="AI1660" s="22"/>
      <c r="AJ1660" s="22"/>
      <c r="AK1660" s="22"/>
      <c r="AL1660" s="22"/>
      <c r="AM1660" s="22"/>
      <c r="AN1660" s="22"/>
      <c r="AO1660" s="22"/>
      <c r="AP1660" s="22"/>
    </row>
    <row r="1661" ht="15.75" customHeight="1">
      <c r="A1661" s="9"/>
      <c r="B1661" s="84"/>
      <c r="C1661" s="11"/>
      <c r="D1661" s="12"/>
      <c r="E1661" s="12"/>
      <c r="F1661" s="9"/>
      <c r="G1661" s="12"/>
      <c r="H1661" s="12"/>
      <c r="I1661" s="12"/>
      <c r="J1661" s="12"/>
      <c r="K1661" s="12"/>
      <c r="L1661" s="15"/>
      <c r="M1661" s="12"/>
      <c r="N1661" s="24"/>
      <c r="O1661" s="73"/>
      <c r="P1661" s="15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22"/>
      <c r="AH1661" s="22"/>
      <c r="AI1661" s="22"/>
      <c r="AJ1661" s="22"/>
      <c r="AK1661" s="22"/>
      <c r="AL1661" s="22"/>
      <c r="AM1661" s="22"/>
      <c r="AN1661" s="22"/>
      <c r="AO1661" s="22"/>
      <c r="AP1661" s="22"/>
    </row>
    <row r="1662" ht="15.75" customHeight="1">
      <c r="A1662" s="9"/>
      <c r="B1662" s="84"/>
      <c r="C1662" s="11"/>
      <c r="D1662" s="12"/>
      <c r="E1662" s="12"/>
      <c r="F1662" s="9"/>
      <c r="G1662" s="12"/>
      <c r="H1662" s="12"/>
      <c r="I1662" s="12"/>
      <c r="J1662" s="12"/>
      <c r="K1662" s="12"/>
      <c r="L1662" s="15"/>
      <c r="M1662" s="12"/>
      <c r="N1662" s="24"/>
      <c r="O1662" s="73"/>
      <c r="P1662" s="15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22"/>
      <c r="AH1662" s="22"/>
      <c r="AI1662" s="22"/>
      <c r="AJ1662" s="22"/>
      <c r="AK1662" s="22"/>
      <c r="AL1662" s="22"/>
      <c r="AM1662" s="22"/>
      <c r="AN1662" s="22"/>
      <c r="AO1662" s="22"/>
      <c r="AP1662" s="22"/>
    </row>
    <row r="1663" ht="15.75" customHeight="1">
      <c r="A1663" s="9"/>
      <c r="B1663" s="84"/>
      <c r="C1663" s="11"/>
      <c r="D1663" s="12"/>
      <c r="E1663" s="12"/>
      <c r="F1663" s="9"/>
      <c r="G1663" s="12"/>
      <c r="H1663" s="12"/>
      <c r="I1663" s="12"/>
      <c r="J1663" s="12"/>
      <c r="K1663" s="12"/>
      <c r="L1663" s="15"/>
      <c r="M1663" s="12"/>
      <c r="N1663" s="24"/>
      <c r="O1663" s="73"/>
      <c r="P1663" s="15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22"/>
      <c r="AH1663" s="22"/>
      <c r="AI1663" s="22"/>
      <c r="AJ1663" s="22"/>
      <c r="AK1663" s="22"/>
      <c r="AL1663" s="22"/>
      <c r="AM1663" s="22"/>
      <c r="AN1663" s="22"/>
      <c r="AO1663" s="22"/>
      <c r="AP1663" s="22"/>
    </row>
    <row r="1664" ht="15.75" customHeight="1">
      <c r="A1664" s="9"/>
      <c r="B1664" s="84"/>
      <c r="C1664" s="11"/>
      <c r="D1664" s="12"/>
      <c r="E1664" s="12"/>
      <c r="F1664" s="9"/>
      <c r="G1664" s="12"/>
      <c r="H1664" s="12"/>
      <c r="I1664" s="12"/>
      <c r="J1664" s="12"/>
      <c r="K1664" s="12"/>
      <c r="L1664" s="15"/>
      <c r="M1664" s="12"/>
      <c r="N1664" s="24"/>
      <c r="O1664" s="73"/>
      <c r="P1664" s="15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22"/>
      <c r="AH1664" s="22"/>
      <c r="AI1664" s="22"/>
      <c r="AJ1664" s="22"/>
      <c r="AK1664" s="22"/>
      <c r="AL1664" s="22"/>
      <c r="AM1664" s="22"/>
      <c r="AN1664" s="22"/>
      <c r="AO1664" s="22"/>
      <c r="AP1664" s="22"/>
    </row>
    <row r="1665" ht="15.75" customHeight="1">
      <c r="A1665" s="9"/>
      <c r="B1665" s="84"/>
      <c r="C1665" s="11"/>
      <c r="D1665" s="12"/>
      <c r="E1665" s="12"/>
      <c r="F1665" s="9"/>
      <c r="G1665" s="12"/>
      <c r="H1665" s="12"/>
      <c r="I1665" s="12"/>
      <c r="J1665" s="12"/>
      <c r="K1665" s="12"/>
      <c r="L1665" s="15"/>
      <c r="M1665" s="12"/>
      <c r="N1665" s="24"/>
      <c r="O1665" s="73"/>
      <c r="P1665" s="15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22"/>
      <c r="AH1665" s="22"/>
      <c r="AI1665" s="22"/>
      <c r="AJ1665" s="22"/>
      <c r="AK1665" s="22"/>
      <c r="AL1665" s="22"/>
      <c r="AM1665" s="22"/>
      <c r="AN1665" s="22"/>
      <c r="AO1665" s="22"/>
      <c r="AP1665" s="22"/>
    </row>
    <row r="1666" ht="15.75" customHeight="1">
      <c r="A1666" s="9"/>
      <c r="B1666" s="84"/>
      <c r="C1666" s="11"/>
      <c r="D1666" s="12"/>
      <c r="E1666" s="12"/>
      <c r="F1666" s="9"/>
      <c r="G1666" s="12"/>
      <c r="H1666" s="12"/>
      <c r="I1666" s="12"/>
      <c r="J1666" s="12"/>
      <c r="K1666" s="12"/>
      <c r="L1666" s="15"/>
      <c r="M1666" s="12"/>
      <c r="N1666" s="24"/>
      <c r="O1666" s="73"/>
      <c r="P1666" s="15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22"/>
      <c r="AH1666" s="22"/>
      <c r="AI1666" s="22"/>
      <c r="AJ1666" s="22"/>
      <c r="AK1666" s="22"/>
      <c r="AL1666" s="22"/>
      <c r="AM1666" s="22"/>
      <c r="AN1666" s="22"/>
      <c r="AO1666" s="22"/>
      <c r="AP1666" s="22"/>
    </row>
    <row r="1667" ht="15.75" customHeight="1">
      <c r="A1667" s="9"/>
      <c r="B1667" s="84"/>
      <c r="C1667" s="11"/>
      <c r="D1667" s="12"/>
      <c r="E1667" s="12"/>
      <c r="F1667" s="9"/>
      <c r="G1667" s="12"/>
      <c r="H1667" s="12"/>
      <c r="I1667" s="12"/>
      <c r="J1667" s="12"/>
      <c r="K1667" s="12"/>
      <c r="L1667" s="15"/>
      <c r="M1667" s="12"/>
      <c r="N1667" s="24"/>
      <c r="O1667" s="73"/>
      <c r="P1667" s="15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22"/>
      <c r="AH1667" s="22"/>
      <c r="AI1667" s="22"/>
      <c r="AJ1667" s="22"/>
      <c r="AK1667" s="22"/>
      <c r="AL1667" s="22"/>
      <c r="AM1667" s="22"/>
      <c r="AN1667" s="22"/>
      <c r="AO1667" s="22"/>
      <c r="AP1667" s="22"/>
    </row>
    <row r="1668" ht="15.75" customHeight="1">
      <c r="A1668" s="9"/>
      <c r="B1668" s="84"/>
      <c r="C1668" s="11"/>
      <c r="D1668" s="12"/>
      <c r="E1668" s="12"/>
      <c r="F1668" s="9"/>
      <c r="G1668" s="12"/>
      <c r="H1668" s="12"/>
      <c r="I1668" s="12"/>
      <c r="J1668" s="12"/>
      <c r="K1668" s="12"/>
      <c r="L1668" s="15"/>
      <c r="M1668" s="12"/>
      <c r="N1668" s="24"/>
      <c r="O1668" s="73"/>
      <c r="P1668" s="15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22"/>
      <c r="AH1668" s="22"/>
      <c r="AI1668" s="22"/>
      <c r="AJ1668" s="22"/>
      <c r="AK1668" s="22"/>
      <c r="AL1668" s="22"/>
      <c r="AM1668" s="22"/>
      <c r="AN1668" s="22"/>
      <c r="AO1668" s="22"/>
      <c r="AP1668" s="22"/>
    </row>
    <row r="1669" ht="15.75" customHeight="1">
      <c r="A1669" s="9"/>
      <c r="B1669" s="84"/>
      <c r="C1669" s="11"/>
      <c r="D1669" s="12"/>
      <c r="E1669" s="12"/>
      <c r="F1669" s="9"/>
      <c r="G1669" s="12"/>
      <c r="H1669" s="12"/>
      <c r="I1669" s="12"/>
      <c r="J1669" s="12"/>
      <c r="K1669" s="12"/>
      <c r="L1669" s="15"/>
      <c r="M1669" s="12"/>
      <c r="N1669" s="24"/>
      <c r="O1669" s="73"/>
      <c r="P1669" s="15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22"/>
      <c r="AH1669" s="22"/>
      <c r="AI1669" s="22"/>
      <c r="AJ1669" s="22"/>
      <c r="AK1669" s="22"/>
      <c r="AL1669" s="22"/>
      <c r="AM1669" s="22"/>
      <c r="AN1669" s="22"/>
      <c r="AO1669" s="22"/>
      <c r="AP1669" s="22"/>
    </row>
    <row r="1670" ht="15.75" customHeight="1">
      <c r="A1670" s="9"/>
      <c r="B1670" s="84"/>
      <c r="C1670" s="11"/>
      <c r="D1670" s="12"/>
      <c r="E1670" s="12"/>
      <c r="F1670" s="9"/>
      <c r="G1670" s="12"/>
      <c r="H1670" s="12"/>
      <c r="I1670" s="12"/>
      <c r="J1670" s="12"/>
      <c r="K1670" s="12"/>
      <c r="L1670" s="15"/>
      <c r="M1670" s="12"/>
      <c r="N1670" s="24"/>
      <c r="O1670" s="73"/>
      <c r="P1670" s="15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22"/>
      <c r="AH1670" s="22"/>
      <c r="AI1670" s="22"/>
      <c r="AJ1670" s="22"/>
      <c r="AK1670" s="22"/>
      <c r="AL1670" s="22"/>
      <c r="AM1670" s="22"/>
      <c r="AN1670" s="22"/>
      <c r="AO1670" s="22"/>
      <c r="AP1670" s="22"/>
    </row>
    <row r="1671" ht="15.75" customHeight="1">
      <c r="A1671" s="9"/>
      <c r="B1671" s="84"/>
      <c r="C1671" s="11"/>
      <c r="D1671" s="12"/>
      <c r="E1671" s="12"/>
      <c r="F1671" s="9"/>
      <c r="G1671" s="12"/>
      <c r="H1671" s="12"/>
      <c r="I1671" s="12"/>
      <c r="J1671" s="12"/>
      <c r="K1671" s="12"/>
      <c r="L1671" s="15"/>
      <c r="M1671" s="12"/>
      <c r="N1671" s="24"/>
      <c r="O1671" s="73"/>
      <c r="P1671" s="15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22"/>
      <c r="AH1671" s="22"/>
      <c r="AI1671" s="22"/>
      <c r="AJ1671" s="22"/>
      <c r="AK1671" s="22"/>
      <c r="AL1671" s="22"/>
      <c r="AM1671" s="22"/>
      <c r="AN1671" s="22"/>
      <c r="AO1671" s="22"/>
      <c r="AP1671" s="22"/>
    </row>
    <row r="1672" ht="15.75" customHeight="1">
      <c r="A1672" s="9"/>
      <c r="B1672" s="84"/>
      <c r="C1672" s="11"/>
      <c r="D1672" s="12"/>
      <c r="E1672" s="12"/>
      <c r="F1672" s="9"/>
      <c r="G1672" s="12"/>
      <c r="H1672" s="12"/>
      <c r="I1672" s="12"/>
      <c r="J1672" s="12"/>
      <c r="K1672" s="12"/>
      <c r="L1672" s="15"/>
      <c r="M1672" s="12"/>
      <c r="N1672" s="24"/>
      <c r="O1672" s="73"/>
      <c r="P1672" s="15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22"/>
      <c r="AH1672" s="22"/>
      <c r="AI1672" s="22"/>
      <c r="AJ1672" s="22"/>
      <c r="AK1672" s="22"/>
      <c r="AL1672" s="22"/>
      <c r="AM1672" s="22"/>
      <c r="AN1672" s="22"/>
      <c r="AO1672" s="22"/>
      <c r="AP1672" s="22"/>
    </row>
    <row r="1673" ht="15.75" customHeight="1">
      <c r="A1673" s="9"/>
      <c r="B1673" s="84"/>
      <c r="C1673" s="11"/>
      <c r="D1673" s="12"/>
      <c r="E1673" s="12"/>
      <c r="F1673" s="9"/>
      <c r="G1673" s="12"/>
      <c r="H1673" s="12"/>
      <c r="I1673" s="12"/>
      <c r="J1673" s="12"/>
      <c r="K1673" s="12"/>
      <c r="L1673" s="15"/>
      <c r="M1673" s="12"/>
      <c r="N1673" s="24"/>
      <c r="O1673" s="73"/>
      <c r="P1673" s="15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22"/>
      <c r="AH1673" s="22"/>
      <c r="AI1673" s="22"/>
      <c r="AJ1673" s="22"/>
      <c r="AK1673" s="22"/>
      <c r="AL1673" s="22"/>
      <c r="AM1673" s="22"/>
      <c r="AN1673" s="22"/>
      <c r="AO1673" s="22"/>
      <c r="AP1673" s="22"/>
    </row>
    <row r="1674" ht="15.75" customHeight="1">
      <c r="A1674" s="9"/>
      <c r="B1674" s="84"/>
      <c r="C1674" s="11"/>
      <c r="D1674" s="12"/>
      <c r="E1674" s="12"/>
      <c r="F1674" s="9"/>
      <c r="G1674" s="12"/>
      <c r="H1674" s="12"/>
      <c r="I1674" s="12"/>
      <c r="J1674" s="12"/>
      <c r="K1674" s="12"/>
      <c r="L1674" s="15"/>
      <c r="M1674" s="12"/>
      <c r="N1674" s="24"/>
      <c r="O1674" s="73"/>
      <c r="P1674" s="15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22"/>
      <c r="AH1674" s="22"/>
      <c r="AI1674" s="22"/>
      <c r="AJ1674" s="22"/>
      <c r="AK1674" s="22"/>
      <c r="AL1674" s="22"/>
      <c r="AM1674" s="22"/>
      <c r="AN1674" s="22"/>
      <c r="AO1674" s="22"/>
      <c r="AP1674" s="22"/>
    </row>
    <row r="1675" ht="15.75" customHeight="1">
      <c r="A1675" s="9"/>
      <c r="B1675" s="84"/>
      <c r="C1675" s="11"/>
      <c r="D1675" s="12"/>
      <c r="E1675" s="12"/>
      <c r="F1675" s="9"/>
      <c r="G1675" s="12"/>
      <c r="H1675" s="12"/>
      <c r="I1675" s="12"/>
      <c r="J1675" s="12"/>
      <c r="K1675" s="12"/>
      <c r="L1675" s="15"/>
      <c r="M1675" s="12"/>
      <c r="N1675" s="24"/>
      <c r="O1675" s="73"/>
      <c r="P1675" s="15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22"/>
      <c r="AH1675" s="22"/>
      <c r="AI1675" s="22"/>
      <c r="AJ1675" s="22"/>
      <c r="AK1675" s="22"/>
      <c r="AL1675" s="22"/>
      <c r="AM1675" s="22"/>
      <c r="AN1675" s="22"/>
      <c r="AO1675" s="22"/>
      <c r="AP1675" s="22"/>
    </row>
    <row r="1676" ht="15.75" customHeight="1">
      <c r="A1676" s="9"/>
      <c r="B1676" s="84"/>
      <c r="C1676" s="11"/>
      <c r="D1676" s="12"/>
      <c r="E1676" s="12"/>
      <c r="F1676" s="9"/>
      <c r="G1676" s="12"/>
      <c r="H1676" s="12"/>
      <c r="I1676" s="12"/>
      <c r="J1676" s="12"/>
      <c r="K1676" s="12"/>
      <c r="L1676" s="15"/>
      <c r="M1676" s="12"/>
      <c r="N1676" s="24"/>
      <c r="O1676" s="73"/>
      <c r="P1676" s="15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22"/>
      <c r="AH1676" s="22"/>
      <c r="AI1676" s="22"/>
      <c r="AJ1676" s="22"/>
      <c r="AK1676" s="22"/>
      <c r="AL1676" s="22"/>
      <c r="AM1676" s="22"/>
      <c r="AN1676" s="22"/>
      <c r="AO1676" s="22"/>
      <c r="AP1676" s="22"/>
    </row>
    <row r="1677" ht="15.75" customHeight="1">
      <c r="A1677" s="9"/>
      <c r="B1677" s="84"/>
      <c r="C1677" s="11"/>
      <c r="D1677" s="12"/>
      <c r="E1677" s="12"/>
      <c r="F1677" s="9"/>
      <c r="G1677" s="12"/>
      <c r="H1677" s="12"/>
      <c r="I1677" s="12"/>
      <c r="J1677" s="12"/>
      <c r="K1677" s="12"/>
      <c r="L1677" s="15"/>
      <c r="M1677" s="12"/>
      <c r="N1677" s="24"/>
      <c r="O1677" s="73"/>
      <c r="P1677" s="15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22"/>
      <c r="AH1677" s="22"/>
      <c r="AI1677" s="22"/>
      <c r="AJ1677" s="22"/>
      <c r="AK1677" s="22"/>
      <c r="AL1677" s="22"/>
      <c r="AM1677" s="22"/>
      <c r="AN1677" s="22"/>
      <c r="AO1677" s="22"/>
      <c r="AP1677" s="22"/>
    </row>
    <row r="1678" ht="15.75" customHeight="1">
      <c r="A1678" s="9"/>
      <c r="B1678" s="84"/>
      <c r="C1678" s="11"/>
      <c r="D1678" s="12"/>
      <c r="E1678" s="12"/>
      <c r="F1678" s="9"/>
      <c r="G1678" s="12"/>
      <c r="H1678" s="12"/>
      <c r="I1678" s="12"/>
      <c r="J1678" s="12"/>
      <c r="K1678" s="12"/>
      <c r="L1678" s="15"/>
      <c r="M1678" s="12"/>
      <c r="N1678" s="24"/>
      <c r="O1678" s="73"/>
      <c r="P1678" s="15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22"/>
      <c r="AH1678" s="22"/>
      <c r="AI1678" s="22"/>
      <c r="AJ1678" s="22"/>
      <c r="AK1678" s="22"/>
      <c r="AL1678" s="22"/>
      <c r="AM1678" s="22"/>
      <c r="AN1678" s="22"/>
      <c r="AO1678" s="22"/>
      <c r="AP1678" s="22"/>
    </row>
    <row r="1679" ht="15.75" customHeight="1">
      <c r="A1679" s="9"/>
      <c r="B1679" s="84"/>
      <c r="C1679" s="11"/>
      <c r="D1679" s="12"/>
      <c r="E1679" s="12"/>
      <c r="F1679" s="9"/>
      <c r="G1679" s="12"/>
      <c r="H1679" s="12"/>
      <c r="I1679" s="12"/>
      <c r="J1679" s="12"/>
      <c r="K1679" s="12"/>
      <c r="L1679" s="15"/>
      <c r="M1679" s="12"/>
      <c r="N1679" s="24"/>
      <c r="O1679" s="73"/>
      <c r="P1679" s="15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22"/>
      <c r="AH1679" s="22"/>
      <c r="AI1679" s="22"/>
      <c r="AJ1679" s="22"/>
      <c r="AK1679" s="22"/>
      <c r="AL1679" s="22"/>
      <c r="AM1679" s="22"/>
      <c r="AN1679" s="22"/>
      <c r="AO1679" s="22"/>
      <c r="AP1679" s="22"/>
    </row>
    <row r="1680" ht="15.75" customHeight="1">
      <c r="A1680" s="9"/>
      <c r="B1680" s="84"/>
      <c r="C1680" s="11"/>
      <c r="D1680" s="12"/>
      <c r="E1680" s="12"/>
      <c r="F1680" s="9"/>
      <c r="G1680" s="12"/>
      <c r="H1680" s="12"/>
      <c r="I1680" s="12"/>
      <c r="J1680" s="12"/>
      <c r="K1680" s="12"/>
      <c r="L1680" s="15"/>
      <c r="M1680" s="12"/>
      <c r="N1680" s="24"/>
      <c r="O1680" s="73"/>
      <c r="P1680" s="15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22"/>
      <c r="AH1680" s="22"/>
      <c r="AI1680" s="22"/>
      <c r="AJ1680" s="22"/>
      <c r="AK1680" s="22"/>
      <c r="AL1680" s="22"/>
      <c r="AM1680" s="22"/>
      <c r="AN1680" s="22"/>
      <c r="AO1680" s="22"/>
      <c r="AP1680" s="22"/>
    </row>
    <row r="1681" ht="15.75" customHeight="1">
      <c r="A1681" s="9"/>
      <c r="B1681" s="84"/>
      <c r="C1681" s="11"/>
      <c r="D1681" s="12"/>
      <c r="E1681" s="12"/>
      <c r="F1681" s="9"/>
      <c r="G1681" s="12"/>
      <c r="H1681" s="12"/>
      <c r="I1681" s="12"/>
      <c r="J1681" s="12"/>
      <c r="K1681" s="12"/>
      <c r="L1681" s="15"/>
      <c r="M1681" s="12"/>
      <c r="N1681" s="24"/>
      <c r="O1681" s="73"/>
      <c r="P1681" s="15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22"/>
      <c r="AH1681" s="22"/>
      <c r="AI1681" s="22"/>
      <c r="AJ1681" s="22"/>
      <c r="AK1681" s="22"/>
      <c r="AL1681" s="22"/>
      <c r="AM1681" s="22"/>
      <c r="AN1681" s="22"/>
      <c r="AO1681" s="22"/>
      <c r="AP1681" s="22"/>
    </row>
    <row r="1682" ht="15.75" customHeight="1">
      <c r="A1682" s="9"/>
      <c r="B1682" s="84"/>
      <c r="C1682" s="11"/>
      <c r="D1682" s="12"/>
      <c r="E1682" s="12"/>
      <c r="F1682" s="9"/>
      <c r="G1682" s="12"/>
      <c r="H1682" s="12"/>
      <c r="I1682" s="12"/>
      <c r="J1682" s="12"/>
      <c r="K1682" s="12"/>
      <c r="L1682" s="15"/>
      <c r="M1682" s="12"/>
      <c r="N1682" s="24"/>
      <c r="O1682" s="73"/>
      <c r="P1682" s="15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22"/>
      <c r="AH1682" s="22"/>
      <c r="AI1682" s="22"/>
      <c r="AJ1682" s="22"/>
      <c r="AK1682" s="22"/>
      <c r="AL1682" s="22"/>
      <c r="AM1682" s="22"/>
      <c r="AN1682" s="22"/>
      <c r="AO1682" s="22"/>
      <c r="AP1682" s="22"/>
    </row>
    <row r="1683" ht="15.75" customHeight="1">
      <c r="A1683" s="9"/>
      <c r="B1683" s="84"/>
      <c r="C1683" s="11"/>
      <c r="D1683" s="12"/>
      <c r="E1683" s="12"/>
      <c r="F1683" s="9"/>
      <c r="G1683" s="12"/>
      <c r="H1683" s="12"/>
      <c r="I1683" s="12"/>
      <c r="J1683" s="12"/>
      <c r="K1683" s="12"/>
      <c r="L1683" s="15"/>
      <c r="M1683" s="12"/>
      <c r="N1683" s="24"/>
      <c r="O1683" s="73"/>
      <c r="P1683" s="15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22"/>
      <c r="AH1683" s="22"/>
      <c r="AI1683" s="22"/>
      <c r="AJ1683" s="22"/>
      <c r="AK1683" s="22"/>
      <c r="AL1683" s="22"/>
      <c r="AM1683" s="22"/>
      <c r="AN1683" s="22"/>
      <c r="AO1683" s="22"/>
      <c r="AP1683" s="22"/>
    </row>
    <row r="1684" ht="15.75" customHeight="1">
      <c r="A1684" s="9"/>
      <c r="B1684" s="84"/>
      <c r="C1684" s="11"/>
      <c r="D1684" s="12"/>
      <c r="E1684" s="12"/>
      <c r="F1684" s="9"/>
      <c r="G1684" s="12"/>
      <c r="H1684" s="12"/>
      <c r="I1684" s="12"/>
      <c r="J1684" s="12"/>
      <c r="K1684" s="12"/>
      <c r="L1684" s="15"/>
      <c r="M1684" s="12"/>
      <c r="N1684" s="24"/>
      <c r="O1684" s="73"/>
      <c r="P1684" s="15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22"/>
      <c r="AH1684" s="22"/>
      <c r="AI1684" s="22"/>
      <c r="AJ1684" s="22"/>
      <c r="AK1684" s="22"/>
      <c r="AL1684" s="22"/>
      <c r="AM1684" s="22"/>
      <c r="AN1684" s="22"/>
      <c r="AO1684" s="22"/>
      <c r="AP1684" s="22"/>
    </row>
    <row r="1685" ht="15.75" customHeight="1">
      <c r="A1685" s="9"/>
      <c r="B1685" s="84"/>
      <c r="C1685" s="11"/>
      <c r="D1685" s="12"/>
      <c r="E1685" s="12"/>
      <c r="F1685" s="9"/>
      <c r="G1685" s="12"/>
      <c r="H1685" s="12"/>
      <c r="I1685" s="12"/>
      <c r="J1685" s="12"/>
      <c r="K1685" s="12"/>
      <c r="L1685" s="15"/>
      <c r="M1685" s="12"/>
      <c r="N1685" s="24"/>
      <c r="O1685" s="73"/>
      <c r="P1685" s="15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22"/>
      <c r="AH1685" s="22"/>
      <c r="AI1685" s="22"/>
      <c r="AJ1685" s="22"/>
      <c r="AK1685" s="22"/>
      <c r="AL1685" s="22"/>
      <c r="AM1685" s="22"/>
      <c r="AN1685" s="22"/>
      <c r="AO1685" s="22"/>
      <c r="AP1685" s="22"/>
    </row>
    <row r="1686" ht="15.75" customHeight="1">
      <c r="A1686" s="9"/>
      <c r="B1686" s="84"/>
      <c r="C1686" s="11"/>
      <c r="D1686" s="12"/>
      <c r="E1686" s="12"/>
      <c r="F1686" s="9"/>
      <c r="G1686" s="12"/>
      <c r="H1686" s="12"/>
      <c r="I1686" s="12"/>
      <c r="J1686" s="12"/>
      <c r="K1686" s="12"/>
      <c r="L1686" s="15"/>
      <c r="M1686" s="12"/>
      <c r="N1686" s="24"/>
      <c r="O1686" s="73"/>
      <c r="P1686" s="15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22"/>
      <c r="AH1686" s="22"/>
      <c r="AI1686" s="22"/>
      <c r="AJ1686" s="22"/>
      <c r="AK1686" s="22"/>
      <c r="AL1686" s="22"/>
      <c r="AM1686" s="22"/>
      <c r="AN1686" s="22"/>
      <c r="AO1686" s="22"/>
      <c r="AP1686" s="22"/>
    </row>
    <row r="1687" ht="15.75" customHeight="1">
      <c r="A1687" s="9"/>
      <c r="B1687" s="84"/>
      <c r="C1687" s="11"/>
      <c r="D1687" s="12"/>
      <c r="E1687" s="12"/>
      <c r="F1687" s="9"/>
      <c r="G1687" s="12"/>
      <c r="H1687" s="12"/>
      <c r="I1687" s="12"/>
      <c r="J1687" s="12"/>
      <c r="K1687" s="12"/>
      <c r="L1687" s="15"/>
      <c r="M1687" s="12"/>
      <c r="N1687" s="24"/>
      <c r="O1687" s="73"/>
      <c r="P1687" s="15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22"/>
      <c r="AH1687" s="22"/>
      <c r="AI1687" s="22"/>
      <c r="AJ1687" s="22"/>
      <c r="AK1687" s="22"/>
      <c r="AL1687" s="22"/>
      <c r="AM1687" s="22"/>
      <c r="AN1687" s="22"/>
      <c r="AO1687" s="22"/>
      <c r="AP1687" s="22"/>
    </row>
    <row r="1688" ht="15.75" customHeight="1">
      <c r="A1688" s="9"/>
      <c r="B1688" s="84"/>
      <c r="C1688" s="11"/>
      <c r="D1688" s="12"/>
      <c r="E1688" s="12"/>
      <c r="F1688" s="9"/>
      <c r="G1688" s="12"/>
      <c r="H1688" s="12"/>
      <c r="I1688" s="12"/>
      <c r="J1688" s="12"/>
      <c r="K1688" s="12"/>
      <c r="L1688" s="15"/>
      <c r="M1688" s="12"/>
      <c r="N1688" s="24"/>
      <c r="O1688" s="73"/>
      <c r="P1688" s="15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22"/>
      <c r="AH1688" s="22"/>
      <c r="AI1688" s="22"/>
      <c r="AJ1688" s="22"/>
      <c r="AK1688" s="22"/>
      <c r="AL1688" s="22"/>
      <c r="AM1688" s="22"/>
      <c r="AN1688" s="22"/>
      <c r="AO1688" s="22"/>
      <c r="AP1688" s="22"/>
    </row>
    <row r="1689" ht="15.75" customHeight="1">
      <c r="A1689" s="9"/>
      <c r="B1689" s="84"/>
      <c r="C1689" s="11"/>
      <c r="D1689" s="12"/>
      <c r="E1689" s="12"/>
      <c r="F1689" s="9"/>
      <c r="G1689" s="12"/>
      <c r="H1689" s="12"/>
      <c r="I1689" s="12"/>
      <c r="J1689" s="12"/>
      <c r="K1689" s="12"/>
      <c r="L1689" s="15"/>
      <c r="M1689" s="12"/>
      <c r="N1689" s="24"/>
      <c r="O1689" s="73"/>
      <c r="P1689" s="15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22"/>
      <c r="AH1689" s="22"/>
      <c r="AI1689" s="22"/>
      <c r="AJ1689" s="22"/>
      <c r="AK1689" s="22"/>
      <c r="AL1689" s="22"/>
      <c r="AM1689" s="22"/>
      <c r="AN1689" s="22"/>
      <c r="AO1689" s="22"/>
      <c r="AP1689" s="22"/>
    </row>
    <row r="1690" ht="15.75" customHeight="1">
      <c r="A1690" s="9"/>
      <c r="B1690" s="84"/>
      <c r="C1690" s="11"/>
      <c r="D1690" s="12"/>
      <c r="E1690" s="12"/>
      <c r="F1690" s="9"/>
      <c r="G1690" s="12"/>
      <c r="H1690" s="12"/>
      <c r="I1690" s="12"/>
      <c r="J1690" s="12"/>
      <c r="K1690" s="12"/>
      <c r="L1690" s="15"/>
      <c r="M1690" s="12"/>
      <c r="N1690" s="24"/>
      <c r="O1690" s="73"/>
      <c r="P1690" s="15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22"/>
      <c r="AH1690" s="22"/>
      <c r="AI1690" s="22"/>
      <c r="AJ1690" s="22"/>
      <c r="AK1690" s="22"/>
      <c r="AL1690" s="22"/>
      <c r="AM1690" s="22"/>
      <c r="AN1690" s="22"/>
      <c r="AO1690" s="22"/>
      <c r="AP1690" s="22"/>
    </row>
    <row r="1691" ht="15.75" customHeight="1">
      <c r="A1691" s="9"/>
      <c r="B1691" s="84"/>
      <c r="C1691" s="11"/>
      <c r="D1691" s="12"/>
      <c r="E1691" s="12"/>
      <c r="F1691" s="9"/>
      <c r="G1691" s="12"/>
      <c r="H1691" s="12"/>
      <c r="I1691" s="12"/>
      <c r="J1691" s="12"/>
      <c r="K1691" s="12"/>
      <c r="L1691" s="15"/>
      <c r="M1691" s="12"/>
      <c r="N1691" s="24"/>
      <c r="O1691" s="73"/>
      <c r="P1691" s="15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22"/>
      <c r="AH1691" s="22"/>
      <c r="AI1691" s="22"/>
      <c r="AJ1691" s="22"/>
      <c r="AK1691" s="22"/>
      <c r="AL1691" s="22"/>
      <c r="AM1691" s="22"/>
      <c r="AN1691" s="22"/>
      <c r="AO1691" s="22"/>
      <c r="AP1691" s="22"/>
    </row>
    <row r="1692" ht="15.75" customHeight="1">
      <c r="A1692" s="9"/>
      <c r="B1692" s="84"/>
      <c r="C1692" s="11"/>
      <c r="D1692" s="12"/>
      <c r="E1692" s="12"/>
      <c r="F1692" s="9"/>
      <c r="G1692" s="12"/>
      <c r="H1692" s="12"/>
      <c r="I1692" s="12"/>
      <c r="J1692" s="12"/>
      <c r="K1692" s="12"/>
      <c r="L1692" s="15"/>
      <c r="M1692" s="12"/>
      <c r="N1692" s="24"/>
      <c r="O1692" s="73"/>
      <c r="P1692" s="15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22"/>
      <c r="AH1692" s="22"/>
      <c r="AI1692" s="22"/>
      <c r="AJ1692" s="22"/>
      <c r="AK1692" s="22"/>
      <c r="AL1692" s="22"/>
      <c r="AM1692" s="22"/>
      <c r="AN1692" s="22"/>
      <c r="AO1692" s="22"/>
      <c r="AP1692" s="22"/>
    </row>
    <row r="1693" ht="15.75" customHeight="1">
      <c r="A1693" s="9"/>
      <c r="B1693" s="84"/>
      <c r="C1693" s="11"/>
      <c r="D1693" s="12"/>
      <c r="E1693" s="12"/>
      <c r="F1693" s="9"/>
      <c r="G1693" s="12"/>
      <c r="H1693" s="12"/>
      <c r="I1693" s="12"/>
      <c r="J1693" s="12"/>
      <c r="K1693" s="12"/>
      <c r="L1693" s="15"/>
      <c r="M1693" s="12"/>
      <c r="N1693" s="24"/>
      <c r="O1693" s="73"/>
      <c r="P1693" s="15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22"/>
      <c r="AH1693" s="22"/>
      <c r="AI1693" s="22"/>
      <c r="AJ1693" s="22"/>
      <c r="AK1693" s="22"/>
      <c r="AL1693" s="22"/>
      <c r="AM1693" s="22"/>
      <c r="AN1693" s="22"/>
      <c r="AO1693" s="22"/>
      <c r="AP1693" s="22"/>
    </row>
    <row r="1694" ht="15.75" customHeight="1">
      <c r="A1694" s="9"/>
      <c r="B1694" s="84"/>
      <c r="C1694" s="11"/>
      <c r="D1694" s="12"/>
      <c r="E1694" s="12"/>
      <c r="F1694" s="9"/>
      <c r="G1694" s="12"/>
      <c r="H1694" s="12"/>
      <c r="I1694" s="12"/>
      <c r="J1694" s="12"/>
      <c r="K1694" s="12"/>
      <c r="L1694" s="15"/>
      <c r="M1694" s="12"/>
      <c r="N1694" s="24"/>
      <c r="O1694" s="73"/>
      <c r="P1694" s="15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22"/>
      <c r="AH1694" s="22"/>
      <c r="AI1694" s="22"/>
      <c r="AJ1694" s="22"/>
      <c r="AK1694" s="22"/>
      <c r="AL1694" s="22"/>
      <c r="AM1694" s="22"/>
      <c r="AN1694" s="22"/>
      <c r="AO1694" s="22"/>
      <c r="AP1694" s="22"/>
    </row>
    <row r="1695" ht="15.75" customHeight="1">
      <c r="A1695" s="9"/>
      <c r="B1695" s="84"/>
      <c r="C1695" s="11"/>
      <c r="D1695" s="12"/>
      <c r="E1695" s="12"/>
      <c r="F1695" s="9"/>
      <c r="G1695" s="12"/>
      <c r="H1695" s="12"/>
      <c r="I1695" s="12"/>
      <c r="J1695" s="12"/>
      <c r="K1695" s="12"/>
      <c r="L1695" s="15"/>
      <c r="M1695" s="12"/>
      <c r="N1695" s="24"/>
      <c r="O1695" s="73"/>
      <c r="P1695" s="15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22"/>
      <c r="AH1695" s="22"/>
      <c r="AI1695" s="22"/>
      <c r="AJ1695" s="22"/>
      <c r="AK1695" s="22"/>
      <c r="AL1695" s="22"/>
      <c r="AM1695" s="22"/>
      <c r="AN1695" s="22"/>
      <c r="AO1695" s="22"/>
      <c r="AP1695" s="22"/>
    </row>
    <row r="1696" ht="15.75" customHeight="1">
      <c r="A1696" s="9"/>
      <c r="B1696" s="84"/>
      <c r="C1696" s="11"/>
      <c r="D1696" s="12"/>
      <c r="E1696" s="12"/>
      <c r="F1696" s="9"/>
      <c r="G1696" s="12"/>
      <c r="H1696" s="12"/>
      <c r="I1696" s="12"/>
      <c r="J1696" s="12"/>
      <c r="K1696" s="12"/>
      <c r="L1696" s="15"/>
      <c r="M1696" s="12"/>
      <c r="N1696" s="24"/>
      <c r="O1696" s="73"/>
      <c r="P1696" s="15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22"/>
      <c r="AH1696" s="22"/>
      <c r="AI1696" s="22"/>
      <c r="AJ1696" s="22"/>
      <c r="AK1696" s="22"/>
      <c r="AL1696" s="22"/>
      <c r="AM1696" s="22"/>
      <c r="AN1696" s="22"/>
      <c r="AO1696" s="22"/>
      <c r="AP1696" s="22"/>
    </row>
    <row r="1697" ht="15.75" customHeight="1">
      <c r="A1697" s="9"/>
      <c r="B1697" s="84"/>
      <c r="C1697" s="11"/>
      <c r="D1697" s="12"/>
      <c r="E1697" s="12"/>
      <c r="F1697" s="9"/>
      <c r="G1697" s="12"/>
      <c r="H1697" s="12"/>
      <c r="I1697" s="12"/>
      <c r="J1697" s="12"/>
      <c r="K1697" s="12"/>
      <c r="L1697" s="15"/>
      <c r="M1697" s="12"/>
      <c r="N1697" s="24"/>
      <c r="O1697" s="73"/>
      <c r="P1697" s="15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22"/>
      <c r="AH1697" s="22"/>
      <c r="AI1697" s="22"/>
      <c r="AJ1697" s="22"/>
      <c r="AK1697" s="22"/>
      <c r="AL1697" s="22"/>
      <c r="AM1697" s="22"/>
      <c r="AN1697" s="22"/>
      <c r="AO1697" s="22"/>
      <c r="AP1697" s="22"/>
    </row>
    <row r="1698" ht="15.75" customHeight="1">
      <c r="A1698" s="9"/>
      <c r="B1698" s="84"/>
      <c r="C1698" s="11"/>
      <c r="D1698" s="12"/>
      <c r="E1698" s="12"/>
      <c r="F1698" s="9"/>
      <c r="G1698" s="12"/>
      <c r="H1698" s="12"/>
      <c r="I1698" s="12"/>
      <c r="J1698" s="12"/>
      <c r="K1698" s="12"/>
      <c r="L1698" s="15"/>
      <c r="M1698" s="12"/>
      <c r="N1698" s="24"/>
      <c r="O1698" s="73"/>
      <c r="P1698" s="15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22"/>
      <c r="AH1698" s="22"/>
      <c r="AI1698" s="22"/>
      <c r="AJ1698" s="22"/>
      <c r="AK1698" s="22"/>
      <c r="AL1698" s="22"/>
      <c r="AM1698" s="22"/>
      <c r="AN1698" s="22"/>
      <c r="AO1698" s="22"/>
      <c r="AP1698" s="22"/>
    </row>
    <row r="1699" ht="15.75" customHeight="1">
      <c r="A1699" s="9"/>
      <c r="B1699" s="84"/>
      <c r="C1699" s="11"/>
      <c r="D1699" s="12"/>
      <c r="E1699" s="12"/>
      <c r="F1699" s="9"/>
      <c r="G1699" s="12"/>
      <c r="H1699" s="12"/>
      <c r="I1699" s="12"/>
      <c r="J1699" s="12"/>
      <c r="K1699" s="12"/>
      <c r="L1699" s="15"/>
      <c r="M1699" s="12"/>
      <c r="N1699" s="24"/>
      <c r="O1699" s="73"/>
      <c r="P1699" s="15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22"/>
      <c r="AH1699" s="22"/>
      <c r="AI1699" s="22"/>
      <c r="AJ1699" s="22"/>
      <c r="AK1699" s="22"/>
      <c r="AL1699" s="22"/>
      <c r="AM1699" s="22"/>
      <c r="AN1699" s="22"/>
      <c r="AO1699" s="22"/>
      <c r="AP1699" s="22"/>
    </row>
    <row r="1700" ht="15.75" customHeight="1">
      <c r="A1700" s="9"/>
      <c r="B1700" s="84"/>
      <c r="C1700" s="11"/>
      <c r="D1700" s="12"/>
      <c r="E1700" s="12"/>
      <c r="F1700" s="9"/>
      <c r="G1700" s="12"/>
      <c r="H1700" s="12"/>
      <c r="I1700" s="12"/>
      <c r="J1700" s="12"/>
      <c r="K1700" s="12"/>
      <c r="L1700" s="15"/>
      <c r="M1700" s="12"/>
      <c r="N1700" s="24"/>
      <c r="O1700" s="73"/>
      <c r="P1700" s="15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22"/>
      <c r="AH1700" s="22"/>
      <c r="AI1700" s="22"/>
      <c r="AJ1700" s="22"/>
      <c r="AK1700" s="22"/>
      <c r="AL1700" s="22"/>
      <c r="AM1700" s="22"/>
      <c r="AN1700" s="22"/>
      <c r="AO1700" s="22"/>
      <c r="AP1700" s="22"/>
    </row>
    <row r="1701" ht="15.75" customHeight="1">
      <c r="A1701" s="9"/>
      <c r="B1701" s="84"/>
      <c r="C1701" s="11"/>
      <c r="D1701" s="12"/>
      <c r="E1701" s="12"/>
      <c r="F1701" s="9"/>
      <c r="G1701" s="12"/>
      <c r="H1701" s="12"/>
      <c r="I1701" s="12"/>
      <c r="J1701" s="12"/>
      <c r="K1701" s="12"/>
      <c r="L1701" s="15"/>
      <c r="M1701" s="12"/>
      <c r="N1701" s="24"/>
      <c r="O1701" s="73"/>
      <c r="P1701" s="15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22"/>
      <c r="AH1701" s="22"/>
      <c r="AI1701" s="22"/>
      <c r="AJ1701" s="22"/>
      <c r="AK1701" s="22"/>
      <c r="AL1701" s="22"/>
      <c r="AM1701" s="22"/>
      <c r="AN1701" s="22"/>
      <c r="AO1701" s="22"/>
      <c r="AP1701" s="22"/>
    </row>
    <row r="1702" ht="15.75" customHeight="1">
      <c r="A1702" s="9"/>
      <c r="B1702" s="84"/>
      <c r="C1702" s="11"/>
      <c r="D1702" s="12"/>
      <c r="E1702" s="12"/>
      <c r="F1702" s="9"/>
      <c r="G1702" s="12"/>
      <c r="H1702" s="12"/>
      <c r="I1702" s="12"/>
      <c r="J1702" s="12"/>
      <c r="K1702" s="12"/>
      <c r="L1702" s="15"/>
      <c r="M1702" s="12"/>
      <c r="N1702" s="24"/>
      <c r="O1702" s="73"/>
      <c r="P1702" s="15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22"/>
      <c r="AH1702" s="22"/>
      <c r="AI1702" s="22"/>
      <c r="AJ1702" s="22"/>
      <c r="AK1702" s="22"/>
      <c r="AL1702" s="22"/>
      <c r="AM1702" s="22"/>
      <c r="AN1702" s="22"/>
      <c r="AO1702" s="22"/>
      <c r="AP1702" s="22"/>
    </row>
    <row r="1703" ht="15.75" customHeight="1">
      <c r="A1703" s="9"/>
      <c r="B1703" s="84"/>
      <c r="C1703" s="11"/>
      <c r="D1703" s="12"/>
      <c r="E1703" s="12"/>
      <c r="F1703" s="9"/>
      <c r="G1703" s="12"/>
      <c r="H1703" s="12"/>
      <c r="I1703" s="12"/>
      <c r="J1703" s="12"/>
      <c r="K1703" s="12"/>
      <c r="L1703" s="15"/>
      <c r="M1703" s="12"/>
      <c r="N1703" s="24"/>
      <c r="O1703" s="73"/>
      <c r="P1703" s="15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22"/>
      <c r="AH1703" s="22"/>
      <c r="AI1703" s="22"/>
      <c r="AJ1703" s="22"/>
      <c r="AK1703" s="22"/>
      <c r="AL1703" s="22"/>
      <c r="AM1703" s="22"/>
      <c r="AN1703" s="22"/>
      <c r="AO1703" s="22"/>
      <c r="AP1703" s="22"/>
    </row>
    <row r="1704" ht="15.75" customHeight="1">
      <c r="A1704" s="9"/>
      <c r="B1704" s="84"/>
      <c r="C1704" s="11"/>
      <c r="D1704" s="12"/>
      <c r="E1704" s="12"/>
      <c r="F1704" s="9"/>
      <c r="G1704" s="12"/>
      <c r="H1704" s="12"/>
      <c r="I1704" s="12"/>
      <c r="J1704" s="12"/>
      <c r="K1704" s="12"/>
      <c r="L1704" s="15"/>
      <c r="M1704" s="12"/>
      <c r="N1704" s="24"/>
      <c r="O1704" s="73"/>
      <c r="P1704" s="15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22"/>
      <c r="AH1704" s="22"/>
      <c r="AI1704" s="22"/>
      <c r="AJ1704" s="22"/>
      <c r="AK1704" s="22"/>
      <c r="AL1704" s="22"/>
      <c r="AM1704" s="22"/>
      <c r="AN1704" s="22"/>
      <c r="AO1704" s="22"/>
      <c r="AP1704" s="22"/>
    </row>
    <row r="1705" ht="15.75" customHeight="1">
      <c r="A1705" s="9"/>
      <c r="B1705" s="84"/>
      <c r="C1705" s="11"/>
      <c r="D1705" s="12"/>
      <c r="E1705" s="12"/>
      <c r="F1705" s="9"/>
      <c r="G1705" s="12"/>
      <c r="H1705" s="12"/>
      <c r="I1705" s="12"/>
      <c r="J1705" s="12"/>
      <c r="K1705" s="12"/>
      <c r="L1705" s="15"/>
      <c r="M1705" s="12"/>
      <c r="N1705" s="24"/>
      <c r="O1705" s="73"/>
      <c r="P1705" s="15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22"/>
      <c r="AH1705" s="22"/>
      <c r="AI1705" s="22"/>
      <c r="AJ1705" s="22"/>
      <c r="AK1705" s="22"/>
      <c r="AL1705" s="22"/>
      <c r="AM1705" s="22"/>
      <c r="AN1705" s="22"/>
      <c r="AO1705" s="22"/>
      <c r="AP1705" s="22"/>
    </row>
    <row r="1706" ht="15.75" customHeight="1">
      <c r="A1706" s="9"/>
      <c r="B1706" s="84"/>
      <c r="C1706" s="11"/>
      <c r="D1706" s="12"/>
      <c r="E1706" s="12"/>
      <c r="F1706" s="9"/>
      <c r="G1706" s="12"/>
      <c r="H1706" s="12"/>
      <c r="I1706" s="12"/>
      <c r="J1706" s="12"/>
      <c r="K1706" s="12"/>
      <c r="L1706" s="15"/>
      <c r="M1706" s="12"/>
      <c r="N1706" s="24"/>
      <c r="O1706" s="73"/>
      <c r="P1706" s="15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22"/>
      <c r="AH1706" s="22"/>
      <c r="AI1706" s="22"/>
      <c r="AJ1706" s="22"/>
      <c r="AK1706" s="22"/>
      <c r="AL1706" s="22"/>
      <c r="AM1706" s="22"/>
      <c r="AN1706" s="22"/>
      <c r="AO1706" s="22"/>
      <c r="AP1706" s="22"/>
    </row>
    <row r="1707" ht="15.75" customHeight="1">
      <c r="A1707" s="9"/>
      <c r="B1707" s="84"/>
      <c r="C1707" s="11"/>
      <c r="D1707" s="12"/>
      <c r="E1707" s="12"/>
      <c r="F1707" s="9"/>
      <c r="G1707" s="12"/>
      <c r="H1707" s="12"/>
      <c r="I1707" s="12"/>
      <c r="J1707" s="12"/>
      <c r="K1707" s="12"/>
      <c r="L1707" s="15"/>
      <c r="M1707" s="12"/>
      <c r="N1707" s="24"/>
      <c r="O1707" s="73"/>
      <c r="P1707" s="15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22"/>
      <c r="AH1707" s="22"/>
      <c r="AI1707" s="22"/>
      <c r="AJ1707" s="22"/>
      <c r="AK1707" s="22"/>
      <c r="AL1707" s="22"/>
      <c r="AM1707" s="22"/>
      <c r="AN1707" s="22"/>
      <c r="AO1707" s="22"/>
      <c r="AP1707" s="22"/>
    </row>
    <row r="1708" ht="15.75" customHeight="1">
      <c r="A1708" s="9"/>
      <c r="B1708" s="84"/>
      <c r="C1708" s="11"/>
      <c r="D1708" s="12"/>
      <c r="E1708" s="12"/>
      <c r="F1708" s="9"/>
      <c r="G1708" s="12"/>
      <c r="H1708" s="12"/>
      <c r="I1708" s="12"/>
      <c r="J1708" s="12"/>
      <c r="K1708" s="12"/>
      <c r="L1708" s="15"/>
      <c r="M1708" s="12"/>
      <c r="N1708" s="24"/>
      <c r="O1708" s="73"/>
      <c r="P1708" s="15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22"/>
      <c r="AH1708" s="22"/>
      <c r="AI1708" s="22"/>
      <c r="AJ1708" s="22"/>
      <c r="AK1708" s="22"/>
      <c r="AL1708" s="22"/>
      <c r="AM1708" s="22"/>
      <c r="AN1708" s="22"/>
      <c r="AO1708" s="22"/>
      <c r="AP1708" s="22"/>
    </row>
    <row r="1709" ht="15.75" customHeight="1">
      <c r="A1709" s="9"/>
      <c r="B1709" s="84"/>
      <c r="C1709" s="11"/>
      <c r="D1709" s="12"/>
      <c r="E1709" s="12"/>
      <c r="F1709" s="9"/>
      <c r="G1709" s="12"/>
      <c r="H1709" s="12"/>
      <c r="I1709" s="12"/>
      <c r="J1709" s="12"/>
      <c r="K1709" s="12"/>
      <c r="L1709" s="15"/>
      <c r="M1709" s="12"/>
      <c r="N1709" s="24"/>
      <c r="O1709" s="73"/>
      <c r="P1709" s="15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22"/>
      <c r="AH1709" s="22"/>
      <c r="AI1709" s="22"/>
      <c r="AJ1709" s="22"/>
      <c r="AK1709" s="22"/>
      <c r="AL1709" s="22"/>
      <c r="AM1709" s="22"/>
      <c r="AN1709" s="22"/>
      <c r="AO1709" s="22"/>
      <c r="AP1709" s="22"/>
    </row>
    <row r="1710" ht="15.75" customHeight="1">
      <c r="A1710" s="9"/>
      <c r="B1710" s="84"/>
      <c r="C1710" s="11"/>
      <c r="D1710" s="12"/>
      <c r="E1710" s="12"/>
      <c r="F1710" s="9"/>
      <c r="G1710" s="12"/>
      <c r="H1710" s="12"/>
      <c r="I1710" s="12"/>
      <c r="J1710" s="12"/>
      <c r="K1710" s="12"/>
      <c r="L1710" s="15"/>
      <c r="M1710" s="12"/>
      <c r="N1710" s="24"/>
      <c r="O1710" s="73"/>
      <c r="P1710" s="15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22"/>
      <c r="AH1710" s="22"/>
      <c r="AI1710" s="22"/>
      <c r="AJ1710" s="22"/>
      <c r="AK1710" s="22"/>
      <c r="AL1710" s="22"/>
      <c r="AM1710" s="22"/>
      <c r="AN1710" s="22"/>
      <c r="AO1710" s="22"/>
      <c r="AP1710" s="22"/>
    </row>
    <row r="1711" ht="15.75" customHeight="1">
      <c r="A1711" s="9"/>
      <c r="B1711" s="84"/>
      <c r="C1711" s="11"/>
      <c r="D1711" s="12"/>
      <c r="E1711" s="12"/>
      <c r="F1711" s="9"/>
      <c r="G1711" s="12"/>
      <c r="H1711" s="12"/>
      <c r="I1711" s="12"/>
      <c r="J1711" s="12"/>
      <c r="K1711" s="12"/>
      <c r="L1711" s="15"/>
      <c r="M1711" s="12"/>
      <c r="N1711" s="24"/>
      <c r="O1711" s="73"/>
      <c r="P1711" s="15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22"/>
      <c r="AH1711" s="22"/>
      <c r="AI1711" s="22"/>
      <c r="AJ1711" s="22"/>
      <c r="AK1711" s="22"/>
      <c r="AL1711" s="22"/>
      <c r="AM1711" s="22"/>
      <c r="AN1711" s="22"/>
      <c r="AO1711" s="22"/>
      <c r="AP1711" s="22"/>
    </row>
    <row r="1712" ht="15.75" customHeight="1">
      <c r="A1712" s="9"/>
      <c r="B1712" s="84"/>
      <c r="C1712" s="11"/>
      <c r="D1712" s="12"/>
      <c r="E1712" s="12"/>
      <c r="F1712" s="9"/>
      <c r="G1712" s="12"/>
      <c r="H1712" s="12"/>
      <c r="I1712" s="12"/>
      <c r="J1712" s="12"/>
      <c r="K1712" s="12"/>
      <c r="L1712" s="15"/>
      <c r="M1712" s="12"/>
      <c r="N1712" s="24"/>
      <c r="O1712" s="73"/>
      <c r="P1712" s="15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22"/>
      <c r="AH1712" s="22"/>
      <c r="AI1712" s="22"/>
      <c r="AJ1712" s="22"/>
      <c r="AK1712" s="22"/>
      <c r="AL1712" s="22"/>
      <c r="AM1712" s="22"/>
      <c r="AN1712" s="22"/>
      <c r="AO1712" s="22"/>
      <c r="AP1712" s="22"/>
    </row>
    <row r="1713" ht="15.75" customHeight="1">
      <c r="A1713" s="9"/>
      <c r="B1713" s="84"/>
      <c r="C1713" s="11"/>
      <c r="D1713" s="12"/>
      <c r="E1713" s="12"/>
      <c r="F1713" s="9"/>
      <c r="G1713" s="12"/>
      <c r="H1713" s="12"/>
      <c r="I1713" s="12"/>
      <c r="J1713" s="12"/>
      <c r="K1713" s="12"/>
      <c r="L1713" s="15"/>
      <c r="M1713" s="12"/>
      <c r="N1713" s="24"/>
      <c r="O1713" s="73"/>
      <c r="P1713" s="15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22"/>
      <c r="AH1713" s="22"/>
      <c r="AI1713" s="22"/>
      <c r="AJ1713" s="22"/>
      <c r="AK1713" s="22"/>
      <c r="AL1713" s="22"/>
      <c r="AM1713" s="22"/>
      <c r="AN1713" s="22"/>
      <c r="AO1713" s="22"/>
      <c r="AP1713" s="22"/>
    </row>
    <row r="1714" ht="15.75" customHeight="1">
      <c r="A1714" s="9"/>
      <c r="B1714" s="84"/>
      <c r="C1714" s="11"/>
      <c r="D1714" s="12"/>
      <c r="E1714" s="12"/>
      <c r="F1714" s="9"/>
      <c r="G1714" s="12"/>
      <c r="H1714" s="12"/>
      <c r="I1714" s="12"/>
      <c r="J1714" s="12"/>
      <c r="K1714" s="12"/>
      <c r="L1714" s="15"/>
      <c r="M1714" s="12"/>
      <c r="N1714" s="24"/>
      <c r="O1714" s="73"/>
      <c r="P1714" s="15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22"/>
      <c r="AH1714" s="22"/>
      <c r="AI1714" s="22"/>
      <c r="AJ1714" s="22"/>
      <c r="AK1714" s="22"/>
      <c r="AL1714" s="22"/>
      <c r="AM1714" s="22"/>
      <c r="AN1714" s="22"/>
      <c r="AO1714" s="22"/>
      <c r="AP1714" s="22"/>
    </row>
    <row r="1715" ht="15.75" customHeight="1">
      <c r="A1715" s="9"/>
      <c r="B1715" s="84"/>
      <c r="C1715" s="11"/>
      <c r="D1715" s="12"/>
      <c r="E1715" s="12"/>
      <c r="F1715" s="9"/>
      <c r="G1715" s="12"/>
      <c r="H1715" s="12"/>
      <c r="I1715" s="12"/>
      <c r="J1715" s="12"/>
      <c r="K1715" s="12"/>
      <c r="L1715" s="15"/>
      <c r="M1715" s="12"/>
      <c r="N1715" s="24"/>
      <c r="O1715" s="73"/>
      <c r="P1715" s="15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22"/>
      <c r="AH1715" s="22"/>
      <c r="AI1715" s="22"/>
      <c r="AJ1715" s="22"/>
      <c r="AK1715" s="22"/>
      <c r="AL1715" s="22"/>
      <c r="AM1715" s="22"/>
      <c r="AN1715" s="22"/>
      <c r="AO1715" s="22"/>
      <c r="AP1715" s="22"/>
    </row>
    <row r="1716" ht="15.75" customHeight="1">
      <c r="A1716" s="9"/>
      <c r="B1716" s="84"/>
      <c r="C1716" s="11"/>
      <c r="D1716" s="12"/>
      <c r="E1716" s="12"/>
      <c r="F1716" s="9"/>
      <c r="G1716" s="12"/>
      <c r="H1716" s="12"/>
      <c r="I1716" s="12"/>
      <c r="J1716" s="12"/>
      <c r="K1716" s="12"/>
      <c r="L1716" s="15"/>
      <c r="M1716" s="12"/>
      <c r="N1716" s="24"/>
      <c r="O1716" s="73"/>
      <c r="P1716" s="15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22"/>
      <c r="AH1716" s="22"/>
      <c r="AI1716" s="22"/>
      <c r="AJ1716" s="22"/>
      <c r="AK1716" s="22"/>
      <c r="AL1716" s="22"/>
      <c r="AM1716" s="22"/>
      <c r="AN1716" s="22"/>
      <c r="AO1716" s="22"/>
      <c r="AP1716" s="22"/>
    </row>
    <row r="1717" ht="15.75" customHeight="1">
      <c r="A1717" s="9"/>
      <c r="B1717" s="84"/>
      <c r="C1717" s="11"/>
      <c r="D1717" s="12"/>
      <c r="E1717" s="12"/>
      <c r="F1717" s="9"/>
      <c r="G1717" s="12"/>
      <c r="H1717" s="12"/>
      <c r="I1717" s="12"/>
      <c r="J1717" s="12"/>
      <c r="K1717" s="12"/>
      <c r="L1717" s="15"/>
      <c r="M1717" s="12"/>
      <c r="N1717" s="24"/>
      <c r="O1717" s="73"/>
      <c r="P1717" s="15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22"/>
      <c r="AH1717" s="22"/>
      <c r="AI1717" s="22"/>
      <c r="AJ1717" s="22"/>
      <c r="AK1717" s="22"/>
      <c r="AL1717" s="22"/>
      <c r="AM1717" s="22"/>
      <c r="AN1717" s="22"/>
      <c r="AO1717" s="22"/>
      <c r="AP1717" s="22"/>
    </row>
    <row r="1718" ht="15.75" customHeight="1">
      <c r="A1718" s="9"/>
      <c r="B1718" s="84"/>
      <c r="C1718" s="11"/>
      <c r="D1718" s="12"/>
      <c r="E1718" s="12"/>
      <c r="F1718" s="9"/>
      <c r="G1718" s="12"/>
      <c r="H1718" s="12"/>
      <c r="I1718" s="12"/>
      <c r="J1718" s="12"/>
      <c r="K1718" s="12"/>
      <c r="L1718" s="15"/>
      <c r="M1718" s="12"/>
      <c r="N1718" s="24"/>
      <c r="O1718" s="73"/>
      <c r="P1718" s="15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22"/>
      <c r="AH1718" s="22"/>
      <c r="AI1718" s="22"/>
      <c r="AJ1718" s="22"/>
      <c r="AK1718" s="22"/>
      <c r="AL1718" s="22"/>
      <c r="AM1718" s="22"/>
      <c r="AN1718" s="22"/>
      <c r="AO1718" s="22"/>
      <c r="AP1718" s="22"/>
    </row>
    <row r="1719" ht="15.75" customHeight="1">
      <c r="A1719" s="9"/>
      <c r="B1719" s="84"/>
      <c r="C1719" s="11"/>
      <c r="D1719" s="12"/>
      <c r="E1719" s="12"/>
      <c r="F1719" s="9"/>
      <c r="G1719" s="12"/>
      <c r="H1719" s="12"/>
      <c r="I1719" s="12"/>
      <c r="J1719" s="12"/>
      <c r="K1719" s="12"/>
      <c r="L1719" s="15"/>
      <c r="M1719" s="12"/>
      <c r="N1719" s="24"/>
      <c r="O1719" s="73"/>
      <c r="P1719" s="15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22"/>
      <c r="AH1719" s="22"/>
      <c r="AI1719" s="22"/>
      <c r="AJ1719" s="22"/>
      <c r="AK1719" s="22"/>
      <c r="AL1719" s="22"/>
      <c r="AM1719" s="22"/>
      <c r="AN1719" s="22"/>
      <c r="AO1719" s="22"/>
      <c r="AP1719" s="22"/>
    </row>
    <row r="1720" ht="15.75" customHeight="1">
      <c r="A1720" s="9"/>
      <c r="B1720" s="84"/>
      <c r="C1720" s="11"/>
      <c r="D1720" s="12"/>
      <c r="E1720" s="12"/>
      <c r="F1720" s="9"/>
      <c r="G1720" s="12"/>
      <c r="H1720" s="12"/>
      <c r="I1720" s="12"/>
      <c r="J1720" s="12"/>
      <c r="K1720" s="12"/>
      <c r="L1720" s="15"/>
      <c r="M1720" s="12"/>
      <c r="N1720" s="24"/>
      <c r="O1720" s="73"/>
      <c r="P1720" s="15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22"/>
      <c r="AH1720" s="22"/>
      <c r="AI1720" s="22"/>
      <c r="AJ1720" s="22"/>
      <c r="AK1720" s="22"/>
      <c r="AL1720" s="22"/>
      <c r="AM1720" s="22"/>
      <c r="AN1720" s="22"/>
      <c r="AO1720" s="22"/>
      <c r="AP1720" s="22"/>
    </row>
    <row r="1721" ht="15.75" customHeight="1">
      <c r="A1721" s="256"/>
      <c r="B1721" s="257"/>
      <c r="C1721" s="11"/>
      <c r="D1721" s="22"/>
      <c r="E1721" s="22"/>
      <c r="F1721" s="256"/>
      <c r="G1721" s="22"/>
      <c r="H1721" s="22"/>
      <c r="I1721" s="22"/>
      <c r="J1721" s="22"/>
      <c r="K1721" s="22"/>
      <c r="L1721" s="258"/>
      <c r="M1721" s="22"/>
      <c r="N1721" s="259"/>
      <c r="O1721" s="260"/>
      <c r="P1721" s="258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F1721" s="22"/>
      <c r="AG1721" s="22"/>
      <c r="AH1721" s="22"/>
      <c r="AI1721" s="22"/>
      <c r="AJ1721" s="22"/>
      <c r="AK1721" s="22"/>
      <c r="AL1721" s="22"/>
      <c r="AM1721" s="22"/>
      <c r="AN1721" s="22"/>
      <c r="AO1721" s="22"/>
      <c r="AP1721" s="22"/>
    </row>
    <row r="1722" ht="15.75" customHeight="1">
      <c r="A1722" s="256"/>
      <c r="B1722" s="257"/>
      <c r="C1722" s="11"/>
      <c r="D1722" s="22"/>
      <c r="E1722" s="22"/>
      <c r="F1722" s="256"/>
      <c r="G1722" s="22"/>
      <c r="H1722" s="22"/>
      <c r="I1722" s="22"/>
      <c r="J1722" s="22"/>
      <c r="K1722" s="22"/>
      <c r="L1722" s="258"/>
      <c r="M1722" s="22"/>
      <c r="N1722" s="259"/>
      <c r="O1722" s="260"/>
      <c r="P1722" s="258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  <c r="AF1722" s="22"/>
      <c r="AG1722" s="22"/>
      <c r="AH1722" s="22"/>
      <c r="AI1722" s="22"/>
      <c r="AJ1722" s="22"/>
      <c r="AK1722" s="22"/>
      <c r="AL1722" s="22"/>
      <c r="AM1722" s="22"/>
      <c r="AN1722" s="22"/>
      <c r="AO1722" s="22"/>
      <c r="AP1722" s="22"/>
    </row>
    <row r="1723" ht="15.75" customHeight="1">
      <c r="A1723" s="256"/>
      <c r="B1723" s="257"/>
      <c r="C1723" s="11"/>
      <c r="D1723" s="22"/>
      <c r="E1723" s="22"/>
      <c r="F1723" s="256"/>
      <c r="G1723" s="22"/>
      <c r="H1723" s="22"/>
      <c r="I1723" s="22"/>
      <c r="J1723" s="22"/>
      <c r="K1723" s="22"/>
      <c r="L1723" s="258"/>
      <c r="M1723" s="22"/>
      <c r="N1723" s="259"/>
      <c r="O1723" s="260"/>
      <c r="P1723" s="258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F1723" s="22"/>
      <c r="AG1723" s="22"/>
      <c r="AH1723" s="22"/>
      <c r="AI1723" s="22"/>
      <c r="AJ1723" s="22"/>
      <c r="AK1723" s="22"/>
      <c r="AL1723" s="22"/>
      <c r="AM1723" s="22"/>
      <c r="AN1723" s="22"/>
      <c r="AO1723" s="22"/>
      <c r="AP1723" s="22"/>
    </row>
    <row r="1724" ht="15.75" customHeight="1">
      <c r="A1724" s="256"/>
      <c r="B1724" s="257"/>
      <c r="C1724" s="11"/>
      <c r="D1724" s="22"/>
      <c r="E1724" s="22"/>
      <c r="F1724" s="256"/>
      <c r="G1724" s="22"/>
      <c r="H1724" s="22"/>
      <c r="I1724" s="22"/>
      <c r="J1724" s="22"/>
      <c r="K1724" s="22"/>
      <c r="L1724" s="258"/>
      <c r="M1724" s="22"/>
      <c r="N1724" s="259"/>
      <c r="O1724" s="260"/>
      <c r="P1724" s="258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F1724" s="22"/>
      <c r="AG1724" s="22"/>
      <c r="AH1724" s="22"/>
      <c r="AI1724" s="22"/>
      <c r="AJ1724" s="22"/>
      <c r="AK1724" s="22"/>
      <c r="AL1724" s="22"/>
      <c r="AM1724" s="22"/>
      <c r="AN1724" s="22"/>
      <c r="AO1724" s="22"/>
      <c r="AP1724" s="22"/>
    </row>
    <row r="1725" ht="15.75" customHeight="1">
      <c r="A1725" s="256"/>
      <c r="B1725" s="257"/>
      <c r="C1725" s="11"/>
      <c r="D1725" s="22"/>
      <c r="E1725" s="22"/>
      <c r="F1725" s="256"/>
      <c r="G1725" s="22"/>
      <c r="H1725" s="22"/>
      <c r="I1725" s="22"/>
      <c r="J1725" s="22"/>
      <c r="K1725" s="22"/>
      <c r="L1725" s="258"/>
      <c r="M1725" s="22"/>
      <c r="N1725" s="259"/>
      <c r="O1725" s="260"/>
      <c r="P1725" s="258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  <c r="AF1725" s="22"/>
      <c r="AG1725" s="22"/>
      <c r="AH1725" s="22"/>
      <c r="AI1725" s="22"/>
      <c r="AJ1725" s="22"/>
      <c r="AK1725" s="22"/>
      <c r="AL1725" s="22"/>
      <c r="AM1725" s="22"/>
      <c r="AN1725" s="22"/>
      <c r="AO1725" s="22"/>
      <c r="AP1725" s="22"/>
    </row>
    <row r="1726" ht="15.75" customHeight="1">
      <c r="A1726" s="256"/>
      <c r="B1726" s="257"/>
      <c r="C1726" s="11"/>
      <c r="D1726" s="22"/>
      <c r="E1726" s="22"/>
      <c r="F1726" s="256"/>
      <c r="G1726" s="22"/>
      <c r="H1726" s="22"/>
      <c r="I1726" s="22"/>
      <c r="J1726" s="22"/>
      <c r="K1726" s="22"/>
      <c r="L1726" s="258"/>
      <c r="M1726" s="22"/>
      <c r="N1726" s="259"/>
      <c r="O1726" s="260"/>
      <c r="P1726" s="258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F1726" s="22"/>
      <c r="AG1726" s="22"/>
      <c r="AH1726" s="22"/>
      <c r="AI1726" s="22"/>
      <c r="AJ1726" s="22"/>
      <c r="AK1726" s="22"/>
      <c r="AL1726" s="22"/>
      <c r="AM1726" s="22"/>
      <c r="AN1726" s="22"/>
      <c r="AO1726" s="22"/>
      <c r="AP1726" s="22"/>
    </row>
    <row r="1727" ht="15.75" customHeight="1">
      <c r="A1727" s="256"/>
      <c r="B1727" s="257"/>
      <c r="C1727" s="11"/>
      <c r="D1727" s="22"/>
      <c r="E1727" s="22"/>
      <c r="F1727" s="256"/>
      <c r="G1727" s="22"/>
      <c r="H1727" s="22"/>
      <c r="I1727" s="22"/>
      <c r="J1727" s="22"/>
      <c r="K1727" s="22"/>
      <c r="L1727" s="258"/>
      <c r="M1727" s="22"/>
      <c r="N1727" s="259"/>
      <c r="O1727" s="260"/>
      <c r="P1727" s="258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F1727" s="22"/>
      <c r="AG1727" s="22"/>
      <c r="AH1727" s="22"/>
      <c r="AI1727" s="22"/>
      <c r="AJ1727" s="22"/>
      <c r="AK1727" s="22"/>
      <c r="AL1727" s="22"/>
      <c r="AM1727" s="22"/>
      <c r="AN1727" s="22"/>
      <c r="AO1727" s="22"/>
      <c r="AP1727" s="22"/>
    </row>
    <row r="1728" ht="15.75" customHeight="1">
      <c r="A1728" s="256"/>
      <c r="B1728" s="257"/>
      <c r="C1728" s="11"/>
      <c r="D1728" s="22"/>
      <c r="E1728" s="22"/>
      <c r="F1728" s="256"/>
      <c r="G1728" s="22"/>
      <c r="H1728" s="22"/>
      <c r="I1728" s="22"/>
      <c r="J1728" s="22"/>
      <c r="K1728" s="22"/>
      <c r="L1728" s="258"/>
      <c r="M1728" s="22"/>
      <c r="N1728" s="259"/>
      <c r="O1728" s="260"/>
      <c r="P1728" s="258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  <c r="AF1728" s="22"/>
      <c r="AG1728" s="22"/>
      <c r="AH1728" s="22"/>
      <c r="AI1728" s="22"/>
      <c r="AJ1728" s="22"/>
      <c r="AK1728" s="22"/>
      <c r="AL1728" s="22"/>
      <c r="AM1728" s="22"/>
      <c r="AN1728" s="22"/>
      <c r="AO1728" s="22"/>
      <c r="AP1728" s="22"/>
    </row>
    <row r="1729" ht="15.75" customHeight="1">
      <c r="A1729" s="256"/>
      <c r="B1729" s="257"/>
      <c r="C1729" s="11"/>
      <c r="D1729" s="22"/>
      <c r="E1729" s="22"/>
      <c r="F1729" s="256"/>
      <c r="G1729" s="22"/>
      <c r="H1729" s="22"/>
      <c r="I1729" s="22"/>
      <c r="J1729" s="22"/>
      <c r="K1729" s="22"/>
      <c r="L1729" s="258"/>
      <c r="M1729" s="22"/>
      <c r="N1729" s="259"/>
      <c r="O1729" s="260"/>
      <c r="P1729" s="258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  <c r="AG1729" s="22"/>
      <c r="AH1729" s="22"/>
      <c r="AI1729" s="22"/>
      <c r="AJ1729" s="22"/>
      <c r="AK1729" s="22"/>
      <c r="AL1729" s="22"/>
      <c r="AM1729" s="22"/>
      <c r="AN1729" s="22"/>
      <c r="AO1729" s="22"/>
      <c r="AP1729" s="22"/>
    </row>
    <row r="1730" ht="15.75" customHeight="1">
      <c r="A1730" s="256"/>
      <c r="B1730" s="257"/>
      <c r="C1730" s="11"/>
      <c r="D1730" s="22"/>
      <c r="E1730" s="22"/>
      <c r="F1730" s="256"/>
      <c r="G1730" s="22"/>
      <c r="H1730" s="22"/>
      <c r="I1730" s="22"/>
      <c r="J1730" s="22"/>
      <c r="K1730" s="22"/>
      <c r="L1730" s="258"/>
      <c r="M1730" s="22"/>
      <c r="N1730" s="259"/>
      <c r="O1730" s="260"/>
      <c r="P1730" s="258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  <c r="AF1730" s="22"/>
      <c r="AG1730" s="22"/>
      <c r="AH1730" s="22"/>
      <c r="AI1730" s="22"/>
      <c r="AJ1730" s="22"/>
      <c r="AK1730" s="22"/>
      <c r="AL1730" s="22"/>
      <c r="AM1730" s="22"/>
      <c r="AN1730" s="22"/>
      <c r="AO1730" s="22"/>
      <c r="AP1730" s="22"/>
    </row>
    <row r="1731" ht="15.75" customHeight="1">
      <c r="A1731" s="256"/>
      <c r="B1731" s="257"/>
      <c r="C1731" s="11"/>
      <c r="D1731" s="22"/>
      <c r="E1731" s="22"/>
      <c r="F1731" s="256"/>
      <c r="G1731" s="22"/>
      <c r="H1731" s="22"/>
      <c r="I1731" s="22"/>
      <c r="J1731" s="22"/>
      <c r="K1731" s="22"/>
      <c r="L1731" s="258"/>
      <c r="M1731" s="22"/>
      <c r="N1731" s="259"/>
      <c r="O1731" s="260"/>
      <c r="P1731" s="258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  <c r="AG1731" s="22"/>
      <c r="AH1731" s="22"/>
      <c r="AI1731" s="22"/>
      <c r="AJ1731" s="22"/>
      <c r="AK1731" s="22"/>
      <c r="AL1731" s="22"/>
      <c r="AM1731" s="22"/>
      <c r="AN1731" s="22"/>
      <c r="AO1731" s="22"/>
      <c r="AP1731" s="22"/>
    </row>
    <row r="1732" ht="15.75" customHeight="1">
      <c r="A1732" s="256"/>
      <c r="B1732" s="257"/>
      <c r="C1732" s="11"/>
      <c r="D1732" s="22"/>
      <c r="E1732" s="22"/>
      <c r="F1732" s="256"/>
      <c r="G1732" s="22"/>
      <c r="H1732" s="22"/>
      <c r="I1732" s="22"/>
      <c r="J1732" s="22"/>
      <c r="K1732" s="22"/>
      <c r="L1732" s="258"/>
      <c r="M1732" s="22"/>
      <c r="N1732" s="259"/>
      <c r="O1732" s="260"/>
      <c r="P1732" s="258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  <c r="AF1732" s="22"/>
      <c r="AG1732" s="22"/>
      <c r="AH1732" s="22"/>
      <c r="AI1732" s="22"/>
      <c r="AJ1732" s="22"/>
      <c r="AK1732" s="22"/>
      <c r="AL1732" s="22"/>
      <c r="AM1732" s="22"/>
      <c r="AN1732" s="22"/>
      <c r="AO1732" s="22"/>
      <c r="AP1732" s="22"/>
    </row>
    <row r="1733" ht="15.75" customHeight="1">
      <c r="A1733" s="256"/>
      <c r="B1733" s="257"/>
      <c r="C1733" s="11"/>
      <c r="D1733" s="22"/>
      <c r="E1733" s="22"/>
      <c r="F1733" s="256"/>
      <c r="G1733" s="22"/>
      <c r="H1733" s="22"/>
      <c r="I1733" s="22"/>
      <c r="J1733" s="22"/>
      <c r="K1733" s="22"/>
      <c r="L1733" s="258"/>
      <c r="M1733" s="22"/>
      <c r="N1733" s="259"/>
      <c r="O1733" s="260"/>
      <c r="P1733" s="258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  <c r="AF1733" s="22"/>
      <c r="AG1733" s="22"/>
      <c r="AH1733" s="22"/>
      <c r="AI1733" s="22"/>
      <c r="AJ1733" s="22"/>
      <c r="AK1733" s="22"/>
      <c r="AL1733" s="22"/>
      <c r="AM1733" s="22"/>
      <c r="AN1733" s="22"/>
      <c r="AO1733" s="22"/>
      <c r="AP1733" s="22"/>
    </row>
    <row r="1734" ht="15.75" customHeight="1">
      <c r="A1734" s="256"/>
      <c r="B1734" s="257"/>
      <c r="C1734" s="11"/>
      <c r="D1734" s="22"/>
      <c r="E1734" s="22"/>
      <c r="F1734" s="256"/>
      <c r="G1734" s="22"/>
      <c r="H1734" s="22"/>
      <c r="I1734" s="22"/>
      <c r="J1734" s="22"/>
      <c r="K1734" s="22"/>
      <c r="L1734" s="258"/>
      <c r="M1734" s="22"/>
      <c r="N1734" s="259"/>
      <c r="O1734" s="260"/>
      <c r="P1734" s="258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2"/>
      <c r="AO1734" s="22"/>
      <c r="AP1734" s="22"/>
    </row>
    <row r="1735" ht="15.75" customHeight="1">
      <c r="A1735" s="256"/>
      <c r="B1735" s="257"/>
      <c r="C1735" s="11"/>
      <c r="D1735" s="22"/>
      <c r="E1735" s="22"/>
      <c r="F1735" s="256"/>
      <c r="G1735" s="22"/>
      <c r="H1735" s="22"/>
      <c r="I1735" s="22"/>
      <c r="J1735" s="22"/>
      <c r="K1735" s="22"/>
      <c r="L1735" s="258"/>
      <c r="M1735" s="22"/>
      <c r="N1735" s="259"/>
      <c r="O1735" s="260"/>
      <c r="P1735" s="258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2"/>
      <c r="AJ1735" s="22"/>
      <c r="AK1735" s="22"/>
      <c r="AL1735" s="22"/>
      <c r="AM1735" s="22"/>
      <c r="AN1735" s="22"/>
      <c r="AO1735" s="22"/>
      <c r="AP1735" s="22"/>
    </row>
    <row r="1736" ht="15.75" customHeight="1">
      <c r="A1736" s="256"/>
      <c r="B1736" s="257"/>
      <c r="C1736" s="11"/>
      <c r="D1736" s="22"/>
      <c r="E1736" s="22"/>
      <c r="F1736" s="256"/>
      <c r="G1736" s="22"/>
      <c r="H1736" s="22"/>
      <c r="I1736" s="22"/>
      <c r="J1736" s="22"/>
      <c r="K1736" s="22"/>
      <c r="L1736" s="258"/>
      <c r="M1736" s="22"/>
      <c r="N1736" s="259"/>
      <c r="O1736" s="260"/>
      <c r="P1736" s="258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F1736" s="22"/>
      <c r="AG1736" s="22"/>
      <c r="AH1736" s="22"/>
      <c r="AI1736" s="22"/>
      <c r="AJ1736" s="22"/>
      <c r="AK1736" s="22"/>
      <c r="AL1736" s="22"/>
      <c r="AM1736" s="22"/>
      <c r="AN1736" s="22"/>
      <c r="AO1736" s="22"/>
      <c r="AP1736" s="22"/>
    </row>
    <row r="1737" ht="15.75" customHeight="1">
      <c r="A1737" s="256"/>
      <c r="B1737" s="257"/>
      <c r="C1737" s="11"/>
      <c r="D1737" s="22"/>
      <c r="E1737" s="22"/>
      <c r="F1737" s="256"/>
      <c r="G1737" s="22"/>
      <c r="H1737" s="22"/>
      <c r="I1737" s="22"/>
      <c r="J1737" s="22"/>
      <c r="K1737" s="22"/>
      <c r="L1737" s="258"/>
      <c r="M1737" s="22"/>
      <c r="N1737" s="259"/>
      <c r="O1737" s="260"/>
      <c r="P1737" s="258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F1737" s="22"/>
      <c r="AG1737" s="22"/>
      <c r="AH1737" s="22"/>
      <c r="AI1737" s="22"/>
      <c r="AJ1737" s="22"/>
      <c r="AK1737" s="22"/>
      <c r="AL1737" s="22"/>
      <c r="AM1737" s="22"/>
      <c r="AN1737" s="22"/>
      <c r="AO1737" s="22"/>
      <c r="AP1737" s="22"/>
    </row>
    <row r="1738" ht="15.75" customHeight="1">
      <c r="A1738" s="256"/>
      <c r="B1738" s="257"/>
      <c r="C1738" s="11"/>
      <c r="D1738" s="22"/>
      <c r="E1738" s="22"/>
      <c r="F1738" s="256"/>
      <c r="G1738" s="22"/>
      <c r="H1738" s="22"/>
      <c r="I1738" s="22"/>
      <c r="J1738" s="22"/>
      <c r="K1738" s="22"/>
      <c r="L1738" s="258"/>
      <c r="M1738" s="22"/>
      <c r="N1738" s="259"/>
      <c r="O1738" s="260"/>
      <c r="P1738" s="258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  <c r="AO1738" s="22"/>
      <c r="AP1738" s="22"/>
    </row>
    <row r="1739" ht="15.75" customHeight="1">
      <c r="A1739" s="256"/>
      <c r="B1739" s="257"/>
      <c r="C1739" s="11"/>
      <c r="D1739" s="22"/>
      <c r="E1739" s="22"/>
      <c r="F1739" s="256"/>
      <c r="G1739" s="22"/>
      <c r="H1739" s="22"/>
      <c r="I1739" s="22"/>
      <c r="J1739" s="22"/>
      <c r="K1739" s="22"/>
      <c r="L1739" s="258"/>
      <c r="M1739" s="22"/>
      <c r="N1739" s="259"/>
      <c r="O1739" s="260"/>
      <c r="P1739" s="258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2"/>
      <c r="AL1739" s="22"/>
      <c r="AM1739" s="22"/>
      <c r="AN1739" s="22"/>
      <c r="AO1739" s="22"/>
      <c r="AP1739" s="22"/>
    </row>
    <row r="1740" ht="15.75" customHeight="1">
      <c r="A1740" s="256"/>
      <c r="B1740" s="257"/>
      <c r="C1740" s="11"/>
      <c r="D1740" s="22"/>
      <c r="E1740" s="22"/>
      <c r="F1740" s="256"/>
      <c r="G1740" s="22"/>
      <c r="H1740" s="22"/>
      <c r="I1740" s="22"/>
      <c r="J1740" s="22"/>
      <c r="K1740" s="22"/>
      <c r="L1740" s="258"/>
      <c r="M1740" s="22"/>
      <c r="N1740" s="259"/>
      <c r="O1740" s="260"/>
      <c r="P1740" s="258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2"/>
      <c r="AJ1740" s="22"/>
      <c r="AK1740" s="22"/>
      <c r="AL1740" s="22"/>
      <c r="AM1740" s="22"/>
      <c r="AN1740" s="22"/>
      <c r="AO1740" s="22"/>
      <c r="AP1740" s="22"/>
    </row>
    <row r="1741" ht="15.75" customHeight="1">
      <c r="A1741" s="256"/>
      <c r="B1741" s="257"/>
      <c r="C1741" s="11"/>
      <c r="D1741" s="22"/>
      <c r="E1741" s="22"/>
      <c r="F1741" s="256"/>
      <c r="G1741" s="22"/>
      <c r="H1741" s="22"/>
      <c r="I1741" s="22"/>
      <c r="J1741" s="22"/>
      <c r="K1741" s="22"/>
      <c r="L1741" s="258"/>
      <c r="M1741" s="22"/>
      <c r="N1741" s="259"/>
      <c r="O1741" s="260"/>
      <c r="P1741" s="258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2"/>
      <c r="AM1741" s="22"/>
      <c r="AN1741" s="22"/>
      <c r="AO1741" s="22"/>
      <c r="AP1741" s="22"/>
    </row>
    <row r="1742" ht="15.75" customHeight="1">
      <c r="A1742" s="256"/>
      <c r="B1742" s="257"/>
      <c r="C1742" s="11"/>
      <c r="D1742" s="22"/>
      <c r="E1742" s="22"/>
      <c r="F1742" s="256"/>
      <c r="G1742" s="22"/>
      <c r="H1742" s="22"/>
      <c r="I1742" s="22"/>
      <c r="J1742" s="22"/>
      <c r="K1742" s="22"/>
      <c r="L1742" s="258"/>
      <c r="M1742" s="22"/>
      <c r="N1742" s="259"/>
      <c r="O1742" s="260"/>
      <c r="P1742" s="258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2"/>
      <c r="AO1742" s="22"/>
      <c r="AP1742" s="22"/>
    </row>
    <row r="1743" ht="15.75" customHeight="1">
      <c r="A1743" s="256"/>
      <c r="B1743" s="257"/>
      <c r="C1743" s="11"/>
      <c r="D1743" s="22"/>
      <c r="E1743" s="22"/>
      <c r="F1743" s="256"/>
      <c r="G1743" s="22"/>
      <c r="H1743" s="22"/>
      <c r="I1743" s="22"/>
      <c r="J1743" s="22"/>
      <c r="K1743" s="22"/>
      <c r="L1743" s="258"/>
      <c r="M1743" s="22"/>
      <c r="N1743" s="259"/>
      <c r="O1743" s="260"/>
      <c r="P1743" s="258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2"/>
      <c r="AO1743" s="22"/>
      <c r="AP1743" s="22"/>
    </row>
    <row r="1744" ht="15.75" customHeight="1">
      <c r="A1744" s="256"/>
      <c r="B1744" s="257"/>
      <c r="C1744" s="11"/>
      <c r="D1744" s="22"/>
      <c r="E1744" s="22"/>
      <c r="F1744" s="256"/>
      <c r="G1744" s="22"/>
      <c r="H1744" s="22"/>
      <c r="I1744" s="22"/>
      <c r="J1744" s="22"/>
      <c r="K1744" s="22"/>
      <c r="L1744" s="258"/>
      <c r="M1744" s="22"/>
      <c r="N1744" s="259"/>
      <c r="O1744" s="260"/>
      <c r="P1744" s="258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2"/>
      <c r="AO1744" s="22"/>
      <c r="AP1744" s="22"/>
    </row>
    <row r="1745" ht="15.75" customHeight="1">
      <c r="A1745" s="256"/>
      <c r="B1745" s="257"/>
      <c r="C1745" s="11"/>
      <c r="D1745" s="22"/>
      <c r="E1745" s="22"/>
      <c r="F1745" s="256"/>
      <c r="G1745" s="22"/>
      <c r="H1745" s="22"/>
      <c r="I1745" s="22"/>
      <c r="J1745" s="22"/>
      <c r="K1745" s="22"/>
      <c r="L1745" s="258"/>
      <c r="M1745" s="22"/>
      <c r="N1745" s="259"/>
      <c r="O1745" s="260"/>
      <c r="P1745" s="258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  <c r="AP1745" s="22"/>
    </row>
    <row r="1746" ht="15.75" customHeight="1">
      <c r="A1746" s="256"/>
      <c r="B1746" s="257"/>
      <c r="C1746" s="11"/>
      <c r="D1746" s="22"/>
      <c r="E1746" s="22"/>
      <c r="F1746" s="256"/>
      <c r="G1746" s="22"/>
      <c r="H1746" s="22"/>
      <c r="I1746" s="22"/>
      <c r="J1746" s="22"/>
      <c r="K1746" s="22"/>
      <c r="L1746" s="258"/>
      <c r="M1746" s="22"/>
      <c r="N1746" s="259"/>
      <c r="O1746" s="260"/>
      <c r="P1746" s="258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2"/>
      <c r="AO1746" s="22"/>
      <c r="AP1746" s="22"/>
    </row>
    <row r="1747" ht="15.75" customHeight="1">
      <c r="A1747" s="256"/>
      <c r="B1747" s="257"/>
      <c r="C1747" s="11"/>
      <c r="D1747" s="22"/>
      <c r="E1747" s="22"/>
      <c r="F1747" s="256"/>
      <c r="G1747" s="22"/>
      <c r="H1747" s="22"/>
      <c r="I1747" s="22"/>
      <c r="J1747" s="22"/>
      <c r="K1747" s="22"/>
      <c r="L1747" s="258"/>
      <c r="M1747" s="22"/>
      <c r="N1747" s="259"/>
      <c r="O1747" s="260"/>
      <c r="P1747" s="258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2"/>
      <c r="AO1747" s="22"/>
      <c r="AP1747" s="22"/>
    </row>
    <row r="1748" ht="15.75" customHeight="1">
      <c r="A1748" s="256"/>
      <c r="B1748" s="257"/>
      <c r="C1748" s="11"/>
      <c r="D1748" s="22"/>
      <c r="E1748" s="22"/>
      <c r="F1748" s="256"/>
      <c r="G1748" s="22"/>
      <c r="H1748" s="22"/>
      <c r="I1748" s="22"/>
      <c r="J1748" s="22"/>
      <c r="K1748" s="22"/>
      <c r="L1748" s="258"/>
      <c r="M1748" s="22"/>
      <c r="N1748" s="259"/>
      <c r="O1748" s="260"/>
      <c r="P1748" s="258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2"/>
      <c r="AO1748" s="22"/>
      <c r="AP1748" s="22"/>
    </row>
    <row r="1749" ht="15.75" customHeight="1">
      <c r="A1749" s="256"/>
      <c r="B1749" s="257"/>
      <c r="C1749" s="11"/>
      <c r="D1749" s="22"/>
      <c r="E1749" s="22"/>
      <c r="F1749" s="256"/>
      <c r="G1749" s="22"/>
      <c r="H1749" s="22"/>
      <c r="I1749" s="22"/>
      <c r="J1749" s="22"/>
      <c r="K1749" s="22"/>
      <c r="L1749" s="258"/>
      <c r="M1749" s="22"/>
      <c r="N1749" s="259"/>
      <c r="O1749" s="260"/>
      <c r="P1749" s="258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2"/>
      <c r="AO1749" s="22"/>
      <c r="AP1749" s="22"/>
    </row>
    <row r="1750" ht="15.75" customHeight="1">
      <c r="A1750" s="256"/>
      <c r="B1750" s="257"/>
      <c r="C1750" s="11"/>
      <c r="D1750" s="22"/>
      <c r="E1750" s="22"/>
      <c r="F1750" s="256"/>
      <c r="G1750" s="22"/>
      <c r="H1750" s="22"/>
      <c r="I1750" s="22"/>
      <c r="J1750" s="22"/>
      <c r="K1750" s="22"/>
      <c r="L1750" s="258"/>
      <c r="M1750" s="22"/>
      <c r="N1750" s="259"/>
      <c r="O1750" s="260"/>
      <c r="P1750" s="258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F1750" s="22"/>
      <c r="AG1750" s="22"/>
      <c r="AH1750" s="22"/>
      <c r="AI1750" s="22"/>
      <c r="AJ1750" s="22"/>
      <c r="AK1750" s="22"/>
      <c r="AL1750" s="22"/>
      <c r="AM1750" s="22"/>
      <c r="AN1750" s="22"/>
      <c r="AO1750" s="22"/>
      <c r="AP1750" s="22"/>
    </row>
    <row r="1751" ht="15.75" customHeight="1">
      <c r="A1751" s="256"/>
      <c r="B1751" s="257"/>
      <c r="C1751" s="11"/>
      <c r="D1751" s="22"/>
      <c r="E1751" s="22"/>
      <c r="F1751" s="256"/>
      <c r="G1751" s="22"/>
      <c r="H1751" s="22"/>
      <c r="I1751" s="22"/>
      <c r="J1751" s="22"/>
      <c r="K1751" s="22"/>
      <c r="L1751" s="258"/>
      <c r="M1751" s="22"/>
      <c r="N1751" s="259"/>
      <c r="O1751" s="260"/>
      <c r="P1751" s="258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F1751" s="22"/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</row>
    <row r="1752" ht="15.75" customHeight="1">
      <c r="A1752" s="256"/>
      <c r="B1752" s="257"/>
      <c r="C1752" s="11"/>
      <c r="D1752" s="22"/>
      <c r="E1752" s="22"/>
      <c r="F1752" s="256"/>
      <c r="G1752" s="22"/>
      <c r="H1752" s="22"/>
      <c r="I1752" s="22"/>
      <c r="J1752" s="22"/>
      <c r="K1752" s="22"/>
      <c r="L1752" s="258"/>
      <c r="M1752" s="22"/>
      <c r="N1752" s="259"/>
      <c r="O1752" s="260"/>
      <c r="P1752" s="258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  <c r="AF1752" s="22"/>
      <c r="AG1752" s="22"/>
      <c r="AH1752" s="22"/>
      <c r="AI1752" s="22"/>
      <c r="AJ1752" s="22"/>
      <c r="AK1752" s="22"/>
      <c r="AL1752" s="22"/>
      <c r="AM1752" s="22"/>
      <c r="AN1752" s="22"/>
      <c r="AO1752" s="22"/>
      <c r="AP1752" s="22"/>
    </row>
    <row r="1753" ht="15.75" customHeight="1">
      <c r="A1753" s="256"/>
      <c r="B1753" s="257"/>
      <c r="C1753" s="11"/>
      <c r="D1753" s="22"/>
      <c r="E1753" s="22"/>
      <c r="F1753" s="256"/>
      <c r="G1753" s="22"/>
      <c r="H1753" s="22"/>
      <c r="I1753" s="22"/>
      <c r="J1753" s="22"/>
      <c r="K1753" s="22"/>
      <c r="L1753" s="258"/>
      <c r="M1753" s="22"/>
      <c r="N1753" s="259"/>
      <c r="O1753" s="260"/>
      <c r="P1753" s="258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2"/>
      <c r="AO1753" s="22"/>
      <c r="AP1753" s="22"/>
    </row>
    <row r="1754" ht="15.75" customHeight="1">
      <c r="A1754" s="256"/>
      <c r="B1754" s="257"/>
      <c r="C1754" s="11"/>
      <c r="D1754" s="22"/>
      <c r="E1754" s="22"/>
      <c r="F1754" s="256"/>
      <c r="G1754" s="22"/>
      <c r="H1754" s="22"/>
      <c r="I1754" s="22"/>
      <c r="J1754" s="22"/>
      <c r="K1754" s="22"/>
      <c r="L1754" s="258"/>
      <c r="M1754" s="22"/>
      <c r="N1754" s="259"/>
      <c r="O1754" s="260"/>
      <c r="P1754" s="258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2"/>
      <c r="AJ1754" s="22"/>
      <c r="AK1754" s="22"/>
      <c r="AL1754" s="22"/>
      <c r="AM1754" s="22"/>
      <c r="AN1754" s="22"/>
      <c r="AO1754" s="22"/>
      <c r="AP1754" s="22"/>
    </row>
    <row r="1755" ht="15.75" customHeight="1">
      <c r="A1755" s="256"/>
      <c r="B1755" s="257"/>
      <c r="C1755" s="11"/>
      <c r="D1755" s="22"/>
      <c r="E1755" s="22"/>
      <c r="F1755" s="256"/>
      <c r="G1755" s="22"/>
      <c r="H1755" s="22"/>
      <c r="I1755" s="22"/>
      <c r="J1755" s="22"/>
      <c r="K1755" s="22"/>
      <c r="L1755" s="258"/>
      <c r="M1755" s="22"/>
      <c r="N1755" s="259"/>
      <c r="O1755" s="260"/>
      <c r="P1755" s="258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</row>
    <row r="1756" ht="15.75" customHeight="1">
      <c r="A1756" s="256"/>
      <c r="B1756" s="257"/>
      <c r="C1756" s="11"/>
      <c r="D1756" s="22"/>
      <c r="E1756" s="22"/>
      <c r="F1756" s="256"/>
      <c r="G1756" s="22"/>
      <c r="H1756" s="22"/>
      <c r="I1756" s="22"/>
      <c r="J1756" s="22"/>
      <c r="K1756" s="22"/>
      <c r="L1756" s="258"/>
      <c r="M1756" s="22"/>
      <c r="N1756" s="259"/>
      <c r="O1756" s="260"/>
      <c r="P1756" s="258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  <c r="AF1756" s="22"/>
      <c r="AG1756" s="22"/>
      <c r="AH1756" s="22"/>
      <c r="AI1756" s="22"/>
      <c r="AJ1756" s="22"/>
      <c r="AK1756" s="22"/>
      <c r="AL1756" s="22"/>
      <c r="AM1756" s="22"/>
      <c r="AN1756" s="22"/>
      <c r="AO1756" s="22"/>
      <c r="AP1756" s="22"/>
    </row>
    <row r="1757" ht="15.75" customHeight="1">
      <c r="A1757" s="256"/>
      <c r="B1757" s="257"/>
      <c r="C1757" s="11"/>
      <c r="D1757" s="22"/>
      <c r="E1757" s="22"/>
      <c r="F1757" s="256"/>
      <c r="G1757" s="22"/>
      <c r="H1757" s="22"/>
      <c r="I1757" s="22"/>
      <c r="J1757" s="22"/>
      <c r="K1757" s="22"/>
      <c r="L1757" s="258"/>
      <c r="M1757" s="22"/>
      <c r="N1757" s="259"/>
      <c r="O1757" s="260"/>
      <c r="P1757" s="258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  <c r="AF1757" s="22"/>
      <c r="AG1757" s="22"/>
      <c r="AH1757" s="22"/>
      <c r="AI1757" s="22"/>
      <c r="AJ1757" s="22"/>
      <c r="AK1757" s="22"/>
      <c r="AL1757" s="22"/>
      <c r="AM1757" s="22"/>
      <c r="AN1757" s="22"/>
      <c r="AO1757" s="22"/>
      <c r="AP1757" s="22"/>
    </row>
    <row r="1758" ht="15.75" customHeight="1">
      <c r="A1758" s="256"/>
      <c r="B1758" s="257"/>
      <c r="C1758" s="11"/>
      <c r="D1758" s="22"/>
      <c r="E1758" s="22"/>
      <c r="F1758" s="256"/>
      <c r="G1758" s="22"/>
      <c r="H1758" s="22"/>
      <c r="I1758" s="22"/>
      <c r="J1758" s="22"/>
      <c r="K1758" s="22"/>
      <c r="L1758" s="258"/>
      <c r="M1758" s="22"/>
      <c r="N1758" s="259"/>
      <c r="O1758" s="260"/>
      <c r="P1758" s="258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F1758" s="22"/>
      <c r="AG1758" s="22"/>
      <c r="AH1758" s="22"/>
      <c r="AI1758" s="22"/>
      <c r="AJ1758" s="22"/>
      <c r="AK1758" s="22"/>
      <c r="AL1758" s="22"/>
      <c r="AM1758" s="22"/>
      <c r="AN1758" s="22"/>
      <c r="AO1758" s="22"/>
      <c r="AP1758" s="22"/>
    </row>
    <row r="1759" ht="15.75" customHeight="1">
      <c r="A1759" s="256"/>
      <c r="B1759" s="257"/>
      <c r="C1759" s="11"/>
      <c r="D1759" s="22"/>
      <c r="E1759" s="22"/>
      <c r="F1759" s="256"/>
      <c r="G1759" s="22"/>
      <c r="H1759" s="22"/>
      <c r="I1759" s="22"/>
      <c r="J1759" s="22"/>
      <c r="K1759" s="22"/>
      <c r="L1759" s="258"/>
      <c r="M1759" s="22"/>
      <c r="N1759" s="259"/>
      <c r="O1759" s="260"/>
      <c r="P1759" s="258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F1759" s="22"/>
      <c r="AG1759" s="22"/>
      <c r="AH1759" s="22"/>
      <c r="AI1759" s="22"/>
      <c r="AJ1759" s="22"/>
      <c r="AK1759" s="22"/>
      <c r="AL1759" s="22"/>
      <c r="AM1759" s="22"/>
      <c r="AN1759" s="22"/>
      <c r="AO1759" s="22"/>
      <c r="AP1759" s="22"/>
    </row>
    <row r="1760" ht="15.75" customHeight="1">
      <c r="A1760" s="256"/>
      <c r="B1760" s="257"/>
      <c r="C1760" s="11"/>
      <c r="D1760" s="22"/>
      <c r="E1760" s="22"/>
      <c r="F1760" s="256"/>
      <c r="G1760" s="22"/>
      <c r="H1760" s="22"/>
      <c r="I1760" s="22"/>
      <c r="J1760" s="22"/>
      <c r="K1760" s="22"/>
      <c r="L1760" s="258"/>
      <c r="M1760" s="22"/>
      <c r="N1760" s="259"/>
      <c r="O1760" s="260"/>
      <c r="P1760" s="258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F1760" s="22"/>
      <c r="AG1760" s="22"/>
      <c r="AH1760" s="22"/>
      <c r="AI1760" s="22"/>
      <c r="AJ1760" s="22"/>
      <c r="AK1760" s="22"/>
      <c r="AL1760" s="22"/>
      <c r="AM1760" s="22"/>
      <c r="AN1760" s="22"/>
      <c r="AO1760" s="22"/>
      <c r="AP1760" s="22"/>
    </row>
    <row r="1761" ht="15.75" customHeight="1">
      <c r="A1761" s="256"/>
      <c r="B1761" s="257"/>
      <c r="C1761" s="11"/>
      <c r="D1761" s="22"/>
      <c r="E1761" s="22"/>
      <c r="F1761" s="256"/>
      <c r="G1761" s="22"/>
      <c r="H1761" s="22"/>
      <c r="I1761" s="22"/>
      <c r="J1761" s="22"/>
      <c r="K1761" s="22"/>
      <c r="L1761" s="258"/>
      <c r="M1761" s="22"/>
      <c r="N1761" s="259"/>
      <c r="O1761" s="260"/>
      <c r="P1761" s="258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  <c r="AF1761" s="22"/>
      <c r="AG1761" s="22"/>
      <c r="AH1761" s="22"/>
      <c r="AI1761" s="22"/>
      <c r="AJ1761" s="22"/>
      <c r="AK1761" s="22"/>
      <c r="AL1761" s="22"/>
      <c r="AM1761" s="22"/>
      <c r="AN1761" s="22"/>
      <c r="AO1761" s="22"/>
      <c r="AP1761" s="22"/>
    </row>
    <row r="1762" ht="15.75" customHeight="1">
      <c r="A1762" s="256"/>
      <c r="B1762" s="257"/>
      <c r="C1762" s="11"/>
      <c r="D1762" s="22"/>
      <c r="E1762" s="22"/>
      <c r="F1762" s="256"/>
      <c r="G1762" s="22"/>
      <c r="H1762" s="22"/>
      <c r="I1762" s="22"/>
      <c r="J1762" s="22"/>
      <c r="K1762" s="22"/>
      <c r="L1762" s="258"/>
      <c r="M1762" s="22"/>
      <c r="N1762" s="259"/>
      <c r="O1762" s="260"/>
      <c r="P1762" s="258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F1762" s="22"/>
      <c r="AG1762" s="22"/>
      <c r="AH1762" s="22"/>
      <c r="AI1762" s="22"/>
      <c r="AJ1762" s="22"/>
      <c r="AK1762" s="22"/>
      <c r="AL1762" s="22"/>
      <c r="AM1762" s="22"/>
      <c r="AN1762" s="22"/>
      <c r="AO1762" s="22"/>
      <c r="AP1762" s="22"/>
    </row>
    <row r="1763" ht="15.75" customHeight="1">
      <c r="A1763" s="256"/>
      <c r="B1763" s="257"/>
      <c r="C1763" s="11"/>
      <c r="D1763" s="22"/>
      <c r="E1763" s="22"/>
      <c r="F1763" s="256"/>
      <c r="G1763" s="22"/>
      <c r="H1763" s="22"/>
      <c r="I1763" s="22"/>
      <c r="J1763" s="22"/>
      <c r="K1763" s="22"/>
      <c r="L1763" s="258"/>
      <c r="M1763" s="22"/>
      <c r="N1763" s="259"/>
      <c r="O1763" s="260"/>
      <c r="P1763" s="258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  <c r="AF1763" s="22"/>
      <c r="AG1763" s="22"/>
      <c r="AH1763" s="22"/>
      <c r="AI1763" s="22"/>
      <c r="AJ1763" s="22"/>
      <c r="AK1763" s="22"/>
      <c r="AL1763" s="22"/>
      <c r="AM1763" s="22"/>
      <c r="AN1763" s="22"/>
      <c r="AO1763" s="22"/>
      <c r="AP1763" s="22"/>
    </row>
    <row r="1764" ht="15.75" customHeight="1">
      <c r="A1764" s="256"/>
      <c r="B1764" s="257"/>
      <c r="C1764" s="11"/>
      <c r="D1764" s="22"/>
      <c r="E1764" s="22"/>
      <c r="F1764" s="256"/>
      <c r="G1764" s="22"/>
      <c r="H1764" s="22"/>
      <c r="I1764" s="22"/>
      <c r="J1764" s="22"/>
      <c r="K1764" s="22"/>
      <c r="L1764" s="258"/>
      <c r="M1764" s="22"/>
      <c r="N1764" s="259"/>
      <c r="O1764" s="260"/>
      <c r="P1764" s="258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  <c r="AF1764" s="22"/>
      <c r="AG1764" s="22"/>
      <c r="AH1764" s="22"/>
      <c r="AI1764" s="22"/>
      <c r="AJ1764" s="22"/>
      <c r="AK1764" s="22"/>
      <c r="AL1764" s="22"/>
      <c r="AM1764" s="22"/>
      <c r="AN1764" s="22"/>
      <c r="AO1764" s="22"/>
      <c r="AP1764" s="22"/>
    </row>
    <row r="1765" ht="15.75" customHeight="1">
      <c r="A1765" s="256"/>
      <c r="B1765" s="257"/>
      <c r="C1765" s="11"/>
      <c r="D1765" s="22"/>
      <c r="E1765" s="22"/>
      <c r="F1765" s="256"/>
      <c r="G1765" s="22"/>
      <c r="H1765" s="22"/>
      <c r="I1765" s="22"/>
      <c r="J1765" s="22"/>
      <c r="K1765" s="22"/>
      <c r="L1765" s="258"/>
      <c r="M1765" s="22"/>
      <c r="N1765" s="259"/>
      <c r="O1765" s="260"/>
      <c r="P1765" s="258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2"/>
      <c r="AJ1765" s="22"/>
      <c r="AK1765" s="22"/>
      <c r="AL1765" s="22"/>
      <c r="AM1765" s="22"/>
      <c r="AN1765" s="22"/>
      <c r="AO1765" s="22"/>
      <c r="AP1765" s="22"/>
    </row>
    <row r="1766" ht="15.75" customHeight="1">
      <c r="A1766" s="256"/>
      <c r="B1766" s="257"/>
      <c r="C1766" s="11"/>
      <c r="D1766" s="22"/>
      <c r="E1766" s="22"/>
      <c r="F1766" s="256"/>
      <c r="G1766" s="22"/>
      <c r="H1766" s="22"/>
      <c r="I1766" s="22"/>
      <c r="J1766" s="22"/>
      <c r="K1766" s="22"/>
      <c r="L1766" s="258"/>
      <c r="M1766" s="22"/>
      <c r="N1766" s="259"/>
      <c r="O1766" s="260"/>
      <c r="P1766" s="258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2"/>
      <c r="AM1766" s="22"/>
      <c r="AN1766" s="22"/>
      <c r="AO1766" s="22"/>
      <c r="AP1766" s="22"/>
    </row>
    <row r="1767" ht="15.75" customHeight="1">
      <c r="A1767" s="256"/>
      <c r="B1767" s="257"/>
      <c r="C1767" s="11"/>
      <c r="D1767" s="22"/>
      <c r="E1767" s="22"/>
      <c r="F1767" s="256"/>
      <c r="G1767" s="22"/>
      <c r="H1767" s="22"/>
      <c r="I1767" s="22"/>
      <c r="J1767" s="22"/>
      <c r="K1767" s="22"/>
      <c r="L1767" s="258"/>
      <c r="M1767" s="22"/>
      <c r="N1767" s="259"/>
      <c r="O1767" s="260"/>
      <c r="P1767" s="258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/>
      <c r="AN1767" s="22"/>
      <c r="AO1767" s="22"/>
      <c r="AP1767" s="22"/>
    </row>
    <row r="1768" ht="15.75" customHeight="1">
      <c r="C1768" s="11"/>
      <c r="O1768" s="260"/>
      <c r="P1768" s="258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  <c r="AA1768" s="22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2"/>
      <c r="AM1768" s="22"/>
      <c r="AN1768" s="22"/>
      <c r="AO1768" s="22"/>
      <c r="AP1768" s="22"/>
    </row>
    <row r="1769" ht="15.75" customHeight="1">
      <c r="C1769" s="11"/>
      <c r="O1769" s="260"/>
      <c r="P1769" s="258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2"/>
      <c r="AC1769" s="22"/>
      <c r="AD1769" s="22"/>
      <c r="AE1769" s="22"/>
      <c r="AF1769" s="22"/>
      <c r="AG1769" s="22"/>
      <c r="AH1769" s="22"/>
      <c r="AI1769" s="22"/>
      <c r="AJ1769" s="22"/>
      <c r="AK1769" s="22"/>
      <c r="AL1769" s="22"/>
      <c r="AM1769" s="22"/>
      <c r="AN1769" s="22"/>
      <c r="AO1769" s="22"/>
      <c r="AP1769" s="22"/>
    </row>
  </sheetData>
  <autoFilter ref="$K$1:$K$1769"/>
  <customSheetViews>
    <customSheetView guid="{CAF26CA6-31EB-4942-8AB2-EEF9EC24B909}" filter="1" showAutoFilter="1">
      <autoFilter ref="$C$1:$C$692"/>
    </customSheetView>
    <customSheetView guid="{CE9AC887-50ED-4CBE-9D58-A44113F845B1}" filter="1" showAutoFilter="1">
      <autoFilter ref="$S$1:$S$342">
        <filterColumn colId="0">
          <filters>
            <filter val="CARREGADO"/>
            <filter val="RETIRADA"/>
          </filters>
        </filterColumn>
      </autoFilter>
    </customSheetView>
  </customSheetViews>
  <conditionalFormatting sqref="A1395:A1397 A1401:A1402 A1404:A1406">
    <cfRule type="expression" dxfId="0" priority="1">
      <formula>COUNTIF(#REF!,A1395)&gt;1</formula>
    </cfRule>
  </conditionalFormatting>
  <conditionalFormatting sqref="A1395:A1397 A1401:A1402 A1404:A1406">
    <cfRule type="cellIs" dxfId="1" priority="2" operator="greaterThan">
      <formula>100000000</formula>
    </cfRule>
  </conditionalFormatting>
  <conditionalFormatting sqref="C2:C1769">
    <cfRule type="notContainsBlanks" dxfId="2" priority="3">
      <formula>LEN(TRIM(C2))&gt;0</formula>
    </cfRule>
  </conditionalFormatting>
  <conditionalFormatting sqref="C2:C1769">
    <cfRule type="notContainsBlanks" dxfId="2" priority="4">
      <formula>LEN(TRIM(C2))&gt;0</formula>
    </cfRule>
  </conditionalFormatting>
  <conditionalFormatting sqref="S1292">
    <cfRule type="containsText" dxfId="3" priority="5" operator="containsText" text="CARREGADO">
      <formula>NOT(ISERROR(SEARCH(("CARREGADO"),(S1292))))</formula>
    </cfRule>
  </conditionalFormatting>
  <conditionalFormatting sqref="S1292">
    <cfRule type="containsText" dxfId="4" priority="6" operator="containsText" text="DECLINADO">
      <formula>NOT(ISERROR(SEARCH(("DECLINADO"),(S1292))))</formula>
    </cfRule>
  </conditionalFormatting>
  <conditionalFormatting sqref="S1292">
    <cfRule type="containsText" dxfId="4" priority="7" operator="containsText" text="RETIRADA">
      <formula>NOT(ISERROR(SEARCH(("RETIRADA"),(S1292))))</formula>
    </cfRule>
  </conditionalFormatting>
  <conditionalFormatting sqref="S1292">
    <cfRule type="containsText" dxfId="4" priority="8" operator="containsText" text="CANCELADA">
      <formula>NOT(ISERROR(SEARCH(("CANCELADA"),(S1292))))</formula>
    </cfRule>
  </conditionalFormatting>
  <conditionalFormatting sqref="A1292">
    <cfRule type="expression" dxfId="0" priority="9">
      <formula>COUNTIF(#REF!,A1292)&gt;1</formula>
    </cfRule>
  </conditionalFormatting>
  <conditionalFormatting sqref="A1292">
    <cfRule type="cellIs" dxfId="1" priority="10" operator="greaterThan">
      <formula>100000000</formula>
    </cfRule>
  </conditionalFormatting>
  <conditionalFormatting sqref="C1292">
    <cfRule type="notContainsBlanks" dxfId="2" priority="11">
      <formula>LEN(TRIM(C1292))&gt;0</formula>
    </cfRule>
  </conditionalFormatting>
  <conditionalFormatting sqref="C1292">
    <cfRule type="notContainsBlanks" dxfId="2" priority="12">
      <formula>LEN(TRIM(C1292))&gt;0</formula>
    </cfRule>
  </conditionalFormatting>
  <conditionalFormatting sqref="S1211:S1212">
    <cfRule type="containsText" dxfId="4" priority="13" operator="containsText" text="CANCELADA">
      <formula>NOT(ISERROR(SEARCH(("CANCELADA"),(S1211))))</formula>
    </cfRule>
  </conditionalFormatting>
  <conditionalFormatting sqref="S1211:S1212">
    <cfRule type="containsText" dxfId="4" priority="14" operator="containsText" text="RETIRADA">
      <formula>NOT(ISERROR(SEARCH(("RETIRADA"),(S1211))))</formula>
    </cfRule>
  </conditionalFormatting>
  <conditionalFormatting sqref="S1211:S1212">
    <cfRule type="containsText" dxfId="4" priority="15" operator="containsText" text="DECLINADO">
      <formula>NOT(ISERROR(SEARCH(("DECLINADO"),(S1211))))</formula>
    </cfRule>
  </conditionalFormatting>
  <conditionalFormatting sqref="S1211:S1212">
    <cfRule type="containsText" dxfId="3" priority="16" operator="containsText" text="CARREGADO">
      <formula>NOT(ISERROR(SEARCH(("CARREGADO"),(S1211))))</formula>
    </cfRule>
  </conditionalFormatting>
  <conditionalFormatting sqref="S1211:S1212">
    <cfRule type="containsText" dxfId="4" priority="17" operator="containsText" text="CANCELADA">
      <formula>NOT(ISERROR(SEARCH(("CANCELADA"),(S1211))))</formula>
    </cfRule>
  </conditionalFormatting>
  <conditionalFormatting sqref="S1211:S1212">
    <cfRule type="containsText" dxfId="4" priority="18" operator="containsText" text="RETIRADA">
      <formula>NOT(ISERROR(SEARCH(("RETIRADA"),(S1211))))</formula>
    </cfRule>
  </conditionalFormatting>
  <conditionalFormatting sqref="S1211:S1212">
    <cfRule type="containsText" dxfId="4" priority="19" operator="containsText" text="DECLINADO">
      <formula>NOT(ISERROR(SEARCH(("DECLINADO"),(S1211))))</formula>
    </cfRule>
  </conditionalFormatting>
  <conditionalFormatting sqref="S1211:S1212">
    <cfRule type="containsText" dxfId="3" priority="20" operator="containsText" text="CARREGADO">
      <formula>NOT(ISERROR(SEARCH(("CARREGADO"),(S1211))))</formula>
    </cfRule>
  </conditionalFormatting>
  <conditionalFormatting sqref="S1211:S1212">
    <cfRule type="containsText" dxfId="3" priority="21" operator="containsText" text="CARREGADO">
      <formula>NOT(ISERROR(SEARCH(("CARREGADO"),(S1211))))</formula>
    </cfRule>
  </conditionalFormatting>
  <conditionalFormatting sqref="S1211:S1212">
    <cfRule type="containsText" dxfId="4" priority="22" operator="containsText" text="DECLINADO">
      <formula>NOT(ISERROR(SEARCH(("DECLINADO"),(S1211))))</formula>
    </cfRule>
  </conditionalFormatting>
  <conditionalFormatting sqref="S1211:S1212">
    <cfRule type="containsText" dxfId="4" priority="23" operator="containsText" text="RETIRADA">
      <formula>NOT(ISERROR(SEARCH(("RETIRADA"),(S1211))))</formula>
    </cfRule>
  </conditionalFormatting>
  <conditionalFormatting sqref="S1211:S1212">
    <cfRule type="containsText" dxfId="4" priority="24" operator="containsText" text="CANCELADA">
      <formula>NOT(ISERROR(SEARCH(("CANCELADA"),(S1211))))</formula>
    </cfRule>
  </conditionalFormatting>
  <conditionalFormatting sqref="S1211:S1212">
    <cfRule type="containsText" dxfId="4" priority="25" operator="containsText" text="CANCELADA">
      <formula>NOT(ISERROR(SEARCH(("CANCELADA"),(S1211))))</formula>
    </cfRule>
  </conditionalFormatting>
  <conditionalFormatting sqref="S1211:S1212">
    <cfRule type="containsText" dxfId="4" priority="26" operator="containsText" text="RETIRADA">
      <formula>NOT(ISERROR(SEARCH(("RETIRADA"),(S1211))))</formula>
    </cfRule>
  </conditionalFormatting>
  <conditionalFormatting sqref="S1211:S1212">
    <cfRule type="containsText" dxfId="4" priority="27" operator="containsText" text="DECLINADO">
      <formula>NOT(ISERROR(SEARCH(("DECLINADO"),(S1211))))</formula>
    </cfRule>
  </conditionalFormatting>
  <conditionalFormatting sqref="S1211:S1212">
    <cfRule type="containsText" dxfId="3" priority="28" operator="containsText" text="CARREGADO">
      <formula>NOT(ISERROR(SEARCH(("CARREGADO"),(S1211))))</formula>
    </cfRule>
  </conditionalFormatting>
  <conditionalFormatting sqref="S1211:S1212">
    <cfRule type="containsText" dxfId="4" priority="29" operator="containsText" text="CANCELADA">
      <formula>NOT(ISERROR(SEARCH(("CANCELADA"),(S1211))))</formula>
    </cfRule>
  </conditionalFormatting>
  <conditionalFormatting sqref="S1211:S1212">
    <cfRule type="containsText" dxfId="4" priority="30" operator="containsText" text="RETIRADA">
      <formula>NOT(ISERROR(SEARCH(("RETIRADA"),(S1211))))</formula>
    </cfRule>
  </conditionalFormatting>
  <conditionalFormatting sqref="S1211:S1212">
    <cfRule type="containsText" dxfId="4" priority="31" operator="containsText" text="DECLINADO">
      <formula>NOT(ISERROR(SEARCH(("DECLINADO"),(S1211))))</formula>
    </cfRule>
  </conditionalFormatting>
  <conditionalFormatting sqref="S1211:S1212">
    <cfRule type="containsText" dxfId="3" priority="32" operator="containsText" text="CARREGADO">
      <formula>NOT(ISERROR(SEARCH(("CARREGADO"),(S1211))))</formula>
    </cfRule>
  </conditionalFormatting>
  <conditionalFormatting sqref="A1211:A1212">
    <cfRule type="expression" dxfId="0" priority="33">
      <formula>COUNTIF(#REF!,A1211)&gt;1</formula>
    </cfRule>
  </conditionalFormatting>
  <conditionalFormatting sqref="A1211:A1212">
    <cfRule type="cellIs" dxfId="1" priority="34" operator="greaterThan">
      <formula>100000000</formula>
    </cfRule>
  </conditionalFormatting>
  <conditionalFormatting sqref="C1211:C1212">
    <cfRule type="notContainsBlanks" dxfId="2" priority="35">
      <formula>LEN(TRIM(C1211))&gt;0</formula>
    </cfRule>
  </conditionalFormatting>
  <conditionalFormatting sqref="C1211:C1212">
    <cfRule type="notContainsBlanks" dxfId="2" priority="36">
      <formula>LEN(TRIM(C1211))&gt;0</formula>
    </cfRule>
  </conditionalFormatting>
  <conditionalFormatting sqref="A1:A677 A685:A1210 A1213:A1272 A1275:A1291 A1293:A1769 B1472:B1473">
    <cfRule type="expression" dxfId="0" priority="37">
      <formula>COUNTIF(A:A,A1)&gt;1</formula>
    </cfRule>
  </conditionalFormatting>
  <conditionalFormatting sqref="S144:S1210 R985 R987:R991 R1138 S1213:S1272 S1275:S1277 S1279:S1286 S1288:S1291 S1297:S1769">
    <cfRule type="containsText" dxfId="3" priority="38" operator="containsText" text="CARREGADO">
      <formula>NOT(ISERROR(SEARCH(("CARREGADO"),(S144))))</formula>
    </cfRule>
  </conditionalFormatting>
  <conditionalFormatting sqref="S144:S1210 R985 R987:R991 R1138 S1213:S1272 S1275:S1277 S1279:S1286 S1288:S1291 S1297:S1769">
    <cfRule type="containsText" dxfId="4" priority="39" operator="containsText" text="DECLINADO">
      <formula>NOT(ISERROR(SEARCH(("DECLINADO"),(S144))))</formula>
    </cfRule>
  </conditionalFormatting>
  <conditionalFormatting sqref="S144:S1210 R985 R987:R991 R1138 S1213:S1272 S1275:S1277 S1279:S1286 S1288:S1291 S1297:S1769">
    <cfRule type="containsText" dxfId="4" priority="40" operator="containsText" text="RETIRADA">
      <formula>NOT(ISERROR(SEARCH(("RETIRADA"),(S144))))</formula>
    </cfRule>
  </conditionalFormatting>
  <conditionalFormatting sqref="V152">
    <cfRule type="notContainsBlanks" dxfId="2" priority="41">
      <formula>LEN(TRIM(V152))&gt;0</formula>
    </cfRule>
  </conditionalFormatting>
  <conditionalFormatting sqref="S145:S1210 R985 R987:R991 R1138 S1213:S1272 S1275:S1277 S1279:S1286 S1288:S1291 S1297:S1769">
    <cfRule type="containsText" dxfId="4" priority="42" operator="containsText" text="CANCELADA">
      <formula>NOT(ISERROR(SEARCH(("CANCELADA"),(S145))))</formula>
    </cfRule>
  </conditionalFormatting>
  <dataValidations>
    <dataValidation type="list" allowBlank="1" showErrorMessage="1" sqref="G113:G114 G116:G804 G809:G1272 G1275:G1767">
      <formula1>Apoio!$A$96:$A$98</formula1>
    </dataValidation>
    <dataValidation type="list" allowBlank="1" showErrorMessage="1" sqref="L117 L133 L172:L174">
      <formula1>Apoio!$A$78:$A$91</formula1>
    </dataValidation>
    <dataValidation type="list" allowBlank="1" showErrorMessage="1" sqref="L113:L114 L116 L118:L132 L134:L171 L175:L804 L809:L814 L816:L835 L838:L868 L871 L873:L882 L884:L890 L893:L897 L899:L971 L973:L1272 L1275:L1767">
      <formula1>Apoio!$A$78:$A$93</formula1>
    </dataValidation>
    <dataValidation type="list" allowBlank="1" showErrorMessage="1" sqref="S113:S114 S116:S1210 S1213:S1272 S1275:S1769">
      <formula1>Apoio!$A$66:$A$72</formula1>
    </dataValidation>
    <dataValidation type="list" allowBlank="1" showErrorMessage="1" sqref="S1211:S1212">
      <formula1>Apoio!$A$66:$A$72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8.0"/>
    <col customWidth="1" min="3" max="3" width="7.5"/>
    <col customWidth="1" min="4" max="4" width="29.25"/>
    <col customWidth="1" min="5" max="5" width="12.38"/>
    <col customWidth="1" min="6" max="6" width="18.38"/>
    <col customWidth="1" min="7" max="7" width="16.63"/>
    <col customWidth="1" min="8" max="8" width="17.75"/>
    <col customWidth="1" min="9" max="9" width="13.5"/>
    <col customWidth="1" min="10" max="10" width="17.0"/>
    <col customWidth="1" min="11" max="11" width="17.38"/>
    <col customWidth="1" min="12" max="12" width="43.13"/>
    <col customWidth="1" min="13" max="13" width="15.5"/>
  </cols>
  <sheetData>
    <row r="1">
      <c r="A1" s="261" t="s">
        <v>2284</v>
      </c>
      <c r="B1" s="261" t="s">
        <v>0</v>
      </c>
      <c r="C1" s="261" t="s">
        <v>5</v>
      </c>
      <c r="D1" s="261" t="s">
        <v>2285</v>
      </c>
      <c r="E1" s="262" t="s">
        <v>2286</v>
      </c>
      <c r="F1" s="262" t="s">
        <v>2287</v>
      </c>
      <c r="G1" s="263" t="s">
        <v>2288</v>
      </c>
      <c r="H1" s="262" t="s">
        <v>2289</v>
      </c>
      <c r="I1" s="262" t="s">
        <v>2290</v>
      </c>
      <c r="J1" s="264" t="s">
        <v>2291</v>
      </c>
      <c r="K1" s="262" t="s">
        <v>2292</v>
      </c>
      <c r="L1" s="262" t="s">
        <v>2293</v>
      </c>
      <c r="M1" s="261" t="s">
        <v>2294</v>
      </c>
    </row>
    <row r="2" hidden="1">
      <c r="A2" s="265">
        <v>794826.0</v>
      </c>
      <c r="B2" s="265">
        <v>1.1111033E7</v>
      </c>
      <c r="C2" s="266" t="s">
        <v>31</v>
      </c>
      <c r="D2" s="265" t="s">
        <v>2295</v>
      </c>
      <c r="E2" s="267" t="s">
        <v>452</v>
      </c>
      <c r="F2" s="268" t="s">
        <v>2296</v>
      </c>
      <c r="G2" s="269">
        <v>45689.0</v>
      </c>
      <c r="H2" s="270">
        <v>6.944444444444445E-4</v>
      </c>
      <c r="I2" s="271">
        <v>45444.59722222222</v>
      </c>
      <c r="J2" s="272" t="s">
        <v>2297</v>
      </c>
      <c r="K2" s="273" t="s">
        <v>2298</v>
      </c>
      <c r="L2" s="273" t="s">
        <v>2299</v>
      </c>
      <c r="M2" s="274" t="s">
        <v>2300</v>
      </c>
    </row>
    <row r="3" hidden="1">
      <c r="A3" s="265">
        <v>794828.0</v>
      </c>
      <c r="B3" s="265">
        <v>1.1111034E7</v>
      </c>
      <c r="C3" s="266" t="s">
        <v>31</v>
      </c>
      <c r="D3" s="265" t="s">
        <v>2295</v>
      </c>
      <c r="E3" s="267" t="s">
        <v>509</v>
      </c>
      <c r="F3" s="268" t="s">
        <v>2301</v>
      </c>
      <c r="G3" s="269">
        <v>45717.0</v>
      </c>
      <c r="H3" s="270">
        <v>0.3625</v>
      </c>
      <c r="I3" s="271">
        <v>45809.791666666664</v>
      </c>
      <c r="J3" s="272" t="s">
        <v>2297</v>
      </c>
      <c r="K3" s="273" t="s">
        <v>2298</v>
      </c>
      <c r="L3" s="273" t="s">
        <v>2299</v>
      </c>
      <c r="M3" s="274" t="s">
        <v>2300</v>
      </c>
    </row>
    <row r="4" ht="15.75" hidden="1" customHeight="1">
      <c r="A4" s="265">
        <v>794836.0</v>
      </c>
      <c r="B4" s="265">
        <v>1.1110447E7</v>
      </c>
      <c r="C4" s="266" t="s">
        <v>31</v>
      </c>
      <c r="D4" s="265" t="s">
        <v>2295</v>
      </c>
      <c r="E4" s="267" t="s">
        <v>495</v>
      </c>
      <c r="F4" s="268" t="s">
        <v>2302</v>
      </c>
      <c r="G4" s="269">
        <v>45717.0</v>
      </c>
      <c r="H4" s="270">
        <v>0.8666666666666667</v>
      </c>
      <c r="I4" s="271">
        <v>45809.77777777778</v>
      </c>
      <c r="J4" s="275" t="s">
        <v>2297</v>
      </c>
      <c r="K4" s="273" t="s">
        <v>2298</v>
      </c>
      <c r="L4" s="273" t="s">
        <v>2299</v>
      </c>
      <c r="M4" s="274" t="s">
        <v>2300</v>
      </c>
    </row>
    <row r="5" hidden="1">
      <c r="A5" s="265">
        <v>782939.0</v>
      </c>
      <c r="B5" s="265">
        <v>1.1110908E7</v>
      </c>
      <c r="C5" s="266" t="s">
        <v>31</v>
      </c>
      <c r="D5" s="265" t="s">
        <v>2295</v>
      </c>
      <c r="E5" s="267" t="s">
        <v>844</v>
      </c>
      <c r="F5" s="268" t="s">
        <v>2303</v>
      </c>
      <c r="G5" s="269">
        <v>45717.0</v>
      </c>
      <c r="H5" s="270">
        <v>0.4625</v>
      </c>
      <c r="I5" s="271">
        <v>45809.322916666664</v>
      </c>
      <c r="J5" s="275" t="s">
        <v>2304</v>
      </c>
      <c r="K5" s="273" t="s">
        <v>2298</v>
      </c>
      <c r="L5" s="273" t="s">
        <v>2299</v>
      </c>
      <c r="M5" s="274" t="s">
        <v>2300</v>
      </c>
    </row>
    <row r="6" hidden="1">
      <c r="A6" s="265">
        <v>812167.0</v>
      </c>
      <c r="B6" s="265">
        <v>1.1096082E7</v>
      </c>
      <c r="C6" s="266" t="s">
        <v>31</v>
      </c>
      <c r="D6" s="265" t="s">
        <v>2295</v>
      </c>
      <c r="E6" s="267" t="s">
        <v>826</v>
      </c>
      <c r="F6" s="268" t="s">
        <v>1921</v>
      </c>
      <c r="G6" s="269">
        <v>45809.0</v>
      </c>
      <c r="H6" s="270">
        <v>0.3138888888888889</v>
      </c>
      <c r="I6" s="271">
        <v>45870.572916666664</v>
      </c>
      <c r="J6" s="275">
        <v>216.39</v>
      </c>
      <c r="K6" s="276" t="s">
        <v>2298</v>
      </c>
      <c r="L6" s="273" t="s">
        <v>2299</v>
      </c>
      <c r="M6" s="274" t="s">
        <v>2300</v>
      </c>
    </row>
    <row r="7" hidden="1">
      <c r="A7" s="265">
        <v>812169.0</v>
      </c>
      <c r="B7" s="265">
        <v>1.1110446E7</v>
      </c>
      <c r="C7" s="266" t="s">
        <v>31</v>
      </c>
      <c r="D7" s="265" t="s">
        <v>2295</v>
      </c>
      <c r="E7" s="267" t="s">
        <v>831</v>
      </c>
      <c r="F7" s="268" t="s">
        <v>2305</v>
      </c>
      <c r="G7" s="269">
        <v>45809.0</v>
      </c>
      <c r="H7" s="270">
        <v>0.8965277777777778</v>
      </c>
      <c r="I7" s="271">
        <v>45839.92361111111</v>
      </c>
      <c r="J7" s="272">
        <v>142.2</v>
      </c>
      <c r="K7" s="276" t="s">
        <v>2298</v>
      </c>
      <c r="L7" s="273" t="s">
        <v>2299</v>
      </c>
      <c r="M7" s="274" t="s">
        <v>2300</v>
      </c>
    </row>
    <row r="8" hidden="1">
      <c r="A8" s="265">
        <v>794848.0</v>
      </c>
      <c r="B8" s="265">
        <v>1.1096081E7</v>
      </c>
      <c r="C8" s="266" t="s">
        <v>43</v>
      </c>
      <c r="D8" s="265" t="s">
        <v>2295</v>
      </c>
      <c r="E8" s="267" t="s">
        <v>559</v>
      </c>
      <c r="F8" s="268" t="s">
        <v>2306</v>
      </c>
      <c r="G8" s="269">
        <v>45809.0</v>
      </c>
      <c r="H8" s="270">
        <v>0.75</v>
      </c>
      <c r="I8" s="277">
        <v>45870.5625</v>
      </c>
      <c r="J8" s="272" t="s">
        <v>2297</v>
      </c>
      <c r="K8" s="273" t="s">
        <v>2298</v>
      </c>
      <c r="L8" s="273" t="s">
        <v>2307</v>
      </c>
      <c r="M8" s="274" t="s">
        <v>2300</v>
      </c>
    </row>
    <row r="9" hidden="1">
      <c r="A9" s="265">
        <v>794854.0</v>
      </c>
      <c r="B9" s="265">
        <v>1.1106283E7</v>
      </c>
      <c r="C9" s="266" t="s">
        <v>31</v>
      </c>
      <c r="D9" s="265" t="s">
        <v>2308</v>
      </c>
      <c r="E9" s="278" t="s">
        <v>840</v>
      </c>
      <c r="F9" s="268" t="s">
        <v>2309</v>
      </c>
      <c r="G9" s="269">
        <v>45809.0</v>
      </c>
      <c r="H9" s="270">
        <v>0.9784722222222222</v>
      </c>
      <c r="I9" s="271">
        <v>45839.854166666664</v>
      </c>
      <c r="J9" s="272" t="s">
        <v>2310</v>
      </c>
      <c r="K9" s="273" t="s">
        <v>2298</v>
      </c>
      <c r="L9" s="273" t="s">
        <v>2299</v>
      </c>
      <c r="M9" s="274" t="s">
        <v>2300</v>
      </c>
    </row>
    <row r="10" hidden="1">
      <c r="A10" s="265">
        <v>794851.0</v>
      </c>
      <c r="B10" s="265">
        <v>1.1106284E7</v>
      </c>
      <c r="C10" s="266" t="s">
        <v>31</v>
      </c>
      <c r="D10" s="265" t="s">
        <v>2308</v>
      </c>
      <c r="E10" s="278" t="s">
        <v>841</v>
      </c>
      <c r="F10" s="268" t="s">
        <v>2000</v>
      </c>
      <c r="G10" s="269">
        <v>45809.0</v>
      </c>
      <c r="H10" s="270">
        <v>0.8381944444444445</v>
      </c>
      <c r="I10" s="271">
        <v>45839.743055555555</v>
      </c>
      <c r="J10" s="272" t="s">
        <v>2310</v>
      </c>
      <c r="K10" s="273" t="s">
        <v>2298</v>
      </c>
      <c r="L10" s="273" t="s">
        <v>2299</v>
      </c>
      <c r="M10" s="274" t="s">
        <v>2300</v>
      </c>
    </row>
    <row r="11" hidden="1">
      <c r="A11" s="265">
        <v>794856.0</v>
      </c>
      <c r="B11" s="265">
        <v>1.1115111E7</v>
      </c>
      <c r="C11" s="266" t="s">
        <v>31</v>
      </c>
      <c r="D11" s="265" t="s">
        <v>2295</v>
      </c>
      <c r="E11" s="267" t="s">
        <v>847</v>
      </c>
      <c r="F11" s="268" t="s">
        <v>2311</v>
      </c>
      <c r="G11" s="269">
        <v>45839.0</v>
      </c>
      <c r="H11" s="270">
        <v>0.7138888888888889</v>
      </c>
      <c r="I11" s="271">
        <v>45870.74652777778</v>
      </c>
      <c r="J11" s="275" t="s">
        <v>2297</v>
      </c>
      <c r="K11" s="273" t="s">
        <v>2298</v>
      </c>
      <c r="L11" s="273" t="s">
        <v>2299</v>
      </c>
      <c r="M11" s="274" t="s">
        <v>2300</v>
      </c>
    </row>
    <row r="12" hidden="1">
      <c r="A12" s="265">
        <v>794859.0</v>
      </c>
      <c r="B12" s="265">
        <v>1.111511E7</v>
      </c>
      <c r="C12" s="266" t="s">
        <v>31</v>
      </c>
      <c r="D12" s="265" t="s">
        <v>2295</v>
      </c>
      <c r="E12" s="267" t="s">
        <v>145</v>
      </c>
      <c r="F12" s="268" t="s">
        <v>1971</v>
      </c>
      <c r="G12" s="269">
        <v>45839.0</v>
      </c>
      <c r="H12" s="279">
        <v>45870.020682870374</v>
      </c>
      <c r="I12" s="271">
        <v>45901.791666666664</v>
      </c>
      <c r="J12" s="275" t="s">
        <v>2297</v>
      </c>
      <c r="K12" s="273" t="s">
        <v>2298</v>
      </c>
      <c r="L12" s="273" t="s">
        <v>2299</v>
      </c>
      <c r="M12" s="274" t="s">
        <v>2300</v>
      </c>
    </row>
    <row r="13" hidden="1">
      <c r="A13" s="265">
        <v>812171.0</v>
      </c>
      <c r="B13" s="265">
        <v>1.1118603E7</v>
      </c>
      <c r="C13" s="266" t="s">
        <v>31</v>
      </c>
      <c r="D13" s="265" t="s">
        <v>2295</v>
      </c>
      <c r="E13" s="267" t="s">
        <v>855</v>
      </c>
      <c r="F13" s="268" t="s">
        <v>2312</v>
      </c>
      <c r="G13" s="269">
        <v>45870.0</v>
      </c>
      <c r="H13" s="280">
        <v>0.48574074074074075</v>
      </c>
      <c r="I13" s="271">
        <v>45901.552083333336</v>
      </c>
      <c r="J13" s="272">
        <v>166.8</v>
      </c>
      <c r="K13" s="276" t="s">
        <v>2298</v>
      </c>
      <c r="L13" s="273" t="s">
        <v>2299</v>
      </c>
      <c r="M13" s="274" t="s">
        <v>2300</v>
      </c>
    </row>
    <row r="14" hidden="1">
      <c r="A14" s="265">
        <v>812173.0</v>
      </c>
      <c r="B14" s="265">
        <v>1.1118602E7</v>
      </c>
      <c r="C14" s="266" t="s">
        <v>31</v>
      </c>
      <c r="D14" s="265" t="s">
        <v>2295</v>
      </c>
      <c r="E14" s="267" t="s">
        <v>530</v>
      </c>
      <c r="F14" s="268" t="s">
        <v>2313</v>
      </c>
      <c r="G14" s="269">
        <v>45870.0</v>
      </c>
      <c r="H14" s="280">
        <v>0.7289814814814815</v>
      </c>
      <c r="I14" s="271">
        <v>45931.791666666664</v>
      </c>
      <c r="J14" s="275" t="s">
        <v>2297</v>
      </c>
      <c r="K14" s="276" t="s">
        <v>2298</v>
      </c>
      <c r="L14" s="273" t="s">
        <v>2299</v>
      </c>
      <c r="M14" s="274" t="s">
        <v>2300</v>
      </c>
    </row>
    <row r="15" hidden="1">
      <c r="A15" s="265">
        <v>785785.0</v>
      </c>
      <c r="B15" s="265">
        <v>1.111943E7</v>
      </c>
      <c r="C15" s="266" t="s">
        <v>43</v>
      </c>
      <c r="D15" s="265" t="s">
        <v>2295</v>
      </c>
      <c r="E15" s="267" t="s">
        <v>863</v>
      </c>
      <c r="F15" s="268" t="s">
        <v>2303</v>
      </c>
      <c r="G15" s="269">
        <v>45870.0</v>
      </c>
      <c r="H15" s="279">
        <v>45901.07701388889</v>
      </c>
      <c r="I15" s="271">
        <v>45931.072916666664</v>
      </c>
      <c r="J15" s="275" t="s">
        <v>2297</v>
      </c>
      <c r="K15" s="273" t="s">
        <v>2298</v>
      </c>
      <c r="L15" s="273" t="s">
        <v>2314</v>
      </c>
      <c r="M15" s="274" t="s">
        <v>2300</v>
      </c>
    </row>
    <row r="16" hidden="1">
      <c r="A16" s="265">
        <v>796463.0</v>
      </c>
      <c r="B16" s="265">
        <v>1.1121906E7</v>
      </c>
      <c r="C16" s="266" t="s">
        <v>31</v>
      </c>
      <c r="D16" s="281" t="s">
        <v>2315</v>
      </c>
      <c r="E16" s="281" t="s">
        <v>441</v>
      </c>
      <c r="F16" s="268" t="s">
        <v>2316</v>
      </c>
      <c r="G16" s="269">
        <v>45901.0</v>
      </c>
      <c r="H16" s="280">
        <v>0.5743634259259259</v>
      </c>
      <c r="I16" s="282" t="s">
        <v>865</v>
      </c>
      <c r="J16" s="283" t="s">
        <v>2317</v>
      </c>
      <c r="K16" s="273" t="s">
        <v>2298</v>
      </c>
      <c r="L16" s="273" t="s">
        <v>2299</v>
      </c>
      <c r="M16" s="274" t="s">
        <v>2300</v>
      </c>
    </row>
    <row r="17" hidden="1">
      <c r="A17" s="265">
        <v>812176.0</v>
      </c>
      <c r="B17" s="265">
        <v>1.111887E7</v>
      </c>
      <c r="C17" s="266" t="s">
        <v>31</v>
      </c>
      <c r="D17" s="265" t="s">
        <v>2315</v>
      </c>
      <c r="E17" s="281" t="s">
        <v>856</v>
      </c>
      <c r="F17" s="268" t="s">
        <v>2000</v>
      </c>
      <c r="G17" s="269">
        <v>45901.0</v>
      </c>
      <c r="H17" s="280">
        <v>0.7496759259259259</v>
      </c>
      <c r="I17" s="282" t="s">
        <v>857</v>
      </c>
      <c r="J17" s="283" t="s">
        <v>2318</v>
      </c>
      <c r="K17" s="276" t="s">
        <v>2298</v>
      </c>
      <c r="L17" s="273" t="s">
        <v>2299</v>
      </c>
      <c r="M17" s="274" t="s">
        <v>2300</v>
      </c>
    </row>
    <row r="18" hidden="1">
      <c r="A18" s="265">
        <v>812182.0</v>
      </c>
      <c r="B18" s="265">
        <v>1.1126308E7</v>
      </c>
      <c r="C18" s="266" t="s">
        <v>31</v>
      </c>
      <c r="D18" s="265" t="s">
        <v>2295</v>
      </c>
      <c r="E18" s="267" t="s">
        <v>618</v>
      </c>
      <c r="F18" s="268" t="s">
        <v>2319</v>
      </c>
      <c r="G18" s="269">
        <v>45901.0</v>
      </c>
      <c r="H18" s="280">
        <v>0.6362037037037037</v>
      </c>
      <c r="I18" s="282" t="s">
        <v>877</v>
      </c>
      <c r="J18" s="275">
        <v>257.72</v>
      </c>
      <c r="K18" s="276" t="s">
        <v>2298</v>
      </c>
      <c r="L18" s="273" t="s">
        <v>2299</v>
      </c>
      <c r="M18" s="274" t="s">
        <v>2300</v>
      </c>
    </row>
    <row r="19" hidden="1">
      <c r="A19" s="265">
        <v>812184.0</v>
      </c>
      <c r="B19" s="265">
        <v>1.1122074E7</v>
      </c>
      <c r="C19" s="266" t="s">
        <v>31</v>
      </c>
      <c r="D19" s="265" t="s">
        <v>2315</v>
      </c>
      <c r="E19" s="281" t="s">
        <v>495</v>
      </c>
      <c r="F19" s="268" t="s">
        <v>2302</v>
      </c>
      <c r="G19" s="269">
        <v>45901.0</v>
      </c>
      <c r="H19" s="280">
        <v>0.8640277777777777</v>
      </c>
      <c r="I19" s="282" t="s">
        <v>871</v>
      </c>
      <c r="J19" s="283">
        <v>202.25</v>
      </c>
      <c r="K19" s="276" t="s">
        <v>2298</v>
      </c>
      <c r="L19" s="273" t="s">
        <v>2299</v>
      </c>
      <c r="M19" s="274" t="s">
        <v>2300</v>
      </c>
    </row>
    <row r="20" hidden="1">
      <c r="A20" s="284">
        <v>788428.0</v>
      </c>
      <c r="B20" s="265">
        <v>1.1119431E7</v>
      </c>
      <c r="C20" s="266" t="s">
        <v>31</v>
      </c>
      <c r="D20" s="265" t="s">
        <v>2295</v>
      </c>
      <c r="E20" s="267" t="s">
        <v>481</v>
      </c>
      <c r="F20" s="268" t="s">
        <v>2320</v>
      </c>
      <c r="G20" s="284" t="s">
        <v>860</v>
      </c>
      <c r="H20" s="280">
        <v>0.6056712962962963</v>
      </c>
      <c r="I20" s="282" t="s">
        <v>862</v>
      </c>
      <c r="J20" s="285" t="s">
        <v>2297</v>
      </c>
      <c r="K20" s="286" t="s">
        <v>2321</v>
      </c>
      <c r="L20" s="273" t="s">
        <v>2322</v>
      </c>
      <c r="M20" s="274" t="s">
        <v>2323</v>
      </c>
    </row>
    <row r="21" hidden="1">
      <c r="A21" s="284">
        <v>788433.0</v>
      </c>
      <c r="B21" s="265">
        <v>1.1119429E7</v>
      </c>
      <c r="C21" s="266" t="s">
        <v>31</v>
      </c>
      <c r="D21" s="265" t="s">
        <v>2295</v>
      </c>
      <c r="E21" s="267" t="s">
        <v>559</v>
      </c>
      <c r="F21" s="268" t="s">
        <v>2306</v>
      </c>
      <c r="G21" s="284" t="s">
        <v>860</v>
      </c>
      <c r="H21" s="280">
        <v>0.8457986111111111</v>
      </c>
      <c r="I21" s="282" t="s">
        <v>862</v>
      </c>
      <c r="J21" s="285" t="s">
        <v>2297</v>
      </c>
      <c r="K21" s="286" t="s">
        <v>2321</v>
      </c>
      <c r="L21" s="273" t="s">
        <v>2324</v>
      </c>
      <c r="M21" s="274" t="s">
        <v>2323</v>
      </c>
    </row>
    <row r="22" hidden="1">
      <c r="A22" s="265">
        <v>788443.0</v>
      </c>
      <c r="B22" s="265">
        <v>1.1126514E7</v>
      </c>
      <c r="C22" s="266" t="s">
        <v>43</v>
      </c>
      <c r="D22" s="265" t="s">
        <v>2295</v>
      </c>
      <c r="E22" s="267" t="s">
        <v>2325</v>
      </c>
      <c r="F22" s="268" t="s">
        <v>2326</v>
      </c>
      <c r="G22" s="284" t="s">
        <v>860</v>
      </c>
      <c r="H22" s="280">
        <v>0.2865625</v>
      </c>
      <c r="I22" s="267" t="s">
        <v>886</v>
      </c>
      <c r="J22" s="285" t="s">
        <v>2297</v>
      </c>
      <c r="K22" s="286" t="s">
        <v>2321</v>
      </c>
      <c r="L22" s="287"/>
      <c r="M22" s="274" t="s">
        <v>2323</v>
      </c>
    </row>
    <row r="23" hidden="1">
      <c r="A23" s="265">
        <v>800515.0</v>
      </c>
      <c r="B23" s="265">
        <v>1.1126513E7</v>
      </c>
      <c r="C23" s="266" t="s">
        <v>43</v>
      </c>
      <c r="D23" s="265" t="s">
        <v>2327</v>
      </c>
      <c r="E23" s="267" t="s">
        <v>2328</v>
      </c>
      <c r="F23" s="268" t="s">
        <v>2329</v>
      </c>
      <c r="G23" s="284" t="s">
        <v>2330</v>
      </c>
      <c r="H23" s="288">
        <v>0.0</v>
      </c>
      <c r="I23" s="265" t="s">
        <v>880</v>
      </c>
      <c r="J23" s="275" t="s">
        <v>2297</v>
      </c>
      <c r="K23" s="276" t="s">
        <v>2298</v>
      </c>
      <c r="L23" s="287" t="s">
        <v>2299</v>
      </c>
      <c r="M23" s="289" t="s">
        <v>2300</v>
      </c>
    </row>
    <row r="24" hidden="1">
      <c r="A24" s="265">
        <v>795472.0</v>
      </c>
      <c r="B24" s="265">
        <v>1.1137473E7</v>
      </c>
      <c r="C24" s="266" t="s">
        <v>31</v>
      </c>
      <c r="D24" s="265" t="s">
        <v>2331</v>
      </c>
      <c r="E24" s="265" t="s">
        <v>888</v>
      </c>
      <c r="F24" s="265" t="s">
        <v>1936</v>
      </c>
      <c r="G24" s="265" t="s">
        <v>887</v>
      </c>
      <c r="H24" s="265" t="s">
        <v>2332</v>
      </c>
      <c r="I24" s="265" t="s">
        <v>891</v>
      </c>
      <c r="J24" s="275" t="s">
        <v>2297</v>
      </c>
      <c r="K24" s="273" t="s">
        <v>2298</v>
      </c>
      <c r="L24" s="287" t="s">
        <v>2299</v>
      </c>
      <c r="M24" s="289" t="s">
        <v>2300</v>
      </c>
    </row>
    <row r="25" hidden="1">
      <c r="A25" s="265">
        <v>795479.0</v>
      </c>
      <c r="B25" s="265">
        <v>1.1145471E7</v>
      </c>
      <c r="C25" s="266" t="s">
        <v>31</v>
      </c>
      <c r="D25" s="265" t="s">
        <v>2333</v>
      </c>
      <c r="E25" s="265" t="s">
        <v>441</v>
      </c>
      <c r="F25" s="265" t="s">
        <v>2316</v>
      </c>
      <c r="G25" s="265" t="s">
        <v>887</v>
      </c>
      <c r="H25" s="265" t="s">
        <v>2334</v>
      </c>
      <c r="I25" s="265" t="s">
        <v>899</v>
      </c>
      <c r="J25" s="275" t="s">
        <v>2297</v>
      </c>
      <c r="K25" s="273" t="s">
        <v>2298</v>
      </c>
      <c r="L25" s="287" t="s">
        <v>2299</v>
      </c>
      <c r="M25" s="289" t="s">
        <v>2300</v>
      </c>
    </row>
    <row r="26" hidden="1">
      <c r="A26" s="265">
        <v>801383.0</v>
      </c>
      <c r="B26" s="265">
        <v>1.1150944E7</v>
      </c>
      <c r="C26" s="266" t="s">
        <v>31</v>
      </c>
      <c r="D26" s="265" t="s">
        <v>2335</v>
      </c>
      <c r="E26" s="265" t="s">
        <v>874</v>
      </c>
      <c r="F26" s="265" t="s">
        <v>2336</v>
      </c>
      <c r="G26" s="265" t="s">
        <v>902</v>
      </c>
      <c r="H26" s="288">
        <v>0.4652777777777778</v>
      </c>
      <c r="I26" s="265" t="s">
        <v>909</v>
      </c>
      <c r="J26" s="275" t="s">
        <v>2337</v>
      </c>
      <c r="K26" s="273" t="s">
        <v>2298</v>
      </c>
      <c r="L26" s="287" t="s">
        <v>2299</v>
      </c>
      <c r="M26" s="289" t="s">
        <v>2300</v>
      </c>
    </row>
    <row r="27" hidden="1">
      <c r="A27" s="265">
        <v>801296.0</v>
      </c>
      <c r="B27" s="265">
        <v>1.1158161E7</v>
      </c>
      <c r="C27" s="266" t="s">
        <v>43</v>
      </c>
      <c r="D27" s="265" t="s">
        <v>2295</v>
      </c>
      <c r="E27" s="265" t="s">
        <v>888</v>
      </c>
      <c r="F27" s="265" t="s">
        <v>1936</v>
      </c>
      <c r="G27" s="265" t="s">
        <v>912</v>
      </c>
      <c r="H27" s="288">
        <v>0.5</v>
      </c>
      <c r="I27" s="265" t="s">
        <v>917</v>
      </c>
      <c r="J27" s="275" t="s">
        <v>2297</v>
      </c>
      <c r="K27" s="273" t="s">
        <v>2298</v>
      </c>
      <c r="L27" s="273" t="s">
        <v>2314</v>
      </c>
      <c r="M27" s="289" t="s">
        <v>2300</v>
      </c>
    </row>
    <row r="28" hidden="1">
      <c r="A28" s="265">
        <v>816639.0</v>
      </c>
      <c r="B28" s="284">
        <v>1.1164287E7</v>
      </c>
      <c r="C28" s="266" t="s">
        <v>31</v>
      </c>
      <c r="D28" s="265" t="s">
        <v>2333</v>
      </c>
      <c r="E28" s="265" t="s">
        <v>659</v>
      </c>
      <c r="F28" s="265" t="s">
        <v>2306</v>
      </c>
      <c r="G28" s="265" t="s">
        <v>944</v>
      </c>
      <c r="H28" s="288">
        <v>0.6180555555555556</v>
      </c>
      <c r="I28" s="265" t="s">
        <v>2338</v>
      </c>
      <c r="J28" s="275">
        <v>216.39</v>
      </c>
      <c r="K28" s="273" t="s">
        <v>2298</v>
      </c>
      <c r="L28" s="290" t="s">
        <v>2299</v>
      </c>
      <c r="M28" s="289" t="s">
        <v>2300</v>
      </c>
    </row>
    <row r="29" hidden="1">
      <c r="A29" s="265">
        <v>801393.0</v>
      </c>
      <c r="B29" s="284">
        <v>1.1166707E7</v>
      </c>
      <c r="C29" s="266" t="s">
        <v>31</v>
      </c>
      <c r="D29" s="265" t="s">
        <v>2331</v>
      </c>
      <c r="E29" s="265" t="s">
        <v>962</v>
      </c>
      <c r="F29" s="265" t="s">
        <v>1969</v>
      </c>
      <c r="G29" s="265" t="s">
        <v>961</v>
      </c>
      <c r="H29" s="288">
        <v>0.7847222222222222</v>
      </c>
      <c r="I29" s="265" t="s">
        <v>965</v>
      </c>
      <c r="J29" s="275" t="s">
        <v>2297</v>
      </c>
      <c r="K29" s="273" t="s">
        <v>2298</v>
      </c>
      <c r="L29" s="287" t="s">
        <v>2299</v>
      </c>
      <c r="M29" s="289" t="s">
        <v>2300</v>
      </c>
    </row>
    <row r="30" hidden="1">
      <c r="A30" s="265">
        <v>816632.0</v>
      </c>
      <c r="B30" s="265">
        <v>1.1161662E7</v>
      </c>
      <c r="C30" s="266" t="s">
        <v>43</v>
      </c>
      <c r="D30" s="265" t="s">
        <v>2339</v>
      </c>
      <c r="E30" s="284" t="s">
        <v>927</v>
      </c>
      <c r="F30" s="284" t="s">
        <v>927</v>
      </c>
      <c r="G30" s="265" t="s">
        <v>951</v>
      </c>
      <c r="H30" s="288">
        <v>0.6041666666666666</v>
      </c>
      <c r="I30" s="284" t="s">
        <v>2340</v>
      </c>
      <c r="J30" s="291" t="s">
        <v>2341</v>
      </c>
      <c r="K30" s="273" t="s">
        <v>2298</v>
      </c>
      <c r="L30" s="290" t="s">
        <v>2299</v>
      </c>
      <c r="M30" s="289" t="s">
        <v>2300</v>
      </c>
    </row>
    <row r="31" hidden="1">
      <c r="A31" s="284">
        <v>816647.0</v>
      </c>
      <c r="B31" s="265">
        <v>1.1161669E7</v>
      </c>
      <c r="C31" s="266" t="s">
        <v>43</v>
      </c>
      <c r="D31" s="265" t="s">
        <v>2342</v>
      </c>
      <c r="E31" s="284" t="s">
        <v>927</v>
      </c>
      <c r="F31" s="284" t="s">
        <v>927</v>
      </c>
      <c r="G31" s="284" t="s">
        <v>2343</v>
      </c>
      <c r="H31" s="288">
        <v>0.4756944444444444</v>
      </c>
      <c r="I31" s="292">
        <v>45718.40972222222</v>
      </c>
      <c r="J31" s="291" t="s">
        <v>2344</v>
      </c>
      <c r="K31" s="273" t="s">
        <v>2298</v>
      </c>
      <c r="L31" s="290" t="s">
        <v>2299</v>
      </c>
      <c r="M31" s="289" t="s">
        <v>2300</v>
      </c>
    </row>
    <row r="32" hidden="1">
      <c r="A32" s="284">
        <v>805114.0</v>
      </c>
      <c r="B32" s="284">
        <v>1.1172544E7</v>
      </c>
      <c r="C32" s="266" t="s">
        <v>31</v>
      </c>
      <c r="D32" s="284" t="s">
        <v>2333</v>
      </c>
      <c r="E32" s="284" t="s">
        <v>495</v>
      </c>
      <c r="F32" s="284" t="s">
        <v>2302</v>
      </c>
      <c r="G32" s="284" t="s">
        <v>975</v>
      </c>
      <c r="H32" s="288">
        <v>0.7291666666666666</v>
      </c>
      <c r="I32" s="292">
        <v>45659.041666666664</v>
      </c>
      <c r="J32" s="275" t="s">
        <v>2297</v>
      </c>
      <c r="K32" s="273" t="s">
        <v>2298</v>
      </c>
      <c r="L32" s="290" t="s">
        <v>2299</v>
      </c>
      <c r="M32" s="289" t="s">
        <v>2300</v>
      </c>
    </row>
    <row r="33" hidden="1">
      <c r="A33" s="265">
        <v>813902.0</v>
      </c>
      <c r="B33" s="265">
        <v>1.1180189E7</v>
      </c>
      <c r="C33" s="266" t="s">
        <v>31</v>
      </c>
      <c r="D33" s="265" t="s">
        <v>2345</v>
      </c>
      <c r="E33" s="284" t="s">
        <v>441</v>
      </c>
      <c r="F33" s="284" t="s">
        <v>2316</v>
      </c>
      <c r="G33" s="265" t="s">
        <v>2346</v>
      </c>
      <c r="H33" s="288">
        <v>0.7708333333333334</v>
      </c>
      <c r="I33" s="292">
        <v>45659.166666666664</v>
      </c>
      <c r="J33" s="291">
        <v>82.65</v>
      </c>
      <c r="K33" s="273" t="s">
        <v>2298</v>
      </c>
      <c r="L33" s="290" t="s">
        <v>2299</v>
      </c>
      <c r="M33" s="289" t="s">
        <v>2300</v>
      </c>
    </row>
    <row r="34" hidden="1">
      <c r="A34" s="284"/>
      <c r="B34" s="293">
        <v>1.1182101E7</v>
      </c>
      <c r="C34" s="266" t="s">
        <v>43</v>
      </c>
      <c r="D34" s="284" t="s">
        <v>2347</v>
      </c>
      <c r="E34" s="284" t="s">
        <v>995</v>
      </c>
      <c r="F34" s="284" t="s">
        <v>2348</v>
      </c>
      <c r="G34" s="284" t="s">
        <v>951</v>
      </c>
      <c r="H34" s="288">
        <v>0.5833333333333334</v>
      </c>
      <c r="I34" s="294" t="s">
        <v>996</v>
      </c>
      <c r="J34" s="295"/>
      <c r="K34" s="276" t="s">
        <v>2321</v>
      </c>
      <c r="L34" s="296"/>
      <c r="M34" s="289" t="s">
        <v>2323</v>
      </c>
    </row>
    <row r="35" hidden="1">
      <c r="A35" s="265"/>
      <c r="B35" s="297">
        <v>1.1182104E7</v>
      </c>
      <c r="C35" s="266" t="s">
        <v>43</v>
      </c>
      <c r="D35" s="284" t="s">
        <v>2349</v>
      </c>
      <c r="E35" s="284" t="s">
        <v>995</v>
      </c>
      <c r="F35" s="284" t="s">
        <v>2348</v>
      </c>
      <c r="G35" s="269">
        <v>45659.0</v>
      </c>
      <c r="H35" s="288">
        <v>0.4166666666666667</v>
      </c>
      <c r="I35" s="298">
        <v>45718.395833333336</v>
      </c>
      <c r="J35" s="295"/>
      <c r="K35" s="276" t="s">
        <v>2321</v>
      </c>
      <c r="L35" s="296"/>
      <c r="M35" s="289" t="s">
        <v>2323</v>
      </c>
    </row>
    <row r="36" hidden="1">
      <c r="A36" s="265"/>
      <c r="B36" s="265">
        <v>1.1180188E7</v>
      </c>
      <c r="C36" s="266" t="s">
        <v>31</v>
      </c>
      <c r="D36" s="265" t="s">
        <v>2345</v>
      </c>
      <c r="E36" s="284" t="s">
        <v>982</v>
      </c>
      <c r="F36" s="284" t="s">
        <v>2350</v>
      </c>
      <c r="G36" s="265" t="s">
        <v>980</v>
      </c>
      <c r="H36" s="288">
        <v>0.7916666666666666</v>
      </c>
      <c r="I36" s="298">
        <v>45718.166666666664</v>
      </c>
      <c r="J36" s="295" t="s">
        <v>2351</v>
      </c>
      <c r="K36" s="296" t="s">
        <v>2321</v>
      </c>
      <c r="L36" s="296"/>
      <c r="M36" s="289" t="s">
        <v>2323</v>
      </c>
    </row>
    <row r="37" hidden="1">
      <c r="A37" s="265">
        <v>805126.0</v>
      </c>
      <c r="B37" s="265">
        <v>1.1182762E7</v>
      </c>
      <c r="C37" s="266" t="s">
        <v>31</v>
      </c>
      <c r="D37" s="265" t="s">
        <v>2352</v>
      </c>
      <c r="E37" s="265" t="s">
        <v>145</v>
      </c>
      <c r="F37" s="265" t="s">
        <v>2353</v>
      </c>
      <c r="G37" s="284" t="s">
        <v>980</v>
      </c>
      <c r="H37" s="288">
        <v>0.20833333333333334</v>
      </c>
      <c r="I37" s="299">
        <v>45718.291666666664</v>
      </c>
      <c r="J37" s="275" t="s">
        <v>2354</v>
      </c>
      <c r="K37" s="276" t="s">
        <v>2298</v>
      </c>
      <c r="L37" s="276" t="s">
        <v>2355</v>
      </c>
      <c r="M37" s="289" t="s">
        <v>2300</v>
      </c>
    </row>
    <row r="38" hidden="1">
      <c r="A38" s="265"/>
      <c r="B38" s="265">
        <v>1.1170686E7</v>
      </c>
      <c r="C38" s="266" t="s">
        <v>31</v>
      </c>
      <c r="D38" s="265" t="s">
        <v>2295</v>
      </c>
      <c r="E38" s="265" t="s">
        <v>2356</v>
      </c>
      <c r="F38" s="265" t="s">
        <v>2357</v>
      </c>
      <c r="G38" s="269">
        <v>45718.0</v>
      </c>
      <c r="H38" s="288">
        <v>0.0</v>
      </c>
      <c r="I38" s="300">
        <v>45779.479166666664</v>
      </c>
      <c r="J38" s="285"/>
      <c r="K38" s="296" t="s">
        <v>2358</v>
      </c>
      <c r="L38" s="296" t="s">
        <v>2359</v>
      </c>
      <c r="M38" s="289" t="s">
        <v>2323</v>
      </c>
    </row>
    <row r="39" hidden="1">
      <c r="A39" s="265">
        <v>813915.0</v>
      </c>
      <c r="B39" s="265">
        <v>1.1186826E7</v>
      </c>
      <c r="C39" s="266" t="s">
        <v>31</v>
      </c>
      <c r="D39" s="265" t="s">
        <v>2295</v>
      </c>
      <c r="E39" s="284" t="s">
        <v>1002</v>
      </c>
      <c r="F39" s="284" t="s">
        <v>2360</v>
      </c>
      <c r="G39" s="269">
        <v>45718.0</v>
      </c>
      <c r="H39" s="288">
        <v>0.0</v>
      </c>
      <c r="I39" s="292">
        <v>45749.916666666664</v>
      </c>
      <c r="J39" s="275">
        <v>104.19</v>
      </c>
      <c r="K39" s="276" t="s">
        <v>2298</v>
      </c>
      <c r="L39" s="276" t="s">
        <v>2355</v>
      </c>
      <c r="M39" s="289" t="s">
        <v>2300</v>
      </c>
    </row>
    <row r="40" hidden="1">
      <c r="A40" s="265">
        <v>813919.0</v>
      </c>
      <c r="B40" s="265">
        <v>1.118564E7</v>
      </c>
      <c r="C40" s="266" t="s">
        <v>31</v>
      </c>
      <c r="D40" s="265" t="s">
        <v>2333</v>
      </c>
      <c r="E40" s="265" t="s">
        <v>704</v>
      </c>
      <c r="F40" s="265" t="s">
        <v>2361</v>
      </c>
      <c r="G40" s="269">
        <v>45779.0</v>
      </c>
      <c r="H40" s="288">
        <v>0.0</v>
      </c>
      <c r="I40" s="299">
        <v>45840.541666666664</v>
      </c>
      <c r="J40" s="275">
        <v>68.66</v>
      </c>
      <c r="K40" s="276" t="s">
        <v>2298</v>
      </c>
      <c r="L40" s="276" t="s">
        <v>2355</v>
      </c>
      <c r="M40" s="289" t="s">
        <v>2300</v>
      </c>
    </row>
    <row r="41" hidden="1">
      <c r="A41" s="265">
        <v>823853.0</v>
      </c>
      <c r="B41" s="265">
        <v>1.11967E7</v>
      </c>
      <c r="C41" s="266" t="s">
        <v>31</v>
      </c>
      <c r="D41" s="265" t="s">
        <v>2295</v>
      </c>
      <c r="E41" s="265" t="s">
        <v>1012</v>
      </c>
      <c r="F41" s="265" t="s">
        <v>2362</v>
      </c>
      <c r="G41" s="269">
        <v>45810.0</v>
      </c>
      <c r="H41" s="288">
        <v>0.0</v>
      </c>
      <c r="I41" s="300">
        <v>45963.989583333336</v>
      </c>
      <c r="J41" s="285" t="s">
        <v>2363</v>
      </c>
      <c r="K41" s="276" t="s">
        <v>2298</v>
      </c>
      <c r="L41" s="273"/>
      <c r="M41" s="289" t="s">
        <v>2323</v>
      </c>
    </row>
    <row r="42" hidden="1">
      <c r="A42" s="265">
        <v>813925.0</v>
      </c>
      <c r="B42" s="265">
        <v>1.1193294E7</v>
      </c>
      <c r="C42" s="266" t="s">
        <v>31</v>
      </c>
      <c r="D42" s="265" t="s">
        <v>2331</v>
      </c>
      <c r="E42" s="265" t="s">
        <v>166</v>
      </c>
      <c r="F42" s="265" t="s">
        <v>2364</v>
      </c>
      <c r="G42" s="269">
        <v>45840.0</v>
      </c>
      <c r="H42" s="288">
        <v>0.0</v>
      </c>
      <c r="I42" s="299">
        <v>45932.25</v>
      </c>
      <c r="J42" s="275">
        <v>208.19</v>
      </c>
      <c r="K42" s="276" t="s">
        <v>2298</v>
      </c>
      <c r="L42" s="276" t="s">
        <v>2355</v>
      </c>
      <c r="M42" s="289" t="s">
        <v>2300</v>
      </c>
    </row>
    <row r="43" hidden="1">
      <c r="A43" s="265">
        <v>814063.0</v>
      </c>
      <c r="B43" s="265">
        <v>1.1193293E7</v>
      </c>
      <c r="C43" s="266" t="s">
        <v>31</v>
      </c>
      <c r="D43" s="265" t="s">
        <v>2365</v>
      </c>
      <c r="E43" s="265" t="s">
        <v>1004</v>
      </c>
      <c r="F43" s="265" t="s">
        <v>2336</v>
      </c>
      <c r="G43" s="269">
        <v>45871.0</v>
      </c>
      <c r="H43" s="288">
        <v>0.0</v>
      </c>
      <c r="I43" s="299">
        <v>45932.25</v>
      </c>
      <c r="J43" s="275">
        <v>49.59</v>
      </c>
      <c r="K43" s="276" t="s">
        <v>2298</v>
      </c>
      <c r="L43" s="276" t="s">
        <v>2355</v>
      </c>
      <c r="M43" s="289" t="s">
        <v>2300</v>
      </c>
    </row>
    <row r="44" hidden="1">
      <c r="A44" s="265">
        <v>814065.0</v>
      </c>
      <c r="B44" s="265">
        <v>1.1193478E7</v>
      </c>
      <c r="C44" s="266" t="s">
        <v>31</v>
      </c>
      <c r="D44" s="265" t="s">
        <v>2365</v>
      </c>
      <c r="E44" s="265" t="s">
        <v>1008</v>
      </c>
      <c r="F44" s="265" t="s">
        <v>1985</v>
      </c>
      <c r="G44" s="269">
        <v>45871.0</v>
      </c>
      <c r="H44" s="288">
        <v>0.0</v>
      </c>
      <c r="I44" s="299">
        <v>45932.25</v>
      </c>
      <c r="J44" s="275">
        <v>49.59</v>
      </c>
      <c r="K44" s="276" t="s">
        <v>2298</v>
      </c>
      <c r="L44" s="276" t="s">
        <v>2355</v>
      </c>
      <c r="M44" s="289" t="s">
        <v>2300</v>
      </c>
    </row>
    <row r="45" hidden="1">
      <c r="A45" s="265"/>
      <c r="B45" s="265">
        <v>1.1197335E7</v>
      </c>
      <c r="C45" s="266" t="s">
        <v>31</v>
      </c>
      <c r="D45" s="265" t="s">
        <v>2295</v>
      </c>
      <c r="E45" s="265" t="s">
        <v>982</v>
      </c>
      <c r="F45" s="265" t="s">
        <v>2350</v>
      </c>
      <c r="G45" s="269">
        <v>45932.0</v>
      </c>
      <c r="H45" s="288">
        <v>0.0</v>
      </c>
      <c r="I45" s="300">
        <v>45993.45138888889</v>
      </c>
      <c r="J45" s="301"/>
      <c r="K45" s="296" t="s">
        <v>2321</v>
      </c>
      <c r="L45" s="296"/>
      <c r="M45" s="289" t="s">
        <v>2323</v>
      </c>
    </row>
    <row r="46" hidden="1">
      <c r="A46" s="265"/>
      <c r="B46" s="265">
        <v>1.1197334E7</v>
      </c>
      <c r="C46" s="266" t="s">
        <v>31</v>
      </c>
      <c r="D46" s="265" t="s">
        <v>2295</v>
      </c>
      <c r="E46" s="265" t="s">
        <v>989</v>
      </c>
      <c r="F46" s="265" t="s">
        <v>2366</v>
      </c>
      <c r="G46" s="269">
        <v>45932.0</v>
      </c>
      <c r="H46" s="288">
        <v>0.0</v>
      </c>
      <c r="I46" s="300">
        <v>45963.569444444445</v>
      </c>
      <c r="J46" s="301"/>
      <c r="K46" s="296" t="s">
        <v>2358</v>
      </c>
      <c r="L46" s="296"/>
      <c r="M46" s="289" t="s">
        <v>2323</v>
      </c>
    </row>
    <row r="47" hidden="1">
      <c r="A47" s="265"/>
      <c r="B47" s="265">
        <v>1.1200286E7</v>
      </c>
      <c r="C47" s="266" t="s">
        <v>31</v>
      </c>
      <c r="D47" s="265" t="s">
        <v>2333</v>
      </c>
      <c r="E47" s="265" t="s">
        <v>1015</v>
      </c>
      <c r="F47" s="265" t="s">
        <v>1890</v>
      </c>
      <c r="G47" s="269">
        <v>45932.0</v>
      </c>
      <c r="H47" s="288">
        <v>0.0</v>
      </c>
      <c r="I47" s="300">
        <v>45993.583333333336</v>
      </c>
      <c r="J47" s="301"/>
      <c r="K47" s="296" t="s">
        <v>2358</v>
      </c>
      <c r="L47" s="296" t="s">
        <v>2367</v>
      </c>
      <c r="M47" s="289" t="s">
        <v>2323</v>
      </c>
    </row>
    <row r="48" hidden="1">
      <c r="A48" s="265">
        <v>827159.0</v>
      </c>
      <c r="B48" s="284">
        <v>1.1197344E7</v>
      </c>
      <c r="C48" s="266" t="s">
        <v>31</v>
      </c>
      <c r="D48" s="265" t="s">
        <v>2295</v>
      </c>
      <c r="E48" s="265" t="s">
        <v>1002</v>
      </c>
      <c r="F48" s="265" t="s">
        <v>2360</v>
      </c>
      <c r="G48" s="269">
        <v>45932.0</v>
      </c>
      <c r="H48" s="288">
        <v>0.0</v>
      </c>
      <c r="I48" s="300">
        <v>45963.979166666664</v>
      </c>
      <c r="J48" s="285" t="s">
        <v>2368</v>
      </c>
      <c r="K48" s="276" t="s">
        <v>2298</v>
      </c>
      <c r="L48" s="286"/>
      <c r="M48" s="289" t="s">
        <v>2323</v>
      </c>
    </row>
    <row r="49" hidden="1">
      <c r="A49" s="281"/>
      <c r="B49" s="265">
        <v>1.1197403E7</v>
      </c>
      <c r="C49" s="302" t="s">
        <v>31</v>
      </c>
      <c r="D49" s="265" t="s">
        <v>2295</v>
      </c>
      <c r="E49" s="265" t="s">
        <v>729</v>
      </c>
      <c r="F49" s="265" t="s">
        <v>2369</v>
      </c>
      <c r="G49" s="269">
        <v>45963.0</v>
      </c>
      <c r="H49" s="288">
        <v>0.375</v>
      </c>
      <c r="I49" s="273" t="s">
        <v>1014</v>
      </c>
      <c r="J49" s="301"/>
      <c r="K49" s="296" t="s">
        <v>2321</v>
      </c>
      <c r="L49" s="286" t="s">
        <v>2370</v>
      </c>
      <c r="M49" s="289" t="s">
        <v>2323</v>
      </c>
    </row>
    <row r="50" hidden="1">
      <c r="A50" s="281">
        <v>814839.0</v>
      </c>
      <c r="B50" s="265">
        <v>1.1204232E7</v>
      </c>
      <c r="C50" s="302" t="s">
        <v>31</v>
      </c>
      <c r="D50" s="265" t="s">
        <v>2295</v>
      </c>
      <c r="E50" s="265" t="s">
        <v>1008</v>
      </c>
      <c r="F50" s="265" t="s">
        <v>1985</v>
      </c>
      <c r="G50" s="269">
        <v>45993.0</v>
      </c>
      <c r="H50" s="288">
        <v>0.20833333333333334</v>
      </c>
      <c r="I50" s="265" t="s">
        <v>1027</v>
      </c>
      <c r="J50" s="275">
        <v>213.0</v>
      </c>
      <c r="K50" s="276" t="s">
        <v>2298</v>
      </c>
      <c r="L50" s="276" t="s">
        <v>2355</v>
      </c>
      <c r="M50" s="289" t="s">
        <v>2300</v>
      </c>
    </row>
    <row r="51" hidden="1">
      <c r="A51" s="281">
        <v>816659.0</v>
      </c>
      <c r="B51" s="303">
        <v>1.1225243E7</v>
      </c>
      <c r="C51" s="266" t="s">
        <v>43</v>
      </c>
      <c r="D51" s="265" t="s">
        <v>2371</v>
      </c>
      <c r="E51" s="265" t="s">
        <v>704</v>
      </c>
      <c r="F51" s="265" t="s">
        <v>2361</v>
      </c>
      <c r="G51" s="265" t="s">
        <v>1044</v>
      </c>
      <c r="H51" s="288">
        <v>0.9166666666666666</v>
      </c>
      <c r="I51" s="265" t="s">
        <v>1047</v>
      </c>
      <c r="J51" s="275">
        <v>52.2</v>
      </c>
      <c r="K51" s="273" t="s">
        <v>2298</v>
      </c>
      <c r="L51" s="290" t="s">
        <v>2299</v>
      </c>
      <c r="M51" s="289" t="s">
        <v>2300</v>
      </c>
    </row>
    <row r="52" hidden="1">
      <c r="A52" s="281">
        <v>817727.0</v>
      </c>
      <c r="B52" s="303">
        <v>1.1225244E7</v>
      </c>
      <c r="C52" s="266" t="s">
        <v>43</v>
      </c>
      <c r="D52" s="265" t="s">
        <v>2372</v>
      </c>
      <c r="E52" s="265" t="s">
        <v>704</v>
      </c>
      <c r="F52" s="265" t="s">
        <v>2361</v>
      </c>
      <c r="G52" s="265" t="s">
        <v>1034</v>
      </c>
      <c r="H52" s="288">
        <v>0.20833333333333334</v>
      </c>
      <c r="I52" s="265" t="s">
        <v>2373</v>
      </c>
      <c r="J52" s="275">
        <v>52.2</v>
      </c>
      <c r="K52" s="273" t="s">
        <v>2298</v>
      </c>
      <c r="L52" s="290" t="s">
        <v>2299</v>
      </c>
      <c r="M52" s="289" t="s">
        <v>2300</v>
      </c>
    </row>
    <row r="53" hidden="1">
      <c r="A53" s="281">
        <v>824031.0</v>
      </c>
      <c r="B53" s="304">
        <v>1.1225307E7</v>
      </c>
      <c r="C53" s="302" t="s">
        <v>31</v>
      </c>
      <c r="D53" s="265" t="s">
        <v>2371</v>
      </c>
      <c r="E53" s="265" t="s">
        <v>618</v>
      </c>
      <c r="F53" s="265" t="s">
        <v>2319</v>
      </c>
      <c r="G53" s="265" t="s">
        <v>1044</v>
      </c>
      <c r="H53" s="288">
        <v>0.8541666666666666</v>
      </c>
      <c r="I53" s="273" t="s">
        <v>1054</v>
      </c>
      <c r="J53" s="285" t="s">
        <v>2374</v>
      </c>
      <c r="K53" s="287" t="s">
        <v>2298</v>
      </c>
      <c r="L53" s="273"/>
      <c r="M53" s="289" t="s">
        <v>2323</v>
      </c>
    </row>
    <row r="54" hidden="1">
      <c r="A54" s="281">
        <v>823877.0</v>
      </c>
      <c r="B54" s="303">
        <v>1.1232955E7</v>
      </c>
      <c r="C54" s="302" t="s">
        <v>31</v>
      </c>
      <c r="D54" s="265" t="s">
        <v>2352</v>
      </c>
      <c r="E54" s="265" t="s">
        <v>145</v>
      </c>
      <c r="F54" s="265" t="s">
        <v>1971</v>
      </c>
      <c r="G54" s="265" t="s">
        <v>1070</v>
      </c>
      <c r="H54" s="288">
        <v>0.9722222222222222</v>
      </c>
      <c r="I54" s="273" t="s">
        <v>1073</v>
      </c>
      <c r="J54" s="285" t="s">
        <v>2375</v>
      </c>
      <c r="K54" s="287" t="s">
        <v>2298</v>
      </c>
      <c r="L54" s="273"/>
      <c r="M54" s="289" t="s">
        <v>2323</v>
      </c>
    </row>
    <row r="55" hidden="1">
      <c r="A55" s="281">
        <v>832272.0</v>
      </c>
      <c r="B55" s="304">
        <v>1.1224541E7</v>
      </c>
      <c r="C55" s="302" t="s">
        <v>31</v>
      </c>
      <c r="D55" s="265" t="s">
        <v>2333</v>
      </c>
      <c r="E55" s="265" t="s">
        <v>1035</v>
      </c>
      <c r="F55" s="265" t="s">
        <v>2376</v>
      </c>
      <c r="G55" s="265" t="s">
        <v>1034</v>
      </c>
      <c r="H55" s="288">
        <v>0.8125</v>
      </c>
      <c r="I55" s="273" t="s">
        <v>1038</v>
      </c>
      <c r="J55" s="285" t="s">
        <v>2377</v>
      </c>
      <c r="K55" s="287" t="s">
        <v>2298</v>
      </c>
      <c r="L55" s="290" t="s">
        <v>2378</v>
      </c>
      <c r="M55" s="289" t="s">
        <v>2323</v>
      </c>
    </row>
    <row r="56" hidden="1">
      <c r="A56" s="281">
        <v>827228.0</v>
      </c>
      <c r="B56" s="303">
        <v>1.1234665E7</v>
      </c>
      <c r="C56" s="302" t="s">
        <v>31</v>
      </c>
      <c r="D56" s="265" t="s">
        <v>2379</v>
      </c>
      <c r="E56" s="265" t="s">
        <v>452</v>
      </c>
      <c r="F56" s="265" t="s">
        <v>2296</v>
      </c>
      <c r="G56" s="265" t="s">
        <v>1113</v>
      </c>
      <c r="H56" s="288">
        <v>0.9166666666666666</v>
      </c>
      <c r="I56" s="273" t="s">
        <v>1121</v>
      </c>
      <c r="J56" s="285" t="s">
        <v>2374</v>
      </c>
      <c r="K56" s="273" t="s">
        <v>2298</v>
      </c>
      <c r="L56" s="290" t="s">
        <v>2299</v>
      </c>
      <c r="M56" s="289" t="s">
        <v>2323</v>
      </c>
    </row>
    <row r="57" hidden="1">
      <c r="A57" s="281">
        <v>823758.0</v>
      </c>
      <c r="B57" s="303">
        <v>1.1234664E7</v>
      </c>
      <c r="C57" s="302" t="s">
        <v>31</v>
      </c>
      <c r="D57" s="265" t="s">
        <v>2379</v>
      </c>
      <c r="E57" s="265" t="s">
        <v>495</v>
      </c>
      <c r="F57" s="265" t="s">
        <v>2302</v>
      </c>
      <c r="G57" s="265" t="s">
        <v>1113</v>
      </c>
      <c r="H57" s="288">
        <v>0.6597222222222222</v>
      </c>
      <c r="I57" s="273" t="s">
        <v>1126</v>
      </c>
      <c r="J57" s="285" t="s">
        <v>2374</v>
      </c>
      <c r="K57" s="287" t="s">
        <v>2298</v>
      </c>
      <c r="L57" s="273"/>
      <c r="M57" s="305" t="s">
        <v>2323</v>
      </c>
    </row>
    <row r="58" hidden="1">
      <c r="A58" s="281">
        <v>833224.0</v>
      </c>
      <c r="B58" s="303">
        <v>1.1238602E7</v>
      </c>
      <c r="C58" s="302" t="s">
        <v>31</v>
      </c>
      <c r="D58" s="265" t="s">
        <v>2380</v>
      </c>
      <c r="E58" s="265" t="s">
        <v>1149</v>
      </c>
      <c r="F58" s="265" t="s">
        <v>2381</v>
      </c>
      <c r="G58" s="265" t="s">
        <v>1129</v>
      </c>
      <c r="H58" s="288">
        <v>0.9583333333333334</v>
      </c>
      <c r="I58" s="273" t="s">
        <v>1081</v>
      </c>
      <c r="J58" s="285" t="s">
        <v>2382</v>
      </c>
      <c r="K58" s="287" t="s">
        <v>2298</v>
      </c>
      <c r="L58" s="290" t="s">
        <v>2378</v>
      </c>
      <c r="M58" s="289" t="s">
        <v>2323</v>
      </c>
    </row>
    <row r="59" hidden="1">
      <c r="A59" s="306"/>
      <c r="B59" s="303">
        <v>1.1234898E7</v>
      </c>
      <c r="C59" s="302" t="s">
        <v>31</v>
      </c>
      <c r="D59" s="265" t="s">
        <v>2379</v>
      </c>
      <c r="E59" s="265" t="s">
        <v>1135</v>
      </c>
      <c r="F59" s="265" t="s">
        <v>1969</v>
      </c>
      <c r="G59" s="265" t="s">
        <v>1129</v>
      </c>
      <c r="H59" s="288">
        <v>0.9965277777777778</v>
      </c>
      <c r="I59" s="273" t="s">
        <v>1131</v>
      </c>
      <c r="J59" s="307"/>
      <c r="K59" s="286" t="s">
        <v>2321</v>
      </c>
      <c r="L59" s="273" t="s">
        <v>2383</v>
      </c>
      <c r="M59" s="289" t="s">
        <v>2323</v>
      </c>
    </row>
    <row r="60" hidden="1">
      <c r="A60" s="281">
        <v>827152.0</v>
      </c>
      <c r="B60" s="303">
        <v>1.1233507E7</v>
      </c>
      <c r="C60" s="302" t="s">
        <v>31</v>
      </c>
      <c r="D60" s="265" t="s">
        <v>2384</v>
      </c>
      <c r="E60" s="265" t="s">
        <v>1090</v>
      </c>
      <c r="F60" s="265" t="s">
        <v>2385</v>
      </c>
      <c r="G60" s="265" t="s">
        <v>2386</v>
      </c>
      <c r="H60" s="288">
        <v>0.9791666666666666</v>
      </c>
      <c r="I60" s="273" t="s">
        <v>1091</v>
      </c>
      <c r="J60" s="285" t="s">
        <v>2387</v>
      </c>
      <c r="K60" s="287" t="s">
        <v>2298</v>
      </c>
      <c r="L60" s="308"/>
      <c r="M60" s="305" t="s">
        <v>2323</v>
      </c>
    </row>
    <row r="61" hidden="1">
      <c r="A61" s="281">
        <v>823934.0</v>
      </c>
      <c r="B61" s="304">
        <v>1.1233446E7</v>
      </c>
      <c r="C61" s="302" t="s">
        <v>31</v>
      </c>
      <c r="D61" s="265" t="s">
        <v>2388</v>
      </c>
      <c r="E61" s="265" t="s">
        <v>1079</v>
      </c>
      <c r="F61" s="265" t="s">
        <v>2389</v>
      </c>
      <c r="G61" s="265" t="s">
        <v>1064</v>
      </c>
      <c r="H61" s="288">
        <v>0.9791666666666666</v>
      </c>
      <c r="I61" s="273" t="s">
        <v>1082</v>
      </c>
      <c r="J61" s="285" t="s">
        <v>2390</v>
      </c>
      <c r="K61" s="287" t="s">
        <v>2298</v>
      </c>
      <c r="L61" s="308"/>
      <c r="M61" s="305" t="s">
        <v>2323</v>
      </c>
    </row>
    <row r="62" hidden="1">
      <c r="A62" s="281">
        <v>827230.0</v>
      </c>
      <c r="B62" s="303">
        <v>1.1233447E7</v>
      </c>
      <c r="C62" s="302" t="s">
        <v>31</v>
      </c>
      <c r="D62" s="265" t="s">
        <v>2352</v>
      </c>
      <c r="E62" s="265" t="s">
        <v>1085</v>
      </c>
      <c r="F62" s="265" t="s">
        <v>2036</v>
      </c>
      <c r="G62" s="265" t="s">
        <v>1064</v>
      </c>
      <c r="H62" s="288">
        <v>0.9861111111111112</v>
      </c>
      <c r="I62" s="273" t="s">
        <v>1088</v>
      </c>
      <c r="J62" s="285" t="s">
        <v>2391</v>
      </c>
      <c r="K62" s="287" t="s">
        <v>2298</v>
      </c>
      <c r="L62" s="308"/>
      <c r="M62" s="289" t="s">
        <v>2323</v>
      </c>
    </row>
    <row r="63" hidden="1">
      <c r="A63" s="281">
        <v>841574.0</v>
      </c>
      <c r="B63" s="303">
        <v>1.1233445E7</v>
      </c>
      <c r="C63" s="302" t="s">
        <v>31</v>
      </c>
      <c r="D63" s="265" t="s">
        <v>2352</v>
      </c>
      <c r="E63" s="265" t="s">
        <v>888</v>
      </c>
      <c r="F63" s="265" t="s">
        <v>1936</v>
      </c>
      <c r="G63" s="265" t="s">
        <v>1064</v>
      </c>
      <c r="H63" s="288">
        <v>0.9930555555555556</v>
      </c>
      <c r="I63" s="265" t="s">
        <v>1077</v>
      </c>
      <c r="J63" s="285" t="s">
        <v>2392</v>
      </c>
      <c r="K63" s="273" t="s">
        <v>2298</v>
      </c>
      <c r="L63" s="290" t="s">
        <v>2299</v>
      </c>
      <c r="M63" s="289" t="s">
        <v>2323</v>
      </c>
    </row>
    <row r="64" hidden="1">
      <c r="A64" s="281">
        <v>827129.0</v>
      </c>
      <c r="B64" s="303">
        <v>1.123867E7</v>
      </c>
      <c r="C64" s="302" t="s">
        <v>31</v>
      </c>
      <c r="D64" s="265" t="s">
        <v>2352</v>
      </c>
      <c r="E64" s="265" t="s">
        <v>559</v>
      </c>
      <c r="F64" s="265" t="s">
        <v>2306</v>
      </c>
      <c r="G64" s="265" t="s">
        <v>1155</v>
      </c>
      <c r="H64" s="288">
        <v>0.6875</v>
      </c>
      <c r="I64" s="273" t="s">
        <v>1158</v>
      </c>
      <c r="J64" s="285" t="s">
        <v>2393</v>
      </c>
      <c r="K64" s="287" t="s">
        <v>2298</v>
      </c>
      <c r="L64" s="308"/>
      <c r="M64" s="289" t="s">
        <v>2323</v>
      </c>
    </row>
    <row r="65" hidden="1">
      <c r="A65" s="281">
        <v>827233.0</v>
      </c>
      <c r="B65" s="303">
        <v>1.1241667E7</v>
      </c>
      <c r="C65" s="302" t="s">
        <v>31</v>
      </c>
      <c r="D65" s="265" t="s">
        <v>2352</v>
      </c>
      <c r="E65" s="265" t="s">
        <v>1172</v>
      </c>
      <c r="F65" s="265" t="s">
        <v>1921</v>
      </c>
      <c r="G65" s="265" t="s">
        <v>1163</v>
      </c>
      <c r="H65" s="288">
        <v>0.7083333333333334</v>
      </c>
      <c r="I65" s="273" t="s">
        <v>2394</v>
      </c>
      <c r="J65" s="285" t="s">
        <v>2393</v>
      </c>
      <c r="K65" s="287" t="s">
        <v>2298</v>
      </c>
      <c r="L65" s="308"/>
      <c r="M65" s="289" t="s">
        <v>2323</v>
      </c>
    </row>
    <row r="66" hidden="1">
      <c r="A66" s="281">
        <v>834220.0</v>
      </c>
      <c r="B66" s="265">
        <v>1.126243E7</v>
      </c>
      <c r="C66" s="302" t="s">
        <v>31</v>
      </c>
      <c r="D66" s="265" t="s">
        <v>2295</v>
      </c>
      <c r="E66" s="265" t="s">
        <v>1200</v>
      </c>
      <c r="F66" s="265" t="s">
        <v>2395</v>
      </c>
      <c r="G66" s="269">
        <v>45660.0</v>
      </c>
      <c r="H66" s="288">
        <v>0.4791666666666667</v>
      </c>
      <c r="I66" s="300">
        <v>45719.729166666664</v>
      </c>
      <c r="J66" s="285" t="s">
        <v>2396</v>
      </c>
      <c r="K66" s="287" t="s">
        <v>2298</v>
      </c>
      <c r="L66" s="309"/>
      <c r="M66" s="289" t="s">
        <v>2323</v>
      </c>
    </row>
    <row r="67" hidden="1">
      <c r="A67" s="281">
        <v>834222.0</v>
      </c>
      <c r="B67" s="265">
        <v>1.1265875E7</v>
      </c>
      <c r="C67" s="302" t="s">
        <v>31</v>
      </c>
      <c r="D67" s="265" t="s">
        <v>2295</v>
      </c>
      <c r="E67" s="265" t="s">
        <v>441</v>
      </c>
      <c r="F67" s="265" t="s">
        <v>2316</v>
      </c>
      <c r="G67" s="269">
        <v>45811.0</v>
      </c>
      <c r="H67" s="288">
        <v>0.625</v>
      </c>
      <c r="I67" s="300">
        <v>45964.9375</v>
      </c>
      <c r="J67" s="285" t="s">
        <v>2397</v>
      </c>
      <c r="K67" s="287" t="s">
        <v>2298</v>
      </c>
      <c r="L67" s="309"/>
      <c r="M67" s="289" t="s">
        <v>2323</v>
      </c>
    </row>
    <row r="68" hidden="1">
      <c r="A68" s="281">
        <v>835381.0</v>
      </c>
      <c r="B68" s="265">
        <v>1.1274232E7</v>
      </c>
      <c r="C68" s="302" t="s">
        <v>31</v>
      </c>
      <c r="D68" s="265" t="s">
        <v>2352</v>
      </c>
      <c r="E68" s="265" t="s">
        <v>1200</v>
      </c>
      <c r="F68" s="265" t="s">
        <v>2395</v>
      </c>
      <c r="G68" s="269">
        <v>45841.0</v>
      </c>
      <c r="H68" s="288">
        <v>0.875</v>
      </c>
      <c r="I68" s="300">
        <v>45933.40972222222</v>
      </c>
      <c r="J68" s="285" t="s">
        <v>2393</v>
      </c>
      <c r="K68" s="287" t="s">
        <v>2298</v>
      </c>
      <c r="L68" s="309"/>
      <c r="M68" s="289" t="s">
        <v>2323</v>
      </c>
    </row>
    <row r="69" hidden="1">
      <c r="A69" s="265">
        <v>836533.0</v>
      </c>
      <c r="B69" s="265">
        <v>1.1277477E7</v>
      </c>
      <c r="C69" s="302" t="s">
        <v>31</v>
      </c>
      <c r="D69" s="265" t="s">
        <v>2295</v>
      </c>
      <c r="E69" s="265" t="s">
        <v>1135</v>
      </c>
      <c r="F69" s="265" t="s">
        <v>1969</v>
      </c>
      <c r="G69" s="269">
        <v>45994.0</v>
      </c>
      <c r="H69" s="288">
        <v>0.9166666666666666</v>
      </c>
      <c r="I69" s="288" t="s">
        <v>1214</v>
      </c>
      <c r="J69" s="285" t="s">
        <v>2398</v>
      </c>
      <c r="K69" s="287" t="s">
        <v>2298</v>
      </c>
      <c r="L69" s="290"/>
      <c r="M69" s="289" t="s">
        <v>2323</v>
      </c>
    </row>
    <row r="70" hidden="1">
      <c r="A70" s="265">
        <v>840848.0</v>
      </c>
      <c r="B70" s="273">
        <v>1.1300759E7</v>
      </c>
      <c r="C70" s="302" t="s">
        <v>31</v>
      </c>
      <c r="D70" s="265" t="s">
        <v>2295</v>
      </c>
      <c r="E70" s="265" t="s">
        <v>1286</v>
      </c>
      <c r="F70" s="265" t="s">
        <v>1883</v>
      </c>
      <c r="G70" s="265" t="s">
        <v>1285</v>
      </c>
      <c r="H70" s="288">
        <v>0.875</v>
      </c>
      <c r="I70" s="265" t="s">
        <v>1289</v>
      </c>
      <c r="J70" s="285" t="s">
        <v>2399</v>
      </c>
      <c r="K70" s="273" t="s">
        <v>2298</v>
      </c>
      <c r="L70" s="290" t="s">
        <v>2299</v>
      </c>
      <c r="M70" s="289" t="s">
        <v>2323</v>
      </c>
    </row>
    <row r="71" hidden="1">
      <c r="A71" s="265">
        <v>844518.0</v>
      </c>
      <c r="B71" s="273">
        <v>1.1325509E7</v>
      </c>
      <c r="C71" s="302" t="s">
        <v>31</v>
      </c>
      <c r="D71" s="265" t="s">
        <v>2327</v>
      </c>
      <c r="E71" s="265" t="s">
        <v>1286</v>
      </c>
      <c r="F71" s="265" t="s">
        <v>1883</v>
      </c>
      <c r="G71" s="265" t="s">
        <v>2400</v>
      </c>
      <c r="H71" s="288">
        <v>0.1527777777777778</v>
      </c>
      <c r="I71" s="265" t="s">
        <v>2401</v>
      </c>
      <c r="J71" s="285" t="s">
        <v>2402</v>
      </c>
      <c r="K71" s="287" t="s">
        <v>2298</v>
      </c>
      <c r="L71" s="290" t="s">
        <v>2299</v>
      </c>
      <c r="M71" s="289" t="s">
        <v>2323</v>
      </c>
    </row>
    <row r="72" hidden="1">
      <c r="A72" s="265">
        <v>851806.0</v>
      </c>
      <c r="B72" s="273">
        <v>1.1324853E7</v>
      </c>
      <c r="C72" s="302" t="s">
        <v>31</v>
      </c>
      <c r="D72" s="265" t="s">
        <v>2403</v>
      </c>
      <c r="E72" s="265" t="s">
        <v>1225</v>
      </c>
      <c r="F72" s="265" t="s">
        <v>1974</v>
      </c>
      <c r="G72" s="265" t="s">
        <v>2404</v>
      </c>
      <c r="H72" s="288">
        <v>0.375</v>
      </c>
      <c r="I72" s="265" t="s">
        <v>2405</v>
      </c>
      <c r="J72" s="285" t="s">
        <v>2406</v>
      </c>
      <c r="K72" s="273" t="s">
        <v>2298</v>
      </c>
      <c r="L72" s="290" t="s">
        <v>2299</v>
      </c>
      <c r="M72" s="289" t="s">
        <v>2323</v>
      </c>
    </row>
    <row r="73" hidden="1">
      <c r="A73" s="265">
        <v>860923.0</v>
      </c>
      <c r="B73" s="273">
        <v>1.1367913E7</v>
      </c>
      <c r="C73" s="302" t="s">
        <v>31</v>
      </c>
      <c r="D73" s="265" t="s">
        <v>2407</v>
      </c>
      <c r="E73" s="265" t="s">
        <v>1382</v>
      </c>
      <c r="F73" s="265" t="s">
        <v>2408</v>
      </c>
      <c r="G73" s="265" t="s">
        <v>1381</v>
      </c>
      <c r="H73" s="288">
        <v>0.8333333333333334</v>
      </c>
      <c r="I73" s="265" t="s">
        <v>2409</v>
      </c>
      <c r="J73" s="285" t="s">
        <v>2410</v>
      </c>
      <c r="K73" s="273" t="s">
        <v>2298</v>
      </c>
      <c r="L73" s="290" t="s">
        <v>2299</v>
      </c>
      <c r="M73" s="289" t="s">
        <v>2323</v>
      </c>
    </row>
    <row r="74" hidden="1">
      <c r="A74" s="265">
        <v>864801.0</v>
      </c>
      <c r="B74" s="273">
        <v>1.1368488E7</v>
      </c>
      <c r="C74" s="302" t="s">
        <v>31</v>
      </c>
      <c r="D74" s="265" t="s">
        <v>2407</v>
      </c>
      <c r="E74" s="265" t="s">
        <v>2411</v>
      </c>
      <c r="F74" s="265" t="s">
        <v>2381</v>
      </c>
      <c r="G74" s="265" t="s">
        <v>1387</v>
      </c>
      <c r="H74" s="288">
        <v>0.375</v>
      </c>
      <c r="I74" s="265" t="s">
        <v>2412</v>
      </c>
      <c r="J74" s="285" t="s">
        <v>2413</v>
      </c>
      <c r="K74" s="273" t="s">
        <v>2298</v>
      </c>
      <c r="L74" s="273" t="s">
        <v>2299</v>
      </c>
      <c r="M74" s="289" t="s">
        <v>2323</v>
      </c>
    </row>
    <row r="75" hidden="1">
      <c r="A75" s="265">
        <v>864808.0</v>
      </c>
      <c r="B75" s="273">
        <v>1.1370196E7</v>
      </c>
      <c r="C75" s="266" t="s">
        <v>43</v>
      </c>
      <c r="D75" s="265" t="s">
        <v>2414</v>
      </c>
      <c r="E75" s="265" t="s">
        <v>1416</v>
      </c>
      <c r="F75" s="265" t="s">
        <v>2415</v>
      </c>
      <c r="G75" s="265" t="s">
        <v>1415</v>
      </c>
      <c r="H75" s="288">
        <v>0.7083333333333334</v>
      </c>
      <c r="I75" s="265" t="s">
        <v>1419</v>
      </c>
      <c r="J75" s="285" t="s">
        <v>2416</v>
      </c>
      <c r="K75" s="273" t="s">
        <v>2298</v>
      </c>
      <c r="L75" s="273" t="s">
        <v>2299</v>
      </c>
      <c r="M75" s="289" t="s">
        <v>2323</v>
      </c>
    </row>
    <row r="76" hidden="1">
      <c r="A76" s="265">
        <v>864812.0</v>
      </c>
      <c r="B76" s="273">
        <v>1.1370197E7</v>
      </c>
      <c r="C76" s="266" t="s">
        <v>43</v>
      </c>
      <c r="D76" s="265" t="s">
        <v>2417</v>
      </c>
      <c r="E76" s="265" t="s">
        <v>1416</v>
      </c>
      <c r="F76" s="265" t="s">
        <v>2415</v>
      </c>
      <c r="G76" s="265" t="s">
        <v>1444</v>
      </c>
      <c r="H76" s="288">
        <v>0.6423611111111112</v>
      </c>
      <c r="I76" s="265" t="s">
        <v>1424</v>
      </c>
      <c r="J76" s="285" t="s">
        <v>2418</v>
      </c>
      <c r="K76" s="273" t="s">
        <v>2298</v>
      </c>
      <c r="L76" s="273" t="s">
        <v>2299</v>
      </c>
      <c r="M76" s="289" t="s">
        <v>2323</v>
      </c>
    </row>
    <row r="77" hidden="1">
      <c r="A77" s="265">
        <v>864814.0</v>
      </c>
      <c r="B77" s="273">
        <v>1.1368489E7</v>
      </c>
      <c r="C77" s="302" t="s">
        <v>31</v>
      </c>
      <c r="D77" s="265" t="s">
        <v>2407</v>
      </c>
      <c r="E77" s="265" t="s">
        <v>546</v>
      </c>
      <c r="F77" s="265" t="s">
        <v>2419</v>
      </c>
      <c r="G77" s="265" t="s">
        <v>1415</v>
      </c>
      <c r="H77" s="288">
        <v>0.0</v>
      </c>
      <c r="I77" s="265" t="s">
        <v>1405</v>
      </c>
      <c r="J77" s="285" t="s">
        <v>2410</v>
      </c>
      <c r="K77" s="273" t="s">
        <v>2298</v>
      </c>
      <c r="L77" s="273" t="s">
        <v>2299</v>
      </c>
      <c r="M77" s="289" t="s">
        <v>2323</v>
      </c>
    </row>
    <row r="78" hidden="1">
      <c r="A78" s="265">
        <v>872786.0</v>
      </c>
      <c r="B78" s="273">
        <v>1.1417432E7</v>
      </c>
      <c r="C78" s="266" t="s">
        <v>43</v>
      </c>
      <c r="D78" s="265" t="s">
        <v>2407</v>
      </c>
      <c r="E78" s="265" t="s">
        <v>2411</v>
      </c>
      <c r="F78" s="265" t="s">
        <v>2381</v>
      </c>
      <c r="G78" s="269">
        <v>45813.0</v>
      </c>
      <c r="H78" s="288">
        <v>0.5416666666666666</v>
      </c>
      <c r="I78" s="299">
        <v>45874.0</v>
      </c>
      <c r="J78" s="285" t="s">
        <v>2420</v>
      </c>
      <c r="K78" s="273" t="s">
        <v>2298</v>
      </c>
      <c r="L78" s="273" t="s">
        <v>2299</v>
      </c>
      <c r="M78" s="289" t="s">
        <v>2323</v>
      </c>
    </row>
    <row r="79" hidden="1">
      <c r="A79" s="265">
        <v>872788.0</v>
      </c>
      <c r="B79" s="273">
        <v>1.1417436E7</v>
      </c>
      <c r="C79" s="266" t="s">
        <v>43</v>
      </c>
      <c r="D79" s="265" t="s">
        <v>2421</v>
      </c>
      <c r="E79" s="265" t="s">
        <v>2411</v>
      </c>
      <c r="F79" s="265" t="s">
        <v>2381</v>
      </c>
      <c r="G79" s="269">
        <v>45874.0</v>
      </c>
      <c r="H79" s="288">
        <v>0.5</v>
      </c>
      <c r="I79" s="299">
        <v>45905.479166666664</v>
      </c>
      <c r="J79" s="285" t="s">
        <v>2422</v>
      </c>
      <c r="K79" s="273" t="s">
        <v>2298</v>
      </c>
      <c r="L79" s="273" t="s">
        <v>2299</v>
      </c>
      <c r="M79" s="289" t="s">
        <v>2323</v>
      </c>
    </row>
    <row r="80" hidden="1">
      <c r="A80" s="265">
        <v>876256.0</v>
      </c>
      <c r="B80" s="273">
        <v>1.1429862E7</v>
      </c>
      <c r="C80" s="302" t="s">
        <v>31</v>
      </c>
      <c r="D80" s="265" t="s">
        <v>2423</v>
      </c>
      <c r="E80" s="265" t="s">
        <v>1524</v>
      </c>
      <c r="F80" s="265" t="s">
        <v>2424</v>
      </c>
      <c r="G80" s="269">
        <v>45935.0</v>
      </c>
      <c r="H80" s="288">
        <v>0.7569444444444444</v>
      </c>
      <c r="I80" s="265" t="s">
        <v>1525</v>
      </c>
      <c r="J80" s="285" t="s">
        <v>2425</v>
      </c>
      <c r="K80" s="273" t="s">
        <v>2298</v>
      </c>
      <c r="L80" s="273" t="s">
        <v>2299</v>
      </c>
      <c r="M80" s="289" t="s">
        <v>2323</v>
      </c>
    </row>
    <row r="81" hidden="1">
      <c r="A81" s="265">
        <v>878395.0</v>
      </c>
      <c r="B81" s="273">
        <v>1.1436175E7</v>
      </c>
      <c r="C81" s="302" t="s">
        <v>31</v>
      </c>
      <c r="D81" s="265" t="s">
        <v>2407</v>
      </c>
      <c r="E81" s="265" t="s">
        <v>1149</v>
      </c>
      <c r="F81" s="265" t="s">
        <v>2381</v>
      </c>
      <c r="G81" s="269">
        <v>45966.0</v>
      </c>
      <c r="H81" s="288">
        <v>0.04097222222222222</v>
      </c>
      <c r="I81" s="299">
        <v>45996.645833333336</v>
      </c>
      <c r="J81" s="285" t="s">
        <v>2426</v>
      </c>
      <c r="K81" s="273" t="s">
        <v>2298</v>
      </c>
      <c r="L81" s="273" t="s">
        <v>2299</v>
      </c>
      <c r="M81" s="289" t="s">
        <v>2323</v>
      </c>
    </row>
    <row r="82" hidden="1">
      <c r="A82" s="265">
        <v>876259.0</v>
      </c>
      <c r="B82" s="273">
        <v>1.1437552E7</v>
      </c>
      <c r="C82" s="302" t="s">
        <v>31</v>
      </c>
      <c r="D82" s="265" t="s">
        <v>2407</v>
      </c>
      <c r="E82" s="265" t="s">
        <v>1187</v>
      </c>
      <c r="F82" s="265" t="s">
        <v>2427</v>
      </c>
      <c r="G82" s="310">
        <v>45935.0</v>
      </c>
      <c r="H82" s="311">
        <v>0.8993055555555556</v>
      </c>
      <c r="I82" s="265" t="s">
        <v>1531</v>
      </c>
      <c r="J82" s="285" t="s">
        <v>2428</v>
      </c>
      <c r="K82" s="273" t="s">
        <v>2298</v>
      </c>
      <c r="L82" s="273" t="s">
        <v>2299</v>
      </c>
      <c r="M82" s="289" t="s">
        <v>2323</v>
      </c>
    </row>
    <row r="83" hidden="1">
      <c r="A83" s="265">
        <v>878313.0</v>
      </c>
      <c r="B83" s="265">
        <v>1.1445376E7</v>
      </c>
      <c r="C83" s="302" t="s">
        <v>31</v>
      </c>
      <c r="D83" s="265" t="s">
        <v>2295</v>
      </c>
      <c r="E83" s="265" t="s">
        <v>1204</v>
      </c>
      <c r="F83" s="265" t="s">
        <v>2429</v>
      </c>
      <c r="G83" s="310" t="s">
        <v>1560</v>
      </c>
      <c r="H83" s="288">
        <v>0.9965277777777778</v>
      </c>
      <c r="I83" s="311" t="s">
        <v>1564</v>
      </c>
      <c r="J83" s="285" t="s">
        <v>2430</v>
      </c>
      <c r="K83" s="273" t="s">
        <v>2298</v>
      </c>
      <c r="L83" s="273" t="s">
        <v>2299</v>
      </c>
      <c r="M83" s="289" t="s">
        <v>2323</v>
      </c>
    </row>
    <row r="84" hidden="1">
      <c r="A84" s="265">
        <v>878315.0</v>
      </c>
      <c r="B84" s="265">
        <v>1.1445377E7</v>
      </c>
      <c r="C84" s="302" t="s">
        <v>31</v>
      </c>
      <c r="D84" s="265" t="s">
        <v>2295</v>
      </c>
      <c r="E84" s="265" t="s">
        <v>1286</v>
      </c>
      <c r="F84" s="265" t="s">
        <v>1883</v>
      </c>
      <c r="G84" s="311" t="s">
        <v>2431</v>
      </c>
      <c r="H84" s="288">
        <v>0.16041666666666668</v>
      </c>
      <c r="I84" s="84" t="s">
        <v>1568</v>
      </c>
      <c r="J84" s="285" t="s">
        <v>2432</v>
      </c>
      <c r="K84" s="273" t="s">
        <v>2298</v>
      </c>
      <c r="L84" s="273" t="s">
        <v>2299</v>
      </c>
      <c r="M84" s="289" t="s">
        <v>2323</v>
      </c>
    </row>
    <row r="85" hidden="1">
      <c r="A85" s="265">
        <v>883674.0</v>
      </c>
      <c r="B85" s="273">
        <v>1.1451902E7</v>
      </c>
      <c r="C85" s="266" t="s">
        <v>31</v>
      </c>
      <c r="D85" s="265" t="s">
        <v>2295</v>
      </c>
      <c r="E85" s="265" t="s">
        <v>1614</v>
      </c>
      <c r="F85" s="265" t="s">
        <v>2433</v>
      </c>
      <c r="G85" s="265" t="s">
        <v>1643</v>
      </c>
      <c r="H85" s="312"/>
      <c r="I85" s="265" t="s">
        <v>1618</v>
      </c>
      <c r="J85" s="275" t="s">
        <v>2434</v>
      </c>
      <c r="K85" s="273" t="s">
        <v>2435</v>
      </c>
      <c r="L85" s="273"/>
      <c r="M85" s="289" t="s">
        <v>2436</v>
      </c>
    </row>
    <row r="86" hidden="1">
      <c r="A86" s="265">
        <v>886346.0</v>
      </c>
      <c r="B86" s="273">
        <v>1.1473453E7</v>
      </c>
      <c r="C86" s="266" t="s">
        <v>31</v>
      </c>
      <c r="D86" s="265" t="s">
        <v>2352</v>
      </c>
      <c r="E86" s="265" t="s">
        <v>546</v>
      </c>
      <c r="F86" s="265" t="s">
        <v>2419</v>
      </c>
      <c r="G86" s="265" t="s">
        <v>1681</v>
      </c>
      <c r="H86" s="288">
        <v>0.8048611111111111</v>
      </c>
      <c r="I86" s="265" t="s">
        <v>1688</v>
      </c>
      <c r="J86" s="285" t="s">
        <v>2437</v>
      </c>
      <c r="K86" s="273" t="s">
        <v>2298</v>
      </c>
      <c r="L86" s="273" t="s">
        <v>2438</v>
      </c>
      <c r="M86" s="289" t="s">
        <v>2323</v>
      </c>
    </row>
    <row r="87" hidden="1">
      <c r="A87" s="265">
        <v>904160.0</v>
      </c>
      <c r="B87" s="273">
        <v>1.1557451E7</v>
      </c>
      <c r="C87" s="266" t="s">
        <v>31</v>
      </c>
      <c r="D87" s="265" t="s">
        <v>2371</v>
      </c>
      <c r="E87" s="265" t="s">
        <v>1727</v>
      </c>
      <c r="F87" s="265" t="s">
        <v>2439</v>
      </c>
      <c r="G87" s="265" t="s">
        <v>2440</v>
      </c>
      <c r="H87" s="288">
        <v>0.4583333333333333</v>
      </c>
      <c r="I87" s="265" t="s">
        <v>2441</v>
      </c>
      <c r="J87" s="285" t="s">
        <v>2374</v>
      </c>
      <c r="K87" s="273" t="s">
        <v>2298</v>
      </c>
      <c r="L87" s="273" t="s">
        <v>2438</v>
      </c>
      <c r="M87" s="289" t="s">
        <v>2323</v>
      </c>
    </row>
    <row r="88" hidden="1">
      <c r="A88" s="265">
        <v>904678.0</v>
      </c>
      <c r="B88" s="273">
        <v>1.1552452E7</v>
      </c>
      <c r="C88" s="266" t="s">
        <v>31</v>
      </c>
      <c r="D88" s="265" t="s">
        <v>2352</v>
      </c>
      <c r="E88" s="265" t="s">
        <v>1742</v>
      </c>
      <c r="F88" s="265" t="s">
        <v>1890</v>
      </c>
      <c r="G88" s="312" t="s">
        <v>2442</v>
      </c>
      <c r="H88" s="288">
        <v>0.5138888888888888</v>
      </c>
      <c r="I88" s="265" t="s">
        <v>1744</v>
      </c>
      <c r="J88" s="285" t="s">
        <v>2443</v>
      </c>
      <c r="K88" s="273" t="s">
        <v>2298</v>
      </c>
      <c r="L88" s="273" t="s">
        <v>2438</v>
      </c>
      <c r="M88" s="289" t="s">
        <v>2323</v>
      </c>
    </row>
    <row r="89" hidden="1">
      <c r="A89" s="265">
        <v>904202.0</v>
      </c>
      <c r="B89" s="273">
        <v>1.1552451E7</v>
      </c>
      <c r="C89" s="266" t="s">
        <v>31</v>
      </c>
      <c r="D89" s="265" t="s">
        <v>2352</v>
      </c>
      <c r="E89" s="265" t="s">
        <v>1698</v>
      </c>
      <c r="F89" s="265" t="s">
        <v>2444</v>
      </c>
      <c r="G89" s="265" t="s">
        <v>2442</v>
      </c>
      <c r="H89" s="288">
        <v>0.5416666666666666</v>
      </c>
      <c r="I89" s="312" t="s">
        <v>2445</v>
      </c>
      <c r="J89" s="285" t="s">
        <v>2443</v>
      </c>
      <c r="K89" s="273" t="s">
        <v>2298</v>
      </c>
      <c r="L89" s="273" t="s">
        <v>2438</v>
      </c>
      <c r="M89" s="289" t="s">
        <v>2323</v>
      </c>
    </row>
    <row r="90" hidden="1">
      <c r="A90" s="265">
        <v>904208.0</v>
      </c>
      <c r="B90" s="273">
        <v>1.155245E7</v>
      </c>
      <c r="C90" s="266" t="s">
        <v>31</v>
      </c>
      <c r="D90" s="265" t="s">
        <v>2352</v>
      </c>
      <c r="E90" s="265" t="s">
        <v>1733</v>
      </c>
      <c r="F90" s="265" t="s">
        <v>2446</v>
      </c>
      <c r="G90" s="265" t="s">
        <v>2442</v>
      </c>
      <c r="H90" s="288">
        <v>0.75</v>
      </c>
      <c r="I90" s="265" t="s">
        <v>1736</v>
      </c>
      <c r="J90" s="275" t="s">
        <v>2447</v>
      </c>
      <c r="K90" s="273" t="s">
        <v>2435</v>
      </c>
      <c r="L90" s="308"/>
      <c r="M90" s="289" t="s">
        <v>2436</v>
      </c>
    </row>
    <row r="91" hidden="1">
      <c r="A91" s="265">
        <v>904210.0</v>
      </c>
      <c r="B91" s="273">
        <v>1.1552449E7</v>
      </c>
      <c r="C91" s="266" t="s">
        <v>43</v>
      </c>
      <c r="D91" s="265" t="s">
        <v>2414</v>
      </c>
      <c r="E91" s="265" t="s">
        <v>1727</v>
      </c>
      <c r="F91" s="265" t="s">
        <v>2439</v>
      </c>
      <c r="G91" s="265" t="s">
        <v>1726</v>
      </c>
      <c r="H91" s="288">
        <v>0.5</v>
      </c>
      <c r="I91" s="265" t="s">
        <v>2448</v>
      </c>
      <c r="J91" s="285" t="s">
        <v>2449</v>
      </c>
      <c r="K91" s="273" t="s">
        <v>2298</v>
      </c>
      <c r="L91" s="273" t="s">
        <v>2438</v>
      </c>
      <c r="M91" s="289" t="s">
        <v>2323</v>
      </c>
    </row>
    <row r="92" hidden="1">
      <c r="A92" s="265">
        <v>904680.0</v>
      </c>
      <c r="B92" s="273">
        <v>1.1552453E7</v>
      </c>
      <c r="C92" s="266" t="s">
        <v>43</v>
      </c>
      <c r="D92" s="265" t="s">
        <v>2417</v>
      </c>
      <c r="E92" s="265" t="s">
        <v>1727</v>
      </c>
      <c r="F92" s="265" t="s">
        <v>2439</v>
      </c>
      <c r="G92" s="265" t="s">
        <v>1787</v>
      </c>
      <c r="H92" s="288">
        <v>0.5416666666666666</v>
      </c>
      <c r="I92" s="265" t="s">
        <v>2450</v>
      </c>
      <c r="J92" s="285" t="s">
        <v>2451</v>
      </c>
      <c r="K92" s="273" t="s">
        <v>2298</v>
      </c>
      <c r="L92" s="273" t="s">
        <v>2438</v>
      </c>
      <c r="M92" s="289" t="s">
        <v>2323</v>
      </c>
    </row>
    <row r="93" hidden="1">
      <c r="A93" s="265">
        <v>904216.0</v>
      </c>
      <c r="B93" s="273">
        <v>1.1558173E7</v>
      </c>
      <c r="C93" s="266" t="s">
        <v>31</v>
      </c>
      <c r="D93" s="265" t="s">
        <v>2452</v>
      </c>
      <c r="E93" s="265" t="s">
        <v>2453</v>
      </c>
      <c r="F93" s="265" t="s">
        <v>2454</v>
      </c>
      <c r="G93" s="265" t="s">
        <v>2455</v>
      </c>
      <c r="H93" s="288">
        <v>0.75</v>
      </c>
      <c r="I93" s="265" t="s">
        <v>2456</v>
      </c>
      <c r="J93" s="285" t="s">
        <v>2457</v>
      </c>
      <c r="K93" s="273" t="s">
        <v>2298</v>
      </c>
      <c r="L93" s="273" t="s">
        <v>2438</v>
      </c>
      <c r="M93" s="289" t="s">
        <v>2323</v>
      </c>
    </row>
    <row r="94" hidden="1">
      <c r="A94" s="265">
        <v>904936.0</v>
      </c>
      <c r="B94" s="273">
        <v>1.1559929E7</v>
      </c>
      <c r="C94" s="266" t="s">
        <v>31</v>
      </c>
      <c r="D94" s="265" t="s">
        <v>2458</v>
      </c>
      <c r="E94" s="265" t="s">
        <v>1775</v>
      </c>
      <c r="F94" s="265" t="s">
        <v>2459</v>
      </c>
      <c r="G94" s="265" t="s">
        <v>1760</v>
      </c>
      <c r="H94" s="288">
        <v>0.4791666666666667</v>
      </c>
      <c r="I94" s="265" t="s">
        <v>1779</v>
      </c>
      <c r="J94" s="285" t="s">
        <v>2437</v>
      </c>
      <c r="K94" s="273" t="s">
        <v>2298</v>
      </c>
      <c r="L94" s="273" t="s">
        <v>2460</v>
      </c>
      <c r="M94" s="289" t="s">
        <v>2323</v>
      </c>
    </row>
    <row r="95" hidden="1">
      <c r="A95" s="265">
        <v>908659.0</v>
      </c>
      <c r="B95" s="273">
        <v>1.1560322E7</v>
      </c>
      <c r="C95" s="266" t="s">
        <v>31</v>
      </c>
      <c r="D95" s="265" t="s">
        <v>2452</v>
      </c>
      <c r="E95" s="265" t="s">
        <v>1698</v>
      </c>
      <c r="F95" s="265" t="s">
        <v>2444</v>
      </c>
      <c r="G95" s="265" t="s">
        <v>1796</v>
      </c>
      <c r="H95" s="288">
        <v>0.5416666666666666</v>
      </c>
      <c r="I95" s="299">
        <v>45664.395833333336</v>
      </c>
      <c r="J95" s="285" t="s">
        <v>2457</v>
      </c>
      <c r="K95" s="273" t="s">
        <v>2298</v>
      </c>
      <c r="L95" s="273" t="s">
        <v>2461</v>
      </c>
      <c r="M95" s="289" t="s">
        <v>2323</v>
      </c>
    </row>
    <row r="96" hidden="1">
      <c r="A96" s="265">
        <v>904682.0</v>
      </c>
      <c r="B96" s="273">
        <v>1.1563474E7</v>
      </c>
      <c r="C96" s="266" t="s">
        <v>31</v>
      </c>
      <c r="D96" s="265" t="s">
        <v>2379</v>
      </c>
      <c r="E96" s="265" t="s">
        <v>1172</v>
      </c>
      <c r="F96" s="265" t="s">
        <v>1921</v>
      </c>
      <c r="G96" s="265" t="s">
        <v>1787</v>
      </c>
      <c r="H96" s="288">
        <v>0.5</v>
      </c>
      <c r="I96" s="299">
        <v>45664.395833333336</v>
      </c>
      <c r="J96" s="285" t="s">
        <v>2374</v>
      </c>
      <c r="K96" s="273" t="s">
        <v>2298</v>
      </c>
      <c r="L96" s="273" t="s">
        <v>2438</v>
      </c>
      <c r="M96" s="289" t="s">
        <v>2323</v>
      </c>
    </row>
    <row r="97" hidden="1">
      <c r="A97" s="265">
        <v>14718.0</v>
      </c>
      <c r="B97" s="313">
        <v>1.159385E7</v>
      </c>
      <c r="C97" s="314" t="s">
        <v>43</v>
      </c>
      <c r="D97" s="265" t="s">
        <v>2371</v>
      </c>
      <c r="E97" s="265" t="s">
        <v>1811</v>
      </c>
      <c r="F97" s="265" t="s">
        <v>2462</v>
      </c>
      <c r="G97" s="265" t="s">
        <v>2463</v>
      </c>
      <c r="H97" s="288">
        <v>0.6875</v>
      </c>
      <c r="I97" s="299" t="s">
        <v>1815</v>
      </c>
      <c r="J97" s="285">
        <v>49.59</v>
      </c>
      <c r="K97" s="273" t="s">
        <v>2298</v>
      </c>
      <c r="L97" s="273" t="s">
        <v>2461</v>
      </c>
      <c r="M97" s="289" t="s">
        <v>2323</v>
      </c>
    </row>
    <row r="98" hidden="1">
      <c r="A98" s="265">
        <v>14738.0</v>
      </c>
      <c r="B98" s="273">
        <v>1.1593851E7</v>
      </c>
      <c r="C98" s="314" t="s">
        <v>43</v>
      </c>
      <c r="D98" s="265" t="s">
        <v>2372</v>
      </c>
      <c r="E98" s="265" t="s">
        <v>1811</v>
      </c>
      <c r="F98" s="265" t="s">
        <v>2462</v>
      </c>
      <c r="G98" s="265" t="s">
        <v>2464</v>
      </c>
      <c r="H98" s="288">
        <v>0.8125</v>
      </c>
      <c r="I98" s="299" t="s">
        <v>1820</v>
      </c>
      <c r="J98" s="285">
        <v>49.59</v>
      </c>
      <c r="K98" s="273" t="s">
        <v>2298</v>
      </c>
      <c r="L98" s="273" t="s">
        <v>2461</v>
      </c>
      <c r="M98" s="289" t="s">
        <v>2323</v>
      </c>
    </row>
    <row r="99" hidden="1">
      <c r="A99" s="265">
        <v>33739.0</v>
      </c>
      <c r="B99" s="313">
        <v>1.1631962E7</v>
      </c>
      <c r="C99" s="314" t="s">
        <v>31</v>
      </c>
      <c r="D99" s="265" t="s">
        <v>2465</v>
      </c>
      <c r="E99" s="265" t="s">
        <v>1842</v>
      </c>
      <c r="F99" s="265" t="s">
        <v>2466</v>
      </c>
      <c r="G99" s="265" t="s">
        <v>1834</v>
      </c>
      <c r="H99" s="288">
        <v>0.625</v>
      </c>
      <c r="I99" s="299">
        <v>45877.395833333336</v>
      </c>
      <c r="J99" s="285" t="s">
        <v>2467</v>
      </c>
      <c r="K99" s="273" t="s">
        <v>2298</v>
      </c>
      <c r="L99" s="273" t="s">
        <v>2461</v>
      </c>
      <c r="M99" s="289" t="s">
        <v>2323</v>
      </c>
    </row>
    <row r="100" hidden="1">
      <c r="A100" s="265">
        <v>43320.0</v>
      </c>
      <c r="B100" s="273">
        <v>1.1631866E7</v>
      </c>
      <c r="C100" s="314" t="s">
        <v>31</v>
      </c>
      <c r="D100" s="265" t="s">
        <v>2295</v>
      </c>
      <c r="E100" s="265" t="s">
        <v>1551</v>
      </c>
      <c r="F100" s="265" t="s">
        <v>1943</v>
      </c>
      <c r="G100" s="265" t="s">
        <v>1821</v>
      </c>
      <c r="H100" s="288">
        <v>0.7847222222222222</v>
      </c>
      <c r="I100" s="265" t="s">
        <v>1825</v>
      </c>
      <c r="J100" s="285" t="s">
        <v>2468</v>
      </c>
      <c r="K100" s="273" t="s">
        <v>2298</v>
      </c>
      <c r="L100" s="273" t="s">
        <v>2461</v>
      </c>
      <c r="M100" s="289" t="s">
        <v>2323</v>
      </c>
    </row>
    <row r="101">
      <c r="A101" s="265">
        <v>60225.0</v>
      </c>
      <c r="B101" s="313">
        <v>1.1631869E7</v>
      </c>
      <c r="C101" s="266" t="s">
        <v>31</v>
      </c>
      <c r="D101" s="265" t="s">
        <v>2295</v>
      </c>
      <c r="E101" s="265" t="s">
        <v>1826</v>
      </c>
      <c r="F101" s="265" t="s">
        <v>1945</v>
      </c>
      <c r="G101" s="265" t="s">
        <v>1821</v>
      </c>
      <c r="H101" s="288">
        <v>0.5694444444444444</v>
      </c>
      <c r="I101" s="265" t="s">
        <v>1824</v>
      </c>
      <c r="J101" s="275" t="s">
        <v>2469</v>
      </c>
      <c r="K101" s="273" t="s">
        <v>2470</v>
      </c>
      <c r="L101" s="273" t="s">
        <v>2471</v>
      </c>
      <c r="M101" s="289" t="s">
        <v>2323</v>
      </c>
    </row>
    <row r="102">
      <c r="A102" s="84">
        <v>60252.0</v>
      </c>
      <c r="B102" s="313">
        <v>1.1631872E7</v>
      </c>
      <c r="C102" s="266" t="s">
        <v>31</v>
      </c>
      <c r="D102" s="265" t="s">
        <v>2295</v>
      </c>
      <c r="E102" s="265" t="s">
        <v>1829</v>
      </c>
      <c r="F102" s="265" t="s">
        <v>1988</v>
      </c>
      <c r="G102" s="265" t="s">
        <v>1821</v>
      </c>
      <c r="H102" s="288">
        <v>0.5555555555555556</v>
      </c>
      <c r="I102" s="265" t="s">
        <v>1832</v>
      </c>
      <c r="J102" s="275" t="s">
        <v>2374</v>
      </c>
      <c r="K102" s="273" t="s">
        <v>2470</v>
      </c>
      <c r="L102" s="273" t="s">
        <v>2472</v>
      </c>
      <c r="M102" s="289" t="s">
        <v>2323</v>
      </c>
    </row>
    <row r="103">
      <c r="A103" s="84">
        <v>60287.0</v>
      </c>
      <c r="B103" s="273">
        <v>1.1637998E7</v>
      </c>
      <c r="C103" s="266" t="s">
        <v>31</v>
      </c>
      <c r="D103" s="265" t="s">
        <v>2295</v>
      </c>
      <c r="E103" s="265" t="s">
        <v>1848</v>
      </c>
      <c r="F103" s="265" t="s">
        <v>2473</v>
      </c>
      <c r="G103" s="265" t="s">
        <v>1847</v>
      </c>
      <c r="H103" s="288">
        <v>0.6423611111111112</v>
      </c>
      <c r="I103" s="265" t="s">
        <v>1851</v>
      </c>
      <c r="J103" s="275" t="s">
        <v>2474</v>
      </c>
      <c r="K103" s="273" t="s">
        <v>2470</v>
      </c>
      <c r="L103" s="273" t="s">
        <v>2475</v>
      </c>
      <c r="M103" s="289" t="s">
        <v>2323</v>
      </c>
    </row>
    <row r="104">
      <c r="A104" s="84">
        <v>43320.0</v>
      </c>
      <c r="B104" s="313">
        <v>1.1631866E7</v>
      </c>
      <c r="C104" s="266" t="s">
        <v>31</v>
      </c>
      <c r="D104" s="265" t="s">
        <v>2295</v>
      </c>
      <c r="E104" s="265" t="s">
        <v>1551</v>
      </c>
      <c r="F104" s="265" t="s">
        <v>1943</v>
      </c>
      <c r="G104" s="265" t="s">
        <v>1821</v>
      </c>
      <c r="H104" s="288">
        <v>0.6458333333333334</v>
      </c>
      <c r="I104" s="265" t="s">
        <v>1825</v>
      </c>
      <c r="J104" s="275">
        <v>323.41</v>
      </c>
      <c r="K104" s="273" t="s">
        <v>2470</v>
      </c>
      <c r="L104" s="273" t="s">
        <v>2476</v>
      </c>
      <c r="M104" s="289" t="s">
        <v>2323</v>
      </c>
    </row>
    <row r="105">
      <c r="A105" s="265">
        <v>62481.0</v>
      </c>
      <c r="B105" s="273">
        <v>1.1665805E7</v>
      </c>
      <c r="C105" s="266" t="s">
        <v>43</v>
      </c>
      <c r="D105" s="265" t="s">
        <v>2295</v>
      </c>
      <c r="E105" s="265" t="s">
        <v>888</v>
      </c>
      <c r="F105" s="265" t="s">
        <v>1936</v>
      </c>
      <c r="G105" s="265" t="s">
        <v>1847</v>
      </c>
      <c r="H105" s="288">
        <v>0.4375</v>
      </c>
      <c r="I105" s="265" t="s">
        <v>2477</v>
      </c>
      <c r="J105" s="275">
        <v>409.59</v>
      </c>
      <c r="K105" s="273" t="s">
        <v>2478</v>
      </c>
      <c r="L105" s="308"/>
      <c r="M105" s="289" t="s">
        <v>2300</v>
      </c>
    </row>
    <row r="106">
      <c r="A106" s="265">
        <v>62509.0</v>
      </c>
      <c r="B106" s="273">
        <v>1.1680324E7</v>
      </c>
      <c r="C106" s="266" t="s">
        <v>31</v>
      </c>
      <c r="D106" s="265" t="s">
        <v>2365</v>
      </c>
      <c r="E106" s="312"/>
      <c r="F106" s="265" t="s">
        <v>2479</v>
      </c>
      <c r="G106" s="265" t="s">
        <v>1858</v>
      </c>
      <c r="H106" s="288">
        <v>0.5416666666666666</v>
      </c>
      <c r="I106" s="265" t="s">
        <v>2480</v>
      </c>
      <c r="J106" s="275">
        <v>117.99</v>
      </c>
      <c r="K106" s="273" t="s">
        <v>2478</v>
      </c>
      <c r="L106" s="273" t="s">
        <v>2476</v>
      </c>
      <c r="M106" s="289" t="s">
        <v>2323</v>
      </c>
    </row>
    <row r="107">
      <c r="A107" s="265">
        <v>62533.0</v>
      </c>
      <c r="B107" s="273">
        <v>1.1684093E7</v>
      </c>
      <c r="C107" s="266" t="s">
        <v>31</v>
      </c>
      <c r="D107" s="265" t="s">
        <v>2481</v>
      </c>
      <c r="E107" s="265" t="s">
        <v>1172</v>
      </c>
      <c r="F107" s="312"/>
      <c r="G107" s="265" t="s">
        <v>1868</v>
      </c>
      <c r="H107" s="288">
        <v>0.4583333333333333</v>
      </c>
      <c r="I107" s="265" t="s">
        <v>1873</v>
      </c>
      <c r="J107" s="275">
        <v>218.88</v>
      </c>
      <c r="K107" s="273" t="s">
        <v>2470</v>
      </c>
      <c r="L107" s="273" t="s">
        <v>2482</v>
      </c>
      <c r="M107" s="289" t="s">
        <v>2323</v>
      </c>
    </row>
    <row r="108">
      <c r="A108" s="84">
        <v>62535.0</v>
      </c>
      <c r="B108" s="273">
        <v>1.1688639E7</v>
      </c>
      <c r="C108" s="266" t="s">
        <v>31</v>
      </c>
      <c r="D108" s="265" t="s">
        <v>2371</v>
      </c>
      <c r="E108" s="312"/>
      <c r="F108" s="265" t="s">
        <v>2483</v>
      </c>
      <c r="G108" s="265" t="s">
        <v>1868</v>
      </c>
      <c r="H108" s="288">
        <v>0.4583333333333333</v>
      </c>
      <c r="I108" s="265" t="s">
        <v>1881</v>
      </c>
      <c r="J108" s="275">
        <v>117.99</v>
      </c>
      <c r="K108" s="273" t="s">
        <v>2478</v>
      </c>
      <c r="L108" s="308"/>
      <c r="M108" s="289" t="s">
        <v>2300</v>
      </c>
    </row>
    <row r="109">
      <c r="A109" s="265">
        <v>62796.0</v>
      </c>
      <c r="B109" s="273">
        <v>1.1691636E7</v>
      </c>
      <c r="C109" s="266" t="s">
        <v>43</v>
      </c>
      <c r="D109" s="265" t="s">
        <v>2414</v>
      </c>
      <c r="E109" s="312"/>
      <c r="F109" s="265" t="s">
        <v>1890</v>
      </c>
      <c r="G109" s="265" t="s">
        <v>1858</v>
      </c>
      <c r="H109" s="288">
        <v>0.5833333333333334</v>
      </c>
      <c r="I109" s="265" t="s">
        <v>1894</v>
      </c>
      <c r="J109" s="275">
        <v>708.43</v>
      </c>
      <c r="K109" s="273" t="s">
        <v>2470</v>
      </c>
      <c r="L109" s="273" t="s">
        <v>2484</v>
      </c>
      <c r="M109" s="289" t="s">
        <v>2323</v>
      </c>
    </row>
    <row r="110">
      <c r="A110" s="265">
        <v>62810.0</v>
      </c>
      <c r="B110" s="273">
        <v>1.1691637E7</v>
      </c>
      <c r="C110" s="266" t="s">
        <v>43</v>
      </c>
      <c r="D110" s="265" t="s">
        <v>2417</v>
      </c>
      <c r="E110" s="312"/>
      <c r="F110" s="265" t="s">
        <v>1890</v>
      </c>
      <c r="G110" s="265" t="s">
        <v>1900</v>
      </c>
      <c r="H110" s="288">
        <v>0.375</v>
      </c>
      <c r="I110" s="265" t="s">
        <v>1897</v>
      </c>
      <c r="J110" s="275">
        <v>359.11</v>
      </c>
      <c r="K110" s="273" t="s">
        <v>2470</v>
      </c>
      <c r="L110" s="273" t="s">
        <v>2485</v>
      </c>
      <c r="M110" s="289" t="s">
        <v>2323</v>
      </c>
    </row>
    <row r="111">
      <c r="A111" s="265">
        <v>62863.0</v>
      </c>
      <c r="B111" s="273">
        <v>1.1697772E7</v>
      </c>
      <c r="C111" s="266" t="s">
        <v>31</v>
      </c>
      <c r="D111" s="265" t="s">
        <v>2486</v>
      </c>
      <c r="E111" s="312"/>
      <c r="F111" s="265" t="s">
        <v>1860</v>
      </c>
      <c r="G111" s="265" t="s">
        <v>2487</v>
      </c>
      <c r="H111" s="288">
        <v>0.4583333333333333</v>
      </c>
      <c r="I111" s="265" t="s">
        <v>1906</v>
      </c>
      <c r="J111" s="275">
        <v>134.18</v>
      </c>
      <c r="K111" s="273" t="s">
        <v>2470</v>
      </c>
      <c r="L111" s="273" t="s">
        <v>2488</v>
      </c>
      <c r="M111" s="289" t="s">
        <v>2323</v>
      </c>
    </row>
    <row r="112">
      <c r="A112" s="265">
        <v>62897.0</v>
      </c>
      <c r="B112" s="273">
        <v>1.1698635E7</v>
      </c>
      <c r="C112" s="266" t="s">
        <v>31</v>
      </c>
      <c r="D112" s="265" t="s">
        <v>2403</v>
      </c>
      <c r="E112" s="312"/>
      <c r="F112" s="265" t="s">
        <v>1860</v>
      </c>
      <c r="G112" s="265" t="s">
        <v>1908</v>
      </c>
      <c r="H112" s="288">
        <v>0.625</v>
      </c>
      <c r="I112" s="299">
        <v>45666.614583333336</v>
      </c>
      <c r="J112" s="275">
        <v>258.24</v>
      </c>
      <c r="K112" s="273" t="s">
        <v>2470</v>
      </c>
      <c r="L112" s="273" t="s">
        <v>2489</v>
      </c>
      <c r="M112" s="289" t="s">
        <v>2323</v>
      </c>
    </row>
    <row r="113">
      <c r="A113" s="265">
        <v>62918.0</v>
      </c>
      <c r="B113" s="273">
        <v>1.1706839E7</v>
      </c>
      <c r="C113" s="266" t="s">
        <v>31</v>
      </c>
      <c r="D113" s="265" t="s">
        <v>2295</v>
      </c>
      <c r="E113" s="312"/>
      <c r="F113" s="265" t="s">
        <v>1916</v>
      </c>
      <c r="G113" s="265" t="s">
        <v>1930</v>
      </c>
      <c r="H113" s="288">
        <v>0.4166666666666667</v>
      </c>
      <c r="I113" s="299">
        <v>45725.208333333336</v>
      </c>
      <c r="J113" s="275">
        <v>277.74</v>
      </c>
      <c r="K113" s="273" t="s">
        <v>2470</v>
      </c>
      <c r="L113" s="273" t="s">
        <v>2490</v>
      </c>
      <c r="M113" s="289" t="s">
        <v>2323</v>
      </c>
    </row>
    <row r="114">
      <c r="A114" s="265">
        <v>62989.0</v>
      </c>
      <c r="B114" s="273">
        <v>1.1706841E7</v>
      </c>
      <c r="C114" s="266" t="s">
        <v>31</v>
      </c>
      <c r="D114" s="265" t="s">
        <v>2295</v>
      </c>
      <c r="E114" s="312"/>
      <c r="F114" s="265" t="s">
        <v>1921</v>
      </c>
      <c r="G114" s="265" t="s">
        <v>1930</v>
      </c>
      <c r="H114" s="288">
        <v>0.3333333333333333</v>
      </c>
      <c r="I114" s="299">
        <v>45725.208333333336</v>
      </c>
      <c r="J114" s="275">
        <v>265.44</v>
      </c>
      <c r="K114" s="273" t="s">
        <v>2470</v>
      </c>
      <c r="L114" s="273" t="s">
        <v>2491</v>
      </c>
      <c r="M114" s="289" t="s">
        <v>2323</v>
      </c>
    </row>
    <row r="115">
      <c r="A115" s="265">
        <v>63005.0</v>
      </c>
      <c r="B115" s="273">
        <v>1.1706842E7</v>
      </c>
      <c r="C115" s="266" t="s">
        <v>31</v>
      </c>
      <c r="D115" s="265" t="s">
        <v>2295</v>
      </c>
      <c r="E115" s="312"/>
      <c r="F115" s="265" t="s">
        <v>1890</v>
      </c>
      <c r="G115" s="265" t="s">
        <v>1930</v>
      </c>
      <c r="H115" s="288">
        <v>0.625</v>
      </c>
      <c r="I115" s="299">
        <v>45725.208333333336</v>
      </c>
      <c r="J115" s="275">
        <v>290.04</v>
      </c>
      <c r="K115" s="273" t="s">
        <v>2470</v>
      </c>
      <c r="L115" s="273" t="s">
        <v>2492</v>
      </c>
      <c r="M115" s="289" t="s">
        <v>2323</v>
      </c>
    </row>
    <row r="116">
      <c r="A116" s="265">
        <v>63039.0</v>
      </c>
      <c r="B116" s="273">
        <v>1.1706843E7</v>
      </c>
      <c r="C116" s="266" t="s">
        <v>31</v>
      </c>
      <c r="D116" s="265" t="s">
        <v>2295</v>
      </c>
      <c r="E116" s="312"/>
      <c r="F116" s="265" t="s">
        <v>1931</v>
      </c>
      <c r="G116" s="265" t="s">
        <v>1930</v>
      </c>
      <c r="H116" s="288">
        <v>0.625</v>
      </c>
      <c r="I116" s="299">
        <v>45725.208333333336</v>
      </c>
      <c r="J116" s="275">
        <v>348.56</v>
      </c>
      <c r="K116" s="273" t="s">
        <v>2470</v>
      </c>
      <c r="L116" s="273" t="s">
        <v>2493</v>
      </c>
      <c r="M116" s="289" t="s">
        <v>2323</v>
      </c>
    </row>
    <row r="117">
      <c r="A117" s="265">
        <v>103841.0</v>
      </c>
      <c r="B117" s="273">
        <v>1.1723354E7</v>
      </c>
      <c r="C117" s="266" t="s">
        <v>43</v>
      </c>
      <c r="D117" s="265" t="s">
        <v>2295</v>
      </c>
      <c r="E117" s="312"/>
      <c r="F117" s="265" t="s">
        <v>1943</v>
      </c>
      <c r="G117" s="315">
        <v>45909.0</v>
      </c>
      <c r="H117" s="316">
        <v>0.75</v>
      </c>
      <c r="I117" s="317">
        <v>45912.0625</v>
      </c>
      <c r="J117" s="275">
        <v>305.73</v>
      </c>
      <c r="K117" s="273" t="s">
        <v>2470</v>
      </c>
      <c r="L117" s="273" t="s">
        <v>2494</v>
      </c>
      <c r="M117" s="289" t="s">
        <v>2323</v>
      </c>
    </row>
    <row r="118">
      <c r="A118" s="265">
        <v>103882.0</v>
      </c>
      <c r="B118" s="273">
        <v>1.1723358E7</v>
      </c>
      <c r="C118" s="266" t="s">
        <v>43</v>
      </c>
      <c r="D118" s="265" t="s">
        <v>2327</v>
      </c>
      <c r="E118" s="312"/>
      <c r="F118" s="265" t="s">
        <v>1943</v>
      </c>
      <c r="G118" s="318">
        <v>45912.0</v>
      </c>
      <c r="H118" s="316">
        <v>0.0625</v>
      </c>
      <c r="I118" s="317">
        <v>45913.708333333336</v>
      </c>
      <c r="J118" s="275">
        <v>305.73</v>
      </c>
      <c r="K118" s="273" t="s">
        <v>2470</v>
      </c>
      <c r="L118" s="273" t="s">
        <v>2495</v>
      </c>
      <c r="M118" s="289" t="s">
        <v>2323</v>
      </c>
    </row>
    <row r="119">
      <c r="A119" s="265">
        <v>103950.0</v>
      </c>
      <c r="B119" s="273">
        <v>1.1723352E7</v>
      </c>
      <c r="C119" s="266" t="s">
        <v>43</v>
      </c>
      <c r="D119" s="265" t="s">
        <v>2295</v>
      </c>
      <c r="E119" s="312"/>
      <c r="F119" s="265" t="s">
        <v>1945</v>
      </c>
      <c r="G119" s="315">
        <v>45909.0</v>
      </c>
      <c r="H119" s="316">
        <v>0.75</v>
      </c>
      <c r="I119" s="317">
        <v>45912.270833333336</v>
      </c>
      <c r="J119" s="275">
        <v>333.57</v>
      </c>
      <c r="K119" s="273" t="s">
        <v>2470</v>
      </c>
      <c r="L119" s="273" t="s">
        <v>2496</v>
      </c>
      <c r="M119" s="289" t="s">
        <v>2323</v>
      </c>
    </row>
    <row r="120">
      <c r="A120" s="265">
        <v>104017.0</v>
      </c>
      <c r="B120" s="273">
        <v>1.1735796E7</v>
      </c>
      <c r="C120" s="266" t="s">
        <v>31</v>
      </c>
      <c r="D120" s="265" t="s">
        <v>2465</v>
      </c>
      <c r="E120" s="312"/>
      <c r="F120" s="265" t="s">
        <v>1860</v>
      </c>
      <c r="G120" s="315">
        <v>45912.0</v>
      </c>
      <c r="H120" s="316">
        <v>0.9166666666666666</v>
      </c>
      <c r="I120" s="317">
        <v>45916.375</v>
      </c>
      <c r="J120" s="275">
        <v>271.92</v>
      </c>
      <c r="K120" s="273" t="s">
        <v>2470</v>
      </c>
      <c r="L120" s="273" t="s">
        <v>2497</v>
      </c>
      <c r="M120" s="289" t="s">
        <v>2323</v>
      </c>
    </row>
    <row r="121">
      <c r="A121" s="265">
        <v>104031.0</v>
      </c>
      <c r="B121" s="273">
        <v>1.1732289E7</v>
      </c>
      <c r="C121" s="266" t="s">
        <v>43</v>
      </c>
      <c r="D121" s="265" t="s">
        <v>2371</v>
      </c>
      <c r="E121" s="312"/>
      <c r="F121" s="265" t="s">
        <v>1943</v>
      </c>
      <c r="G121" s="315">
        <v>45913.0</v>
      </c>
      <c r="H121" s="316">
        <v>0.9097222222222222</v>
      </c>
      <c r="I121" s="317">
        <v>45916.368055555555</v>
      </c>
      <c r="J121" s="275">
        <v>121.44</v>
      </c>
      <c r="K121" s="273" t="s">
        <v>2470</v>
      </c>
      <c r="L121" s="273" t="s">
        <v>2498</v>
      </c>
      <c r="M121" s="289" t="s">
        <v>2323</v>
      </c>
    </row>
    <row r="122">
      <c r="A122" s="265">
        <v>104080.0</v>
      </c>
      <c r="B122" s="273">
        <v>1.173229E7</v>
      </c>
      <c r="C122" s="266" t="s">
        <v>43</v>
      </c>
      <c r="D122" s="265" t="s">
        <v>2372</v>
      </c>
      <c r="E122" s="312"/>
      <c r="F122" s="265" t="s">
        <v>1943</v>
      </c>
      <c r="G122" s="315">
        <v>45916.0</v>
      </c>
      <c r="H122" s="316">
        <v>0.6666666666666666</v>
      </c>
      <c r="I122" s="317">
        <v>45916.90972222222</v>
      </c>
      <c r="J122" s="275">
        <v>121.44</v>
      </c>
      <c r="K122" s="273" t="s">
        <v>2470</v>
      </c>
      <c r="L122" s="273" t="s">
        <v>2499</v>
      </c>
      <c r="M122" s="289" t="s">
        <v>2323</v>
      </c>
    </row>
    <row r="123">
      <c r="A123" s="265">
        <v>121027.0</v>
      </c>
      <c r="B123" s="273">
        <v>1.1734839E7</v>
      </c>
      <c r="C123" s="266" t="s">
        <v>43</v>
      </c>
      <c r="D123" s="265" t="s">
        <v>2295</v>
      </c>
      <c r="E123" s="312"/>
      <c r="F123" s="265" t="s">
        <v>1943</v>
      </c>
      <c r="G123" s="317">
        <v>45917.5625</v>
      </c>
      <c r="H123" s="312"/>
      <c r="I123" s="317">
        <v>45920.458333333336</v>
      </c>
      <c r="J123" s="275">
        <v>329.59</v>
      </c>
      <c r="K123" s="273" t="s">
        <v>2470</v>
      </c>
      <c r="L123" s="273" t="s">
        <v>2500</v>
      </c>
      <c r="M123" s="289" t="s">
        <v>2323</v>
      </c>
    </row>
    <row r="124">
      <c r="A124" s="265">
        <v>121066.0</v>
      </c>
      <c r="B124" s="273">
        <v>1.1734566E7</v>
      </c>
      <c r="C124" s="266" t="s">
        <v>43</v>
      </c>
      <c r="D124" s="265" t="s">
        <v>2295</v>
      </c>
      <c r="E124" s="312"/>
      <c r="F124" s="265" t="s">
        <v>1860</v>
      </c>
      <c r="G124" s="317">
        <v>45918.166666666664</v>
      </c>
      <c r="H124" s="312"/>
      <c r="I124" s="317">
        <v>45920.770833333336</v>
      </c>
      <c r="J124" s="275">
        <v>251.86</v>
      </c>
      <c r="K124" s="273" t="s">
        <v>2470</v>
      </c>
      <c r="L124" s="273" t="s">
        <v>2501</v>
      </c>
      <c r="M124" s="289" t="s">
        <v>2323</v>
      </c>
    </row>
    <row r="125">
      <c r="A125" s="265">
        <v>121130.0</v>
      </c>
      <c r="B125" s="273">
        <v>1.1734569E7</v>
      </c>
      <c r="C125" s="266" t="s">
        <v>43</v>
      </c>
      <c r="D125" s="265" t="s">
        <v>2327</v>
      </c>
      <c r="E125" s="312"/>
      <c r="F125" s="265" t="s">
        <v>1860</v>
      </c>
      <c r="G125" s="317">
        <v>45920.77777777778</v>
      </c>
      <c r="H125" s="312"/>
      <c r="I125" s="317">
        <v>45923.26388888889</v>
      </c>
      <c r="J125" s="275">
        <v>325.23</v>
      </c>
      <c r="K125" s="273" t="s">
        <v>2470</v>
      </c>
      <c r="L125" s="273" t="s">
        <v>2502</v>
      </c>
      <c r="M125" s="289" t="s">
        <v>2323</v>
      </c>
    </row>
    <row r="126">
      <c r="A126" s="265">
        <v>126123.0</v>
      </c>
      <c r="B126" s="273">
        <v>1.1734568E7</v>
      </c>
      <c r="C126" s="266" t="s">
        <v>43</v>
      </c>
      <c r="D126" s="265" t="s">
        <v>2295</v>
      </c>
      <c r="E126" s="312"/>
      <c r="F126" s="265" t="s">
        <v>1945</v>
      </c>
      <c r="G126" s="317">
        <v>45917.5625</v>
      </c>
      <c r="H126" s="312"/>
      <c r="I126" s="317">
        <v>45920.47222222222</v>
      </c>
      <c r="J126" s="275">
        <v>273.68</v>
      </c>
      <c r="K126" s="273" t="s">
        <v>2470</v>
      </c>
      <c r="L126" s="273" t="s">
        <v>2503</v>
      </c>
      <c r="M126" s="289" t="s">
        <v>2323</v>
      </c>
    </row>
    <row r="127">
      <c r="A127" s="265">
        <v>126163.0</v>
      </c>
      <c r="B127" s="273">
        <v>1.1734773E7</v>
      </c>
      <c r="C127" s="266" t="s">
        <v>31</v>
      </c>
      <c r="D127" s="265" t="s">
        <v>2295</v>
      </c>
      <c r="E127" s="312"/>
      <c r="F127" s="265" t="s">
        <v>1936</v>
      </c>
      <c r="G127" s="317">
        <v>45917.375</v>
      </c>
      <c r="H127" s="312"/>
      <c r="I127" s="317">
        <v>45919.493055555555</v>
      </c>
      <c r="J127" s="275">
        <v>329.59</v>
      </c>
      <c r="K127" s="273" t="s">
        <v>2478</v>
      </c>
      <c r="L127" s="273" t="s">
        <v>2504</v>
      </c>
      <c r="M127" s="289" t="s">
        <v>2323</v>
      </c>
    </row>
    <row r="128">
      <c r="A128" s="265">
        <v>126173.0</v>
      </c>
      <c r="B128" s="273">
        <v>1.1745864E7</v>
      </c>
      <c r="C128" s="266" t="s">
        <v>31</v>
      </c>
      <c r="D128" s="265" t="s">
        <v>2407</v>
      </c>
      <c r="E128" s="312"/>
      <c r="F128" s="265" t="s">
        <v>1969</v>
      </c>
      <c r="G128" s="317">
        <v>45917.104166666664</v>
      </c>
      <c r="H128" s="312"/>
      <c r="I128" s="317">
        <v>45919.48611111111</v>
      </c>
      <c r="J128" s="275">
        <v>633.55</v>
      </c>
      <c r="K128" s="273" t="s">
        <v>2470</v>
      </c>
      <c r="L128" s="273" t="s">
        <v>2505</v>
      </c>
      <c r="M128" s="289" t="s">
        <v>2323</v>
      </c>
    </row>
    <row r="129">
      <c r="A129" s="265">
        <v>126214.0</v>
      </c>
      <c r="B129" s="273">
        <v>1.1749925E7</v>
      </c>
      <c r="C129" s="266" t="s">
        <v>43</v>
      </c>
      <c r="D129" s="265" t="s">
        <v>2407</v>
      </c>
      <c r="E129" s="312"/>
      <c r="F129" s="265" t="s">
        <v>1974</v>
      </c>
      <c r="G129" s="317">
        <v>45918.333333333336</v>
      </c>
      <c r="H129" s="312"/>
      <c r="I129" s="317">
        <v>45920.125</v>
      </c>
      <c r="J129" s="275">
        <v>508.02</v>
      </c>
      <c r="K129" s="273" t="s">
        <v>2470</v>
      </c>
      <c r="L129" s="273" t="s">
        <v>2506</v>
      </c>
      <c r="M129" s="289" t="s">
        <v>2323</v>
      </c>
    </row>
    <row r="130">
      <c r="A130" s="265">
        <v>126231.0</v>
      </c>
      <c r="B130" s="273">
        <v>1.1749927E7</v>
      </c>
      <c r="C130" s="266" t="s">
        <v>43</v>
      </c>
      <c r="D130" s="265" t="s">
        <v>2421</v>
      </c>
      <c r="E130" s="312"/>
      <c r="F130" s="265" t="s">
        <v>1974</v>
      </c>
      <c r="G130" s="317">
        <v>45920.125</v>
      </c>
      <c r="H130" s="312"/>
      <c r="I130" s="317">
        <v>45923.34722222222</v>
      </c>
      <c r="J130" s="275">
        <v>313.85</v>
      </c>
      <c r="K130" s="273" t="s">
        <v>2478</v>
      </c>
      <c r="L130" s="273" t="s">
        <v>2504</v>
      </c>
      <c r="M130" s="289" t="s">
        <v>2323</v>
      </c>
    </row>
    <row r="131">
      <c r="A131" s="265">
        <v>128610.0</v>
      </c>
      <c r="B131" s="273">
        <v>1.1750072E7</v>
      </c>
      <c r="C131" s="266" t="s">
        <v>31</v>
      </c>
      <c r="D131" s="265" t="s">
        <v>2407</v>
      </c>
      <c r="E131" s="312"/>
      <c r="F131" s="265" t="s">
        <v>1985</v>
      </c>
      <c r="G131" s="317">
        <v>45919.833333333336</v>
      </c>
      <c r="H131" s="312"/>
      <c r="I131" s="317">
        <v>45923.291666666664</v>
      </c>
      <c r="J131" s="275">
        <v>615.55</v>
      </c>
      <c r="K131" s="273" t="s">
        <v>2470</v>
      </c>
      <c r="L131" s="273" t="s">
        <v>2507</v>
      </c>
      <c r="M131" s="289" t="s">
        <v>2323</v>
      </c>
    </row>
    <row r="132">
      <c r="A132" s="265">
        <v>128612.0</v>
      </c>
      <c r="B132" s="273">
        <v>1.1753177E7</v>
      </c>
      <c r="C132" s="266" t="s">
        <v>31</v>
      </c>
      <c r="D132" s="265" t="s">
        <v>2465</v>
      </c>
      <c r="E132" s="312"/>
      <c r="F132" s="265" t="s">
        <v>1988</v>
      </c>
      <c r="G132" s="317">
        <v>45920.8125</v>
      </c>
      <c r="H132" s="312"/>
      <c r="I132" s="317">
        <v>45922.4375</v>
      </c>
      <c r="J132" s="275" t="s">
        <v>2508</v>
      </c>
      <c r="K132" s="273" t="s">
        <v>2470</v>
      </c>
      <c r="L132" s="273" t="s">
        <v>2509</v>
      </c>
      <c r="M132" s="289" t="s">
        <v>2323</v>
      </c>
    </row>
    <row r="133">
      <c r="A133" s="265">
        <v>62796.0</v>
      </c>
      <c r="B133" s="273">
        <v>1.1769309E7</v>
      </c>
      <c r="C133" s="266" t="s">
        <v>43</v>
      </c>
      <c r="D133" s="265" t="s">
        <v>2414</v>
      </c>
      <c r="E133" s="312"/>
      <c r="F133" s="265" t="s">
        <v>1883</v>
      </c>
      <c r="G133" s="317">
        <v>45927.78472222222</v>
      </c>
      <c r="H133" s="312"/>
      <c r="I133" s="317">
        <v>45929.604166666664</v>
      </c>
      <c r="J133" s="275">
        <v>798.0</v>
      </c>
      <c r="K133" s="273" t="s">
        <v>2470</v>
      </c>
      <c r="L133" s="273" t="s">
        <v>2484</v>
      </c>
      <c r="M133" s="289" t="s">
        <v>2323</v>
      </c>
    </row>
    <row r="134">
      <c r="A134" s="265">
        <v>126233.0</v>
      </c>
      <c r="B134" s="273">
        <v>1.1745861E7</v>
      </c>
      <c r="C134" s="266" t="s">
        <v>43</v>
      </c>
      <c r="D134" s="265" t="s">
        <v>2407</v>
      </c>
      <c r="E134" s="312"/>
      <c r="F134" s="265" t="s">
        <v>1931</v>
      </c>
      <c r="G134" s="317">
        <v>45917.541666666664</v>
      </c>
      <c r="H134" s="312"/>
      <c r="I134" s="317">
        <v>45922.5625</v>
      </c>
      <c r="J134" s="275">
        <v>559.84</v>
      </c>
      <c r="K134" s="273" t="s">
        <v>2478</v>
      </c>
      <c r="L134" s="273" t="s">
        <v>2504</v>
      </c>
      <c r="M134" s="289" t="s">
        <v>2323</v>
      </c>
    </row>
    <row r="135">
      <c r="A135" s="273">
        <v>126243.0</v>
      </c>
      <c r="B135" s="273">
        <v>1.1745867E7</v>
      </c>
      <c r="C135" s="266" t="s">
        <v>43</v>
      </c>
      <c r="D135" s="265" t="s">
        <v>2421</v>
      </c>
      <c r="E135" s="312"/>
      <c r="F135" s="265" t="s">
        <v>1931</v>
      </c>
      <c r="G135" s="317">
        <v>44826.5625</v>
      </c>
      <c r="H135" s="312"/>
      <c r="I135" s="317">
        <v>45926.052083333336</v>
      </c>
      <c r="J135" s="275">
        <v>605.83</v>
      </c>
      <c r="K135" s="273" t="s">
        <v>2478</v>
      </c>
      <c r="L135" s="273" t="s">
        <v>2504</v>
      </c>
      <c r="M135" s="289" t="s">
        <v>2323</v>
      </c>
    </row>
    <row r="136">
      <c r="A136" s="265">
        <v>265602.0</v>
      </c>
      <c r="B136" s="273">
        <v>1.1756722E7</v>
      </c>
      <c r="C136" s="266" t="s">
        <v>43</v>
      </c>
      <c r="D136" s="265" t="s">
        <v>2295</v>
      </c>
      <c r="E136" s="312"/>
      <c r="F136" s="265" t="s">
        <v>1860</v>
      </c>
      <c r="G136" s="317">
        <v>45923.26388888889</v>
      </c>
      <c r="H136" s="312"/>
      <c r="I136" s="317">
        <v>45933.333333333336</v>
      </c>
      <c r="J136" s="275">
        <v>635.32</v>
      </c>
      <c r="K136" s="273" t="s">
        <v>2470</v>
      </c>
      <c r="L136" s="273" t="s">
        <v>2510</v>
      </c>
      <c r="M136" s="289" t="s">
        <v>2323</v>
      </c>
    </row>
    <row r="137">
      <c r="A137" s="265">
        <v>285343.0</v>
      </c>
      <c r="B137" s="273">
        <v>1.1760005E7</v>
      </c>
      <c r="C137" s="266" t="s">
        <v>31</v>
      </c>
      <c r="D137" s="265" t="s">
        <v>2511</v>
      </c>
      <c r="E137" s="312"/>
      <c r="F137" s="265" t="s">
        <v>2000</v>
      </c>
      <c r="G137" s="317">
        <v>45923.875</v>
      </c>
      <c r="H137" s="312"/>
      <c r="I137" s="317">
        <v>45925.541666666664</v>
      </c>
      <c r="J137" s="275">
        <v>218.88</v>
      </c>
      <c r="K137" s="273" t="s">
        <v>2470</v>
      </c>
      <c r="L137" s="273" t="s">
        <v>2512</v>
      </c>
      <c r="M137" s="289" t="s">
        <v>2323</v>
      </c>
    </row>
    <row r="138">
      <c r="A138" s="265">
        <v>285490.0</v>
      </c>
      <c r="B138" s="273">
        <v>1.1773847E7</v>
      </c>
      <c r="C138" s="266" t="s">
        <v>43</v>
      </c>
      <c r="D138" s="265" t="s">
        <v>2295</v>
      </c>
      <c r="E138" s="312"/>
      <c r="F138" s="265" t="s">
        <v>1945</v>
      </c>
      <c r="G138" s="317">
        <v>45929.875</v>
      </c>
      <c r="H138" s="312"/>
      <c r="I138" s="317">
        <v>45947.40972222222</v>
      </c>
      <c r="J138" s="275">
        <v>673.64</v>
      </c>
      <c r="K138" s="273" t="s">
        <v>2470</v>
      </c>
      <c r="L138" s="273" t="s">
        <v>2513</v>
      </c>
      <c r="M138" s="289" t="s">
        <v>2323</v>
      </c>
    </row>
    <row r="139">
      <c r="A139" s="265">
        <v>265634.0</v>
      </c>
      <c r="B139" s="273">
        <v>1.1750073E7</v>
      </c>
      <c r="C139" s="266" t="s">
        <v>31</v>
      </c>
      <c r="D139" s="265" t="s">
        <v>2407</v>
      </c>
      <c r="E139" s="312"/>
      <c r="F139" s="265" t="s">
        <v>1943</v>
      </c>
      <c r="G139" s="317">
        <v>45922.86111111111</v>
      </c>
      <c r="H139" s="312"/>
      <c r="I139" s="317">
        <v>45924.520833333336</v>
      </c>
      <c r="J139" s="275">
        <v>653.74</v>
      </c>
      <c r="K139" s="273" t="s">
        <v>2470</v>
      </c>
      <c r="L139" s="273" t="s">
        <v>2514</v>
      </c>
      <c r="M139" s="289" t="s">
        <v>2323</v>
      </c>
    </row>
    <row r="140">
      <c r="A140" s="265">
        <v>285394.0</v>
      </c>
      <c r="B140" s="273">
        <v>1.1773859E7</v>
      </c>
      <c r="C140" s="266" t="s">
        <v>31</v>
      </c>
      <c r="D140" s="265" t="s">
        <v>2379</v>
      </c>
      <c r="E140" s="312"/>
      <c r="F140" s="265" t="s">
        <v>2011</v>
      </c>
      <c r="G140" s="317">
        <v>45927.76388888889</v>
      </c>
      <c r="H140" s="312"/>
      <c r="I140" s="317">
        <v>45930.729166666664</v>
      </c>
      <c r="J140" s="275">
        <v>167.04</v>
      </c>
      <c r="K140" s="273" t="s">
        <v>2470</v>
      </c>
      <c r="L140" s="273" t="s">
        <v>2515</v>
      </c>
      <c r="M140" s="289" t="s">
        <v>2323</v>
      </c>
    </row>
    <row r="141">
      <c r="A141" s="265">
        <v>265735.0</v>
      </c>
      <c r="B141" s="273">
        <v>1.1766308E7</v>
      </c>
      <c r="C141" s="266" t="s">
        <v>31</v>
      </c>
      <c r="D141" s="265" t="s">
        <v>2407</v>
      </c>
      <c r="E141" s="312"/>
      <c r="F141" s="265" t="s">
        <v>1988</v>
      </c>
      <c r="G141" s="317">
        <v>45924.0625</v>
      </c>
      <c r="H141" s="312"/>
      <c r="I141" s="317">
        <v>45925.47222222222</v>
      </c>
      <c r="J141" s="275">
        <v>532.64</v>
      </c>
      <c r="K141" s="273" t="s">
        <v>2470</v>
      </c>
      <c r="L141" s="273" t="s">
        <v>2516</v>
      </c>
      <c r="M141" s="289" t="s">
        <v>2323</v>
      </c>
    </row>
    <row r="142">
      <c r="A142" s="265">
        <v>265832.0</v>
      </c>
      <c r="B142" s="273">
        <v>1.1769307E7</v>
      </c>
      <c r="C142" s="266" t="s">
        <v>31</v>
      </c>
      <c r="D142" s="265" t="s">
        <v>2371</v>
      </c>
      <c r="E142" s="312"/>
      <c r="F142" s="265" t="s">
        <v>1999</v>
      </c>
      <c r="G142" s="317">
        <v>45923.833333333336</v>
      </c>
      <c r="H142" s="312"/>
      <c r="I142" s="317">
        <v>45924.4375</v>
      </c>
      <c r="J142" s="275">
        <v>121.44</v>
      </c>
      <c r="K142" s="273" t="s">
        <v>2470</v>
      </c>
      <c r="L142" s="273" t="s">
        <v>2517</v>
      </c>
      <c r="M142" s="289" t="s">
        <v>2323</v>
      </c>
    </row>
    <row r="143">
      <c r="A143" s="265">
        <v>285371.0</v>
      </c>
      <c r="B143" s="273">
        <v>1.1761741E7</v>
      </c>
      <c r="C143" s="266" t="s">
        <v>31</v>
      </c>
      <c r="D143" s="265" t="s">
        <v>2481</v>
      </c>
      <c r="E143" s="312"/>
      <c r="F143" s="265" t="s">
        <v>2005</v>
      </c>
      <c r="G143" s="317">
        <v>45925.354166666664</v>
      </c>
      <c r="H143" s="312"/>
      <c r="I143" s="317" t="s">
        <v>2006</v>
      </c>
      <c r="J143" s="275">
        <v>145.92</v>
      </c>
      <c r="K143" s="273" t="s">
        <v>2470</v>
      </c>
      <c r="L143" s="273" t="s">
        <v>2518</v>
      </c>
      <c r="M143" s="289" t="s">
        <v>2323</v>
      </c>
    </row>
    <row r="144">
      <c r="A144" s="265">
        <v>337828.0</v>
      </c>
      <c r="B144" s="273">
        <v>1.1786932E7</v>
      </c>
      <c r="C144" s="266" t="s">
        <v>31</v>
      </c>
      <c r="D144" s="265" t="s">
        <v>2295</v>
      </c>
      <c r="E144" s="312"/>
      <c r="F144" s="265" t="s">
        <v>1999</v>
      </c>
      <c r="G144" s="317">
        <v>45933.645833333336</v>
      </c>
      <c r="H144" s="312"/>
      <c r="I144" s="317">
        <v>47033.6875</v>
      </c>
      <c r="J144" s="275">
        <v>353.45</v>
      </c>
      <c r="K144" s="273" t="s">
        <v>2470</v>
      </c>
      <c r="L144" s="273" t="s">
        <v>2519</v>
      </c>
      <c r="M144" s="289" t="s">
        <v>2323</v>
      </c>
    </row>
    <row r="145">
      <c r="A145" s="265">
        <v>337763.0</v>
      </c>
      <c r="B145" s="273">
        <v>1.1785404E7</v>
      </c>
      <c r="C145" s="266" t="s">
        <v>31</v>
      </c>
      <c r="D145" s="265" t="s">
        <v>2520</v>
      </c>
      <c r="E145" s="312"/>
      <c r="F145" s="265" t="s">
        <v>1860</v>
      </c>
      <c r="G145" s="317">
        <v>45933.083333333336</v>
      </c>
      <c r="H145" s="312"/>
      <c r="I145" s="317">
        <v>45936.666666666664</v>
      </c>
      <c r="J145" s="275">
        <v>469.64</v>
      </c>
      <c r="K145" s="273" t="s">
        <v>2470</v>
      </c>
      <c r="L145" s="273" t="s">
        <v>2521</v>
      </c>
      <c r="M145" s="289" t="s">
        <v>2323</v>
      </c>
    </row>
    <row r="146">
      <c r="A146" s="265">
        <v>337795.0</v>
      </c>
      <c r="B146" s="273">
        <v>1.1769339E7</v>
      </c>
      <c r="C146" s="266" t="s">
        <v>43</v>
      </c>
      <c r="D146" s="265" t="s">
        <v>2295</v>
      </c>
      <c r="E146" s="312"/>
      <c r="F146" s="265" t="s">
        <v>1883</v>
      </c>
      <c r="G146" s="317">
        <v>45933.48611111111</v>
      </c>
      <c r="H146" s="312"/>
      <c r="I146" s="317">
        <v>45936.791666666664</v>
      </c>
      <c r="J146" s="275" t="s">
        <v>2522</v>
      </c>
      <c r="K146" s="273" t="s">
        <v>2470</v>
      </c>
      <c r="L146" s="273" t="s">
        <v>2523</v>
      </c>
      <c r="M146" s="289" t="s">
        <v>2323</v>
      </c>
    </row>
    <row r="147">
      <c r="A147" s="284">
        <v>337778.0</v>
      </c>
      <c r="B147" s="273">
        <v>1.1786928E7</v>
      </c>
      <c r="C147" s="266" t="s">
        <v>43</v>
      </c>
      <c r="D147" s="284" t="s">
        <v>2371</v>
      </c>
      <c r="E147" s="319"/>
      <c r="F147" s="284" t="s">
        <v>1943</v>
      </c>
      <c r="G147" s="317">
        <v>45933.791666666664</v>
      </c>
      <c r="H147" s="319"/>
      <c r="I147" s="317">
        <v>45938.604166666664</v>
      </c>
      <c r="J147" s="291">
        <v>242.88</v>
      </c>
      <c r="K147" s="273" t="s">
        <v>2470</v>
      </c>
      <c r="L147" s="273" t="s">
        <v>2524</v>
      </c>
      <c r="M147" s="289" t="s">
        <v>2323</v>
      </c>
    </row>
    <row r="148">
      <c r="A148" s="265">
        <v>337651.0</v>
      </c>
      <c r="B148" s="273">
        <v>1.1786933E7</v>
      </c>
      <c r="C148" s="266" t="s">
        <v>43</v>
      </c>
      <c r="D148" s="284" t="s">
        <v>2371</v>
      </c>
      <c r="E148" s="312"/>
      <c r="F148" s="265" t="s">
        <v>1883</v>
      </c>
      <c r="G148" s="317">
        <v>45932.375</v>
      </c>
      <c r="H148" s="312"/>
      <c r="I148" s="317">
        <v>45932.96527777778</v>
      </c>
      <c r="J148" s="291">
        <v>242.88</v>
      </c>
      <c r="K148" s="273" t="s">
        <v>2470</v>
      </c>
      <c r="L148" s="273" t="s">
        <v>2525</v>
      </c>
      <c r="M148" s="289" t="s">
        <v>2323</v>
      </c>
    </row>
    <row r="149">
      <c r="A149" s="265">
        <v>337752.0</v>
      </c>
      <c r="B149" s="273">
        <v>1.1787785E7</v>
      </c>
      <c r="C149" s="266" t="s">
        <v>31</v>
      </c>
      <c r="D149" s="265" t="s">
        <v>2526</v>
      </c>
      <c r="E149" s="312"/>
      <c r="F149" s="265" t="s">
        <v>1931</v>
      </c>
      <c r="G149" s="317">
        <v>45933.25</v>
      </c>
      <c r="H149" s="312"/>
      <c r="I149" s="317">
        <v>45933.708333333336</v>
      </c>
      <c r="J149" s="275">
        <v>226.7</v>
      </c>
      <c r="K149" s="273" t="s">
        <v>2470</v>
      </c>
      <c r="L149" s="273" t="s">
        <v>2527</v>
      </c>
      <c r="M149" s="289" t="s">
        <v>2323</v>
      </c>
    </row>
    <row r="150">
      <c r="A150" s="265">
        <v>337856.0</v>
      </c>
      <c r="B150" s="103">
        <v>1.1798345E7</v>
      </c>
      <c r="C150" s="266" t="s">
        <v>43</v>
      </c>
      <c r="D150" s="265" t="s">
        <v>2295</v>
      </c>
      <c r="E150" s="312"/>
      <c r="F150" s="265" t="s">
        <v>1974</v>
      </c>
      <c r="G150" s="214">
        <v>45934.76388888889</v>
      </c>
      <c r="H150" s="312"/>
      <c r="I150" s="214">
        <v>45940.208333333336</v>
      </c>
      <c r="J150" s="275">
        <v>657.14</v>
      </c>
      <c r="K150" s="273" t="s">
        <v>2470</v>
      </c>
      <c r="L150" s="273" t="s">
        <v>2528</v>
      </c>
      <c r="M150" s="289" t="s">
        <v>2323</v>
      </c>
    </row>
    <row r="151">
      <c r="A151" s="312"/>
      <c r="B151" s="308"/>
      <c r="C151" s="320"/>
      <c r="D151" s="312"/>
      <c r="E151" s="312"/>
      <c r="F151" s="312"/>
      <c r="G151" s="312"/>
      <c r="H151" s="312"/>
      <c r="I151" s="312"/>
      <c r="J151" s="321"/>
      <c r="K151" s="308"/>
      <c r="L151" s="308"/>
      <c r="M151" s="289"/>
    </row>
    <row r="152">
      <c r="A152" s="312"/>
      <c r="B152" s="308"/>
      <c r="C152" s="320"/>
      <c r="D152" s="312"/>
      <c r="E152" s="312"/>
      <c r="F152" s="312"/>
      <c r="G152" s="312"/>
      <c r="H152" s="312"/>
      <c r="I152" s="312"/>
      <c r="J152" s="321"/>
      <c r="K152" s="308"/>
      <c r="L152" s="308"/>
      <c r="M152" s="289"/>
    </row>
    <row r="153">
      <c r="A153" s="312"/>
      <c r="B153" s="308"/>
      <c r="C153" s="320"/>
      <c r="D153" s="312"/>
      <c r="E153" s="312"/>
      <c r="F153" s="312"/>
      <c r="G153" s="312"/>
      <c r="H153" s="312"/>
      <c r="I153" s="312"/>
      <c r="J153" s="321"/>
      <c r="K153" s="308"/>
      <c r="L153" s="308"/>
      <c r="M153" s="289"/>
    </row>
    <row r="154">
      <c r="A154" s="312"/>
      <c r="B154" s="308"/>
      <c r="C154" s="320"/>
      <c r="D154" s="312"/>
      <c r="E154" s="312"/>
      <c r="F154" s="312"/>
      <c r="G154" s="312"/>
      <c r="H154" s="312"/>
      <c r="I154" s="312"/>
      <c r="J154" s="321"/>
      <c r="K154" s="308"/>
      <c r="L154" s="308"/>
      <c r="M154" s="289"/>
    </row>
    <row r="155">
      <c r="A155" s="312"/>
      <c r="B155" s="308"/>
      <c r="C155" s="320"/>
      <c r="D155" s="312"/>
      <c r="E155" s="312"/>
      <c r="F155" s="312"/>
      <c r="G155" s="312"/>
      <c r="H155" s="312"/>
      <c r="I155" s="312"/>
      <c r="J155" s="321"/>
      <c r="K155" s="308"/>
      <c r="L155" s="308"/>
      <c r="M155" s="289"/>
    </row>
    <row r="156">
      <c r="A156" s="312"/>
      <c r="B156" s="308"/>
      <c r="C156" s="320"/>
      <c r="D156" s="312"/>
      <c r="E156" s="312"/>
      <c r="F156" s="312"/>
      <c r="G156" s="312"/>
      <c r="H156" s="312"/>
      <c r="I156" s="312"/>
      <c r="J156" s="321"/>
      <c r="K156" s="308"/>
      <c r="L156" s="308"/>
      <c r="M156" s="289"/>
    </row>
    <row r="157">
      <c r="A157" s="312"/>
      <c r="B157" s="308"/>
      <c r="C157" s="320"/>
      <c r="D157" s="312"/>
      <c r="E157" s="312"/>
      <c r="F157" s="312"/>
      <c r="G157" s="312"/>
      <c r="H157" s="312"/>
      <c r="I157" s="312"/>
      <c r="J157" s="321"/>
      <c r="K157" s="308"/>
      <c r="L157" s="308"/>
      <c r="M157" s="289"/>
    </row>
    <row r="158">
      <c r="A158" s="312"/>
      <c r="B158" s="308"/>
      <c r="C158" s="320"/>
      <c r="D158" s="312"/>
      <c r="E158" s="312"/>
      <c r="F158" s="312"/>
      <c r="G158" s="312"/>
      <c r="H158" s="312"/>
      <c r="I158" s="312"/>
      <c r="J158" s="321"/>
      <c r="K158" s="308"/>
      <c r="L158" s="308"/>
      <c r="M158" s="289"/>
    </row>
    <row r="159">
      <c r="A159" s="312"/>
      <c r="B159" s="308"/>
      <c r="C159" s="320"/>
      <c r="D159" s="312"/>
      <c r="E159" s="312"/>
      <c r="F159" s="312"/>
      <c r="G159" s="312"/>
      <c r="H159" s="312"/>
      <c r="I159" s="312"/>
      <c r="J159" s="321"/>
      <c r="K159" s="308"/>
      <c r="L159" s="308"/>
      <c r="M159" s="289"/>
    </row>
    <row r="160">
      <c r="A160" s="312"/>
      <c r="B160" s="308"/>
      <c r="C160" s="320"/>
      <c r="D160" s="312"/>
      <c r="E160" s="312"/>
      <c r="F160" s="312"/>
      <c r="G160" s="312"/>
      <c r="H160" s="312"/>
      <c r="I160" s="312"/>
      <c r="J160" s="321"/>
      <c r="K160" s="308"/>
      <c r="L160" s="308"/>
      <c r="M160" s="289"/>
    </row>
    <row r="161">
      <c r="A161" s="312"/>
      <c r="B161" s="308"/>
      <c r="C161" s="320"/>
      <c r="D161" s="312"/>
      <c r="E161" s="312"/>
      <c r="F161" s="312"/>
      <c r="G161" s="312"/>
      <c r="H161" s="312"/>
      <c r="I161" s="312"/>
      <c r="J161" s="321"/>
      <c r="K161" s="308"/>
      <c r="L161" s="308"/>
      <c r="M161" s="289"/>
    </row>
    <row r="162">
      <c r="A162" s="312"/>
      <c r="B162" s="308"/>
      <c r="C162" s="320"/>
      <c r="D162" s="312"/>
      <c r="E162" s="312"/>
      <c r="F162" s="312"/>
      <c r="G162" s="312"/>
      <c r="H162" s="312"/>
      <c r="I162" s="312"/>
      <c r="J162" s="321"/>
      <c r="K162" s="308"/>
      <c r="L162" s="308"/>
      <c r="M162" s="289"/>
    </row>
    <row r="163">
      <c r="A163" s="312"/>
      <c r="B163" s="308"/>
      <c r="C163" s="320"/>
      <c r="D163" s="312"/>
      <c r="E163" s="312"/>
      <c r="F163" s="312"/>
      <c r="G163" s="312"/>
      <c r="H163" s="312"/>
      <c r="I163" s="312"/>
      <c r="J163" s="321"/>
      <c r="K163" s="308"/>
      <c r="L163" s="308"/>
      <c r="M163" s="289"/>
    </row>
    <row r="164">
      <c r="A164" s="312"/>
      <c r="B164" s="308"/>
      <c r="C164" s="320"/>
      <c r="D164" s="312"/>
      <c r="E164" s="312"/>
      <c r="F164" s="312"/>
      <c r="G164" s="312"/>
      <c r="H164" s="312"/>
      <c r="I164" s="312"/>
      <c r="J164" s="321"/>
      <c r="K164" s="308"/>
      <c r="L164" s="308"/>
      <c r="M164" s="289"/>
    </row>
    <row r="165">
      <c r="A165" s="312"/>
      <c r="B165" s="308"/>
      <c r="C165" s="320"/>
      <c r="D165" s="312"/>
      <c r="E165" s="312"/>
      <c r="F165" s="312"/>
      <c r="G165" s="312"/>
      <c r="H165" s="312"/>
      <c r="I165" s="312"/>
      <c r="J165" s="321"/>
      <c r="K165" s="308"/>
      <c r="L165" s="308"/>
      <c r="M165" s="289"/>
    </row>
    <row r="166">
      <c r="A166" s="312"/>
      <c r="B166" s="308"/>
      <c r="C166" s="320"/>
      <c r="D166" s="312"/>
      <c r="E166" s="312"/>
      <c r="F166" s="312"/>
      <c r="G166" s="312"/>
      <c r="H166" s="312"/>
      <c r="I166" s="312"/>
      <c r="J166" s="321"/>
      <c r="K166" s="308"/>
      <c r="L166" s="308"/>
      <c r="M166" s="289"/>
    </row>
    <row r="167">
      <c r="A167" s="312"/>
      <c r="B167" s="308"/>
      <c r="C167" s="320"/>
      <c r="D167" s="312"/>
      <c r="E167" s="312"/>
      <c r="F167" s="312"/>
      <c r="G167" s="312"/>
      <c r="H167" s="312"/>
      <c r="I167" s="312"/>
      <c r="J167" s="321"/>
      <c r="K167" s="308"/>
      <c r="L167" s="308"/>
      <c r="M167" s="289"/>
    </row>
    <row r="168">
      <c r="A168" s="312"/>
      <c r="B168" s="308"/>
      <c r="C168" s="320"/>
      <c r="D168" s="312"/>
      <c r="E168" s="312"/>
      <c r="F168" s="312"/>
      <c r="G168" s="312"/>
      <c r="H168" s="312"/>
      <c r="I168" s="312"/>
      <c r="J168" s="321"/>
      <c r="K168" s="308"/>
      <c r="L168" s="308"/>
      <c r="M168" s="289"/>
    </row>
    <row r="169">
      <c r="A169" s="312"/>
      <c r="B169" s="308"/>
      <c r="C169" s="320"/>
      <c r="D169" s="312"/>
      <c r="E169" s="312"/>
      <c r="F169" s="312"/>
      <c r="G169" s="312"/>
      <c r="H169" s="312"/>
      <c r="I169" s="312"/>
      <c r="J169" s="321"/>
      <c r="K169" s="308"/>
      <c r="L169" s="308"/>
      <c r="M169" s="289"/>
    </row>
    <row r="170">
      <c r="A170" s="312"/>
      <c r="B170" s="308"/>
      <c r="C170" s="320"/>
      <c r="D170" s="312"/>
      <c r="E170" s="312"/>
      <c r="F170" s="312"/>
      <c r="G170" s="312"/>
      <c r="H170" s="312"/>
      <c r="I170" s="312"/>
      <c r="J170" s="321"/>
      <c r="K170" s="308"/>
      <c r="L170" s="308"/>
      <c r="M170" s="289"/>
    </row>
    <row r="171">
      <c r="A171" s="312"/>
      <c r="B171" s="308"/>
      <c r="C171" s="320"/>
      <c r="D171" s="312"/>
      <c r="E171" s="312"/>
      <c r="F171" s="312"/>
      <c r="G171" s="312"/>
      <c r="H171" s="312"/>
      <c r="I171" s="312"/>
      <c r="J171" s="321"/>
      <c r="K171" s="308"/>
      <c r="L171" s="308"/>
      <c r="M171" s="289"/>
    </row>
    <row r="172">
      <c r="A172" s="312"/>
      <c r="B172" s="308"/>
      <c r="C172" s="320"/>
      <c r="D172" s="312"/>
      <c r="E172" s="312"/>
      <c r="F172" s="312"/>
      <c r="G172" s="312"/>
      <c r="H172" s="312"/>
      <c r="I172" s="312"/>
      <c r="J172" s="321"/>
      <c r="K172" s="308"/>
      <c r="L172" s="308"/>
      <c r="M172" s="289"/>
    </row>
    <row r="173">
      <c r="A173" s="312"/>
      <c r="B173" s="308"/>
      <c r="C173" s="320"/>
      <c r="D173" s="312"/>
      <c r="E173" s="312"/>
      <c r="F173" s="312"/>
      <c r="G173" s="312"/>
      <c r="H173" s="312"/>
      <c r="I173" s="312"/>
      <c r="J173" s="321"/>
      <c r="K173" s="308"/>
      <c r="L173" s="308"/>
      <c r="M173" s="289"/>
    </row>
    <row r="174">
      <c r="A174" s="312"/>
      <c r="B174" s="308"/>
      <c r="C174" s="320"/>
      <c r="D174" s="312"/>
      <c r="E174" s="312"/>
      <c r="F174" s="312"/>
      <c r="G174" s="312"/>
      <c r="H174" s="312"/>
      <c r="I174" s="312"/>
      <c r="J174" s="321"/>
      <c r="K174" s="308"/>
      <c r="L174" s="308"/>
      <c r="M174" s="289"/>
    </row>
    <row r="175">
      <c r="A175" s="312"/>
      <c r="B175" s="308"/>
      <c r="C175" s="320"/>
      <c r="D175" s="312"/>
      <c r="E175" s="312"/>
      <c r="F175" s="312"/>
      <c r="G175" s="312"/>
      <c r="H175" s="312"/>
      <c r="I175" s="312"/>
      <c r="J175" s="321"/>
      <c r="K175" s="308"/>
      <c r="L175" s="308"/>
      <c r="M175" s="289"/>
    </row>
    <row r="176">
      <c r="A176" s="312"/>
      <c r="B176" s="308"/>
      <c r="C176" s="320"/>
      <c r="D176" s="312"/>
      <c r="E176" s="312"/>
      <c r="F176" s="312"/>
      <c r="G176" s="312"/>
      <c r="H176" s="312"/>
      <c r="I176" s="312"/>
      <c r="J176" s="321"/>
      <c r="K176" s="308"/>
      <c r="L176" s="308"/>
      <c r="M176" s="289"/>
    </row>
    <row r="177">
      <c r="A177" s="312"/>
      <c r="B177" s="308"/>
      <c r="C177" s="320"/>
      <c r="D177" s="312"/>
      <c r="E177" s="312"/>
      <c r="F177" s="312"/>
      <c r="G177" s="312"/>
      <c r="H177" s="312"/>
      <c r="I177" s="312"/>
      <c r="J177" s="321"/>
      <c r="K177" s="308"/>
      <c r="L177" s="308"/>
      <c r="M177" s="289"/>
    </row>
    <row r="178">
      <c r="A178" s="312"/>
      <c r="B178" s="308"/>
      <c r="C178" s="320"/>
      <c r="D178" s="312"/>
      <c r="E178" s="312"/>
      <c r="F178" s="312"/>
      <c r="G178" s="312"/>
      <c r="H178" s="312"/>
      <c r="I178" s="312"/>
      <c r="J178" s="321"/>
      <c r="K178" s="308"/>
      <c r="L178" s="308"/>
      <c r="M178" s="289"/>
    </row>
    <row r="179">
      <c r="A179" s="312"/>
      <c r="B179" s="308"/>
      <c r="C179" s="320"/>
      <c r="D179" s="312"/>
      <c r="E179" s="312"/>
      <c r="F179" s="312"/>
      <c r="G179" s="312"/>
      <c r="H179" s="312"/>
      <c r="I179" s="312"/>
      <c r="J179" s="321"/>
      <c r="K179" s="308"/>
      <c r="L179" s="308"/>
      <c r="M179" s="289"/>
    </row>
    <row r="180">
      <c r="A180" s="312"/>
      <c r="B180" s="308"/>
      <c r="C180" s="320"/>
      <c r="D180" s="312"/>
      <c r="E180" s="312"/>
      <c r="F180" s="312"/>
      <c r="G180" s="312"/>
      <c r="H180" s="312"/>
      <c r="I180" s="312"/>
      <c r="J180" s="321"/>
      <c r="K180" s="308"/>
      <c r="L180" s="308"/>
      <c r="M180" s="289"/>
    </row>
    <row r="181">
      <c r="A181" s="312"/>
      <c r="B181" s="308"/>
      <c r="C181" s="320"/>
      <c r="D181" s="312"/>
      <c r="E181" s="312"/>
      <c r="F181" s="312"/>
      <c r="G181" s="312"/>
      <c r="H181" s="312"/>
      <c r="I181" s="312"/>
      <c r="J181" s="321"/>
      <c r="K181" s="308"/>
      <c r="L181" s="308"/>
      <c r="M181" s="289"/>
    </row>
    <row r="182">
      <c r="A182" s="312"/>
      <c r="B182" s="308"/>
      <c r="C182" s="320"/>
      <c r="D182" s="312"/>
      <c r="E182" s="312"/>
      <c r="F182" s="312"/>
      <c r="G182" s="312"/>
      <c r="H182" s="312"/>
      <c r="I182" s="312"/>
      <c r="J182" s="321"/>
      <c r="K182" s="308"/>
      <c r="L182" s="308"/>
      <c r="M182" s="289"/>
    </row>
    <row r="183">
      <c r="A183" s="312"/>
      <c r="B183" s="308"/>
      <c r="C183" s="320"/>
      <c r="D183" s="312"/>
      <c r="E183" s="312"/>
      <c r="F183" s="312"/>
      <c r="G183" s="312"/>
      <c r="H183" s="312"/>
      <c r="I183" s="312"/>
      <c r="J183" s="321"/>
      <c r="K183" s="308"/>
      <c r="L183" s="308"/>
      <c r="M183" s="289"/>
    </row>
    <row r="184">
      <c r="A184" s="312"/>
      <c r="B184" s="308"/>
      <c r="C184" s="320"/>
      <c r="D184" s="312"/>
      <c r="E184" s="312"/>
      <c r="F184" s="312"/>
      <c r="G184" s="312"/>
      <c r="H184" s="312"/>
      <c r="I184" s="312"/>
      <c r="J184" s="321"/>
      <c r="K184" s="308"/>
      <c r="L184" s="308"/>
      <c r="M184" s="289"/>
    </row>
    <row r="185">
      <c r="A185" s="312"/>
      <c r="B185" s="308"/>
      <c r="C185" s="320"/>
      <c r="D185" s="312"/>
      <c r="E185" s="312"/>
      <c r="F185" s="312"/>
      <c r="G185" s="312"/>
      <c r="H185" s="312"/>
      <c r="I185" s="312"/>
      <c r="J185" s="321"/>
      <c r="K185" s="308"/>
      <c r="L185" s="308"/>
      <c r="M185" s="289"/>
    </row>
    <row r="186">
      <c r="A186" s="312"/>
      <c r="B186" s="308"/>
      <c r="C186" s="320"/>
      <c r="D186" s="312"/>
      <c r="E186" s="312"/>
      <c r="F186" s="312"/>
      <c r="G186" s="312"/>
      <c r="H186" s="312"/>
      <c r="I186" s="312"/>
      <c r="J186" s="321"/>
      <c r="K186" s="308"/>
      <c r="L186" s="308"/>
      <c r="M186" s="289"/>
    </row>
    <row r="187">
      <c r="A187" s="312"/>
      <c r="B187" s="308"/>
      <c r="C187" s="320"/>
      <c r="D187" s="312"/>
      <c r="E187" s="312"/>
      <c r="F187" s="312"/>
      <c r="G187" s="312"/>
      <c r="H187" s="312"/>
      <c r="I187" s="312"/>
      <c r="J187" s="321"/>
      <c r="K187" s="308"/>
      <c r="L187" s="308"/>
      <c r="M187" s="289"/>
    </row>
    <row r="188">
      <c r="A188" s="312"/>
      <c r="B188" s="308"/>
      <c r="C188" s="320"/>
      <c r="D188" s="312"/>
      <c r="E188" s="312"/>
      <c r="F188" s="312"/>
      <c r="G188" s="312"/>
      <c r="H188" s="312"/>
      <c r="I188" s="312"/>
      <c r="J188" s="321"/>
      <c r="K188" s="308"/>
      <c r="L188" s="308"/>
      <c r="M188" s="289"/>
    </row>
    <row r="189">
      <c r="A189" s="312"/>
      <c r="B189" s="308"/>
      <c r="C189" s="320"/>
      <c r="D189" s="312"/>
      <c r="E189" s="312"/>
      <c r="F189" s="312"/>
      <c r="G189" s="312"/>
      <c r="H189" s="312"/>
      <c r="I189" s="312"/>
      <c r="J189" s="321"/>
      <c r="K189" s="308"/>
      <c r="L189" s="308"/>
      <c r="M189" s="289"/>
    </row>
    <row r="190">
      <c r="A190" s="312"/>
      <c r="B190" s="308"/>
      <c r="C190" s="320"/>
      <c r="D190" s="312"/>
      <c r="E190" s="312"/>
      <c r="F190" s="312"/>
      <c r="G190" s="312"/>
      <c r="H190" s="312"/>
      <c r="I190" s="312"/>
      <c r="J190" s="321"/>
      <c r="K190" s="308"/>
      <c r="L190" s="308"/>
      <c r="M190" s="289"/>
    </row>
    <row r="191">
      <c r="A191" s="312"/>
      <c r="B191" s="308"/>
      <c r="C191" s="320"/>
      <c r="D191" s="312"/>
      <c r="E191" s="312"/>
      <c r="F191" s="312"/>
      <c r="G191" s="312"/>
      <c r="H191" s="312"/>
      <c r="I191" s="312"/>
      <c r="J191" s="321"/>
      <c r="K191" s="308"/>
      <c r="L191" s="308"/>
      <c r="M191" s="289"/>
    </row>
    <row r="192">
      <c r="A192" s="312"/>
      <c r="B192" s="308"/>
      <c r="C192" s="320"/>
      <c r="D192" s="312"/>
      <c r="E192" s="312"/>
      <c r="F192" s="312"/>
      <c r="G192" s="312"/>
      <c r="H192" s="312"/>
      <c r="I192" s="312"/>
      <c r="J192" s="321"/>
      <c r="K192" s="308"/>
      <c r="L192" s="308"/>
      <c r="M192" s="289"/>
    </row>
    <row r="193">
      <c r="A193" s="312"/>
      <c r="B193" s="308"/>
      <c r="C193" s="320"/>
      <c r="D193" s="312"/>
      <c r="E193" s="312"/>
      <c r="F193" s="312"/>
      <c r="G193" s="312"/>
      <c r="H193" s="312"/>
      <c r="I193" s="312"/>
      <c r="J193" s="321"/>
      <c r="K193" s="308"/>
      <c r="L193" s="308"/>
      <c r="M193" s="289"/>
    </row>
    <row r="194">
      <c r="A194" s="312"/>
      <c r="B194" s="308"/>
      <c r="C194" s="320"/>
      <c r="D194" s="312"/>
      <c r="E194" s="312"/>
      <c r="F194" s="312"/>
      <c r="G194" s="312"/>
      <c r="H194" s="312"/>
      <c r="I194" s="312"/>
      <c r="J194" s="321"/>
      <c r="K194" s="308"/>
      <c r="L194" s="308"/>
      <c r="M194" s="289"/>
    </row>
    <row r="195">
      <c r="A195" s="312"/>
      <c r="B195" s="308"/>
      <c r="C195" s="320"/>
      <c r="D195" s="312"/>
      <c r="E195" s="312"/>
      <c r="F195" s="312"/>
      <c r="G195" s="312"/>
      <c r="H195" s="312"/>
      <c r="I195" s="312"/>
      <c r="J195" s="321"/>
      <c r="K195" s="308"/>
      <c r="L195" s="308"/>
      <c r="M195" s="289"/>
    </row>
    <row r="196">
      <c r="A196" s="312"/>
      <c r="B196" s="308"/>
      <c r="C196" s="320"/>
      <c r="D196" s="312"/>
      <c r="E196" s="312"/>
      <c r="F196" s="312"/>
      <c r="G196" s="312"/>
      <c r="H196" s="312"/>
      <c r="I196" s="312"/>
      <c r="J196" s="321"/>
      <c r="K196" s="308"/>
      <c r="L196" s="308"/>
      <c r="M196" s="289"/>
    </row>
    <row r="197">
      <c r="A197" s="312"/>
      <c r="B197" s="308"/>
      <c r="C197" s="320"/>
      <c r="D197" s="312"/>
      <c r="E197" s="312"/>
      <c r="F197" s="312"/>
      <c r="G197" s="312"/>
      <c r="H197" s="312"/>
      <c r="I197" s="312"/>
      <c r="J197" s="321"/>
      <c r="K197" s="308"/>
      <c r="L197" s="308"/>
      <c r="M197" s="289"/>
    </row>
    <row r="198">
      <c r="A198" s="312"/>
      <c r="B198" s="308"/>
      <c r="C198" s="320"/>
      <c r="D198" s="312"/>
      <c r="E198" s="312"/>
      <c r="F198" s="312"/>
      <c r="G198" s="312"/>
      <c r="H198" s="312"/>
      <c r="I198" s="312"/>
      <c r="J198" s="321"/>
      <c r="K198" s="308"/>
      <c r="L198" s="308"/>
      <c r="M198" s="289"/>
    </row>
    <row r="199">
      <c r="A199" s="322"/>
      <c r="B199" s="323"/>
      <c r="C199" s="320"/>
      <c r="D199" s="322"/>
      <c r="E199" s="322"/>
      <c r="F199" s="322"/>
      <c r="G199" s="322"/>
      <c r="H199" s="322"/>
      <c r="I199" s="322"/>
      <c r="J199" s="324"/>
      <c r="K199" s="323"/>
      <c r="L199" s="323"/>
      <c r="M199" s="323"/>
    </row>
    <row r="200">
      <c r="A200" s="322"/>
      <c r="B200" s="323"/>
      <c r="C200" s="320"/>
      <c r="D200" s="322"/>
      <c r="E200" s="322"/>
      <c r="F200" s="322"/>
      <c r="G200" s="322"/>
      <c r="H200" s="322"/>
      <c r="I200" s="322"/>
      <c r="J200" s="324"/>
      <c r="K200" s="323"/>
      <c r="L200" s="323"/>
      <c r="M200" s="323"/>
    </row>
    <row r="201">
      <c r="A201" s="322"/>
      <c r="B201" s="323"/>
      <c r="C201" s="320"/>
      <c r="D201" s="322"/>
      <c r="E201" s="322"/>
      <c r="F201" s="322"/>
      <c r="G201" s="322"/>
      <c r="H201" s="322"/>
      <c r="I201" s="322"/>
      <c r="J201" s="324"/>
      <c r="K201" s="323"/>
      <c r="L201" s="323"/>
      <c r="M201" s="323"/>
    </row>
    <row r="202">
      <c r="A202" s="322"/>
      <c r="B202" s="323"/>
      <c r="C202" s="320"/>
      <c r="D202" s="322"/>
      <c r="E202" s="322"/>
      <c r="F202" s="322"/>
      <c r="G202" s="322"/>
      <c r="H202" s="322"/>
      <c r="I202" s="322"/>
      <c r="J202" s="324"/>
      <c r="K202" s="323"/>
      <c r="L202" s="323"/>
      <c r="M202" s="323"/>
    </row>
    <row r="203">
      <c r="A203" s="322"/>
      <c r="B203" s="323"/>
      <c r="C203" s="320"/>
      <c r="D203" s="322"/>
      <c r="E203" s="322"/>
      <c r="F203" s="322"/>
      <c r="G203" s="322"/>
      <c r="H203" s="322"/>
      <c r="I203" s="322"/>
      <c r="J203" s="324"/>
      <c r="K203" s="323"/>
      <c r="L203" s="323"/>
      <c r="M203" s="323"/>
    </row>
    <row r="204">
      <c r="A204" s="322"/>
      <c r="B204" s="323"/>
      <c r="C204" s="320"/>
      <c r="D204" s="322"/>
      <c r="E204" s="322"/>
      <c r="F204" s="322"/>
      <c r="G204" s="322"/>
      <c r="H204" s="322"/>
      <c r="I204" s="322"/>
      <c r="J204" s="324"/>
      <c r="K204" s="323"/>
      <c r="L204" s="323"/>
      <c r="M204" s="323"/>
    </row>
    <row r="205">
      <c r="A205" s="322"/>
      <c r="B205" s="323"/>
      <c r="C205" s="320"/>
      <c r="D205" s="322"/>
      <c r="E205" s="322"/>
      <c r="F205" s="322"/>
      <c r="G205" s="322"/>
      <c r="H205" s="322"/>
      <c r="I205" s="322"/>
      <c r="J205" s="324"/>
      <c r="K205" s="323"/>
      <c r="L205" s="323"/>
      <c r="M205" s="323"/>
    </row>
    <row r="206">
      <c r="A206" s="322"/>
      <c r="B206" s="323"/>
      <c r="C206" s="320"/>
      <c r="D206" s="322"/>
      <c r="E206" s="322"/>
      <c r="F206" s="322"/>
      <c r="G206" s="322"/>
      <c r="H206" s="322"/>
      <c r="I206" s="322"/>
      <c r="J206" s="324"/>
      <c r="K206" s="323"/>
      <c r="L206" s="323"/>
      <c r="M206" s="323"/>
    </row>
    <row r="207">
      <c r="A207" s="322"/>
      <c r="B207" s="323"/>
      <c r="C207" s="320"/>
      <c r="D207" s="322"/>
      <c r="E207" s="322"/>
      <c r="F207" s="322"/>
      <c r="G207" s="322"/>
      <c r="H207" s="322"/>
      <c r="I207" s="322"/>
      <c r="J207" s="324"/>
      <c r="K207" s="323"/>
      <c r="L207" s="323"/>
      <c r="M207" s="323"/>
    </row>
    <row r="208">
      <c r="A208" s="322"/>
      <c r="B208" s="323"/>
      <c r="C208" s="320"/>
      <c r="D208" s="322"/>
      <c r="E208" s="322"/>
      <c r="F208" s="322"/>
      <c r="G208" s="322"/>
      <c r="H208" s="322"/>
      <c r="I208" s="322"/>
      <c r="J208" s="324"/>
      <c r="K208" s="323"/>
      <c r="L208" s="323"/>
      <c r="M208" s="323"/>
    </row>
    <row r="209">
      <c r="A209" s="322"/>
      <c r="B209" s="323"/>
      <c r="C209" s="320"/>
      <c r="D209" s="322"/>
      <c r="E209" s="322"/>
      <c r="F209" s="322"/>
      <c r="G209" s="322"/>
      <c r="H209" s="322"/>
      <c r="I209" s="322"/>
      <c r="J209" s="324"/>
      <c r="K209" s="323"/>
      <c r="L209" s="323"/>
      <c r="M209" s="323"/>
    </row>
    <row r="210">
      <c r="A210" s="322"/>
      <c r="B210" s="323"/>
      <c r="C210" s="320"/>
      <c r="D210" s="322"/>
      <c r="E210" s="322"/>
      <c r="F210" s="322"/>
      <c r="G210" s="322"/>
      <c r="H210" s="322"/>
      <c r="I210" s="322"/>
      <c r="J210" s="324"/>
      <c r="K210" s="323"/>
      <c r="L210" s="323"/>
      <c r="M210" s="323"/>
    </row>
    <row r="211">
      <c r="A211" s="322"/>
      <c r="B211" s="323"/>
      <c r="C211" s="320"/>
      <c r="D211" s="322"/>
      <c r="E211" s="322"/>
      <c r="F211" s="322"/>
      <c r="G211" s="322"/>
      <c r="H211" s="322"/>
      <c r="I211" s="322"/>
      <c r="J211" s="324"/>
      <c r="K211" s="323"/>
      <c r="L211" s="323"/>
      <c r="M211" s="323"/>
    </row>
    <row r="212">
      <c r="A212" s="322"/>
      <c r="B212" s="323"/>
      <c r="C212" s="320"/>
      <c r="D212" s="322"/>
      <c r="E212" s="322"/>
      <c r="F212" s="322"/>
      <c r="G212" s="322"/>
      <c r="H212" s="322"/>
      <c r="I212" s="322"/>
      <c r="J212" s="324"/>
      <c r="K212" s="323"/>
      <c r="L212" s="323"/>
      <c r="M212" s="323"/>
    </row>
    <row r="213">
      <c r="A213" s="322"/>
      <c r="B213" s="323"/>
      <c r="C213" s="320"/>
      <c r="D213" s="322"/>
      <c r="E213" s="322"/>
      <c r="F213" s="322"/>
      <c r="G213" s="322"/>
      <c r="H213" s="322"/>
      <c r="I213" s="322"/>
      <c r="J213" s="324"/>
      <c r="K213" s="323"/>
      <c r="L213" s="323"/>
      <c r="M213" s="323"/>
    </row>
    <row r="214">
      <c r="A214" s="322"/>
      <c r="B214" s="323"/>
      <c r="C214" s="320"/>
      <c r="D214" s="322"/>
      <c r="E214" s="322"/>
      <c r="F214" s="322"/>
      <c r="G214" s="322"/>
      <c r="H214" s="322"/>
      <c r="I214" s="322"/>
      <c r="J214" s="324"/>
      <c r="K214" s="323"/>
      <c r="L214" s="323"/>
      <c r="M214" s="323"/>
    </row>
    <row r="215">
      <c r="A215" s="322"/>
      <c r="B215" s="323"/>
      <c r="C215" s="320"/>
      <c r="D215" s="322"/>
      <c r="E215" s="322"/>
      <c r="F215" s="322"/>
      <c r="G215" s="322"/>
      <c r="H215" s="322"/>
      <c r="I215" s="322"/>
      <c r="J215" s="324"/>
      <c r="K215" s="323"/>
      <c r="L215" s="323"/>
      <c r="M215" s="323"/>
    </row>
    <row r="216">
      <c r="A216" s="322"/>
      <c r="B216" s="323"/>
      <c r="C216" s="320"/>
      <c r="D216" s="322"/>
      <c r="E216" s="322"/>
      <c r="F216" s="322"/>
      <c r="G216" s="322"/>
      <c r="H216" s="322"/>
      <c r="I216" s="322"/>
      <c r="J216" s="324"/>
      <c r="K216" s="323"/>
      <c r="L216" s="323"/>
      <c r="M216" s="323"/>
    </row>
    <row r="217">
      <c r="A217" s="322"/>
      <c r="B217" s="323"/>
      <c r="C217" s="320"/>
      <c r="D217" s="322"/>
      <c r="E217" s="322"/>
      <c r="F217" s="322"/>
      <c r="G217" s="322"/>
      <c r="H217" s="322"/>
      <c r="I217" s="322"/>
      <c r="J217" s="324"/>
      <c r="K217" s="323"/>
      <c r="L217" s="323"/>
      <c r="M217" s="323"/>
    </row>
    <row r="218">
      <c r="A218" s="322"/>
      <c r="B218" s="323"/>
      <c r="C218" s="320"/>
      <c r="D218" s="322"/>
      <c r="E218" s="322"/>
      <c r="F218" s="322"/>
      <c r="G218" s="322"/>
      <c r="H218" s="322"/>
      <c r="I218" s="322"/>
      <c r="J218" s="324"/>
      <c r="K218" s="323"/>
      <c r="L218" s="323"/>
      <c r="M218" s="323"/>
    </row>
    <row r="219">
      <c r="A219" s="322"/>
      <c r="B219" s="323"/>
      <c r="C219" s="320"/>
      <c r="D219" s="322"/>
      <c r="E219" s="322"/>
      <c r="F219" s="322"/>
      <c r="G219" s="322"/>
      <c r="H219" s="322"/>
      <c r="I219" s="322"/>
      <c r="J219" s="324"/>
      <c r="K219" s="323"/>
      <c r="L219" s="323"/>
      <c r="M219" s="323"/>
    </row>
    <row r="220">
      <c r="A220" s="322"/>
      <c r="B220" s="323"/>
      <c r="C220" s="320"/>
      <c r="D220" s="322"/>
      <c r="E220" s="322"/>
      <c r="F220" s="322"/>
      <c r="G220" s="322"/>
      <c r="H220" s="322"/>
      <c r="I220" s="322"/>
      <c r="J220" s="324"/>
      <c r="K220" s="323"/>
      <c r="L220" s="323"/>
      <c r="M220" s="323"/>
    </row>
    <row r="221">
      <c r="A221" s="322"/>
      <c r="B221" s="323"/>
      <c r="C221" s="320"/>
      <c r="D221" s="322"/>
      <c r="E221" s="322"/>
      <c r="F221" s="322"/>
      <c r="G221" s="322"/>
      <c r="H221" s="322"/>
      <c r="I221" s="322"/>
      <c r="J221" s="324"/>
      <c r="K221" s="323"/>
      <c r="L221" s="323"/>
      <c r="M221" s="323"/>
    </row>
    <row r="222">
      <c r="A222" s="322"/>
      <c r="B222" s="323"/>
      <c r="C222" s="320"/>
      <c r="D222" s="322"/>
      <c r="E222" s="322"/>
      <c r="F222" s="322"/>
      <c r="G222" s="322"/>
      <c r="H222" s="322"/>
      <c r="I222" s="322"/>
      <c r="J222" s="324"/>
      <c r="K222" s="323"/>
      <c r="L222" s="323"/>
      <c r="M222" s="323"/>
    </row>
    <row r="223">
      <c r="A223" s="322"/>
      <c r="B223" s="323"/>
      <c r="C223" s="320"/>
      <c r="D223" s="322"/>
      <c r="E223" s="322"/>
      <c r="F223" s="322"/>
      <c r="G223" s="322"/>
      <c r="H223" s="322"/>
      <c r="I223" s="322"/>
      <c r="J223" s="324"/>
      <c r="K223" s="323"/>
      <c r="L223" s="323"/>
      <c r="M223" s="323"/>
    </row>
    <row r="224">
      <c r="A224" s="322"/>
      <c r="B224" s="323"/>
      <c r="C224" s="320"/>
      <c r="D224" s="322"/>
      <c r="E224" s="322"/>
      <c r="F224" s="322"/>
      <c r="G224" s="322"/>
      <c r="H224" s="322"/>
      <c r="I224" s="322"/>
      <c r="J224" s="324"/>
      <c r="K224" s="323"/>
      <c r="L224" s="323"/>
      <c r="M224" s="323"/>
    </row>
    <row r="225">
      <c r="A225" s="322"/>
      <c r="B225" s="323"/>
      <c r="C225" s="320"/>
      <c r="D225" s="322"/>
      <c r="E225" s="322"/>
      <c r="F225" s="322"/>
      <c r="G225" s="322"/>
      <c r="H225" s="322"/>
      <c r="I225" s="322"/>
      <c r="J225" s="324"/>
      <c r="K225" s="323"/>
      <c r="L225" s="323"/>
      <c r="M225" s="323"/>
    </row>
    <row r="226">
      <c r="A226" s="322"/>
      <c r="B226" s="323"/>
      <c r="C226" s="320"/>
      <c r="D226" s="322"/>
      <c r="E226" s="322"/>
      <c r="F226" s="322"/>
      <c r="G226" s="322"/>
      <c r="H226" s="322"/>
      <c r="I226" s="322"/>
      <c r="J226" s="324"/>
      <c r="K226" s="323"/>
      <c r="L226" s="323"/>
      <c r="M226" s="323"/>
    </row>
    <row r="227">
      <c r="A227" s="322"/>
      <c r="B227" s="323"/>
      <c r="C227" s="320"/>
      <c r="D227" s="322"/>
      <c r="E227" s="322"/>
      <c r="F227" s="322"/>
      <c r="G227" s="322"/>
      <c r="H227" s="322"/>
      <c r="I227" s="322"/>
      <c r="J227" s="324"/>
      <c r="K227" s="323"/>
      <c r="L227" s="323"/>
      <c r="M227" s="323"/>
    </row>
    <row r="228">
      <c r="A228" s="322"/>
      <c r="B228" s="323"/>
      <c r="C228" s="320"/>
      <c r="D228" s="322"/>
      <c r="E228" s="322"/>
      <c r="F228" s="322"/>
      <c r="G228" s="322"/>
      <c r="H228" s="322"/>
      <c r="I228" s="322"/>
      <c r="J228" s="324"/>
      <c r="K228" s="323"/>
      <c r="L228" s="323"/>
      <c r="M228" s="323"/>
    </row>
    <row r="229">
      <c r="A229" s="322"/>
      <c r="B229" s="323"/>
      <c r="C229" s="320"/>
      <c r="D229" s="322"/>
      <c r="E229" s="322"/>
      <c r="F229" s="322"/>
      <c r="G229" s="322"/>
      <c r="H229" s="322"/>
      <c r="I229" s="322"/>
      <c r="J229" s="324"/>
      <c r="K229" s="323"/>
      <c r="L229" s="323"/>
      <c r="M229" s="323"/>
    </row>
    <row r="230">
      <c r="A230" s="322"/>
      <c r="B230" s="323"/>
      <c r="C230" s="320"/>
      <c r="D230" s="322"/>
      <c r="E230" s="322"/>
      <c r="F230" s="322"/>
      <c r="G230" s="322"/>
      <c r="H230" s="322"/>
      <c r="I230" s="322"/>
      <c r="J230" s="324"/>
      <c r="K230" s="323"/>
      <c r="L230" s="323"/>
      <c r="M230" s="323"/>
    </row>
    <row r="231">
      <c r="A231" s="322"/>
      <c r="B231" s="323"/>
      <c r="C231" s="320"/>
      <c r="D231" s="322"/>
      <c r="E231" s="322"/>
      <c r="F231" s="322"/>
      <c r="G231" s="322"/>
      <c r="H231" s="322"/>
      <c r="I231" s="322"/>
      <c r="J231" s="324"/>
      <c r="K231" s="323"/>
      <c r="L231" s="323"/>
      <c r="M231" s="323"/>
    </row>
    <row r="232">
      <c r="A232" s="322"/>
      <c r="B232" s="323"/>
      <c r="C232" s="320"/>
      <c r="D232" s="322"/>
      <c r="E232" s="322"/>
      <c r="F232" s="322"/>
      <c r="G232" s="322"/>
      <c r="H232" s="322"/>
      <c r="I232" s="322"/>
      <c r="J232" s="324"/>
      <c r="K232" s="323"/>
      <c r="L232" s="323"/>
      <c r="M232" s="323"/>
    </row>
    <row r="233">
      <c r="A233" s="322"/>
      <c r="B233" s="323"/>
      <c r="C233" s="320"/>
      <c r="D233" s="322"/>
      <c r="E233" s="322"/>
      <c r="F233" s="322"/>
      <c r="G233" s="322"/>
      <c r="H233" s="322"/>
      <c r="I233" s="322"/>
      <c r="J233" s="324"/>
      <c r="K233" s="323"/>
      <c r="L233" s="323"/>
      <c r="M233" s="323"/>
    </row>
    <row r="234">
      <c r="A234" s="322"/>
      <c r="B234" s="323"/>
      <c r="C234" s="320"/>
      <c r="D234" s="322"/>
      <c r="E234" s="322"/>
      <c r="F234" s="322"/>
      <c r="G234" s="322"/>
      <c r="H234" s="322"/>
      <c r="I234" s="322"/>
      <c r="J234" s="324"/>
      <c r="K234" s="323"/>
      <c r="L234" s="323"/>
      <c r="M234" s="323"/>
    </row>
    <row r="235">
      <c r="A235" s="322"/>
      <c r="B235" s="323"/>
      <c r="C235" s="320"/>
      <c r="D235" s="322"/>
      <c r="E235" s="322"/>
      <c r="F235" s="322"/>
      <c r="G235" s="322"/>
      <c r="H235" s="322"/>
      <c r="I235" s="322"/>
      <c r="J235" s="324"/>
      <c r="K235" s="323"/>
      <c r="L235" s="323"/>
      <c r="M235" s="323"/>
    </row>
    <row r="236">
      <c r="A236" s="322"/>
      <c r="B236" s="323"/>
      <c r="C236" s="320"/>
      <c r="D236" s="322"/>
      <c r="E236" s="322"/>
      <c r="F236" s="322"/>
      <c r="G236" s="322"/>
      <c r="H236" s="322"/>
      <c r="I236" s="322"/>
      <c r="J236" s="324"/>
      <c r="K236" s="323"/>
      <c r="L236" s="323"/>
      <c r="M236" s="323"/>
    </row>
    <row r="237">
      <c r="A237" s="322"/>
      <c r="B237" s="323"/>
      <c r="C237" s="320"/>
      <c r="D237" s="322"/>
      <c r="E237" s="322"/>
      <c r="F237" s="322"/>
      <c r="G237" s="322"/>
      <c r="H237" s="322"/>
      <c r="I237" s="322"/>
      <c r="J237" s="324"/>
      <c r="K237" s="323"/>
      <c r="L237" s="323"/>
      <c r="M237" s="323"/>
    </row>
    <row r="238">
      <c r="A238" s="322"/>
      <c r="B238" s="323"/>
      <c r="C238" s="320"/>
      <c r="D238" s="322"/>
      <c r="E238" s="322"/>
      <c r="F238" s="322"/>
      <c r="G238" s="322"/>
      <c r="H238" s="322"/>
      <c r="I238" s="322"/>
      <c r="J238" s="324"/>
      <c r="K238" s="323"/>
      <c r="L238" s="323"/>
      <c r="M238" s="323"/>
    </row>
    <row r="239">
      <c r="A239" s="322"/>
      <c r="B239" s="323"/>
      <c r="C239" s="320"/>
      <c r="D239" s="322"/>
      <c r="E239" s="322"/>
      <c r="F239" s="322"/>
      <c r="G239" s="322"/>
      <c r="H239" s="322"/>
      <c r="I239" s="322"/>
      <c r="J239" s="324"/>
      <c r="K239" s="323"/>
      <c r="L239" s="323"/>
      <c r="M239" s="323"/>
    </row>
    <row r="240">
      <c r="A240" s="322"/>
      <c r="B240" s="323"/>
      <c r="C240" s="320"/>
      <c r="D240" s="322"/>
      <c r="E240" s="322"/>
      <c r="F240" s="322"/>
      <c r="G240" s="322"/>
      <c r="H240" s="322"/>
      <c r="I240" s="322"/>
      <c r="J240" s="324"/>
      <c r="K240" s="323"/>
      <c r="L240" s="323"/>
      <c r="M240" s="323"/>
    </row>
    <row r="241">
      <c r="A241" s="322"/>
      <c r="B241" s="323"/>
      <c r="C241" s="320"/>
      <c r="D241" s="322"/>
      <c r="E241" s="322"/>
      <c r="F241" s="322"/>
      <c r="G241" s="322"/>
      <c r="H241" s="322"/>
      <c r="I241" s="322"/>
      <c r="J241" s="324"/>
      <c r="K241" s="323"/>
      <c r="L241" s="323"/>
      <c r="M241" s="323"/>
    </row>
    <row r="242">
      <c r="A242" s="322"/>
      <c r="B242" s="323"/>
      <c r="C242" s="320"/>
      <c r="D242" s="322"/>
      <c r="E242" s="322"/>
      <c r="F242" s="322"/>
      <c r="G242" s="322"/>
      <c r="H242" s="322"/>
      <c r="I242" s="322"/>
      <c r="J242" s="324"/>
      <c r="K242" s="323"/>
      <c r="L242" s="323"/>
      <c r="M242" s="323"/>
    </row>
    <row r="243">
      <c r="A243" s="322"/>
      <c r="B243" s="323"/>
      <c r="C243" s="320"/>
      <c r="D243" s="322"/>
      <c r="E243" s="322"/>
      <c r="F243" s="322"/>
      <c r="G243" s="322"/>
      <c r="H243" s="322"/>
      <c r="I243" s="322"/>
      <c r="J243" s="324"/>
      <c r="K243" s="323"/>
      <c r="L243" s="323"/>
      <c r="M243" s="323"/>
    </row>
    <row r="244">
      <c r="A244" s="322"/>
      <c r="B244" s="323"/>
      <c r="C244" s="320"/>
      <c r="D244" s="322"/>
      <c r="E244" s="322"/>
      <c r="F244" s="322"/>
      <c r="G244" s="322"/>
      <c r="H244" s="322"/>
      <c r="I244" s="322"/>
      <c r="J244" s="324"/>
      <c r="K244" s="323"/>
      <c r="L244" s="323"/>
      <c r="M244" s="323"/>
    </row>
    <row r="245">
      <c r="A245" s="322"/>
      <c r="B245" s="323"/>
      <c r="C245" s="320"/>
      <c r="D245" s="322"/>
      <c r="E245" s="322"/>
      <c r="F245" s="322"/>
      <c r="G245" s="322"/>
      <c r="H245" s="322"/>
      <c r="I245" s="322"/>
      <c r="J245" s="324"/>
      <c r="K245" s="323"/>
      <c r="L245" s="323"/>
      <c r="M245" s="323"/>
    </row>
    <row r="246">
      <c r="A246" s="322"/>
      <c r="B246" s="323"/>
      <c r="C246" s="320"/>
      <c r="D246" s="322"/>
      <c r="E246" s="322"/>
      <c r="F246" s="322"/>
      <c r="G246" s="322"/>
      <c r="H246" s="322"/>
      <c r="I246" s="322"/>
      <c r="J246" s="324"/>
      <c r="K246" s="323"/>
      <c r="L246" s="323"/>
      <c r="M246" s="323"/>
    </row>
    <row r="247">
      <c r="A247" s="322"/>
      <c r="B247" s="323"/>
      <c r="C247" s="320"/>
      <c r="D247" s="322"/>
      <c r="E247" s="322"/>
      <c r="F247" s="322"/>
      <c r="G247" s="322"/>
      <c r="H247" s="322"/>
      <c r="I247" s="322"/>
      <c r="J247" s="324"/>
      <c r="K247" s="323"/>
      <c r="L247" s="323"/>
      <c r="M247" s="323"/>
    </row>
    <row r="248">
      <c r="A248" s="322"/>
      <c r="B248" s="323"/>
      <c r="C248" s="320"/>
      <c r="D248" s="322"/>
      <c r="E248" s="322"/>
      <c r="F248" s="322"/>
      <c r="G248" s="322"/>
      <c r="H248" s="322"/>
      <c r="I248" s="322"/>
      <c r="J248" s="324"/>
      <c r="K248" s="323"/>
      <c r="L248" s="323"/>
      <c r="M248" s="323"/>
    </row>
    <row r="249">
      <c r="A249" s="322"/>
      <c r="B249" s="323"/>
      <c r="C249" s="320"/>
      <c r="D249" s="322"/>
      <c r="E249" s="322"/>
      <c r="F249" s="322"/>
      <c r="G249" s="322"/>
      <c r="H249" s="322"/>
      <c r="I249" s="322"/>
      <c r="J249" s="324"/>
      <c r="K249" s="323"/>
      <c r="L249" s="323"/>
      <c r="M249" s="323"/>
    </row>
    <row r="250">
      <c r="A250" s="322"/>
      <c r="B250" s="323"/>
      <c r="C250" s="320"/>
      <c r="D250" s="322"/>
      <c r="E250" s="322"/>
      <c r="F250" s="322"/>
      <c r="G250" s="322"/>
      <c r="H250" s="322"/>
      <c r="I250" s="322"/>
      <c r="J250" s="324"/>
      <c r="K250" s="323"/>
      <c r="L250" s="323"/>
      <c r="M250" s="323"/>
    </row>
    <row r="251">
      <c r="A251" s="322"/>
      <c r="B251" s="323"/>
      <c r="C251" s="320"/>
      <c r="D251" s="322"/>
      <c r="E251" s="322"/>
      <c r="F251" s="322"/>
      <c r="G251" s="322"/>
      <c r="H251" s="322"/>
      <c r="I251" s="322"/>
      <c r="J251" s="324"/>
      <c r="K251" s="323"/>
      <c r="L251" s="323"/>
      <c r="M251" s="323"/>
    </row>
    <row r="252">
      <c r="A252" s="322"/>
      <c r="B252" s="323"/>
      <c r="C252" s="320"/>
      <c r="D252" s="322"/>
      <c r="E252" s="322"/>
      <c r="F252" s="322"/>
      <c r="G252" s="322"/>
      <c r="H252" s="322"/>
      <c r="I252" s="322"/>
      <c r="J252" s="324"/>
      <c r="K252" s="323"/>
      <c r="L252" s="323"/>
      <c r="M252" s="323"/>
    </row>
    <row r="253">
      <c r="A253" s="322"/>
      <c r="B253" s="323"/>
      <c r="C253" s="320"/>
      <c r="D253" s="322"/>
      <c r="E253" s="322"/>
      <c r="F253" s="322"/>
      <c r="G253" s="322"/>
      <c r="H253" s="322"/>
      <c r="I253" s="322"/>
      <c r="J253" s="324"/>
      <c r="K253" s="323"/>
      <c r="L253" s="323"/>
      <c r="M253" s="323"/>
    </row>
    <row r="254">
      <c r="A254" s="322"/>
      <c r="B254" s="323"/>
      <c r="C254" s="320"/>
      <c r="D254" s="322"/>
      <c r="E254" s="322"/>
      <c r="F254" s="322"/>
      <c r="G254" s="322"/>
      <c r="H254" s="322"/>
      <c r="I254" s="322"/>
      <c r="J254" s="324"/>
      <c r="K254" s="323"/>
      <c r="L254" s="323"/>
      <c r="M254" s="323"/>
    </row>
    <row r="255">
      <c r="A255" s="322"/>
      <c r="B255" s="323"/>
      <c r="C255" s="320"/>
      <c r="D255" s="322"/>
      <c r="E255" s="322"/>
      <c r="F255" s="322"/>
      <c r="G255" s="322"/>
      <c r="H255" s="322"/>
      <c r="I255" s="322"/>
      <c r="J255" s="324"/>
      <c r="K255" s="323"/>
      <c r="L255" s="323"/>
      <c r="M255" s="323"/>
    </row>
    <row r="256">
      <c r="A256" s="322"/>
      <c r="B256" s="323"/>
      <c r="C256" s="320"/>
      <c r="D256" s="322"/>
      <c r="E256" s="322"/>
      <c r="F256" s="322"/>
      <c r="G256" s="322"/>
      <c r="H256" s="322"/>
      <c r="I256" s="322"/>
      <c r="J256" s="324"/>
      <c r="K256" s="323"/>
      <c r="L256" s="323"/>
      <c r="M256" s="323"/>
    </row>
    <row r="257">
      <c r="A257" s="322"/>
      <c r="B257" s="323"/>
      <c r="C257" s="320"/>
      <c r="D257" s="322"/>
      <c r="E257" s="322"/>
      <c r="F257" s="322"/>
      <c r="G257" s="322"/>
      <c r="H257" s="322"/>
      <c r="I257" s="322"/>
      <c r="J257" s="324"/>
      <c r="K257" s="323"/>
      <c r="L257" s="323"/>
      <c r="M257" s="323"/>
    </row>
    <row r="258">
      <c r="A258" s="322"/>
      <c r="B258" s="323"/>
      <c r="C258" s="320"/>
      <c r="D258" s="322"/>
      <c r="E258" s="322"/>
      <c r="F258" s="322"/>
      <c r="G258" s="322"/>
      <c r="H258" s="322"/>
      <c r="I258" s="322"/>
      <c r="J258" s="324"/>
      <c r="K258" s="323"/>
      <c r="L258" s="323"/>
      <c r="M258" s="323"/>
    </row>
    <row r="259">
      <c r="A259" s="322"/>
      <c r="B259" s="323"/>
      <c r="C259" s="320"/>
      <c r="D259" s="322"/>
      <c r="E259" s="322"/>
      <c r="F259" s="322"/>
      <c r="G259" s="322"/>
      <c r="H259" s="322"/>
      <c r="I259" s="322"/>
      <c r="J259" s="324"/>
      <c r="K259" s="323"/>
      <c r="L259" s="323"/>
      <c r="M259" s="323"/>
    </row>
    <row r="260">
      <c r="A260" s="322"/>
      <c r="B260" s="323"/>
      <c r="C260" s="320"/>
      <c r="D260" s="322"/>
      <c r="E260" s="322"/>
      <c r="F260" s="322"/>
      <c r="G260" s="322"/>
      <c r="H260" s="322"/>
      <c r="I260" s="322"/>
      <c r="J260" s="324"/>
      <c r="K260" s="323"/>
      <c r="L260" s="323"/>
      <c r="M260" s="323"/>
    </row>
    <row r="261">
      <c r="A261" s="322"/>
      <c r="B261" s="323"/>
      <c r="C261" s="320"/>
      <c r="D261" s="322"/>
      <c r="E261" s="322"/>
      <c r="F261" s="322"/>
      <c r="G261" s="322"/>
      <c r="H261" s="322"/>
      <c r="I261" s="322"/>
      <c r="J261" s="324"/>
      <c r="K261" s="323"/>
      <c r="L261" s="323"/>
      <c r="M261" s="323"/>
    </row>
    <row r="262">
      <c r="A262" s="322"/>
      <c r="B262" s="323"/>
      <c r="C262" s="320"/>
      <c r="D262" s="322"/>
      <c r="E262" s="322"/>
      <c r="F262" s="322"/>
      <c r="G262" s="322"/>
      <c r="H262" s="322"/>
      <c r="I262" s="322"/>
      <c r="J262" s="324"/>
      <c r="K262" s="323"/>
      <c r="L262" s="323"/>
      <c r="M262" s="323"/>
    </row>
    <row r="263">
      <c r="A263" s="322"/>
      <c r="B263" s="323"/>
      <c r="C263" s="320"/>
      <c r="D263" s="322"/>
      <c r="E263" s="322"/>
      <c r="F263" s="322"/>
      <c r="G263" s="322"/>
      <c r="H263" s="322"/>
      <c r="I263" s="322"/>
      <c r="J263" s="324"/>
      <c r="K263" s="323"/>
      <c r="L263" s="323"/>
      <c r="M263" s="323"/>
    </row>
    <row r="264">
      <c r="A264" s="322"/>
      <c r="B264" s="323"/>
      <c r="C264" s="320"/>
      <c r="D264" s="322"/>
      <c r="E264" s="322"/>
      <c r="F264" s="322"/>
      <c r="G264" s="322"/>
      <c r="H264" s="322"/>
      <c r="I264" s="322"/>
      <c r="J264" s="324"/>
      <c r="K264" s="323"/>
      <c r="L264" s="323"/>
      <c r="M264" s="323"/>
    </row>
    <row r="265">
      <c r="A265" s="322"/>
      <c r="B265" s="323"/>
      <c r="C265" s="320"/>
      <c r="D265" s="322"/>
      <c r="E265" s="322"/>
      <c r="F265" s="322"/>
      <c r="G265" s="322"/>
      <c r="H265" s="322"/>
      <c r="I265" s="322"/>
      <c r="J265" s="324"/>
      <c r="K265" s="323"/>
      <c r="L265" s="323"/>
      <c r="M265" s="323"/>
    </row>
    <row r="266">
      <c r="A266" s="322"/>
      <c r="B266" s="323"/>
      <c r="C266" s="320"/>
      <c r="D266" s="322"/>
      <c r="E266" s="322"/>
      <c r="F266" s="322"/>
      <c r="G266" s="322"/>
      <c r="H266" s="322"/>
      <c r="I266" s="322"/>
      <c r="J266" s="324"/>
      <c r="K266" s="323"/>
      <c r="L266" s="323"/>
      <c r="M266" s="323"/>
    </row>
    <row r="267">
      <c r="A267" s="322"/>
      <c r="B267" s="323"/>
      <c r="C267" s="320"/>
      <c r="D267" s="322"/>
      <c r="E267" s="322"/>
      <c r="F267" s="322"/>
      <c r="G267" s="322"/>
      <c r="H267" s="322"/>
      <c r="I267" s="322"/>
      <c r="J267" s="324"/>
      <c r="K267" s="323"/>
      <c r="L267" s="323"/>
      <c r="M267" s="323"/>
    </row>
    <row r="268">
      <c r="A268" s="322"/>
      <c r="B268" s="323"/>
      <c r="C268" s="320"/>
      <c r="D268" s="322"/>
      <c r="E268" s="322"/>
      <c r="F268" s="322"/>
      <c r="G268" s="322"/>
      <c r="H268" s="322"/>
      <c r="I268" s="322"/>
      <c r="J268" s="324"/>
      <c r="K268" s="323"/>
      <c r="L268" s="323"/>
      <c r="M268" s="323"/>
    </row>
    <row r="269">
      <c r="A269" s="322"/>
      <c r="B269" s="323"/>
      <c r="C269" s="320"/>
      <c r="D269" s="322"/>
      <c r="E269" s="322"/>
      <c r="F269" s="322"/>
      <c r="G269" s="322"/>
      <c r="H269" s="322"/>
      <c r="I269" s="322"/>
      <c r="J269" s="324"/>
      <c r="K269" s="323"/>
      <c r="L269" s="323"/>
      <c r="M269" s="323"/>
    </row>
    <row r="270">
      <c r="A270" s="322"/>
      <c r="B270" s="323"/>
      <c r="C270" s="320"/>
      <c r="D270" s="322"/>
      <c r="E270" s="322"/>
      <c r="F270" s="322"/>
      <c r="G270" s="322"/>
      <c r="H270" s="322"/>
      <c r="I270" s="322"/>
      <c r="J270" s="324"/>
      <c r="K270" s="323"/>
      <c r="L270" s="323"/>
      <c r="M270" s="323"/>
    </row>
    <row r="271">
      <c r="A271" s="322"/>
      <c r="B271" s="323"/>
      <c r="C271" s="320"/>
      <c r="D271" s="322"/>
      <c r="E271" s="322"/>
      <c r="F271" s="322"/>
      <c r="G271" s="322"/>
      <c r="H271" s="322"/>
      <c r="I271" s="322"/>
      <c r="J271" s="324"/>
      <c r="K271" s="323"/>
      <c r="L271" s="323"/>
      <c r="M271" s="323"/>
    </row>
    <row r="272">
      <c r="A272" s="322"/>
      <c r="B272" s="323"/>
      <c r="C272" s="320"/>
      <c r="D272" s="322"/>
      <c r="E272" s="322"/>
      <c r="F272" s="322"/>
      <c r="G272" s="322"/>
      <c r="H272" s="322"/>
      <c r="I272" s="322"/>
      <c r="J272" s="324"/>
      <c r="K272" s="323"/>
      <c r="L272" s="323"/>
      <c r="M272" s="323"/>
    </row>
    <row r="273">
      <c r="A273" s="322"/>
      <c r="B273" s="323"/>
      <c r="C273" s="320"/>
      <c r="D273" s="322"/>
      <c r="E273" s="322"/>
      <c r="F273" s="322"/>
      <c r="G273" s="322"/>
      <c r="H273" s="322"/>
      <c r="I273" s="322"/>
      <c r="J273" s="324"/>
      <c r="K273" s="323"/>
      <c r="L273" s="323"/>
      <c r="M273" s="323"/>
    </row>
    <row r="274">
      <c r="A274" s="322"/>
      <c r="B274" s="323"/>
      <c r="C274" s="320"/>
      <c r="D274" s="322"/>
      <c r="E274" s="322"/>
      <c r="F274" s="322"/>
      <c r="G274" s="322"/>
      <c r="H274" s="322"/>
      <c r="I274" s="322"/>
      <c r="J274" s="324"/>
      <c r="K274" s="323"/>
      <c r="L274" s="323"/>
      <c r="M274" s="323"/>
    </row>
    <row r="275">
      <c r="A275" s="322"/>
      <c r="B275" s="323"/>
      <c r="C275" s="320"/>
      <c r="D275" s="322"/>
      <c r="E275" s="322"/>
      <c r="F275" s="322"/>
      <c r="G275" s="322"/>
      <c r="H275" s="322"/>
      <c r="I275" s="322"/>
      <c r="J275" s="324"/>
      <c r="K275" s="323"/>
      <c r="L275" s="323"/>
      <c r="M275" s="323"/>
    </row>
    <row r="276">
      <c r="A276" s="322"/>
      <c r="B276" s="323"/>
      <c r="C276" s="320"/>
      <c r="D276" s="322"/>
      <c r="E276" s="322"/>
      <c r="F276" s="322"/>
      <c r="G276" s="322"/>
      <c r="H276" s="322"/>
      <c r="I276" s="322"/>
      <c r="J276" s="324"/>
      <c r="K276" s="323"/>
      <c r="L276" s="323"/>
      <c r="M276" s="323"/>
    </row>
    <row r="277">
      <c r="A277" s="322"/>
      <c r="B277" s="323"/>
      <c r="C277" s="320"/>
      <c r="D277" s="322"/>
      <c r="E277" s="322"/>
      <c r="F277" s="322"/>
      <c r="G277" s="322"/>
      <c r="H277" s="322"/>
      <c r="I277" s="322"/>
      <c r="J277" s="324"/>
      <c r="K277" s="323"/>
      <c r="L277" s="323"/>
      <c r="M277" s="323"/>
    </row>
    <row r="278">
      <c r="A278" s="322"/>
      <c r="B278" s="323"/>
      <c r="C278" s="320"/>
      <c r="D278" s="322"/>
      <c r="E278" s="322"/>
      <c r="F278" s="322"/>
      <c r="G278" s="322"/>
      <c r="H278" s="322"/>
      <c r="I278" s="322"/>
      <c r="J278" s="324"/>
      <c r="K278" s="323"/>
      <c r="L278" s="323"/>
      <c r="M278" s="323"/>
    </row>
    <row r="279">
      <c r="A279" s="322"/>
      <c r="B279" s="323"/>
      <c r="C279" s="320"/>
      <c r="D279" s="322"/>
      <c r="E279" s="322"/>
      <c r="F279" s="322"/>
      <c r="G279" s="322"/>
      <c r="H279" s="322"/>
      <c r="I279" s="322"/>
      <c r="J279" s="324"/>
      <c r="K279" s="323"/>
      <c r="L279" s="323"/>
      <c r="M279" s="323"/>
    </row>
    <row r="280">
      <c r="A280" s="322"/>
      <c r="B280" s="323"/>
      <c r="C280" s="320"/>
      <c r="D280" s="322"/>
      <c r="E280" s="322"/>
      <c r="F280" s="322"/>
      <c r="G280" s="322"/>
      <c r="H280" s="322"/>
      <c r="I280" s="322"/>
      <c r="J280" s="324"/>
      <c r="K280" s="323"/>
      <c r="L280" s="323"/>
      <c r="M280" s="323"/>
    </row>
    <row r="281">
      <c r="A281" s="322"/>
      <c r="B281" s="323"/>
      <c r="C281" s="320"/>
      <c r="D281" s="322"/>
      <c r="E281" s="322"/>
      <c r="F281" s="322"/>
      <c r="G281" s="322"/>
      <c r="H281" s="322"/>
      <c r="I281" s="322"/>
      <c r="J281" s="324"/>
      <c r="K281" s="323"/>
      <c r="L281" s="323"/>
      <c r="M281" s="323"/>
    </row>
    <row r="282">
      <c r="A282" s="322"/>
      <c r="B282" s="323"/>
      <c r="C282" s="320"/>
      <c r="D282" s="322"/>
      <c r="E282" s="322"/>
      <c r="F282" s="322"/>
      <c r="G282" s="322"/>
      <c r="H282" s="322"/>
      <c r="I282" s="322"/>
      <c r="J282" s="324"/>
      <c r="K282" s="323"/>
      <c r="L282" s="323"/>
      <c r="M282" s="323"/>
    </row>
    <row r="283">
      <c r="A283" s="322"/>
      <c r="B283" s="323"/>
      <c r="C283" s="320"/>
      <c r="D283" s="322"/>
      <c r="E283" s="322"/>
      <c r="F283" s="322"/>
      <c r="G283" s="322"/>
      <c r="H283" s="322"/>
      <c r="I283" s="322"/>
      <c r="J283" s="324"/>
      <c r="K283" s="323"/>
      <c r="L283" s="323"/>
      <c r="M283" s="323"/>
    </row>
    <row r="284">
      <c r="A284" s="322"/>
      <c r="B284" s="323"/>
      <c r="C284" s="320"/>
      <c r="D284" s="322"/>
      <c r="E284" s="322"/>
      <c r="F284" s="322"/>
      <c r="G284" s="322"/>
      <c r="H284" s="322"/>
      <c r="I284" s="322"/>
      <c r="J284" s="324"/>
      <c r="K284" s="323"/>
      <c r="L284" s="323"/>
      <c r="M284" s="323"/>
    </row>
    <row r="285">
      <c r="A285" s="322"/>
      <c r="B285" s="323"/>
      <c r="C285" s="320"/>
      <c r="D285" s="322"/>
      <c r="E285" s="322"/>
      <c r="F285" s="322"/>
      <c r="G285" s="322"/>
      <c r="H285" s="322"/>
      <c r="I285" s="322"/>
      <c r="J285" s="324"/>
      <c r="K285" s="323"/>
      <c r="L285" s="323"/>
      <c r="M285" s="323"/>
    </row>
    <row r="286">
      <c r="A286" s="322"/>
      <c r="B286" s="323"/>
      <c r="C286" s="320"/>
      <c r="D286" s="322"/>
      <c r="E286" s="322"/>
      <c r="F286" s="322"/>
      <c r="G286" s="322"/>
      <c r="H286" s="322"/>
      <c r="I286" s="322"/>
      <c r="J286" s="324"/>
      <c r="K286" s="323"/>
      <c r="L286" s="323"/>
      <c r="M286" s="323"/>
    </row>
    <row r="287">
      <c r="A287" s="322"/>
      <c r="B287" s="323"/>
      <c r="C287" s="320"/>
      <c r="D287" s="322"/>
      <c r="E287" s="322"/>
      <c r="F287" s="322"/>
      <c r="G287" s="322"/>
      <c r="H287" s="322"/>
      <c r="I287" s="322"/>
      <c r="J287" s="324"/>
      <c r="K287" s="323"/>
      <c r="L287" s="323"/>
      <c r="M287" s="323"/>
    </row>
    <row r="288">
      <c r="A288" s="322"/>
      <c r="B288" s="323"/>
      <c r="C288" s="320"/>
      <c r="D288" s="322"/>
      <c r="E288" s="322"/>
      <c r="F288" s="322"/>
      <c r="G288" s="322"/>
      <c r="H288" s="322"/>
      <c r="I288" s="322"/>
      <c r="J288" s="324"/>
      <c r="K288" s="323"/>
      <c r="L288" s="323"/>
      <c r="M288" s="323"/>
    </row>
    <row r="289">
      <c r="A289" s="322"/>
      <c r="B289" s="323"/>
      <c r="C289" s="320"/>
      <c r="D289" s="322"/>
      <c r="E289" s="322"/>
      <c r="F289" s="322"/>
      <c r="G289" s="322"/>
      <c r="H289" s="322"/>
      <c r="I289" s="322"/>
      <c r="J289" s="324"/>
      <c r="K289" s="323"/>
      <c r="L289" s="323"/>
      <c r="M289" s="323"/>
    </row>
    <row r="290">
      <c r="A290" s="322"/>
      <c r="B290" s="323"/>
      <c r="C290" s="320"/>
      <c r="D290" s="322"/>
      <c r="E290" s="322"/>
      <c r="F290" s="322"/>
      <c r="G290" s="322"/>
      <c r="H290" s="322"/>
      <c r="I290" s="322"/>
      <c r="J290" s="324"/>
      <c r="K290" s="323"/>
      <c r="L290" s="323"/>
      <c r="M290" s="323"/>
    </row>
    <row r="291">
      <c r="A291" s="322"/>
      <c r="B291" s="323"/>
      <c r="C291" s="320"/>
      <c r="D291" s="322"/>
      <c r="E291" s="322"/>
      <c r="F291" s="322"/>
      <c r="G291" s="322"/>
      <c r="H291" s="322"/>
      <c r="I291" s="322"/>
      <c r="J291" s="324"/>
      <c r="K291" s="323"/>
      <c r="L291" s="323"/>
      <c r="M291" s="323"/>
    </row>
    <row r="292">
      <c r="A292" s="322"/>
      <c r="B292" s="323"/>
      <c r="C292" s="320"/>
      <c r="D292" s="322"/>
      <c r="E292" s="322"/>
      <c r="F292" s="322"/>
      <c r="G292" s="322"/>
      <c r="H292" s="322"/>
      <c r="I292" s="322"/>
      <c r="J292" s="324"/>
      <c r="K292" s="323"/>
      <c r="L292" s="323"/>
      <c r="M292" s="323"/>
    </row>
    <row r="293">
      <c r="A293" s="322"/>
      <c r="B293" s="323"/>
      <c r="C293" s="320"/>
      <c r="D293" s="322"/>
      <c r="E293" s="322"/>
      <c r="F293" s="322"/>
      <c r="G293" s="322"/>
      <c r="H293" s="322"/>
      <c r="I293" s="322"/>
      <c r="J293" s="324"/>
      <c r="K293" s="323"/>
      <c r="L293" s="323"/>
      <c r="M293" s="323"/>
    </row>
    <row r="294">
      <c r="A294" s="322"/>
      <c r="B294" s="323"/>
      <c r="C294" s="320"/>
      <c r="D294" s="322"/>
      <c r="E294" s="322"/>
      <c r="F294" s="322"/>
      <c r="G294" s="322"/>
      <c r="H294" s="322"/>
      <c r="I294" s="322"/>
      <c r="J294" s="324"/>
      <c r="K294" s="323"/>
      <c r="L294" s="323"/>
      <c r="M294" s="323"/>
    </row>
    <row r="295">
      <c r="A295" s="322"/>
      <c r="B295" s="323"/>
      <c r="C295" s="320"/>
      <c r="D295" s="322"/>
      <c r="E295" s="322"/>
      <c r="F295" s="322"/>
      <c r="G295" s="322"/>
      <c r="H295" s="322"/>
      <c r="I295" s="322"/>
      <c r="J295" s="324"/>
      <c r="K295" s="323"/>
      <c r="L295" s="323"/>
      <c r="M295" s="323"/>
    </row>
    <row r="296">
      <c r="A296" s="322"/>
      <c r="B296" s="323"/>
      <c r="C296" s="320"/>
      <c r="D296" s="322"/>
      <c r="E296" s="322"/>
      <c r="F296" s="322"/>
      <c r="G296" s="322"/>
      <c r="H296" s="322"/>
      <c r="I296" s="322"/>
      <c r="J296" s="324"/>
      <c r="K296" s="323"/>
      <c r="L296" s="323"/>
      <c r="M296" s="323"/>
    </row>
    <row r="297">
      <c r="A297" s="322"/>
      <c r="B297" s="323"/>
      <c r="C297" s="320"/>
      <c r="D297" s="322"/>
      <c r="E297" s="322"/>
      <c r="F297" s="322"/>
      <c r="G297" s="322"/>
      <c r="H297" s="322"/>
      <c r="I297" s="322"/>
      <c r="J297" s="324"/>
      <c r="K297" s="323"/>
      <c r="L297" s="323"/>
      <c r="M297" s="323"/>
    </row>
    <row r="298">
      <c r="A298" s="322"/>
      <c r="B298" s="323"/>
      <c r="C298" s="320"/>
      <c r="D298" s="322"/>
      <c r="E298" s="322"/>
      <c r="F298" s="322"/>
      <c r="G298" s="322"/>
      <c r="H298" s="322"/>
      <c r="I298" s="322"/>
      <c r="J298" s="324"/>
      <c r="K298" s="323"/>
      <c r="L298" s="323"/>
      <c r="M298" s="323"/>
    </row>
    <row r="299">
      <c r="A299" s="322"/>
      <c r="B299" s="323"/>
      <c r="C299" s="320"/>
      <c r="D299" s="322"/>
      <c r="E299" s="322"/>
      <c r="F299" s="322"/>
      <c r="G299" s="322"/>
      <c r="H299" s="322"/>
      <c r="I299" s="322"/>
      <c r="J299" s="324"/>
      <c r="K299" s="323"/>
      <c r="L299" s="323"/>
      <c r="M299" s="323"/>
    </row>
    <row r="300">
      <c r="A300" s="322"/>
      <c r="B300" s="323"/>
      <c r="C300" s="320"/>
      <c r="D300" s="322"/>
      <c r="E300" s="322"/>
      <c r="F300" s="322"/>
      <c r="G300" s="322"/>
      <c r="H300" s="322"/>
      <c r="I300" s="322"/>
      <c r="J300" s="324"/>
      <c r="K300" s="323"/>
      <c r="L300" s="323"/>
      <c r="M300" s="323"/>
    </row>
    <row r="301">
      <c r="A301" s="322"/>
      <c r="B301" s="323"/>
      <c r="C301" s="320"/>
      <c r="D301" s="322"/>
      <c r="E301" s="322"/>
      <c r="F301" s="322"/>
      <c r="G301" s="322"/>
      <c r="H301" s="322"/>
      <c r="I301" s="322"/>
      <c r="J301" s="324"/>
      <c r="K301" s="323"/>
      <c r="L301" s="323"/>
      <c r="M301" s="323"/>
    </row>
    <row r="302">
      <c r="A302" s="322"/>
      <c r="B302" s="323"/>
      <c r="C302" s="325"/>
      <c r="D302" s="322"/>
      <c r="E302" s="322"/>
      <c r="F302" s="322"/>
      <c r="G302" s="322"/>
      <c r="H302" s="322"/>
      <c r="I302" s="322"/>
      <c r="J302" s="324"/>
      <c r="K302" s="323"/>
      <c r="L302" s="323"/>
      <c r="M302" s="323"/>
    </row>
    <row r="303">
      <c r="A303" s="322"/>
      <c r="B303" s="323"/>
      <c r="C303" s="320"/>
      <c r="D303" s="322"/>
      <c r="E303" s="322"/>
      <c r="F303" s="322"/>
      <c r="G303" s="322"/>
      <c r="H303" s="322"/>
      <c r="I303" s="322"/>
      <c r="J303" s="324"/>
      <c r="K303" s="323"/>
      <c r="L303" s="323"/>
      <c r="M303" s="323"/>
    </row>
    <row r="304">
      <c r="A304" s="322"/>
      <c r="B304" s="323"/>
      <c r="C304" s="320"/>
      <c r="D304" s="322"/>
      <c r="E304" s="322"/>
      <c r="F304" s="322"/>
      <c r="G304" s="322"/>
      <c r="H304" s="322"/>
      <c r="I304" s="322"/>
      <c r="J304" s="324"/>
      <c r="K304" s="323"/>
      <c r="L304" s="323"/>
      <c r="M304" s="323"/>
    </row>
    <row r="305">
      <c r="A305" s="322"/>
      <c r="B305" s="323"/>
      <c r="C305" s="320"/>
      <c r="D305" s="322"/>
      <c r="E305" s="322"/>
      <c r="F305" s="322"/>
      <c r="G305" s="322"/>
      <c r="H305" s="322"/>
      <c r="I305" s="322"/>
      <c r="J305" s="324"/>
      <c r="K305" s="323"/>
      <c r="L305" s="323"/>
      <c r="M305" s="323"/>
    </row>
    <row r="306">
      <c r="A306" s="322"/>
      <c r="B306" s="323"/>
      <c r="C306" s="320"/>
      <c r="D306" s="322"/>
      <c r="E306" s="322"/>
      <c r="F306" s="322"/>
      <c r="G306" s="322"/>
      <c r="H306" s="322"/>
      <c r="I306" s="322"/>
      <c r="J306" s="324"/>
      <c r="K306" s="323"/>
      <c r="L306" s="323"/>
      <c r="M306" s="323"/>
    </row>
    <row r="307">
      <c r="A307" s="322"/>
      <c r="B307" s="323"/>
      <c r="C307" s="320"/>
      <c r="D307" s="322"/>
      <c r="E307" s="322"/>
      <c r="F307" s="322"/>
      <c r="G307" s="322"/>
      <c r="H307" s="322"/>
      <c r="I307" s="322"/>
      <c r="J307" s="324"/>
      <c r="K307" s="323"/>
      <c r="L307" s="323"/>
      <c r="M307" s="323"/>
    </row>
    <row r="308">
      <c r="A308" s="322"/>
      <c r="B308" s="323"/>
      <c r="C308" s="320"/>
      <c r="D308" s="322"/>
      <c r="E308" s="322"/>
      <c r="F308" s="322"/>
      <c r="G308" s="322"/>
      <c r="H308" s="322"/>
      <c r="I308" s="322"/>
      <c r="J308" s="324"/>
      <c r="K308" s="323"/>
      <c r="L308" s="323"/>
      <c r="M308" s="323"/>
    </row>
    <row r="309">
      <c r="A309" s="322"/>
      <c r="B309" s="323"/>
      <c r="C309" s="320"/>
      <c r="D309" s="322"/>
      <c r="E309" s="322"/>
      <c r="F309" s="322"/>
      <c r="G309" s="322"/>
      <c r="H309" s="322"/>
      <c r="I309" s="322"/>
      <c r="J309" s="324"/>
      <c r="K309" s="323"/>
      <c r="L309" s="323"/>
      <c r="M309" s="323"/>
    </row>
    <row r="310">
      <c r="A310" s="322"/>
      <c r="B310" s="323"/>
      <c r="C310" s="320"/>
      <c r="D310" s="322"/>
      <c r="E310" s="322"/>
      <c r="F310" s="322"/>
      <c r="G310" s="322"/>
      <c r="H310" s="322"/>
      <c r="I310" s="322"/>
      <c r="J310" s="324"/>
      <c r="K310" s="323"/>
      <c r="L310" s="323"/>
      <c r="M310" s="323"/>
    </row>
    <row r="311">
      <c r="A311" s="322"/>
      <c r="B311" s="323"/>
      <c r="C311" s="320"/>
      <c r="D311" s="322"/>
      <c r="E311" s="322"/>
      <c r="F311" s="322"/>
      <c r="G311" s="322"/>
      <c r="H311" s="322"/>
      <c r="I311" s="322"/>
      <c r="J311" s="324"/>
      <c r="K311" s="323"/>
      <c r="L311" s="323"/>
      <c r="M311" s="323"/>
    </row>
    <row r="312">
      <c r="A312" s="322"/>
      <c r="B312" s="323"/>
      <c r="C312" s="320"/>
      <c r="D312" s="322"/>
      <c r="E312" s="322"/>
      <c r="F312" s="322"/>
      <c r="G312" s="322"/>
      <c r="H312" s="322"/>
      <c r="I312" s="322"/>
      <c r="J312" s="324"/>
      <c r="K312" s="323"/>
      <c r="L312" s="323"/>
      <c r="M312" s="323"/>
    </row>
    <row r="313">
      <c r="A313" s="322"/>
      <c r="B313" s="323"/>
      <c r="C313" s="320"/>
      <c r="D313" s="322"/>
      <c r="E313" s="322"/>
      <c r="F313" s="322"/>
      <c r="G313" s="322"/>
      <c r="H313" s="322"/>
      <c r="I313" s="322"/>
      <c r="J313" s="324"/>
      <c r="K313" s="323"/>
      <c r="L313" s="323"/>
      <c r="M313" s="323"/>
    </row>
    <row r="314">
      <c r="A314" s="322"/>
      <c r="B314" s="323"/>
      <c r="C314" s="320"/>
      <c r="D314" s="322"/>
      <c r="E314" s="322"/>
      <c r="F314" s="322"/>
      <c r="G314" s="322"/>
      <c r="H314" s="322"/>
      <c r="I314" s="322"/>
      <c r="J314" s="324"/>
      <c r="K314" s="323"/>
      <c r="L314" s="323"/>
      <c r="M314" s="323"/>
    </row>
    <row r="315">
      <c r="A315" s="322"/>
      <c r="B315" s="323"/>
      <c r="C315" s="320"/>
      <c r="D315" s="322"/>
      <c r="E315" s="322"/>
      <c r="F315" s="322"/>
      <c r="G315" s="322"/>
      <c r="H315" s="322"/>
      <c r="I315" s="322"/>
      <c r="J315" s="324"/>
      <c r="K315" s="323"/>
      <c r="L315" s="323"/>
      <c r="M315" s="323"/>
    </row>
    <row r="316">
      <c r="A316" s="322"/>
      <c r="B316" s="323"/>
      <c r="C316" s="320"/>
      <c r="D316" s="322"/>
      <c r="E316" s="322"/>
      <c r="F316" s="322"/>
      <c r="G316" s="322"/>
      <c r="H316" s="322"/>
      <c r="I316" s="322"/>
      <c r="J316" s="324"/>
      <c r="K316" s="323"/>
      <c r="L316" s="323"/>
      <c r="M316" s="323"/>
    </row>
    <row r="317">
      <c r="A317" s="322"/>
      <c r="B317" s="323"/>
      <c r="C317" s="320"/>
      <c r="D317" s="322"/>
      <c r="E317" s="322"/>
      <c r="F317" s="322"/>
      <c r="G317" s="322"/>
      <c r="H317" s="322"/>
      <c r="I317" s="322"/>
      <c r="J317" s="324"/>
      <c r="K317" s="323"/>
      <c r="L317" s="323"/>
      <c r="M317" s="323"/>
    </row>
    <row r="318">
      <c r="A318" s="322"/>
      <c r="B318" s="323"/>
      <c r="C318" s="320"/>
      <c r="D318" s="322"/>
      <c r="E318" s="322"/>
      <c r="F318" s="322"/>
      <c r="G318" s="322"/>
      <c r="H318" s="322"/>
      <c r="I318" s="322"/>
      <c r="J318" s="324"/>
      <c r="K318" s="323"/>
      <c r="L318" s="323"/>
      <c r="M318" s="323"/>
    </row>
    <row r="319">
      <c r="A319" s="322"/>
      <c r="B319" s="323"/>
      <c r="C319" s="320"/>
      <c r="D319" s="322"/>
      <c r="E319" s="322"/>
      <c r="F319" s="322"/>
      <c r="G319" s="322"/>
      <c r="H319" s="322"/>
      <c r="I319" s="322"/>
      <c r="J319" s="324"/>
      <c r="K319" s="323"/>
      <c r="L319" s="323"/>
      <c r="M319" s="323"/>
    </row>
    <row r="320">
      <c r="A320" s="322"/>
      <c r="B320" s="323"/>
      <c r="C320" s="320"/>
      <c r="D320" s="322"/>
      <c r="E320" s="322"/>
      <c r="F320" s="322"/>
      <c r="G320" s="322"/>
      <c r="H320" s="322"/>
      <c r="I320" s="322"/>
      <c r="J320" s="324"/>
      <c r="K320" s="323"/>
      <c r="L320" s="323"/>
      <c r="M320" s="323"/>
    </row>
    <row r="321">
      <c r="A321" s="322"/>
      <c r="B321" s="323"/>
      <c r="C321" s="320"/>
      <c r="D321" s="322"/>
      <c r="E321" s="322"/>
      <c r="F321" s="322"/>
      <c r="G321" s="322"/>
      <c r="H321" s="322"/>
      <c r="I321" s="322"/>
      <c r="J321" s="324"/>
      <c r="K321" s="323"/>
      <c r="L321" s="323"/>
      <c r="M321" s="323"/>
    </row>
    <row r="322">
      <c r="A322" s="322"/>
      <c r="B322" s="323"/>
      <c r="C322" s="320"/>
      <c r="D322" s="322"/>
      <c r="E322" s="322"/>
      <c r="F322" s="322"/>
      <c r="G322" s="322"/>
      <c r="H322" s="322"/>
      <c r="I322" s="322"/>
      <c r="J322" s="324"/>
      <c r="K322" s="323"/>
      <c r="L322" s="323"/>
      <c r="M322" s="323"/>
    </row>
    <row r="323">
      <c r="A323" s="322"/>
      <c r="B323" s="323"/>
      <c r="C323" s="320"/>
      <c r="D323" s="322"/>
      <c r="E323" s="322"/>
      <c r="F323" s="322"/>
      <c r="G323" s="322"/>
      <c r="H323" s="322"/>
      <c r="I323" s="322"/>
      <c r="J323" s="324"/>
      <c r="K323" s="323"/>
      <c r="L323" s="323"/>
      <c r="M323" s="323"/>
    </row>
    <row r="324">
      <c r="A324" s="322"/>
      <c r="B324" s="323"/>
      <c r="C324" s="320"/>
      <c r="D324" s="322"/>
      <c r="E324" s="322"/>
      <c r="F324" s="322"/>
      <c r="G324" s="322"/>
      <c r="H324" s="322"/>
      <c r="I324" s="322"/>
      <c r="J324" s="324"/>
      <c r="K324" s="323"/>
      <c r="L324" s="323"/>
      <c r="M324" s="323"/>
    </row>
    <row r="325">
      <c r="A325" s="322"/>
      <c r="B325" s="323"/>
      <c r="C325" s="320"/>
      <c r="D325" s="322"/>
      <c r="E325" s="322"/>
      <c r="F325" s="322"/>
      <c r="G325" s="322"/>
      <c r="H325" s="322"/>
      <c r="I325" s="322"/>
      <c r="J325" s="324"/>
      <c r="K325" s="323"/>
      <c r="L325" s="323"/>
      <c r="M325" s="323"/>
    </row>
    <row r="326">
      <c r="A326" s="322"/>
      <c r="B326" s="323"/>
      <c r="C326" s="320"/>
      <c r="D326" s="322"/>
      <c r="E326" s="322"/>
      <c r="F326" s="322"/>
      <c r="G326" s="322"/>
      <c r="H326" s="322"/>
      <c r="I326" s="322"/>
      <c r="J326" s="324"/>
      <c r="K326" s="323"/>
      <c r="L326" s="323"/>
      <c r="M326" s="323"/>
    </row>
    <row r="327">
      <c r="A327" s="322"/>
      <c r="B327" s="323"/>
      <c r="C327" s="320"/>
      <c r="D327" s="322"/>
      <c r="E327" s="322"/>
      <c r="F327" s="322"/>
      <c r="G327" s="322"/>
      <c r="H327" s="322"/>
      <c r="I327" s="322"/>
      <c r="J327" s="324"/>
      <c r="K327" s="323"/>
      <c r="L327" s="323"/>
      <c r="M327" s="323"/>
    </row>
    <row r="328">
      <c r="A328" s="322"/>
      <c r="B328" s="323"/>
      <c r="C328" s="320"/>
      <c r="D328" s="322"/>
      <c r="E328" s="322"/>
      <c r="F328" s="322"/>
      <c r="G328" s="322"/>
      <c r="H328" s="322"/>
      <c r="I328" s="322"/>
      <c r="J328" s="324"/>
      <c r="K328" s="323"/>
      <c r="L328" s="323"/>
      <c r="M328" s="323"/>
    </row>
    <row r="329">
      <c r="A329" s="322"/>
      <c r="B329" s="323"/>
      <c r="C329" s="320"/>
      <c r="D329" s="322"/>
      <c r="E329" s="322"/>
      <c r="F329" s="322"/>
      <c r="G329" s="322"/>
      <c r="H329" s="322"/>
      <c r="I329" s="322"/>
      <c r="J329" s="324"/>
      <c r="K329" s="323"/>
      <c r="L329" s="323"/>
      <c r="M329" s="323"/>
    </row>
    <row r="330">
      <c r="A330" s="322"/>
      <c r="B330" s="323"/>
      <c r="C330" s="320"/>
      <c r="D330" s="322"/>
      <c r="E330" s="322"/>
      <c r="F330" s="322"/>
      <c r="G330" s="322"/>
      <c r="H330" s="322"/>
      <c r="I330" s="322"/>
      <c r="J330" s="324"/>
      <c r="K330" s="323"/>
      <c r="L330" s="323"/>
      <c r="M330" s="323"/>
    </row>
    <row r="331">
      <c r="A331" s="322"/>
      <c r="B331" s="323"/>
      <c r="C331" s="320"/>
      <c r="D331" s="322"/>
      <c r="E331" s="322"/>
      <c r="F331" s="322"/>
      <c r="G331" s="322"/>
      <c r="H331" s="322"/>
      <c r="I331" s="322"/>
      <c r="J331" s="324"/>
      <c r="K331" s="323"/>
      <c r="L331" s="323"/>
      <c r="M331" s="323"/>
    </row>
    <row r="332">
      <c r="A332" s="322"/>
      <c r="B332" s="323"/>
      <c r="C332" s="320"/>
      <c r="D332" s="322"/>
      <c r="E332" s="322"/>
      <c r="F332" s="322"/>
      <c r="G332" s="322"/>
      <c r="H332" s="322"/>
      <c r="I332" s="322"/>
      <c r="J332" s="324"/>
      <c r="K332" s="323"/>
      <c r="L332" s="323"/>
      <c r="M332" s="323"/>
    </row>
    <row r="333">
      <c r="A333" s="322"/>
      <c r="B333" s="323"/>
      <c r="C333" s="320"/>
      <c r="D333" s="322"/>
      <c r="E333" s="322"/>
      <c r="F333" s="322"/>
      <c r="G333" s="322"/>
      <c r="H333" s="322"/>
      <c r="I333" s="322"/>
      <c r="J333" s="324"/>
      <c r="K333" s="323"/>
      <c r="L333" s="323"/>
      <c r="M333" s="323"/>
    </row>
    <row r="334">
      <c r="A334" s="322"/>
      <c r="B334" s="323"/>
      <c r="C334" s="320"/>
      <c r="D334" s="322"/>
      <c r="E334" s="322"/>
      <c r="F334" s="322"/>
      <c r="G334" s="322"/>
      <c r="H334" s="322"/>
      <c r="I334" s="322"/>
      <c r="J334" s="324"/>
      <c r="K334" s="323"/>
      <c r="L334" s="323"/>
      <c r="M334" s="323"/>
    </row>
    <row r="335">
      <c r="A335" s="322"/>
      <c r="B335" s="323"/>
      <c r="C335" s="320"/>
      <c r="D335" s="322"/>
      <c r="E335" s="322"/>
      <c r="F335" s="322"/>
      <c r="G335" s="322"/>
      <c r="H335" s="322"/>
      <c r="I335" s="322"/>
      <c r="J335" s="324"/>
      <c r="K335" s="323"/>
      <c r="L335" s="323"/>
      <c r="M335" s="323"/>
    </row>
    <row r="336">
      <c r="A336" s="322"/>
      <c r="B336" s="323"/>
      <c r="C336" s="320"/>
      <c r="D336" s="322"/>
      <c r="E336" s="322"/>
      <c r="F336" s="322"/>
      <c r="G336" s="322"/>
      <c r="H336" s="322"/>
      <c r="I336" s="322"/>
      <c r="J336" s="324"/>
      <c r="K336" s="323"/>
      <c r="L336" s="323"/>
      <c r="M336" s="323"/>
    </row>
    <row r="337">
      <c r="A337" s="322"/>
      <c r="B337" s="323"/>
      <c r="C337" s="320"/>
      <c r="D337" s="322"/>
      <c r="E337" s="322"/>
      <c r="F337" s="322"/>
      <c r="G337" s="322"/>
      <c r="H337" s="322"/>
      <c r="I337" s="322"/>
      <c r="J337" s="324"/>
      <c r="K337" s="323"/>
      <c r="L337" s="323"/>
      <c r="M337" s="323"/>
    </row>
    <row r="338">
      <c r="A338" s="322"/>
      <c r="B338" s="323"/>
      <c r="C338" s="320"/>
      <c r="D338" s="322"/>
      <c r="E338" s="322"/>
      <c r="F338" s="322"/>
      <c r="G338" s="322"/>
      <c r="H338" s="322"/>
      <c r="I338" s="322"/>
      <c r="J338" s="324"/>
      <c r="K338" s="323"/>
      <c r="L338" s="323"/>
      <c r="M338" s="323"/>
    </row>
    <row r="339">
      <c r="A339" s="322"/>
      <c r="B339" s="323"/>
      <c r="C339" s="320"/>
      <c r="D339" s="322"/>
      <c r="E339" s="322"/>
      <c r="F339" s="322"/>
      <c r="G339" s="322"/>
      <c r="H339" s="322"/>
      <c r="I339" s="322"/>
      <c r="J339" s="324"/>
      <c r="K339" s="323"/>
      <c r="L339" s="323"/>
      <c r="M339" s="323"/>
    </row>
    <row r="340">
      <c r="A340" s="322"/>
      <c r="B340" s="323"/>
      <c r="C340" s="320"/>
      <c r="D340" s="322"/>
      <c r="E340" s="322"/>
      <c r="F340" s="322"/>
      <c r="G340" s="322"/>
      <c r="H340" s="322"/>
      <c r="I340" s="322"/>
      <c r="J340" s="324"/>
      <c r="K340" s="323"/>
      <c r="L340" s="323"/>
      <c r="M340" s="323"/>
    </row>
    <row r="341">
      <c r="A341" s="322"/>
      <c r="B341" s="323"/>
      <c r="C341" s="320"/>
      <c r="D341" s="322"/>
      <c r="E341" s="322"/>
      <c r="F341" s="322"/>
      <c r="G341" s="322"/>
      <c r="H341" s="322"/>
      <c r="I341" s="322"/>
      <c r="J341" s="324"/>
      <c r="K341" s="323"/>
      <c r="L341" s="323"/>
      <c r="M341" s="323"/>
    </row>
    <row r="342">
      <c r="A342" s="322"/>
      <c r="B342" s="323"/>
      <c r="C342" s="320"/>
      <c r="D342" s="322"/>
      <c r="E342" s="322"/>
      <c r="F342" s="322"/>
      <c r="G342" s="322"/>
      <c r="H342" s="322"/>
      <c r="I342" s="322"/>
      <c r="J342" s="324"/>
      <c r="K342" s="323"/>
      <c r="L342" s="323"/>
      <c r="M342" s="323"/>
    </row>
    <row r="343">
      <c r="A343" s="322"/>
      <c r="B343" s="323"/>
      <c r="C343" s="320"/>
      <c r="D343" s="322"/>
      <c r="E343" s="322"/>
      <c r="F343" s="322"/>
      <c r="G343" s="322"/>
      <c r="H343" s="322"/>
      <c r="I343" s="322"/>
      <c r="J343" s="324"/>
      <c r="K343" s="323"/>
      <c r="L343" s="323"/>
      <c r="M343" s="323"/>
    </row>
    <row r="344">
      <c r="A344" s="322"/>
      <c r="B344" s="323"/>
      <c r="C344" s="326"/>
      <c r="D344" s="322"/>
      <c r="E344" s="322"/>
      <c r="F344" s="322"/>
      <c r="G344" s="322"/>
      <c r="H344" s="322"/>
      <c r="I344" s="322"/>
      <c r="J344" s="324"/>
      <c r="K344" s="323"/>
      <c r="L344" s="323"/>
      <c r="M344" s="323"/>
    </row>
    <row r="345">
      <c r="A345" s="322"/>
      <c r="B345" s="323"/>
      <c r="C345" s="326"/>
      <c r="D345" s="322"/>
      <c r="E345" s="322"/>
      <c r="F345" s="322"/>
      <c r="G345" s="322"/>
      <c r="H345" s="322"/>
      <c r="I345" s="322"/>
      <c r="J345" s="324"/>
      <c r="K345" s="323"/>
      <c r="L345" s="323"/>
      <c r="M345" s="323"/>
    </row>
    <row r="346">
      <c r="A346" s="322"/>
      <c r="B346" s="323"/>
      <c r="C346" s="326"/>
      <c r="D346" s="322"/>
      <c r="E346" s="322"/>
      <c r="F346" s="322"/>
      <c r="G346" s="322"/>
      <c r="H346" s="322"/>
      <c r="I346" s="322"/>
      <c r="J346" s="324"/>
      <c r="K346" s="323"/>
      <c r="L346" s="323"/>
      <c r="M346" s="323"/>
    </row>
    <row r="347">
      <c r="A347" s="322"/>
      <c r="B347" s="323"/>
      <c r="C347" s="326"/>
      <c r="D347" s="322"/>
      <c r="E347" s="322"/>
      <c r="F347" s="322"/>
      <c r="G347" s="322"/>
      <c r="H347" s="322"/>
      <c r="I347" s="322"/>
      <c r="J347" s="324"/>
      <c r="K347" s="323"/>
      <c r="L347" s="323"/>
      <c r="M347" s="323"/>
    </row>
    <row r="348">
      <c r="A348" s="322"/>
      <c r="B348" s="323"/>
      <c r="C348" s="320"/>
      <c r="D348" s="322"/>
      <c r="E348" s="322"/>
      <c r="F348" s="322"/>
      <c r="G348" s="322"/>
      <c r="H348" s="322"/>
      <c r="I348" s="322"/>
      <c r="J348" s="324"/>
      <c r="K348" s="323"/>
      <c r="L348" s="323"/>
      <c r="M348" s="323"/>
    </row>
    <row r="349">
      <c r="A349" s="322"/>
      <c r="B349" s="323"/>
      <c r="C349" s="320"/>
      <c r="D349" s="322"/>
      <c r="E349" s="322"/>
      <c r="F349" s="322"/>
      <c r="G349" s="322"/>
      <c r="H349" s="322"/>
      <c r="I349" s="322"/>
      <c r="J349" s="324"/>
      <c r="K349" s="323"/>
      <c r="L349" s="323"/>
      <c r="M349" s="323"/>
    </row>
    <row r="350">
      <c r="A350" s="322"/>
      <c r="B350" s="323"/>
      <c r="C350" s="320"/>
      <c r="D350" s="322"/>
      <c r="E350" s="322"/>
      <c r="F350" s="322"/>
      <c r="G350" s="322"/>
      <c r="H350" s="322"/>
      <c r="I350" s="322"/>
      <c r="J350" s="324"/>
      <c r="K350" s="323"/>
      <c r="L350" s="323"/>
      <c r="M350" s="323"/>
    </row>
    <row r="351">
      <c r="A351" s="322"/>
      <c r="B351" s="323"/>
      <c r="C351" s="320"/>
      <c r="D351" s="322"/>
      <c r="E351" s="322"/>
      <c r="F351" s="322"/>
      <c r="G351" s="322"/>
      <c r="H351" s="322"/>
      <c r="I351" s="322"/>
      <c r="J351" s="324"/>
      <c r="K351" s="323"/>
      <c r="L351" s="323"/>
      <c r="M351" s="323"/>
    </row>
    <row r="352">
      <c r="A352" s="322"/>
      <c r="B352" s="323"/>
      <c r="C352" s="320"/>
      <c r="D352" s="322"/>
      <c r="E352" s="322"/>
      <c r="F352" s="322"/>
      <c r="G352" s="322"/>
      <c r="H352" s="322"/>
      <c r="I352" s="322"/>
      <c r="J352" s="324"/>
      <c r="K352" s="323"/>
      <c r="L352" s="323"/>
      <c r="M352" s="323"/>
    </row>
    <row r="353">
      <c r="A353" s="322"/>
      <c r="B353" s="323"/>
      <c r="C353" s="320"/>
      <c r="D353" s="322"/>
      <c r="E353" s="322"/>
      <c r="F353" s="322"/>
      <c r="G353" s="322"/>
      <c r="H353" s="322"/>
      <c r="I353" s="322"/>
      <c r="J353" s="324"/>
      <c r="K353" s="323"/>
      <c r="L353" s="323"/>
      <c r="M353" s="323"/>
    </row>
    <row r="354">
      <c r="A354" s="322"/>
      <c r="B354" s="323"/>
      <c r="C354" s="320"/>
      <c r="D354" s="322"/>
      <c r="E354" s="322"/>
      <c r="F354" s="322"/>
      <c r="G354" s="322"/>
      <c r="H354" s="322"/>
      <c r="I354" s="322"/>
      <c r="J354" s="324"/>
      <c r="K354" s="323"/>
      <c r="L354" s="323"/>
      <c r="M354" s="323"/>
    </row>
    <row r="355">
      <c r="A355" s="322"/>
      <c r="B355" s="323"/>
      <c r="C355" s="320"/>
      <c r="D355" s="322"/>
      <c r="E355" s="322"/>
      <c r="F355" s="322"/>
      <c r="G355" s="322"/>
      <c r="H355" s="322"/>
      <c r="I355" s="322"/>
      <c r="J355" s="324"/>
      <c r="K355" s="323"/>
      <c r="L355" s="323"/>
      <c r="M355" s="323"/>
    </row>
    <row r="356">
      <c r="A356" s="322"/>
      <c r="B356" s="323"/>
      <c r="C356" s="320"/>
      <c r="D356" s="322"/>
      <c r="E356" s="322"/>
      <c r="F356" s="322"/>
      <c r="G356" s="322"/>
      <c r="H356" s="322"/>
      <c r="I356" s="322"/>
      <c r="J356" s="324"/>
      <c r="K356" s="323"/>
      <c r="L356" s="323"/>
      <c r="M356" s="323"/>
    </row>
    <row r="357">
      <c r="A357" s="322"/>
      <c r="B357" s="323"/>
      <c r="C357" s="326"/>
      <c r="D357" s="322"/>
      <c r="E357" s="322"/>
      <c r="F357" s="322"/>
      <c r="G357" s="322"/>
      <c r="H357" s="322"/>
      <c r="I357" s="322"/>
      <c r="J357" s="324"/>
      <c r="K357" s="323"/>
      <c r="L357" s="323"/>
      <c r="M357" s="323"/>
    </row>
    <row r="358">
      <c r="A358" s="322"/>
      <c r="B358" s="323"/>
      <c r="C358" s="326"/>
      <c r="D358" s="322"/>
      <c r="E358" s="322"/>
      <c r="F358" s="322"/>
      <c r="G358" s="322"/>
      <c r="H358" s="322"/>
      <c r="I358" s="322"/>
      <c r="J358" s="324"/>
      <c r="K358" s="323"/>
      <c r="L358" s="323"/>
      <c r="M358" s="323"/>
    </row>
    <row r="359">
      <c r="A359" s="322"/>
      <c r="B359" s="323"/>
      <c r="C359" s="326"/>
      <c r="D359" s="322"/>
      <c r="E359" s="322"/>
      <c r="F359" s="322"/>
      <c r="G359" s="322"/>
      <c r="H359" s="322"/>
      <c r="I359" s="322"/>
      <c r="J359" s="324"/>
      <c r="K359" s="323"/>
      <c r="L359" s="323"/>
      <c r="M359" s="323"/>
    </row>
    <row r="360">
      <c r="A360" s="322"/>
      <c r="B360" s="323"/>
      <c r="C360" s="326"/>
      <c r="D360" s="322"/>
      <c r="E360" s="322"/>
      <c r="F360" s="322"/>
      <c r="G360" s="322"/>
      <c r="H360" s="322"/>
      <c r="I360" s="322"/>
      <c r="J360" s="324"/>
      <c r="K360" s="323"/>
      <c r="L360" s="323"/>
      <c r="M360" s="323"/>
    </row>
    <row r="361">
      <c r="A361" s="322"/>
      <c r="B361" s="323"/>
      <c r="C361" s="326"/>
      <c r="D361" s="322"/>
      <c r="E361" s="322"/>
      <c r="F361" s="322"/>
      <c r="G361" s="322"/>
      <c r="H361" s="322"/>
      <c r="I361" s="322"/>
      <c r="J361" s="324"/>
      <c r="K361" s="323"/>
      <c r="L361" s="323"/>
      <c r="M361" s="323"/>
    </row>
    <row r="362">
      <c r="A362" s="322"/>
      <c r="B362" s="323"/>
      <c r="C362" s="326"/>
      <c r="D362" s="322"/>
      <c r="E362" s="322"/>
      <c r="F362" s="322"/>
      <c r="G362" s="322"/>
      <c r="H362" s="322"/>
      <c r="I362" s="322"/>
      <c r="J362" s="324"/>
      <c r="K362" s="323"/>
      <c r="L362" s="323"/>
      <c r="M362" s="323"/>
    </row>
    <row r="363">
      <c r="A363" s="322"/>
      <c r="B363" s="323"/>
      <c r="C363" s="320"/>
      <c r="D363" s="322"/>
      <c r="E363" s="322"/>
      <c r="F363" s="322"/>
      <c r="G363" s="322"/>
      <c r="H363" s="322"/>
      <c r="I363" s="322"/>
      <c r="J363" s="324"/>
      <c r="K363" s="323"/>
      <c r="L363" s="323"/>
      <c r="M363" s="323"/>
    </row>
    <row r="364">
      <c r="A364" s="322"/>
      <c r="B364" s="323"/>
      <c r="C364" s="326"/>
      <c r="D364" s="322"/>
      <c r="E364" s="322"/>
      <c r="F364" s="322"/>
      <c r="G364" s="322"/>
      <c r="H364" s="322"/>
      <c r="I364" s="322"/>
      <c r="J364" s="324"/>
      <c r="K364" s="323"/>
      <c r="L364" s="323"/>
      <c r="M364" s="323"/>
    </row>
    <row r="365">
      <c r="A365" s="322"/>
      <c r="B365" s="323"/>
      <c r="C365" s="326"/>
      <c r="D365" s="322"/>
      <c r="E365" s="322"/>
      <c r="F365" s="322"/>
      <c r="G365" s="322"/>
      <c r="H365" s="322"/>
      <c r="I365" s="322"/>
      <c r="J365" s="324"/>
      <c r="K365" s="323"/>
      <c r="L365" s="323"/>
      <c r="M365" s="323"/>
    </row>
    <row r="366">
      <c r="A366" s="322"/>
      <c r="B366" s="323"/>
      <c r="C366" s="326"/>
      <c r="D366" s="322"/>
      <c r="E366" s="322"/>
      <c r="F366" s="322"/>
      <c r="G366" s="322"/>
      <c r="H366" s="322"/>
      <c r="I366" s="322"/>
      <c r="J366" s="324"/>
      <c r="K366" s="323"/>
      <c r="L366" s="323"/>
      <c r="M366" s="323"/>
    </row>
    <row r="367">
      <c r="A367" s="322"/>
      <c r="B367" s="323"/>
      <c r="C367" s="326"/>
      <c r="D367" s="322"/>
      <c r="E367" s="322"/>
      <c r="F367" s="322"/>
      <c r="G367" s="322"/>
      <c r="H367" s="322"/>
      <c r="I367" s="322"/>
      <c r="J367" s="324"/>
      <c r="K367" s="323"/>
      <c r="L367" s="323"/>
      <c r="M367" s="323"/>
    </row>
    <row r="368">
      <c r="A368" s="322"/>
      <c r="B368" s="323"/>
      <c r="C368" s="320"/>
      <c r="D368" s="322"/>
      <c r="E368" s="322"/>
      <c r="F368" s="322"/>
      <c r="G368" s="322"/>
      <c r="H368" s="322"/>
      <c r="I368" s="322"/>
      <c r="J368" s="324"/>
      <c r="K368" s="323"/>
      <c r="L368" s="323"/>
      <c r="M368" s="323"/>
    </row>
    <row r="369">
      <c r="A369" s="322"/>
      <c r="B369" s="323"/>
      <c r="C369" s="326"/>
      <c r="D369" s="322"/>
      <c r="E369" s="322"/>
      <c r="F369" s="322"/>
      <c r="G369" s="322"/>
      <c r="H369" s="322"/>
      <c r="I369" s="322"/>
      <c r="J369" s="324"/>
      <c r="K369" s="323"/>
      <c r="L369" s="323"/>
      <c r="M369" s="323"/>
    </row>
    <row r="370">
      <c r="A370" s="322"/>
      <c r="B370" s="323"/>
      <c r="C370" s="326"/>
      <c r="D370" s="322"/>
      <c r="E370" s="322"/>
      <c r="F370" s="322"/>
      <c r="G370" s="322"/>
      <c r="H370" s="322"/>
      <c r="I370" s="322"/>
      <c r="J370" s="324"/>
      <c r="K370" s="323"/>
      <c r="L370" s="323"/>
      <c r="M370" s="323"/>
    </row>
    <row r="371">
      <c r="A371" s="322"/>
      <c r="B371" s="323"/>
      <c r="C371" s="326"/>
      <c r="D371" s="322"/>
      <c r="E371" s="322"/>
      <c r="F371" s="322"/>
      <c r="G371" s="322"/>
      <c r="H371" s="322"/>
      <c r="I371" s="322"/>
      <c r="J371" s="324"/>
      <c r="K371" s="323"/>
      <c r="L371" s="323"/>
      <c r="M371" s="323"/>
    </row>
    <row r="372">
      <c r="A372" s="322"/>
      <c r="B372" s="323"/>
      <c r="C372" s="326"/>
      <c r="D372" s="322"/>
      <c r="E372" s="322"/>
      <c r="F372" s="322"/>
      <c r="G372" s="322"/>
      <c r="H372" s="322"/>
      <c r="I372" s="322"/>
      <c r="J372" s="324"/>
      <c r="K372" s="323"/>
      <c r="L372" s="323"/>
      <c r="M372" s="323"/>
    </row>
    <row r="373">
      <c r="A373" s="322"/>
      <c r="B373" s="323"/>
      <c r="C373" s="326"/>
      <c r="D373" s="322"/>
      <c r="E373" s="322"/>
      <c r="F373" s="322"/>
      <c r="G373" s="322"/>
      <c r="H373" s="322"/>
      <c r="I373" s="322"/>
      <c r="J373" s="324"/>
      <c r="K373" s="323"/>
      <c r="L373" s="323"/>
      <c r="M373" s="323"/>
    </row>
    <row r="374">
      <c r="A374" s="322"/>
      <c r="B374" s="323"/>
      <c r="C374" s="326"/>
      <c r="D374" s="322"/>
      <c r="E374" s="322"/>
      <c r="F374" s="322"/>
      <c r="G374" s="322"/>
      <c r="H374" s="322"/>
      <c r="I374" s="322"/>
      <c r="J374" s="324"/>
      <c r="K374" s="323"/>
      <c r="L374" s="323"/>
      <c r="M374" s="323"/>
    </row>
    <row r="375">
      <c r="A375" s="322"/>
      <c r="B375" s="323"/>
      <c r="C375" s="326"/>
      <c r="D375" s="322"/>
      <c r="E375" s="322"/>
      <c r="F375" s="322"/>
      <c r="G375" s="322"/>
      <c r="H375" s="322"/>
      <c r="I375" s="322"/>
      <c r="J375" s="324"/>
      <c r="K375" s="323"/>
      <c r="L375" s="323"/>
      <c r="M375" s="323"/>
    </row>
    <row r="376">
      <c r="A376" s="322"/>
      <c r="B376" s="323"/>
      <c r="C376" s="326"/>
      <c r="D376" s="322"/>
      <c r="E376" s="322"/>
      <c r="F376" s="322"/>
      <c r="G376" s="322"/>
      <c r="H376" s="322"/>
      <c r="I376" s="322"/>
      <c r="J376" s="324"/>
      <c r="K376" s="323"/>
      <c r="L376" s="323"/>
      <c r="M376" s="323"/>
    </row>
    <row r="377">
      <c r="A377" s="322"/>
      <c r="B377" s="323"/>
      <c r="C377" s="320"/>
      <c r="D377" s="322"/>
      <c r="E377" s="322"/>
      <c r="F377" s="322"/>
      <c r="G377" s="322"/>
      <c r="H377" s="322"/>
      <c r="I377" s="322"/>
      <c r="J377" s="324"/>
      <c r="K377" s="323"/>
      <c r="L377" s="323"/>
      <c r="M377" s="323"/>
    </row>
    <row r="378">
      <c r="A378" s="322"/>
      <c r="B378" s="323"/>
      <c r="C378" s="320"/>
      <c r="D378" s="322"/>
      <c r="E378" s="322"/>
      <c r="F378" s="322"/>
      <c r="G378" s="322"/>
      <c r="H378" s="322"/>
      <c r="I378" s="322"/>
      <c r="J378" s="324"/>
      <c r="K378" s="323"/>
      <c r="L378" s="323"/>
      <c r="M378" s="323"/>
    </row>
    <row r="379">
      <c r="A379" s="322"/>
      <c r="B379" s="323"/>
      <c r="C379" s="320"/>
      <c r="D379" s="322"/>
      <c r="E379" s="322"/>
      <c r="F379" s="322"/>
      <c r="G379" s="322"/>
      <c r="H379" s="322"/>
      <c r="I379" s="322"/>
      <c r="J379" s="324"/>
      <c r="K379" s="323"/>
      <c r="L379" s="323"/>
      <c r="M379" s="323"/>
    </row>
    <row r="380">
      <c r="A380" s="322"/>
      <c r="B380" s="323"/>
      <c r="C380" s="320"/>
      <c r="D380" s="322"/>
      <c r="E380" s="322"/>
      <c r="F380" s="322"/>
      <c r="G380" s="322"/>
      <c r="H380" s="322"/>
      <c r="I380" s="322"/>
      <c r="J380" s="324"/>
      <c r="K380" s="323"/>
      <c r="L380" s="323"/>
      <c r="M380" s="323"/>
    </row>
    <row r="381">
      <c r="A381" s="322"/>
      <c r="B381" s="323"/>
      <c r="C381" s="320"/>
      <c r="D381" s="322"/>
      <c r="E381" s="322"/>
      <c r="F381" s="322"/>
      <c r="G381" s="322"/>
      <c r="H381" s="322"/>
      <c r="I381" s="322"/>
      <c r="J381" s="324"/>
      <c r="K381" s="323"/>
      <c r="L381" s="323"/>
      <c r="M381" s="323"/>
    </row>
    <row r="382">
      <c r="A382" s="322"/>
      <c r="B382" s="323"/>
      <c r="C382" s="320"/>
      <c r="D382" s="322"/>
      <c r="E382" s="322"/>
      <c r="F382" s="322"/>
      <c r="G382" s="322"/>
      <c r="H382" s="322"/>
      <c r="I382" s="322"/>
      <c r="J382" s="324"/>
      <c r="K382" s="323"/>
      <c r="L382" s="323"/>
      <c r="M382" s="323"/>
    </row>
    <row r="383">
      <c r="A383" s="322"/>
      <c r="B383" s="323"/>
      <c r="C383" s="326"/>
      <c r="D383" s="322"/>
      <c r="E383" s="322"/>
      <c r="F383" s="322"/>
      <c r="G383" s="322"/>
      <c r="H383" s="322"/>
      <c r="I383" s="322"/>
      <c r="J383" s="324"/>
      <c r="K383" s="323"/>
      <c r="L383" s="323"/>
      <c r="M383" s="323"/>
    </row>
    <row r="384">
      <c r="A384" s="322"/>
      <c r="B384" s="323"/>
      <c r="C384" s="326"/>
      <c r="D384" s="322"/>
      <c r="E384" s="322"/>
      <c r="F384" s="322"/>
      <c r="G384" s="322"/>
      <c r="H384" s="322"/>
      <c r="I384" s="322"/>
      <c r="J384" s="324"/>
      <c r="K384" s="323"/>
      <c r="L384" s="323"/>
      <c r="M384" s="323"/>
    </row>
    <row r="385">
      <c r="A385" s="322"/>
      <c r="B385" s="323"/>
      <c r="C385" s="326"/>
      <c r="D385" s="322"/>
      <c r="E385" s="322"/>
      <c r="F385" s="322"/>
      <c r="G385" s="322"/>
      <c r="H385" s="322"/>
      <c r="I385" s="322"/>
      <c r="J385" s="324"/>
      <c r="K385" s="323"/>
      <c r="L385" s="323"/>
      <c r="M385" s="323"/>
    </row>
    <row r="386">
      <c r="A386" s="322"/>
      <c r="B386" s="323"/>
      <c r="C386" s="326"/>
      <c r="D386" s="322"/>
      <c r="E386" s="322"/>
      <c r="F386" s="322"/>
      <c r="G386" s="322"/>
      <c r="H386" s="322"/>
      <c r="I386" s="322"/>
      <c r="J386" s="324"/>
      <c r="K386" s="323"/>
      <c r="L386" s="323"/>
      <c r="M386" s="323"/>
    </row>
    <row r="387">
      <c r="A387" s="322"/>
      <c r="B387" s="323"/>
      <c r="C387" s="320"/>
      <c r="D387" s="322"/>
      <c r="E387" s="322"/>
      <c r="F387" s="322"/>
      <c r="G387" s="322"/>
      <c r="H387" s="322"/>
      <c r="I387" s="322"/>
      <c r="J387" s="324"/>
      <c r="K387" s="323"/>
      <c r="L387" s="323"/>
      <c r="M387" s="323"/>
    </row>
    <row r="388">
      <c r="A388" s="322"/>
      <c r="B388" s="323"/>
      <c r="C388" s="320"/>
      <c r="D388" s="322"/>
      <c r="E388" s="322"/>
      <c r="F388" s="322"/>
      <c r="G388" s="322"/>
      <c r="H388" s="322"/>
      <c r="I388" s="322"/>
      <c r="J388" s="324"/>
      <c r="K388" s="323"/>
      <c r="L388" s="323"/>
      <c r="M388" s="323"/>
    </row>
    <row r="389">
      <c r="A389" s="322"/>
      <c r="B389" s="323"/>
      <c r="C389" s="320"/>
      <c r="D389" s="322"/>
      <c r="E389" s="322"/>
      <c r="F389" s="322"/>
      <c r="G389" s="322"/>
      <c r="H389" s="322"/>
      <c r="I389" s="322"/>
      <c r="J389" s="324"/>
      <c r="K389" s="323"/>
      <c r="L389" s="323"/>
      <c r="M389" s="323"/>
    </row>
    <row r="390">
      <c r="A390" s="322"/>
      <c r="B390" s="323"/>
      <c r="C390" s="320"/>
      <c r="D390" s="322"/>
      <c r="E390" s="322"/>
      <c r="F390" s="322"/>
      <c r="G390" s="322"/>
      <c r="H390" s="322"/>
      <c r="I390" s="322"/>
      <c r="J390" s="324"/>
      <c r="K390" s="323"/>
      <c r="L390" s="323"/>
      <c r="M390" s="323"/>
    </row>
    <row r="391">
      <c r="A391" s="322"/>
      <c r="B391" s="323"/>
      <c r="C391" s="320"/>
      <c r="D391" s="322"/>
      <c r="E391" s="322"/>
      <c r="F391" s="322"/>
      <c r="G391" s="322"/>
      <c r="H391" s="322"/>
      <c r="I391" s="322"/>
      <c r="J391" s="324"/>
      <c r="K391" s="323"/>
      <c r="L391" s="323"/>
      <c r="M391" s="323"/>
    </row>
    <row r="392">
      <c r="A392" s="322"/>
      <c r="B392" s="323"/>
      <c r="C392" s="320"/>
      <c r="D392" s="322"/>
      <c r="E392" s="322"/>
      <c r="F392" s="322"/>
      <c r="G392" s="322"/>
      <c r="H392" s="322"/>
      <c r="I392" s="322"/>
      <c r="J392" s="324"/>
      <c r="K392" s="323"/>
      <c r="L392" s="323"/>
      <c r="M392" s="323"/>
    </row>
    <row r="393">
      <c r="A393" s="322"/>
      <c r="B393" s="323"/>
      <c r="C393" s="320"/>
      <c r="D393" s="322"/>
      <c r="E393" s="322"/>
      <c r="F393" s="322"/>
      <c r="G393" s="322"/>
      <c r="H393" s="322"/>
      <c r="I393" s="322"/>
      <c r="J393" s="324"/>
      <c r="K393" s="323"/>
      <c r="L393" s="323"/>
      <c r="M393" s="323"/>
    </row>
    <row r="394">
      <c r="A394" s="322"/>
      <c r="B394" s="323"/>
      <c r="C394" s="320"/>
      <c r="D394" s="322"/>
      <c r="E394" s="322"/>
      <c r="F394" s="322"/>
      <c r="G394" s="322"/>
      <c r="H394" s="322"/>
      <c r="I394" s="322"/>
      <c r="J394" s="324"/>
      <c r="K394" s="323"/>
      <c r="L394" s="323"/>
      <c r="M394" s="323"/>
    </row>
    <row r="395">
      <c r="A395" s="322"/>
      <c r="B395" s="323"/>
      <c r="C395" s="320"/>
      <c r="D395" s="322"/>
      <c r="E395" s="322"/>
      <c r="F395" s="322"/>
      <c r="G395" s="322"/>
      <c r="H395" s="322"/>
      <c r="I395" s="322"/>
      <c r="J395" s="324"/>
      <c r="K395" s="323"/>
      <c r="L395" s="323"/>
      <c r="M395" s="323"/>
    </row>
    <row r="396">
      <c r="A396" s="322"/>
      <c r="B396" s="323"/>
      <c r="C396" s="320"/>
      <c r="D396" s="322"/>
      <c r="E396" s="322"/>
      <c r="F396" s="322"/>
      <c r="G396" s="322"/>
      <c r="H396" s="322"/>
      <c r="I396" s="322"/>
      <c r="J396" s="324"/>
      <c r="K396" s="323"/>
      <c r="L396" s="323"/>
      <c r="M396" s="323"/>
    </row>
    <row r="397">
      <c r="A397" s="322"/>
      <c r="B397" s="323"/>
      <c r="C397" s="320"/>
      <c r="D397" s="322"/>
      <c r="E397" s="322"/>
      <c r="F397" s="322"/>
      <c r="G397" s="322"/>
      <c r="H397" s="322"/>
      <c r="I397" s="322"/>
      <c r="J397" s="324"/>
      <c r="K397" s="323"/>
      <c r="L397" s="323"/>
      <c r="M397" s="323"/>
    </row>
    <row r="398">
      <c r="A398" s="322"/>
      <c r="B398" s="323"/>
      <c r="C398" s="320"/>
      <c r="D398" s="322"/>
      <c r="E398" s="322"/>
      <c r="F398" s="322"/>
      <c r="G398" s="322"/>
      <c r="H398" s="322"/>
      <c r="I398" s="322"/>
      <c r="J398" s="324"/>
      <c r="K398" s="323"/>
      <c r="L398" s="323"/>
      <c r="M398" s="323"/>
    </row>
    <row r="399">
      <c r="A399" s="322"/>
      <c r="B399" s="323"/>
      <c r="C399" s="326"/>
      <c r="D399" s="322"/>
      <c r="E399" s="322"/>
      <c r="F399" s="322"/>
      <c r="G399" s="322"/>
      <c r="H399" s="322"/>
      <c r="I399" s="322"/>
      <c r="J399" s="324"/>
      <c r="K399" s="323"/>
      <c r="L399" s="323"/>
      <c r="M399" s="323"/>
    </row>
    <row r="400">
      <c r="A400" s="322"/>
      <c r="B400" s="323"/>
      <c r="C400" s="326"/>
      <c r="D400" s="322"/>
      <c r="E400" s="322"/>
      <c r="F400" s="322"/>
      <c r="G400" s="322"/>
      <c r="H400" s="322"/>
      <c r="I400" s="322"/>
      <c r="J400" s="324"/>
      <c r="K400" s="323"/>
      <c r="L400" s="323"/>
      <c r="M400" s="323"/>
    </row>
    <row r="401">
      <c r="A401" s="322"/>
      <c r="B401" s="323"/>
      <c r="C401" s="326"/>
      <c r="D401" s="322"/>
      <c r="E401" s="322"/>
      <c r="F401" s="322"/>
      <c r="G401" s="322"/>
      <c r="H401" s="322"/>
      <c r="I401" s="322"/>
      <c r="J401" s="324"/>
      <c r="K401" s="323"/>
      <c r="L401" s="323"/>
      <c r="M401" s="323"/>
    </row>
    <row r="402">
      <c r="A402" s="322"/>
      <c r="B402" s="323"/>
      <c r="C402" s="326"/>
      <c r="D402" s="322"/>
      <c r="E402" s="322"/>
      <c r="F402" s="322"/>
      <c r="G402" s="322"/>
      <c r="H402" s="322"/>
      <c r="I402" s="322"/>
      <c r="J402" s="324"/>
      <c r="K402" s="323"/>
      <c r="L402" s="323"/>
      <c r="M402" s="323"/>
    </row>
    <row r="403">
      <c r="A403" s="322"/>
      <c r="B403" s="323"/>
      <c r="C403" s="320"/>
      <c r="D403" s="322"/>
      <c r="E403" s="322"/>
      <c r="F403" s="322"/>
      <c r="G403" s="322"/>
      <c r="H403" s="322"/>
      <c r="I403" s="322"/>
      <c r="J403" s="324"/>
      <c r="K403" s="323"/>
      <c r="L403" s="323"/>
      <c r="M403" s="323"/>
    </row>
    <row r="404">
      <c r="A404" s="322"/>
      <c r="B404" s="323"/>
      <c r="C404" s="320"/>
      <c r="D404" s="322"/>
      <c r="E404" s="322"/>
      <c r="F404" s="322"/>
      <c r="G404" s="322"/>
      <c r="H404" s="322"/>
      <c r="I404" s="322"/>
      <c r="J404" s="324"/>
      <c r="K404" s="323"/>
      <c r="L404" s="323"/>
      <c r="M404" s="323"/>
    </row>
    <row r="405">
      <c r="A405" s="322"/>
      <c r="B405" s="323"/>
      <c r="C405" s="320"/>
      <c r="D405" s="322"/>
      <c r="E405" s="322"/>
      <c r="F405" s="322"/>
      <c r="G405" s="322"/>
      <c r="H405" s="322"/>
      <c r="I405" s="322"/>
      <c r="J405" s="324"/>
      <c r="K405" s="323"/>
      <c r="L405" s="323"/>
      <c r="M405" s="323"/>
    </row>
    <row r="406">
      <c r="A406" s="322"/>
      <c r="B406" s="323"/>
      <c r="C406" s="320"/>
      <c r="D406" s="322"/>
      <c r="E406" s="322"/>
      <c r="F406" s="322"/>
      <c r="G406" s="322"/>
      <c r="H406" s="322"/>
      <c r="I406" s="322"/>
      <c r="J406" s="324"/>
      <c r="K406" s="323"/>
      <c r="L406" s="323"/>
      <c r="M406" s="323"/>
    </row>
    <row r="407">
      <c r="A407" s="322"/>
      <c r="B407" s="323"/>
      <c r="C407" s="320"/>
      <c r="D407" s="322"/>
      <c r="E407" s="322"/>
      <c r="F407" s="322"/>
      <c r="G407" s="322"/>
      <c r="H407" s="322"/>
      <c r="I407" s="322"/>
      <c r="J407" s="324"/>
      <c r="K407" s="323"/>
      <c r="L407" s="323"/>
      <c r="M407" s="323"/>
    </row>
    <row r="408">
      <c r="A408" s="322"/>
      <c r="B408" s="323"/>
      <c r="C408" s="320"/>
      <c r="D408" s="322"/>
      <c r="E408" s="322"/>
      <c r="F408" s="322"/>
      <c r="G408" s="322"/>
      <c r="H408" s="322"/>
      <c r="I408" s="322"/>
      <c r="J408" s="324"/>
      <c r="K408" s="323"/>
      <c r="L408" s="323"/>
      <c r="M408" s="323"/>
    </row>
    <row r="409">
      <c r="A409" s="322"/>
      <c r="B409" s="323"/>
      <c r="C409" s="320"/>
      <c r="D409" s="322"/>
      <c r="E409" s="322"/>
      <c r="F409" s="322"/>
      <c r="G409" s="322"/>
      <c r="H409" s="322"/>
      <c r="I409" s="322"/>
      <c r="J409" s="324"/>
      <c r="K409" s="323"/>
      <c r="L409" s="323"/>
      <c r="M409" s="323"/>
    </row>
    <row r="410">
      <c r="A410" s="322"/>
      <c r="B410" s="323"/>
      <c r="C410" s="326"/>
      <c r="D410" s="322"/>
      <c r="E410" s="322"/>
      <c r="F410" s="322"/>
      <c r="G410" s="322"/>
      <c r="H410" s="322"/>
      <c r="I410" s="322"/>
      <c r="J410" s="324"/>
      <c r="K410" s="323"/>
      <c r="L410" s="323"/>
      <c r="M410" s="323"/>
    </row>
    <row r="411">
      <c r="A411" s="322"/>
      <c r="B411" s="323"/>
      <c r="C411" s="326"/>
      <c r="D411" s="322"/>
      <c r="E411" s="322"/>
      <c r="F411" s="322"/>
      <c r="G411" s="322"/>
      <c r="H411" s="322"/>
      <c r="I411" s="322"/>
      <c r="J411" s="324"/>
      <c r="K411" s="323"/>
      <c r="L411" s="323"/>
      <c r="M411" s="323"/>
    </row>
    <row r="412">
      <c r="A412" s="322"/>
      <c r="B412" s="323"/>
      <c r="C412" s="320"/>
      <c r="D412" s="322"/>
      <c r="E412" s="322"/>
      <c r="F412" s="322"/>
      <c r="G412" s="322"/>
      <c r="H412" s="322"/>
      <c r="I412" s="322"/>
      <c r="J412" s="324"/>
      <c r="K412" s="323"/>
      <c r="L412" s="323"/>
      <c r="M412" s="323"/>
    </row>
    <row r="413">
      <c r="A413" s="322"/>
      <c r="B413" s="323"/>
      <c r="C413" s="320"/>
      <c r="D413" s="322"/>
      <c r="E413" s="322"/>
      <c r="F413" s="322"/>
      <c r="G413" s="322"/>
      <c r="H413" s="322"/>
      <c r="I413" s="322"/>
      <c r="J413" s="324"/>
      <c r="K413" s="323"/>
      <c r="L413" s="323"/>
      <c r="M413" s="323"/>
    </row>
    <row r="414">
      <c r="A414" s="322"/>
      <c r="B414" s="323"/>
      <c r="C414" s="320"/>
      <c r="D414" s="322"/>
      <c r="E414" s="322"/>
      <c r="F414" s="322"/>
      <c r="G414" s="322"/>
      <c r="H414" s="322"/>
      <c r="I414" s="322"/>
      <c r="J414" s="324"/>
      <c r="K414" s="323"/>
      <c r="L414" s="323"/>
      <c r="M414" s="323"/>
    </row>
    <row r="415">
      <c r="A415" s="322"/>
      <c r="B415" s="323"/>
      <c r="C415" s="320"/>
      <c r="D415" s="322"/>
      <c r="E415" s="322"/>
      <c r="F415" s="322"/>
      <c r="G415" s="322"/>
      <c r="H415" s="322"/>
      <c r="I415" s="322"/>
      <c r="J415" s="324"/>
      <c r="K415" s="323"/>
      <c r="L415" s="323"/>
      <c r="M415" s="323"/>
    </row>
    <row r="416">
      <c r="A416" s="322"/>
      <c r="B416" s="323"/>
      <c r="C416" s="320"/>
      <c r="D416" s="322"/>
      <c r="E416" s="322"/>
      <c r="F416" s="322"/>
      <c r="G416" s="322"/>
      <c r="H416" s="322"/>
      <c r="I416" s="322"/>
      <c r="J416" s="324"/>
      <c r="K416" s="323"/>
      <c r="L416" s="323"/>
      <c r="M416" s="323"/>
    </row>
    <row r="417">
      <c r="A417" s="322"/>
      <c r="B417" s="323"/>
      <c r="C417" s="320"/>
      <c r="D417" s="322"/>
      <c r="E417" s="322"/>
      <c r="F417" s="322"/>
      <c r="G417" s="322"/>
      <c r="H417" s="322"/>
      <c r="I417" s="322"/>
      <c r="J417" s="324"/>
      <c r="K417" s="323"/>
      <c r="L417" s="323"/>
      <c r="M417" s="323"/>
    </row>
    <row r="418">
      <c r="A418" s="322"/>
      <c r="B418" s="323"/>
      <c r="C418" s="320"/>
      <c r="D418" s="322"/>
      <c r="E418" s="322"/>
      <c r="F418" s="322"/>
      <c r="G418" s="322"/>
      <c r="H418" s="322"/>
      <c r="I418" s="322"/>
      <c r="J418" s="324"/>
      <c r="K418" s="323"/>
      <c r="L418" s="323"/>
      <c r="M418" s="323"/>
    </row>
    <row r="419">
      <c r="A419" s="322"/>
      <c r="B419" s="323"/>
      <c r="C419" s="320"/>
      <c r="D419" s="322"/>
      <c r="E419" s="322"/>
      <c r="F419" s="322"/>
      <c r="G419" s="322"/>
      <c r="H419" s="322"/>
      <c r="I419" s="322"/>
      <c r="J419" s="324"/>
      <c r="K419" s="323"/>
      <c r="L419" s="323"/>
      <c r="M419" s="323"/>
    </row>
    <row r="420">
      <c r="A420" s="322"/>
      <c r="B420" s="323"/>
      <c r="C420" s="320"/>
      <c r="D420" s="322"/>
      <c r="E420" s="322"/>
      <c r="F420" s="322"/>
      <c r="G420" s="322"/>
      <c r="H420" s="322"/>
      <c r="I420" s="322"/>
      <c r="J420" s="324"/>
      <c r="K420" s="323"/>
      <c r="L420" s="323"/>
      <c r="M420" s="323"/>
    </row>
    <row r="421">
      <c r="A421" s="322"/>
      <c r="B421" s="323"/>
      <c r="C421" s="320"/>
      <c r="D421" s="322"/>
      <c r="E421" s="322"/>
      <c r="F421" s="322"/>
      <c r="G421" s="322"/>
      <c r="H421" s="322"/>
      <c r="I421" s="322"/>
      <c r="J421" s="324"/>
      <c r="K421" s="323"/>
      <c r="L421" s="323"/>
      <c r="M421" s="323"/>
    </row>
    <row r="422">
      <c r="A422" s="322"/>
      <c r="B422" s="323"/>
      <c r="C422" s="320"/>
      <c r="D422" s="322"/>
      <c r="E422" s="322"/>
      <c r="F422" s="322"/>
      <c r="G422" s="322"/>
      <c r="H422" s="322"/>
      <c r="I422" s="322"/>
      <c r="J422" s="324"/>
      <c r="K422" s="323"/>
      <c r="L422" s="323"/>
      <c r="M422" s="323"/>
    </row>
    <row r="423">
      <c r="A423" s="322"/>
      <c r="B423" s="323"/>
      <c r="C423" s="320"/>
      <c r="D423" s="322"/>
      <c r="E423" s="322"/>
      <c r="F423" s="322"/>
      <c r="G423" s="322"/>
      <c r="H423" s="322"/>
      <c r="I423" s="322"/>
      <c r="J423" s="324"/>
      <c r="K423" s="323"/>
      <c r="L423" s="323"/>
      <c r="M423" s="323"/>
    </row>
    <row r="424">
      <c r="A424" s="322"/>
      <c r="B424" s="323"/>
      <c r="C424" s="320"/>
      <c r="D424" s="322"/>
      <c r="E424" s="322"/>
      <c r="F424" s="322"/>
      <c r="G424" s="322"/>
      <c r="H424" s="322"/>
      <c r="I424" s="322"/>
      <c r="J424" s="324"/>
      <c r="K424" s="323"/>
      <c r="L424" s="323"/>
      <c r="M424" s="323"/>
    </row>
    <row r="425">
      <c r="A425" s="322"/>
      <c r="B425" s="323"/>
      <c r="C425" s="320"/>
      <c r="D425" s="322"/>
      <c r="E425" s="322"/>
      <c r="F425" s="322"/>
      <c r="G425" s="322"/>
      <c r="H425" s="322"/>
      <c r="I425" s="322"/>
      <c r="J425" s="324"/>
      <c r="K425" s="323"/>
      <c r="L425" s="323"/>
      <c r="M425" s="323"/>
    </row>
    <row r="426">
      <c r="A426" s="322"/>
      <c r="B426" s="323"/>
      <c r="C426" s="326"/>
      <c r="D426" s="322"/>
      <c r="E426" s="322"/>
      <c r="F426" s="322"/>
      <c r="G426" s="322"/>
      <c r="H426" s="322"/>
      <c r="I426" s="322"/>
      <c r="J426" s="324"/>
      <c r="K426" s="323"/>
      <c r="L426" s="323"/>
      <c r="M426" s="323"/>
    </row>
    <row r="427">
      <c r="A427" s="322"/>
      <c r="B427" s="323"/>
      <c r="C427" s="326"/>
      <c r="D427" s="322"/>
      <c r="E427" s="322"/>
      <c r="F427" s="322"/>
      <c r="G427" s="322"/>
      <c r="H427" s="322"/>
      <c r="I427" s="322"/>
      <c r="J427" s="324"/>
      <c r="K427" s="323"/>
      <c r="L427" s="323"/>
      <c r="M427" s="323"/>
    </row>
    <row r="428">
      <c r="A428" s="322"/>
      <c r="B428" s="323"/>
      <c r="C428" s="326"/>
      <c r="D428" s="322"/>
      <c r="E428" s="322"/>
      <c r="F428" s="322"/>
      <c r="G428" s="322"/>
      <c r="H428" s="322"/>
      <c r="I428" s="322"/>
      <c r="J428" s="324"/>
      <c r="K428" s="323"/>
      <c r="L428" s="323"/>
      <c r="M428" s="323"/>
    </row>
    <row r="429">
      <c r="A429" s="322"/>
      <c r="B429" s="323"/>
      <c r="C429" s="326"/>
      <c r="D429" s="322"/>
      <c r="E429" s="322"/>
      <c r="F429" s="322"/>
      <c r="G429" s="322"/>
      <c r="H429" s="322"/>
      <c r="I429" s="322"/>
      <c r="J429" s="324"/>
      <c r="K429" s="323"/>
      <c r="L429" s="323"/>
      <c r="M429" s="323"/>
    </row>
    <row r="430">
      <c r="A430" s="322"/>
      <c r="B430" s="323"/>
      <c r="C430" s="326"/>
      <c r="D430" s="322"/>
      <c r="E430" s="322"/>
      <c r="F430" s="322"/>
      <c r="G430" s="322"/>
      <c r="H430" s="322"/>
      <c r="I430" s="322"/>
      <c r="J430" s="324"/>
      <c r="K430" s="323"/>
      <c r="L430" s="323"/>
      <c r="M430" s="323"/>
    </row>
    <row r="431">
      <c r="A431" s="322"/>
      <c r="B431" s="323"/>
      <c r="C431" s="326"/>
      <c r="D431" s="322"/>
      <c r="E431" s="322"/>
      <c r="F431" s="322"/>
      <c r="G431" s="322"/>
      <c r="H431" s="322"/>
      <c r="I431" s="322"/>
      <c r="J431" s="324"/>
      <c r="K431" s="323"/>
      <c r="L431" s="323"/>
      <c r="M431" s="323"/>
    </row>
    <row r="432">
      <c r="A432" s="322"/>
      <c r="B432" s="323"/>
      <c r="C432" s="320"/>
      <c r="D432" s="322"/>
      <c r="E432" s="322"/>
      <c r="F432" s="322"/>
      <c r="G432" s="322"/>
      <c r="H432" s="322"/>
      <c r="I432" s="322"/>
      <c r="J432" s="324"/>
      <c r="K432" s="323"/>
      <c r="L432" s="323"/>
      <c r="M432" s="323"/>
    </row>
    <row r="433">
      <c r="A433" s="322"/>
      <c r="B433" s="323"/>
      <c r="C433" s="320"/>
      <c r="D433" s="322"/>
      <c r="E433" s="322"/>
      <c r="F433" s="322"/>
      <c r="G433" s="322"/>
      <c r="H433" s="322"/>
      <c r="I433" s="322"/>
      <c r="J433" s="324"/>
      <c r="K433" s="323"/>
      <c r="L433" s="323"/>
      <c r="M433" s="323"/>
    </row>
    <row r="434">
      <c r="A434" s="322"/>
      <c r="B434" s="323"/>
      <c r="C434" s="320"/>
      <c r="D434" s="322"/>
      <c r="E434" s="322"/>
      <c r="F434" s="322"/>
      <c r="G434" s="322"/>
      <c r="H434" s="322"/>
      <c r="I434" s="322"/>
      <c r="J434" s="324"/>
      <c r="K434" s="323"/>
      <c r="L434" s="323"/>
      <c r="M434" s="323"/>
    </row>
    <row r="435">
      <c r="A435" s="322"/>
      <c r="B435" s="323"/>
      <c r="C435" s="320"/>
      <c r="D435" s="322"/>
      <c r="E435" s="322"/>
      <c r="F435" s="322"/>
      <c r="G435" s="322"/>
      <c r="H435" s="322"/>
      <c r="I435" s="322"/>
      <c r="J435" s="324"/>
      <c r="K435" s="323"/>
      <c r="L435" s="323"/>
      <c r="M435" s="323"/>
    </row>
    <row r="436">
      <c r="A436" s="322"/>
      <c r="B436" s="323"/>
      <c r="C436" s="320"/>
      <c r="D436" s="322"/>
      <c r="E436" s="322"/>
      <c r="F436" s="322"/>
      <c r="G436" s="322"/>
      <c r="H436" s="322"/>
      <c r="I436" s="322"/>
      <c r="J436" s="324"/>
      <c r="K436" s="323"/>
      <c r="L436" s="323"/>
      <c r="M436" s="323"/>
    </row>
    <row r="437">
      <c r="A437" s="322"/>
      <c r="B437" s="323"/>
      <c r="C437" s="320"/>
      <c r="D437" s="322"/>
      <c r="E437" s="322"/>
      <c r="F437" s="322"/>
      <c r="G437" s="322"/>
      <c r="H437" s="322"/>
      <c r="I437" s="322"/>
      <c r="J437" s="324"/>
      <c r="K437" s="323"/>
      <c r="L437" s="323"/>
      <c r="M437" s="323"/>
    </row>
    <row r="438">
      <c r="A438" s="322"/>
      <c r="B438" s="323"/>
      <c r="C438" s="320"/>
      <c r="D438" s="322"/>
      <c r="E438" s="322"/>
      <c r="F438" s="322"/>
      <c r="G438" s="322"/>
      <c r="H438" s="322"/>
      <c r="I438" s="322"/>
      <c r="J438" s="324"/>
      <c r="K438" s="323"/>
      <c r="L438" s="323"/>
      <c r="M438" s="323"/>
    </row>
    <row r="439">
      <c r="A439" s="322"/>
      <c r="B439" s="323"/>
      <c r="C439" s="320"/>
      <c r="D439" s="322"/>
      <c r="E439" s="322"/>
      <c r="F439" s="322"/>
      <c r="G439" s="322"/>
      <c r="H439" s="322"/>
      <c r="I439" s="322"/>
      <c r="J439" s="324"/>
      <c r="K439" s="323"/>
      <c r="L439" s="323"/>
      <c r="M439" s="323"/>
    </row>
    <row r="440">
      <c r="A440" s="322"/>
      <c r="B440" s="323"/>
      <c r="C440" s="320"/>
      <c r="D440" s="322"/>
      <c r="E440" s="322"/>
      <c r="F440" s="322"/>
      <c r="G440" s="322"/>
      <c r="H440" s="322"/>
      <c r="I440" s="322"/>
      <c r="J440" s="324"/>
      <c r="K440" s="323"/>
      <c r="L440" s="323"/>
      <c r="M440" s="323"/>
    </row>
    <row r="441">
      <c r="A441" s="322"/>
      <c r="B441" s="323"/>
      <c r="C441" s="320"/>
      <c r="D441" s="322"/>
      <c r="E441" s="322"/>
      <c r="F441" s="322"/>
      <c r="G441" s="322"/>
      <c r="H441" s="322"/>
      <c r="I441" s="322"/>
      <c r="J441" s="324"/>
      <c r="K441" s="323"/>
      <c r="L441" s="323"/>
      <c r="M441" s="323"/>
    </row>
    <row r="442">
      <c r="A442" s="322"/>
      <c r="B442" s="323"/>
      <c r="C442" s="320"/>
      <c r="D442" s="322"/>
      <c r="E442" s="322"/>
      <c r="F442" s="322"/>
      <c r="G442" s="322"/>
      <c r="H442" s="322"/>
      <c r="I442" s="322"/>
      <c r="J442" s="324"/>
      <c r="K442" s="323"/>
      <c r="L442" s="323"/>
      <c r="M442" s="323"/>
    </row>
    <row r="443">
      <c r="A443" s="322"/>
      <c r="B443" s="323"/>
      <c r="C443" s="320"/>
      <c r="D443" s="322"/>
      <c r="E443" s="322"/>
      <c r="F443" s="322"/>
      <c r="G443" s="322"/>
      <c r="H443" s="322"/>
      <c r="I443" s="322"/>
      <c r="J443" s="324"/>
      <c r="K443" s="323"/>
      <c r="L443" s="323"/>
      <c r="M443" s="323"/>
    </row>
    <row r="444">
      <c r="A444" s="322"/>
      <c r="B444" s="323"/>
      <c r="C444" s="320"/>
      <c r="D444" s="322"/>
      <c r="E444" s="322"/>
      <c r="F444" s="322"/>
      <c r="G444" s="322"/>
      <c r="H444" s="322"/>
      <c r="I444" s="322"/>
      <c r="J444" s="324"/>
      <c r="K444" s="323"/>
      <c r="L444" s="323"/>
      <c r="M444" s="323"/>
    </row>
    <row r="445">
      <c r="A445" s="322"/>
      <c r="B445" s="323"/>
      <c r="C445" s="326"/>
      <c r="D445" s="322"/>
      <c r="E445" s="322"/>
      <c r="F445" s="322"/>
      <c r="G445" s="322"/>
      <c r="H445" s="322"/>
      <c r="I445" s="322"/>
      <c r="J445" s="324"/>
      <c r="K445" s="323"/>
      <c r="L445" s="323"/>
      <c r="M445" s="323"/>
    </row>
    <row r="446">
      <c r="A446" s="322"/>
      <c r="B446" s="323"/>
      <c r="C446" s="326"/>
      <c r="D446" s="322"/>
      <c r="E446" s="322"/>
      <c r="F446" s="322"/>
      <c r="G446" s="322"/>
      <c r="H446" s="322"/>
      <c r="I446" s="322"/>
      <c r="J446" s="324"/>
      <c r="K446" s="323"/>
      <c r="L446" s="323"/>
      <c r="M446" s="323"/>
    </row>
    <row r="447">
      <c r="A447" s="322"/>
      <c r="B447" s="323"/>
      <c r="C447" s="326"/>
      <c r="D447" s="322"/>
      <c r="E447" s="322"/>
      <c r="F447" s="322"/>
      <c r="G447" s="322"/>
      <c r="H447" s="322"/>
      <c r="I447" s="322"/>
      <c r="J447" s="324"/>
      <c r="K447" s="323"/>
      <c r="L447" s="323"/>
      <c r="M447" s="323"/>
    </row>
    <row r="448">
      <c r="A448" s="322"/>
      <c r="B448" s="323"/>
      <c r="C448" s="326"/>
      <c r="D448" s="322"/>
      <c r="E448" s="322"/>
      <c r="F448" s="322"/>
      <c r="G448" s="322"/>
      <c r="H448" s="322"/>
      <c r="I448" s="322"/>
      <c r="J448" s="324"/>
      <c r="K448" s="323"/>
      <c r="L448" s="323"/>
      <c r="M448" s="323"/>
    </row>
    <row r="449">
      <c r="A449" s="322"/>
      <c r="B449" s="323"/>
      <c r="C449" s="320"/>
      <c r="D449" s="322"/>
      <c r="E449" s="322"/>
      <c r="F449" s="322"/>
      <c r="G449" s="322"/>
      <c r="H449" s="322"/>
      <c r="I449" s="322"/>
      <c r="J449" s="324"/>
      <c r="K449" s="323"/>
      <c r="L449" s="323"/>
      <c r="M449" s="323"/>
    </row>
    <row r="450">
      <c r="A450" s="322"/>
      <c r="B450" s="323"/>
      <c r="C450" s="320"/>
      <c r="D450" s="322"/>
      <c r="E450" s="322"/>
      <c r="F450" s="322"/>
      <c r="G450" s="322"/>
      <c r="H450" s="322"/>
      <c r="I450" s="322"/>
      <c r="J450" s="324"/>
      <c r="K450" s="323"/>
      <c r="L450" s="323"/>
      <c r="M450" s="323"/>
    </row>
    <row r="451">
      <c r="A451" s="322"/>
      <c r="B451" s="323"/>
      <c r="C451" s="320"/>
      <c r="D451" s="322"/>
      <c r="E451" s="322"/>
      <c r="F451" s="322"/>
      <c r="G451" s="322"/>
      <c r="H451" s="322"/>
      <c r="I451" s="322"/>
      <c r="J451" s="324"/>
      <c r="K451" s="323"/>
      <c r="L451" s="323"/>
      <c r="M451" s="323"/>
    </row>
    <row r="452">
      <c r="A452" s="322"/>
      <c r="B452" s="323"/>
      <c r="C452" s="320"/>
      <c r="D452" s="322"/>
      <c r="E452" s="322"/>
      <c r="F452" s="322"/>
      <c r="G452" s="322"/>
      <c r="H452" s="322"/>
      <c r="I452" s="322"/>
      <c r="J452" s="324"/>
      <c r="K452" s="323"/>
      <c r="L452" s="323"/>
      <c r="M452" s="323"/>
    </row>
    <row r="453">
      <c r="A453" s="322"/>
      <c r="B453" s="323"/>
      <c r="C453" s="326"/>
      <c r="D453" s="322"/>
      <c r="E453" s="322"/>
      <c r="F453" s="322"/>
      <c r="G453" s="322"/>
      <c r="H453" s="322"/>
      <c r="I453" s="322"/>
      <c r="J453" s="324"/>
      <c r="K453" s="323"/>
      <c r="L453" s="323"/>
      <c r="M453" s="323"/>
    </row>
    <row r="454">
      <c r="A454" s="322"/>
      <c r="B454" s="323"/>
      <c r="C454" s="326"/>
      <c r="D454" s="322"/>
      <c r="E454" s="322"/>
      <c r="F454" s="322"/>
      <c r="G454" s="322"/>
      <c r="H454" s="322"/>
      <c r="I454" s="322"/>
      <c r="J454" s="324"/>
      <c r="K454" s="323"/>
      <c r="L454" s="323"/>
      <c r="M454" s="323"/>
    </row>
    <row r="455">
      <c r="A455" s="322"/>
      <c r="B455" s="323"/>
      <c r="C455" s="326"/>
      <c r="D455" s="322"/>
      <c r="E455" s="322"/>
      <c r="F455" s="322"/>
      <c r="G455" s="322"/>
      <c r="H455" s="322"/>
      <c r="I455" s="322"/>
      <c r="J455" s="324"/>
      <c r="K455" s="323"/>
      <c r="L455" s="323"/>
      <c r="M455" s="323"/>
    </row>
    <row r="456">
      <c r="A456" s="322"/>
      <c r="B456" s="323"/>
      <c r="C456" s="326"/>
      <c r="D456" s="322"/>
      <c r="E456" s="322"/>
      <c r="F456" s="322"/>
      <c r="G456" s="322"/>
      <c r="H456" s="322"/>
      <c r="I456" s="322"/>
      <c r="J456" s="324"/>
      <c r="K456" s="323"/>
      <c r="L456" s="323"/>
      <c r="M456" s="323"/>
    </row>
    <row r="457">
      <c r="A457" s="322"/>
      <c r="B457" s="323"/>
      <c r="C457" s="326"/>
      <c r="D457" s="322"/>
      <c r="E457" s="322"/>
      <c r="F457" s="322"/>
      <c r="G457" s="322"/>
      <c r="H457" s="322"/>
      <c r="I457" s="322"/>
      <c r="J457" s="324"/>
      <c r="K457" s="323"/>
      <c r="L457" s="323"/>
      <c r="M457" s="323"/>
    </row>
    <row r="458">
      <c r="A458" s="322"/>
      <c r="B458" s="323"/>
      <c r="C458" s="326"/>
      <c r="D458" s="322"/>
      <c r="E458" s="322"/>
      <c r="F458" s="322"/>
      <c r="G458" s="322"/>
      <c r="H458" s="322"/>
      <c r="I458" s="322"/>
      <c r="J458" s="324"/>
      <c r="K458" s="323"/>
      <c r="L458" s="323"/>
      <c r="M458" s="323"/>
    </row>
    <row r="459">
      <c r="A459" s="322"/>
      <c r="B459" s="323"/>
      <c r="C459" s="320"/>
      <c r="D459" s="322"/>
      <c r="E459" s="322"/>
      <c r="F459" s="322"/>
      <c r="G459" s="322"/>
      <c r="H459" s="322"/>
      <c r="I459" s="322"/>
      <c r="J459" s="324"/>
      <c r="K459" s="323"/>
      <c r="L459" s="323"/>
      <c r="M459" s="323"/>
    </row>
    <row r="460">
      <c r="A460" s="322"/>
      <c r="B460" s="323"/>
      <c r="C460" s="320"/>
      <c r="D460" s="322"/>
      <c r="E460" s="322"/>
      <c r="F460" s="322"/>
      <c r="G460" s="322"/>
      <c r="H460" s="322"/>
      <c r="I460" s="322"/>
      <c r="J460" s="324"/>
      <c r="K460" s="323"/>
      <c r="L460" s="323"/>
      <c r="M460" s="323"/>
    </row>
    <row r="461">
      <c r="A461" s="322"/>
      <c r="B461" s="323"/>
      <c r="C461" s="320"/>
      <c r="D461" s="322"/>
      <c r="E461" s="322"/>
      <c r="F461" s="322"/>
      <c r="G461" s="322"/>
      <c r="H461" s="322"/>
      <c r="I461" s="322"/>
      <c r="J461" s="324"/>
      <c r="K461" s="323"/>
      <c r="L461" s="323"/>
      <c r="M461" s="323"/>
    </row>
    <row r="462">
      <c r="A462" s="322"/>
      <c r="B462" s="323"/>
      <c r="C462" s="320"/>
      <c r="D462" s="322"/>
      <c r="E462" s="322"/>
      <c r="F462" s="322"/>
      <c r="G462" s="322"/>
      <c r="H462" s="322"/>
      <c r="I462" s="322"/>
      <c r="J462" s="324"/>
      <c r="K462" s="323"/>
      <c r="L462" s="323"/>
      <c r="M462" s="323"/>
    </row>
    <row r="463">
      <c r="A463" s="322"/>
      <c r="B463" s="323"/>
      <c r="C463" s="320"/>
      <c r="D463" s="322"/>
      <c r="E463" s="322"/>
      <c r="F463" s="322"/>
      <c r="G463" s="322"/>
      <c r="H463" s="322"/>
      <c r="I463" s="322"/>
      <c r="J463" s="324"/>
      <c r="K463" s="323"/>
      <c r="L463" s="323"/>
      <c r="M463" s="323"/>
    </row>
    <row r="464">
      <c r="A464" s="322"/>
      <c r="B464" s="323"/>
      <c r="C464" s="320"/>
      <c r="D464" s="322"/>
      <c r="E464" s="322"/>
      <c r="F464" s="322"/>
      <c r="G464" s="322"/>
      <c r="H464" s="322"/>
      <c r="I464" s="322"/>
      <c r="J464" s="324"/>
      <c r="K464" s="323"/>
      <c r="L464" s="323"/>
      <c r="M464" s="323"/>
    </row>
    <row r="465">
      <c r="A465" s="322"/>
      <c r="B465" s="323"/>
      <c r="C465" s="320"/>
      <c r="D465" s="322"/>
      <c r="E465" s="322"/>
      <c r="F465" s="322"/>
      <c r="G465" s="322"/>
      <c r="H465" s="322"/>
      <c r="I465" s="322"/>
      <c r="J465" s="324"/>
      <c r="K465" s="323"/>
      <c r="L465" s="323"/>
      <c r="M465" s="323"/>
    </row>
    <row r="466">
      <c r="A466" s="322"/>
      <c r="B466" s="323"/>
      <c r="C466" s="320"/>
      <c r="D466" s="322"/>
      <c r="E466" s="322"/>
      <c r="F466" s="322"/>
      <c r="G466" s="322"/>
      <c r="H466" s="322"/>
      <c r="I466" s="322"/>
      <c r="J466" s="324"/>
      <c r="K466" s="323"/>
      <c r="L466" s="323"/>
      <c r="M466" s="323"/>
    </row>
    <row r="467">
      <c r="A467" s="322"/>
      <c r="B467" s="323"/>
      <c r="C467" s="326"/>
      <c r="D467" s="322"/>
      <c r="E467" s="322"/>
      <c r="F467" s="322"/>
      <c r="G467" s="322"/>
      <c r="H467" s="322"/>
      <c r="I467" s="322"/>
      <c r="J467" s="324"/>
      <c r="K467" s="323"/>
      <c r="L467" s="323"/>
      <c r="M467" s="323"/>
    </row>
    <row r="468">
      <c r="A468" s="322"/>
      <c r="B468" s="323"/>
      <c r="C468" s="326"/>
      <c r="D468" s="322"/>
      <c r="E468" s="322"/>
      <c r="F468" s="322"/>
      <c r="G468" s="322"/>
      <c r="H468" s="322"/>
      <c r="I468" s="322"/>
      <c r="J468" s="324"/>
      <c r="K468" s="323"/>
      <c r="L468" s="323"/>
      <c r="M468" s="323"/>
    </row>
    <row r="469">
      <c r="A469" s="322"/>
      <c r="B469" s="323"/>
      <c r="C469" s="320"/>
      <c r="D469" s="322"/>
      <c r="E469" s="322"/>
      <c r="F469" s="322"/>
      <c r="G469" s="322"/>
      <c r="H469" s="322"/>
      <c r="I469" s="322"/>
      <c r="J469" s="324"/>
      <c r="K469" s="323"/>
      <c r="L469" s="323"/>
      <c r="M469" s="323"/>
    </row>
    <row r="470">
      <c r="A470" s="322"/>
      <c r="B470" s="323"/>
      <c r="C470" s="320"/>
      <c r="D470" s="322"/>
      <c r="E470" s="322"/>
      <c r="F470" s="322"/>
      <c r="G470" s="322"/>
      <c r="H470" s="322"/>
      <c r="I470" s="322"/>
      <c r="J470" s="324"/>
      <c r="K470" s="323"/>
      <c r="L470" s="323"/>
      <c r="M470" s="323"/>
    </row>
    <row r="471">
      <c r="A471" s="322"/>
      <c r="B471" s="323"/>
      <c r="C471" s="320"/>
      <c r="D471" s="322"/>
      <c r="E471" s="322"/>
      <c r="F471" s="322"/>
      <c r="G471" s="322"/>
      <c r="H471" s="322"/>
      <c r="I471" s="322"/>
      <c r="J471" s="324"/>
      <c r="K471" s="323"/>
      <c r="L471" s="323"/>
      <c r="M471" s="323"/>
    </row>
    <row r="472">
      <c r="A472" s="322"/>
      <c r="B472" s="323"/>
      <c r="C472" s="320"/>
      <c r="D472" s="322"/>
      <c r="E472" s="322"/>
      <c r="F472" s="322"/>
      <c r="G472" s="322"/>
      <c r="H472" s="322"/>
      <c r="I472" s="322"/>
      <c r="J472" s="324"/>
      <c r="K472" s="323"/>
      <c r="L472" s="323"/>
      <c r="M472" s="323"/>
    </row>
    <row r="473">
      <c r="A473" s="322"/>
      <c r="B473" s="323"/>
      <c r="C473" s="326"/>
      <c r="D473" s="322"/>
      <c r="E473" s="322"/>
      <c r="F473" s="322"/>
      <c r="G473" s="322"/>
      <c r="H473" s="322"/>
      <c r="I473" s="322"/>
      <c r="J473" s="324"/>
      <c r="K473" s="323"/>
      <c r="L473" s="323"/>
      <c r="M473" s="323"/>
    </row>
    <row r="474">
      <c r="A474" s="322"/>
      <c r="B474" s="323"/>
      <c r="C474" s="326"/>
      <c r="D474" s="322"/>
      <c r="E474" s="322"/>
      <c r="F474" s="322"/>
      <c r="G474" s="322"/>
      <c r="H474" s="322"/>
      <c r="I474" s="322"/>
      <c r="J474" s="324"/>
      <c r="K474" s="323"/>
      <c r="L474" s="323"/>
      <c r="M474" s="323"/>
    </row>
    <row r="475">
      <c r="A475" s="322"/>
      <c r="B475" s="323"/>
      <c r="C475" s="320"/>
      <c r="D475" s="322"/>
      <c r="E475" s="322"/>
      <c r="F475" s="322"/>
      <c r="G475" s="322"/>
      <c r="H475" s="322"/>
      <c r="I475" s="322"/>
      <c r="J475" s="324"/>
      <c r="K475" s="323"/>
      <c r="L475" s="323"/>
      <c r="M475" s="323"/>
    </row>
    <row r="476">
      <c r="A476" s="322"/>
      <c r="B476" s="323"/>
      <c r="C476" s="320"/>
      <c r="D476" s="322"/>
      <c r="E476" s="322"/>
      <c r="F476" s="322"/>
      <c r="G476" s="322"/>
      <c r="H476" s="322"/>
      <c r="I476" s="322"/>
      <c r="J476" s="324"/>
      <c r="K476" s="323"/>
      <c r="L476" s="323"/>
      <c r="M476" s="323"/>
    </row>
    <row r="477">
      <c r="A477" s="322"/>
      <c r="B477" s="323"/>
      <c r="C477" s="320"/>
      <c r="D477" s="322"/>
      <c r="E477" s="322"/>
      <c r="F477" s="322"/>
      <c r="G477" s="322"/>
      <c r="H477" s="322"/>
      <c r="I477" s="322"/>
      <c r="J477" s="324"/>
      <c r="K477" s="323"/>
      <c r="L477" s="323"/>
      <c r="M477" s="323"/>
    </row>
    <row r="478">
      <c r="A478" s="322"/>
      <c r="B478" s="323"/>
      <c r="C478" s="320"/>
      <c r="D478" s="322"/>
      <c r="E478" s="322"/>
      <c r="F478" s="322"/>
      <c r="G478" s="322"/>
      <c r="H478" s="322"/>
      <c r="I478" s="322"/>
      <c r="J478" s="324"/>
      <c r="K478" s="323"/>
      <c r="L478" s="323"/>
      <c r="M478" s="323"/>
    </row>
    <row r="479">
      <c r="A479" s="322"/>
      <c r="B479" s="323"/>
      <c r="C479" s="326"/>
      <c r="D479" s="322"/>
      <c r="E479" s="322"/>
      <c r="F479" s="322"/>
      <c r="G479" s="322"/>
      <c r="H479" s="322"/>
      <c r="I479" s="322"/>
      <c r="J479" s="324"/>
      <c r="K479" s="323"/>
      <c r="L479" s="323"/>
      <c r="M479" s="323"/>
    </row>
    <row r="480">
      <c r="A480" s="322"/>
      <c r="B480" s="323"/>
      <c r="C480" s="326"/>
      <c r="D480" s="322"/>
      <c r="E480" s="322"/>
      <c r="F480" s="322"/>
      <c r="G480" s="322"/>
      <c r="H480" s="322"/>
      <c r="I480" s="322"/>
      <c r="J480" s="324"/>
      <c r="K480" s="323"/>
      <c r="L480" s="323"/>
      <c r="M480" s="323"/>
    </row>
    <row r="481">
      <c r="A481" s="322"/>
      <c r="B481" s="323"/>
      <c r="C481" s="326"/>
      <c r="D481" s="322"/>
      <c r="E481" s="322"/>
      <c r="F481" s="322"/>
      <c r="G481" s="322"/>
      <c r="H481" s="322"/>
      <c r="I481" s="322"/>
      <c r="J481" s="324"/>
      <c r="K481" s="323"/>
      <c r="L481" s="323"/>
      <c r="M481" s="323"/>
    </row>
    <row r="482">
      <c r="A482" s="322"/>
      <c r="B482" s="323"/>
      <c r="C482" s="326"/>
      <c r="D482" s="322"/>
      <c r="E482" s="322"/>
      <c r="F482" s="322"/>
      <c r="G482" s="322"/>
      <c r="H482" s="322"/>
      <c r="I482" s="322"/>
      <c r="J482" s="324"/>
      <c r="K482" s="323"/>
      <c r="L482" s="323"/>
      <c r="M482" s="323"/>
    </row>
    <row r="483">
      <c r="A483" s="322"/>
      <c r="B483" s="323"/>
      <c r="C483" s="326"/>
      <c r="D483" s="322"/>
      <c r="E483" s="322"/>
      <c r="F483" s="322"/>
      <c r="G483" s="322"/>
      <c r="H483" s="322"/>
      <c r="I483" s="322"/>
      <c r="J483" s="324"/>
      <c r="K483" s="323"/>
      <c r="L483" s="323"/>
      <c r="M483" s="323"/>
    </row>
    <row r="484">
      <c r="A484" s="322"/>
      <c r="B484" s="323"/>
      <c r="C484" s="326"/>
      <c r="D484" s="322"/>
      <c r="E484" s="322"/>
      <c r="F484" s="322"/>
      <c r="G484" s="322"/>
      <c r="H484" s="322"/>
      <c r="I484" s="322"/>
      <c r="J484" s="324"/>
      <c r="K484" s="323"/>
      <c r="L484" s="323"/>
      <c r="M484" s="323"/>
    </row>
    <row r="485">
      <c r="A485" s="322"/>
      <c r="B485" s="323"/>
      <c r="C485" s="326"/>
      <c r="D485" s="322"/>
      <c r="E485" s="322"/>
      <c r="F485" s="322"/>
      <c r="G485" s="322"/>
      <c r="H485" s="322"/>
      <c r="I485" s="322"/>
      <c r="J485" s="324"/>
      <c r="K485" s="323"/>
      <c r="L485" s="323"/>
      <c r="M485" s="323"/>
    </row>
    <row r="486">
      <c r="A486" s="322"/>
      <c r="B486" s="323"/>
      <c r="C486" s="326"/>
      <c r="D486" s="322"/>
      <c r="E486" s="322"/>
      <c r="F486" s="322"/>
      <c r="G486" s="322"/>
      <c r="H486" s="322"/>
      <c r="I486" s="322"/>
      <c r="J486" s="324"/>
      <c r="K486" s="323"/>
      <c r="L486" s="323"/>
      <c r="M486" s="323"/>
    </row>
    <row r="487">
      <c r="A487" s="322"/>
      <c r="B487" s="323"/>
      <c r="C487" s="326"/>
      <c r="D487" s="322"/>
      <c r="E487" s="322"/>
      <c r="F487" s="322"/>
      <c r="G487" s="322"/>
      <c r="H487" s="322"/>
      <c r="I487" s="322"/>
      <c r="J487" s="324"/>
      <c r="K487" s="323"/>
      <c r="L487" s="323"/>
      <c r="M487" s="323"/>
    </row>
    <row r="488">
      <c r="A488" s="322"/>
      <c r="B488" s="323"/>
      <c r="C488" s="326"/>
      <c r="D488" s="322"/>
      <c r="E488" s="322"/>
      <c r="F488" s="322"/>
      <c r="G488" s="322"/>
      <c r="H488" s="322"/>
      <c r="I488" s="322"/>
      <c r="J488" s="324"/>
      <c r="K488" s="323"/>
      <c r="L488" s="323"/>
      <c r="M488" s="323"/>
    </row>
    <row r="489">
      <c r="A489" s="322"/>
      <c r="B489" s="323"/>
      <c r="C489" s="320"/>
      <c r="D489" s="322"/>
      <c r="E489" s="322"/>
      <c r="F489" s="322"/>
      <c r="G489" s="322"/>
      <c r="H489" s="322"/>
      <c r="I489" s="322"/>
      <c r="J489" s="324"/>
      <c r="K489" s="323"/>
      <c r="L489" s="323"/>
      <c r="M489" s="323"/>
    </row>
    <row r="490">
      <c r="A490" s="322"/>
      <c r="B490" s="323"/>
      <c r="C490" s="320"/>
      <c r="D490" s="322"/>
      <c r="E490" s="322"/>
      <c r="F490" s="322"/>
      <c r="G490" s="322"/>
      <c r="H490" s="322"/>
      <c r="I490" s="322"/>
      <c r="J490" s="324"/>
      <c r="K490" s="323"/>
      <c r="L490" s="323"/>
      <c r="M490" s="323"/>
    </row>
    <row r="491">
      <c r="A491" s="322"/>
      <c r="B491" s="323"/>
      <c r="C491" s="320"/>
      <c r="D491" s="322"/>
      <c r="E491" s="322"/>
      <c r="F491" s="322"/>
      <c r="G491" s="322"/>
      <c r="H491" s="322"/>
      <c r="I491" s="322"/>
      <c r="J491" s="324"/>
      <c r="K491" s="323"/>
      <c r="L491" s="323"/>
      <c r="M491" s="323"/>
    </row>
    <row r="492">
      <c r="A492" s="322"/>
      <c r="B492" s="323"/>
      <c r="C492" s="320"/>
      <c r="D492" s="322"/>
      <c r="E492" s="322"/>
      <c r="F492" s="322"/>
      <c r="G492" s="322"/>
      <c r="H492" s="322"/>
      <c r="I492" s="322"/>
      <c r="J492" s="324"/>
      <c r="K492" s="323"/>
      <c r="L492" s="323"/>
      <c r="M492" s="323"/>
    </row>
    <row r="493">
      <c r="A493" s="322"/>
      <c r="B493" s="323"/>
      <c r="C493" s="326"/>
      <c r="D493" s="322"/>
      <c r="E493" s="322"/>
      <c r="F493" s="322"/>
      <c r="G493" s="322"/>
      <c r="H493" s="322"/>
      <c r="I493" s="322"/>
      <c r="J493" s="324"/>
      <c r="K493" s="323"/>
      <c r="L493" s="323"/>
      <c r="M493" s="323"/>
    </row>
    <row r="494">
      <c r="A494" s="322"/>
      <c r="B494" s="323"/>
      <c r="C494" s="326"/>
      <c r="D494" s="322"/>
      <c r="E494" s="322"/>
      <c r="F494" s="322"/>
      <c r="G494" s="322"/>
      <c r="H494" s="322"/>
      <c r="I494" s="322"/>
      <c r="J494" s="324"/>
      <c r="K494" s="323"/>
      <c r="L494" s="323"/>
      <c r="M494" s="323"/>
    </row>
    <row r="495">
      <c r="A495" s="322"/>
      <c r="B495" s="323"/>
      <c r="C495" s="326"/>
      <c r="D495" s="322"/>
      <c r="E495" s="322"/>
      <c r="F495" s="322"/>
      <c r="G495" s="322"/>
      <c r="H495" s="322"/>
      <c r="I495" s="322"/>
      <c r="J495" s="324"/>
      <c r="K495" s="323"/>
      <c r="L495" s="323"/>
      <c r="M495" s="323"/>
    </row>
    <row r="496">
      <c r="A496" s="322"/>
      <c r="B496" s="323"/>
      <c r="C496" s="326"/>
      <c r="D496" s="322"/>
      <c r="E496" s="322"/>
      <c r="F496" s="322"/>
      <c r="G496" s="322"/>
      <c r="H496" s="322"/>
      <c r="I496" s="322"/>
      <c r="J496" s="324"/>
      <c r="K496" s="323"/>
      <c r="L496" s="323"/>
      <c r="M496" s="323"/>
    </row>
    <row r="497">
      <c r="A497" s="322"/>
      <c r="B497" s="323"/>
      <c r="C497" s="320"/>
      <c r="D497" s="322"/>
      <c r="E497" s="322"/>
      <c r="F497" s="322"/>
      <c r="G497" s="322"/>
      <c r="H497" s="322"/>
      <c r="I497" s="322"/>
      <c r="J497" s="324"/>
      <c r="K497" s="323"/>
      <c r="L497" s="323"/>
      <c r="M497" s="323"/>
    </row>
    <row r="498">
      <c r="A498" s="322"/>
      <c r="B498" s="323"/>
      <c r="C498" s="320"/>
      <c r="D498" s="322"/>
      <c r="E498" s="322"/>
      <c r="F498" s="322"/>
      <c r="G498" s="322"/>
      <c r="H498" s="322"/>
      <c r="I498" s="322"/>
      <c r="J498" s="324"/>
      <c r="K498" s="323"/>
      <c r="L498" s="323"/>
      <c r="M498" s="323"/>
    </row>
    <row r="499">
      <c r="A499" s="322"/>
      <c r="B499" s="323"/>
      <c r="C499" s="326"/>
      <c r="D499" s="322"/>
      <c r="E499" s="322"/>
      <c r="F499" s="322"/>
      <c r="G499" s="322"/>
      <c r="H499" s="322"/>
      <c r="I499" s="322"/>
      <c r="J499" s="324"/>
      <c r="K499" s="323"/>
      <c r="L499" s="323"/>
      <c r="M499" s="323"/>
    </row>
    <row r="500">
      <c r="A500" s="322"/>
      <c r="B500" s="323"/>
      <c r="C500" s="326"/>
      <c r="D500" s="322"/>
      <c r="E500" s="322"/>
      <c r="F500" s="322"/>
      <c r="G500" s="322"/>
      <c r="H500" s="322"/>
      <c r="I500" s="322"/>
      <c r="J500" s="324"/>
      <c r="K500" s="323"/>
      <c r="L500" s="323"/>
      <c r="M500" s="323"/>
    </row>
    <row r="501">
      <c r="A501" s="322"/>
      <c r="B501" s="323"/>
      <c r="C501" s="320"/>
      <c r="D501" s="322"/>
      <c r="E501" s="322"/>
      <c r="F501" s="322"/>
      <c r="G501" s="322"/>
      <c r="H501" s="322"/>
      <c r="I501" s="322"/>
      <c r="J501" s="324"/>
      <c r="K501" s="323"/>
      <c r="L501" s="323"/>
      <c r="M501" s="323"/>
    </row>
    <row r="502">
      <c r="A502" s="322"/>
      <c r="B502" s="323"/>
      <c r="C502" s="320"/>
      <c r="D502" s="322"/>
      <c r="E502" s="322"/>
      <c r="F502" s="322"/>
      <c r="G502" s="322"/>
      <c r="H502" s="322"/>
      <c r="I502" s="322"/>
      <c r="J502" s="324"/>
      <c r="K502" s="323"/>
      <c r="L502" s="323"/>
      <c r="M502" s="323"/>
    </row>
    <row r="503">
      <c r="A503" s="322"/>
      <c r="B503" s="323"/>
      <c r="C503" s="326"/>
      <c r="D503" s="322"/>
      <c r="E503" s="322"/>
      <c r="F503" s="322"/>
      <c r="G503" s="322"/>
      <c r="H503" s="322"/>
      <c r="I503" s="322"/>
      <c r="J503" s="324"/>
      <c r="K503" s="323"/>
      <c r="L503" s="323"/>
      <c r="M503" s="323"/>
    </row>
    <row r="504">
      <c r="A504" s="322"/>
      <c r="B504" s="323"/>
      <c r="C504" s="326"/>
      <c r="D504" s="322"/>
      <c r="E504" s="322"/>
      <c r="F504" s="322"/>
      <c r="G504" s="322"/>
      <c r="H504" s="322"/>
      <c r="I504" s="322"/>
      <c r="J504" s="324"/>
      <c r="K504" s="323"/>
      <c r="L504" s="323"/>
      <c r="M504" s="323"/>
    </row>
    <row r="505">
      <c r="A505" s="322"/>
      <c r="B505" s="323"/>
      <c r="C505" s="326"/>
      <c r="D505" s="322"/>
      <c r="E505" s="322"/>
      <c r="F505" s="322"/>
      <c r="G505" s="322"/>
      <c r="H505" s="322"/>
      <c r="I505" s="322"/>
      <c r="J505" s="324"/>
      <c r="K505" s="323"/>
      <c r="L505" s="323"/>
      <c r="M505" s="323"/>
    </row>
    <row r="506">
      <c r="A506" s="322"/>
      <c r="B506" s="323"/>
      <c r="C506" s="326"/>
      <c r="D506" s="322"/>
      <c r="E506" s="322"/>
      <c r="F506" s="322"/>
      <c r="G506" s="322"/>
      <c r="H506" s="322"/>
      <c r="I506" s="322"/>
      <c r="J506" s="324"/>
      <c r="K506" s="323"/>
      <c r="L506" s="323"/>
      <c r="M506" s="323"/>
    </row>
    <row r="507">
      <c r="A507" s="322"/>
      <c r="B507" s="323"/>
      <c r="C507" s="320"/>
      <c r="D507" s="322"/>
      <c r="E507" s="322"/>
      <c r="F507" s="322"/>
      <c r="G507" s="322"/>
      <c r="H507" s="322"/>
      <c r="I507" s="322"/>
      <c r="J507" s="324"/>
      <c r="K507" s="323"/>
      <c r="L507" s="323"/>
      <c r="M507" s="323"/>
    </row>
    <row r="508">
      <c r="A508" s="322"/>
      <c r="B508" s="323"/>
      <c r="C508" s="320"/>
      <c r="D508" s="322"/>
      <c r="E508" s="322"/>
      <c r="F508" s="322"/>
      <c r="G508" s="322"/>
      <c r="H508" s="322"/>
      <c r="I508" s="322"/>
      <c r="J508" s="324"/>
      <c r="K508" s="323"/>
      <c r="L508" s="323"/>
      <c r="M508" s="323"/>
    </row>
    <row r="509">
      <c r="A509" s="322"/>
      <c r="B509" s="323"/>
      <c r="C509" s="320"/>
      <c r="D509" s="322"/>
      <c r="E509" s="322"/>
      <c r="F509" s="322"/>
      <c r="G509" s="322"/>
      <c r="H509" s="322"/>
      <c r="I509" s="322"/>
      <c r="J509" s="324"/>
      <c r="K509" s="323"/>
      <c r="L509" s="323"/>
      <c r="M509" s="323"/>
    </row>
    <row r="510">
      <c r="A510" s="322"/>
      <c r="B510" s="323"/>
      <c r="C510" s="320"/>
      <c r="D510" s="322"/>
      <c r="E510" s="322"/>
      <c r="F510" s="322"/>
      <c r="G510" s="322"/>
      <c r="H510" s="322"/>
      <c r="I510" s="322"/>
      <c r="J510" s="324"/>
      <c r="K510" s="323"/>
      <c r="L510" s="323"/>
      <c r="M510" s="323"/>
    </row>
    <row r="511">
      <c r="A511" s="322"/>
      <c r="B511" s="323"/>
      <c r="C511" s="320"/>
      <c r="D511" s="322"/>
      <c r="E511" s="322"/>
      <c r="F511" s="322"/>
      <c r="G511" s="322"/>
      <c r="H511" s="322"/>
      <c r="I511" s="322"/>
      <c r="J511" s="324"/>
      <c r="K511" s="323"/>
      <c r="L511" s="323"/>
      <c r="M511" s="323"/>
    </row>
    <row r="512">
      <c r="A512" s="322"/>
      <c r="B512" s="323"/>
      <c r="C512" s="320"/>
      <c r="D512" s="322"/>
      <c r="E512" s="322"/>
      <c r="F512" s="322"/>
      <c r="G512" s="322"/>
      <c r="H512" s="322"/>
      <c r="I512" s="322"/>
      <c r="J512" s="324"/>
      <c r="K512" s="323"/>
      <c r="L512" s="323"/>
      <c r="M512" s="323"/>
    </row>
    <row r="513">
      <c r="A513" s="322"/>
      <c r="B513" s="323"/>
      <c r="C513" s="320"/>
      <c r="D513" s="322"/>
      <c r="E513" s="322"/>
      <c r="F513" s="322"/>
      <c r="G513" s="322"/>
      <c r="H513" s="322"/>
      <c r="I513" s="322"/>
      <c r="J513" s="324"/>
      <c r="K513" s="323"/>
      <c r="L513" s="323"/>
      <c r="M513" s="323"/>
    </row>
    <row r="514">
      <c r="A514" s="322"/>
      <c r="B514" s="323"/>
      <c r="C514" s="320"/>
      <c r="D514" s="322"/>
      <c r="E514" s="322"/>
      <c r="F514" s="322"/>
      <c r="G514" s="322"/>
      <c r="H514" s="322"/>
      <c r="I514" s="322"/>
      <c r="J514" s="324"/>
      <c r="K514" s="323"/>
      <c r="L514" s="323"/>
      <c r="M514" s="323"/>
    </row>
    <row r="515">
      <c r="A515" s="322"/>
      <c r="B515" s="323"/>
      <c r="C515" s="320"/>
      <c r="D515" s="322"/>
      <c r="E515" s="322"/>
      <c r="F515" s="322"/>
      <c r="G515" s="322"/>
      <c r="H515" s="322"/>
      <c r="I515" s="322"/>
      <c r="J515" s="324"/>
      <c r="K515" s="323"/>
      <c r="L515" s="323"/>
      <c r="M515" s="323"/>
    </row>
    <row r="516">
      <c r="A516" s="322"/>
      <c r="B516" s="323"/>
      <c r="C516" s="320"/>
      <c r="D516" s="322"/>
      <c r="E516" s="322"/>
      <c r="F516" s="322"/>
      <c r="G516" s="322"/>
      <c r="H516" s="322"/>
      <c r="I516" s="322"/>
      <c r="J516" s="324"/>
      <c r="K516" s="323"/>
      <c r="L516" s="323"/>
      <c r="M516" s="323"/>
    </row>
    <row r="517">
      <c r="A517" s="322"/>
      <c r="B517" s="323"/>
      <c r="C517" s="320"/>
      <c r="D517" s="322"/>
      <c r="E517" s="322"/>
      <c r="F517" s="322"/>
      <c r="G517" s="322"/>
      <c r="H517" s="322"/>
      <c r="I517" s="322"/>
      <c r="J517" s="324"/>
      <c r="K517" s="323"/>
      <c r="L517" s="323"/>
      <c r="M517" s="323"/>
    </row>
    <row r="518">
      <c r="A518" s="322"/>
      <c r="B518" s="323"/>
      <c r="C518" s="320"/>
      <c r="D518" s="322"/>
      <c r="E518" s="322"/>
      <c r="F518" s="322"/>
      <c r="G518" s="322"/>
      <c r="H518" s="322"/>
      <c r="I518" s="322"/>
      <c r="J518" s="324"/>
      <c r="K518" s="323"/>
      <c r="L518" s="323"/>
      <c r="M518" s="323"/>
    </row>
    <row r="519">
      <c r="A519" s="322"/>
      <c r="B519" s="323"/>
      <c r="C519" s="320"/>
      <c r="D519" s="322"/>
      <c r="E519" s="322"/>
      <c r="F519" s="322"/>
      <c r="G519" s="322"/>
      <c r="H519" s="322"/>
      <c r="I519" s="322"/>
      <c r="J519" s="324"/>
      <c r="K519" s="323"/>
      <c r="L519" s="323"/>
      <c r="M519" s="323"/>
    </row>
    <row r="520">
      <c r="A520" s="322"/>
      <c r="B520" s="323"/>
      <c r="C520" s="320"/>
      <c r="D520" s="322"/>
      <c r="E520" s="322"/>
      <c r="F520" s="322"/>
      <c r="G520" s="322"/>
      <c r="H520" s="322"/>
      <c r="I520" s="322"/>
      <c r="J520" s="324"/>
      <c r="K520" s="323"/>
      <c r="L520" s="323"/>
      <c r="M520" s="323"/>
    </row>
    <row r="521">
      <c r="A521" s="322"/>
      <c r="B521" s="323"/>
      <c r="C521" s="320"/>
      <c r="D521" s="322"/>
      <c r="E521" s="322"/>
      <c r="F521" s="322"/>
      <c r="G521" s="322"/>
      <c r="H521" s="322"/>
      <c r="I521" s="322"/>
      <c r="J521" s="324"/>
      <c r="K521" s="323"/>
      <c r="L521" s="323"/>
      <c r="M521" s="323"/>
    </row>
    <row r="522">
      <c r="A522" s="322"/>
      <c r="B522" s="323"/>
      <c r="C522" s="320"/>
      <c r="D522" s="322"/>
      <c r="E522" s="322"/>
      <c r="F522" s="322"/>
      <c r="G522" s="322"/>
      <c r="H522" s="322"/>
      <c r="I522" s="322"/>
      <c r="J522" s="324"/>
      <c r="K522" s="323"/>
      <c r="L522" s="323"/>
      <c r="M522" s="323"/>
    </row>
    <row r="523">
      <c r="A523" s="322"/>
      <c r="B523" s="323"/>
      <c r="C523" s="320"/>
      <c r="D523" s="322"/>
      <c r="E523" s="322"/>
      <c r="F523" s="322"/>
      <c r="G523" s="322"/>
      <c r="H523" s="322"/>
      <c r="I523" s="322"/>
      <c r="J523" s="324"/>
      <c r="K523" s="323"/>
      <c r="L523" s="323"/>
      <c r="M523" s="323"/>
    </row>
    <row r="524">
      <c r="A524" s="322"/>
      <c r="B524" s="323"/>
      <c r="C524" s="320"/>
      <c r="D524" s="322"/>
      <c r="E524" s="322"/>
      <c r="F524" s="322"/>
      <c r="G524" s="322"/>
      <c r="H524" s="322"/>
      <c r="I524" s="322"/>
      <c r="J524" s="324"/>
      <c r="K524" s="323"/>
      <c r="L524" s="323"/>
      <c r="M524" s="323"/>
    </row>
    <row r="525">
      <c r="A525" s="322"/>
      <c r="B525" s="323"/>
      <c r="C525" s="320"/>
      <c r="D525" s="322"/>
      <c r="E525" s="322"/>
      <c r="F525" s="322"/>
      <c r="G525" s="322"/>
      <c r="H525" s="322"/>
      <c r="I525" s="322"/>
      <c r="J525" s="324"/>
      <c r="K525" s="323"/>
      <c r="L525" s="323"/>
      <c r="M525" s="323"/>
    </row>
    <row r="526">
      <c r="A526" s="322"/>
      <c r="B526" s="323"/>
      <c r="C526" s="326"/>
      <c r="D526" s="322"/>
      <c r="E526" s="322"/>
      <c r="F526" s="322"/>
      <c r="G526" s="322"/>
      <c r="H526" s="322"/>
      <c r="I526" s="322"/>
      <c r="J526" s="324"/>
      <c r="K526" s="323"/>
      <c r="L526" s="323"/>
      <c r="M526" s="323"/>
    </row>
    <row r="527">
      <c r="A527" s="322"/>
      <c r="B527" s="323"/>
      <c r="C527" s="326"/>
      <c r="D527" s="322"/>
      <c r="E527" s="322"/>
      <c r="F527" s="322"/>
      <c r="G527" s="322"/>
      <c r="H527" s="322"/>
      <c r="I527" s="322"/>
      <c r="J527" s="324"/>
      <c r="K527" s="323"/>
      <c r="L527" s="323"/>
      <c r="M527" s="323"/>
    </row>
    <row r="528">
      <c r="A528" s="322"/>
      <c r="B528" s="323"/>
      <c r="C528" s="326"/>
      <c r="D528" s="322"/>
      <c r="E528" s="322"/>
      <c r="F528" s="322"/>
      <c r="G528" s="322"/>
      <c r="H528" s="322"/>
      <c r="I528" s="322"/>
      <c r="J528" s="324"/>
      <c r="K528" s="323"/>
      <c r="L528" s="323"/>
      <c r="M528" s="323"/>
    </row>
    <row r="529">
      <c r="A529" s="322"/>
      <c r="B529" s="323"/>
      <c r="C529" s="326"/>
      <c r="D529" s="322"/>
      <c r="E529" s="322"/>
      <c r="F529" s="322"/>
      <c r="G529" s="322"/>
      <c r="H529" s="322"/>
      <c r="I529" s="322"/>
      <c r="J529" s="324"/>
      <c r="K529" s="323"/>
      <c r="L529" s="323"/>
      <c r="M529" s="323"/>
    </row>
    <row r="530">
      <c r="A530" s="322"/>
      <c r="B530" s="323"/>
      <c r="C530" s="320"/>
      <c r="D530" s="322"/>
      <c r="E530" s="322"/>
      <c r="F530" s="322"/>
      <c r="G530" s="322"/>
      <c r="H530" s="322"/>
      <c r="I530" s="322"/>
      <c r="J530" s="324"/>
      <c r="K530" s="323"/>
      <c r="L530" s="323"/>
      <c r="M530" s="323"/>
    </row>
    <row r="531">
      <c r="A531" s="322"/>
      <c r="B531" s="323"/>
      <c r="C531" s="320"/>
      <c r="D531" s="322"/>
      <c r="E531" s="322"/>
      <c r="F531" s="322"/>
      <c r="G531" s="322"/>
      <c r="H531" s="322"/>
      <c r="I531" s="322"/>
      <c r="J531" s="324"/>
      <c r="K531" s="323"/>
      <c r="L531" s="323"/>
      <c r="M531" s="323"/>
    </row>
    <row r="532">
      <c r="A532" s="322"/>
      <c r="B532" s="323"/>
      <c r="C532" s="320"/>
      <c r="D532" s="322"/>
      <c r="E532" s="322"/>
      <c r="F532" s="322"/>
      <c r="G532" s="322"/>
      <c r="H532" s="322"/>
      <c r="I532" s="322"/>
      <c r="J532" s="324"/>
      <c r="K532" s="323"/>
      <c r="L532" s="323"/>
      <c r="M532" s="323"/>
    </row>
    <row r="533">
      <c r="A533" s="322"/>
      <c r="B533" s="323"/>
      <c r="C533" s="320"/>
      <c r="D533" s="322"/>
      <c r="E533" s="322"/>
      <c r="F533" s="322"/>
      <c r="G533" s="322"/>
      <c r="H533" s="322"/>
      <c r="I533" s="322"/>
      <c r="J533" s="324"/>
      <c r="K533" s="323"/>
      <c r="L533" s="323"/>
      <c r="M533" s="323"/>
    </row>
    <row r="534">
      <c r="A534" s="322"/>
      <c r="B534" s="323"/>
      <c r="C534" s="320"/>
      <c r="D534" s="322"/>
      <c r="E534" s="322"/>
      <c r="F534" s="322"/>
      <c r="G534" s="322"/>
      <c r="H534" s="322"/>
      <c r="I534" s="322"/>
      <c r="J534" s="324"/>
      <c r="K534" s="323"/>
      <c r="L534" s="323"/>
      <c r="M534" s="323"/>
    </row>
    <row r="535">
      <c r="A535" s="322"/>
      <c r="B535" s="323"/>
      <c r="C535" s="320"/>
      <c r="D535" s="322"/>
      <c r="E535" s="322"/>
      <c r="F535" s="322"/>
      <c r="G535" s="322"/>
      <c r="H535" s="322"/>
      <c r="I535" s="322"/>
      <c r="J535" s="324"/>
      <c r="K535" s="323"/>
      <c r="L535" s="323"/>
      <c r="M535" s="323"/>
    </row>
    <row r="536">
      <c r="A536" s="322"/>
      <c r="B536" s="323"/>
      <c r="C536" s="326"/>
      <c r="D536" s="322"/>
      <c r="E536" s="322"/>
      <c r="F536" s="322"/>
      <c r="G536" s="322"/>
      <c r="H536" s="322"/>
      <c r="I536" s="322"/>
      <c r="J536" s="324"/>
      <c r="K536" s="323"/>
      <c r="L536" s="323"/>
      <c r="M536" s="323"/>
    </row>
    <row r="537">
      <c r="A537" s="322"/>
      <c r="B537" s="323"/>
      <c r="C537" s="326"/>
      <c r="D537" s="322"/>
      <c r="E537" s="322"/>
      <c r="F537" s="322"/>
      <c r="G537" s="322"/>
      <c r="H537" s="322"/>
      <c r="I537" s="322"/>
      <c r="J537" s="324"/>
      <c r="K537" s="323"/>
      <c r="L537" s="323"/>
      <c r="M537" s="323"/>
    </row>
    <row r="538">
      <c r="A538" s="322"/>
      <c r="B538" s="323"/>
      <c r="C538" s="326"/>
      <c r="D538" s="322"/>
      <c r="E538" s="322"/>
      <c r="F538" s="322"/>
      <c r="G538" s="322"/>
      <c r="H538" s="322"/>
      <c r="I538" s="322"/>
      <c r="J538" s="324"/>
      <c r="K538" s="323"/>
      <c r="L538" s="323"/>
      <c r="M538" s="323"/>
    </row>
    <row r="539">
      <c r="A539" s="322"/>
      <c r="B539" s="323"/>
      <c r="C539" s="326"/>
      <c r="D539" s="322"/>
      <c r="E539" s="322"/>
      <c r="F539" s="322"/>
      <c r="G539" s="322"/>
      <c r="H539" s="322"/>
      <c r="I539" s="322"/>
      <c r="J539" s="324"/>
      <c r="K539" s="323"/>
      <c r="L539" s="323"/>
      <c r="M539" s="323"/>
    </row>
    <row r="540">
      <c r="A540" s="322"/>
      <c r="B540" s="323"/>
      <c r="C540" s="326"/>
      <c r="D540" s="322"/>
      <c r="E540" s="322"/>
      <c r="F540" s="322"/>
      <c r="G540" s="322"/>
      <c r="H540" s="322"/>
      <c r="I540" s="322"/>
      <c r="J540" s="324"/>
      <c r="K540" s="323"/>
      <c r="L540" s="323"/>
      <c r="M540" s="323"/>
    </row>
    <row r="541">
      <c r="A541" s="322"/>
      <c r="B541" s="323"/>
      <c r="C541" s="326"/>
      <c r="D541" s="322"/>
      <c r="E541" s="322"/>
      <c r="F541" s="322"/>
      <c r="G541" s="322"/>
      <c r="H541" s="322"/>
      <c r="I541" s="322"/>
      <c r="J541" s="324"/>
      <c r="K541" s="323"/>
      <c r="L541" s="323"/>
      <c r="M541" s="323"/>
    </row>
    <row r="542">
      <c r="A542" s="322"/>
      <c r="B542" s="323"/>
      <c r="C542" s="320"/>
      <c r="D542" s="322"/>
      <c r="E542" s="322"/>
      <c r="F542" s="322"/>
      <c r="G542" s="322"/>
      <c r="H542" s="322"/>
      <c r="I542" s="322"/>
      <c r="J542" s="324"/>
      <c r="K542" s="323"/>
      <c r="L542" s="323"/>
      <c r="M542" s="323"/>
    </row>
    <row r="543">
      <c r="A543" s="322"/>
      <c r="B543" s="323"/>
      <c r="C543" s="320"/>
      <c r="D543" s="322"/>
      <c r="E543" s="322"/>
      <c r="F543" s="322"/>
      <c r="G543" s="322"/>
      <c r="H543" s="322"/>
      <c r="I543" s="322"/>
      <c r="J543" s="324"/>
      <c r="K543" s="323"/>
      <c r="L543" s="323"/>
      <c r="M543" s="323"/>
    </row>
    <row r="544">
      <c r="A544" s="322"/>
      <c r="B544" s="323"/>
      <c r="C544" s="326"/>
      <c r="D544" s="322"/>
      <c r="E544" s="322"/>
      <c r="F544" s="322"/>
      <c r="G544" s="322"/>
      <c r="H544" s="322"/>
      <c r="I544" s="322"/>
      <c r="J544" s="324"/>
      <c r="K544" s="323"/>
      <c r="L544" s="323"/>
      <c r="M544" s="323"/>
    </row>
    <row r="545">
      <c r="A545" s="322"/>
      <c r="B545" s="323"/>
      <c r="C545" s="326"/>
      <c r="D545" s="322"/>
      <c r="E545" s="322"/>
      <c r="F545" s="322"/>
      <c r="G545" s="322"/>
      <c r="H545" s="322"/>
      <c r="I545" s="322"/>
      <c r="J545" s="324"/>
      <c r="K545" s="323"/>
      <c r="L545" s="323"/>
      <c r="M545" s="323"/>
    </row>
    <row r="546">
      <c r="A546" s="322"/>
      <c r="B546" s="323"/>
      <c r="C546" s="320"/>
      <c r="D546" s="322"/>
      <c r="E546" s="322"/>
      <c r="F546" s="322"/>
      <c r="G546" s="322"/>
      <c r="H546" s="322"/>
      <c r="I546" s="322"/>
      <c r="J546" s="324"/>
      <c r="K546" s="323"/>
      <c r="L546" s="323"/>
      <c r="M546" s="323"/>
    </row>
    <row r="547">
      <c r="A547" s="322"/>
      <c r="B547" s="323"/>
      <c r="C547" s="320"/>
      <c r="D547" s="322"/>
      <c r="E547" s="322"/>
      <c r="F547" s="322"/>
      <c r="G547" s="322"/>
      <c r="H547" s="322"/>
      <c r="I547" s="322"/>
      <c r="J547" s="324"/>
      <c r="K547" s="323"/>
      <c r="L547" s="323"/>
      <c r="M547" s="323"/>
    </row>
    <row r="548">
      <c r="A548" s="322"/>
      <c r="B548" s="323"/>
      <c r="C548" s="320"/>
      <c r="D548" s="322"/>
      <c r="E548" s="322"/>
      <c r="F548" s="322"/>
      <c r="G548" s="322"/>
      <c r="H548" s="322"/>
      <c r="I548" s="322"/>
      <c r="J548" s="324"/>
      <c r="K548" s="323"/>
      <c r="L548" s="323"/>
      <c r="M548" s="323"/>
    </row>
    <row r="549">
      <c r="A549" s="322"/>
      <c r="B549" s="323"/>
      <c r="C549" s="326"/>
      <c r="D549" s="322"/>
      <c r="E549" s="322"/>
      <c r="F549" s="322"/>
      <c r="G549" s="322"/>
      <c r="H549" s="322"/>
      <c r="I549" s="322"/>
      <c r="J549" s="324"/>
      <c r="K549" s="323"/>
      <c r="L549" s="323"/>
      <c r="M549" s="323"/>
    </row>
    <row r="550">
      <c r="A550" s="322"/>
      <c r="B550" s="323"/>
      <c r="C550" s="326"/>
      <c r="D550" s="322"/>
      <c r="E550" s="322"/>
      <c r="F550" s="322"/>
      <c r="G550" s="322"/>
      <c r="H550" s="322"/>
      <c r="I550" s="322"/>
      <c r="J550" s="324"/>
      <c r="K550" s="323"/>
      <c r="L550" s="323"/>
      <c r="M550" s="323"/>
    </row>
    <row r="551">
      <c r="A551" s="322"/>
      <c r="B551" s="323"/>
      <c r="C551" s="326"/>
      <c r="D551" s="322"/>
      <c r="E551" s="322"/>
      <c r="F551" s="322"/>
      <c r="G551" s="322"/>
      <c r="H551" s="322"/>
      <c r="I551" s="322"/>
      <c r="J551" s="324"/>
      <c r="K551" s="323"/>
      <c r="L551" s="323"/>
      <c r="M551" s="323"/>
    </row>
    <row r="552">
      <c r="A552" s="322"/>
      <c r="B552" s="323"/>
      <c r="C552" s="326"/>
      <c r="D552" s="322"/>
      <c r="E552" s="322"/>
      <c r="F552" s="322"/>
      <c r="G552" s="322"/>
      <c r="H552" s="322"/>
      <c r="I552" s="322"/>
      <c r="J552" s="324"/>
      <c r="K552" s="323"/>
      <c r="L552" s="323"/>
      <c r="M552" s="323"/>
    </row>
    <row r="553">
      <c r="A553" s="322"/>
      <c r="B553" s="323"/>
      <c r="C553" s="320"/>
      <c r="D553" s="322"/>
      <c r="E553" s="322"/>
      <c r="F553" s="322"/>
      <c r="G553" s="322"/>
      <c r="H553" s="322"/>
      <c r="I553" s="322"/>
      <c r="J553" s="324"/>
      <c r="K553" s="323"/>
      <c r="L553" s="323"/>
      <c r="M553" s="323"/>
    </row>
    <row r="554">
      <c r="A554" s="322"/>
      <c r="B554" s="323"/>
      <c r="C554" s="320"/>
      <c r="D554" s="322"/>
      <c r="E554" s="322"/>
      <c r="F554" s="322"/>
      <c r="G554" s="322"/>
      <c r="H554" s="322"/>
      <c r="I554" s="322"/>
      <c r="J554" s="324"/>
      <c r="K554" s="323"/>
      <c r="L554" s="323"/>
      <c r="M554" s="323"/>
    </row>
    <row r="555">
      <c r="A555" s="322"/>
      <c r="B555" s="323"/>
      <c r="C555" s="326"/>
      <c r="D555" s="322"/>
      <c r="E555" s="322"/>
      <c r="F555" s="322"/>
      <c r="G555" s="322"/>
      <c r="H555" s="322"/>
      <c r="I555" s="322"/>
      <c r="J555" s="324"/>
      <c r="K555" s="323"/>
      <c r="L555" s="323"/>
      <c r="M555" s="323"/>
    </row>
    <row r="556">
      <c r="A556" s="322"/>
      <c r="B556" s="323"/>
      <c r="C556" s="326"/>
      <c r="D556" s="322"/>
      <c r="E556" s="322"/>
      <c r="F556" s="322"/>
      <c r="G556" s="322"/>
      <c r="H556" s="322"/>
      <c r="I556" s="322"/>
      <c r="J556" s="324"/>
      <c r="K556" s="323"/>
      <c r="L556" s="323"/>
      <c r="M556" s="323"/>
    </row>
    <row r="557">
      <c r="A557" s="322"/>
      <c r="B557" s="323"/>
      <c r="C557" s="326"/>
      <c r="D557" s="322"/>
      <c r="E557" s="322"/>
      <c r="F557" s="322"/>
      <c r="G557" s="322"/>
      <c r="H557" s="322"/>
      <c r="I557" s="322"/>
      <c r="J557" s="324"/>
      <c r="K557" s="323"/>
      <c r="L557" s="323"/>
      <c r="M557" s="323"/>
    </row>
    <row r="558">
      <c r="A558" s="322"/>
      <c r="B558" s="323"/>
      <c r="C558" s="326"/>
      <c r="D558" s="322"/>
      <c r="E558" s="322"/>
      <c r="F558" s="322"/>
      <c r="G558" s="322"/>
      <c r="H558" s="322"/>
      <c r="I558" s="322"/>
      <c r="J558" s="324"/>
      <c r="K558" s="323"/>
      <c r="L558" s="323"/>
      <c r="M558" s="323"/>
    </row>
    <row r="559">
      <c r="A559" s="322"/>
      <c r="B559" s="323"/>
      <c r="C559" s="326"/>
      <c r="D559" s="322"/>
      <c r="E559" s="322"/>
      <c r="F559" s="322"/>
      <c r="G559" s="322"/>
      <c r="H559" s="322"/>
      <c r="I559" s="322"/>
      <c r="J559" s="324"/>
      <c r="K559" s="323"/>
      <c r="L559" s="323"/>
      <c r="M559" s="323"/>
    </row>
    <row r="560">
      <c r="A560" s="322"/>
      <c r="B560" s="323"/>
      <c r="C560" s="326"/>
      <c r="D560" s="322"/>
      <c r="E560" s="322"/>
      <c r="F560" s="322"/>
      <c r="G560" s="322"/>
      <c r="H560" s="322"/>
      <c r="I560" s="322"/>
      <c r="J560" s="324"/>
      <c r="K560" s="323"/>
      <c r="L560" s="323"/>
      <c r="M560" s="323"/>
    </row>
    <row r="561">
      <c r="A561" s="322"/>
      <c r="B561" s="323"/>
      <c r="C561" s="326"/>
      <c r="D561" s="322"/>
      <c r="E561" s="322"/>
      <c r="F561" s="322"/>
      <c r="G561" s="322"/>
      <c r="H561" s="322"/>
      <c r="I561" s="322"/>
      <c r="J561" s="324"/>
      <c r="K561" s="323"/>
      <c r="L561" s="323"/>
      <c r="M561" s="323"/>
    </row>
    <row r="562">
      <c r="A562" s="322"/>
      <c r="B562" s="323"/>
      <c r="C562" s="326"/>
      <c r="D562" s="322"/>
      <c r="E562" s="322"/>
      <c r="F562" s="322"/>
      <c r="G562" s="322"/>
      <c r="H562" s="322"/>
      <c r="I562" s="322"/>
      <c r="J562" s="324"/>
      <c r="K562" s="323"/>
      <c r="L562" s="323"/>
      <c r="M562" s="323"/>
    </row>
    <row r="563">
      <c r="A563" s="322"/>
      <c r="B563" s="323"/>
      <c r="C563" s="326"/>
      <c r="D563" s="322"/>
      <c r="E563" s="322"/>
      <c r="F563" s="322"/>
      <c r="G563" s="322"/>
      <c r="H563" s="322"/>
      <c r="I563" s="322"/>
      <c r="J563" s="324"/>
      <c r="K563" s="323"/>
      <c r="L563" s="323"/>
      <c r="M563" s="323"/>
    </row>
    <row r="564">
      <c r="A564" s="322"/>
      <c r="B564" s="323"/>
      <c r="C564" s="327" t="s">
        <v>43</v>
      </c>
      <c r="D564" s="322"/>
      <c r="E564" s="322"/>
      <c r="F564" s="322"/>
      <c r="G564" s="322"/>
      <c r="H564" s="322"/>
      <c r="I564" s="322"/>
      <c r="J564" s="324"/>
      <c r="K564" s="323"/>
      <c r="L564" s="323"/>
      <c r="M564" s="323"/>
    </row>
    <row r="565">
      <c r="A565" s="322"/>
      <c r="B565" s="323"/>
      <c r="C565" s="327" t="s">
        <v>43</v>
      </c>
      <c r="D565" s="322"/>
      <c r="E565" s="322"/>
      <c r="F565" s="322"/>
      <c r="G565" s="322"/>
      <c r="H565" s="322"/>
      <c r="I565" s="322"/>
      <c r="J565" s="324"/>
      <c r="K565" s="323"/>
      <c r="L565" s="323"/>
      <c r="M565" s="323"/>
    </row>
    <row r="566">
      <c r="A566" s="322"/>
      <c r="B566" s="323"/>
      <c r="C566" s="327" t="s">
        <v>43</v>
      </c>
      <c r="D566" s="322"/>
      <c r="E566" s="322"/>
      <c r="F566" s="322"/>
      <c r="G566" s="322"/>
      <c r="H566" s="322"/>
      <c r="I566" s="322"/>
      <c r="J566" s="324"/>
      <c r="K566" s="323"/>
      <c r="L566" s="323"/>
      <c r="M566" s="323"/>
    </row>
    <row r="567">
      <c r="A567" s="322"/>
      <c r="B567" s="323"/>
      <c r="C567" s="328" t="s">
        <v>31</v>
      </c>
      <c r="D567" s="322"/>
      <c r="E567" s="322"/>
      <c r="F567" s="322"/>
      <c r="G567" s="322"/>
      <c r="H567" s="322"/>
      <c r="I567" s="322"/>
      <c r="J567" s="324"/>
      <c r="K567" s="323"/>
      <c r="L567" s="323"/>
      <c r="M567" s="323"/>
    </row>
    <row r="568">
      <c r="A568" s="322"/>
      <c r="B568" s="323"/>
      <c r="C568" s="328" t="s">
        <v>31</v>
      </c>
      <c r="D568" s="322"/>
      <c r="E568" s="322"/>
      <c r="F568" s="322"/>
      <c r="G568" s="322"/>
      <c r="H568" s="322"/>
      <c r="I568" s="322"/>
      <c r="J568" s="324"/>
      <c r="K568" s="323"/>
      <c r="L568" s="323"/>
      <c r="M568" s="323"/>
    </row>
    <row r="569">
      <c r="A569" s="322"/>
      <c r="B569" s="323"/>
      <c r="C569" s="328" t="s">
        <v>31</v>
      </c>
      <c r="D569" s="322"/>
      <c r="E569" s="322"/>
      <c r="F569" s="322"/>
      <c r="G569" s="322"/>
      <c r="H569" s="322"/>
      <c r="I569" s="322"/>
      <c r="J569" s="324"/>
      <c r="K569" s="323"/>
      <c r="L569" s="323"/>
      <c r="M569" s="323"/>
    </row>
    <row r="570">
      <c r="A570" s="322"/>
      <c r="B570" s="323"/>
      <c r="C570" s="328" t="s">
        <v>31</v>
      </c>
      <c r="D570" s="322"/>
      <c r="E570" s="322"/>
      <c r="F570" s="322"/>
      <c r="G570" s="322"/>
      <c r="H570" s="322"/>
      <c r="I570" s="322"/>
      <c r="J570" s="324"/>
      <c r="K570" s="323"/>
      <c r="L570" s="323"/>
      <c r="M570" s="323"/>
    </row>
    <row r="571">
      <c r="A571" s="322"/>
      <c r="B571" s="323"/>
      <c r="C571" s="328" t="s">
        <v>31</v>
      </c>
      <c r="D571" s="322"/>
      <c r="E571" s="322"/>
      <c r="F571" s="322"/>
      <c r="G571" s="322"/>
      <c r="H571" s="322"/>
      <c r="I571" s="322"/>
      <c r="J571" s="324"/>
      <c r="K571" s="323"/>
      <c r="L571" s="323"/>
      <c r="M571" s="323"/>
    </row>
    <row r="572">
      <c r="A572" s="322"/>
      <c r="B572" s="323"/>
      <c r="C572" s="328" t="s">
        <v>31</v>
      </c>
      <c r="D572" s="322"/>
      <c r="E572" s="322"/>
      <c r="F572" s="322"/>
      <c r="G572" s="322"/>
      <c r="H572" s="322"/>
      <c r="I572" s="322"/>
      <c r="J572" s="324"/>
      <c r="K572" s="323"/>
      <c r="L572" s="323"/>
      <c r="M572" s="323"/>
    </row>
    <row r="573">
      <c r="A573" s="322"/>
      <c r="B573" s="323"/>
      <c r="C573" s="328" t="s">
        <v>31</v>
      </c>
      <c r="D573" s="322"/>
      <c r="E573" s="322"/>
      <c r="F573" s="322"/>
      <c r="G573" s="322"/>
      <c r="H573" s="322"/>
      <c r="I573" s="322"/>
      <c r="J573" s="324"/>
      <c r="K573" s="323"/>
      <c r="L573" s="323"/>
      <c r="M573" s="323"/>
    </row>
    <row r="574">
      <c r="A574" s="322"/>
      <c r="B574" s="323"/>
      <c r="C574" s="229" t="s">
        <v>31</v>
      </c>
      <c r="D574" s="322"/>
      <c r="E574" s="322"/>
      <c r="F574" s="322"/>
      <c r="G574" s="322"/>
      <c r="H574" s="322"/>
      <c r="I574" s="322"/>
      <c r="J574" s="324"/>
      <c r="K574" s="323"/>
      <c r="L574" s="323"/>
      <c r="M574" s="323"/>
    </row>
    <row r="575">
      <c r="A575" s="322"/>
      <c r="B575" s="323"/>
      <c r="C575" s="229" t="s">
        <v>31</v>
      </c>
      <c r="D575" s="322"/>
      <c r="E575" s="322"/>
      <c r="F575" s="322"/>
      <c r="G575" s="322"/>
      <c r="H575" s="322"/>
      <c r="I575" s="322"/>
      <c r="J575" s="324"/>
      <c r="K575" s="323"/>
      <c r="L575" s="323"/>
      <c r="M575" s="323"/>
    </row>
    <row r="576">
      <c r="A576" s="322"/>
      <c r="B576" s="323"/>
      <c r="C576" s="328" t="s">
        <v>31</v>
      </c>
      <c r="D576" s="322"/>
      <c r="E576" s="322"/>
      <c r="F576" s="322"/>
      <c r="G576" s="322"/>
      <c r="H576" s="322"/>
      <c r="I576" s="322"/>
      <c r="J576" s="324"/>
      <c r="K576" s="323"/>
      <c r="L576" s="323"/>
      <c r="M576" s="323"/>
    </row>
    <row r="577">
      <c r="A577" s="322"/>
      <c r="B577" s="323"/>
      <c r="C577" s="327" t="s">
        <v>43</v>
      </c>
      <c r="D577" s="322"/>
      <c r="E577" s="322"/>
      <c r="F577" s="322"/>
      <c r="G577" s="322"/>
      <c r="H577" s="322"/>
      <c r="I577" s="322"/>
      <c r="J577" s="324"/>
      <c r="K577" s="323"/>
      <c r="L577" s="323"/>
      <c r="M577" s="323"/>
    </row>
    <row r="578">
      <c r="A578" s="322"/>
      <c r="B578" s="323"/>
      <c r="C578" s="328" t="s">
        <v>31</v>
      </c>
      <c r="D578" s="322"/>
      <c r="E578" s="322"/>
      <c r="F578" s="322"/>
      <c r="G578" s="322"/>
      <c r="H578" s="322"/>
      <c r="I578" s="322"/>
      <c r="J578" s="324"/>
      <c r="K578" s="323"/>
      <c r="L578" s="323"/>
      <c r="M578" s="323"/>
    </row>
    <row r="579">
      <c r="A579" s="322"/>
      <c r="B579" s="323"/>
      <c r="C579" s="328" t="s">
        <v>31</v>
      </c>
      <c r="D579" s="322"/>
      <c r="E579" s="322"/>
      <c r="F579" s="322"/>
      <c r="G579" s="322"/>
      <c r="H579" s="322"/>
      <c r="I579" s="322"/>
      <c r="J579" s="324"/>
      <c r="K579" s="323"/>
      <c r="L579" s="323"/>
      <c r="M579" s="323"/>
    </row>
    <row r="580">
      <c r="A580" s="322"/>
      <c r="B580" s="323"/>
      <c r="C580" s="328" t="s">
        <v>31</v>
      </c>
      <c r="D580" s="322"/>
      <c r="E580" s="322"/>
      <c r="F580" s="322"/>
      <c r="G580" s="322"/>
      <c r="H580" s="322"/>
      <c r="I580" s="322"/>
      <c r="J580" s="324"/>
      <c r="K580" s="323"/>
      <c r="L580" s="323"/>
      <c r="M580" s="323"/>
    </row>
    <row r="581">
      <c r="A581" s="322"/>
      <c r="B581" s="323"/>
      <c r="C581" s="327" t="s">
        <v>43</v>
      </c>
      <c r="D581" s="322"/>
      <c r="E581" s="322"/>
      <c r="F581" s="322"/>
      <c r="G581" s="322"/>
      <c r="H581" s="322"/>
      <c r="I581" s="322"/>
      <c r="J581" s="324"/>
      <c r="K581" s="323"/>
      <c r="L581" s="323"/>
      <c r="M581" s="323"/>
    </row>
    <row r="582">
      <c r="A582" s="322"/>
      <c r="B582" s="323"/>
      <c r="C582" s="327" t="s">
        <v>43</v>
      </c>
      <c r="D582" s="322"/>
      <c r="E582" s="322"/>
      <c r="F582" s="322"/>
      <c r="G582" s="322"/>
      <c r="H582" s="322"/>
      <c r="I582" s="322"/>
      <c r="J582" s="324"/>
      <c r="K582" s="323"/>
      <c r="L582" s="323"/>
      <c r="M582" s="323"/>
    </row>
    <row r="583">
      <c r="A583" s="322"/>
      <c r="B583" s="323"/>
      <c r="C583" s="327" t="s">
        <v>43</v>
      </c>
      <c r="D583" s="322"/>
      <c r="E583" s="322"/>
      <c r="F583" s="322"/>
      <c r="G583" s="322"/>
      <c r="H583" s="322"/>
      <c r="I583" s="322"/>
      <c r="J583" s="324"/>
      <c r="K583" s="323"/>
      <c r="L583" s="323"/>
      <c r="M583" s="323"/>
    </row>
    <row r="584">
      <c r="A584" s="322"/>
      <c r="B584" s="323"/>
      <c r="C584" s="328" t="s">
        <v>31</v>
      </c>
      <c r="D584" s="322"/>
      <c r="E584" s="322"/>
      <c r="F584" s="322"/>
      <c r="G584" s="322"/>
      <c r="H584" s="322"/>
      <c r="I584" s="322"/>
      <c r="J584" s="324"/>
      <c r="K584" s="323"/>
      <c r="L584" s="323"/>
      <c r="M584" s="323"/>
    </row>
    <row r="585">
      <c r="A585" s="322"/>
      <c r="B585" s="323"/>
      <c r="C585" s="327" t="s">
        <v>43</v>
      </c>
      <c r="D585" s="322"/>
      <c r="E585" s="322"/>
      <c r="F585" s="322"/>
      <c r="G585" s="322"/>
      <c r="H585" s="322"/>
      <c r="I585" s="322"/>
      <c r="J585" s="324"/>
      <c r="K585" s="323"/>
      <c r="L585" s="323"/>
      <c r="M585" s="323"/>
    </row>
    <row r="586">
      <c r="A586" s="322"/>
      <c r="B586" s="323"/>
      <c r="C586" s="226" t="s">
        <v>31</v>
      </c>
      <c r="D586" s="322"/>
      <c r="E586" s="322"/>
      <c r="F586" s="322"/>
      <c r="G586" s="322"/>
      <c r="H586" s="322"/>
      <c r="I586" s="322"/>
      <c r="J586" s="324"/>
      <c r="K586" s="323"/>
      <c r="L586" s="323"/>
      <c r="M586" s="323"/>
    </row>
    <row r="587">
      <c r="A587" s="322"/>
      <c r="B587" s="323"/>
      <c r="C587" s="229" t="s">
        <v>31</v>
      </c>
      <c r="D587" s="322"/>
      <c r="E587" s="322"/>
      <c r="F587" s="322"/>
      <c r="G587" s="322"/>
      <c r="H587" s="322"/>
      <c r="I587" s="322"/>
      <c r="J587" s="324"/>
      <c r="K587" s="323"/>
      <c r="L587" s="323"/>
      <c r="M587" s="323"/>
    </row>
    <row r="588">
      <c r="A588" s="322"/>
      <c r="B588" s="323"/>
      <c r="C588" s="229" t="s">
        <v>31</v>
      </c>
      <c r="D588" s="322"/>
      <c r="E588" s="322"/>
      <c r="F588" s="322"/>
      <c r="G588" s="322"/>
      <c r="H588" s="322"/>
      <c r="I588" s="322"/>
      <c r="J588" s="324"/>
      <c r="K588" s="323"/>
      <c r="L588" s="323"/>
      <c r="M588" s="323"/>
    </row>
    <row r="589">
      <c r="A589" s="322"/>
      <c r="B589" s="323"/>
      <c r="C589" s="229" t="s">
        <v>31</v>
      </c>
      <c r="D589" s="322"/>
      <c r="E589" s="322"/>
      <c r="F589" s="322"/>
      <c r="G589" s="322"/>
      <c r="H589" s="322"/>
      <c r="I589" s="322"/>
      <c r="J589" s="324"/>
      <c r="K589" s="323"/>
      <c r="L589" s="323"/>
      <c r="M589" s="323"/>
    </row>
    <row r="590">
      <c r="A590" s="322"/>
      <c r="B590" s="323"/>
      <c r="C590" s="226" t="s">
        <v>31</v>
      </c>
      <c r="D590" s="322"/>
      <c r="E590" s="322"/>
      <c r="F590" s="322"/>
      <c r="G590" s="322"/>
      <c r="H590" s="322"/>
      <c r="I590" s="322"/>
      <c r="J590" s="324"/>
      <c r="K590" s="323"/>
      <c r="L590" s="323"/>
      <c r="M590" s="323"/>
    </row>
    <row r="591">
      <c r="A591" s="322"/>
      <c r="B591" s="323"/>
      <c r="C591" s="229" t="s">
        <v>31</v>
      </c>
      <c r="D591" s="322"/>
      <c r="E591" s="322"/>
      <c r="F591" s="322"/>
      <c r="G591" s="322"/>
      <c r="H591" s="322"/>
      <c r="I591" s="322"/>
      <c r="J591" s="324"/>
      <c r="K591" s="323"/>
      <c r="L591" s="323"/>
      <c r="M591" s="323"/>
    </row>
    <row r="592">
      <c r="A592" s="322"/>
      <c r="B592" s="323"/>
      <c r="C592" s="327" t="s">
        <v>43</v>
      </c>
      <c r="D592" s="322"/>
      <c r="E592" s="322"/>
      <c r="F592" s="322"/>
      <c r="G592" s="322"/>
      <c r="H592" s="322"/>
      <c r="I592" s="322"/>
      <c r="J592" s="324"/>
      <c r="K592" s="323"/>
      <c r="L592" s="323"/>
      <c r="M592" s="323"/>
    </row>
    <row r="593">
      <c r="A593" s="322"/>
      <c r="B593" s="323"/>
      <c r="C593" s="327" t="s">
        <v>43</v>
      </c>
      <c r="D593" s="322"/>
      <c r="E593" s="322"/>
      <c r="F593" s="322"/>
      <c r="G593" s="322"/>
      <c r="H593" s="322"/>
      <c r="I593" s="322"/>
      <c r="J593" s="324"/>
      <c r="K593" s="323"/>
      <c r="L593" s="323"/>
      <c r="M593" s="323"/>
    </row>
    <row r="594">
      <c r="A594" s="322"/>
      <c r="B594" s="323"/>
      <c r="C594" s="327" t="s">
        <v>43</v>
      </c>
      <c r="D594" s="322"/>
      <c r="E594" s="322"/>
      <c r="F594" s="322"/>
      <c r="G594" s="322"/>
      <c r="H594" s="322"/>
      <c r="I594" s="322"/>
      <c r="J594" s="324"/>
      <c r="K594" s="323"/>
      <c r="L594" s="323"/>
      <c r="M594" s="323"/>
    </row>
    <row r="595">
      <c r="A595" s="322"/>
      <c r="B595" s="323"/>
      <c r="C595" s="327" t="s">
        <v>43</v>
      </c>
      <c r="D595" s="322"/>
      <c r="E595" s="322"/>
      <c r="F595" s="322"/>
      <c r="G595" s="322"/>
      <c r="H595" s="322"/>
      <c r="I595" s="322"/>
      <c r="J595" s="324"/>
      <c r="K595" s="323"/>
      <c r="L595" s="323"/>
      <c r="M595" s="323"/>
    </row>
    <row r="596">
      <c r="A596" s="322"/>
      <c r="B596" s="323"/>
      <c r="C596" s="229" t="s">
        <v>31</v>
      </c>
      <c r="D596" s="322"/>
      <c r="E596" s="322"/>
      <c r="F596" s="322"/>
      <c r="G596" s="322"/>
      <c r="H596" s="322"/>
      <c r="I596" s="322"/>
      <c r="J596" s="324"/>
      <c r="K596" s="323"/>
      <c r="L596" s="323"/>
      <c r="M596" s="323"/>
    </row>
    <row r="597">
      <c r="A597" s="322"/>
      <c r="B597" s="323"/>
      <c r="C597" s="229" t="s">
        <v>31</v>
      </c>
      <c r="D597" s="322"/>
      <c r="E597" s="322"/>
      <c r="F597" s="322"/>
      <c r="G597" s="322"/>
      <c r="H597" s="322"/>
      <c r="I597" s="322"/>
      <c r="J597" s="324"/>
      <c r="K597" s="323"/>
      <c r="L597" s="323"/>
      <c r="M597" s="323"/>
    </row>
    <row r="598">
      <c r="A598" s="322"/>
      <c r="B598" s="323"/>
      <c r="C598" s="328" t="s">
        <v>31</v>
      </c>
      <c r="D598" s="322"/>
      <c r="E598" s="322"/>
      <c r="F598" s="322"/>
      <c r="G598" s="322"/>
      <c r="H598" s="322"/>
      <c r="I598" s="322"/>
      <c r="J598" s="324"/>
      <c r="K598" s="323"/>
      <c r="L598" s="323"/>
      <c r="M598" s="323"/>
    </row>
    <row r="599">
      <c r="A599" s="322"/>
      <c r="B599" s="323"/>
      <c r="C599" s="328" t="s">
        <v>31</v>
      </c>
      <c r="D599" s="322"/>
      <c r="E599" s="322"/>
      <c r="F599" s="322"/>
      <c r="G599" s="322"/>
      <c r="H599" s="322"/>
      <c r="I599" s="322"/>
      <c r="J599" s="324"/>
      <c r="K599" s="323"/>
      <c r="L599" s="323"/>
      <c r="M599" s="323"/>
    </row>
    <row r="600">
      <c r="A600" s="322"/>
      <c r="B600" s="323"/>
      <c r="C600" s="328" t="s">
        <v>31</v>
      </c>
      <c r="D600" s="322"/>
      <c r="E600" s="322"/>
      <c r="F600" s="322"/>
      <c r="G600" s="322"/>
      <c r="H600" s="322"/>
      <c r="I600" s="322"/>
      <c r="J600" s="324"/>
      <c r="K600" s="323"/>
      <c r="L600" s="323"/>
      <c r="M600" s="323"/>
    </row>
    <row r="601">
      <c r="A601" s="322"/>
      <c r="B601" s="323"/>
      <c r="C601" s="327" t="s">
        <v>43</v>
      </c>
      <c r="D601" s="322"/>
      <c r="E601" s="322"/>
      <c r="F601" s="322"/>
      <c r="G601" s="322"/>
      <c r="H601" s="322"/>
      <c r="I601" s="322"/>
      <c r="J601" s="324"/>
      <c r="K601" s="323"/>
      <c r="L601" s="323"/>
      <c r="M601" s="323"/>
    </row>
    <row r="602">
      <c r="A602" s="322"/>
      <c r="B602" s="323"/>
      <c r="C602" s="229" t="s">
        <v>31</v>
      </c>
      <c r="D602" s="322"/>
      <c r="E602" s="322"/>
      <c r="F602" s="322"/>
      <c r="G602" s="322"/>
      <c r="H602" s="322"/>
      <c r="I602" s="322"/>
      <c r="J602" s="324"/>
      <c r="K602" s="323"/>
      <c r="L602" s="323"/>
      <c r="M602" s="323"/>
    </row>
    <row r="603">
      <c r="A603" s="322"/>
      <c r="B603" s="323"/>
      <c r="C603" s="229" t="s">
        <v>31</v>
      </c>
      <c r="D603" s="322"/>
      <c r="E603" s="322"/>
      <c r="F603" s="322"/>
      <c r="G603" s="322"/>
      <c r="H603" s="322"/>
      <c r="I603" s="322"/>
      <c r="J603" s="324"/>
      <c r="K603" s="323"/>
      <c r="L603" s="323"/>
      <c r="M603" s="323"/>
    </row>
    <row r="604">
      <c r="A604" s="322"/>
      <c r="B604" s="323"/>
      <c r="C604" s="229" t="s">
        <v>31</v>
      </c>
      <c r="D604" s="322"/>
      <c r="E604" s="322"/>
      <c r="F604" s="322"/>
      <c r="G604" s="322"/>
      <c r="H604" s="322"/>
      <c r="I604" s="322"/>
      <c r="J604" s="324"/>
      <c r="K604" s="323"/>
      <c r="L604" s="323"/>
      <c r="M604" s="323"/>
    </row>
    <row r="605">
      <c r="A605" s="322"/>
      <c r="B605" s="323"/>
      <c r="C605" s="328" t="s">
        <v>31</v>
      </c>
      <c r="D605" s="322"/>
      <c r="E605" s="322"/>
      <c r="F605" s="322"/>
      <c r="G605" s="322"/>
      <c r="H605" s="322"/>
      <c r="I605" s="322"/>
      <c r="J605" s="324"/>
      <c r="K605" s="323"/>
      <c r="L605" s="323"/>
      <c r="M605" s="323"/>
    </row>
    <row r="606">
      <c r="A606" s="322"/>
      <c r="B606" s="323"/>
      <c r="C606" s="328" t="s">
        <v>31</v>
      </c>
      <c r="D606" s="322"/>
      <c r="E606" s="322"/>
      <c r="F606" s="322"/>
      <c r="G606" s="322"/>
      <c r="H606" s="322"/>
      <c r="I606" s="322"/>
      <c r="J606" s="324"/>
      <c r="K606" s="323"/>
      <c r="L606" s="323"/>
      <c r="M606" s="323"/>
    </row>
    <row r="607">
      <c r="A607" s="322"/>
      <c r="B607" s="323"/>
      <c r="C607" s="328" t="s">
        <v>31</v>
      </c>
      <c r="D607" s="322"/>
      <c r="E607" s="322"/>
      <c r="F607" s="322"/>
      <c r="G607" s="322"/>
      <c r="H607" s="322"/>
      <c r="I607" s="322"/>
      <c r="J607" s="324"/>
      <c r="K607" s="323"/>
      <c r="L607" s="323"/>
      <c r="M607" s="323"/>
    </row>
    <row r="608">
      <c r="A608" s="322"/>
      <c r="B608" s="323"/>
      <c r="C608" s="229" t="s">
        <v>31</v>
      </c>
      <c r="D608" s="322"/>
      <c r="E608" s="322"/>
      <c r="F608" s="322"/>
      <c r="G608" s="322"/>
      <c r="H608" s="322"/>
      <c r="I608" s="322"/>
      <c r="J608" s="324"/>
      <c r="K608" s="323"/>
      <c r="L608" s="323"/>
      <c r="M608" s="323"/>
    </row>
    <row r="609">
      <c r="A609" s="322"/>
      <c r="B609" s="323"/>
      <c r="C609" s="328" t="s">
        <v>31</v>
      </c>
      <c r="D609" s="322"/>
      <c r="E609" s="322"/>
      <c r="F609" s="322"/>
      <c r="G609" s="322"/>
      <c r="H609" s="322"/>
      <c r="I609" s="322"/>
      <c r="J609" s="324"/>
      <c r="K609" s="323"/>
      <c r="L609" s="323"/>
      <c r="M609" s="323"/>
    </row>
    <row r="610">
      <c r="A610" s="322"/>
      <c r="B610" s="323"/>
      <c r="C610" s="328" t="s">
        <v>31</v>
      </c>
      <c r="D610" s="322"/>
      <c r="E610" s="322"/>
      <c r="F610" s="322"/>
      <c r="G610" s="322"/>
      <c r="H610" s="322"/>
      <c r="I610" s="322"/>
      <c r="J610" s="324"/>
      <c r="K610" s="323"/>
      <c r="L610" s="323"/>
      <c r="M610" s="323"/>
    </row>
    <row r="611">
      <c r="A611" s="322"/>
      <c r="B611" s="323"/>
      <c r="C611" s="327" t="s">
        <v>43</v>
      </c>
      <c r="D611" s="322"/>
      <c r="E611" s="322"/>
      <c r="F611" s="322"/>
      <c r="G611" s="322"/>
      <c r="H611" s="322"/>
      <c r="I611" s="322"/>
      <c r="J611" s="324"/>
      <c r="K611" s="323"/>
      <c r="L611" s="323"/>
      <c r="M611" s="323"/>
    </row>
    <row r="612">
      <c r="A612" s="322"/>
      <c r="B612" s="323"/>
      <c r="C612" s="327" t="s">
        <v>43</v>
      </c>
      <c r="D612" s="322"/>
      <c r="E612" s="322"/>
      <c r="F612" s="322"/>
      <c r="G612" s="322"/>
      <c r="H612" s="322"/>
      <c r="I612" s="322"/>
      <c r="J612" s="324"/>
      <c r="K612" s="323"/>
      <c r="L612" s="323"/>
      <c r="M612" s="323"/>
    </row>
    <row r="613">
      <c r="A613" s="322"/>
      <c r="B613" s="323"/>
      <c r="C613" s="229" t="s">
        <v>31</v>
      </c>
      <c r="D613" s="322"/>
      <c r="E613" s="322"/>
      <c r="F613" s="322"/>
      <c r="G613" s="322"/>
      <c r="H613" s="322"/>
      <c r="I613" s="322"/>
      <c r="J613" s="324"/>
      <c r="K613" s="323"/>
      <c r="L613" s="323"/>
      <c r="M613" s="323"/>
    </row>
    <row r="614">
      <c r="A614" s="322"/>
      <c r="B614" s="323"/>
      <c r="C614" s="229" t="s">
        <v>31</v>
      </c>
      <c r="D614" s="322"/>
      <c r="E614" s="322"/>
      <c r="F614" s="322"/>
      <c r="G614" s="322"/>
      <c r="H614" s="322"/>
      <c r="I614" s="322"/>
      <c r="J614" s="324"/>
      <c r="K614" s="323"/>
      <c r="L614" s="323"/>
      <c r="M614" s="323"/>
    </row>
    <row r="615">
      <c r="A615" s="322"/>
      <c r="B615" s="323"/>
      <c r="C615" s="229" t="s">
        <v>31</v>
      </c>
      <c r="D615" s="322"/>
      <c r="E615" s="322"/>
      <c r="F615" s="322"/>
      <c r="G615" s="322"/>
      <c r="H615" s="322"/>
      <c r="I615" s="322"/>
      <c r="J615" s="324"/>
      <c r="K615" s="323"/>
      <c r="L615" s="323"/>
      <c r="M615" s="323"/>
    </row>
    <row r="616">
      <c r="A616" s="322"/>
      <c r="B616" s="323"/>
      <c r="C616" s="229" t="s">
        <v>31</v>
      </c>
      <c r="D616" s="322"/>
      <c r="E616" s="322"/>
      <c r="F616" s="322"/>
      <c r="G616" s="322"/>
      <c r="H616" s="322"/>
      <c r="I616" s="322"/>
      <c r="J616" s="324"/>
      <c r="K616" s="323"/>
      <c r="L616" s="323"/>
      <c r="M616" s="323"/>
    </row>
    <row r="617">
      <c r="A617" s="322"/>
      <c r="B617" s="323"/>
      <c r="C617" s="229" t="s">
        <v>31</v>
      </c>
      <c r="D617" s="322"/>
      <c r="E617" s="322"/>
      <c r="F617" s="322"/>
      <c r="G617" s="322"/>
      <c r="H617" s="322"/>
      <c r="I617" s="322"/>
      <c r="J617" s="324"/>
      <c r="K617" s="323"/>
      <c r="L617" s="323"/>
      <c r="M617" s="323"/>
    </row>
    <row r="618">
      <c r="A618" s="322"/>
      <c r="B618" s="323"/>
      <c r="C618" s="226" t="s">
        <v>31</v>
      </c>
      <c r="D618" s="322"/>
      <c r="E618" s="322"/>
      <c r="F618" s="322"/>
      <c r="G618" s="322"/>
      <c r="H618" s="322"/>
      <c r="I618" s="322"/>
      <c r="J618" s="324"/>
      <c r="K618" s="323"/>
      <c r="L618" s="323"/>
      <c r="M618" s="323"/>
    </row>
    <row r="619">
      <c r="A619" s="322"/>
      <c r="B619" s="323"/>
      <c r="C619" s="226" t="s">
        <v>31</v>
      </c>
      <c r="D619" s="322"/>
      <c r="E619" s="322"/>
      <c r="F619" s="322"/>
      <c r="G619" s="322"/>
      <c r="H619" s="322"/>
      <c r="I619" s="322"/>
      <c r="J619" s="324"/>
      <c r="K619" s="323"/>
      <c r="L619" s="323"/>
      <c r="M619" s="323"/>
    </row>
    <row r="620">
      <c r="A620" s="322"/>
      <c r="B620" s="323"/>
      <c r="C620" s="226" t="s">
        <v>31</v>
      </c>
      <c r="D620" s="322"/>
      <c r="E620" s="322"/>
      <c r="F620" s="322"/>
      <c r="G620" s="322"/>
      <c r="H620" s="322"/>
      <c r="I620" s="322"/>
      <c r="J620" s="324"/>
      <c r="K620" s="323"/>
      <c r="L620" s="323"/>
      <c r="M620" s="323"/>
    </row>
    <row r="621">
      <c r="A621" s="322"/>
      <c r="B621" s="323"/>
      <c r="C621" s="226" t="s">
        <v>31</v>
      </c>
      <c r="D621" s="322"/>
      <c r="E621" s="322"/>
      <c r="F621" s="322"/>
      <c r="G621" s="322"/>
      <c r="H621" s="322"/>
      <c r="I621" s="322"/>
      <c r="J621" s="324"/>
      <c r="K621" s="323"/>
      <c r="L621" s="323"/>
      <c r="M621" s="323"/>
    </row>
    <row r="622">
      <c r="A622" s="322"/>
      <c r="B622" s="323"/>
      <c r="C622" s="226" t="s">
        <v>31</v>
      </c>
      <c r="D622" s="322"/>
      <c r="E622" s="322"/>
      <c r="F622" s="322"/>
      <c r="G622" s="322"/>
      <c r="H622" s="322"/>
      <c r="I622" s="322"/>
      <c r="J622" s="324"/>
      <c r="K622" s="323"/>
      <c r="L622" s="323"/>
      <c r="M622" s="323"/>
    </row>
    <row r="623">
      <c r="A623" s="322"/>
      <c r="B623" s="323"/>
      <c r="C623" s="328" t="s">
        <v>31</v>
      </c>
      <c r="D623" s="322"/>
      <c r="E623" s="322"/>
      <c r="F623" s="322"/>
      <c r="G623" s="322"/>
      <c r="H623" s="322"/>
      <c r="I623" s="322"/>
      <c r="J623" s="324"/>
      <c r="K623" s="323"/>
      <c r="L623" s="323"/>
      <c r="M623" s="323"/>
    </row>
    <row r="624">
      <c r="A624" s="322"/>
      <c r="B624" s="323"/>
      <c r="C624" s="327" t="s">
        <v>43</v>
      </c>
      <c r="D624" s="322"/>
      <c r="E624" s="322"/>
      <c r="F624" s="322"/>
      <c r="G624" s="322"/>
      <c r="H624" s="322"/>
      <c r="I624" s="322"/>
      <c r="J624" s="324"/>
      <c r="K624" s="323"/>
      <c r="L624" s="323"/>
      <c r="M624" s="323"/>
    </row>
    <row r="625">
      <c r="A625" s="322"/>
      <c r="B625" s="323"/>
      <c r="C625" s="328" t="s">
        <v>31</v>
      </c>
      <c r="D625" s="322"/>
      <c r="E625" s="322"/>
      <c r="F625" s="322"/>
      <c r="G625" s="322"/>
      <c r="H625" s="322"/>
      <c r="I625" s="322"/>
      <c r="J625" s="324"/>
      <c r="K625" s="323"/>
      <c r="L625" s="323"/>
      <c r="M625" s="323"/>
    </row>
    <row r="626">
      <c r="A626" s="322"/>
      <c r="B626" s="323"/>
      <c r="C626" s="328" t="s">
        <v>31</v>
      </c>
      <c r="D626" s="322"/>
      <c r="E626" s="322"/>
      <c r="F626" s="322"/>
      <c r="G626" s="322"/>
      <c r="H626" s="322"/>
      <c r="I626" s="322"/>
      <c r="J626" s="324"/>
      <c r="K626" s="323"/>
      <c r="L626" s="323"/>
      <c r="M626" s="323"/>
    </row>
    <row r="627">
      <c r="A627" s="322"/>
      <c r="B627" s="323"/>
      <c r="C627" s="328" t="s">
        <v>31</v>
      </c>
      <c r="D627" s="322"/>
      <c r="E627" s="322"/>
      <c r="F627" s="322"/>
      <c r="G627" s="322"/>
      <c r="H627" s="322"/>
      <c r="I627" s="322"/>
      <c r="J627" s="324"/>
      <c r="K627" s="323"/>
      <c r="L627" s="323"/>
      <c r="M627" s="323"/>
    </row>
    <row r="628">
      <c r="A628" s="322"/>
      <c r="B628" s="323"/>
      <c r="C628" s="328" t="s">
        <v>31</v>
      </c>
      <c r="D628" s="322"/>
      <c r="E628" s="322"/>
      <c r="F628" s="322"/>
      <c r="G628" s="322"/>
      <c r="H628" s="322"/>
      <c r="I628" s="322"/>
      <c r="J628" s="324"/>
      <c r="K628" s="323"/>
      <c r="L628" s="323"/>
      <c r="M628" s="323"/>
    </row>
    <row r="629">
      <c r="A629" s="322"/>
      <c r="B629" s="323"/>
      <c r="C629" s="229" t="s">
        <v>31</v>
      </c>
      <c r="D629" s="322"/>
      <c r="E629" s="322"/>
      <c r="F629" s="322"/>
      <c r="G629" s="322"/>
      <c r="H629" s="322"/>
      <c r="I629" s="322"/>
      <c r="J629" s="324"/>
      <c r="K629" s="323"/>
      <c r="L629" s="323"/>
      <c r="M629" s="323"/>
    </row>
    <row r="630">
      <c r="A630" s="322"/>
      <c r="B630" s="323"/>
      <c r="C630" s="327" t="s">
        <v>43</v>
      </c>
      <c r="D630" s="322"/>
      <c r="E630" s="322"/>
      <c r="F630" s="322"/>
      <c r="G630" s="322"/>
      <c r="H630" s="322"/>
      <c r="I630" s="322"/>
      <c r="J630" s="324"/>
      <c r="K630" s="323"/>
      <c r="L630" s="323"/>
      <c r="M630" s="323"/>
    </row>
    <row r="631">
      <c r="A631" s="322"/>
      <c r="B631" s="323"/>
      <c r="C631" s="328" t="s">
        <v>31</v>
      </c>
      <c r="D631" s="322"/>
      <c r="E631" s="322"/>
      <c r="F631" s="322"/>
      <c r="G631" s="322"/>
      <c r="H631" s="322"/>
      <c r="I631" s="322"/>
      <c r="J631" s="324"/>
      <c r="K631" s="323"/>
      <c r="L631" s="323"/>
      <c r="M631" s="323"/>
    </row>
    <row r="632">
      <c r="A632" s="322"/>
      <c r="B632" s="323"/>
      <c r="C632" s="328" t="s">
        <v>31</v>
      </c>
      <c r="D632" s="322"/>
      <c r="E632" s="322"/>
      <c r="F632" s="322"/>
      <c r="G632" s="322"/>
      <c r="H632" s="322"/>
      <c r="I632" s="322"/>
      <c r="J632" s="324"/>
      <c r="K632" s="323"/>
      <c r="L632" s="323"/>
      <c r="M632" s="323"/>
    </row>
    <row r="633">
      <c r="A633" s="322"/>
      <c r="B633" s="323"/>
      <c r="C633" s="328" t="s">
        <v>31</v>
      </c>
      <c r="D633" s="322"/>
      <c r="E633" s="322"/>
      <c r="F633" s="322"/>
      <c r="G633" s="322"/>
      <c r="H633" s="322"/>
      <c r="I633" s="322"/>
      <c r="J633" s="324"/>
      <c r="K633" s="323"/>
      <c r="L633" s="323"/>
      <c r="M633" s="323"/>
    </row>
    <row r="634">
      <c r="A634" s="322"/>
      <c r="B634" s="323"/>
      <c r="C634" s="328" t="s">
        <v>31</v>
      </c>
      <c r="D634" s="322"/>
      <c r="E634" s="322"/>
      <c r="F634" s="322"/>
      <c r="G634" s="322"/>
      <c r="H634" s="322"/>
      <c r="I634" s="322"/>
      <c r="J634" s="324"/>
      <c r="K634" s="323"/>
      <c r="L634" s="323"/>
      <c r="M634" s="323"/>
    </row>
    <row r="635">
      <c r="A635" s="322"/>
      <c r="B635" s="323"/>
      <c r="C635" s="328" t="s">
        <v>31</v>
      </c>
      <c r="D635" s="322"/>
      <c r="E635" s="322"/>
      <c r="F635" s="322"/>
      <c r="G635" s="322"/>
      <c r="H635" s="322"/>
      <c r="I635" s="322"/>
      <c r="J635" s="324"/>
      <c r="K635" s="323"/>
      <c r="L635" s="323"/>
      <c r="M635" s="323"/>
    </row>
    <row r="636">
      <c r="A636" s="322"/>
      <c r="B636" s="323"/>
      <c r="C636" s="328" t="s">
        <v>31</v>
      </c>
      <c r="D636" s="322"/>
      <c r="E636" s="322"/>
      <c r="F636" s="322"/>
      <c r="G636" s="322"/>
      <c r="H636" s="322"/>
      <c r="I636" s="322"/>
      <c r="J636" s="324"/>
      <c r="K636" s="323"/>
      <c r="L636" s="323"/>
      <c r="M636" s="323"/>
    </row>
    <row r="637">
      <c r="A637" s="322"/>
      <c r="B637" s="323"/>
      <c r="C637" s="328" t="s">
        <v>31</v>
      </c>
      <c r="D637" s="322"/>
      <c r="E637" s="322"/>
      <c r="F637" s="322"/>
      <c r="G637" s="322"/>
      <c r="H637" s="322"/>
      <c r="I637" s="322"/>
      <c r="J637" s="324"/>
      <c r="K637" s="323"/>
      <c r="L637" s="323"/>
      <c r="M637" s="323"/>
    </row>
    <row r="638">
      <c r="A638" s="322"/>
      <c r="B638" s="323"/>
      <c r="C638" s="229" t="s">
        <v>31</v>
      </c>
      <c r="D638" s="322"/>
      <c r="E638" s="322"/>
      <c r="F638" s="322"/>
      <c r="G638" s="322"/>
      <c r="H638" s="322"/>
      <c r="I638" s="322"/>
      <c r="J638" s="324"/>
      <c r="K638" s="323"/>
      <c r="L638" s="323"/>
      <c r="M638" s="323"/>
    </row>
    <row r="639">
      <c r="A639" s="322"/>
      <c r="B639" s="323"/>
      <c r="C639" s="328" t="s">
        <v>31</v>
      </c>
      <c r="D639" s="322"/>
      <c r="E639" s="322"/>
      <c r="F639" s="322"/>
      <c r="G639" s="322"/>
      <c r="H639" s="322"/>
      <c r="I639" s="322"/>
      <c r="J639" s="324"/>
      <c r="K639" s="323"/>
      <c r="L639" s="323"/>
      <c r="M639" s="323"/>
    </row>
    <row r="640">
      <c r="A640" s="322"/>
      <c r="B640" s="323"/>
      <c r="C640" s="328" t="s">
        <v>31</v>
      </c>
      <c r="D640" s="322"/>
      <c r="E640" s="322"/>
      <c r="F640" s="322"/>
      <c r="G640" s="322"/>
      <c r="H640" s="322"/>
      <c r="I640" s="322"/>
      <c r="J640" s="324"/>
      <c r="K640" s="323"/>
      <c r="L640" s="323"/>
      <c r="M640" s="323"/>
    </row>
    <row r="641">
      <c r="A641" s="322"/>
      <c r="B641" s="323"/>
      <c r="C641" s="327" t="s">
        <v>43</v>
      </c>
      <c r="D641" s="322"/>
      <c r="E641" s="322"/>
      <c r="F641" s="322"/>
      <c r="G641" s="322"/>
      <c r="H641" s="322"/>
      <c r="I641" s="322"/>
      <c r="J641" s="324"/>
      <c r="K641" s="323"/>
      <c r="L641" s="323"/>
      <c r="M641" s="323"/>
    </row>
    <row r="642">
      <c r="A642" s="322"/>
      <c r="B642" s="323"/>
      <c r="C642" s="327" t="s">
        <v>43</v>
      </c>
      <c r="D642" s="322"/>
      <c r="E642" s="322"/>
      <c r="F642" s="322"/>
      <c r="G642" s="322"/>
      <c r="H642" s="322"/>
      <c r="I642" s="322"/>
      <c r="J642" s="324"/>
      <c r="K642" s="323"/>
      <c r="L642" s="323"/>
      <c r="M642" s="323"/>
    </row>
    <row r="643">
      <c r="A643" s="322"/>
      <c r="B643" s="323"/>
      <c r="C643" s="327" t="s">
        <v>43</v>
      </c>
      <c r="D643" s="322"/>
      <c r="E643" s="322"/>
      <c r="F643" s="322"/>
      <c r="G643" s="322"/>
      <c r="H643" s="322"/>
      <c r="I643" s="322"/>
      <c r="J643" s="324"/>
      <c r="K643" s="323"/>
      <c r="L643" s="323"/>
      <c r="M643" s="323"/>
    </row>
    <row r="644">
      <c r="A644" s="322"/>
      <c r="B644" s="323"/>
      <c r="C644" s="327" t="s">
        <v>43</v>
      </c>
      <c r="D644" s="322"/>
      <c r="E644" s="322"/>
      <c r="F644" s="322"/>
      <c r="G644" s="322"/>
      <c r="H644" s="322"/>
      <c r="I644" s="322"/>
      <c r="J644" s="324"/>
      <c r="K644" s="323"/>
      <c r="L644" s="323"/>
      <c r="M644" s="323"/>
    </row>
    <row r="645">
      <c r="A645" s="322"/>
      <c r="B645" s="323"/>
      <c r="C645" s="327" t="s">
        <v>43</v>
      </c>
      <c r="D645" s="322"/>
      <c r="E645" s="322"/>
      <c r="F645" s="322"/>
      <c r="G645" s="322"/>
      <c r="H645" s="322"/>
      <c r="I645" s="322"/>
      <c r="J645" s="324"/>
      <c r="K645" s="323"/>
      <c r="L645" s="323"/>
      <c r="M645" s="323"/>
    </row>
    <row r="646">
      <c r="A646" s="322"/>
      <c r="B646" s="323"/>
      <c r="C646" s="327" t="s">
        <v>43</v>
      </c>
      <c r="D646" s="322"/>
      <c r="E646" s="322"/>
      <c r="F646" s="322"/>
      <c r="G646" s="322"/>
      <c r="H646" s="322"/>
      <c r="I646" s="322"/>
      <c r="J646" s="324"/>
      <c r="K646" s="323"/>
      <c r="L646" s="323"/>
      <c r="M646" s="323"/>
    </row>
    <row r="647">
      <c r="A647" s="322"/>
      <c r="B647" s="323"/>
      <c r="C647" s="328" t="s">
        <v>31</v>
      </c>
      <c r="D647" s="322"/>
      <c r="E647" s="322"/>
      <c r="F647" s="322"/>
      <c r="G647" s="322"/>
      <c r="H647" s="322"/>
      <c r="I647" s="322"/>
      <c r="J647" s="324"/>
      <c r="K647" s="323"/>
      <c r="L647" s="323"/>
      <c r="M647" s="323"/>
    </row>
    <row r="648">
      <c r="A648" s="322"/>
      <c r="B648" s="323"/>
      <c r="C648" s="328" t="s">
        <v>31</v>
      </c>
      <c r="D648" s="322"/>
      <c r="E648" s="322"/>
      <c r="F648" s="322"/>
      <c r="G648" s="322"/>
      <c r="H648" s="322"/>
      <c r="I648" s="322"/>
      <c r="J648" s="324"/>
      <c r="K648" s="323"/>
      <c r="L648" s="323"/>
      <c r="M648" s="323"/>
    </row>
    <row r="649">
      <c r="A649" s="322"/>
      <c r="B649" s="323"/>
      <c r="C649" s="328" t="s">
        <v>31</v>
      </c>
      <c r="D649" s="322"/>
      <c r="E649" s="322"/>
      <c r="F649" s="322"/>
      <c r="G649" s="322"/>
      <c r="H649" s="322"/>
      <c r="I649" s="322"/>
      <c r="J649" s="324"/>
      <c r="K649" s="323"/>
      <c r="L649" s="323"/>
      <c r="M649" s="323"/>
    </row>
    <row r="650">
      <c r="A650" s="322"/>
      <c r="B650" s="323"/>
      <c r="C650" s="226" t="s">
        <v>31</v>
      </c>
      <c r="D650" s="322"/>
      <c r="E650" s="322"/>
      <c r="F650" s="322"/>
      <c r="G650" s="322"/>
      <c r="H650" s="322"/>
      <c r="I650" s="322"/>
      <c r="J650" s="324"/>
      <c r="K650" s="323"/>
      <c r="L650" s="323"/>
      <c r="M650" s="323"/>
    </row>
    <row r="651">
      <c r="A651" s="322"/>
      <c r="B651" s="323"/>
      <c r="C651" s="328" t="s">
        <v>31</v>
      </c>
      <c r="D651" s="322"/>
      <c r="E651" s="322"/>
      <c r="F651" s="322"/>
      <c r="G651" s="322"/>
      <c r="H651" s="322"/>
      <c r="I651" s="322"/>
      <c r="J651" s="324"/>
      <c r="K651" s="323"/>
      <c r="L651" s="323"/>
      <c r="M651" s="323"/>
    </row>
    <row r="652">
      <c r="A652" s="322"/>
      <c r="B652" s="323"/>
      <c r="C652" s="328" t="s">
        <v>31</v>
      </c>
      <c r="D652" s="322"/>
      <c r="E652" s="322"/>
      <c r="F652" s="322"/>
      <c r="G652" s="322"/>
      <c r="H652" s="322"/>
      <c r="I652" s="322"/>
      <c r="J652" s="324"/>
      <c r="K652" s="323"/>
      <c r="L652" s="323"/>
      <c r="M652" s="323"/>
    </row>
    <row r="653">
      <c r="A653" s="322"/>
      <c r="B653" s="323"/>
      <c r="C653" s="328" t="s">
        <v>31</v>
      </c>
      <c r="D653" s="322"/>
      <c r="E653" s="322"/>
      <c r="F653" s="322"/>
      <c r="G653" s="322"/>
      <c r="H653" s="322"/>
      <c r="I653" s="322"/>
      <c r="J653" s="324"/>
      <c r="K653" s="323"/>
      <c r="L653" s="323"/>
      <c r="M653" s="323"/>
    </row>
    <row r="654">
      <c r="A654" s="322"/>
      <c r="B654" s="323"/>
      <c r="C654" s="328" t="s">
        <v>31</v>
      </c>
      <c r="D654" s="322"/>
      <c r="E654" s="322"/>
      <c r="F654" s="322"/>
      <c r="G654" s="322"/>
      <c r="H654" s="322"/>
      <c r="I654" s="322"/>
      <c r="J654" s="324"/>
      <c r="K654" s="323"/>
      <c r="L654" s="323"/>
      <c r="M654" s="323"/>
    </row>
    <row r="655">
      <c r="A655" s="322"/>
      <c r="B655" s="323"/>
      <c r="C655" s="327" t="s">
        <v>43</v>
      </c>
      <c r="D655" s="322"/>
      <c r="E655" s="322"/>
      <c r="F655" s="322"/>
      <c r="G655" s="322"/>
      <c r="H655" s="322"/>
      <c r="I655" s="322"/>
      <c r="J655" s="324"/>
      <c r="K655" s="323"/>
      <c r="L655" s="323"/>
      <c r="M655" s="323"/>
    </row>
    <row r="656">
      <c r="A656" s="322"/>
      <c r="B656" s="323"/>
      <c r="C656" s="327" t="s">
        <v>43</v>
      </c>
      <c r="D656" s="322"/>
      <c r="E656" s="322"/>
      <c r="F656" s="322"/>
      <c r="G656" s="322"/>
      <c r="H656" s="322"/>
      <c r="I656" s="322"/>
      <c r="J656" s="324"/>
      <c r="K656" s="323"/>
      <c r="L656" s="323"/>
      <c r="M656" s="323"/>
    </row>
    <row r="657">
      <c r="A657" s="322"/>
      <c r="B657" s="323"/>
      <c r="C657" s="328" t="s">
        <v>31</v>
      </c>
      <c r="D657" s="322"/>
      <c r="E657" s="322"/>
      <c r="F657" s="322"/>
      <c r="G657" s="322"/>
      <c r="H657" s="322"/>
      <c r="I657" s="322"/>
      <c r="J657" s="324"/>
      <c r="K657" s="323"/>
      <c r="L657" s="323"/>
      <c r="M657" s="323"/>
    </row>
    <row r="658">
      <c r="A658" s="322"/>
      <c r="B658" s="323"/>
      <c r="C658" s="226" t="s">
        <v>31</v>
      </c>
      <c r="D658" s="322"/>
      <c r="E658" s="322"/>
      <c r="F658" s="322"/>
      <c r="G658" s="322"/>
      <c r="H658" s="322"/>
      <c r="I658" s="322"/>
      <c r="J658" s="324"/>
      <c r="K658" s="323"/>
      <c r="L658" s="323"/>
      <c r="M658" s="323"/>
    </row>
    <row r="659">
      <c r="A659" s="322"/>
      <c r="B659" s="323"/>
      <c r="C659" s="327" t="s">
        <v>43</v>
      </c>
      <c r="D659" s="322"/>
      <c r="E659" s="322"/>
      <c r="F659" s="322"/>
      <c r="G659" s="322"/>
      <c r="H659" s="322"/>
      <c r="I659" s="322"/>
      <c r="J659" s="324"/>
      <c r="K659" s="323"/>
      <c r="L659" s="323"/>
      <c r="M659" s="323"/>
    </row>
    <row r="660">
      <c r="A660" s="322"/>
      <c r="B660" s="323"/>
      <c r="C660" s="327" t="s">
        <v>43</v>
      </c>
      <c r="D660" s="322"/>
      <c r="E660" s="322"/>
      <c r="F660" s="322"/>
      <c r="G660" s="322"/>
      <c r="H660" s="322"/>
      <c r="I660" s="322"/>
      <c r="J660" s="324"/>
      <c r="K660" s="323"/>
      <c r="L660" s="323"/>
      <c r="M660" s="323"/>
    </row>
    <row r="661">
      <c r="A661" s="322"/>
      <c r="B661" s="323"/>
      <c r="C661" s="226" t="s">
        <v>31</v>
      </c>
      <c r="D661" s="322"/>
      <c r="E661" s="322"/>
      <c r="F661" s="322"/>
      <c r="G661" s="322"/>
      <c r="H661" s="322"/>
      <c r="I661" s="322"/>
      <c r="J661" s="324"/>
      <c r="K661" s="323"/>
      <c r="L661" s="323"/>
      <c r="M661" s="323"/>
    </row>
    <row r="662">
      <c r="A662" s="322"/>
      <c r="B662" s="323"/>
      <c r="C662" s="226" t="s">
        <v>31</v>
      </c>
      <c r="D662" s="322"/>
      <c r="E662" s="322"/>
      <c r="F662" s="322"/>
      <c r="G662" s="322"/>
      <c r="H662" s="322"/>
      <c r="I662" s="322"/>
      <c r="J662" s="324"/>
      <c r="K662" s="323"/>
      <c r="L662" s="323"/>
      <c r="M662" s="323"/>
    </row>
    <row r="663">
      <c r="A663" s="322"/>
      <c r="B663" s="323"/>
      <c r="C663" s="327" t="s">
        <v>43</v>
      </c>
      <c r="D663" s="322"/>
      <c r="E663" s="322"/>
      <c r="F663" s="322"/>
      <c r="G663" s="322"/>
      <c r="H663" s="322"/>
      <c r="I663" s="322"/>
      <c r="J663" s="324"/>
      <c r="K663" s="323"/>
      <c r="L663" s="323"/>
      <c r="M663" s="323"/>
    </row>
    <row r="664">
      <c r="A664" s="322"/>
      <c r="B664" s="323"/>
      <c r="C664" s="327" t="s">
        <v>43</v>
      </c>
      <c r="D664" s="322"/>
      <c r="E664" s="322"/>
      <c r="F664" s="322"/>
      <c r="G664" s="322"/>
      <c r="H664" s="322"/>
      <c r="I664" s="322"/>
      <c r="J664" s="324"/>
      <c r="K664" s="323"/>
      <c r="L664" s="323"/>
      <c r="M664" s="323"/>
    </row>
    <row r="665">
      <c r="A665" s="322"/>
      <c r="B665" s="323"/>
      <c r="C665" s="327" t="s">
        <v>43</v>
      </c>
      <c r="D665" s="322"/>
      <c r="E665" s="322"/>
      <c r="F665" s="322"/>
      <c r="G665" s="322"/>
      <c r="H665" s="322"/>
      <c r="I665" s="322"/>
      <c r="J665" s="324"/>
      <c r="K665" s="323"/>
      <c r="L665" s="323"/>
      <c r="M665" s="323"/>
    </row>
    <row r="666">
      <c r="A666" s="322"/>
      <c r="B666" s="323"/>
      <c r="C666" s="226" t="s">
        <v>31</v>
      </c>
      <c r="D666" s="322"/>
      <c r="E666" s="322"/>
      <c r="F666" s="322"/>
      <c r="G666" s="322"/>
      <c r="H666" s="322"/>
      <c r="I666" s="322"/>
      <c r="J666" s="324"/>
      <c r="K666" s="323"/>
      <c r="L666" s="323"/>
      <c r="M666" s="323"/>
    </row>
    <row r="667">
      <c r="A667" s="322"/>
      <c r="B667" s="323"/>
      <c r="C667" s="229" t="s">
        <v>31</v>
      </c>
      <c r="D667" s="322"/>
      <c r="E667" s="322"/>
      <c r="F667" s="322"/>
      <c r="G667" s="322"/>
      <c r="H667" s="322"/>
      <c r="I667" s="322"/>
      <c r="J667" s="324"/>
      <c r="K667" s="323"/>
      <c r="L667" s="323"/>
      <c r="M667" s="323"/>
    </row>
    <row r="668">
      <c r="A668" s="322"/>
      <c r="B668" s="323"/>
      <c r="C668" s="327" t="s">
        <v>43</v>
      </c>
      <c r="D668" s="322"/>
      <c r="E668" s="322"/>
      <c r="F668" s="322"/>
      <c r="G668" s="322"/>
      <c r="H668" s="322"/>
      <c r="I668" s="322"/>
      <c r="J668" s="324"/>
      <c r="K668" s="323"/>
      <c r="L668" s="323"/>
      <c r="M668" s="323"/>
    </row>
    <row r="669">
      <c r="A669" s="322"/>
      <c r="B669" s="323"/>
      <c r="C669" s="327" t="s">
        <v>43</v>
      </c>
      <c r="D669" s="322"/>
      <c r="E669" s="322"/>
      <c r="F669" s="322"/>
      <c r="G669" s="322"/>
      <c r="H669" s="322"/>
      <c r="I669" s="322"/>
      <c r="J669" s="324"/>
      <c r="K669" s="323"/>
      <c r="L669" s="323"/>
      <c r="M669" s="323"/>
    </row>
    <row r="670">
      <c r="A670" s="322"/>
      <c r="B670" s="323"/>
      <c r="C670" s="327" t="s">
        <v>43</v>
      </c>
      <c r="D670" s="322"/>
      <c r="E670" s="322"/>
      <c r="F670" s="322"/>
      <c r="G670" s="322"/>
      <c r="H670" s="322"/>
      <c r="I670" s="322"/>
      <c r="J670" s="324"/>
      <c r="K670" s="323"/>
      <c r="L670" s="323"/>
      <c r="M670" s="323"/>
    </row>
    <row r="671">
      <c r="A671" s="322"/>
      <c r="B671" s="323"/>
      <c r="C671" s="327" t="s">
        <v>43</v>
      </c>
      <c r="D671" s="322"/>
      <c r="E671" s="322"/>
      <c r="F671" s="322"/>
      <c r="G671" s="322"/>
      <c r="H671" s="322"/>
      <c r="I671" s="322"/>
      <c r="J671" s="324"/>
      <c r="K671" s="323"/>
      <c r="L671" s="323"/>
      <c r="M671" s="323"/>
    </row>
    <row r="672">
      <c r="A672" s="322"/>
      <c r="B672" s="323"/>
      <c r="C672" s="226" t="s">
        <v>31</v>
      </c>
      <c r="D672" s="322"/>
      <c r="E672" s="322"/>
      <c r="F672" s="322"/>
      <c r="G672" s="322"/>
      <c r="H672" s="322"/>
      <c r="I672" s="322"/>
      <c r="J672" s="324"/>
      <c r="K672" s="323"/>
      <c r="L672" s="323"/>
      <c r="M672" s="323"/>
    </row>
    <row r="673">
      <c r="A673" s="322"/>
      <c r="B673" s="323"/>
      <c r="C673" s="327" t="s">
        <v>43</v>
      </c>
      <c r="D673" s="322"/>
      <c r="E673" s="322"/>
      <c r="F673" s="322"/>
      <c r="G673" s="322"/>
      <c r="H673" s="322"/>
      <c r="I673" s="322"/>
      <c r="J673" s="324"/>
      <c r="K673" s="323"/>
      <c r="L673" s="323"/>
      <c r="M673" s="323"/>
    </row>
    <row r="674">
      <c r="A674" s="322"/>
      <c r="B674" s="323"/>
      <c r="C674" s="226" t="s">
        <v>31</v>
      </c>
      <c r="D674" s="322"/>
      <c r="E674" s="322"/>
      <c r="F674" s="322"/>
      <c r="G674" s="322"/>
      <c r="H674" s="322"/>
      <c r="I674" s="322"/>
      <c r="J674" s="324"/>
      <c r="K674" s="323"/>
      <c r="L674" s="323"/>
      <c r="M674" s="323"/>
    </row>
    <row r="675">
      <c r="A675" s="322"/>
      <c r="B675" s="323"/>
      <c r="C675" s="226" t="s">
        <v>31</v>
      </c>
      <c r="D675" s="322"/>
      <c r="E675" s="322"/>
      <c r="F675" s="322"/>
      <c r="G675" s="322"/>
      <c r="H675" s="322"/>
      <c r="I675" s="322"/>
      <c r="J675" s="324"/>
      <c r="K675" s="323"/>
      <c r="L675" s="323"/>
      <c r="M675" s="323"/>
    </row>
    <row r="676">
      <c r="A676" s="322"/>
      <c r="B676" s="323"/>
      <c r="C676" s="226" t="s">
        <v>31</v>
      </c>
      <c r="D676" s="322"/>
      <c r="E676" s="322"/>
      <c r="F676" s="322"/>
      <c r="G676" s="322"/>
      <c r="H676" s="322"/>
      <c r="I676" s="322"/>
      <c r="J676" s="324"/>
      <c r="K676" s="323"/>
      <c r="L676" s="323"/>
      <c r="M676" s="323"/>
    </row>
    <row r="677">
      <c r="A677" s="322"/>
      <c r="B677" s="323"/>
      <c r="C677" s="328" t="s">
        <v>31</v>
      </c>
      <c r="D677" s="322"/>
      <c r="E677" s="322"/>
      <c r="F677" s="322"/>
      <c r="G677" s="322"/>
      <c r="H677" s="322"/>
      <c r="I677" s="322"/>
      <c r="J677" s="324"/>
      <c r="K677" s="323"/>
      <c r="L677" s="323"/>
      <c r="M677" s="323"/>
    </row>
    <row r="678">
      <c r="A678" s="322"/>
      <c r="B678" s="323"/>
      <c r="C678" s="226" t="s">
        <v>31</v>
      </c>
      <c r="D678" s="322"/>
      <c r="E678" s="322"/>
      <c r="F678" s="322"/>
      <c r="G678" s="322"/>
      <c r="H678" s="322"/>
      <c r="I678" s="322"/>
      <c r="J678" s="324"/>
      <c r="K678" s="323"/>
      <c r="L678" s="323"/>
      <c r="M678" s="323"/>
    </row>
    <row r="679">
      <c r="A679" s="322"/>
      <c r="B679" s="323"/>
      <c r="C679" s="328" t="s">
        <v>31</v>
      </c>
      <c r="D679" s="322"/>
      <c r="E679" s="322"/>
      <c r="F679" s="322"/>
      <c r="G679" s="322"/>
      <c r="H679" s="322"/>
      <c r="I679" s="322"/>
      <c r="J679" s="324"/>
      <c r="K679" s="323"/>
      <c r="L679" s="323"/>
      <c r="M679" s="323"/>
    </row>
    <row r="680">
      <c r="A680" s="322"/>
      <c r="B680" s="323"/>
      <c r="C680" s="226" t="s">
        <v>31</v>
      </c>
      <c r="D680" s="322"/>
      <c r="E680" s="322"/>
      <c r="F680" s="322"/>
      <c r="G680" s="322"/>
      <c r="H680" s="322"/>
      <c r="I680" s="322"/>
      <c r="J680" s="324"/>
      <c r="K680" s="323"/>
      <c r="L680" s="323"/>
      <c r="M680" s="323"/>
    </row>
    <row r="681">
      <c r="A681" s="322"/>
      <c r="B681" s="323"/>
      <c r="C681" s="226" t="s">
        <v>31</v>
      </c>
      <c r="D681" s="322"/>
      <c r="E681" s="322"/>
      <c r="F681" s="322"/>
      <c r="G681" s="322"/>
      <c r="H681" s="322"/>
      <c r="I681" s="322"/>
      <c r="J681" s="324"/>
      <c r="K681" s="323"/>
      <c r="L681" s="323"/>
      <c r="M681" s="323"/>
    </row>
    <row r="682">
      <c r="A682" s="322"/>
      <c r="B682" s="323"/>
      <c r="C682" s="328" t="s">
        <v>31</v>
      </c>
      <c r="D682" s="322"/>
      <c r="E682" s="322"/>
      <c r="F682" s="322"/>
      <c r="G682" s="322"/>
      <c r="H682" s="322"/>
      <c r="I682" s="322"/>
      <c r="J682" s="324"/>
      <c r="K682" s="323"/>
      <c r="L682" s="323"/>
      <c r="M682" s="323"/>
    </row>
    <row r="683">
      <c r="A683" s="322"/>
      <c r="B683" s="323"/>
      <c r="C683" s="328" t="s">
        <v>31</v>
      </c>
      <c r="D683" s="322"/>
      <c r="E683" s="322"/>
      <c r="F683" s="322"/>
      <c r="G683" s="322"/>
      <c r="H683" s="322"/>
      <c r="I683" s="322"/>
      <c r="J683" s="324"/>
      <c r="K683" s="323"/>
      <c r="L683" s="323"/>
      <c r="M683" s="323"/>
    </row>
    <row r="684">
      <c r="A684" s="322"/>
      <c r="B684" s="323"/>
      <c r="C684" s="328" t="s">
        <v>31</v>
      </c>
      <c r="D684" s="322"/>
      <c r="E684" s="322"/>
      <c r="F684" s="322"/>
      <c r="G684" s="322"/>
      <c r="H684" s="322"/>
      <c r="I684" s="322"/>
      <c r="J684" s="324"/>
      <c r="K684" s="323"/>
      <c r="L684" s="323"/>
      <c r="M684" s="323"/>
    </row>
    <row r="685">
      <c r="A685" s="322"/>
      <c r="B685" s="323"/>
      <c r="C685" s="229" t="s">
        <v>31</v>
      </c>
      <c r="D685" s="322"/>
      <c r="E685" s="322"/>
      <c r="F685" s="322"/>
      <c r="G685" s="322"/>
      <c r="H685" s="322"/>
      <c r="I685" s="322"/>
      <c r="J685" s="324"/>
      <c r="K685" s="323"/>
      <c r="L685" s="323"/>
      <c r="M685" s="323"/>
    </row>
    <row r="686">
      <c r="A686" s="322"/>
      <c r="B686" s="323"/>
      <c r="C686" s="226" t="s">
        <v>31</v>
      </c>
      <c r="D686" s="322"/>
      <c r="E686" s="322"/>
      <c r="F686" s="322"/>
      <c r="G686" s="322"/>
      <c r="H686" s="322"/>
      <c r="I686" s="322"/>
      <c r="J686" s="324"/>
      <c r="K686" s="323"/>
      <c r="L686" s="323"/>
      <c r="M686" s="323"/>
    </row>
    <row r="687">
      <c r="A687" s="322"/>
      <c r="B687" s="323"/>
      <c r="C687" s="327" t="s">
        <v>43</v>
      </c>
      <c r="D687" s="322"/>
      <c r="E687" s="322"/>
      <c r="F687" s="322"/>
      <c r="G687" s="322"/>
      <c r="H687" s="322"/>
      <c r="I687" s="322"/>
      <c r="J687" s="324"/>
      <c r="K687" s="323"/>
      <c r="L687" s="323"/>
      <c r="M687" s="323"/>
    </row>
    <row r="688">
      <c r="A688" s="322"/>
      <c r="B688" s="323"/>
      <c r="C688" s="327" t="s">
        <v>43</v>
      </c>
      <c r="D688" s="322"/>
      <c r="E688" s="322"/>
      <c r="F688" s="322"/>
      <c r="G688" s="322"/>
      <c r="H688" s="322"/>
      <c r="I688" s="322"/>
      <c r="J688" s="324"/>
      <c r="K688" s="323"/>
      <c r="L688" s="323"/>
      <c r="M688" s="323"/>
    </row>
    <row r="689">
      <c r="A689" s="322"/>
      <c r="B689" s="323"/>
      <c r="C689" s="328" t="s">
        <v>31</v>
      </c>
      <c r="D689" s="322"/>
      <c r="E689" s="322"/>
      <c r="F689" s="322"/>
      <c r="G689" s="322"/>
      <c r="H689" s="322"/>
      <c r="I689" s="322"/>
      <c r="J689" s="324"/>
      <c r="K689" s="323"/>
      <c r="L689" s="323"/>
      <c r="M689" s="323"/>
    </row>
    <row r="690">
      <c r="A690" s="322"/>
      <c r="B690" s="323"/>
      <c r="C690" s="328" t="s">
        <v>31</v>
      </c>
      <c r="D690" s="322"/>
      <c r="E690" s="322"/>
      <c r="F690" s="322"/>
      <c r="G690" s="322"/>
      <c r="H690" s="322"/>
      <c r="I690" s="322"/>
      <c r="J690" s="324"/>
      <c r="K690" s="323"/>
      <c r="L690" s="323"/>
      <c r="M690" s="323"/>
    </row>
    <row r="691">
      <c r="A691" s="322"/>
      <c r="B691" s="323"/>
      <c r="C691" s="328" t="s">
        <v>31</v>
      </c>
      <c r="D691" s="322"/>
      <c r="E691" s="322"/>
      <c r="F691" s="322"/>
      <c r="G691" s="322"/>
      <c r="H691" s="322"/>
      <c r="I691" s="322"/>
      <c r="J691" s="324"/>
      <c r="K691" s="323"/>
      <c r="L691" s="323"/>
      <c r="M691" s="323"/>
    </row>
    <row r="692">
      <c r="A692" s="322"/>
      <c r="B692" s="323"/>
      <c r="C692" s="328" t="s">
        <v>31</v>
      </c>
      <c r="D692" s="322"/>
      <c r="E692" s="322"/>
      <c r="F692" s="322"/>
      <c r="G692" s="322"/>
      <c r="H692" s="322"/>
      <c r="I692" s="322"/>
      <c r="J692" s="324"/>
      <c r="K692" s="323"/>
      <c r="L692" s="323"/>
      <c r="M692" s="323"/>
    </row>
    <row r="693">
      <c r="A693" s="322"/>
      <c r="B693" s="323"/>
      <c r="C693" s="328" t="s">
        <v>31</v>
      </c>
      <c r="D693" s="322"/>
      <c r="E693" s="322"/>
      <c r="F693" s="322"/>
      <c r="G693" s="322"/>
      <c r="H693" s="322"/>
      <c r="I693" s="322"/>
      <c r="J693" s="324"/>
      <c r="K693" s="323"/>
      <c r="L693" s="323"/>
      <c r="M693" s="323"/>
    </row>
    <row r="694">
      <c r="A694" s="322"/>
      <c r="B694" s="323"/>
      <c r="C694" s="328" t="s">
        <v>31</v>
      </c>
      <c r="D694" s="322"/>
      <c r="E694" s="322"/>
      <c r="F694" s="322"/>
      <c r="G694" s="322"/>
      <c r="H694" s="322"/>
      <c r="I694" s="322"/>
      <c r="J694" s="324"/>
      <c r="K694" s="323"/>
      <c r="L694" s="323"/>
      <c r="M694" s="323"/>
    </row>
    <row r="695">
      <c r="A695" s="322"/>
      <c r="B695" s="323"/>
      <c r="C695" s="229" t="s">
        <v>31</v>
      </c>
      <c r="D695" s="322"/>
      <c r="E695" s="322"/>
      <c r="F695" s="322"/>
      <c r="G695" s="322"/>
      <c r="H695" s="322"/>
      <c r="I695" s="322"/>
      <c r="J695" s="324"/>
      <c r="K695" s="323"/>
      <c r="L695" s="323"/>
      <c r="M695" s="323"/>
    </row>
    <row r="696">
      <c r="A696" s="322"/>
      <c r="B696" s="323"/>
      <c r="C696" s="328" t="s">
        <v>31</v>
      </c>
      <c r="D696" s="322"/>
      <c r="E696" s="322"/>
      <c r="F696" s="322"/>
      <c r="G696" s="322"/>
      <c r="H696" s="322"/>
      <c r="I696" s="322"/>
      <c r="J696" s="324"/>
      <c r="K696" s="323"/>
      <c r="L696" s="323"/>
      <c r="M696" s="323"/>
    </row>
    <row r="697">
      <c r="A697" s="322"/>
      <c r="B697" s="323"/>
      <c r="C697" s="328" t="s">
        <v>31</v>
      </c>
      <c r="D697" s="322"/>
      <c r="E697" s="322"/>
      <c r="F697" s="322"/>
      <c r="G697" s="322"/>
      <c r="H697" s="322"/>
      <c r="I697" s="322"/>
      <c r="J697" s="324"/>
      <c r="K697" s="323"/>
      <c r="L697" s="323"/>
      <c r="M697" s="323"/>
    </row>
    <row r="698">
      <c r="A698" s="322"/>
      <c r="B698" s="323"/>
      <c r="C698" s="226" t="s">
        <v>31</v>
      </c>
      <c r="D698" s="322"/>
      <c r="E698" s="322"/>
      <c r="F698" s="322"/>
      <c r="G698" s="322"/>
      <c r="H698" s="322"/>
      <c r="I698" s="322"/>
      <c r="J698" s="324"/>
      <c r="K698" s="323"/>
      <c r="L698" s="323"/>
      <c r="M698" s="323"/>
    </row>
    <row r="699">
      <c r="A699" s="322"/>
      <c r="B699" s="323"/>
      <c r="C699" s="226" t="s">
        <v>31</v>
      </c>
      <c r="D699" s="322"/>
      <c r="E699" s="322"/>
      <c r="F699" s="322"/>
      <c r="G699" s="322"/>
      <c r="H699" s="322"/>
      <c r="I699" s="322"/>
      <c r="J699" s="324"/>
      <c r="K699" s="323"/>
      <c r="L699" s="323"/>
      <c r="M699" s="323"/>
    </row>
    <row r="700">
      <c r="A700" s="322"/>
      <c r="B700" s="323"/>
      <c r="C700" s="327" t="s">
        <v>43</v>
      </c>
      <c r="D700" s="322"/>
      <c r="E700" s="322"/>
      <c r="F700" s="322"/>
      <c r="G700" s="322"/>
      <c r="H700" s="322"/>
      <c r="I700" s="322"/>
      <c r="J700" s="324"/>
      <c r="K700" s="323"/>
      <c r="L700" s="323"/>
      <c r="M700" s="323"/>
    </row>
    <row r="701">
      <c r="A701" s="322"/>
      <c r="B701" s="323"/>
      <c r="C701" s="327" t="s">
        <v>43</v>
      </c>
      <c r="D701" s="322"/>
      <c r="E701" s="322"/>
      <c r="F701" s="322"/>
      <c r="G701" s="322"/>
      <c r="H701" s="322"/>
      <c r="I701" s="322"/>
      <c r="J701" s="324"/>
      <c r="K701" s="323"/>
      <c r="L701" s="323"/>
      <c r="M701" s="323"/>
    </row>
    <row r="702">
      <c r="A702" s="322"/>
      <c r="B702" s="323"/>
      <c r="C702" s="226" t="s">
        <v>31</v>
      </c>
      <c r="D702" s="322"/>
      <c r="E702" s="322"/>
      <c r="F702" s="322"/>
      <c r="G702" s="322"/>
      <c r="H702" s="322"/>
      <c r="I702" s="322"/>
      <c r="J702" s="324"/>
      <c r="K702" s="323"/>
      <c r="L702" s="323"/>
      <c r="M702" s="323"/>
    </row>
    <row r="703">
      <c r="A703" s="322"/>
      <c r="B703" s="323"/>
      <c r="C703" s="226" t="s">
        <v>31</v>
      </c>
      <c r="D703" s="322"/>
      <c r="E703" s="322"/>
      <c r="F703" s="322"/>
      <c r="G703" s="322"/>
      <c r="H703" s="322"/>
      <c r="I703" s="322"/>
      <c r="J703" s="324"/>
      <c r="K703" s="323"/>
      <c r="L703" s="323"/>
      <c r="M703" s="323"/>
    </row>
    <row r="704">
      <c r="A704" s="322"/>
      <c r="B704" s="323"/>
      <c r="C704" s="226" t="s">
        <v>31</v>
      </c>
      <c r="D704" s="322"/>
      <c r="E704" s="322"/>
      <c r="F704" s="322"/>
      <c r="G704" s="322"/>
      <c r="H704" s="322"/>
      <c r="I704" s="322"/>
      <c r="J704" s="324"/>
      <c r="K704" s="323"/>
      <c r="L704" s="323"/>
      <c r="M704" s="323"/>
    </row>
    <row r="705">
      <c r="A705" s="322"/>
      <c r="B705" s="323"/>
      <c r="C705" s="226" t="s">
        <v>31</v>
      </c>
      <c r="D705" s="322"/>
      <c r="E705" s="322"/>
      <c r="F705" s="322"/>
      <c r="G705" s="322"/>
      <c r="H705" s="322"/>
      <c r="I705" s="322"/>
      <c r="J705" s="324"/>
      <c r="K705" s="323"/>
      <c r="L705" s="323"/>
      <c r="M705" s="323"/>
    </row>
    <row r="706">
      <c r="A706" s="322"/>
      <c r="B706" s="323"/>
      <c r="C706" s="226" t="s">
        <v>31</v>
      </c>
      <c r="D706" s="322"/>
      <c r="E706" s="322"/>
      <c r="F706" s="322"/>
      <c r="G706" s="322"/>
      <c r="H706" s="322"/>
      <c r="I706" s="322"/>
      <c r="J706" s="324"/>
      <c r="K706" s="323"/>
      <c r="L706" s="323"/>
      <c r="M706" s="323"/>
    </row>
    <row r="707">
      <c r="A707" s="322"/>
      <c r="B707" s="323"/>
      <c r="C707" s="328" t="s">
        <v>31</v>
      </c>
      <c r="D707" s="322"/>
      <c r="E707" s="322"/>
      <c r="F707" s="322"/>
      <c r="G707" s="322"/>
      <c r="H707" s="322"/>
      <c r="I707" s="322"/>
      <c r="J707" s="324"/>
      <c r="K707" s="323"/>
      <c r="L707" s="323"/>
      <c r="M707" s="323"/>
    </row>
    <row r="708">
      <c r="A708" s="322"/>
      <c r="B708" s="323"/>
      <c r="C708" s="327" t="s">
        <v>43</v>
      </c>
      <c r="D708" s="322"/>
      <c r="E708" s="322"/>
      <c r="F708" s="322"/>
      <c r="G708" s="322"/>
      <c r="H708" s="322"/>
      <c r="I708" s="322"/>
      <c r="J708" s="324"/>
      <c r="K708" s="323"/>
      <c r="L708" s="323"/>
      <c r="M708" s="323"/>
    </row>
    <row r="709">
      <c r="A709" s="322"/>
      <c r="B709" s="323"/>
      <c r="C709" s="327" t="s">
        <v>43</v>
      </c>
      <c r="D709" s="322"/>
      <c r="E709" s="322"/>
      <c r="F709" s="322"/>
      <c r="G709" s="322"/>
      <c r="H709" s="322"/>
      <c r="I709" s="322"/>
      <c r="J709" s="324"/>
      <c r="K709" s="323"/>
      <c r="L709" s="323"/>
      <c r="M709" s="323"/>
    </row>
    <row r="710">
      <c r="A710" s="322"/>
      <c r="B710" s="323"/>
      <c r="C710" s="327" t="s">
        <v>43</v>
      </c>
      <c r="D710" s="322"/>
      <c r="E710" s="322"/>
      <c r="F710" s="322"/>
      <c r="G710" s="322"/>
      <c r="H710" s="322"/>
      <c r="I710" s="322"/>
      <c r="J710" s="324"/>
      <c r="K710" s="323"/>
      <c r="L710" s="323"/>
      <c r="M710" s="323"/>
    </row>
    <row r="711">
      <c r="A711" s="322"/>
      <c r="B711" s="323"/>
      <c r="C711" s="226" t="s">
        <v>31</v>
      </c>
      <c r="D711" s="322"/>
      <c r="E711" s="322"/>
      <c r="F711" s="322"/>
      <c r="G711" s="322"/>
      <c r="H711" s="322"/>
      <c r="I711" s="322"/>
      <c r="J711" s="324"/>
      <c r="K711" s="323"/>
      <c r="L711" s="323"/>
      <c r="M711" s="323"/>
    </row>
    <row r="712">
      <c r="A712" s="322"/>
      <c r="B712" s="323"/>
      <c r="C712" s="226" t="s">
        <v>31</v>
      </c>
      <c r="D712" s="322"/>
      <c r="E712" s="322"/>
      <c r="F712" s="322"/>
      <c r="G712" s="322"/>
      <c r="H712" s="322"/>
      <c r="I712" s="322"/>
      <c r="J712" s="324"/>
      <c r="K712" s="323"/>
      <c r="L712" s="323"/>
      <c r="M712" s="323"/>
    </row>
    <row r="713">
      <c r="A713" s="322"/>
      <c r="B713" s="323"/>
      <c r="C713" s="226" t="s">
        <v>31</v>
      </c>
      <c r="D713" s="322"/>
      <c r="E713" s="322"/>
      <c r="F713" s="322"/>
      <c r="G713" s="322"/>
      <c r="H713" s="322"/>
      <c r="I713" s="322"/>
      <c r="J713" s="324"/>
      <c r="K713" s="323"/>
      <c r="L713" s="323"/>
      <c r="M713" s="323"/>
    </row>
    <row r="714">
      <c r="A714" s="322"/>
      <c r="B714" s="323"/>
      <c r="C714" s="226" t="s">
        <v>31</v>
      </c>
      <c r="D714" s="322"/>
      <c r="E714" s="322"/>
      <c r="F714" s="322"/>
      <c r="G714" s="322"/>
      <c r="H714" s="322"/>
      <c r="I714" s="322"/>
      <c r="J714" s="324"/>
      <c r="K714" s="323"/>
      <c r="L714" s="323"/>
      <c r="M714" s="323"/>
    </row>
    <row r="715">
      <c r="A715" s="322"/>
      <c r="B715" s="323"/>
      <c r="C715" s="226" t="s">
        <v>31</v>
      </c>
      <c r="D715" s="322"/>
      <c r="E715" s="322"/>
      <c r="F715" s="322"/>
      <c r="G715" s="322"/>
      <c r="H715" s="322"/>
      <c r="I715" s="322"/>
      <c r="J715" s="324"/>
      <c r="K715" s="323"/>
      <c r="L715" s="323"/>
      <c r="M715" s="323"/>
    </row>
    <row r="716">
      <c r="A716" s="322"/>
      <c r="B716" s="323"/>
      <c r="C716" s="226" t="s">
        <v>31</v>
      </c>
      <c r="D716" s="322"/>
      <c r="E716" s="322"/>
      <c r="F716" s="322"/>
      <c r="G716" s="322"/>
      <c r="H716" s="322"/>
      <c r="I716" s="322"/>
      <c r="J716" s="324"/>
      <c r="K716" s="323"/>
      <c r="L716" s="323"/>
      <c r="M716" s="323"/>
    </row>
    <row r="717">
      <c r="A717" s="322"/>
      <c r="B717" s="323"/>
      <c r="C717" s="226" t="s">
        <v>31</v>
      </c>
      <c r="D717" s="322"/>
      <c r="E717" s="322"/>
      <c r="F717" s="322"/>
      <c r="G717" s="322"/>
      <c r="H717" s="322"/>
      <c r="I717" s="322"/>
      <c r="J717" s="324"/>
      <c r="K717" s="323"/>
      <c r="L717" s="323"/>
      <c r="M717" s="323"/>
    </row>
    <row r="718">
      <c r="A718" s="322"/>
      <c r="B718" s="323"/>
      <c r="C718" s="226" t="s">
        <v>31</v>
      </c>
      <c r="D718" s="322"/>
      <c r="E718" s="322"/>
      <c r="F718" s="322"/>
      <c r="G718" s="322"/>
      <c r="H718" s="322"/>
      <c r="I718" s="322"/>
      <c r="J718" s="324"/>
      <c r="K718" s="323"/>
      <c r="L718" s="323"/>
      <c r="M718" s="323"/>
    </row>
    <row r="719">
      <c r="A719" s="322"/>
      <c r="B719" s="323"/>
      <c r="C719" s="226" t="s">
        <v>31</v>
      </c>
      <c r="D719" s="322"/>
      <c r="E719" s="322"/>
      <c r="F719" s="322"/>
      <c r="G719" s="322"/>
      <c r="H719" s="322"/>
      <c r="I719" s="322"/>
      <c r="J719" s="324"/>
      <c r="K719" s="323"/>
      <c r="L719" s="323"/>
      <c r="M719" s="323"/>
    </row>
    <row r="720">
      <c r="A720" s="322"/>
      <c r="B720" s="323"/>
      <c r="C720" s="226" t="s">
        <v>31</v>
      </c>
      <c r="D720" s="322"/>
      <c r="E720" s="322"/>
      <c r="F720" s="322"/>
      <c r="G720" s="322"/>
      <c r="H720" s="322"/>
      <c r="I720" s="322"/>
      <c r="J720" s="324"/>
      <c r="K720" s="323"/>
      <c r="L720" s="323"/>
      <c r="M720" s="323"/>
    </row>
    <row r="721">
      <c r="A721" s="322"/>
      <c r="B721" s="323"/>
      <c r="C721" s="226" t="s">
        <v>31</v>
      </c>
      <c r="D721" s="322"/>
      <c r="E721" s="322"/>
      <c r="F721" s="322"/>
      <c r="G721" s="322"/>
      <c r="H721" s="322"/>
      <c r="I721" s="322"/>
      <c r="J721" s="324"/>
      <c r="K721" s="323"/>
      <c r="L721" s="323"/>
      <c r="M721" s="323"/>
    </row>
    <row r="722">
      <c r="A722" s="322"/>
      <c r="B722" s="323"/>
      <c r="C722" s="226" t="s">
        <v>31</v>
      </c>
      <c r="D722" s="322"/>
      <c r="E722" s="322"/>
      <c r="F722" s="322"/>
      <c r="G722" s="322"/>
      <c r="H722" s="322"/>
      <c r="I722" s="322"/>
      <c r="J722" s="324"/>
      <c r="K722" s="323"/>
      <c r="L722" s="323"/>
      <c r="M722" s="323"/>
    </row>
    <row r="723">
      <c r="A723" s="322"/>
      <c r="B723" s="323"/>
      <c r="C723" s="226" t="s">
        <v>31</v>
      </c>
      <c r="D723" s="322"/>
      <c r="E723" s="322"/>
      <c r="F723" s="322"/>
      <c r="G723" s="322"/>
      <c r="H723" s="322"/>
      <c r="I723" s="322"/>
      <c r="J723" s="324"/>
      <c r="K723" s="323"/>
      <c r="L723" s="323"/>
      <c r="M723" s="323"/>
    </row>
    <row r="724">
      <c r="A724" s="322"/>
      <c r="B724" s="323"/>
      <c r="C724" s="327" t="s">
        <v>43</v>
      </c>
      <c r="D724" s="322"/>
      <c r="E724" s="322"/>
      <c r="F724" s="322"/>
      <c r="G724" s="322"/>
      <c r="H724" s="322"/>
      <c r="I724" s="322"/>
      <c r="J724" s="324"/>
      <c r="K724" s="323"/>
      <c r="L724" s="323"/>
      <c r="M724" s="323"/>
    </row>
    <row r="725">
      <c r="A725" s="322"/>
      <c r="B725" s="323"/>
      <c r="C725" s="327" t="s">
        <v>43</v>
      </c>
      <c r="D725" s="322"/>
      <c r="E725" s="322"/>
      <c r="F725" s="322"/>
      <c r="G725" s="322"/>
      <c r="H725" s="322"/>
      <c r="I725" s="322"/>
      <c r="J725" s="324"/>
      <c r="K725" s="323"/>
      <c r="L725" s="323"/>
      <c r="M725" s="323"/>
    </row>
    <row r="726">
      <c r="A726" s="322"/>
      <c r="B726" s="323"/>
      <c r="C726" s="226" t="s">
        <v>31</v>
      </c>
      <c r="D726" s="322"/>
      <c r="E726" s="322"/>
      <c r="F726" s="322"/>
      <c r="G726" s="322"/>
      <c r="H726" s="322"/>
      <c r="I726" s="322"/>
      <c r="J726" s="324"/>
      <c r="K726" s="323"/>
      <c r="L726" s="323"/>
      <c r="M726" s="323"/>
    </row>
    <row r="727">
      <c r="A727" s="322"/>
      <c r="B727" s="323"/>
      <c r="C727" s="226" t="s">
        <v>31</v>
      </c>
      <c r="D727" s="322"/>
      <c r="E727" s="322"/>
      <c r="F727" s="322"/>
      <c r="G727" s="322"/>
      <c r="H727" s="322"/>
      <c r="I727" s="322"/>
      <c r="J727" s="324"/>
      <c r="K727" s="323"/>
      <c r="L727" s="323"/>
      <c r="M727" s="323"/>
    </row>
    <row r="728">
      <c r="A728" s="322"/>
      <c r="B728" s="323"/>
      <c r="C728" s="328" t="s">
        <v>31</v>
      </c>
      <c r="D728" s="322"/>
      <c r="E728" s="322"/>
      <c r="F728" s="322"/>
      <c r="G728" s="322"/>
      <c r="H728" s="322"/>
      <c r="I728" s="322"/>
      <c r="J728" s="324"/>
      <c r="K728" s="323"/>
      <c r="L728" s="323"/>
      <c r="M728" s="323"/>
    </row>
    <row r="729">
      <c r="A729" s="322"/>
      <c r="B729" s="323"/>
      <c r="C729" s="328" t="s">
        <v>31</v>
      </c>
      <c r="D729" s="322"/>
      <c r="E729" s="322"/>
      <c r="F729" s="322"/>
      <c r="G729" s="322"/>
      <c r="H729" s="322"/>
      <c r="I729" s="322"/>
      <c r="J729" s="324"/>
      <c r="K729" s="323"/>
      <c r="L729" s="323"/>
      <c r="M729" s="323"/>
    </row>
    <row r="730">
      <c r="A730" s="322"/>
      <c r="B730" s="323"/>
      <c r="C730" s="226" t="s">
        <v>31</v>
      </c>
      <c r="D730" s="322"/>
      <c r="E730" s="322"/>
      <c r="F730" s="322"/>
      <c r="G730" s="322"/>
      <c r="H730" s="322"/>
      <c r="I730" s="322"/>
      <c r="J730" s="324"/>
      <c r="K730" s="323"/>
      <c r="L730" s="323"/>
      <c r="M730" s="323"/>
    </row>
    <row r="731">
      <c r="A731" s="322"/>
      <c r="B731" s="323"/>
      <c r="C731" s="328" t="s">
        <v>31</v>
      </c>
      <c r="D731" s="322"/>
      <c r="E731" s="322"/>
      <c r="F731" s="322"/>
      <c r="G731" s="322"/>
      <c r="H731" s="322"/>
      <c r="I731" s="322"/>
      <c r="J731" s="324"/>
      <c r="K731" s="323"/>
      <c r="L731" s="323"/>
      <c r="M731" s="323"/>
    </row>
    <row r="732">
      <c r="A732" s="322"/>
      <c r="B732" s="323"/>
      <c r="C732" s="328" t="s">
        <v>31</v>
      </c>
      <c r="D732" s="322"/>
      <c r="E732" s="322"/>
      <c r="F732" s="322"/>
      <c r="G732" s="322"/>
      <c r="H732" s="322"/>
      <c r="I732" s="322"/>
      <c r="J732" s="324"/>
      <c r="K732" s="323"/>
      <c r="L732" s="323"/>
      <c r="M732" s="323"/>
    </row>
    <row r="733">
      <c r="A733" s="322"/>
      <c r="B733" s="323"/>
      <c r="C733" s="226" t="s">
        <v>31</v>
      </c>
      <c r="D733" s="322"/>
      <c r="E733" s="322"/>
      <c r="F733" s="322"/>
      <c r="G733" s="322"/>
      <c r="H733" s="322"/>
      <c r="I733" s="322"/>
      <c r="J733" s="324"/>
      <c r="K733" s="323"/>
      <c r="L733" s="323"/>
      <c r="M733" s="323"/>
    </row>
    <row r="734">
      <c r="A734" s="322"/>
      <c r="B734" s="323"/>
      <c r="C734" s="226" t="s">
        <v>31</v>
      </c>
      <c r="D734" s="322"/>
      <c r="E734" s="322"/>
      <c r="F734" s="322"/>
      <c r="G734" s="322"/>
      <c r="H734" s="322"/>
      <c r="I734" s="322"/>
      <c r="J734" s="324"/>
      <c r="K734" s="323"/>
      <c r="L734" s="323"/>
      <c r="M734" s="323"/>
    </row>
    <row r="735">
      <c r="A735" s="322"/>
      <c r="B735" s="323"/>
      <c r="C735" s="226" t="s">
        <v>31</v>
      </c>
      <c r="D735" s="322"/>
      <c r="E735" s="322"/>
      <c r="F735" s="322"/>
      <c r="G735" s="322"/>
      <c r="H735" s="322"/>
      <c r="I735" s="322"/>
      <c r="J735" s="324"/>
      <c r="K735" s="323"/>
      <c r="L735" s="323"/>
      <c r="M735" s="323"/>
    </row>
    <row r="736">
      <c r="A736" s="322"/>
      <c r="B736" s="323"/>
      <c r="C736" s="328" t="s">
        <v>31</v>
      </c>
      <c r="D736" s="322"/>
      <c r="E736" s="322"/>
      <c r="F736" s="322"/>
      <c r="G736" s="322"/>
      <c r="H736" s="322"/>
      <c r="I736" s="322"/>
      <c r="J736" s="324"/>
      <c r="K736" s="323"/>
      <c r="L736" s="323"/>
      <c r="M736" s="323"/>
    </row>
    <row r="737">
      <c r="A737" s="322"/>
      <c r="B737" s="323"/>
      <c r="C737" s="328" t="s">
        <v>31</v>
      </c>
      <c r="D737" s="322"/>
      <c r="E737" s="322"/>
      <c r="F737" s="322"/>
      <c r="G737" s="322"/>
      <c r="H737" s="322"/>
      <c r="I737" s="322"/>
      <c r="J737" s="324"/>
      <c r="K737" s="323"/>
      <c r="L737" s="323"/>
      <c r="M737" s="323"/>
    </row>
    <row r="738">
      <c r="A738" s="322"/>
      <c r="B738" s="323"/>
      <c r="C738" s="226" t="s">
        <v>31</v>
      </c>
      <c r="D738" s="322"/>
      <c r="E738" s="322"/>
      <c r="F738" s="322"/>
      <c r="G738" s="322"/>
      <c r="H738" s="322"/>
      <c r="I738" s="322"/>
      <c r="J738" s="324"/>
      <c r="K738" s="323"/>
      <c r="L738" s="323"/>
      <c r="M738" s="323"/>
    </row>
    <row r="739">
      <c r="A739" s="322"/>
      <c r="B739" s="323"/>
      <c r="C739" s="328" t="s">
        <v>31</v>
      </c>
      <c r="D739" s="322"/>
      <c r="E739" s="322"/>
      <c r="F739" s="322"/>
      <c r="G739" s="322"/>
      <c r="H739" s="322"/>
      <c r="I739" s="322"/>
      <c r="J739" s="324"/>
      <c r="K739" s="323"/>
      <c r="L739" s="323"/>
      <c r="M739" s="323"/>
    </row>
    <row r="740">
      <c r="A740" s="322"/>
      <c r="B740" s="323"/>
      <c r="C740" s="226" t="s">
        <v>31</v>
      </c>
      <c r="D740" s="322"/>
      <c r="E740" s="322"/>
      <c r="F740" s="322"/>
      <c r="G740" s="322"/>
      <c r="H740" s="322"/>
      <c r="I740" s="322"/>
      <c r="J740" s="324"/>
      <c r="K740" s="323"/>
      <c r="L740" s="323"/>
      <c r="M740" s="323"/>
    </row>
    <row r="741">
      <c r="A741" s="322"/>
      <c r="B741" s="323"/>
      <c r="C741" s="327" t="s">
        <v>43</v>
      </c>
      <c r="D741" s="322"/>
      <c r="E741" s="322"/>
      <c r="F741" s="322"/>
      <c r="G741" s="322"/>
      <c r="H741" s="322"/>
      <c r="I741" s="322"/>
      <c r="J741" s="324"/>
      <c r="K741" s="323"/>
      <c r="L741" s="323"/>
      <c r="M741" s="323"/>
    </row>
    <row r="742">
      <c r="A742" s="322"/>
      <c r="B742" s="323"/>
      <c r="C742" s="327" t="s">
        <v>43</v>
      </c>
      <c r="D742" s="322"/>
      <c r="E742" s="322"/>
      <c r="F742" s="322"/>
      <c r="G742" s="322"/>
      <c r="H742" s="322"/>
      <c r="I742" s="322"/>
      <c r="J742" s="324"/>
      <c r="K742" s="323"/>
      <c r="L742" s="323"/>
      <c r="M742" s="323"/>
    </row>
    <row r="743">
      <c r="A743" s="322"/>
      <c r="B743" s="323"/>
      <c r="C743" s="226" t="s">
        <v>31</v>
      </c>
      <c r="D743" s="322"/>
      <c r="E743" s="322"/>
      <c r="F743" s="322"/>
      <c r="G743" s="322"/>
      <c r="H743" s="322"/>
      <c r="I743" s="322"/>
      <c r="J743" s="324"/>
      <c r="K743" s="323"/>
      <c r="L743" s="323"/>
      <c r="M743" s="323"/>
    </row>
    <row r="744">
      <c r="A744" s="322"/>
      <c r="B744" s="323"/>
      <c r="C744" s="328" t="s">
        <v>31</v>
      </c>
      <c r="D744" s="322"/>
      <c r="E744" s="322"/>
      <c r="F744" s="322"/>
      <c r="G744" s="322"/>
      <c r="H744" s="322"/>
      <c r="I744" s="322"/>
      <c r="J744" s="324"/>
      <c r="K744" s="323"/>
      <c r="L744" s="323"/>
      <c r="M744" s="323"/>
    </row>
    <row r="745">
      <c r="A745" s="322"/>
      <c r="B745" s="323"/>
      <c r="C745" s="328" t="s">
        <v>31</v>
      </c>
      <c r="D745" s="322"/>
      <c r="E745" s="322"/>
      <c r="F745" s="322"/>
      <c r="G745" s="322"/>
      <c r="H745" s="322"/>
      <c r="I745" s="322"/>
      <c r="J745" s="324"/>
      <c r="K745" s="323"/>
      <c r="L745" s="323"/>
      <c r="M745" s="323"/>
    </row>
    <row r="746">
      <c r="A746" s="322"/>
      <c r="B746" s="323"/>
      <c r="C746" s="328" t="s">
        <v>31</v>
      </c>
      <c r="D746" s="322"/>
      <c r="E746" s="322"/>
      <c r="F746" s="322"/>
      <c r="G746" s="322"/>
      <c r="H746" s="322"/>
      <c r="I746" s="322"/>
      <c r="J746" s="324"/>
      <c r="K746" s="323"/>
      <c r="L746" s="323"/>
      <c r="M746" s="323"/>
    </row>
    <row r="747">
      <c r="A747" s="322"/>
      <c r="B747" s="323"/>
      <c r="C747" s="327" t="s">
        <v>43</v>
      </c>
      <c r="D747" s="322"/>
      <c r="E747" s="322"/>
      <c r="F747" s="322"/>
      <c r="G747" s="322"/>
      <c r="H747" s="322"/>
      <c r="I747" s="322"/>
      <c r="J747" s="324"/>
      <c r="K747" s="323"/>
      <c r="L747" s="323"/>
      <c r="M747" s="323"/>
    </row>
    <row r="748">
      <c r="A748" s="322"/>
      <c r="B748" s="323"/>
      <c r="C748" s="327" t="s">
        <v>43</v>
      </c>
      <c r="D748" s="322"/>
      <c r="E748" s="322"/>
      <c r="F748" s="322"/>
      <c r="G748" s="322"/>
      <c r="H748" s="322"/>
      <c r="I748" s="322"/>
      <c r="J748" s="324"/>
      <c r="K748" s="323"/>
      <c r="L748" s="323"/>
      <c r="M748" s="323"/>
    </row>
    <row r="749">
      <c r="A749" s="322"/>
      <c r="B749" s="323"/>
      <c r="C749" s="226" t="s">
        <v>31</v>
      </c>
      <c r="D749" s="322"/>
      <c r="E749" s="322"/>
      <c r="F749" s="322"/>
      <c r="G749" s="322"/>
      <c r="H749" s="322"/>
      <c r="I749" s="322"/>
      <c r="J749" s="324"/>
      <c r="K749" s="323"/>
      <c r="L749" s="323"/>
      <c r="M749" s="323"/>
    </row>
    <row r="750">
      <c r="A750" s="322"/>
      <c r="B750" s="323"/>
      <c r="C750" s="226" t="s">
        <v>31</v>
      </c>
      <c r="D750" s="322"/>
      <c r="E750" s="322"/>
      <c r="F750" s="322"/>
      <c r="G750" s="322"/>
      <c r="H750" s="322"/>
      <c r="I750" s="322"/>
      <c r="J750" s="324"/>
      <c r="K750" s="323"/>
      <c r="L750" s="323"/>
      <c r="M750" s="323"/>
    </row>
    <row r="751">
      <c r="A751" s="322"/>
      <c r="B751" s="323"/>
      <c r="C751" s="226" t="s">
        <v>31</v>
      </c>
      <c r="D751" s="322"/>
      <c r="E751" s="322"/>
      <c r="F751" s="322"/>
      <c r="G751" s="322"/>
      <c r="H751" s="322"/>
      <c r="I751" s="322"/>
      <c r="J751" s="324"/>
      <c r="K751" s="323"/>
      <c r="L751" s="323"/>
      <c r="M751" s="323"/>
    </row>
    <row r="752">
      <c r="A752" s="322"/>
      <c r="B752" s="323"/>
      <c r="C752" s="226" t="s">
        <v>31</v>
      </c>
      <c r="D752" s="322"/>
      <c r="E752" s="322"/>
      <c r="F752" s="322"/>
      <c r="G752" s="322"/>
      <c r="H752" s="322"/>
      <c r="I752" s="322"/>
      <c r="J752" s="324"/>
      <c r="K752" s="323"/>
      <c r="L752" s="323"/>
      <c r="M752" s="323"/>
    </row>
    <row r="753">
      <c r="A753" s="322"/>
      <c r="B753" s="323"/>
      <c r="C753" s="328" t="s">
        <v>31</v>
      </c>
      <c r="D753" s="322"/>
      <c r="E753" s="322"/>
      <c r="F753" s="322"/>
      <c r="G753" s="322"/>
      <c r="H753" s="322"/>
      <c r="I753" s="322"/>
      <c r="J753" s="324"/>
      <c r="K753" s="323"/>
      <c r="L753" s="323"/>
      <c r="M753" s="323"/>
    </row>
    <row r="754">
      <c r="A754" s="322"/>
      <c r="B754" s="323"/>
      <c r="C754" s="327" t="s">
        <v>43</v>
      </c>
      <c r="D754" s="322"/>
      <c r="E754" s="322"/>
      <c r="F754" s="322"/>
      <c r="G754" s="322"/>
      <c r="H754" s="322"/>
      <c r="I754" s="322"/>
      <c r="J754" s="324"/>
      <c r="K754" s="323"/>
      <c r="L754" s="323"/>
      <c r="M754" s="323"/>
    </row>
    <row r="755">
      <c r="A755" s="322"/>
      <c r="B755" s="323"/>
      <c r="C755" s="327" t="s">
        <v>43</v>
      </c>
      <c r="D755" s="322"/>
      <c r="E755" s="322"/>
      <c r="F755" s="322"/>
      <c r="G755" s="322"/>
      <c r="H755" s="322"/>
      <c r="I755" s="322"/>
      <c r="J755" s="324"/>
      <c r="K755" s="323"/>
      <c r="L755" s="323"/>
      <c r="M755" s="323"/>
    </row>
    <row r="756">
      <c r="A756" s="322"/>
      <c r="B756" s="323"/>
      <c r="C756" s="328" t="s">
        <v>31</v>
      </c>
      <c r="D756" s="322"/>
      <c r="E756" s="322"/>
      <c r="F756" s="322"/>
      <c r="G756" s="322"/>
      <c r="H756" s="322"/>
      <c r="I756" s="322"/>
      <c r="J756" s="324"/>
      <c r="K756" s="323"/>
      <c r="L756" s="323"/>
      <c r="M756" s="323"/>
    </row>
    <row r="757">
      <c r="A757" s="322"/>
      <c r="B757" s="323"/>
      <c r="C757" s="328" t="s">
        <v>31</v>
      </c>
      <c r="D757" s="322"/>
      <c r="E757" s="322"/>
      <c r="F757" s="322"/>
      <c r="G757" s="322"/>
      <c r="H757" s="322"/>
      <c r="I757" s="322"/>
      <c r="J757" s="324"/>
      <c r="K757" s="323"/>
      <c r="L757" s="323"/>
      <c r="M757" s="323"/>
    </row>
    <row r="758">
      <c r="A758" s="322"/>
      <c r="B758" s="323"/>
      <c r="C758" s="328" t="s">
        <v>31</v>
      </c>
      <c r="D758" s="322"/>
      <c r="E758" s="322"/>
      <c r="F758" s="322"/>
      <c r="G758" s="322"/>
      <c r="H758" s="322"/>
      <c r="I758" s="322"/>
      <c r="J758" s="324"/>
      <c r="K758" s="323"/>
      <c r="L758" s="323"/>
      <c r="M758" s="323"/>
    </row>
    <row r="759">
      <c r="A759" s="322"/>
      <c r="B759" s="323"/>
      <c r="C759" s="328" t="s">
        <v>31</v>
      </c>
      <c r="D759" s="322"/>
      <c r="E759" s="322"/>
      <c r="F759" s="322"/>
      <c r="G759" s="322"/>
      <c r="H759" s="322"/>
      <c r="I759" s="322"/>
      <c r="J759" s="324"/>
      <c r="K759" s="323"/>
      <c r="L759" s="323"/>
      <c r="M759" s="323"/>
    </row>
    <row r="760">
      <c r="A760" s="322"/>
      <c r="B760" s="323"/>
      <c r="C760" s="327" t="s">
        <v>43</v>
      </c>
      <c r="D760" s="322"/>
      <c r="E760" s="322"/>
      <c r="F760" s="322"/>
      <c r="G760" s="322"/>
      <c r="H760" s="322"/>
      <c r="I760" s="322"/>
      <c r="J760" s="324"/>
      <c r="K760" s="323"/>
      <c r="L760" s="323"/>
      <c r="M760" s="323"/>
    </row>
    <row r="761">
      <c r="A761" s="322"/>
      <c r="B761" s="323"/>
      <c r="C761" s="327" t="s">
        <v>43</v>
      </c>
      <c r="D761" s="322"/>
      <c r="E761" s="322"/>
      <c r="F761" s="322"/>
      <c r="G761" s="322"/>
      <c r="H761" s="322"/>
      <c r="I761" s="322"/>
      <c r="J761" s="324"/>
      <c r="K761" s="323"/>
      <c r="L761" s="323"/>
      <c r="M761" s="323"/>
    </row>
    <row r="762">
      <c r="A762" s="322"/>
      <c r="B762" s="323"/>
      <c r="C762" s="327" t="s">
        <v>43</v>
      </c>
      <c r="D762" s="322"/>
      <c r="E762" s="322"/>
      <c r="F762" s="322"/>
      <c r="G762" s="322"/>
      <c r="H762" s="322"/>
      <c r="I762" s="322"/>
      <c r="J762" s="324"/>
      <c r="K762" s="323"/>
      <c r="L762" s="323"/>
      <c r="M762" s="323"/>
    </row>
    <row r="763">
      <c r="A763" s="322"/>
      <c r="B763" s="323"/>
      <c r="C763" s="327" t="s">
        <v>43</v>
      </c>
      <c r="D763" s="322"/>
      <c r="E763" s="322"/>
      <c r="F763" s="322"/>
      <c r="G763" s="322"/>
      <c r="H763" s="322"/>
      <c r="I763" s="322"/>
      <c r="J763" s="324"/>
      <c r="K763" s="323"/>
      <c r="L763" s="323"/>
      <c r="M763" s="323"/>
    </row>
    <row r="764">
      <c r="A764" s="322"/>
      <c r="B764" s="323"/>
      <c r="C764" s="328" t="s">
        <v>31</v>
      </c>
      <c r="D764" s="322"/>
      <c r="E764" s="322"/>
      <c r="F764" s="322"/>
      <c r="G764" s="322"/>
      <c r="H764" s="322"/>
      <c r="I764" s="322"/>
      <c r="J764" s="324"/>
      <c r="K764" s="323"/>
      <c r="L764" s="323"/>
      <c r="M764" s="323"/>
    </row>
    <row r="765">
      <c r="A765" s="322"/>
      <c r="B765" s="323"/>
      <c r="C765" s="226" t="s">
        <v>31</v>
      </c>
      <c r="D765" s="322"/>
      <c r="E765" s="322"/>
      <c r="F765" s="322"/>
      <c r="G765" s="322"/>
      <c r="H765" s="322"/>
      <c r="I765" s="322"/>
      <c r="J765" s="324"/>
      <c r="K765" s="323"/>
      <c r="L765" s="323"/>
      <c r="M765" s="323"/>
    </row>
    <row r="766">
      <c r="A766" s="322"/>
      <c r="B766" s="323"/>
      <c r="C766" s="226" t="s">
        <v>31</v>
      </c>
      <c r="D766" s="322"/>
      <c r="E766" s="322"/>
      <c r="F766" s="322"/>
      <c r="G766" s="322"/>
      <c r="H766" s="322"/>
      <c r="I766" s="322"/>
      <c r="J766" s="324"/>
      <c r="K766" s="323"/>
      <c r="L766" s="323"/>
      <c r="M766" s="323"/>
    </row>
    <row r="767">
      <c r="A767" s="322"/>
      <c r="B767" s="323"/>
      <c r="C767" s="226" t="s">
        <v>31</v>
      </c>
      <c r="D767" s="322"/>
      <c r="E767" s="322"/>
      <c r="F767" s="322"/>
      <c r="G767" s="322"/>
      <c r="H767" s="322"/>
      <c r="I767" s="322"/>
      <c r="J767" s="324"/>
      <c r="K767" s="323"/>
      <c r="L767" s="323"/>
      <c r="M767" s="323"/>
    </row>
    <row r="768">
      <c r="A768" s="322"/>
      <c r="B768" s="323"/>
      <c r="C768" s="327" t="s">
        <v>43</v>
      </c>
      <c r="D768" s="322"/>
      <c r="E768" s="322"/>
      <c r="F768" s="322"/>
      <c r="G768" s="322"/>
      <c r="H768" s="322"/>
      <c r="I768" s="322"/>
      <c r="J768" s="324"/>
      <c r="K768" s="323"/>
      <c r="L768" s="323"/>
      <c r="M768" s="323"/>
    </row>
    <row r="769">
      <c r="A769" s="322"/>
      <c r="B769" s="323"/>
      <c r="C769" s="327" t="s">
        <v>43</v>
      </c>
      <c r="D769" s="322"/>
      <c r="E769" s="322"/>
      <c r="F769" s="322"/>
      <c r="G769" s="322"/>
      <c r="H769" s="322"/>
      <c r="I769" s="322"/>
      <c r="J769" s="324"/>
      <c r="K769" s="323"/>
      <c r="L769" s="323"/>
      <c r="M769" s="323"/>
    </row>
    <row r="770">
      <c r="A770" s="322"/>
      <c r="B770" s="323"/>
      <c r="C770" s="226" t="s">
        <v>31</v>
      </c>
      <c r="D770" s="322"/>
      <c r="E770" s="322"/>
      <c r="F770" s="322"/>
      <c r="G770" s="322"/>
      <c r="H770" s="322"/>
      <c r="I770" s="322"/>
      <c r="J770" s="324"/>
      <c r="K770" s="323"/>
      <c r="L770" s="323"/>
      <c r="M770" s="323"/>
    </row>
    <row r="771">
      <c r="A771" s="322"/>
      <c r="B771" s="323"/>
      <c r="C771" s="328" t="s">
        <v>31</v>
      </c>
      <c r="D771" s="322"/>
      <c r="E771" s="322"/>
      <c r="F771" s="322"/>
      <c r="G771" s="322"/>
      <c r="H771" s="322"/>
      <c r="I771" s="322"/>
      <c r="J771" s="324"/>
      <c r="K771" s="323"/>
      <c r="L771" s="323"/>
      <c r="M771" s="323"/>
    </row>
    <row r="772">
      <c r="A772" s="322"/>
      <c r="B772" s="323"/>
      <c r="C772" s="328" t="s">
        <v>31</v>
      </c>
      <c r="D772" s="322"/>
      <c r="E772" s="322"/>
      <c r="F772" s="322"/>
      <c r="G772" s="322"/>
      <c r="H772" s="322"/>
      <c r="I772" s="322"/>
      <c r="J772" s="324"/>
      <c r="K772" s="323"/>
      <c r="L772" s="323"/>
      <c r="M772" s="323"/>
    </row>
    <row r="773">
      <c r="A773" s="322"/>
      <c r="B773" s="323"/>
      <c r="C773" s="327" t="s">
        <v>43</v>
      </c>
      <c r="D773" s="322"/>
      <c r="E773" s="322"/>
      <c r="F773" s="322"/>
      <c r="G773" s="322"/>
      <c r="H773" s="322"/>
      <c r="I773" s="322"/>
      <c r="J773" s="324"/>
      <c r="K773" s="323"/>
      <c r="L773" s="323"/>
      <c r="M773" s="323"/>
    </row>
    <row r="774">
      <c r="A774" s="322"/>
      <c r="B774" s="323"/>
      <c r="C774" s="327" t="s">
        <v>43</v>
      </c>
      <c r="D774" s="322"/>
      <c r="E774" s="322"/>
      <c r="F774" s="322"/>
      <c r="G774" s="322"/>
      <c r="H774" s="322"/>
      <c r="I774" s="322"/>
      <c r="J774" s="324"/>
      <c r="K774" s="323"/>
      <c r="L774" s="323"/>
      <c r="M774" s="323"/>
    </row>
    <row r="775">
      <c r="A775" s="322"/>
      <c r="B775" s="323"/>
      <c r="C775" s="226" t="s">
        <v>31</v>
      </c>
      <c r="D775" s="322"/>
      <c r="E775" s="322"/>
      <c r="F775" s="322"/>
      <c r="G775" s="322"/>
      <c r="H775" s="322"/>
      <c r="I775" s="322"/>
      <c r="J775" s="324"/>
      <c r="K775" s="323"/>
      <c r="L775" s="323"/>
      <c r="M775" s="323"/>
    </row>
    <row r="776">
      <c r="A776" s="322"/>
      <c r="B776" s="323"/>
      <c r="C776" s="226" t="s">
        <v>31</v>
      </c>
      <c r="D776" s="322"/>
      <c r="E776" s="322"/>
      <c r="F776" s="322"/>
      <c r="G776" s="322"/>
      <c r="H776" s="322"/>
      <c r="I776" s="322"/>
      <c r="J776" s="324"/>
      <c r="K776" s="323"/>
      <c r="L776" s="323"/>
      <c r="M776" s="323"/>
    </row>
    <row r="777">
      <c r="A777" s="322"/>
      <c r="B777" s="323"/>
      <c r="C777" s="327" t="s">
        <v>43</v>
      </c>
      <c r="D777" s="322"/>
      <c r="E777" s="322"/>
      <c r="F777" s="322"/>
      <c r="G777" s="322"/>
      <c r="H777" s="322"/>
      <c r="I777" s="322"/>
      <c r="J777" s="324"/>
      <c r="K777" s="323"/>
      <c r="L777" s="323"/>
      <c r="M777" s="323"/>
    </row>
    <row r="778">
      <c r="A778" s="322"/>
      <c r="B778" s="323"/>
      <c r="C778" s="327" t="s">
        <v>43</v>
      </c>
      <c r="D778" s="322"/>
      <c r="E778" s="322"/>
      <c r="F778" s="322"/>
      <c r="G778" s="322"/>
      <c r="H778" s="322"/>
      <c r="I778" s="322"/>
      <c r="J778" s="324"/>
      <c r="K778" s="323"/>
      <c r="L778" s="323"/>
      <c r="M778" s="323"/>
    </row>
    <row r="779">
      <c r="A779" s="322"/>
      <c r="B779" s="323"/>
      <c r="C779" s="328" t="s">
        <v>31</v>
      </c>
      <c r="D779" s="322"/>
      <c r="E779" s="322"/>
      <c r="F779" s="322"/>
      <c r="G779" s="322"/>
      <c r="H779" s="322"/>
      <c r="I779" s="322"/>
      <c r="J779" s="324"/>
      <c r="K779" s="323"/>
      <c r="L779" s="323"/>
      <c r="M779" s="323"/>
    </row>
    <row r="780">
      <c r="A780" s="322"/>
      <c r="B780" s="323"/>
      <c r="C780" s="328" t="s">
        <v>31</v>
      </c>
      <c r="D780" s="322"/>
      <c r="E780" s="322"/>
      <c r="F780" s="322"/>
      <c r="G780" s="322"/>
      <c r="H780" s="322"/>
      <c r="I780" s="322"/>
      <c r="J780" s="324"/>
      <c r="K780" s="323"/>
      <c r="L780" s="323"/>
      <c r="M780" s="323"/>
    </row>
    <row r="781">
      <c r="A781" s="322"/>
      <c r="B781" s="323"/>
      <c r="C781" s="328" t="s">
        <v>31</v>
      </c>
      <c r="D781" s="322"/>
      <c r="E781" s="322"/>
      <c r="F781" s="322"/>
      <c r="G781" s="322"/>
      <c r="H781" s="322"/>
      <c r="I781" s="322"/>
      <c r="J781" s="324"/>
      <c r="K781" s="323"/>
      <c r="L781" s="323"/>
      <c r="M781" s="323"/>
    </row>
    <row r="782">
      <c r="A782" s="322"/>
      <c r="B782" s="323"/>
      <c r="C782" s="328" t="s">
        <v>31</v>
      </c>
      <c r="D782" s="322"/>
      <c r="E782" s="322"/>
      <c r="F782" s="322"/>
      <c r="G782" s="322"/>
      <c r="H782" s="322"/>
      <c r="I782" s="322"/>
      <c r="J782" s="324"/>
      <c r="K782" s="323"/>
      <c r="L782" s="323"/>
      <c r="M782" s="323"/>
    </row>
    <row r="783">
      <c r="A783" s="322"/>
      <c r="B783" s="323"/>
      <c r="C783" s="328" t="s">
        <v>31</v>
      </c>
      <c r="D783" s="322"/>
      <c r="E783" s="322"/>
      <c r="F783" s="322"/>
      <c r="G783" s="322"/>
      <c r="H783" s="322"/>
      <c r="I783" s="322"/>
      <c r="J783" s="324"/>
      <c r="K783" s="323"/>
      <c r="L783" s="323"/>
      <c r="M783" s="323"/>
    </row>
    <row r="784">
      <c r="A784" s="322"/>
      <c r="B784" s="323"/>
      <c r="C784" s="328" t="s">
        <v>31</v>
      </c>
      <c r="D784" s="322"/>
      <c r="E784" s="322"/>
      <c r="F784" s="322"/>
      <c r="G784" s="322"/>
      <c r="H784" s="322"/>
      <c r="I784" s="322"/>
      <c r="J784" s="324"/>
      <c r="K784" s="323"/>
      <c r="L784" s="323"/>
      <c r="M784" s="323"/>
    </row>
    <row r="785">
      <c r="A785" s="322"/>
      <c r="B785" s="323"/>
      <c r="C785" s="328" t="s">
        <v>31</v>
      </c>
      <c r="D785" s="322"/>
      <c r="E785" s="322"/>
      <c r="F785" s="322"/>
      <c r="G785" s="322"/>
      <c r="H785" s="322"/>
      <c r="I785" s="322"/>
      <c r="J785" s="324"/>
      <c r="K785" s="323"/>
      <c r="L785" s="323"/>
      <c r="M785" s="323"/>
    </row>
    <row r="786">
      <c r="A786" s="322"/>
      <c r="B786" s="323"/>
      <c r="C786" s="328" t="s">
        <v>31</v>
      </c>
      <c r="D786" s="322"/>
      <c r="E786" s="322"/>
      <c r="F786" s="322"/>
      <c r="G786" s="322"/>
      <c r="H786" s="322"/>
      <c r="I786" s="322"/>
      <c r="J786" s="324"/>
      <c r="K786" s="323"/>
      <c r="L786" s="323"/>
      <c r="M786" s="323"/>
    </row>
    <row r="787">
      <c r="A787" s="322"/>
      <c r="B787" s="323"/>
      <c r="C787" s="328" t="s">
        <v>31</v>
      </c>
      <c r="D787" s="322"/>
      <c r="E787" s="322"/>
      <c r="F787" s="322"/>
      <c r="G787" s="322"/>
      <c r="H787" s="322"/>
      <c r="I787" s="322"/>
      <c r="J787" s="324"/>
      <c r="K787" s="323"/>
      <c r="L787" s="323"/>
      <c r="M787" s="323"/>
    </row>
    <row r="788">
      <c r="A788" s="322"/>
      <c r="B788" s="323"/>
      <c r="C788" s="328" t="s">
        <v>31</v>
      </c>
      <c r="D788" s="322"/>
      <c r="E788" s="322"/>
      <c r="F788" s="322"/>
      <c r="G788" s="322"/>
      <c r="H788" s="322"/>
      <c r="I788" s="322"/>
      <c r="J788" s="324"/>
      <c r="K788" s="323"/>
      <c r="L788" s="323"/>
      <c r="M788" s="323"/>
    </row>
    <row r="789">
      <c r="A789" s="322"/>
      <c r="B789" s="323"/>
      <c r="C789" s="328" t="s">
        <v>31</v>
      </c>
      <c r="D789" s="322"/>
      <c r="E789" s="322"/>
      <c r="F789" s="322"/>
      <c r="G789" s="322"/>
      <c r="H789" s="322"/>
      <c r="I789" s="322"/>
      <c r="J789" s="324"/>
      <c r="K789" s="323"/>
      <c r="L789" s="323"/>
      <c r="M789" s="323"/>
    </row>
    <row r="790">
      <c r="A790" s="322"/>
      <c r="B790" s="323"/>
      <c r="C790" s="328" t="s">
        <v>31</v>
      </c>
      <c r="D790" s="322"/>
      <c r="E790" s="322"/>
      <c r="F790" s="322"/>
      <c r="G790" s="322"/>
      <c r="H790" s="322"/>
      <c r="I790" s="322"/>
      <c r="J790" s="324"/>
      <c r="K790" s="323"/>
      <c r="L790" s="323"/>
      <c r="M790" s="323"/>
    </row>
    <row r="791">
      <c r="A791" s="322"/>
      <c r="B791" s="323"/>
      <c r="C791" s="226" t="s">
        <v>31</v>
      </c>
      <c r="D791" s="322"/>
      <c r="E791" s="322"/>
      <c r="F791" s="322"/>
      <c r="G791" s="322"/>
      <c r="H791" s="322"/>
      <c r="I791" s="322"/>
      <c r="J791" s="324"/>
      <c r="K791" s="323"/>
      <c r="L791" s="323"/>
      <c r="M791" s="323"/>
    </row>
    <row r="792">
      <c r="A792" s="322"/>
      <c r="B792" s="323"/>
      <c r="C792" s="226" t="s">
        <v>31</v>
      </c>
      <c r="D792" s="322"/>
      <c r="E792" s="322"/>
      <c r="F792" s="322"/>
      <c r="G792" s="322"/>
      <c r="H792" s="322"/>
      <c r="I792" s="322"/>
      <c r="J792" s="324"/>
      <c r="K792" s="323"/>
      <c r="L792" s="323"/>
      <c r="M792" s="323"/>
    </row>
    <row r="793">
      <c r="A793" s="322"/>
      <c r="B793" s="323"/>
      <c r="C793" s="328" t="s">
        <v>31</v>
      </c>
      <c r="D793" s="322"/>
      <c r="E793" s="322"/>
      <c r="F793" s="322"/>
      <c r="G793" s="322"/>
      <c r="H793" s="322"/>
      <c r="I793" s="322"/>
      <c r="J793" s="324"/>
      <c r="K793" s="323"/>
      <c r="L793" s="323"/>
      <c r="M793" s="323"/>
    </row>
    <row r="794">
      <c r="A794" s="322"/>
      <c r="B794" s="323"/>
      <c r="C794" s="328" t="s">
        <v>31</v>
      </c>
      <c r="D794" s="322"/>
      <c r="E794" s="322"/>
      <c r="F794" s="322"/>
      <c r="G794" s="322"/>
      <c r="H794" s="322"/>
      <c r="I794" s="322"/>
      <c r="J794" s="324"/>
      <c r="K794" s="323"/>
      <c r="L794" s="323"/>
      <c r="M794" s="323"/>
    </row>
    <row r="795">
      <c r="A795" s="322"/>
      <c r="B795" s="323"/>
      <c r="C795" s="328" t="s">
        <v>31</v>
      </c>
      <c r="D795" s="322"/>
      <c r="E795" s="322"/>
      <c r="F795" s="322"/>
      <c r="G795" s="322"/>
      <c r="H795" s="322"/>
      <c r="I795" s="322"/>
      <c r="J795" s="324"/>
      <c r="K795" s="323"/>
      <c r="L795" s="323"/>
      <c r="M795" s="323"/>
    </row>
    <row r="796">
      <c r="A796" s="322"/>
      <c r="B796" s="323"/>
      <c r="C796" s="226" t="s">
        <v>31</v>
      </c>
      <c r="D796" s="322"/>
      <c r="E796" s="322"/>
      <c r="F796" s="322"/>
      <c r="G796" s="322"/>
      <c r="H796" s="322"/>
      <c r="I796" s="322"/>
      <c r="J796" s="324"/>
      <c r="K796" s="323"/>
      <c r="L796" s="323"/>
      <c r="M796" s="323"/>
    </row>
    <row r="797">
      <c r="A797" s="322"/>
      <c r="B797" s="323"/>
      <c r="C797" s="226" t="s">
        <v>31</v>
      </c>
      <c r="D797" s="322"/>
      <c r="E797" s="322"/>
      <c r="F797" s="322"/>
      <c r="G797" s="322"/>
      <c r="H797" s="322"/>
      <c r="I797" s="322"/>
      <c r="J797" s="324"/>
      <c r="K797" s="323"/>
      <c r="L797" s="323"/>
      <c r="M797" s="323"/>
    </row>
    <row r="798">
      <c r="A798" s="322"/>
      <c r="B798" s="323"/>
      <c r="C798" s="226" t="s">
        <v>31</v>
      </c>
      <c r="D798" s="322"/>
      <c r="E798" s="322"/>
      <c r="F798" s="322"/>
      <c r="G798" s="322"/>
      <c r="H798" s="322"/>
      <c r="I798" s="322"/>
      <c r="J798" s="324"/>
      <c r="K798" s="323"/>
      <c r="L798" s="323"/>
      <c r="M798" s="323"/>
    </row>
    <row r="799">
      <c r="A799" s="322"/>
      <c r="B799" s="323"/>
      <c r="C799" s="328" t="s">
        <v>31</v>
      </c>
      <c r="D799" s="322"/>
      <c r="E799" s="322"/>
      <c r="F799" s="322"/>
      <c r="G799" s="322"/>
      <c r="H799" s="322"/>
      <c r="I799" s="322"/>
      <c r="J799" s="324"/>
      <c r="K799" s="323"/>
      <c r="L799" s="323"/>
      <c r="M799" s="323"/>
    </row>
    <row r="800">
      <c r="A800" s="322"/>
      <c r="B800" s="323"/>
      <c r="C800" s="328" t="s">
        <v>31</v>
      </c>
      <c r="D800" s="322"/>
      <c r="E800" s="322"/>
      <c r="F800" s="322"/>
      <c r="G800" s="322"/>
      <c r="H800" s="322"/>
      <c r="I800" s="322"/>
      <c r="J800" s="324"/>
      <c r="K800" s="323"/>
      <c r="L800" s="323"/>
      <c r="M800" s="323"/>
    </row>
    <row r="801">
      <c r="A801" s="322"/>
      <c r="B801" s="323"/>
      <c r="C801" s="329"/>
      <c r="D801" s="322"/>
      <c r="E801" s="322"/>
      <c r="F801" s="322"/>
      <c r="G801" s="322"/>
      <c r="H801" s="322"/>
      <c r="I801" s="322"/>
      <c r="J801" s="324"/>
      <c r="K801" s="323"/>
      <c r="L801" s="323"/>
      <c r="M801" s="323"/>
    </row>
    <row r="802">
      <c r="A802" s="322"/>
      <c r="B802" s="323"/>
      <c r="C802" s="226" t="s">
        <v>31</v>
      </c>
      <c r="D802" s="322"/>
      <c r="E802" s="322"/>
      <c r="F802" s="322"/>
      <c r="G802" s="322"/>
      <c r="H802" s="322"/>
      <c r="I802" s="322"/>
      <c r="J802" s="324"/>
      <c r="K802" s="323"/>
      <c r="L802" s="323"/>
      <c r="M802" s="323"/>
    </row>
    <row r="803">
      <c r="A803" s="322"/>
      <c r="B803" s="323"/>
      <c r="C803" s="226" t="s">
        <v>31</v>
      </c>
      <c r="D803" s="322"/>
      <c r="E803" s="322"/>
      <c r="F803" s="322"/>
      <c r="G803" s="322"/>
      <c r="H803" s="322"/>
      <c r="I803" s="322"/>
      <c r="J803" s="324"/>
      <c r="K803" s="323"/>
      <c r="L803" s="323"/>
      <c r="M803" s="323"/>
    </row>
    <row r="804">
      <c r="A804" s="322"/>
      <c r="B804" s="323"/>
      <c r="C804" s="327" t="s">
        <v>43</v>
      </c>
      <c r="D804" s="322"/>
      <c r="E804" s="322"/>
      <c r="F804" s="322"/>
      <c r="G804" s="322"/>
      <c r="H804" s="322"/>
      <c r="I804" s="322"/>
      <c r="J804" s="324"/>
      <c r="K804" s="323"/>
      <c r="L804" s="323"/>
      <c r="M804" s="323"/>
    </row>
    <row r="805">
      <c r="A805" s="322"/>
      <c r="B805" s="323"/>
      <c r="C805" s="327" t="s">
        <v>43</v>
      </c>
      <c r="D805" s="322"/>
      <c r="E805" s="322"/>
      <c r="F805" s="322"/>
      <c r="G805" s="322"/>
      <c r="H805" s="322"/>
      <c r="I805" s="322"/>
      <c r="J805" s="324"/>
      <c r="K805" s="323"/>
      <c r="L805" s="323"/>
      <c r="M805" s="323"/>
    </row>
    <row r="806">
      <c r="A806" s="322"/>
      <c r="B806" s="323"/>
      <c r="C806" s="327" t="s">
        <v>43</v>
      </c>
      <c r="D806" s="322"/>
      <c r="E806" s="322"/>
      <c r="F806" s="322"/>
      <c r="G806" s="322"/>
      <c r="H806" s="322"/>
      <c r="I806" s="322"/>
      <c r="J806" s="324"/>
      <c r="K806" s="323"/>
      <c r="L806" s="323"/>
      <c r="M806" s="323"/>
    </row>
    <row r="807">
      <c r="A807" s="322"/>
      <c r="B807" s="323"/>
      <c r="C807" s="327" t="s">
        <v>43</v>
      </c>
      <c r="D807" s="322"/>
      <c r="E807" s="322"/>
      <c r="F807" s="322"/>
      <c r="G807" s="322"/>
      <c r="H807" s="322"/>
      <c r="I807" s="322"/>
      <c r="J807" s="324"/>
      <c r="K807" s="323"/>
      <c r="L807" s="323"/>
      <c r="M807" s="323"/>
    </row>
    <row r="808">
      <c r="A808" s="322"/>
      <c r="B808" s="323"/>
      <c r="C808" s="330" t="s">
        <v>43</v>
      </c>
      <c r="D808" s="322"/>
      <c r="E808" s="322"/>
      <c r="F808" s="322"/>
      <c r="G808" s="322"/>
      <c r="H808" s="322"/>
      <c r="I808" s="322"/>
      <c r="J808" s="324"/>
      <c r="K808" s="323"/>
      <c r="L808" s="323"/>
      <c r="M808" s="323"/>
    </row>
    <row r="809">
      <c r="A809" s="322"/>
      <c r="B809" s="323"/>
      <c r="C809" s="330" t="s">
        <v>43</v>
      </c>
      <c r="D809" s="322"/>
      <c r="E809" s="322"/>
      <c r="F809" s="322"/>
      <c r="G809" s="322"/>
      <c r="H809" s="322"/>
      <c r="I809" s="322"/>
      <c r="J809" s="324"/>
      <c r="K809" s="323"/>
      <c r="L809" s="323"/>
      <c r="M809" s="323"/>
    </row>
    <row r="810">
      <c r="A810" s="322"/>
      <c r="B810" s="323"/>
      <c r="C810" s="330" t="s">
        <v>43</v>
      </c>
      <c r="D810" s="322"/>
      <c r="E810" s="322"/>
      <c r="F810" s="322"/>
      <c r="G810" s="322"/>
      <c r="H810" s="322"/>
      <c r="I810" s="322"/>
      <c r="J810" s="324"/>
      <c r="K810" s="323"/>
      <c r="L810" s="323"/>
      <c r="M810" s="323"/>
    </row>
    <row r="811">
      <c r="A811" s="322"/>
      <c r="B811" s="323"/>
      <c r="C811" s="330" t="s">
        <v>43</v>
      </c>
      <c r="D811" s="322"/>
      <c r="E811" s="322"/>
      <c r="F811" s="322"/>
      <c r="G811" s="322"/>
      <c r="H811" s="322"/>
      <c r="I811" s="322"/>
      <c r="J811" s="324"/>
      <c r="K811" s="323"/>
      <c r="L811" s="323"/>
      <c r="M811" s="323"/>
    </row>
    <row r="812">
      <c r="A812" s="322"/>
      <c r="B812" s="323"/>
      <c r="C812" s="327" t="s">
        <v>31</v>
      </c>
      <c r="D812" s="322"/>
      <c r="E812" s="322"/>
      <c r="F812" s="322"/>
      <c r="G812" s="322"/>
      <c r="H812" s="322"/>
      <c r="I812" s="322"/>
      <c r="J812" s="324"/>
      <c r="K812" s="323"/>
      <c r="L812" s="323"/>
      <c r="M812" s="323"/>
    </row>
    <row r="813">
      <c r="A813" s="322"/>
      <c r="B813" s="323"/>
      <c r="C813" s="327" t="s">
        <v>43</v>
      </c>
      <c r="D813" s="322"/>
      <c r="E813" s="322"/>
      <c r="F813" s="322"/>
      <c r="G813" s="322"/>
      <c r="H813" s="322"/>
      <c r="I813" s="322"/>
      <c r="J813" s="324"/>
      <c r="K813" s="323"/>
      <c r="L813" s="323"/>
      <c r="M813" s="323"/>
    </row>
    <row r="814">
      <c r="A814" s="322"/>
      <c r="B814" s="323"/>
      <c r="C814" s="327" t="s">
        <v>43</v>
      </c>
      <c r="D814" s="322"/>
      <c r="E814" s="322"/>
      <c r="F814" s="322"/>
      <c r="G814" s="322"/>
      <c r="H814" s="322"/>
      <c r="I814" s="322"/>
      <c r="J814" s="324"/>
      <c r="K814" s="323"/>
      <c r="L814" s="323"/>
      <c r="M814" s="323"/>
    </row>
    <row r="815">
      <c r="A815" s="322"/>
      <c r="B815" s="323"/>
      <c r="C815" s="327" t="s">
        <v>43</v>
      </c>
      <c r="D815" s="322"/>
      <c r="E815" s="322"/>
      <c r="F815" s="322"/>
      <c r="G815" s="322"/>
      <c r="H815" s="322"/>
      <c r="I815" s="322"/>
      <c r="J815" s="324"/>
      <c r="K815" s="323"/>
      <c r="L815" s="323"/>
      <c r="M815" s="323"/>
    </row>
    <row r="816">
      <c r="A816" s="322"/>
      <c r="B816" s="323"/>
      <c r="C816" s="327" t="s">
        <v>43</v>
      </c>
      <c r="D816" s="322"/>
      <c r="E816" s="322"/>
      <c r="F816" s="322"/>
      <c r="G816" s="322"/>
      <c r="H816" s="322"/>
      <c r="I816" s="322"/>
      <c r="J816" s="324"/>
      <c r="K816" s="323"/>
      <c r="L816" s="323"/>
      <c r="M816" s="323"/>
    </row>
    <row r="817">
      <c r="A817" s="322"/>
      <c r="B817" s="323"/>
      <c r="C817" s="327" t="s">
        <v>43</v>
      </c>
      <c r="D817" s="322"/>
      <c r="E817" s="322"/>
      <c r="F817" s="322"/>
      <c r="G817" s="322"/>
      <c r="H817" s="322"/>
      <c r="I817" s="322"/>
      <c r="J817" s="324"/>
      <c r="K817" s="323"/>
      <c r="L817" s="323"/>
      <c r="M817" s="323"/>
    </row>
    <row r="818">
      <c r="A818" s="322"/>
      <c r="B818" s="323"/>
      <c r="C818" s="327" t="s">
        <v>43</v>
      </c>
      <c r="D818" s="322"/>
      <c r="E818" s="322"/>
      <c r="F818" s="322"/>
      <c r="G818" s="322"/>
      <c r="H818" s="322"/>
      <c r="I818" s="322"/>
      <c r="J818" s="324"/>
      <c r="K818" s="323"/>
      <c r="L818" s="323"/>
      <c r="M818" s="323"/>
    </row>
    <row r="819">
      <c r="A819" s="322"/>
      <c r="B819" s="323"/>
      <c r="C819" s="327" t="s">
        <v>43</v>
      </c>
      <c r="D819" s="322"/>
      <c r="E819" s="322"/>
      <c r="F819" s="322"/>
      <c r="G819" s="322"/>
      <c r="H819" s="322"/>
      <c r="I819" s="322"/>
      <c r="J819" s="324"/>
      <c r="K819" s="323"/>
      <c r="L819" s="323"/>
      <c r="M819" s="323"/>
    </row>
    <row r="820">
      <c r="A820" s="322"/>
      <c r="B820" s="323"/>
      <c r="C820" s="327" t="s">
        <v>43</v>
      </c>
      <c r="D820" s="322"/>
      <c r="E820" s="322"/>
      <c r="F820" s="322"/>
      <c r="G820" s="322"/>
      <c r="H820" s="322"/>
      <c r="I820" s="322"/>
      <c r="J820" s="324"/>
      <c r="K820" s="323"/>
      <c r="L820" s="323"/>
      <c r="M820" s="323"/>
    </row>
    <row r="821">
      <c r="A821" s="322"/>
      <c r="B821" s="323"/>
      <c r="C821" s="327" t="s">
        <v>43</v>
      </c>
      <c r="D821" s="322"/>
      <c r="E821" s="322"/>
      <c r="F821" s="322"/>
      <c r="G821" s="322"/>
      <c r="H821" s="322"/>
      <c r="I821" s="322"/>
      <c r="J821" s="324"/>
      <c r="K821" s="323"/>
      <c r="L821" s="323"/>
      <c r="M821" s="323"/>
    </row>
    <row r="822">
      <c r="A822" s="322"/>
      <c r="B822" s="323"/>
      <c r="C822" s="327" t="s">
        <v>43</v>
      </c>
      <c r="D822" s="322"/>
      <c r="E822" s="322"/>
      <c r="F822" s="322"/>
      <c r="G822" s="322"/>
      <c r="H822" s="322"/>
      <c r="I822" s="322"/>
      <c r="J822" s="324"/>
      <c r="K822" s="323"/>
      <c r="L822" s="323"/>
      <c r="M822" s="323"/>
    </row>
    <row r="823">
      <c r="A823" s="322"/>
      <c r="B823" s="323"/>
      <c r="C823" s="327" t="s">
        <v>43</v>
      </c>
      <c r="D823" s="322"/>
      <c r="E823" s="322"/>
      <c r="F823" s="322"/>
      <c r="G823" s="322"/>
      <c r="H823" s="322"/>
      <c r="I823" s="322"/>
      <c r="J823" s="324"/>
      <c r="K823" s="323"/>
      <c r="L823" s="323"/>
      <c r="M823" s="323"/>
    </row>
    <row r="824">
      <c r="A824" s="322"/>
      <c r="B824" s="323"/>
      <c r="C824" s="327" t="s">
        <v>43</v>
      </c>
      <c r="D824" s="322"/>
      <c r="E824" s="322"/>
      <c r="F824" s="322"/>
      <c r="G824" s="322"/>
      <c r="H824" s="322"/>
      <c r="I824" s="322"/>
      <c r="J824" s="324"/>
      <c r="K824" s="323"/>
      <c r="L824" s="323"/>
      <c r="M824" s="323"/>
    </row>
    <row r="825">
      <c r="A825" s="322"/>
      <c r="B825" s="323"/>
      <c r="C825" s="226" t="s">
        <v>31</v>
      </c>
      <c r="D825" s="322"/>
      <c r="E825" s="322"/>
      <c r="F825" s="322"/>
      <c r="G825" s="322"/>
      <c r="H825" s="322"/>
      <c r="I825" s="322"/>
      <c r="J825" s="324"/>
      <c r="K825" s="323"/>
      <c r="L825" s="323"/>
      <c r="M825" s="323"/>
    </row>
    <row r="826">
      <c r="A826" s="322"/>
      <c r="B826" s="323"/>
      <c r="C826" s="226" t="s">
        <v>31</v>
      </c>
      <c r="D826" s="322"/>
      <c r="E826" s="322"/>
      <c r="F826" s="322"/>
      <c r="G826" s="322"/>
      <c r="H826" s="322"/>
      <c r="I826" s="322"/>
      <c r="J826" s="324"/>
      <c r="K826" s="323"/>
      <c r="L826" s="323"/>
      <c r="M826" s="323"/>
    </row>
    <row r="827">
      <c r="A827" s="322"/>
      <c r="B827" s="323"/>
      <c r="C827" s="226" t="s">
        <v>31</v>
      </c>
      <c r="D827" s="322"/>
      <c r="E827" s="322"/>
      <c r="F827" s="322"/>
      <c r="G827" s="322"/>
      <c r="H827" s="322"/>
      <c r="I827" s="322"/>
      <c r="J827" s="324"/>
      <c r="K827" s="323"/>
      <c r="L827" s="323"/>
      <c r="M827" s="323"/>
    </row>
    <row r="828">
      <c r="A828" s="322"/>
      <c r="B828" s="323"/>
      <c r="C828" s="226" t="s">
        <v>31</v>
      </c>
      <c r="D828" s="322"/>
      <c r="E828" s="322"/>
      <c r="F828" s="322"/>
      <c r="G828" s="322"/>
      <c r="H828" s="322"/>
      <c r="I828" s="322"/>
      <c r="J828" s="324"/>
      <c r="K828" s="323"/>
      <c r="L828" s="323"/>
      <c r="M828" s="323"/>
    </row>
    <row r="829">
      <c r="A829" s="322"/>
      <c r="B829" s="323"/>
      <c r="C829" s="226" t="s">
        <v>31</v>
      </c>
      <c r="D829" s="322"/>
      <c r="E829" s="322"/>
      <c r="F829" s="322"/>
      <c r="G829" s="322"/>
      <c r="H829" s="322"/>
      <c r="I829" s="322"/>
      <c r="J829" s="324"/>
      <c r="K829" s="323"/>
      <c r="L829" s="323"/>
      <c r="M829" s="323"/>
    </row>
    <row r="830">
      <c r="A830" s="322"/>
      <c r="B830" s="323"/>
      <c r="C830" s="328" t="s">
        <v>31</v>
      </c>
      <c r="D830" s="322"/>
      <c r="E830" s="322"/>
      <c r="F830" s="322"/>
      <c r="G830" s="322"/>
      <c r="H830" s="322"/>
      <c r="I830" s="322"/>
      <c r="J830" s="324"/>
      <c r="K830" s="323"/>
      <c r="L830" s="323"/>
      <c r="M830" s="323"/>
    </row>
    <row r="831">
      <c r="A831" s="322"/>
      <c r="B831" s="323"/>
      <c r="C831" s="328" t="s">
        <v>31</v>
      </c>
      <c r="D831" s="322"/>
      <c r="E831" s="322"/>
      <c r="F831" s="322"/>
      <c r="G831" s="322"/>
      <c r="H831" s="322"/>
      <c r="I831" s="322"/>
      <c r="J831" s="324"/>
      <c r="K831" s="323"/>
      <c r="L831" s="323"/>
      <c r="M831" s="323"/>
    </row>
    <row r="832">
      <c r="A832" s="322"/>
      <c r="B832" s="323"/>
      <c r="C832" s="328" t="s">
        <v>31</v>
      </c>
      <c r="D832" s="322"/>
      <c r="E832" s="322"/>
      <c r="F832" s="322"/>
      <c r="G832" s="322"/>
      <c r="H832" s="322"/>
      <c r="I832" s="322"/>
      <c r="J832" s="324"/>
      <c r="K832" s="323"/>
      <c r="L832" s="323"/>
      <c r="M832" s="323"/>
    </row>
    <row r="833">
      <c r="A833" s="322"/>
      <c r="B833" s="323"/>
      <c r="C833" s="328" t="s">
        <v>31</v>
      </c>
      <c r="D833" s="322"/>
      <c r="E833" s="322"/>
      <c r="F833" s="322"/>
      <c r="G833" s="322"/>
      <c r="H833" s="322"/>
      <c r="I833" s="322"/>
      <c r="J833" s="324"/>
      <c r="K833" s="323"/>
      <c r="L833" s="323"/>
      <c r="M833" s="323"/>
    </row>
    <row r="834">
      <c r="A834" s="322"/>
      <c r="B834" s="323"/>
      <c r="C834" s="328" t="s">
        <v>31</v>
      </c>
      <c r="D834" s="322"/>
      <c r="E834" s="322"/>
      <c r="F834" s="322"/>
      <c r="G834" s="322"/>
      <c r="H834" s="322"/>
      <c r="I834" s="322"/>
      <c r="J834" s="324"/>
      <c r="K834" s="323"/>
      <c r="L834" s="323"/>
      <c r="M834" s="323"/>
    </row>
    <row r="835">
      <c r="A835" s="322"/>
      <c r="B835" s="323"/>
      <c r="C835" s="226" t="s">
        <v>31</v>
      </c>
      <c r="D835" s="322"/>
      <c r="E835" s="322"/>
      <c r="F835" s="322"/>
      <c r="G835" s="322"/>
      <c r="H835" s="322"/>
      <c r="I835" s="322"/>
      <c r="J835" s="324"/>
      <c r="K835" s="323"/>
      <c r="L835" s="323"/>
      <c r="M835" s="323"/>
    </row>
    <row r="836">
      <c r="A836" s="322"/>
      <c r="B836" s="323"/>
      <c r="C836" s="226" t="s">
        <v>31</v>
      </c>
      <c r="D836" s="322"/>
      <c r="E836" s="322"/>
      <c r="F836" s="322"/>
      <c r="G836" s="322"/>
      <c r="H836" s="322"/>
      <c r="I836" s="322"/>
      <c r="J836" s="324"/>
      <c r="K836" s="323"/>
      <c r="L836" s="323"/>
      <c r="M836" s="323"/>
    </row>
    <row r="837">
      <c r="A837" s="322"/>
      <c r="B837" s="323"/>
      <c r="C837" s="226" t="s">
        <v>31</v>
      </c>
      <c r="D837" s="322"/>
      <c r="E837" s="322"/>
      <c r="F837" s="322"/>
      <c r="G837" s="322"/>
      <c r="H837" s="322"/>
      <c r="I837" s="322"/>
      <c r="J837" s="324"/>
      <c r="K837" s="323"/>
      <c r="L837" s="323"/>
      <c r="M837" s="323"/>
    </row>
    <row r="838">
      <c r="A838" s="322"/>
      <c r="B838" s="323"/>
      <c r="C838" s="226" t="s">
        <v>31</v>
      </c>
      <c r="D838" s="322"/>
      <c r="E838" s="322"/>
      <c r="F838" s="322"/>
      <c r="G838" s="322"/>
      <c r="H838" s="322"/>
      <c r="I838" s="322"/>
      <c r="J838" s="324"/>
      <c r="K838" s="323"/>
      <c r="L838" s="323"/>
      <c r="M838" s="323"/>
    </row>
    <row r="839">
      <c r="A839" s="322"/>
      <c r="B839" s="323"/>
      <c r="C839" s="229" t="s">
        <v>31</v>
      </c>
      <c r="D839" s="322"/>
      <c r="E839" s="322"/>
      <c r="F839" s="322"/>
      <c r="G839" s="322"/>
      <c r="H839" s="322"/>
      <c r="I839" s="322"/>
      <c r="J839" s="324"/>
      <c r="K839" s="323"/>
      <c r="L839" s="323"/>
      <c r="M839" s="323"/>
    </row>
    <row r="840">
      <c r="A840" s="322"/>
      <c r="B840" s="323"/>
      <c r="C840" s="229" t="s">
        <v>31</v>
      </c>
      <c r="D840" s="322"/>
      <c r="E840" s="322"/>
      <c r="F840" s="322"/>
      <c r="G840" s="322"/>
      <c r="H840" s="322"/>
      <c r="I840" s="322"/>
      <c r="J840" s="324"/>
      <c r="K840" s="323"/>
      <c r="L840" s="323"/>
      <c r="M840" s="323"/>
    </row>
    <row r="841">
      <c r="A841" s="322"/>
      <c r="B841" s="323"/>
      <c r="C841" s="229" t="s">
        <v>31</v>
      </c>
      <c r="D841" s="322"/>
      <c r="E841" s="322"/>
      <c r="F841" s="322"/>
      <c r="G841" s="322"/>
      <c r="H841" s="322"/>
      <c r="I841" s="322"/>
      <c r="J841" s="324"/>
      <c r="K841" s="323"/>
      <c r="L841" s="323"/>
      <c r="M841" s="323"/>
    </row>
    <row r="842">
      <c r="A842" s="322"/>
      <c r="B842" s="323"/>
      <c r="C842" s="328" t="s">
        <v>31</v>
      </c>
      <c r="D842" s="322"/>
      <c r="E842" s="322"/>
      <c r="F842" s="322"/>
      <c r="G842" s="322"/>
      <c r="H842" s="322"/>
      <c r="I842" s="322"/>
      <c r="J842" s="324"/>
      <c r="K842" s="323"/>
      <c r="L842" s="323"/>
      <c r="M842" s="323"/>
    </row>
    <row r="843">
      <c r="A843" s="322"/>
      <c r="B843" s="323"/>
      <c r="C843" s="226" t="s">
        <v>31</v>
      </c>
      <c r="D843" s="322"/>
      <c r="E843" s="322"/>
      <c r="F843" s="322"/>
      <c r="G843" s="322"/>
      <c r="H843" s="322"/>
      <c r="I843" s="322"/>
      <c r="J843" s="324"/>
      <c r="K843" s="323"/>
      <c r="L843" s="323"/>
      <c r="M843" s="323"/>
    </row>
    <row r="844">
      <c r="A844" s="322"/>
      <c r="B844" s="323"/>
      <c r="C844" s="226" t="s">
        <v>31</v>
      </c>
      <c r="D844" s="322"/>
      <c r="E844" s="322"/>
      <c r="F844" s="322"/>
      <c r="G844" s="322"/>
      <c r="H844" s="322"/>
      <c r="I844" s="322"/>
      <c r="J844" s="324"/>
      <c r="K844" s="323"/>
      <c r="L844" s="323"/>
      <c r="M844" s="323"/>
    </row>
    <row r="845">
      <c r="A845" s="322"/>
      <c r="B845" s="323"/>
      <c r="C845" s="226" t="s">
        <v>31</v>
      </c>
      <c r="D845" s="322"/>
      <c r="E845" s="322"/>
      <c r="F845" s="322"/>
      <c r="G845" s="322"/>
      <c r="H845" s="322"/>
      <c r="I845" s="322"/>
      <c r="J845" s="324"/>
      <c r="K845" s="323"/>
      <c r="L845" s="323"/>
      <c r="M845" s="323"/>
    </row>
    <row r="846">
      <c r="A846" s="322"/>
      <c r="B846" s="323"/>
      <c r="C846" s="229" t="s">
        <v>31</v>
      </c>
      <c r="D846" s="322"/>
      <c r="E846" s="322"/>
      <c r="F846" s="322"/>
      <c r="G846" s="322"/>
      <c r="H846" s="322"/>
      <c r="I846" s="322"/>
      <c r="J846" s="324"/>
      <c r="K846" s="323"/>
      <c r="L846" s="323"/>
      <c r="M846" s="323"/>
    </row>
    <row r="847">
      <c r="A847" s="322"/>
      <c r="B847" s="323"/>
      <c r="C847" s="328" t="s">
        <v>31</v>
      </c>
      <c r="D847" s="322"/>
      <c r="E847" s="322"/>
      <c r="F847" s="322"/>
      <c r="G847" s="322"/>
      <c r="H847" s="322"/>
      <c r="I847" s="322"/>
      <c r="J847" s="324"/>
      <c r="K847" s="323"/>
      <c r="L847" s="323"/>
      <c r="M847" s="323"/>
    </row>
    <row r="848">
      <c r="A848" s="322"/>
      <c r="B848" s="323"/>
      <c r="C848" s="226" t="s">
        <v>31</v>
      </c>
      <c r="D848" s="322"/>
      <c r="E848" s="322"/>
      <c r="F848" s="322"/>
      <c r="G848" s="322"/>
      <c r="H848" s="322"/>
      <c r="I848" s="322"/>
      <c r="J848" s="324"/>
      <c r="K848" s="323"/>
      <c r="L848" s="323"/>
      <c r="M848" s="323"/>
    </row>
    <row r="849">
      <c r="A849" s="322"/>
      <c r="B849" s="323"/>
      <c r="C849" s="226" t="s">
        <v>31</v>
      </c>
      <c r="D849" s="322"/>
      <c r="E849" s="322"/>
      <c r="F849" s="322"/>
      <c r="G849" s="322"/>
      <c r="H849" s="322"/>
      <c r="I849" s="322"/>
      <c r="J849" s="324"/>
      <c r="K849" s="323"/>
      <c r="L849" s="323"/>
      <c r="M849" s="323"/>
    </row>
    <row r="850">
      <c r="A850" s="322"/>
      <c r="B850" s="323"/>
      <c r="C850" s="226" t="s">
        <v>31</v>
      </c>
      <c r="D850" s="322"/>
      <c r="E850" s="322"/>
      <c r="F850" s="322"/>
      <c r="G850" s="322"/>
      <c r="H850" s="322"/>
      <c r="I850" s="322"/>
      <c r="J850" s="324"/>
      <c r="K850" s="323"/>
      <c r="L850" s="323"/>
      <c r="M850" s="323"/>
    </row>
    <row r="851">
      <c r="A851" s="322"/>
      <c r="B851" s="323"/>
      <c r="C851" s="226" t="s">
        <v>31</v>
      </c>
      <c r="D851" s="322"/>
      <c r="E851" s="322"/>
      <c r="F851" s="322"/>
      <c r="G851" s="322"/>
      <c r="H851" s="322"/>
      <c r="I851" s="322"/>
      <c r="J851" s="324"/>
      <c r="K851" s="323"/>
      <c r="L851" s="323"/>
      <c r="M851" s="323"/>
    </row>
    <row r="852">
      <c r="A852" s="322"/>
      <c r="B852" s="323"/>
      <c r="C852" s="226" t="s">
        <v>31</v>
      </c>
      <c r="D852" s="322"/>
      <c r="E852" s="322"/>
      <c r="F852" s="322"/>
      <c r="G852" s="322"/>
      <c r="H852" s="322"/>
      <c r="I852" s="322"/>
      <c r="J852" s="324"/>
      <c r="K852" s="323"/>
      <c r="L852" s="323"/>
      <c r="M852" s="323"/>
    </row>
    <row r="853">
      <c r="A853" s="322"/>
      <c r="B853" s="323"/>
      <c r="C853" s="226" t="s">
        <v>31</v>
      </c>
      <c r="D853" s="322"/>
      <c r="E853" s="322"/>
      <c r="F853" s="322"/>
      <c r="G853" s="322"/>
      <c r="H853" s="322"/>
      <c r="I853" s="322"/>
      <c r="J853" s="324"/>
      <c r="K853" s="323"/>
      <c r="L853" s="323"/>
      <c r="M853" s="323"/>
    </row>
    <row r="854">
      <c r="A854" s="322"/>
      <c r="B854" s="323"/>
      <c r="C854" s="226" t="s">
        <v>31</v>
      </c>
      <c r="D854" s="322"/>
      <c r="E854" s="322"/>
      <c r="F854" s="322"/>
      <c r="G854" s="322"/>
      <c r="H854" s="322"/>
      <c r="I854" s="322"/>
      <c r="J854" s="324"/>
      <c r="K854" s="323"/>
      <c r="L854" s="323"/>
      <c r="M854" s="323"/>
    </row>
    <row r="855">
      <c r="A855" s="322"/>
      <c r="B855" s="323"/>
      <c r="C855" s="226" t="s">
        <v>31</v>
      </c>
      <c r="D855" s="322"/>
      <c r="E855" s="322"/>
      <c r="F855" s="322"/>
      <c r="G855" s="322"/>
      <c r="H855" s="322"/>
      <c r="I855" s="322"/>
      <c r="J855" s="324"/>
      <c r="K855" s="323"/>
      <c r="L855" s="323"/>
      <c r="M855" s="323"/>
    </row>
    <row r="856">
      <c r="A856" s="322"/>
      <c r="B856" s="323"/>
      <c r="C856" s="226" t="s">
        <v>31</v>
      </c>
      <c r="D856" s="322"/>
      <c r="E856" s="322"/>
      <c r="F856" s="322"/>
      <c r="G856" s="322"/>
      <c r="H856" s="322"/>
      <c r="I856" s="322"/>
      <c r="J856" s="324"/>
      <c r="K856" s="323"/>
      <c r="L856" s="323"/>
      <c r="M856" s="323"/>
    </row>
    <row r="857">
      <c r="A857" s="322"/>
      <c r="B857" s="323"/>
      <c r="C857" s="327" t="s">
        <v>43</v>
      </c>
      <c r="D857" s="322"/>
      <c r="E857" s="322"/>
      <c r="F857" s="322"/>
      <c r="G857" s="322"/>
      <c r="H857" s="322"/>
      <c r="I857" s="322"/>
      <c r="J857" s="324"/>
      <c r="K857" s="323"/>
      <c r="L857" s="323"/>
      <c r="M857" s="323"/>
    </row>
    <row r="858">
      <c r="A858" s="322"/>
      <c r="B858" s="323"/>
      <c r="C858" s="327" t="s">
        <v>43</v>
      </c>
      <c r="D858" s="322"/>
      <c r="E858" s="322"/>
      <c r="F858" s="322"/>
      <c r="G858" s="322"/>
      <c r="H858" s="322"/>
      <c r="I858" s="322"/>
      <c r="J858" s="324"/>
      <c r="K858" s="323"/>
      <c r="L858" s="323"/>
      <c r="M858" s="323"/>
    </row>
    <row r="859">
      <c r="A859" s="322"/>
      <c r="B859" s="323"/>
      <c r="C859" s="226" t="s">
        <v>31</v>
      </c>
      <c r="D859" s="322"/>
      <c r="E859" s="322"/>
      <c r="F859" s="322"/>
      <c r="G859" s="322"/>
      <c r="H859" s="322"/>
      <c r="I859" s="322"/>
      <c r="J859" s="324"/>
      <c r="K859" s="323"/>
      <c r="L859" s="323"/>
      <c r="M859" s="323"/>
    </row>
    <row r="860">
      <c r="A860" s="322"/>
      <c r="B860" s="323"/>
      <c r="C860" s="226" t="s">
        <v>31</v>
      </c>
      <c r="D860" s="322"/>
      <c r="E860" s="322"/>
      <c r="F860" s="322"/>
      <c r="G860" s="322"/>
      <c r="H860" s="322"/>
      <c r="I860" s="322"/>
      <c r="J860" s="324"/>
      <c r="K860" s="323"/>
      <c r="L860" s="323"/>
      <c r="M860" s="323"/>
    </row>
    <row r="861">
      <c r="A861" s="322"/>
      <c r="B861" s="323"/>
      <c r="C861" s="226" t="s">
        <v>31</v>
      </c>
      <c r="D861" s="322"/>
      <c r="E861" s="322"/>
      <c r="F861" s="322"/>
      <c r="G861" s="322"/>
      <c r="H861" s="322"/>
      <c r="I861" s="322"/>
      <c r="J861" s="324"/>
      <c r="K861" s="323"/>
      <c r="L861" s="323"/>
      <c r="M861" s="323"/>
    </row>
    <row r="862">
      <c r="A862" s="322"/>
      <c r="B862" s="323"/>
      <c r="C862" s="226" t="s">
        <v>31</v>
      </c>
      <c r="D862" s="322"/>
      <c r="E862" s="322"/>
      <c r="F862" s="322"/>
      <c r="G862" s="322"/>
      <c r="H862" s="322"/>
      <c r="I862" s="322"/>
      <c r="J862" s="324"/>
      <c r="K862" s="323"/>
      <c r="L862" s="323"/>
      <c r="M862" s="323"/>
    </row>
    <row r="863">
      <c r="A863" s="322"/>
      <c r="B863" s="323"/>
      <c r="C863" s="226" t="s">
        <v>31</v>
      </c>
      <c r="D863" s="322"/>
      <c r="E863" s="322"/>
      <c r="F863" s="322"/>
      <c r="G863" s="322"/>
      <c r="H863" s="322"/>
      <c r="I863" s="322"/>
      <c r="J863" s="324"/>
      <c r="K863" s="323"/>
      <c r="L863" s="323"/>
      <c r="M863" s="323"/>
    </row>
    <row r="864">
      <c r="A864" s="322"/>
      <c r="B864" s="323"/>
      <c r="C864" s="330" t="s">
        <v>43</v>
      </c>
      <c r="D864" s="322"/>
      <c r="E864" s="322"/>
      <c r="F864" s="322"/>
      <c r="G864" s="322"/>
      <c r="H864" s="322"/>
      <c r="I864" s="322"/>
      <c r="J864" s="324"/>
      <c r="K864" s="323"/>
      <c r="L864" s="323"/>
      <c r="M864" s="323"/>
    </row>
    <row r="865">
      <c r="A865" s="322"/>
      <c r="B865" s="323"/>
      <c r="C865" s="330" t="s">
        <v>43</v>
      </c>
      <c r="D865" s="322"/>
      <c r="E865" s="322"/>
      <c r="F865" s="322"/>
      <c r="G865" s="322"/>
      <c r="H865" s="322"/>
      <c r="I865" s="322"/>
      <c r="J865" s="324"/>
      <c r="K865" s="323"/>
      <c r="L865" s="323"/>
      <c r="M865" s="323"/>
    </row>
    <row r="866">
      <c r="A866" s="322"/>
      <c r="B866" s="323"/>
      <c r="C866" s="330" t="s">
        <v>43</v>
      </c>
      <c r="D866" s="322"/>
      <c r="E866" s="322"/>
      <c r="F866" s="322"/>
      <c r="G866" s="322"/>
      <c r="H866" s="322"/>
      <c r="I866" s="322"/>
      <c r="J866" s="324"/>
      <c r="K866" s="323"/>
      <c r="L866" s="323"/>
      <c r="M866" s="323"/>
    </row>
    <row r="867">
      <c r="A867" s="322"/>
      <c r="B867" s="323"/>
      <c r="C867" s="330" t="s">
        <v>43</v>
      </c>
      <c r="D867" s="322"/>
      <c r="E867" s="322"/>
      <c r="F867" s="322"/>
      <c r="G867" s="322"/>
      <c r="H867" s="322"/>
      <c r="I867" s="322"/>
      <c r="J867" s="324"/>
      <c r="K867" s="323"/>
      <c r="L867" s="323"/>
      <c r="M867" s="323"/>
    </row>
    <row r="868">
      <c r="A868" s="322"/>
      <c r="B868" s="323"/>
      <c r="C868" s="327" t="s">
        <v>43</v>
      </c>
      <c r="D868" s="322"/>
      <c r="E868" s="322"/>
      <c r="F868" s="322"/>
      <c r="G868" s="322"/>
      <c r="H868" s="322"/>
      <c r="I868" s="322"/>
      <c r="J868" s="324"/>
      <c r="K868" s="323"/>
      <c r="L868" s="323"/>
      <c r="M868" s="323"/>
    </row>
    <row r="869">
      <c r="A869" s="322"/>
      <c r="B869" s="323"/>
      <c r="C869" s="327" t="s">
        <v>43</v>
      </c>
      <c r="D869" s="322"/>
      <c r="E869" s="322"/>
      <c r="F869" s="322"/>
      <c r="G869" s="322"/>
      <c r="H869" s="322"/>
      <c r="I869" s="322"/>
      <c r="J869" s="324"/>
      <c r="K869" s="323"/>
      <c r="L869" s="323"/>
      <c r="M869" s="323"/>
    </row>
    <row r="870">
      <c r="A870" s="322"/>
      <c r="B870" s="323"/>
      <c r="C870" s="330" t="s">
        <v>43</v>
      </c>
      <c r="D870" s="322"/>
      <c r="E870" s="322"/>
      <c r="F870" s="322"/>
      <c r="G870" s="322"/>
      <c r="H870" s="322"/>
      <c r="I870" s="322"/>
      <c r="J870" s="324"/>
      <c r="K870" s="323"/>
      <c r="L870" s="323"/>
      <c r="M870" s="323"/>
    </row>
    <row r="871">
      <c r="A871" s="322"/>
      <c r="B871" s="323"/>
      <c r="C871" s="330" t="s">
        <v>43</v>
      </c>
      <c r="D871" s="322"/>
      <c r="E871" s="322"/>
      <c r="F871" s="322"/>
      <c r="G871" s="322"/>
      <c r="H871" s="322"/>
      <c r="I871" s="322"/>
      <c r="J871" s="324"/>
      <c r="K871" s="323"/>
      <c r="L871" s="323"/>
      <c r="M871" s="323"/>
    </row>
    <row r="872">
      <c r="A872" s="322"/>
      <c r="B872" s="323"/>
      <c r="C872" s="226" t="s">
        <v>31</v>
      </c>
      <c r="D872" s="322"/>
      <c r="E872" s="322"/>
      <c r="F872" s="322"/>
      <c r="G872" s="322"/>
      <c r="H872" s="322"/>
      <c r="I872" s="322"/>
      <c r="J872" s="324"/>
      <c r="K872" s="323"/>
      <c r="L872" s="323"/>
      <c r="M872" s="323"/>
    </row>
    <row r="873">
      <c r="A873" s="322"/>
      <c r="B873" s="323"/>
      <c r="C873" s="226" t="s">
        <v>31</v>
      </c>
      <c r="D873" s="322"/>
      <c r="E873" s="322"/>
      <c r="F873" s="322"/>
      <c r="G873" s="322"/>
      <c r="H873" s="322"/>
      <c r="I873" s="322"/>
      <c r="J873" s="324"/>
      <c r="K873" s="323"/>
      <c r="L873" s="323"/>
      <c r="M873" s="323"/>
    </row>
    <row r="874">
      <c r="A874" s="322"/>
      <c r="B874" s="323"/>
      <c r="C874" s="226" t="s">
        <v>31</v>
      </c>
      <c r="D874" s="322"/>
      <c r="E874" s="322"/>
      <c r="F874" s="322"/>
      <c r="G874" s="322"/>
      <c r="H874" s="322"/>
      <c r="I874" s="322"/>
      <c r="J874" s="324"/>
      <c r="K874" s="323"/>
      <c r="L874" s="323"/>
      <c r="M874" s="323"/>
    </row>
    <row r="875">
      <c r="A875" s="322"/>
      <c r="B875" s="323"/>
      <c r="C875" s="327" t="s">
        <v>43</v>
      </c>
      <c r="D875" s="322"/>
      <c r="E875" s="322"/>
      <c r="F875" s="322"/>
      <c r="G875" s="322"/>
      <c r="H875" s="322"/>
      <c r="I875" s="322"/>
      <c r="J875" s="324"/>
      <c r="K875" s="323"/>
      <c r="L875" s="323"/>
      <c r="M875" s="323"/>
    </row>
    <row r="876">
      <c r="A876" s="322"/>
      <c r="B876" s="323"/>
      <c r="C876" s="327" t="s">
        <v>43</v>
      </c>
      <c r="D876" s="322"/>
      <c r="E876" s="322"/>
      <c r="F876" s="322"/>
      <c r="G876" s="322"/>
      <c r="H876" s="322"/>
      <c r="I876" s="322"/>
      <c r="J876" s="324"/>
      <c r="K876" s="323"/>
      <c r="L876" s="323"/>
      <c r="M876" s="323"/>
    </row>
    <row r="877">
      <c r="A877" s="322"/>
      <c r="B877" s="323"/>
      <c r="C877" s="226" t="s">
        <v>31</v>
      </c>
      <c r="D877" s="322"/>
      <c r="E877" s="322"/>
      <c r="F877" s="322"/>
      <c r="G877" s="322"/>
      <c r="H877" s="322"/>
      <c r="I877" s="322"/>
      <c r="J877" s="324"/>
      <c r="K877" s="323"/>
      <c r="L877" s="323"/>
      <c r="M877" s="323"/>
    </row>
    <row r="878">
      <c r="A878" s="322"/>
      <c r="B878" s="323"/>
      <c r="C878" s="327" t="s">
        <v>43</v>
      </c>
      <c r="D878" s="322"/>
      <c r="E878" s="322"/>
      <c r="F878" s="322"/>
      <c r="G878" s="322"/>
      <c r="H878" s="322"/>
      <c r="I878" s="322"/>
      <c r="J878" s="324"/>
      <c r="K878" s="323"/>
      <c r="L878" s="323"/>
      <c r="M878" s="323"/>
    </row>
    <row r="879">
      <c r="A879" s="322"/>
      <c r="B879" s="323"/>
      <c r="C879" s="327" t="s">
        <v>43</v>
      </c>
      <c r="D879" s="322"/>
      <c r="E879" s="322"/>
      <c r="F879" s="322"/>
      <c r="G879" s="322"/>
      <c r="H879" s="322"/>
      <c r="I879" s="322"/>
      <c r="J879" s="324"/>
      <c r="K879" s="323"/>
      <c r="L879" s="323"/>
      <c r="M879" s="323"/>
    </row>
    <row r="880">
      <c r="A880" s="322"/>
      <c r="B880" s="323"/>
      <c r="C880" s="226" t="s">
        <v>31</v>
      </c>
      <c r="D880" s="322"/>
      <c r="E880" s="322"/>
      <c r="F880" s="322"/>
      <c r="G880" s="322"/>
      <c r="H880" s="322"/>
      <c r="I880" s="322"/>
      <c r="J880" s="324"/>
      <c r="K880" s="323"/>
      <c r="L880" s="323"/>
      <c r="M880" s="323"/>
    </row>
    <row r="881">
      <c r="A881" s="322"/>
      <c r="B881" s="323"/>
      <c r="C881" s="226" t="s">
        <v>31</v>
      </c>
      <c r="D881" s="322"/>
      <c r="E881" s="322"/>
      <c r="F881" s="322"/>
      <c r="G881" s="322"/>
      <c r="H881" s="322"/>
      <c r="I881" s="322"/>
      <c r="J881" s="324"/>
      <c r="K881" s="323"/>
      <c r="L881" s="323"/>
      <c r="M881" s="323"/>
    </row>
    <row r="882">
      <c r="A882" s="322"/>
      <c r="B882" s="323"/>
      <c r="C882" s="328" t="s">
        <v>31</v>
      </c>
      <c r="D882" s="322"/>
      <c r="E882" s="322"/>
      <c r="F882" s="322"/>
      <c r="G882" s="322"/>
      <c r="H882" s="322"/>
      <c r="I882" s="322"/>
      <c r="J882" s="324"/>
      <c r="K882" s="323"/>
      <c r="L882" s="323"/>
      <c r="M882" s="323"/>
    </row>
    <row r="883">
      <c r="A883" s="322"/>
      <c r="B883" s="323"/>
      <c r="C883" s="328" t="s">
        <v>31</v>
      </c>
      <c r="D883" s="322"/>
      <c r="E883" s="322"/>
      <c r="F883" s="322"/>
      <c r="G883" s="322"/>
      <c r="H883" s="322"/>
      <c r="I883" s="322"/>
      <c r="J883" s="324"/>
      <c r="K883" s="323"/>
      <c r="L883" s="323"/>
      <c r="M883" s="323"/>
    </row>
    <row r="884">
      <c r="A884" s="322"/>
      <c r="B884" s="323"/>
      <c r="C884" s="328" t="s">
        <v>31</v>
      </c>
      <c r="D884" s="322"/>
      <c r="E884" s="322"/>
      <c r="F884" s="322"/>
      <c r="G884" s="322"/>
      <c r="H884" s="322"/>
      <c r="I884" s="322"/>
      <c r="J884" s="324"/>
      <c r="K884" s="323"/>
      <c r="L884" s="323"/>
      <c r="M884" s="323"/>
    </row>
    <row r="885">
      <c r="A885" s="322"/>
      <c r="B885" s="323"/>
      <c r="C885" s="327" t="s">
        <v>43</v>
      </c>
      <c r="D885" s="322"/>
      <c r="E885" s="322"/>
      <c r="F885" s="322"/>
      <c r="G885" s="322"/>
      <c r="H885" s="322"/>
      <c r="I885" s="322"/>
      <c r="J885" s="324"/>
      <c r="K885" s="323"/>
      <c r="L885" s="323"/>
      <c r="M885" s="323"/>
    </row>
    <row r="886">
      <c r="A886" s="322"/>
      <c r="B886" s="323"/>
      <c r="C886" s="327" t="s">
        <v>43</v>
      </c>
      <c r="D886" s="322"/>
      <c r="E886" s="322"/>
      <c r="F886" s="322"/>
      <c r="G886" s="322"/>
      <c r="H886" s="322"/>
      <c r="I886" s="322"/>
      <c r="J886" s="324"/>
      <c r="K886" s="323"/>
      <c r="L886" s="323"/>
      <c r="M886" s="323"/>
    </row>
    <row r="887">
      <c r="A887" s="322"/>
      <c r="B887" s="323"/>
      <c r="C887" s="226" t="s">
        <v>31</v>
      </c>
      <c r="D887" s="322"/>
      <c r="E887" s="322"/>
      <c r="F887" s="322"/>
      <c r="G887" s="322"/>
      <c r="H887" s="322"/>
      <c r="I887" s="322"/>
      <c r="J887" s="324"/>
      <c r="K887" s="323"/>
      <c r="L887" s="323"/>
      <c r="M887" s="323"/>
    </row>
    <row r="888">
      <c r="A888" s="322"/>
      <c r="B888" s="323"/>
      <c r="C888" s="226" t="s">
        <v>31</v>
      </c>
      <c r="D888" s="322"/>
      <c r="E888" s="322"/>
      <c r="F888" s="322"/>
      <c r="G888" s="322"/>
      <c r="H888" s="322"/>
      <c r="I888" s="322"/>
      <c r="J888" s="324"/>
      <c r="K888" s="323"/>
      <c r="L888" s="323"/>
      <c r="M888" s="323"/>
    </row>
    <row r="889">
      <c r="A889" s="322"/>
      <c r="B889" s="323"/>
      <c r="C889" s="327" t="s">
        <v>43</v>
      </c>
      <c r="D889" s="322"/>
      <c r="E889" s="322"/>
      <c r="F889" s="322"/>
      <c r="G889" s="322"/>
      <c r="H889" s="322"/>
      <c r="I889" s="322"/>
      <c r="J889" s="324"/>
      <c r="K889" s="323"/>
      <c r="L889" s="323"/>
      <c r="M889" s="323"/>
    </row>
    <row r="890">
      <c r="A890" s="322"/>
      <c r="B890" s="323"/>
      <c r="C890" s="327" t="s">
        <v>43</v>
      </c>
      <c r="D890" s="322"/>
      <c r="E890" s="322"/>
      <c r="F890" s="322"/>
      <c r="G890" s="322"/>
      <c r="H890" s="322"/>
      <c r="I890" s="322"/>
      <c r="J890" s="324"/>
      <c r="K890" s="323"/>
      <c r="L890" s="323"/>
      <c r="M890" s="323"/>
    </row>
    <row r="891">
      <c r="A891" s="322"/>
      <c r="B891" s="323"/>
      <c r="C891" s="226" t="s">
        <v>31</v>
      </c>
      <c r="D891" s="322"/>
      <c r="E891" s="322"/>
      <c r="F891" s="322"/>
      <c r="G891" s="322"/>
      <c r="H891" s="322"/>
      <c r="I891" s="322"/>
      <c r="J891" s="324"/>
      <c r="K891" s="323"/>
      <c r="L891" s="323"/>
      <c r="M891" s="323"/>
    </row>
    <row r="892">
      <c r="A892" s="322"/>
      <c r="B892" s="323"/>
      <c r="C892" s="327" t="s">
        <v>43</v>
      </c>
      <c r="D892" s="322"/>
      <c r="E892" s="322"/>
      <c r="F892" s="322"/>
      <c r="G892" s="322"/>
      <c r="H892" s="322"/>
      <c r="I892" s="322"/>
      <c r="J892" s="324"/>
      <c r="K892" s="323"/>
      <c r="L892" s="323"/>
      <c r="M892" s="323"/>
    </row>
    <row r="893">
      <c r="A893" s="322"/>
      <c r="B893" s="323"/>
      <c r="C893" s="327" t="s">
        <v>43</v>
      </c>
      <c r="D893" s="322"/>
      <c r="E893" s="322"/>
      <c r="F893" s="322"/>
      <c r="G893" s="322"/>
      <c r="H893" s="322"/>
      <c r="I893" s="322"/>
      <c r="J893" s="324"/>
      <c r="K893" s="323"/>
      <c r="L893" s="323"/>
      <c r="M893" s="323"/>
    </row>
    <row r="894">
      <c r="A894" s="322"/>
      <c r="B894" s="323"/>
      <c r="C894" s="226" t="s">
        <v>31</v>
      </c>
      <c r="D894" s="322"/>
      <c r="E894" s="322"/>
      <c r="F894" s="322"/>
      <c r="G894" s="322"/>
      <c r="H894" s="322"/>
      <c r="I894" s="322"/>
      <c r="J894" s="324"/>
      <c r="K894" s="323"/>
      <c r="L894" s="323"/>
      <c r="M894" s="323"/>
    </row>
    <row r="895">
      <c r="A895" s="322"/>
      <c r="B895" s="323"/>
      <c r="C895" s="330" t="s">
        <v>43</v>
      </c>
      <c r="D895" s="322"/>
      <c r="E895" s="322"/>
      <c r="F895" s="322"/>
      <c r="G895" s="322"/>
      <c r="H895" s="322"/>
      <c r="I895" s="322"/>
      <c r="J895" s="324"/>
      <c r="K895" s="323"/>
      <c r="L895" s="323"/>
      <c r="M895" s="323"/>
    </row>
    <row r="896">
      <c r="A896" s="322"/>
      <c r="B896" s="323"/>
      <c r="C896" s="330" t="s">
        <v>43</v>
      </c>
      <c r="D896" s="322"/>
      <c r="E896" s="322"/>
      <c r="F896" s="322"/>
      <c r="G896" s="322"/>
      <c r="H896" s="322"/>
      <c r="I896" s="322"/>
      <c r="J896" s="324"/>
      <c r="K896" s="323"/>
      <c r="L896" s="323"/>
      <c r="M896" s="323"/>
    </row>
    <row r="897">
      <c r="A897" s="322"/>
      <c r="B897" s="323"/>
      <c r="C897" s="226" t="s">
        <v>31</v>
      </c>
      <c r="D897" s="322"/>
      <c r="E897" s="322"/>
      <c r="F897" s="322"/>
      <c r="G897" s="322"/>
      <c r="H897" s="322"/>
      <c r="I897" s="322"/>
      <c r="J897" s="324"/>
      <c r="K897" s="323"/>
      <c r="L897" s="323"/>
      <c r="M897" s="323"/>
    </row>
    <row r="898">
      <c r="A898" s="322"/>
      <c r="B898" s="323"/>
      <c r="C898" s="327" t="s">
        <v>43</v>
      </c>
      <c r="D898" s="322"/>
      <c r="E898" s="322"/>
      <c r="F898" s="322"/>
      <c r="G898" s="322"/>
      <c r="H898" s="322"/>
      <c r="I898" s="322"/>
      <c r="J898" s="324"/>
      <c r="K898" s="323"/>
      <c r="L898" s="323"/>
      <c r="M898" s="323"/>
    </row>
    <row r="899">
      <c r="A899" s="322"/>
      <c r="B899" s="323"/>
      <c r="C899" s="327" t="s">
        <v>43</v>
      </c>
      <c r="D899" s="322"/>
      <c r="E899" s="322"/>
      <c r="F899" s="322"/>
      <c r="G899" s="322"/>
      <c r="H899" s="322"/>
      <c r="I899" s="322"/>
      <c r="J899" s="324"/>
      <c r="K899" s="323"/>
      <c r="L899" s="323"/>
      <c r="M899" s="323"/>
    </row>
    <row r="900">
      <c r="A900" s="322"/>
      <c r="B900" s="323"/>
      <c r="C900" s="327" t="s">
        <v>43</v>
      </c>
      <c r="D900" s="322"/>
      <c r="E900" s="322"/>
      <c r="F900" s="322"/>
      <c r="G900" s="322"/>
      <c r="H900" s="322"/>
      <c r="I900" s="322"/>
      <c r="J900" s="324"/>
      <c r="K900" s="323"/>
      <c r="L900" s="323"/>
      <c r="M900" s="323"/>
    </row>
    <row r="901">
      <c r="A901" s="322"/>
      <c r="B901" s="323"/>
      <c r="C901" s="226" t="s">
        <v>31</v>
      </c>
      <c r="D901" s="322"/>
      <c r="E901" s="322"/>
      <c r="F901" s="322"/>
      <c r="G901" s="322"/>
      <c r="H901" s="322"/>
      <c r="I901" s="322"/>
      <c r="J901" s="324"/>
      <c r="K901" s="323"/>
      <c r="L901" s="323"/>
      <c r="M901" s="323"/>
    </row>
    <row r="902">
      <c r="A902" s="322"/>
      <c r="B902" s="323"/>
      <c r="C902" s="226" t="s">
        <v>31</v>
      </c>
      <c r="D902" s="322"/>
      <c r="E902" s="322"/>
      <c r="F902" s="322"/>
      <c r="G902" s="322"/>
      <c r="H902" s="322"/>
      <c r="I902" s="322"/>
      <c r="J902" s="324"/>
      <c r="K902" s="323"/>
      <c r="L902" s="323"/>
      <c r="M902" s="323"/>
    </row>
    <row r="903">
      <c r="A903" s="322"/>
      <c r="B903" s="323"/>
      <c r="C903" s="327" t="s">
        <v>43</v>
      </c>
      <c r="D903" s="322"/>
      <c r="E903" s="322"/>
      <c r="F903" s="322"/>
      <c r="G903" s="322"/>
      <c r="H903" s="322"/>
      <c r="I903" s="322"/>
      <c r="J903" s="324"/>
      <c r="K903" s="323"/>
      <c r="L903" s="323"/>
      <c r="M903" s="323"/>
    </row>
    <row r="904">
      <c r="A904" s="322"/>
      <c r="B904" s="323"/>
      <c r="C904" s="327" t="s">
        <v>43</v>
      </c>
      <c r="D904" s="322"/>
      <c r="E904" s="322"/>
      <c r="F904" s="322"/>
      <c r="G904" s="322"/>
      <c r="H904" s="322"/>
      <c r="I904" s="322"/>
      <c r="J904" s="324"/>
      <c r="K904" s="323"/>
      <c r="L904" s="323"/>
      <c r="M904" s="323"/>
    </row>
    <row r="905">
      <c r="A905" s="322"/>
      <c r="B905" s="323"/>
      <c r="C905" s="327" t="s">
        <v>43</v>
      </c>
      <c r="D905" s="322"/>
      <c r="E905" s="322"/>
      <c r="F905" s="322"/>
      <c r="G905" s="322"/>
      <c r="H905" s="322"/>
      <c r="I905" s="322"/>
      <c r="J905" s="324"/>
      <c r="K905" s="323"/>
      <c r="L905" s="323"/>
      <c r="M905" s="323"/>
    </row>
    <row r="906">
      <c r="A906" s="322"/>
      <c r="B906" s="323"/>
      <c r="C906" s="327" t="s">
        <v>43</v>
      </c>
      <c r="D906" s="322"/>
      <c r="E906" s="322"/>
      <c r="F906" s="322"/>
      <c r="G906" s="322"/>
      <c r="H906" s="322"/>
      <c r="I906" s="322"/>
      <c r="J906" s="324"/>
      <c r="K906" s="323"/>
      <c r="L906" s="323"/>
      <c r="M906" s="323"/>
    </row>
    <row r="907">
      <c r="A907" s="322"/>
      <c r="B907" s="323"/>
      <c r="C907" s="327" t="s">
        <v>43</v>
      </c>
      <c r="D907" s="322"/>
      <c r="E907" s="322"/>
      <c r="F907" s="322"/>
      <c r="G907" s="322"/>
      <c r="H907" s="322"/>
      <c r="I907" s="322"/>
      <c r="J907" s="324"/>
      <c r="K907" s="323"/>
      <c r="L907" s="323"/>
      <c r="M907" s="323"/>
    </row>
    <row r="908">
      <c r="A908" s="322"/>
      <c r="B908" s="323"/>
      <c r="C908" s="327" t="s">
        <v>43</v>
      </c>
      <c r="D908" s="322"/>
      <c r="E908" s="322"/>
      <c r="F908" s="322"/>
      <c r="G908" s="322"/>
      <c r="H908" s="322"/>
      <c r="I908" s="322"/>
      <c r="J908" s="324"/>
      <c r="K908" s="323"/>
      <c r="L908" s="323"/>
      <c r="M908" s="323"/>
    </row>
    <row r="909">
      <c r="A909" s="322"/>
      <c r="B909" s="323"/>
      <c r="C909" s="226" t="s">
        <v>31</v>
      </c>
      <c r="D909" s="322"/>
      <c r="E909" s="322"/>
      <c r="F909" s="322"/>
      <c r="G909" s="322"/>
      <c r="H909" s="322"/>
      <c r="I909" s="322"/>
      <c r="J909" s="324"/>
      <c r="K909" s="323"/>
      <c r="L909" s="323"/>
      <c r="M909" s="323"/>
    </row>
    <row r="910">
      <c r="A910" s="322"/>
      <c r="B910" s="323"/>
      <c r="C910" s="226" t="s">
        <v>31</v>
      </c>
      <c r="D910" s="322"/>
      <c r="E910" s="322"/>
      <c r="F910" s="322"/>
      <c r="G910" s="322"/>
      <c r="H910" s="322"/>
      <c r="I910" s="322"/>
      <c r="J910" s="324"/>
      <c r="K910" s="323"/>
      <c r="L910" s="323"/>
      <c r="M910" s="323"/>
    </row>
    <row r="911">
      <c r="A911" s="322"/>
      <c r="B911" s="323"/>
      <c r="C911" s="327" t="s">
        <v>43</v>
      </c>
      <c r="D911" s="322"/>
      <c r="E911" s="322"/>
      <c r="F911" s="322"/>
      <c r="G911" s="322"/>
      <c r="H911" s="322"/>
      <c r="I911" s="322"/>
      <c r="J911" s="324"/>
      <c r="K911" s="323"/>
      <c r="L911" s="323"/>
      <c r="M911" s="323"/>
    </row>
    <row r="912">
      <c r="A912" s="322"/>
      <c r="B912" s="323"/>
      <c r="C912" s="327" t="s">
        <v>43</v>
      </c>
      <c r="D912" s="322"/>
      <c r="E912" s="322"/>
      <c r="F912" s="322"/>
      <c r="G912" s="322"/>
      <c r="H912" s="322"/>
      <c r="I912" s="322"/>
      <c r="J912" s="324"/>
      <c r="K912" s="323"/>
      <c r="L912" s="323"/>
      <c r="M912" s="323"/>
    </row>
    <row r="913">
      <c r="A913" s="322"/>
      <c r="B913" s="323"/>
      <c r="C913" s="327" t="s">
        <v>43</v>
      </c>
      <c r="D913" s="322"/>
      <c r="E913" s="322"/>
      <c r="F913" s="322"/>
      <c r="G913" s="322"/>
      <c r="H913" s="322"/>
      <c r="I913" s="322"/>
      <c r="J913" s="324"/>
      <c r="K913" s="323"/>
      <c r="L913" s="323"/>
      <c r="M913" s="323"/>
    </row>
    <row r="914">
      <c r="A914" s="322"/>
      <c r="B914" s="323"/>
      <c r="C914" s="327" t="s">
        <v>43</v>
      </c>
      <c r="D914" s="322"/>
      <c r="E914" s="322"/>
      <c r="F914" s="322"/>
      <c r="G914" s="322"/>
      <c r="H914" s="322"/>
      <c r="I914" s="322"/>
      <c r="J914" s="324"/>
      <c r="K914" s="323"/>
      <c r="L914" s="323"/>
      <c r="M914" s="323"/>
    </row>
    <row r="915">
      <c r="A915" s="322"/>
      <c r="B915" s="323"/>
      <c r="C915" s="327" t="s">
        <v>43</v>
      </c>
      <c r="D915" s="322"/>
      <c r="E915" s="322"/>
      <c r="F915" s="322"/>
      <c r="G915" s="322"/>
      <c r="H915" s="322"/>
      <c r="I915" s="322"/>
      <c r="J915" s="324"/>
      <c r="K915" s="323"/>
      <c r="L915" s="323"/>
      <c r="M915" s="323"/>
    </row>
    <row r="916">
      <c r="A916" s="322"/>
      <c r="B916" s="323"/>
      <c r="C916" s="327" t="s">
        <v>43</v>
      </c>
      <c r="D916" s="322"/>
      <c r="E916" s="322"/>
      <c r="F916" s="322"/>
      <c r="G916" s="322"/>
      <c r="H916" s="322"/>
      <c r="I916" s="322"/>
      <c r="J916" s="324"/>
      <c r="K916" s="323"/>
      <c r="L916" s="323"/>
      <c r="M916" s="323"/>
    </row>
    <row r="917">
      <c r="A917" s="322"/>
      <c r="B917" s="323"/>
      <c r="C917" s="327" t="s">
        <v>43</v>
      </c>
      <c r="D917" s="322"/>
      <c r="E917" s="322"/>
      <c r="F917" s="322"/>
      <c r="G917" s="322"/>
      <c r="H917" s="322"/>
      <c r="I917" s="322"/>
      <c r="J917" s="324"/>
      <c r="K917" s="323"/>
      <c r="L917" s="323"/>
      <c r="M917" s="323"/>
    </row>
    <row r="918">
      <c r="A918" s="322"/>
      <c r="B918" s="323"/>
      <c r="C918" s="327" t="s">
        <v>43</v>
      </c>
      <c r="D918" s="322"/>
      <c r="E918" s="322"/>
      <c r="F918" s="322"/>
      <c r="G918" s="322"/>
      <c r="H918" s="322"/>
      <c r="I918" s="322"/>
      <c r="J918" s="324"/>
      <c r="K918" s="323"/>
      <c r="L918" s="323"/>
      <c r="M918" s="323"/>
    </row>
    <row r="919">
      <c r="A919" s="322"/>
      <c r="B919" s="323"/>
      <c r="C919" s="226" t="s">
        <v>31</v>
      </c>
      <c r="D919" s="322"/>
      <c r="E919" s="322"/>
      <c r="F919" s="322"/>
      <c r="G919" s="322"/>
      <c r="H919" s="322"/>
      <c r="I919" s="322"/>
      <c r="J919" s="324"/>
      <c r="K919" s="323"/>
      <c r="L919" s="323"/>
      <c r="M919" s="323"/>
    </row>
    <row r="920">
      <c r="A920" s="322"/>
      <c r="B920" s="323"/>
      <c r="C920" s="327" t="s">
        <v>43</v>
      </c>
      <c r="D920" s="322"/>
      <c r="E920" s="322"/>
      <c r="F920" s="322"/>
      <c r="G920" s="322"/>
      <c r="H920" s="322"/>
      <c r="I920" s="322"/>
      <c r="J920" s="324"/>
      <c r="K920" s="323"/>
      <c r="L920" s="323"/>
      <c r="M920" s="323"/>
    </row>
    <row r="921">
      <c r="A921" s="322"/>
      <c r="B921" s="323"/>
      <c r="C921" s="327" t="s">
        <v>43</v>
      </c>
      <c r="D921" s="322"/>
      <c r="E921" s="322"/>
      <c r="F921" s="322"/>
      <c r="G921" s="322"/>
      <c r="H921" s="322"/>
      <c r="I921" s="322"/>
      <c r="J921" s="324"/>
      <c r="K921" s="323"/>
      <c r="L921" s="323"/>
      <c r="M921" s="323"/>
    </row>
    <row r="922">
      <c r="A922" s="322"/>
      <c r="B922" s="323"/>
      <c r="C922" s="327" t="s">
        <v>43</v>
      </c>
      <c r="D922" s="322"/>
      <c r="E922" s="322"/>
      <c r="F922" s="322"/>
      <c r="G922" s="322"/>
      <c r="H922" s="322"/>
      <c r="I922" s="322"/>
      <c r="J922" s="324"/>
      <c r="K922" s="323"/>
      <c r="L922" s="323"/>
      <c r="M922" s="323"/>
    </row>
    <row r="923">
      <c r="A923" s="322"/>
      <c r="B923" s="323"/>
      <c r="C923" s="331" t="s">
        <v>31</v>
      </c>
      <c r="D923" s="322"/>
      <c r="E923" s="322"/>
      <c r="F923" s="322"/>
      <c r="G923" s="322"/>
      <c r="H923" s="322"/>
      <c r="I923" s="322"/>
      <c r="J923" s="324"/>
      <c r="K923" s="323"/>
      <c r="L923" s="323"/>
      <c r="M923" s="323"/>
    </row>
    <row r="924">
      <c r="A924" s="322"/>
      <c r="B924" s="323"/>
      <c r="C924" s="327" t="s">
        <v>43</v>
      </c>
      <c r="D924" s="322"/>
      <c r="E924" s="322"/>
      <c r="F924" s="322"/>
      <c r="G924" s="322"/>
      <c r="H924" s="322"/>
      <c r="I924" s="322"/>
      <c r="J924" s="324"/>
      <c r="K924" s="323"/>
      <c r="L924" s="323"/>
      <c r="M924" s="323"/>
    </row>
    <row r="925">
      <c r="A925" s="322"/>
      <c r="B925" s="323"/>
      <c r="C925" s="327" t="s">
        <v>43</v>
      </c>
      <c r="D925" s="322"/>
      <c r="E925" s="322"/>
      <c r="F925" s="322"/>
      <c r="G925" s="322"/>
      <c r="H925" s="322"/>
      <c r="I925" s="322"/>
      <c r="J925" s="324"/>
      <c r="K925" s="323"/>
      <c r="L925" s="323"/>
      <c r="M925" s="323"/>
    </row>
    <row r="926">
      <c r="A926" s="322"/>
      <c r="B926" s="323"/>
      <c r="C926" s="330" t="s">
        <v>43</v>
      </c>
      <c r="D926" s="322"/>
      <c r="E926" s="322"/>
      <c r="F926" s="322"/>
      <c r="G926" s="322"/>
      <c r="H926" s="322"/>
      <c r="I926" s="322"/>
      <c r="J926" s="324"/>
      <c r="K926" s="323"/>
      <c r="L926" s="323"/>
      <c r="M926" s="323"/>
    </row>
    <row r="927">
      <c r="A927" s="322"/>
      <c r="B927" s="323"/>
      <c r="C927" s="330" t="s">
        <v>43</v>
      </c>
      <c r="D927" s="322"/>
      <c r="E927" s="322"/>
      <c r="F927" s="322"/>
      <c r="G927" s="322"/>
      <c r="H927" s="322"/>
      <c r="I927" s="322"/>
      <c r="J927" s="324"/>
      <c r="K927" s="323"/>
      <c r="L927" s="323"/>
      <c r="M927" s="323"/>
    </row>
    <row r="928">
      <c r="A928" s="322"/>
      <c r="B928" s="323"/>
      <c r="C928" s="327" t="s">
        <v>43</v>
      </c>
      <c r="D928" s="322"/>
      <c r="E928" s="322"/>
      <c r="F928" s="322"/>
      <c r="G928" s="322"/>
      <c r="H928" s="322"/>
      <c r="I928" s="322"/>
      <c r="J928" s="324"/>
      <c r="K928" s="323"/>
      <c r="L928" s="323"/>
      <c r="M928" s="323"/>
    </row>
    <row r="929">
      <c r="A929" s="322"/>
      <c r="B929" s="323"/>
      <c r="C929" s="327" t="s">
        <v>43</v>
      </c>
      <c r="D929" s="322"/>
      <c r="E929" s="322"/>
      <c r="F929" s="322"/>
      <c r="G929" s="322"/>
      <c r="H929" s="322"/>
      <c r="I929" s="322"/>
      <c r="J929" s="324"/>
      <c r="K929" s="323"/>
      <c r="L929" s="323"/>
      <c r="M929" s="323"/>
    </row>
    <row r="930">
      <c r="A930" s="322"/>
      <c r="B930" s="323"/>
      <c r="C930" s="327" t="s">
        <v>43</v>
      </c>
      <c r="D930" s="322"/>
      <c r="E930" s="322"/>
      <c r="F930" s="322"/>
      <c r="G930" s="322"/>
      <c r="H930" s="322"/>
      <c r="I930" s="322"/>
      <c r="J930" s="324"/>
      <c r="K930" s="323"/>
      <c r="L930" s="323"/>
      <c r="M930" s="323"/>
    </row>
    <row r="931">
      <c r="A931" s="322"/>
      <c r="B931" s="323"/>
      <c r="C931" s="327" t="s">
        <v>43</v>
      </c>
      <c r="D931" s="322"/>
      <c r="E931" s="322"/>
      <c r="F931" s="322"/>
      <c r="G931" s="322"/>
      <c r="H931" s="322"/>
      <c r="I931" s="322"/>
      <c r="J931" s="324"/>
      <c r="K931" s="323"/>
      <c r="L931" s="323"/>
      <c r="M931" s="323"/>
    </row>
    <row r="932">
      <c r="A932" s="322"/>
      <c r="B932" s="323"/>
      <c r="C932" s="332" t="s">
        <v>31</v>
      </c>
      <c r="D932" s="322"/>
      <c r="E932" s="322"/>
      <c r="F932" s="322"/>
      <c r="G932" s="322"/>
      <c r="H932" s="322"/>
      <c r="I932" s="322"/>
      <c r="J932" s="324"/>
      <c r="K932" s="323"/>
      <c r="L932" s="323"/>
      <c r="M932" s="323"/>
    </row>
    <row r="933">
      <c r="A933" s="322"/>
      <c r="B933" s="323"/>
      <c r="C933" s="327" t="s">
        <v>43</v>
      </c>
      <c r="D933" s="322"/>
      <c r="E933" s="322"/>
      <c r="F933" s="322"/>
      <c r="G933" s="322"/>
      <c r="H933" s="322"/>
      <c r="I933" s="322"/>
      <c r="J933" s="324"/>
      <c r="K933" s="323"/>
      <c r="L933" s="323"/>
      <c r="M933" s="323"/>
    </row>
    <row r="934">
      <c r="A934" s="322"/>
      <c r="B934" s="323"/>
      <c r="C934" s="327" t="s">
        <v>43</v>
      </c>
      <c r="D934" s="322"/>
      <c r="E934" s="322"/>
      <c r="F934" s="322"/>
      <c r="G934" s="322"/>
      <c r="H934" s="322"/>
      <c r="I934" s="322"/>
      <c r="J934" s="324"/>
      <c r="K934" s="323"/>
      <c r="L934" s="323"/>
      <c r="M934" s="323"/>
    </row>
    <row r="935">
      <c r="A935" s="322"/>
      <c r="B935" s="323"/>
      <c r="C935" s="328" t="s">
        <v>31</v>
      </c>
      <c r="D935" s="322"/>
      <c r="E935" s="322"/>
      <c r="F935" s="322"/>
      <c r="G935" s="322"/>
      <c r="H935" s="322"/>
      <c r="I935" s="322"/>
      <c r="J935" s="324"/>
      <c r="K935" s="323"/>
      <c r="L935" s="323"/>
      <c r="M935" s="323"/>
    </row>
    <row r="936">
      <c r="A936" s="322"/>
      <c r="B936" s="323"/>
      <c r="C936" s="327" t="s">
        <v>43</v>
      </c>
      <c r="D936" s="322"/>
      <c r="E936" s="322"/>
      <c r="F936" s="322"/>
      <c r="G936" s="322"/>
      <c r="H936" s="322"/>
      <c r="I936" s="322"/>
      <c r="J936" s="324"/>
      <c r="K936" s="323"/>
      <c r="L936" s="323"/>
      <c r="M936" s="323"/>
    </row>
    <row r="937">
      <c r="A937" s="322"/>
      <c r="B937" s="323"/>
      <c r="C937" s="327" t="s">
        <v>43</v>
      </c>
      <c r="D937" s="322"/>
      <c r="E937" s="322"/>
      <c r="F937" s="322"/>
      <c r="G937" s="322"/>
      <c r="H937" s="322"/>
      <c r="I937" s="322"/>
      <c r="J937" s="324"/>
      <c r="K937" s="323"/>
      <c r="L937" s="323"/>
      <c r="M937" s="323"/>
    </row>
    <row r="938">
      <c r="A938" s="322"/>
      <c r="B938" s="323"/>
      <c r="C938" s="327" t="s">
        <v>43</v>
      </c>
      <c r="D938" s="322"/>
      <c r="E938" s="322"/>
      <c r="F938" s="322"/>
      <c r="G938" s="322"/>
      <c r="H938" s="322"/>
      <c r="I938" s="322"/>
      <c r="J938" s="324"/>
      <c r="K938" s="323"/>
      <c r="L938" s="323"/>
      <c r="M938" s="323"/>
    </row>
    <row r="939">
      <c r="A939" s="322"/>
      <c r="B939" s="323"/>
      <c r="C939" s="327" t="s">
        <v>43</v>
      </c>
      <c r="D939" s="322"/>
      <c r="E939" s="322"/>
      <c r="F939" s="322"/>
      <c r="G939" s="322"/>
      <c r="H939" s="322"/>
      <c r="I939" s="322"/>
      <c r="J939" s="324"/>
      <c r="K939" s="323"/>
      <c r="L939" s="323"/>
      <c r="M939" s="323"/>
    </row>
    <row r="940">
      <c r="A940" s="322"/>
      <c r="B940" s="323"/>
      <c r="C940" s="327" t="s">
        <v>43</v>
      </c>
      <c r="D940" s="322"/>
      <c r="E940" s="322"/>
      <c r="F940" s="322"/>
      <c r="G940" s="322"/>
      <c r="H940" s="322"/>
      <c r="I940" s="322"/>
      <c r="J940" s="324"/>
      <c r="K940" s="323"/>
      <c r="L940" s="323"/>
      <c r="M940" s="323"/>
    </row>
    <row r="941">
      <c r="A941" s="322"/>
      <c r="B941" s="323"/>
      <c r="C941" s="327" t="s">
        <v>43</v>
      </c>
      <c r="D941" s="322"/>
      <c r="E941" s="322"/>
      <c r="F941" s="322"/>
      <c r="G941" s="322"/>
      <c r="H941" s="322"/>
      <c r="I941" s="322"/>
      <c r="J941" s="324"/>
      <c r="K941" s="323"/>
      <c r="L941" s="323"/>
      <c r="M941" s="323"/>
    </row>
    <row r="942">
      <c r="A942" s="322"/>
      <c r="B942" s="323"/>
      <c r="C942" s="331" t="s">
        <v>31</v>
      </c>
      <c r="D942" s="322"/>
      <c r="E942" s="322"/>
      <c r="F942" s="322"/>
      <c r="G942" s="322"/>
      <c r="H942" s="322"/>
      <c r="I942" s="322"/>
      <c r="J942" s="324"/>
      <c r="K942" s="323"/>
      <c r="L942" s="323"/>
      <c r="M942" s="323"/>
    </row>
    <row r="943">
      <c r="A943" s="322"/>
      <c r="B943" s="323"/>
      <c r="C943" s="226" t="s">
        <v>31</v>
      </c>
      <c r="D943" s="322"/>
      <c r="E943" s="322"/>
      <c r="F943" s="322"/>
      <c r="G943" s="322"/>
      <c r="H943" s="322"/>
      <c r="I943" s="322"/>
      <c r="J943" s="324"/>
      <c r="K943" s="323"/>
      <c r="L943" s="323"/>
      <c r="M943" s="323"/>
    </row>
    <row r="944">
      <c r="A944" s="322"/>
      <c r="B944" s="323"/>
      <c r="C944" s="226" t="s">
        <v>31</v>
      </c>
      <c r="D944" s="322"/>
      <c r="E944" s="322"/>
      <c r="F944" s="322"/>
      <c r="G944" s="322"/>
      <c r="H944" s="322"/>
      <c r="I944" s="322"/>
      <c r="J944" s="324"/>
      <c r="K944" s="323"/>
      <c r="L944" s="323"/>
      <c r="M944" s="323"/>
    </row>
    <row r="945">
      <c r="A945" s="322"/>
      <c r="B945" s="323"/>
      <c r="C945" s="226" t="s">
        <v>31</v>
      </c>
      <c r="D945" s="322"/>
      <c r="E945" s="322"/>
      <c r="F945" s="322"/>
      <c r="G945" s="322"/>
      <c r="H945" s="322"/>
      <c r="I945" s="322"/>
      <c r="J945" s="324"/>
      <c r="K945" s="323"/>
      <c r="L945" s="323"/>
      <c r="M945" s="323"/>
    </row>
    <row r="946">
      <c r="A946" s="322"/>
      <c r="B946" s="323"/>
      <c r="C946" s="226" t="s">
        <v>31</v>
      </c>
      <c r="D946" s="322"/>
      <c r="E946" s="322"/>
      <c r="F946" s="322"/>
      <c r="G946" s="322"/>
      <c r="H946" s="322"/>
      <c r="I946" s="322"/>
      <c r="J946" s="324"/>
      <c r="K946" s="323"/>
      <c r="L946" s="323"/>
      <c r="M946" s="323"/>
    </row>
    <row r="947">
      <c r="A947" s="322"/>
      <c r="B947" s="323"/>
      <c r="C947" s="226" t="s">
        <v>31</v>
      </c>
      <c r="D947" s="322"/>
      <c r="E947" s="322"/>
      <c r="F947" s="322"/>
      <c r="G947" s="322"/>
      <c r="H947" s="322"/>
      <c r="I947" s="322"/>
      <c r="J947" s="324"/>
      <c r="K947" s="323"/>
      <c r="L947" s="323"/>
      <c r="M947" s="323"/>
    </row>
    <row r="948">
      <c r="A948" s="322"/>
      <c r="B948" s="323"/>
      <c r="C948" s="226" t="s">
        <v>31</v>
      </c>
      <c r="D948" s="322"/>
      <c r="E948" s="322"/>
      <c r="F948" s="322"/>
      <c r="G948" s="322"/>
      <c r="H948" s="322"/>
      <c r="I948" s="322"/>
      <c r="J948" s="324"/>
      <c r="K948" s="323"/>
      <c r="L948" s="323"/>
      <c r="M948" s="323"/>
    </row>
    <row r="949">
      <c r="A949" s="322"/>
      <c r="B949" s="323"/>
      <c r="C949" s="226" t="s">
        <v>31</v>
      </c>
      <c r="D949" s="322"/>
      <c r="E949" s="322"/>
      <c r="F949" s="322"/>
      <c r="G949" s="322"/>
      <c r="H949" s="322"/>
      <c r="I949" s="322"/>
      <c r="J949" s="324"/>
      <c r="K949" s="323"/>
      <c r="L949" s="323"/>
      <c r="M949" s="323"/>
    </row>
    <row r="950">
      <c r="A950" s="322"/>
      <c r="B950" s="323"/>
      <c r="C950" s="226" t="s">
        <v>31</v>
      </c>
      <c r="D950" s="322"/>
      <c r="E950" s="322"/>
      <c r="F950" s="322"/>
      <c r="G950" s="322"/>
      <c r="H950" s="322"/>
      <c r="I950" s="322"/>
      <c r="J950" s="324"/>
      <c r="K950" s="323"/>
      <c r="L950" s="323"/>
      <c r="M950" s="323"/>
    </row>
    <row r="951">
      <c r="A951" s="322"/>
      <c r="B951" s="323"/>
      <c r="C951" s="226" t="s">
        <v>31</v>
      </c>
      <c r="D951" s="322"/>
      <c r="E951" s="322"/>
      <c r="F951" s="322"/>
      <c r="G951" s="322"/>
      <c r="H951" s="322"/>
      <c r="I951" s="322"/>
      <c r="J951" s="324"/>
      <c r="K951" s="323"/>
      <c r="L951" s="323"/>
      <c r="M951" s="323"/>
    </row>
    <row r="952">
      <c r="A952" s="322"/>
      <c r="B952" s="323"/>
      <c r="C952" s="327" t="s">
        <v>43</v>
      </c>
      <c r="D952" s="322"/>
      <c r="E952" s="322"/>
      <c r="F952" s="322"/>
      <c r="G952" s="322"/>
      <c r="H952" s="322"/>
      <c r="I952" s="322"/>
      <c r="J952" s="324"/>
      <c r="K952" s="323"/>
      <c r="L952" s="323"/>
      <c r="M952" s="323"/>
    </row>
    <row r="953">
      <c r="A953" s="322"/>
      <c r="B953" s="323"/>
      <c r="C953" s="327" t="s">
        <v>43</v>
      </c>
      <c r="D953" s="322"/>
      <c r="E953" s="322"/>
      <c r="F953" s="322"/>
      <c r="G953" s="322"/>
      <c r="H953" s="322"/>
      <c r="I953" s="322"/>
      <c r="J953" s="324"/>
      <c r="K953" s="323"/>
      <c r="L953" s="323"/>
      <c r="M953" s="323"/>
    </row>
    <row r="954">
      <c r="A954" s="322"/>
      <c r="B954" s="323"/>
      <c r="C954" s="226" t="s">
        <v>31</v>
      </c>
      <c r="D954" s="322"/>
      <c r="E954" s="322"/>
      <c r="F954" s="322"/>
      <c r="G954" s="322"/>
      <c r="H954" s="322"/>
      <c r="I954" s="322"/>
      <c r="J954" s="324"/>
      <c r="K954" s="323"/>
      <c r="L954" s="323"/>
      <c r="M954" s="323"/>
    </row>
    <row r="955">
      <c r="A955" s="322"/>
      <c r="B955" s="323"/>
      <c r="C955" s="331" t="s">
        <v>31</v>
      </c>
      <c r="D955" s="322"/>
      <c r="E955" s="322"/>
      <c r="F955" s="322"/>
      <c r="G955" s="322"/>
      <c r="H955" s="322"/>
      <c r="I955" s="322"/>
      <c r="J955" s="324"/>
      <c r="K955" s="323"/>
      <c r="L955" s="323"/>
      <c r="M955" s="323"/>
    </row>
    <row r="956">
      <c r="A956" s="322"/>
      <c r="B956" s="323"/>
      <c r="C956" s="330" t="s">
        <v>43</v>
      </c>
      <c r="D956" s="322"/>
      <c r="E956" s="322"/>
      <c r="F956" s="322"/>
      <c r="G956" s="322"/>
      <c r="H956" s="322"/>
      <c r="I956" s="322"/>
      <c r="J956" s="324"/>
      <c r="K956" s="323"/>
      <c r="L956" s="323"/>
      <c r="M956" s="323"/>
    </row>
    <row r="957">
      <c r="A957" s="322"/>
      <c r="B957" s="323"/>
      <c r="C957" s="330" t="s">
        <v>43</v>
      </c>
      <c r="D957" s="322"/>
      <c r="E957" s="322"/>
      <c r="F957" s="322"/>
      <c r="G957" s="322"/>
      <c r="H957" s="322"/>
      <c r="I957" s="322"/>
      <c r="J957" s="324"/>
      <c r="K957" s="323"/>
      <c r="L957" s="323"/>
      <c r="M957" s="323"/>
    </row>
    <row r="958">
      <c r="A958" s="322"/>
      <c r="B958" s="323"/>
      <c r="C958" s="226" t="s">
        <v>31</v>
      </c>
      <c r="D958" s="322"/>
      <c r="E958" s="322"/>
      <c r="F958" s="322"/>
      <c r="G958" s="322"/>
      <c r="H958" s="322"/>
      <c r="I958" s="322"/>
      <c r="J958" s="324"/>
      <c r="K958" s="323"/>
      <c r="L958" s="323"/>
      <c r="M958" s="323"/>
    </row>
    <row r="959">
      <c r="A959" s="322"/>
      <c r="B959" s="323"/>
      <c r="C959" s="327" t="s">
        <v>43</v>
      </c>
      <c r="D959" s="322"/>
      <c r="E959" s="322"/>
      <c r="F959" s="322"/>
      <c r="G959" s="322"/>
      <c r="H959" s="322"/>
      <c r="I959" s="322"/>
      <c r="J959" s="324"/>
      <c r="K959" s="323"/>
      <c r="L959" s="323"/>
      <c r="M959" s="323"/>
    </row>
    <row r="960">
      <c r="A960" s="322"/>
      <c r="B960" s="323"/>
      <c r="C960" s="327" t="s">
        <v>43</v>
      </c>
      <c r="D960" s="322"/>
      <c r="E960" s="322"/>
      <c r="F960" s="322"/>
      <c r="G960" s="322"/>
      <c r="H960" s="322"/>
      <c r="I960" s="322"/>
      <c r="J960" s="324"/>
      <c r="K960" s="323"/>
      <c r="L960" s="323"/>
      <c r="M960" s="323"/>
    </row>
    <row r="961">
      <c r="A961" s="322"/>
      <c r="B961" s="323"/>
      <c r="C961" s="226" t="s">
        <v>31</v>
      </c>
      <c r="D961" s="322"/>
      <c r="E961" s="322"/>
      <c r="F961" s="322"/>
      <c r="G961" s="322"/>
      <c r="H961" s="322"/>
      <c r="I961" s="322"/>
      <c r="J961" s="324"/>
      <c r="K961" s="323"/>
      <c r="L961" s="323"/>
      <c r="M961" s="323"/>
    </row>
    <row r="962">
      <c r="A962" s="322"/>
      <c r="B962" s="323"/>
      <c r="C962" s="226" t="s">
        <v>31</v>
      </c>
      <c r="D962" s="322"/>
      <c r="E962" s="322"/>
      <c r="F962" s="322"/>
      <c r="G962" s="322"/>
      <c r="H962" s="322"/>
      <c r="I962" s="322"/>
      <c r="J962" s="324"/>
      <c r="K962" s="323"/>
      <c r="L962" s="323"/>
      <c r="M962" s="323"/>
    </row>
    <row r="963">
      <c r="A963" s="322"/>
      <c r="B963" s="323"/>
      <c r="C963" s="226" t="s">
        <v>31</v>
      </c>
      <c r="D963" s="322"/>
      <c r="E963" s="322"/>
      <c r="F963" s="322"/>
      <c r="G963" s="322"/>
      <c r="H963" s="322"/>
      <c r="I963" s="322"/>
      <c r="J963" s="324"/>
      <c r="K963" s="323"/>
      <c r="L963" s="323"/>
      <c r="M963" s="323"/>
    </row>
    <row r="964">
      <c r="A964" s="322"/>
      <c r="B964" s="323"/>
      <c r="C964" s="327" t="s">
        <v>43</v>
      </c>
      <c r="D964" s="322"/>
      <c r="E964" s="322"/>
      <c r="F964" s="322"/>
      <c r="G964" s="322"/>
      <c r="H964" s="322"/>
      <c r="I964" s="322"/>
      <c r="J964" s="324"/>
      <c r="K964" s="323"/>
      <c r="L964" s="323"/>
      <c r="M964" s="323"/>
    </row>
    <row r="965">
      <c r="A965" s="322"/>
      <c r="B965" s="323"/>
      <c r="C965" s="327" t="s">
        <v>43</v>
      </c>
      <c r="D965" s="322"/>
      <c r="E965" s="322"/>
      <c r="F965" s="322"/>
      <c r="G965" s="322"/>
      <c r="H965" s="322"/>
      <c r="I965" s="322"/>
      <c r="J965" s="324"/>
      <c r="K965" s="323"/>
      <c r="L965" s="323"/>
      <c r="M965" s="323"/>
    </row>
    <row r="966">
      <c r="A966" s="322"/>
      <c r="B966" s="323"/>
      <c r="C966" s="226" t="s">
        <v>31</v>
      </c>
      <c r="D966" s="322"/>
      <c r="E966" s="322"/>
      <c r="F966" s="322"/>
      <c r="G966" s="322"/>
      <c r="H966" s="322"/>
      <c r="I966" s="322"/>
      <c r="J966" s="324"/>
      <c r="K966" s="323"/>
      <c r="L966" s="323"/>
      <c r="M966" s="323"/>
    </row>
    <row r="967">
      <c r="A967" s="322"/>
      <c r="B967" s="323"/>
      <c r="C967" s="226" t="s">
        <v>31</v>
      </c>
      <c r="D967" s="322"/>
      <c r="E967" s="322"/>
      <c r="F967" s="322"/>
      <c r="G967" s="322"/>
      <c r="H967" s="322"/>
      <c r="I967" s="322"/>
      <c r="J967" s="324"/>
      <c r="K967" s="323"/>
      <c r="L967" s="323"/>
      <c r="M967" s="323"/>
    </row>
    <row r="968">
      <c r="A968" s="322"/>
      <c r="B968" s="323"/>
      <c r="C968" s="226" t="s">
        <v>31</v>
      </c>
      <c r="D968" s="322"/>
      <c r="E968" s="322"/>
      <c r="F968" s="322"/>
      <c r="G968" s="322"/>
      <c r="H968" s="322"/>
      <c r="I968" s="322"/>
      <c r="J968" s="324"/>
      <c r="K968" s="323"/>
      <c r="L968" s="323"/>
      <c r="M968" s="323"/>
    </row>
    <row r="969">
      <c r="A969" s="322"/>
      <c r="B969" s="323"/>
      <c r="C969" s="226" t="s">
        <v>31</v>
      </c>
      <c r="D969" s="322"/>
      <c r="E969" s="322"/>
      <c r="F969" s="322"/>
      <c r="G969" s="322"/>
      <c r="H969" s="322"/>
      <c r="I969" s="322"/>
      <c r="J969" s="324"/>
      <c r="K969" s="323"/>
      <c r="L969" s="323"/>
      <c r="M969" s="323"/>
    </row>
    <row r="970">
      <c r="A970" s="322"/>
      <c r="B970" s="323"/>
      <c r="C970" s="226" t="s">
        <v>31</v>
      </c>
      <c r="D970" s="322"/>
      <c r="E970" s="322"/>
      <c r="F970" s="322"/>
      <c r="G970" s="322"/>
      <c r="H970" s="322"/>
      <c r="I970" s="322"/>
      <c r="J970" s="324"/>
      <c r="K970" s="323"/>
      <c r="L970" s="323"/>
      <c r="M970" s="323"/>
    </row>
    <row r="971">
      <c r="A971" s="322"/>
      <c r="B971" s="323"/>
      <c r="C971" s="226" t="s">
        <v>31</v>
      </c>
      <c r="D971" s="322"/>
      <c r="E971" s="322"/>
      <c r="F971" s="322"/>
      <c r="G971" s="322"/>
      <c r="H971" s="322"/>
      <c r="I971" s="322"/>
      <c r="J971" s="324"/>
      <c r="K971" s="323"/>
      <c r="L971" s="323"/>
      <c r="M971" s="323"/>
    </row>
    <row r="972">
      <c r="A972" s="322"/>
      <c r="B972" s="323"/>
      <c r="C972" s="226" t="s">
        <v>31</v>
      </c>
      <c r="D972" s="322"/>
      <c r="E972" s="322"/>
      <c r="F972" s="322"/>
      <c r="G972" s="322"/>
      <c r="H972" s="322"/>
      <c r="I972" s="322"/>
      <c r="J972" s="324"/>
      <c r="K972" s="323"/>
      <c r="L972" s="323"/>
      <c r="M972" s="323"/>
    </row>
    <row r="973">
      <c r="A973" s="322"/>
      <c r="B973" s="323"/>
      <c r="C973" s="327" t="s">
        <v>43</v>
      </c>
      <c r="D973" s="322"/>
      <c r="E973" s="322"/>
      <c r="F973" s="322"/>
      <c r="G973" s="322"/>
      <c r="H973" s="322"/>
      <c r="I973" s="322"/>
      <c r="J973" s="324"/>
      <c r="K973" s="323"/>
      <c r="L973" s="323"/>
      <c r="M973" s="323"/>
    </row>
    <row r="974">
      <c r="A974" s="322"/>
      <c r="B974" s="323"/>
      <c r="C974" s="327" t="s">
        <v>43</v>
      </c>
      <c r="D974" s="322"/>
      <c r="E974" s="322"/>
      <c r="F974" s="322"/>
      <c r="G974" s="322"/>
      <c r="H974" s="322"/>
      <c r="I974" s="322"/>
      <c r="J974" s="324"/>
      <c r="K974" s="323"/>
      <c r="L974" s="323"/>
      <c r="M974" s="323"/>
    </row>
    <row r="975">
      <c r="A975" s="322"/>
      <c r="B975" s="323"/>
      <c r="C975" s="226" t="s">
        <v>31</v>
      </c>
      <c r="D975" s="322"/>
      <c r="E975" s="322"/>
      <c r="F975" s="322"/>
      <c r="G975" s="322"/>
      <c r="H975" s="322"/>
      <c r="I975" s="322"/>
      <c r="J975" s="324"/>
      <c r="K975" s="323"/>
      <c r="L975" s="323"/>
      <c r="M975" s="323"/>
    </row>
    <row r="976">
      <c r="A976" s="322"/>
      <c r="B976" s="323"/>
      <c r="C976" s="226" t="s">
        <v>31</v>
      </c>
      <c r="D976" s="322"/>
      <c r="E976" s="322"/>
      <c r="F976" s="322"/>
      <c r="G976" s="322"/>
      <c r="H976" s="322"/>
      <c r="I976" s="322"/>
      <c r="J976" s="324"/>
      <c r="K976" s="323"/>
      <c r="L976" s="323"/>
      <c r="M976" s="323"/>
    </row>
    <row r="977">
      <c r="A977" s="322"/>
      <c r="B977" s="323"/>
      <c r="C977" s="226" t="s">
        <v>31</v>
      </c>
      <c r="D977" s="322"/>
      <c r="E977" s="322"/>
      <c r="F977" s="322"/>
      <c r="G977" s="322"/>
      <c r="H977" s="322"/>
      <c r="I977" s="322"/>
      <c r="J977" s="324"/>
      <c r="K977" s="323"/>
      <c r="L977" s="323"/>
      <c r="M977" s="323"/>
    </row>
    <row r="978">
      <c r="A978" s="322"/>
      <c r="B978" s="323"/>
      <c r="C978" s="327" t="s">
        <v>43</v>
      </c>
      <c r="D978" s="322"/>
      <c r="E978" s="322"/>
      <c r="F978" s="322"/>
      <c r="G978" s="322"/>
      <c r="H978" s="322"/>
      <c r="I978" s="322"/>
      <c r="J978" s="324"/>
      <c r="K978" s="323"/>
      <c r="L978" s="323"/>
      <c r="M978" s="323"/>
    </row>
    <row r="979">
      <c r="A979" s="322"/>
      <c r="B979" s="323"/>
      <c r="C979" s="327" t="s">
        <v>43</v>
      </c>
      <c r="D979" s="322"/>
      <c r="E979" s="322"/>
      <c r="F979" s="322"/>
      <c r="G979" s="322"/>
      <c r="H979" s="322"/>
      <c r="I979" s="322"/>
      <c r="J979" s="324"/>
      <c r="K979" s="323"/>
      <c r="L979" s="323"/>
      <c r="M979" s="323"/>
    </row>
    <row r="980">
      <c r="A980" s="322"/>
      <c r="B980" s="323"/>
      <c r="C980" s="329"/>
      <c r="D980" s="322"/>
      <c r="E980" s="322"/>
      <c r="F980" s="322"/>
      <c r="G980" s="322"/>
      <c r="H980" s="322"/>
      <c r="I980" s="322"/>
      <c r="J980" s="324"/>
      <c r="K980" s="323"/>
      <c r="L980" s="323"/>
      <c r="M980" s="323"/>
    </row>
    <row r="981">
      <c r="A981" s="322"/>
      <c r="B981" s="323"/>
      <c r="C981" s="329"/>
      <c r="D981" s="322"/>
      <c r="E981" s="322"/>
      <c r="F981" s="322"/>
      <c r="G981" s="322"/>
      <c r="H981" s="322"/>
      <c r="I981" s="322"/>
      <c r="J981" s="324"/>
      <c r="K981" s="323"/>
      <c r="L981" s="323"/>
      <c r="M981" s="323"/>
    </row>
    <row r="982">
      <c r="A982" s="322"/>
      <c r="B982" s="323"/>
      <c r="C982" s="329"/>
      <c r="D982" s="322"/>
      <c r="E982" s="322"/>
      <c r="F982" s="322"/>
      <c r="G982" s="322"/>
      <c r="H982" s="322"/>
      <c r="I982" s="322"/>
      <c r="J982" s="324"/>
      <c r="K982" s="323"/>
      <c r="L982" s="323"/>
      <c r="M982" s="323"/>
    </row>
    <row r="983">
      <c r="A983" s="322"/>
      <c r="B983" s="323"/>
      <c r="C983" s="329"/>
      <c r="D983" s="322"/>
      <c r="E983" s="322"/>
      <c r="F983" s="322"/>
      <c r="G983" s="322"/>
      <c r="H983" s="322"/>
      <c r="I983" s="322"/>
      <c r="J983" s="324"/>
      <c r="K983" s="323"/>
      <c r="L983" s="323"/>
      <c r="M983" s="323"/>
    </row>
    <row r="984">
      <c r="A984" s="322"/>
      <c r="B984" s="323"/>
      <c r="C984" s="329"/>
      <c r="D984" s="322"/>
      <c r="E984" s="322"/>
      <c r="F984" s="322"/>
      <c r="G984" s="322"/>
      <c r="H984" s="322"/>
      <c r="I984" s="322"/>
      <c r="J984" s="324"/>
      <c r="K984" s="323"/>
      <c r="L984" s="323"/>
      <c r="M984" s="323"/>
    </row>
    <row r="985">
      <c r="A985" s="322"/>
      <c r="B985" s="323"/>
      <c r="C985" s="329"/>
      <c r="D985" s="322"/>
      <c r="E985" s="322"/>
      <c r="F985" s="322"/>
      <c r="G985" s="322"/>
      <c r="H985" s="322"/>
      <c r="I985" s="322"/>
      <c r="J985" s="324"/>
      <c r="K985" s="323"/>
      <c r="L985" s="323"/>
      <c r="M985" s="323"/>
    </row>
    <row r="986">
      <c r="A986" s="322"/>
      <c r="B986" s="323"/>
      <c r="C986" s="329"/>
      <c r="D986" s="322"/>
      <c r="E986" s="322"/>
      <c r="F986" s="322"/>
      <c r="G986" s="322"/>
      <c r="H986" s="322"/>
      <c r="I986" s="322"/>
      <c r="J986" s="324"/>
      <c r="K986" s="323"/>
      <c r="L986" s="323"/>
      <c r="M986" s="323"/>
    </row>
    <row r="987">
      <c r="A987" s="322"/>
      <c r="B987" s="323"/>
      <c r="C987" s="329"/>
      <c r="D987" s="322"/>
      <c r="E987" s="322"/>
      <c r="F987" s="322"/>
      <c r="G987" s="322"/>
      <c r="H987" s="322"/>
      <c r="I987" s="322"/>
      <c r="J987" s="324"/>
      <c r="K987" s="323"/>
      <c r="L987" s="323"/>
      <c r="M987" s="323"/>
    </row>
    <row r="988">
      <c r="A988" s="322"/>
      <c r="B988" s="323"/>
      <c r="C988" s="329"/>
      <c r="D988" s="322"/>
      <c r="E988" s="322"/>
      <c r="F988" s="322"/>
      <c r="G988" s="322"/>
      <c r="H988" s="322"/>
      <c r="I988" s="322"/>
      <c r="J988" s="324"/>
      <c r="K988" s="323"/>
      <c r="L988" s="323"/>
      <c r="M988" s="323"/>
    </row>
    <row r="989">
      <c r="A989" s="322"/>
      <c r="B989" s="323"/>
      <c r="C989" s="329"/>
      <c r="D989" s="322"/>
      <c r="E989" s="322"/>
      <c r="F989" s="322"/>
      <c r="G989" s="322"/>
      <c r="H989" s="322"/>
      <c r="I989" s="322"/>
      <c r="J989" s="324"/>
      <c r="K989" s="323"/>
      <c r="L989" s="323"/>
      <c r="M989" s="323"/>
    </row>
    <row r="990">
      <c r="A990" s="322"/>
      <c r="B990" s="323"/>
      <c r="C990" s="329"/>
      <c r="D990" s="322"/>
      <c r="E990" s="322"/>
      <c r="F990" s="322"/>
      <c r="G990" s="322"/>
      <c r="H990" s="322"/>
      <c r="I990" s="322"/>
      <c r="J990" s="324"/>
      <c r="K990" s="323"/>
      <c r="L990" s="323"/>
      <c r="M990" s="323"/>
    </row>
    <row r="991">
      <c r="A991" s="322"/>
      <c r="B991" s="323"/>
      <c r="C991" s="329"/>
      <c r="D991" s="322"/>
      <c r="E991" s="322"/>
      <c r="F991" s="322"/>
      <c r="G991" s="322"/>
      <c r="H991" s="322"/>
      <c r="I991" s="322"/>
      <c r="J991" s="324"/>
      <c r="K991" s="323"/>
      <c r="L991" s="323"/>
      <c r="M991" s="323"/>
    </row>
    <row r="992">
      <c r="A992" s="322"/>
      <c r="B992" s="323"/>
      <c r="C992" s="329"/>
      <c r="D992" s="322"/>
      <c r="E992" s="322"/>
      <c r="F992" s="322"/>
      <c r="G992" s="322"/>
      <c r="H992" s="322"/>
      <c r="I992" s="322"/>
      <c r="J992" s="324"/>
      <c r="K992" s="323"/>
      <c r="L992" s="323"/>
      <c r="M992" s="323"/>
    </row>
    <row r="993">
      <c r="A993" s="322"/>
      <c r="B993" s="323"/>
      <c r="C993" s="329"/>
      <c r="D993" s="322"/>
      <c r="E993" s="322"/>
      <c r="F993" s="322"/>
      <c r="G993" s="322"/>
      <c r="H993" s="322"/>
      <c r="I993" s="322"/>
      <c r="J993" s="324"/>
      <c r="K993" s="323"/>
      <c r="L993" s="323"/>
      <c r="M993" s="323"/>
    </row>
    <row r="994">
      <c r="A994" s="322"/>
      <c r="B994" s="323"/>
      <c r="C994" s="329"/>
      <c r="D994" s="322"/>
      <c r="E994" s="322"/>
      <c r="F994" s="322"/>
      <c r="G994" s="322"/>
      <c r="H994" s="322"/>
      <c r="I994" s="322"/>
      <c r="J994" s="324"/>
      <c r="K994" s="323"/>
      <c r="L994" s="323"/>
      <c r="M994" s="323"/>
    </row>
    <row r="995">
      <c r="A995" s="322"/>
      <c r="B995" s="323"/>
      <c r="C995" s="329"/>
      <c r="D995" s="322"/>
      <c r="E995" s="322"/>
      <c r="F995" s="322"/>
      <c r="G995" s="322"/>
      <c r="H995" s="322"/>
      <c r="I995" s="322"/>
      <c r="J995" s="324"/>
      <c r="K995" s="323"/>
      <c r="L995" s="323"/>
      <c r="M995" s="323"/>
    </row>
    <row r="996">
      <c r="A996" s="322"/>
      <c r="B996" s="323"/>
      <c r="C996" s="329"/>
      <c r="D996" s="322"/>
      <c r="E996" s="322"/>
      <c r="F996" s="322"/>
      <c r="G996" s="322"/>
      <c r="H996" s="322"/>
      <c r="I996" s="322"/>
      <c r="J996" s="324"/>
      <c r="K996" s="323"/>
      <c r="L996" s="323"/>
      <c r="M996" s="323"/>
    </row>
    <row r="997">
      <c r="A997" s="322"/>
      <c r="B997" s="323"/>
      <c r="C997" s="329"/>
      <c r="D997" s="322"/>
      <c r="E997" s="322"/>
      <c r="F997" s="322"/>
      <c r="G997" s="322"/>
      <c r="H997" s="322"/>
      <c r="I997" s="322"/>
      <c r="J997" s="324"/>
      <c r="K997" s="323"/>
      <c r="L997" s="323"/>
      <c r="M997" s="323"/>
    </row>
    <row r="998">
      <c r="A998" s="322"/>
      <c r="B998" s="323"/>
      <c r="C998" s="329"/>
      <c r="D998" s="322"/>
      <c r="E998" s="322"/>
      <c r="F998" s="322"/>
      <c r="G998" s="322"/>
      <c r="H998" s="322"/>
      <c r="I998" s="322"/>
      <c r="J998" s="324"/>
      <c r="K998" s="323"/>
      <c r="L998" s="323"/>
      <c r="M998" s="323"/>
    </row>
    <row r="999">
      <c r="A999" s="322"/>
      <c r="B999" s="323"/>
      <c r="C999" s="329"/>
      <c r="D999" s="322"/>
      <c r="E999" s="322"/>
      <c r="F999" s="322"/>
      <c r="G999" s="322"/>
      <c r="H999" s="322"/>
      <c r="I999" s="322"/>
      <c r="J999" s="324"/>
      <c r="K999" s="323"/>
      <c r="L999" s="323"/>
      <c r="M999" s="323"/>
    </row>
    <row r="1000">
      <c r="A1000" s="322"/>
      <c r="B1000" s="323"/>
      <c r="C1000" s="329"/>
      <c r="D1000" s="322"/>
      <c r="E1000" s="322"/>
      <c r="F1000" s="322"/>
      <c r="G1000" s="322"/>
      <c r="H1000" s="322"/>
      <c r="I1000" s="322"/>
      <c r="J1000" s="324"/>
      <c r="K1000" s="323"/>
      <c r="L1000" s="323"/>
      <c r="M1000" s="323"/>
    </row>
    <row r="1001">
      <c r="A1001" s="322"/>
      <c r="B1001" s="323"/>
      <c r="C1001" s="329"/>
      <c r="D1001" s="322"/>
      <c r="E1001" s="322"/>
      <c r="F1001" s="322"/>
      <c r="G1001" s="322"/>
      <c r="H1001" s="322"/>
      <c r="I1001" s="322"/>
      <c r="J1001" s="324"/>
      <c r="K1001" s="323"/>
      <c r="L1001" s="323"/>
      <c r="M1001" s="323"/>
    </row>
    <row r="1002">
      <c r="A1002" s="322"/>
      <c r="B1002" s="323"/>
      <c r="C1002" s="329"/>
      <c r="D1002" s="322"/>
      <c r="E1002" s="322"/>
      <c r="F1002" s="322"/>
      <c r="G1002" s="322"/>
      <c r="H1002" s="322"/>
      <c r="I1002" s="322"/>
      <c r="J1002" s="324"/>
      <c r="K1002" s="323"/>
      <c r="L1002" s="323"/>
      <c r="M1002" s="323"/>
    </row>
    <row r="1003">
      <c r="A1003" s="322"/>
      <c r="B1003" s="323"/>
      <c r="C1003" s="329"/>
      <c r="D1003" s="322"/>
      <c r="E1003" s="322"/>
      <c r="F1003" s="322"/>
      <c r="G1003" s="322"/>
      <c r="H1003" s="322"/>
      <c r="I1003" s="322"/>
      <c r="J1003" s="324"/>
      <c r="K1003" s="323"/>
      <c r="L1003" s="323"/>
      <c r="M1003" s="323"/>
    </row>
    <row r="1004">
      <c r="A1004" s="322"/>
      <c r="B1004" s="323"/>
      <c r="C1004" s="329"/>
      <c r="D1004" s="322"/>
      <c r="E1004" s="322"/>
      <c r="F1004" s="322"/>
      <c r="G1004" s="322"/>
      <c r="H1004" s="322"/>
      <c r="I1004" s="322"/>
      <c r="J1004" s="324"/>
      <c r="K1004" s="323"/>
      <c r="L1004" s="323"/>
      <c r="M1004" s="323"/>
    </row>
    <row r="1005">
      <c r="A1005" s="322"/>
      <c r="B1005" s="323"/>
      <c r="C1005" s="329"/>
      <c r="D1005" s="322"/>
      <c r="E1005" s="322"/>
      <c r="F1005" s="322"/>
      <c r="G1005" s="322"/>
      <c r="H1005" s="322"/>
      <c r="I1005" s="322"/>
      <c r="J1005" s="324"/>
      <c r="K1005" s="323"/>
      <c r="L1005" s="323"/>
      <c r="M1005" s="323"/>
    </row>
    <row r="1006">
      <c r="A1006" s="322"/>
      <c r="B1006" s="323"/>
      <c r="C1006" s="329"/>
      <c r="D1006" s="322"/>
      <c r="E1006" s="322"/>
      <c r="F1006" s="322"/>
      <c r="G1006" s="322"/>
      <c r="H1006" s="322"/>
      <c r="I1006" s="322"/>
      <c r="J1006" s="324"/>
      <c r="K1006" s="323"/>
      <c r="L1006" s="323"/>
      <c r="M1006" s="323"/>
    </row>
    <row r="1007">
      <c r="A1007" s="322"/>
      <c r="B1007" s="323"/>
      <c r="C1007" s="329"/>
      <c r="D1007" s="322"/>
      <c r="E1007" s="322"/>
      <c r="F1007" s="322"/>
      <c r="G1007" s="322"/>
      <c r="H1007" s="322"/>
      <c r="I1007" s="322"/>
      <c r="J1007" s="324"/>
      <c r="K1007" s="323"/>
      <c r="L1007" s="323"/>
      <c r="M1007" s="323"/>
    </row>
    <row r="1008">
      <c r="A1008" s="322"/>
      <c r="B1008" s="323"/>
      <c r="C1008" s="329"/>
      <c r="D1008" s="322"/>
      <c r="E1008" s="322"/>
      <c r="F1008" s="322"/>
      <c r="G1008" s="322"/>
      <c r="H1008" s="322"/>
      <c r="I1008" s="322"/>
      <c r="J1008" s="324"/>
      <c r="K1008" s="323"/>
      <c r="L1008" s="323"/>
      <c r="M1008" s="323"/>
    </row>
    <row r="1009">
      <c r="A1009" s="322"/>
      <c r="B1009" s="323"/>
      <c r="C1009" s="329"/>
      <c r="D1009" s="322"/>
      <c r="E1009" s="322"/>
      <c r="F1009" s="322"/>
      <c r="G1009" s="322"/>
      <c r="H1009" s="322"/>
      <c r="I1009" s="322"/>
      <c r="J1009" s="324"/>
      <c r="K1009" s="323"/>
      <c r="L1009" s="323"/>
      <c r="M1009" s="323"/>
    </row>
    <row r="1010">
      <c r="A1010" s="322"/>
      <c r="B1010" s="323"/>
      <c r="C1010" s="329"/>
      <c r="D1010" s="322"/>
      <c r="E1010" s="322"/>
      <c r="F1010" s="322"/>
      <c r="G1010" s="322"/>
      <c r="H1010" s="322"/>
      <c r="I1010" s="322"/>
      <c r="J1010" s="324"/>
      <c r="K1010" s="323"/>
      <c r="L1010" s="323"/>
      <c r="M1010" s="323"/>
    </row>
    <row r="1011">
      <c r="A1011" s="322"/>
      <c r="B1011" s="323"/>
      <c r="C1011" s="329"/>
      <c r="D1011" s="322"/>
      <c r="E1011" s="322"/>
      <c r="F1011" s="322"/>
      <c r="G1011" s="322"/>
      <c r="H1011" s="322"/>
      <c r="I1011" s="322"/>
      <c r="J1011" s="324"/>
      <c r="K1011" s="323"/>
      <c r="L1011" s="323"/>
      <c r="M1011" s="323"/>
    </row>
    <row r="1012">
      <c r="A1012" s="322"/>
      <c r="B1012" s="323"/>
      <c r="C1012" s="329"/>
      <c r="D1012" s="322"/>
      <c r="E1012" s="322"/>
      <c r="F1012" s="322"/>
      <c r="G1012" s="322"/>
      <c r="H1012" s="322"/>
      <c r="I1012" s="322"/>
      <c r="J1012" s="324"/>
      <c r="K1012" s="323"/>
      <c r="L1012" s="323"/>
      <c r="M1012" s="323"/>
    </row>
    <row r="1013">
      <c r="A1013" s="322"/>
      <c r="B1013" s="323"/>
      <c r="C1013" s="329"/>
      <c r="D1013" s="322"/>
      <c r="E1013" s="322"/>
      <c r="F1013" s="322"/>
      <c r="G1013" s="322"/>
      <c r="H1013" s="322"/>
      <c r="I1013" s="322"/>
      <c r="J1013" s="324"/>
      <c r="K1013" s="323"/>
      <c r="L1013" s="323"/>
      <c r="M1013" s="323"/>
    </row>
    <row r="1014">
      <c r="A1014" s="322"/>
      <c r="B1014" s="323"/>
      <c r="C1014" s="329"/>
      <c r="D1014" s="322"/>
      <c r="E1014" s="322"/>
      <c r="F1014" s="322"/>
      <c r="G1014" s="322"/>
      <c r="H1014" s="322"/>
      <c r="I1014" s="322"/>
      <c r="J1014" s="324"/>
      <c r="K1014" s="323"/>
      <c r="L1014" s="323"/>
      <c r="M1014" s="323"/>
    </row>
    <row r="1015">
      <c r="A1015" s="322"/>
      <c r="B1015" s="323"/>
      <c r="C1015" s="329"/>
      <c r="D1015" s="322"/>
      <c r="E1015" s="322"/>
      <c r="F1015" s="322"/>
      <c r="G1015" s="322"/>
      <c r="H1015" s="322"/>
      <c r="I1015" s="322"/>
      <c r="J1015" s="324"/>
      <c r="K1015" s="323"/>
      <c r="L1015" s="323"/>
      <c r="M1015" s="323"/>
    </row>
  </sheetData>
  <autoFilter ref="$A$1:$AG$150">
    <filterColumn colId="12">
      <filters>
        <filter val="Acompanhar"/>
        <filter val="Aguarda Demonst. Crédito"/>
      </filters>
    </filterColumn>
  </autoFilter>
  <conditionalFormatting sqref="B51:B65 B150">
    <cfRule type="expression" dxfId="0" priority="1">
      <formula>COUNTIF(B:B,B51)&gt;1</formula>
    </cfRule>
  </conditionalFormatting>
  <conditionalFormatting sqref="B51:B65">
    <cfRule type="cellIs" dxfId="1" priority="2" operator="greaterThan">
      <formula>100000000</formula>
    </cfRule>
  </conditionalFormatting>
  <dataValidations>
    <dataValidation type="list" allowBlank="1" showErrorMessage="1" sqref="M2:M198">
      <formula1>"Acompanhar,Finalizado,Enviar p/ Emissão ,Anexar Comprov.,Cobrar Validação HNK,Aguarda Demonst. Crédito"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9.25"/>
    <col customWidth="1" min="2" max="2" width="17.13"/>
    <col customWidth="1" min="3" max="3" width="11.5"/>
    <col customWidth="1" min="4" max="4" width="9.63"/>
    <col customWidth="1" min="5" max="5" width="28.88"/>
    <col customWidth="1" min="6" max="6" width="7.0" outlineLevel="1"/>
    <col customWidth="1" min="7" max="7" width="10.88" outlineLevel="1"/>
    <col customWidth="1" min="8" max="8" width="13.63" outlineLevel="1"/>
    <col customWidth="1" min="9" max="9" width="8.75" outlineLevel="1"/>
    <col customWidth="1" min="10" max="11" width="9.5" outlineLevel="1"/>
    <col customWidth="1" min="12" max="12" width="20.38"/>
    <col customWidth="1" min="13" max="13" width="50.63"/>
    <col customWidth="1" min="14" max="14" width="20.38"/>
    <col customWidth="1" min="16" max="16" width="29.75"/>
  </cols>
  <sheetData>
    <row r="1">
      <c r="A1" s="333" t="s">
        <v>2</v>
      </c>
      <c r="B1" s="334" t="s">
        <v>2529</v>
      </c>
      <c r="C1" s="334" t="s">
        <v>2284</v>
      </c>
      <c r="D1" s="334" t="s">
        <v>0</v>
      </c>
      <c r="E1" s="334" t="s">
        <v>2285</v>
      </c>
      <c r="F1" s="334" t="s">
        <v>2530</v>
      </c>
      <c r="G1" s="334" t="s">
        <v>2531</v>
      </c>
      <c r="H1" s="335" t="s">
        <v>2532</v>
      </c>
      <c r="I1" s="334" t="s">
        <v>2287</v>
      </c>
      <c r="J1" s="336" t="s">
        <v>2533</v>
      </c>
      <c r="K1" s="337" t="s">
        <v>2534</v>
      </c>
      <c r="L1" s="335" t="s">
        <v>2292</v>
      </c>
      <c r="M1" s="334" t="s">
        <v>2535</v>
      </c>
      <c r="N1" s="334" t="s">
        <v>2294</v>
      </c>
      <c r="O1" s="323"/>
      <c r="P1" s="338"/>
      <c r="Q1" s="323"/>
      <c r="R1" s="323"/>
      <c r="S1" s="323"/>
      <c r="T1" s="323"/>
      <c r="U1" s="323"/>
      <c r="V1" s="323"/>
    </row>
    <row r="2" hidden="1">
      <c r="A2" s="273" t="s">
        <v>2536</v>
      </c>
      <c r="B2" s="273" t="s">
        <v>2537</v>
      </c>
      <c r="C2" s="265">
        <v>742087.0</v>
      </c>
      <c r="D2" s="265">
        <v>1.0937188E7</v>
      </c>
      <c r="E2" s="273" t="s">
        <v>2331</v>
      </c>
      <c r="F2" s="265">
        <v>2018.0</v>
      </c>
      <c r="G2" s="265">
        <v>1455533.0</v>
      </c>
      <c r="H2" s="265" t="s">
        <v>559</v>
      </c>
      <c r="I2" s="265" t="s">
        <v>2306</v>
      </c>
      <c r="J2" s="265" t="s">
        <v>52</v>
      </c>
      <c r="K2" s="265" t="s">
        <v>52</v>
      </c>
      <c r="L2" s="273" t="s">
        <v>2298</v>
      </c>
      <c r="M2" s="273" t="s">
        <v>2538</v>
      </c>
      <c r="N2" s="274" t="s">
        <v>2323</v>
      </c>
      <c r="O2" s="323"/>
      <c r="P2" s="323"/>
      <c r="Q2" s="323"/>
      <c r="R2" s="323"/>
      <c r="S2" s="323"/>
      <c r="T2" s="323"/>
      <c r="U2" s="323"/>
      <c r="V2" s="323"/>
    </row>
    <row r="3" hidden="1">
      <c r="A3" s="273" t="s">
        <v>2539</v>
      </c>
      <c r="B3" s="273" t="s">
        <v>2537</v>
      </c>
      <c r="C3" s="265">
        <v>742803.0</v>
      </c>
      <c r="D3" s="265">
        <v>1.0939807E7</v>
      </c>
      <c r="E3" s="273" t="s">
        <v>2331</v>
      </c>
      <c r="F3" s="265">
        <v>2020.0</v>
      </c>
      <c r="G3" s="265">
        <v>1456766.0</v>
      </c>
      <c r="H3" s="265" t="s">
        <v>441</v>
      </c>
      <c r="I3" s="265" t="s">
        <v>2316</v>
      </c>
      <c r="J3" s="265" t="s">
        <v>52</v>
      </c>
      <c r="K3" s="265" t="s">
        <v>52</v>
      </c>
      <c r="L3" s="273" t="s">
        <v>2298</v>
      </c>
      <c r="M3" s="273" t="s">
        <v>2538</v>
      </c>
      <c r="N3" s="274" t="s">
        <v>2323</v>
      </c>
      <c r="O3" s="323"/>
      <c r="P3" s="323"/>
      <c r="Q3" s="323"/>
      <c r="R3" s="323"/>
      <c r="S3" s="323"/>
      <c r="T3" s="323"/>
      <c r="U3" s="323"/>
      <c r="V3" s="323"/>
    </row>
    <row r="4" hidden="1">
      <c r="A4" s="273" t="s">
        <v>567</v>
      </c>
      <c r="B4" s="273" t="s">
        <v>2537</v>
      </c>
      <c r="C4" s="265">
        <v>746417.0</v>
      </c>
      <c r="D4" s="265">
        <v>1.0961709E7</v>
      </c>
      <c r="E4" s="273" t="s">
        <v>2371</v>
      </c>
      <c r="F4" s="265">
        <v>2021.0</v>
      </c>
      <c r="G4" s="265">
        <v>1462210.0</v>
      </c>
      <c r="H4" s="265" t="s">
        <v>554</v>
      </c>
      <c r="I4" s="265" t="s">
        <v>2540</v>
      </c>
      <c r="J4" s="265" t="s">
        <v>52</v>
      </c>
      <c r="K4" s="265" t="s">
        <v>52</v>
      </c>
      <c r="L4" s="273" t="s">
        <v>2298</v>
      </c>
      <c r="M4" s="273" t="s">
        <v>2538</v>
      </c>
      <c r="N4" s="274" t="s">
        <v>2323</v>
      </c>
      <c r="O4" s="323"/>
      <c r="P4" s="323"/>
      <c r="Q4" s="323"/>
      <c r="R4" s="323"/>
      <c r="S4" s="323"/>
      <c r="T4" s="323"/>
      <c r="U4" s="323"/>
      <c r="V4" s="323"/>
    </row>
    <row r="5" hidden="1">
      <c r="A5" s="273" t="s">
        <v>585</v>
      </c>
      <c r="B5" s="273" t="s">
        <v>1972</v>
      </c>
      <c r="C5" s="265">
        <v>746772.0</v>
      </c>
      <c r="D5" s="265">
        <v>1.0961709E7</v>
      </c>
      <c r="E5" s="273" t="s">
        <v>2372</v>
      </c>
      <c r="F5" s="312"/>
      <c r="G5" s="265" t="s">
        <v>52</v>
      </c>
      <c r="H5" s="265" t="s">
        <v>554</v>
      </c>
      <c r="I5" s="265" t="s">
        <v>2540</v>
      </c>
      <c r="J5" s="312"/>
      <c r="K5" s="312"/>
      <c r="L5" s="273" t="s">
        <v>2298</v>
      </c>
      <c r="M5" s="273" t="s">
        <v>2541</v>
      </c>
      <c r="N5" s="274" t="s">
        <v>2323</v>
      </c>
      <c r="O5" s="323"/>
      <c r="P5" s="323"/>
      <c r="Q5" s="323"/>
      <c r="R5" s="323"/>
      <c r="S5" s="323"/>
      <c r="T5" s="323"/>
      <c r="U5" s="323"/>
      <c r="V5" s="323"/>
    </row>
    <row r="6" hidden="1">
      <c r="A6" s="273" t="s">
        <v>585</v>
      </c>
      <c r="B6" s="273" t="s">
        <v>2537</v>
      </c>
      <c r="C6" s="265">
        <v>747307.0</v>
      </c>
      <c r="D6" s="265">
        <v>1.0961677E7</v>
      </c>
      <c r="E6" s="273" t="s">
        <v>2371</v>
      </c>
      <c r="F6" s="265">
        <v>2023.0</v>
      </c>
      <c r="G6" s="265">
        <v>1463425.0</v>
      </c>
      <c r="H6" s="265" t="s">
        <v>568</v>
      </c>
      <c r="I6" s="265" t="s">
        <v>2542</v>
      </c>
      <c r="J6" s="265" t="s">
        <v>52</v>
      </c>
      <c r="K6" s="265" t="s">
        <v>52</v>
      </c>
      <c r="L6" s="273" t="s">
        <v>2298</v>
      </c>
      <c r="M6" s="273" t="s">
        <v>2543</v>
      </c>
      <c r="N6" s="274" t="s">
        <v>2323</v>
      </c>
      <c r="O6" s="323"/>
      <c r="P6" s="323"/>
      <c r="Q6" s="323"/>
      <c r="R6" s="323"/>
      <c r="S6" s="323"/>
      <c r="T6" s="323"/>
      <c r="U6" s="323"/>
      <c r="V6" s="323"/>
    </row>
    <row r="7" hidden="1">
      <c r="A7" s="273" t="s">
        <v>607</v>
      </c>
      <c r="B7" s="273" t="s">
        <v>2537</v>
      </c>
      <c r="C7" s="265">
        <v>748039.0</v>
      </c>
      <c r="D7" s="265">
        <v>1.0961677E7</v>
      </c>
      <c r="E7" s="273" t="s">
        <v>2372</v>
      </c>
      <c r="F7" s="312"/>
      <c r="G7" s="265">
        <v>1465435.0</v>
      </c>
      <c r="H7" s="265" t="s">
        <v>568</v>
      </c>
      <c r="I7" s="265" t="s">
        <v>2542</v>
      </c>
      <c r="J7" s="265" t="s">
        <v>52</v>
      </c>
      <c r="K7" s="265" t="s">
        <v>52</v>
      </c>
      <c r="L7" s="273" t="s">
        <v>2298</v>
      </c>
      <c r="M7" s="273" t="s">
        <v>2544</v>
      </c>
      <c r="N7" s="274" t="s">
        <v>2323</v>
      </c>
      <c r="O7" s="323"/>
      <c r="P7" s="323"/>
      <c r="Q7" s="323"/>
      <c r="R7" s="323"/>
      <c r="S7" s="323"/>
      <c r="T7" s="323"/>
      <c r="U7" s="323"/>
      <c r="V7" s="323"/>
    </row>
    <row r="8" hidden="1">
      <c r="A8" s="273" t="s">
        <v>607</v>
      </c>
      <c r="B8" s="273" t="s">
        <v>2307</v>
      </c>
      <c r="C8" s="265">
        <v>748042.0</v>
      </c>
      <c r="D8" s="265">
        <v>1.0974234E7</v>
      </c>
      <c r="E8" s="273" t="s">
        <v>2352</v>
      </c>
      <c r="F8" s="265">
        <v>2022.0</v>
      </c>
      <c r="G8" s="265">
        <v>1463577.0</v>
      </c>
      <c r="H8" s="285" t="s">
        <v>495</v>
      </c>
      <c r="I8" s="285" t="s">
        <v>2545</v>
      </c>
      <c r="J8" s="285" t="s">
        <v>2546</v>
      </c>
      <c r="K8" s="265"/>
      <c r="L8" s="273" t="s">
        <v>2298</v>
      </c>
      <c r="M8" s="273" t="s">
        <v>2547</v>
      </c>
      <c r="N8" s="274" t="s">
        <v>2323</v>
      </c>
      <c r="O8" s="323"/>
      <c r="P8" s="323"/>
      <c r="Q8" s="323"/>
      <c r="R8" s="323"/>
      <c r="S8" s="323"/>
      <c r="T8" s="323"/>
      <c r="U8" s="323"/>
      <c r="V8" s="323"/>
    </row>
    <row r="9" hidden="1">
      <c r="A9" s="273" t="s">
        <v>2548</v>
      </c>
      <c r="B9" s="273" t="s">
        <v>2537</v>
      </c>
      <c r="C9" s="265">
        <v>749553.0</v>
      </c>
      <c r="D9" s="265">
        <v>1.0974234E7</v>
      </c>
      <c r="E9" s="273" t="s">
        <v>2549</v>
      </c>
      <c r="F9" s="265"/>
      <c r="G9" s="265" t="s">
        <v>52</v>
      </c>
      <c r="H9" s="285" t="s">
        <v>495</v>
      </c>
      <c r="I9" s="285" t="s">
        <v>2545</v>
      </c>
      <c r="J9" s="285" t="s">
        <v>2550</v>
      </c>
      <c r="K9" s="265"/>
      <c r="L9" s="273" t="s">
        <v>2298</v>
      </c>
      <c r="M9" s="273" t="s">
        <v>2547</v>
      </c>
      <c r="N9" s="274" t="s">
        <v>2323</v>
      </c>
      <c r="O9" s="323"/>
      <c r="P9" s="323"/>
      <c r="Q9" s="323"/>
      <c r="R9" s="323"/>
      <c r="S9" s="323"/>
      <c r="T9" s="323"/>
      <c r="U9" s="323"/>
      <c r="V9" s="323"/>
    </row>
    <row r="10" hidden="1">
      <c r="A10" s="273" t="s">
        <v>625</v>
      </c>
      <c r="B10" s="273" t="s">
        <v>2537</v>
      </c>
      <c r="C10" s="265">
        <v>750540.0</v>
      </c>
      <c r="D10" s="265">
        <v>1.0968119E7</v>
      </c>
      <c r="E10" s="273" t="s">
        <v>2327</v>
      </c>
      <c r="F10" s="265">
        <v>497999.0</v>
      </c>
      <c r="G10" s="265">
        <v>1467712.0</v>
      </c>
      <c r="H10" s="265" t="s">
        <v>2551</v>
      </c>
      <c r="I10" s="265" t="s">
        <v>2552</v>
      </c>
      <c r="J10" s="312"/>
      <c r="K10" s="312"/>
      <c r="L10" s="273" t="s">
        <v>2298</v>
      </c>
      <c r="M10" s="339" t="s">
        <v>2553</v>
      </c>
      <c r="N10" s="274" t="s">
        <v>2323</v>
      </c>
      <c r="O10" s="323"/>
      <c r="P10" s="323"/>
      <c r="Q10" s="323"/>
      <c r="R10" s="323"/>
      <c r="S10" s="323"/>
      <c r="T10" s="323"/>
      <c r="U10" s="323"/>
      <c r="V10" s="323"/>
    </row>
    <row r="11" hidden="1">
      <c r="A11" s="273" t="s">
        <v>2548</v>
      </c>
      <c r="B11" s="273" t="s">
        <v>2554</v>
      </c>
      <c r="C11" s="265">
        <v>749246.0</v>
      </c>
      <c r="D11" s="265">
        <v>1.0981833E7</v>
      </c>
      <c r="E11" s="273" t="s">
        <v>2371</v>
      </c>
      <c r="F11" s="265">
        <v>2024.0</v>
      </c>
      <c r="G11" s="265">
        <v>1465807.0</v>
      </c>
      <c r="H11" s="265" t="s">
        <v>554</v>
      </c>
      <c r="I11" s="265" t="s">
        <v>2540</v>
      </c>
      <c r="J11" s="265" t="s">
        <v>52</v>
      </c>
      <c r="K11" s="340" t="s">
        <v>2555</v>
      </c>
      <c r="L11" s="273" t="s">
        <v>2298</v>
      </c>
      <c r="M11" s="273" t="s">
        <v>2538</v>
      </c>
      <c r="N11" s="274" t="s">
        <v>2323</v>
      </c>
      <c r="O11" s="323"/>
      <c r="P11" s="323"/>
      <c r="Q11" s="323"/>
      <c r="R11" s="323"/>
      <c r="S11" s="323"/>
      <c r="T11" s="323"/>
      <c r="U11" s="323"/>
      <c r="V11" s="323"/>
    </row>
    <row r="12" hidden="1">
      <c r="A12" s="273" t="s">
        <v>2548</v>
      </c>
      <c r="B12" s="273" t="s">
        <v>2537</v>
      </c>
      <c r="C12" s="265">
        <v>749650.0</v>
      </c>
      <c r="D12" s="297">
        <v>1.0987912E7</v>
      </c>
      <c r="E12" s="273" t="s">
        <v>2295</v>
      </c>
      <c r="F12" s="265">
        <v>2026.0</v>
      </c>
      <c r="G12" s="265">
        <v>1466420.0</v>
      </c>
      <c r="H12" s="265" t="s">
        <v>622</v>
      </c>
      <c r="I12" s="265" t="s">
        <v>2556</v>
      </c>
      <c r="J12" s="265"/>
      <c r="K12" s="312"/>
      <c r="L12" s="273" t="s">
        <v>2298</v>
      </c>
      <c r="M12" s="273" t="s">
        <v>2538</v>
      </c>
      <c r="N12" s="274" t="s">
        <v>2323</v>
      </c>
      <c r="O12" s="323"/>
      <c r="P12" s="323"/>
      <c r="Q12" s="323"/>
      <c r="R12" s="323"/>
      <c r="S12" s="323"/>
      <c r="T12" s="323"/>
      <c r="U12" s="323"/>
      <c r="V12" s="323"/>
    </row>
    <row r="13" hidden="1">
      <c r="A13" s="273" t="s">
        <v>2548</v>
      </c>
      <c r="B13" s="273" t="s">
        <v>2537</v>
      </c>
      <c r="C13" s="265">
        <v>749653.0</v>
      </c>
      <c r="D13" s="265">
        <v>1.0987911E7</v>
      </c>
      <c r="E13" s="273" t="s">
        <v>2295</v>
      </c>
      <c r="F13" s="265">
        <v>2028.0</v>
      </c>
      <c r="G13" s="341">
        <v>1466482.0</v>
      </c>
      <c r="H13" s="342" t="s">
        <v>618</v>
      </c>
      <c r="I13" s="265" t="s">
        <v>2319</v>
      </c>
      <c r="J13" s="265" t="s">
        <v>52</v>
      </c>
      <c r="K13" s="265" t="s">
        <v>52</v>
      </c>
      <c r="L13" s="273" t="s">
        <v>2557</v>
      </c>
      <c r="M13" s="273" t="s">
        <v>2558</v>
      </c>
      <c r="N13" s="274" t="s">
        <v>2323</v>
      </c>
      <c r="O13" s="323"/>
      <c r="P13" s="323"/>
      <c r="Q13" s="323"/>
      <c r="R13" s="323"/>
      <c r="S13" s="323"/>
      <c r="T13" s="323"/>
      <c r="U13" s="323"/>
      <c r="V13" s="323"/>
    </row>
    <row r="14" hidden="1">
      <c r="A14" s="273" t="s">
        <v>629</v>
      </c>
      <c r="B14" s="273" t="s">
        <v>2537</v>
      </c>
      <c r="C14" s="265">
        <v>751940.0</v>
      </c>
      <c r="D14" s="265">
        <v>1.0974238E7</v>
      </c>
      <c r="E14" s="273" t="s">
        <v>2559</v>
      </c>
      <c r="F14" s="265">
        <v>498075.0</v>
      </c>
      <c r="G14" s="265">
        <v>1468026.0</v>
      </c>
      <c r="H14" s="265" t="s">
        <v>598</v>
      </c>
      <c r="I14" s="265" t="s">
        <v>2560</v>
      </c>
      <c r="J14" s="265" t="s">
        <v>52</v>
      </c>
      <c r="K14" s="265" t="s">
        <v>52</v>
      </c>
      <c r="L14" s="273" t="s">
        <v>2557</v>
      </c>
      <c r="M14" s="273" t="s">
        <v>2561</v>
      </c>
      <c r="N14" s="274" t="s">
        <v>2323</v>
      </c>
      <c r="O14" s="323"/>
      <c r="P14" s="323"/>
      <c r="Q14" s="323"/>
      <c r="R14" s="323"/>
      <c r="S14" s="323"/>
      <c r="T14" s="323"/>
      <c r="U14" s="323"/>
      <c r="V14" s="323"/>
    </row>
    <row r="15" hidden="1">
      <c r="A15" s="273" t="s">
        <v>636</v>
      </c>
      <c r="B15" s="273" t="s">
        <v>2562</v>
      </c>
      <c r="C15" s="265">
        <v>753772.0</v>
      </c>
      <c r="D15" s="265">
        <v>1.0987836E7</v>
      </c>
      <c r="E15" s="273" t="s">
        <v>2423</v>
      </c>
      <c r="F15" s="265">
        <v>2032.0</v>
      </c>
      <c r="G15" s="265">
        <v>1470957.0</v>
      </c>
      <c r="H15" s="265" t="s">
        <v>598</v>
      </c>
      <c r="I15" s="265" t="s">
        <v>2560</v>
      </c>
      <c r="J15" s="312"/>
      <c r="K15" s="312"/>
      <c r="L15" s="273" t="s">
        <v>2298</v>
      </c>
      <c r="M15" s="273" t="s">
        <v>2563</v>
      </c>
      <c r="N15" s="274" t="s">
        <v>2323</v>
      </c>
      <c r="O15" s="323"/>
      <c r="P15" s="323"/>
      <c r="Q15" s="323"/>
      <c r="R15" s="323"/>
      <c r="S15" s="323"/>
      <c r="T15" s="323"/>
      <c r="U15" s="323"/>
      <c r="V15" s="323"/>
    </row>
    <row r="16" hidden="1">
      <c r="A16" s="343">
        <v>45334.0</v>
      </c>
      <c r="B16" s="273" t="s">
        <v>2562</v>
      </c>
      <c r="C16" s="265">
        <v>755575.0</v>
      </c>
      <c r="D16" s="265">
        <v>1.0987836E7</v>
      </c>
      <c r="E16" s="273" t="s">
        <v>2423</v>
      </c>
      <c r="F16" s="284">
        <v>2032.0</v>
      </c>
      <c r="G16" s="284">
        <v>1470957.0</v>
      </c>
      <c r="H16" s="284" t="s">
        <v>598</v>
      </c>
      <c r="I16" s="284" t="s">
        <v>2560</v>
      </c>
      <c r="J16" s="284" t="s">
        <v>2564</v>
      </c>
      <c r="K16" s="319"/>
      <c r="L16" s="294" t="s">
        <v>2298</v>
      </c>
      <c r="M16" s="294" t="s">
        <v>2565</v>
      </c>
      <c r="N16" s="274" t="s">
        <v>2323</v>
      </c>
      <c r="O16" s="323"/>
      <c r="P16" s="323"/>
      <c r="Q16" s="323"/>
      <c r="R16" s="323"/>
      <c r="S16" s="323"/>
      <c r="T16" s="323"/>
      <c r="U16" s="323"/>
      <c r="V16" s="323"/>
    </row>
    <row r="17" hidden="1">
      <c r="A17" s="343">
        <v>45334.0</v>
      </c>
      <c r="B17" s="273" t="s">
        <v>2562</v>
      </c>
      <c r="C17" s="265">
        <v>755372.0</v>
      </c>
      <c r="D17" s="265">
        <v>1.100432E7</v>
      </c>
      <c r="E17" s="344" t="s">
        <v>2566</v>
      </c>
      <c r="F17" s="265">
        <v>2035.0</v>
      </c>
      <c r="G17" s="265">
        <v>1472030.0</v>
      </c>
      <c r="H17" s="265" t="s">
        <v>618</v>
      </c>
      <c r="I17" s="265" t="s">
        <v>2319</v>
      </c>
      <c r="J17" s="312"/>
      <c r="K17" s="312"/>
      <c r="L17" s="273" t="s">
        <v>2298</v>
      </c>
      <c r="M17" s="273" t="s">
        <v>2567</v>
      </c>
      <c r="N17" s="274" t="s">
        <v>2323</v>
      </c>
      <c r="O17" s="323"/>
      <c r="P17" s="323"/>
      <c r="Q17" s="323"/>
      <c r="R17" s="323"/>
      <c r="S17" s="323"/>
      <c r="T17" s="323"/>
      <c r="U17" s="323"/>
      <c r="V17" s="323"/>
    </row>
    <row r="18" hidden="1">
      <c r="A18" s="343">
        <v>45363.0</v>
      </c>
      <c r="B18" s="273" t="s">
        <v>1154</v>
      </c>
      <c r="C18" s="265">
        <v>756598.0</v>
      </c>
      <c r="D18" s="265">
        <v>1.100432E7</v>
      </c>
      <c r="E18" s="344" t="s">
        <v>2566</v>
      </c>
      <c r="F18" s="265">
        <v>2035.0</v>
      </c>
      <c r="G18" s="265">
        <v>1472030.0</v>
      </c>
      <c r="H18" s="265" t="s">
        <v>618</v>
      </c>
      <c r="I18" s="265" t="s">
        <v>2319</v>
      </c>
      <c r="J18" s="265" t="s">
        <v>2568</v>
      </c>
      <c r="K18" s="312"/>
      <c r="L18" s="273" t="s">
        <v>2298</v>
      </c>
      <c r="M18" s="273" t="s">
        <v>2565</v>
      </c>
      <c r="N18" s="274" t="s">
        <v>2323</v>
      </c>
      <c r="O18" s="323"/>
      <c r="P18" s="323"/>
      <c r="Q18" s="323"/>
      <c r="R18" s="323"/>
      <c r="S18" s="323"/>
      <c r="T18" s="323"/>
      <c r="U18" s="323"/>
      <c r="V18" s="323"/>
    </row>
    <row r="19" hidden="1">
      <c r="A19" s="343">
        <v>45363.0</v>
      </c>
      <c r="B19" s="273" t="s">
        <v>2078</v>
      </c>
      <c r="C19" s="265">
        <v>756953.0</v>
      </c>
      <c r="D19" s="265">
        <v>1.0989997E7</v>
      </c>
      <c r="E19" s="273" t="s">
        <v>2388</v>
      </c>
      <c r="F19" s="265">
        <v>2030.0</v>
      </c>
      <c r="G19" s="265">
        <v>1469686.0</v>
      </c>
      <c r="H19" s="265" t="s">
        <v>630</v>
      </c>
      <c r="I19" s="265" t="s">
        <v>2569</v>
      </c>
      <c r="J19" s="312"/>
      <c r="K19" s="312"/>
      <c r="L19" s="273" t="s">
        <v>2298</v>
      </c>
      <c r="M19" s="273" t="s">
        <v>2570</v>
      </c>
      <c r="N19" s="274" t="s">
        <v>2323</v>
      </c>
      <c r="O19" s="323"/>
      <c r="P19" s="323"/>
      <c r="Q19" s="323"/>
      <c r="R19" s="323"/>
      <c r="S19" s="323"/>
      <c r="T19" s="323"/>
      <c r="U19" s="323"/>
      <c r="V19" s="323"/>
    </row>
    <row r="20" hidden="1">
      <c r="A20" s="343">
        <v>45363.0</v>
      </c>
      <c r="B20" s="273" t="s">
        <v>1084</v>
      </c>
      <c r="C20" s="265">
        <v>757028.0</v>
      </c>
      <c r="D20" s="265">
        <v>1.1003631E7</v>
      </c>
      <c r="E20" s="273" t="s">
        <v>2571</v>
      </c>
      <c r="F20" s="265">
        <v>499427.0</v>
      </c>
      <c r="G20" s="265">
        <v>1474259.0</v>
      </c>
      <c r="H20" s="265" t="s">
        <v>2572</v>
      </c>
      <c r="I20" s="265" t="s">
        <v>2573</v>
      </c>
      <c r="J20" s="265" t="s">
        <v>2574</v>
      </c>
      <c r="K20" s="312"/>
      <c r="L20" s="273" t="s">
        <v>2298</v>
      </c>
      <c r="M20" s="273" t="s">
        <v>2565</v>
      </c>
      <c r="N20" s="274" t="s">
        <v>2323</v>
      </c>
      <c r="O20" s="323"/>
      <c r="P20" s="323"/>
      <c r="Q20" s="323"/>
      <c r="R20" s="323"/>
      <c r="S20" s="323"/>
      <c r="T20" s="323"/>
      <c r="U20" s="323"/>
      <c r="V20" s="323"/>
    </row>
    <row r="21" hidden="1">
      <c r="A21" s="345">
        <v>45363.0</v>
      </c>
      <c r="B21" s="294" t="s">
        <v>1084</v>
      </c>
      <c r="C21" s="284">
        <v>757265.0</v>
      </c>
      <c r="D21" s="284">
        <v>1.0989997E7</v>
      </c>
      <c r="E21" s="294" t="s">
        <v>2559</v>
      </c>
      <c r="F21" s="284">
        <v>499425.0</v>
      </c>
      <c r="G21" s="284">
        <v>1474217.0</v>
      </c>
      <c r="H21" s="284" t="s">
        <v>630</v>
      </c>
      <c r="I21" s="284" t="s">
        <v>2569</v>
      </c>
      <c r="J21" s="319"/>
      <c r="K21" s="319"/>
      <c r="L21" s="294" t="s">
        <v>2557</v>
      </c>
      <c r="M21" s="294" t="s">
        <v>2575</v>
      </c>
      <c r="N21" s="289" t="s">
        <v>2323</v>
      </c>
      <c r="O21" s="323"/>
      <c r="P21" s="323"/>
      <c r="Q21" s="323"/>
      <c r="R21" s="323"/>
      <c r="S21" s="323"/>
      <c r="T21" s="323"/>
      <c r="U21" s="323"/>
      <c r="V21" s="323"/>
    </row>
    <row r="22" hidden="1">
      <c r="A22" s="343">
        <v>45455.0</v>
      </c>
      <c r="B22" s="294" t="s">
        <v>1084</v>
      </c>
      <c r="C22" s="284">
        <v>759955.0</v>
      </c>
      <c r="D22" s="265">
        <v>1.0961677E7</v>
      </c>
      <c r="E22" s="273" t="s">
        <v>2371</v>
      </c>
      <c r="F22" s="265">
        <v>2023.0</v>
      </c>
      <c r="G22" s="265">
        <v>1463425.0</v>
      </c>
      <c r="H22" s="265" t="s">
        <v>568</v>
      </c>
      <c r="I22" s="265" t="s">
        <v>2542</v>
      </c>
      <c r="J22" s="265" t="s">
        <v>2574</v>
      </c>
      <c r="K22" s="265" t="s">
        <v>2576</v>
      </c>
      <c r="L22" s="273" t="s">
        <v>2298</v>
      </c>
      <c r="M22" s="294" t="s">
        <v>2565</v>
      </c>
      <c r="N22" s="289" t="s">
        <v>2323</v>
      </c>
      <c r="O22" s="323"/>
      <c r="P22" s="323"/>
      <c r="Q22" s="323"/>
      <c r="R22" s="323"/>
      <c r="S22" s="323"/>
      <c r="T22" s="323"/>
      <c r="U22" s="323"/>
      <c r="V22" s="323"/>
    </row>
    <row r="23" hidden="1">
      <c r="A23" s="345">
        <v>45485.0</v>
      </c>
      <c r="B23" s="294" t="s">
        <v>1154</v>
      </c>
      <c r="C23" s="284">
        <v>760765.0</v>
      </c>
      <c r="D23" s="346">
        <v>1.0987836E7</v>
      </c>
      <c r="E23" s="294" t="s">
        <v>2423</v>
      </c>
      <c r="F23" s="284">
        <v>2032.0</v>
      </c>
      <c r="G23" s="284">
        <v>1470957.0</v>
      </c>
      <c r="H23" s="284" t="s">
        <v>598</v>
      </c>
      <c r="I23" s="284" t="s">
        <v>2560</v>
      </c>
      <c r="J23" s="284" t="s">
        <v>2577</v>
      </c>
      <c r="K23" s="347"/>
      <c r="L23" s="273" t="s">
        <v>2298</v>
      </c>
      <c r="M23" s="294" t="s">
        <v>2565</v>
      </c>
      <c r="N23" s="289" t="s">
        <v>2323</v>
      </c>
      <c r="O23" s="323"/>
      <c r="P23" s="323"/>
      <c r="Q23" s="323"/>
      <c r="R23" s="323"/>
      <c r="S23" s="323"/>
      <c r="T23" s="323"/>
      <c r="U23" s="323"/>
      <c r="V23" s="323"/>
    </row>
    <row r="24" hidden="1">
      <c r="A24" s="345">
        <v>45485.0</v>
      </c>
      <c r="B24" s="294" t="s">
        <v>1084</v>
      </c>
      <c r="C24" s="265">
        <v>760848.0</v>
      </c>
      <c r="D24" s="265">
        <v>1.1011017E7</v>
      </c>
      <c r="E24" s="273" t="s">
        <v>2559</v>
      </c>
      <c r="F24" s="265">
        <v>277485.0</v>
      </c>
      <c r="G24" s="265">
        <v>1477828.0</v>
      </c>
      <c r="H24" s="265" t="s">
        <v>2572</v>
      </c>
      <c r="I24" s="265" t="s">
        <v>2573</v>
      </c>
      <c r="J24" s="312"/>
      <c r="K24" s="308"/>
      <c r="L24" s="294" t="s">
        <v>2557</v>
      </c>
      <c r="M24" s="273" t="s">
        <v>2578</v>
      </c>
      <c r="N24" s="289" t="s">
        <v>2323</v>
      </c>
      <c r="O24" s="323"/>
      <c r="P24" s="323"/>
      <c r="Q24" s="323"/>
      <c r="R24" s="323"/>
      <c r="S24" s="323"/>
      <c r="T24" s="323"/>
      <c r="U24" s="323"/>
      <c r="V24" s="323"/>
    </row>
    <row r="25" hidden="1">
      <c r="A25" s="345">
        <v>45485.0</v>
      </c>
      <c r="B25" s="294" t="s">
        <v>1084</v>
      </c>
      <c r="C25" s="265">
        <v>760873.0</v>
      </c>
      <c r="D25" s="265">
        <v>1.1005911E7</v>
      </c>
      <c r="E25" s="273" t="s">
        <v>2327</v>
      </c>
      <c r="F25" s="265">
        <v>500130.0</v>
      </c>
      <c r="G25" s="265">
        <v>1477476.0</v>
      </c>
      <c r="H25" s="284" t="s">
        <v>630</v>
      </c>
      <c r="I25" s="284" t="s">
        <v>2569</v>
      </c>
      <c r="J25" s="308"/>
      <c r="K25" s="348"/>
      <c r="L25" s="273" t="s">
        <v>2298</v>
      </c>
      <c r="M25" s="349" t="s">
        <v>2538</v>
      </c>
      <c r="N25" s="289" t="s">
        <v>2323</v>
      </c>
      <c r="O25" s="323"/>
      <c r="P25" s="323"/>
      <c r="Q25" s="323"/>
      <c r="R25" s="323"/>
      <c r="S25" s="323"/>
      <c r="T25" s="323"/>
      <c r="U25" s="323"/>
      <c r="V25" s="323"/>
    </row>
    <row r="26" hidden="1">
      <c r="A26" s="345">
        <v>45485.0</v>
      </c>
      <c r="B26" s="294" t="s">
        <v>1084</v>
      </c>
      <c r="C26" s="265">
        <v>761703.0</v>
      </c>
      <c r="D26" s="265">
        <v>1.1019253E7</v>
      </c>
      <c r="E26" s="273" t="s">
        <v>2371</v>
      </c>
      <c r="F26" s="265">
        <v>2044.0</v>
      </c>
      <c r="G26" s="265">
        <v>1478353.0</v>
      </c>
      <c r="H26" s="284" t="s">
        <v>598</v>
      </c>
      <c r="I26" s="284" t="s">
        <v>2560</v>
      </c>
      <c r="J26" s="308"/>
      <c r="K26" s="348"/>
      <c r="L26" s="273" t="s">
        <v>2298</v>
      </c>
      <c r="M26" s="349" t="s">
        <v>2579</v>
      </c>
      <c r="N26" s="289" t="s">
        <v>2323</v>
      </c>
      <c r="O26" s="323"/>
      <c r="P26" s="323"/>
      <c r="Q26" s="323"/>
      <c r="R26" s="323"/>
      <c r="S26" s="323"/>
      <c r="T26" s="323"/>
      <c r="U26" s="323"/>
      <c r="V26" s="323"/>
    </row>
    <row r="27" hidden="1">
      <c r="A27" s="343">
        <v>45547.0</v>
      </c>
      <c r="B27" s="273" t="s">
        <v>1084</v>
      </c>
      <c r="C27" s="265">
        <v>761929.0</v>
      </c>
      <c r="D27" s="341">
        <v>1.1011068E7</v>
      </c>
      <c r="E27" s="273" t="s">
        <v>2559</v>
      </c>
      <c r="F27" s="265">
        <v>500185.0</v>
      </c>
      <c r="G27" s="265">
        <v>1477828.0</v>
      </c>
      <c r="H27" s="265" t="s">
        <v>2572</v>
      </c>
      <c r="I27" s="265" t="s">
        <v>2573</v>
      </c>
      <c r="J27" s="308"/>
      <c r="K27" s="308"/>
      <c r="L27" s="273" t="s">
        <v>2298</v>
      </c>
      <c r="M27" s="349" t="s">
        <v>2580</v>
      </c>
      <c r="N27" s="289" t="s">
        <v>2323</v>
      </c>
      <c r="O27" s="323"/>
      <c r="P27" s="323"/>
      <c r="Q27" s="323"/>
      <c r="R27" s="323"/>
      <c r="S27" s="323"/>
      <c r="T27" s="323"/>
      <c r="U27" s="323"/>
      <c r="V27" s="323"/>
    </row>
    <row r="28" hidden="1">
      <c r="A28" s="350">
        <v>45577.0</v>
      </c>
      <c r="B28" s="273" t="s">
        <v>2078</v>
      </c>
      <c r="C28" s="265">
        <v>761929.0</v>
      </c>
      <c r="D28" s="265">
        <v>1.0994934E7</v>
      </c>
      <c r="E28" s="273" t="s">
        <v>2581</v>
      </c>
      <c r="F28" s="265">
        <v>2033.0</v>
      </c>
      <c r="G28" s="265">
        <v>1471916.0</v>
      </c>
      <c r="H28" s="265" t="s">
        <v>637</v>
      </c>
      <c r="I28" s="342" t="s">
        <v>637</v>
      </c>
      <c r="J28" s="308"/>
      <c r="K28" s="308"/>
      <c r="L28" s="273" t="s">
        <v>2298</v>
      </c>
      <c r="M28" s="273" t="s">
        <v>2582</v>
      </c>
      <c r="N28" s="289" t="s">
        <v>2323</v>
      </c>
      <c r="O28" s="323"/>
      <c r="P28" s="323"/>
      <c r="Q28" s="323"/>
      <c r="R28" s="323"/>
      <c r="S28" s="323"/>
      <c r="T28" s="323"/>
      <c r="U28" s="323"/>
      <c r="V28" s="323"/>
    </row>
    <row r="29" hidden="1">
      <c r="A29" s="350">
        <v>45577.0</v>
      </c>
      <c r="B29" s="273" t="s">
        <v>2078</v>
      </c>
      <c r="C29" s="265">
        <v>762571.0</v>
      </c>
      <c r="D29" s="265">
        <v>1.0994936E7</v>
      </c>
      <c r="E29" s="273" t="s">
        <v>2581</v>
      </c>
      <c r="F29" s="265">
        <v>2034.0</v>
      </c>
      <c r="G29" s="265">
        <v>1471946.0</v>
      </c>
      <c r="H29" s="351" t="s">
        <v>640</v>
      </c>
      <c r="I29" s="351" t="s">
        <v>640</v>
      </c>
      <c r="J29" s="308"/>
      <c r="K29" s="308"/>
      <c r="L29" s="273" t="s">
        <v>2298</v>
      </c>
      <c r="M29" s="273" t="s">
        <v>2583</v>
      </c>
      <c r="N29" s="289" t="s">
        <v>2323</v>
      </c>
      <c r="O29" s="323"/>
      <c r="P29" s="323"/>
      <c r="Q29" s="323"/>
      <c r="R29" s="323"/>
      <c r="S29" s="323"/>
      <c r="T29" s="323"/>
      <c r="U29" s="323"/>
      <c r="V29" s="323"/>
    </row>
    <row r="30" hidden="1">
      <c r="A30" s="350">
        <v>45577.0</v>
      </c>
      <c r="B30" s="273" t="s">
        <v>2584</v>
      </c>
      <c r="C30" s="265">
        <v>762649.0</v>
      </c>
      <c r="D30" s="265">
        <v>1.1019253E7</v>
      </c>
      <c r="E30" s="273" t="s">
        <v>2371</v>
      </c>
      <c r="F30" s="265">
        <v>2044.0</v>
      </c>
      <c r="G30" s="265">
        <v>1478353.0</v>
      </c>
      <c r="H30" s="284" t="s">
        <v>598</v>
      </c>
      <c r="I30" s="284" t="s">
        <v>2560</v>
      </c>
      <c r="J30" s="308"/>
      <c r="K30" s="308"/>
      <c r="L30" s="273" t="s">
        <v>2298</v>
      </c>
      <c r="M30" s="273" t="s">
        <v>2585</v>
      </c>
      <c r="N30" s="289" t="s">
        <v>2323</v>
      </c>
      <c r="O30" s="323"/>
      <c r="P30" s="323"/>
      <c r="Q30" s="323"/>
      <c r="R30" s="323"/>
      <c r="S30" s="323"/>
      <c r="T30" s="323"/>
      <c r="U30" s="323"/>
      <c r="V30" s="323"/>
    </row>
    <row r="31" hidden="1">
      <c r="A31" s="352">
        <v>45577.0</v>
      </c>
      <c r="B31" s="294" t="s">
        <v>1972</v>
      </c>
      <c r="C31" s="265">
        <v>762729.0</v>
      </c>
      <c r="D31" s="284">
        <v>1.0961709E7</v>
      </c>
      <c r="E31" s="294" t="s">
        <v>2372</v>
      </c>
      <c r="F31" s="284">
        <v>2021.0</v>
      </c>
      <c r="G31" s="284" t="s">
        <v>52</v>
      </c>
      <c r="H31" s="284" t="s">
        <v>554</v>
      </c>
      <c r="I31" s="284" t="s">
        <v>2540</v>
      </c>
      <c r="J31" s="284" t="s">
        <v>2586</v>
      </c>
      <c r="K31" s="319"/>
      <c r="L31" s="273" t="s">
        <v>2298</v>
      </c>
      <c r="M31" s="294" t="s">
        <v>2565</v>
      </c>
      <c r="N31" s="289" t="s">
        <v>2323</v>
      </c>
      <c r="O31" s="323"/>
      <c r="P31" s="323"/>
      <c r="Q31" s="323"/>
      <c r="R31" s="323"/>
      <c r="S31" s="323"/>
      <c r="T31" s="323"/>
      <c r="U31" s="323"/>
      <c r="V31" s="323"/>
    </row>
    <row r="32" hidden="1">
      <c r="A32" s="350">
        <v>45608.0</v>
      </c>
      <c r="B32" s="273" t="s">
        <v>1084</v>
      </c>
      <c r="C32" s="265">
        <v>763113.0</v>
      </c>
      <c r="D32" s="265">
        <v>1.1025298E7</v>
      </c>
      <c r="E32" s="273" t="s">
        <v>2327</v>
      </c>
      <c r="F32" s="265">
        <v>500456.0</v>
      </c>
      <c r="G32" s="353">
        <v>1479350.0</v>
      </c>
      <c r="H32" s="265" t="s">
        <v>441</v>
      </c>
      <c r="I32" s="265" t="s">
        <v>2316</v>
      </c>
      <c r="J32" s="273" t="s">
        <v>2574</v>
      </c>
      <c r="K32" s="308"/>
      <c r="L32" s="273" t="s">
        <v>2298</v>
      </c>
      <c r="M32" s="273" t="s">
        <v>2565</v>
      </c>
      <c r="N32" s="289" t="s">
        <v>2323</v>
      </c>
      <c r="O32" s="323"/>
      <c r="P32" s="323"/>
      <c r="Q32" s="323"/>
      <c r="R32" s="323"/>
      <c r="S32" s="323"/>
      <c r="T32" s="323"/>
      <c r="U32" s="323"/>
      <c r="V32" s="323"/>
    </row>
    <row r="33" hidden="1">
      <c r="A33" s="350">
        <v>45608.0</v>
      </c>
      <c r="B33" s="273" t="s">
        <v>1084</v>
      </c>
      <c r="C33" s="265">
        <v>763122.0</v>
      </c>
      <c r="D33" s="265">
        <v>1.1019254E7</v>
      </c>
      <c r="E33" s="273" t="s">
        <v>2372</v>
      </c>
      <c r="F33" s="265">
        <v>183309.0</v>
      </c>
      <c r="G33" s="353">
        <v>1480233.0</v>
      </c>
      <c r="H33" s="284" t="s">
        <v>598</v>
      </c>
      <c r="I33" s="284" t="s">
        <v>2560</v>
      </c>
      <c r="J33" s="273" t="s">
        <v>2574</v>
      </c>
      <c r="K33" s="308"/>
      <c r="L33" s="273" t="s">
        <v>2298</v>
      </c>
      <c r="M33" s="273" t="s">
        <v>2565</v>
      </c>
      <c r="N33" s="289" t="s">
        <v>2323</v>
      </c>
      <c r="O33" s="323"/>
      <c r="P33" s="323"/>
      <c r="Q33" s="323"/>
      <c r="R33" s="323"/>
      <c r="S33" s="323"/>
      <c r="T33" s="323"/>
      <c r="U33" s="323"/>
      <c r="V33" s="323"/>
    </row>
    <row r="34" hidden="1">
      <c r="A34" s="350">
        <v>45638.0</v>
      </c>
      <c r="B34" s="273" t="s">
        <v>1084</v>
      </c>
      <c r="C34" s="265">
        <v>764208.0</v>
      </c>
      <c r="D34" s="265">
        <v>1.1026961E7</v>
      </c>
      <c r="E34" s="273" t="s">
        <v>2327</v>
      </c>
      <c r="F34" s="265">
        <v>500815.0</v>
      </c>
      <c r="G34" s="353">
        <v>1481106.0</v>
      </c>
      <c r="H34" s="284" t="s">
        <v>659</v>
      </c>
      <c r="I34" s="284" t="s">
        <v>2306</v>
      </c>
      <c r="J34" s="273" t="s">
        <v>2574</v>
      </c>
      <c r="K34" s="308"/>
      <c r="L34" s="273" t="s">
        <v>2298</v>
      </c>
      <c r="M34" s="273" t="s">
        <v>2565</v>
      </c>
      <c r="N34" s="289" t="s">
        <v>2323</v>
      </c>
      <c r="O34" s="323"/>
      <c r="P34" s="323"/>
      <c r="Q34" s="323"/>
      <c r="R34" s="323"/>
      <c r="S34" s="323"/>
      <c r="T34" s="323"/>
      <c r="U34" s="323"/>
      <c r="V34" s="323"/>
    </row>
    <row r="35" hidden="1">
      <c r="A35" s="273" t="s">
        <v>695</v>
      </c>
      <c r="B35" s="273" t="s">
        <v>1154</v>
      </c>
      <c r="C35" s="265">
        <v>765522.0</v>
      </c>
      <c r="D35" s="265">
        <v>1.1030433E7</v>
      </c>
      <c r="E35" s="273" t="s">
        <v>2365</v>
      </c>
      <c r="F35" s="265">
        <v>2047.0</v>
      </c>
      <c r="G35" s="353">
        <v>1482155.0</v>
      </c>
      <c r="H35" s="284" t="s">
        <v>555</v>
      </c>
      <c r="I35" s="284" t="s">
        <v>2587</v>
      </c>
      <c r="J35" s="273" t="s">
        <v>2588</v>
      </c>
      <c r="K35" s="308"/>
      <c r="L35" s="273" t="s">
        <v>2298</v>
      </c>
      <c r="N35" s="289" t="s">
        <v>2300</v>
      </c>
      <c r="O35" s="323"/>
      <c r="P35" s="323"/>
      <c r="Q35" s="323"/>
      <c r="R35" s="323"/>
      <c r="S35" s="323"/>
      <c r="T35" s="323"/>
      <c r="U35" s="323"/>
      <c r="V35" s="323"/>
    </row>
    <row r="36" hidden="1">
      <c r="A36" s="273" t="s">
        <v>695</v>
      </c>
      <c r="B36" s="273" t="s">
        <v>2589</v>
      </c>
      <c r="C36" s="265">
        <v>765576.0</v>
      </c>
      <c r="D36" s="265">
        <v>1.1030433E7</v>
      </c>
      <c r="E36" s="273" t="s">
        <v>2365</v>
      </c>
      <c r="F36" s="265">
        <v>2047.0</v>
      </c>
      <c r="G36" s="353">
        <v>1482155.0</v>
      </c>
      <c r="H36" s="284" t="s">
        <v>555</v>
      </c>
      <c r="I36" s="284" t="s">
        <v>2587</v>
      </c>
      <c r="J36" s="308"/>
      <c r="K36" s="308"/>
      <c r="L36" s="294" t="s">
        <v>2298</v>
      </c>
      <c r="M36" s="273" t="s">
        <v>2590</v>
      </c>
      <c r="N36" s="289" t="s">
        <v>2323</v>
      </c>
      <c r="O36" s="323"/>
      <c r="P36" s="323"/>
      <c r="Q36" s="323"/>
      <c r="R36" s="323"/>
      <c r="S36" s="323"/>
      <c r="T36" s="323"/>
      <c r="U36" s="323"/>
      <c r="V36" s="323"/>
    </row>
    <row r="37" hidden="1">
      <c r="A37" s="294" t="s">
        <v>695</v>
      </c>
      <c r="B37" s="294" t="s">
        <v>2078</v>
      </c>
      <c r="C37" s="284">
        <v>765583.0</v>
      </c>
      <c r="D37" s="284">
        <v>1.1030433E7</v>
      </c>
      <c r="E37" s="294" t="s">
        <v>2365</v>
      </c>
      <c r="F37" s="284">
        <v>2047.0</v>
      </c>
      <c r="G37" s="354">
        <v>1482155.0</v>
      </c>
      <c r="H37" s="284" t="s">
        <v>555</v>
      </c>
      <c r="I37" s="284" t="s">
        <v>2587</v>
      </c>
      <c r="J37" s="347"/>
      <c r="K37" s="347"/>
      <c r="L37" s="294" t="s">
        <v>2298</v>
      </c>
      <c r="M37" s="273" t="s">
        <v>2591</v>
      </c>
      <c r="N37" s="289" t="s">
        <v>2323</v>
      </c>
      <c r="O37" s="323"/>
      <c r="P37" s="323"/>
      <c r="Q37" s="323"/>
      <c r="R37" s="323"/>
      <c r="S37" s="323"/>
      <c r="T37" s="323"/>
      <c r="U37" s="323"/>
      <c r="V37" s="323"/>
    </row>
    <row r="38" hidden="1">
      <c r="A38" s="294" t="s">
        <v>703</v>
      </c>
      <c r="B38" s="294" t="s">
        <v>2589</v>
      </c>
      <c r="C38" s="284">
        <v>766495.0</v>
      </c>
      <c r="D38" s="284">
        <v>1.1030433E7</v>
      </c>
      <c r="E38" s="294" t="s">
        <v>2365</v>
      </c>
      <c r="F38" s="284">
        <v>2047.0</v>
      </c>
      <c r="G38" s="354">
        <v>1482155.0</v>
      </c>
      <c r="H38" s="284" t="s">
        <v>555</v>
      </c>
      <c r="I38" s="284" t="s">
        <v>2587</v>
      </c>
      <c r="J38" s="347"/>
      <c r="K38" s="347"/>
      <c r="L38" s="294" t="s">
        <v>2298</v>
      </c>
      <c r="M38" s="294" t="s">
        <v>2592</v>
      </c>
      <c r="N38" s="289" t="s">
        <v>2323</v>
      </c>
      <c r="O38" s="323"/>
      <c r="P38" s="323"/>
      <c r="Q38" s="323"/>
      <c r="R38" s="323"/>
      <c r="S38" s="323"/>
      <c r="T38" s="323"/>
      <c r="U38" s="323"/>
      <c r="V38" s="323"/>
    </row>
    <row r="39" hidden="1">
      <c r="A39" s="294" t="s">
        <v>703</v>
      </c>
      <c r="B39" s="294" t="s">
        <v>2589</v>
      </c>
      <c r="C39" s="284">
        <v>766825.0</v>
      </c>
      <c r="D39" s="284">
        <v>1.1030433E7</v>
      </c>
      <c r="E39" s="294" t="s">
        <v>2365</v>
      </c>
      <c r="F39" s="284">
        <v>2047.0</v>
      </c>
      <c r="G39" s="354">
        <v>1482155.0</v>
      </c>
      <c r="H39" s="284" t="s">
        <v>555</v>
      </c>
      <c r="I39" s="284" t="s">
        <v>2587</v>
      </c>
      <c r="J39" s="347"/>
      <c r="K39" s="347"/>
      <c r="L39" s="294" t="s">
        <v>2298</v>
      </c>
      <c r="M39" s="294" t="s">
        <v>2593</v>
      </c>
      <c r="N39" s="289" t="s">
        <v>2323</v>
      </c>
      <c r="O39" s="323"/>
      <c r="P39" s="323"/>
      <c r="Q39" s="323"/>
      <c r="R39" s="323"/>
      <c r="S39" s="323"/>
      <c r="T39" s="323"/>
      <c r="U39" s="323"/>
      <c r="V39" s="323"/>
    </row>
    <row r="40" hidden="1">
      <c r="A40" s="273" t="s">
        <v>666</v>
      </c>
      <c r="B40" s="273" t="s">
        <v>1084</v>
      </c>
      <c r="C40" s="265">
        <v>766044.0</v>
      </c>
      <c r="D40" s="265">
        <v>1.1040247E7</v>
      </c>
      <c r="E40" s="273" t="s">
        <v>2594</v>
      </c>
      <c r="F40" s="265">
        <v>2049.0</v>
      </c>
      <c r="G40" s="265">
        <v>1482372.0</v>
      </c>
      <c r="H40" s="265" t="s">
        <v>441</v>
      </c>
      <c r="I40" s="265" t="s">
        <v>2316</v>
      </c>
      <c r="J40" s="308"/>
      <c r="K40" s="308"/>
      <c r="L40" s="294" t="s">
        <v>2557</v>
      </c>
      <c r="M40" s="294" t="s">
        <v>2595</v>
      </c>
      <c r="N40" s="289" t="s">
        <v>2323</v>
      </c>
      <c r="O40" s="323"/>
      <c r="P40" s="323"/>
      <c r="Q40" s="323"/>
      <c r="R40" s="323"/>
      <c r="S40" s="323"/>
      <c r="T40" s="323"/>
      <c r="U40" s="323"/>
      <c r="V40" s="323"/>
    </row>
    <row r="41" hidden="1">
      <c r="A41" s="294" t="s">
        <v>666</v>
      </c>
      <c r="B41" s="294" t="s">
        <v>1972</v>
      </c>
      <c r="C41" s="284">
        <v>766047.0</v>
      </c>
      <c r="D41" s="284">
        <v>1.1040258E7</v>
      </c>
      <c r="E41" s="294" t="s">
        <v>2327</v>
      </c>
      <c r="F41" s="284" t="s">
        <v>52</v>
      </c>
      <c r="G41" s="284" t="s">
        <v>52</v>
      </c>
      <c r="H41" s="284" t="s">
        <v>494</v>
      </c>
      <c r="I41" s="284" t="s">
        <v>2596</v>
      </c>
      <c r="J41" s="355" t="s">
        <v>2597</v>
      </c>
      <c r="K41" s="347"/>
      <c r="L41" s="294" t="s">
        <v>2298</v>
      </c>
      <c r="M41" s="294" t="s">
        <v>2565</v>
      </c>
      <c r="N41" s="289" t="s">
        <v>2323</v>
      </c>
      <c r="O41" s="323"/>
      <c r="P41" s="323"/>
      <c r="Q41" s="323"/>
      <c r="R41" s="323"/>
      <c r="S41" s="323"/>
      <c r="T41" s="323"/>
      <c r="U41" s="323"/>
      <c r="V41" s="323"/>
    </row>
    <row r="42" hidden="1">
      <c r="A42" s="273" t="s">
        <v>728</v>
      </c>
      <c r="B42" s="273" t="s">
        <v>1084</v>
      </c>
      <c r="C42" s="265">
        <v>767774.0</v>
      </c>
      <c r="D42" s="265">
        <v>1.104026E7</v>
      </c>
      <c r="E42" s="294" t="s">
        <v>2327</v>
      </c>
      <c r="F42" s="265">
        <v>501480.0</v>
      </c>
      <c r="G42" s="265">
        <v>1484540.0</v>
      </c>
      <c r="H42" s="265" t="s">
        <v>441</v>
      </c>
      <c r="I42" s="265" t="s">
        <v>2316</v>
      </c>
      <c r="J42" s="308"/>
      <c r="K42" s="308"/>
      <c r="L42" s="294" t="s">
        <v>2298</v>
      </c>
      <c r="M42" s="273" t="s">
        <v>2598</v>
      </c>
      <c r="N42" s="289" t="s">
        <v>2323</v>
      </c>
      <c r="O42" s="323"/>
      <c r="P42" s="323"/>
      <c r="Q42" s="323"/>
      <c r="R42" s="323"/>
      <c r="S42" s="323"/>
      <c r="T42" s="323"/>
      <c r="U42" s="323"/>
      <c r="V42" s="323"/>
    </row>
    <row r="43" hidden="1">
      <c r="A43" s="273" t="s">
        <v>728</v>
      </c>
      <c r="B43" s="273" t="s">
        <v>1084</v>
      </c>
      <c r="C43" s="265">
        <v>767787.0</v>
      </c>
      <c r="D43" s="265">
        <v>1.104179E7</v>
      </c>
      <c r="E43" s="273" t="s">
        <v>2571</v>
      </c>
      <c r="F43" s="265">
        <v>501607.0</v>
      </c>
      <c r="G43" s="265">
        <v>1485492.0</v>
      </c>
      <c r="H43" s="284" t="s">
        <v>659</v>
      </c>
      <c r="I43" s="284" t="s">
        <v>2306</v>
      </c>
      <c r="J43" s="273" t="s">
        <v>2574</v>
      </c>
      <c r="K43" s="308"/>
      <c r="L43" s="294" t="s">
        <v>2298</v>
      </c>
      <c r="M43" s="273" t="s">
        <v>2565</v>
      </c>
      <c r="N43" s="289" t="s">
        <v>2323</v>
      </c>
      <c r="O43" s="323"/>
      <c r="P43" s="323"/>
      <c r="Q43" s="323"/>
      <c r="R43" s="323"/>
      <c r="S43" s="323"/>
      <c r="T43" s="323"/>
      <c r="U43" s="323"/>
      <c r="V43" s="323"/>
    </row>
    <row r="44" hidden="1">
      <c r="A44" s="294" t="s">
        <v>728</v>
      </c>
      <c r="B44" s="294" t="s">
        <v>1084</v>
      </c>
      <c r="C44" s="265">
        <v>768166.0</v>
      </c>
      <c r="D44" s="265">
        <v>1.1019253E7</v>
      </c>
      <c r="E44" s="273" t="s">
        <v>2371</v>
      </c>
      <c r="F44" s="265">
        <v>2044.0</v>
      </c>
      <c r="G44" s="265">
        <v>1478353.0</v>
      </c>
      <c r="H44" s="284" t="s">
        <v>598</v>
      </c>
      <c r="I44" s="284" t="s">
        <v>2560</v>
      </c>
      <c r="J44" s="273" t="s">
        <v>2574</v>
      </c>
      <c r="K44" s="348"/>
      <c r="L44" s="273" t="s">
        <v>2298</v>
      </c>
      <c r="M44" s="349" t="s">
        <v>2565</v>
      </c>
      <c r="N44" s="289" t="s">
        <v>2323</v>
      </c>
      <c r="O44" s="323"/>
      <c r="P44" s="323"/>
      <c r="Q44" s="323"/>
      <c r="R44" s="323"/>
      <c r="S44" s="323"/>
      <c r="T44" s="323"/>
      <c r="U44" s="323"/>
      <c r="V44" s="323"/>
    </row>
    <row r="45" hidden="1">
      <c r="A45" s="273" t="s">
        <v>741</v>
      </c>
      <c r="B45" s="273" t="s">
        <v>1084</v>
      </c>
      <c r="C45" s="265">
        <v>770250.0</v>
      </c>
      <c r="D45" s="265">
        <v>1.1042327E7</v>
      </c>
      <c r="E45" s="273" t="s">
        <v>2327</v>
      </c>
      <c r="F45" s="265">
        <v>501890.0</v>
      </c>
      <c r="G45" s="312">
        <v>1486836.0</v>
      </c>
      <c r="H45" s="265" t="s">
        <v>707</v>
      </c>
      <c r="I45" s="265" t="s">
        <v>2599</v>
      </c>
      <c r="J45" s="308"/>
      <c r="K45" s="308"/>
      <c r="L45" s="273" t="s">
        <v>2298</v>
      </c>
      <c r="M45" s="356" t="s">
        <v>2595</v>
      </c>
      <c r="N45" s="289" t="s">
        <v>2323</v>
      </c>
      <c r="O45" s="323"/>
      <c r="P45" s="323"/>
      <c r="Q45" s="323"/>
      <c r="R45" s="323"/>
      <c r="S45" s="323"/>
      <c r="T45" s="323"/>
      <c r="U45" s="323"/>
      <c r="V45" s="323"/>
    </row>
    <row r="46" hidden="1">
      <c r="A46" s="273" t="s">
        <v>741</v>
      </c>
      <c r="B46" s="273" t="s">
        <v>1084</v>
      </c>
      <c r="C46" s="265">
        <v>770253.0</v>
      </c>
      <c r="D46" s="265">
        <v>1.1042326E7</v>
      </c>
      <c r="E46" s="273" t="s">
        <v>2327</v>
      </c>
      <c r="F46" s="265">
        <v>502012.0</v>
      </c>
      <c r="G46" s="265">
        <v>1487525.0</v>
      </c>
      <c r="H46" s="265" t="s">
        <v>704</v>
      </c>
      <c r="I46" s="265" t="s">
        <v>2361</v>
      </c>
      <c r="J46" s="273" t="s">
        <v>2600</v>
      </c>
      <c r="K46" s="308"/>
      <c r="L46" s="273" t="s">
        <v>2298</v>
      </c>
      <c r="M46" s="356" t="s">
        <v>2565</v>
      </c>
      <c r="N46" s="289" t="s">
        <v>2323</v>
      </c>
      <c r="O46" s="323"/>
      <c r="P46" s="323"/>
      <c r="Q46" s="323"/>
      <c r="R46" s="323"/>
      <c r="S46" s="323"/>
      <c r="T46" s="323"/>
      <c r="U46" s="323"/>
      <c r="V46" s="323"/>
    </row>
    <row r="47" hidden="1">
      <c r="A47" s="273" t="s">
        <v>748</v>
      </c>
      <c r="B47" s="273" t="s">
        <v>2307</v>
      </c>
      <c r="C47" s="265">
        <v>770687.0</v>
      </c>
      <c r="D47" s="265">
        <v>1.1054928E7</v>
      </c>
      <c r="E47" s="273" t="s">
        <v>2327</v>
      </c>
      <c r="F47" s="265" t="s">
        <v>52</v>
      </c>
      <c r="G47" s="265" t="s">
        <v>52</v>
      </c>
      <c r="H47" s="265" t="s">
        <v>2601</v>
      </c>
      <c r="I47" s="265" t="s">
        <v>2369</v>
      </c>
      <c r="J47" s="273" t="s">
        <v>2602</v>
      </c>
      <c r="K47" s="308"/>
      <c r="L47" s="294" t="s">
        <v>2298</v>
      </c>
      <c r="M47" s="356" t="s">
        <v>2565</v>
      </c>
      <c r="N47" s="289" t="s">
        <v>2323</v>
      </c>
      <c r="O47" s="323"/>
      <c r="P47" s="323"/>
      <c r="Q47" s="323"/>
      <c r="R47" s="323"/>
      <c r="S47" s="323"/>
      <c r="T47" s="323"/>
      <c r="U47" s="323"/>
      <c r="V47" s="323"/>
    </row>
    <row r="48" hidden="1">
      <c r="A48" s="273" t="s">
        <v>757</v>
      </c>
      <c r="B48" s="273" t="s">
        <v>1084</v>
      </c>
      <c r="C48" s="265">
        <v>771856.0</v>
      </c>
      <c r="D48" s="265">
        <v>1.1069471E7</v>
      </c>
      <c r="E48" s="273" t="s">
        <v>2372</v>
      </c>
      <c r="F48" s="265">
        <v>183641.0</v>
      </c>
      <c r="G48" s="265">
        <v>1488812.0</v>
      </c>
      <c r="H48" s="265" t="s">
        <v>707</v>
      </c>
      <c r="I48" s="265" t="s">
        <v>2599</v>
      </c>
      <c r="J48" s="273" t="s">
        <v>2574</v>
      </c>
      <c r="K48" s="308"/>
      <c r="L48" s="273" t="s">
        <v>2298</v>
      </c>
      <c r="M48" s="356" t="s">
        <v>2565</v>
      </c>
      <c r="N48" s="289" t="s">
        <v>2323</v>
      </c>
      <c r="O48" s="323"/>
      <c r="P48" s="323"/>
      <c r="Q48" s="323"/>
      <c r="R48" s="323"/>
      <c r="S48" s="323"/>
      <c r="T48" s="323"/>
      <c r="U48" s="323"/>
      <c r="V48" s="323"/>
    </row>
    <row r="49" hidden="1">
      <c r="A49" s="273" t="s">
        <v>757</v>
      </c>
      <c r="B49" s="273" t="s">
        <v>1084</v>
      </c>
      <c r="C49" s="265">
        <v>771867.0</v>
      </c>
      <c r="D49" s="265">
        <v>1.1054322E7</v>
      </c>
      <c r="E49" s="273" t="s">
        <v>2559</v>
      </c>
      <c r="F49" s="265">
        <v>502279.0</v>
      </c>
      <c r="G49" s="265">
        <v>1488668.0</v>
      </c>
      <c r="H49" s="284" t="s">
        <v>659</v>
      </c>
      <c r="I49" s="284" t="s">
        <v>2306</v>
      </c>
      <c r="J49" s="273" t="s">
        <v>2550</v>
      </c>
      <c r="K49" s="308"/>
      <c r="L49" s="273" t="s">
        <v>2298</v>
      </c>
      <c r="M49" s="356" t="s">
        <v>2565</v>
      </c>
      <c r="N49" s="289" t="s">
        <v>2323</v>
      </c>
      <c r="O49" s="323"/>
      <c r="P49" s="323"/>
      <c r="Q49" s="323"/>
      <c r="R49" s="323"/>
      <c r="S49" s="323"/>
      <c r="T49" s="323"/>
      <c r="U49" s="323"/>
      <c r="V49" s="323"/>
    </row>
    <row r="50" hidden="1">
      <c r="A50" s="273" t="s">
        <v>2603</v>
      </c>
      <c r="B50" s="273" t="s">
        <v>1084</v>
      </c>
      <c r="C50" s="265">
        <v>772663.0</v>
      </c>
      <c r="D50" s="265">
        <v>1.105754E7</v>
      </c>
      <c r="E50" s="273" t="s">
        <v>2327</v>
      </c>
      <c r="F50" s="265">
        <v>502378.0</v>
      </c>
      <c r="G50" s="265">
        <v>1489083.0</v>
      </c>
      <c r="H50" s="265" t="s">
        <v>831</v>
      </c>
      <c r="I50" s="265" t="s">
        <v>2305</v>
      </c>
      <c r="J50" s="308"/>
      <c r="K50" s="308"/>
      <c r="L50" s="273" t="s">
        <v>2298</v>
      </c>
      <c r="M50" s="273" t="s">
        <v>2604</v>
      </c>
      <c r="N50" s="289" t="s">
        <v>2323</v>
      </c>
      <c r="O50" s="323"/>
      <c r="P50" s="323"/>
      <c r="Q50" s="323"/>
      <c r="R50" s="323"/>
      <c r="S50" s="323"/>
      <c r="T50" s="323"/>
      <c r="U50" s="323"/>
      <c r="V50" s="323"/>
    </row>
    <row r="51" hidden="1">
      <c r="A51" s="273" t="s">
        <v>2603</v>
      </c>
      <c r="B51" s="273" t="s">
        <v>1084</v>
      </c>
      <c r="C51" s="265">
        <v>772670.0</v>
      </c>
      <c r="D51" s="265">
        <v>1.1080757E7</v>
      </c>
      <c r="E51" s="273" t="s">
        <v>2327</v>
      </c>
      <c r="F51" s="265">
        <v>502325.0</v>
      </c>
      <c r="G51" s="265">
        <v>1488866.0</v>
      </c>
      <c r="H51" s="265" t="s">
        <v>550</v>
      </c>
      <c r="I51" s="265" t="s">
        <v>2605</v>
      </c>
      <c r="J51" s="308"/>
      <c r="K51" s="308"/>
      <c r="L51" s="273" t="s">
        <v>2298</v>
      </c>
      <c r="M51" s="273" t="s">
        <v>2604</v>
      </c>
      <c r="N51" s="289" t="s">
        <v>2323</v>
      </c>
      <c r="O51" s="323"/>
      <c r="P51" s="323"/>
      <c r="Q51" s="323"/>
      <c r="R51" s="323"/>
      <c r="S51" s="323"/>
      <c r="T51" s="323"/>
      <c r="U51" s="323"/>
      <c r="V51" s="323"/>
    </row>
    <row r="52" hidden="1">
      <c r="A52" s="273" t="s">
        <v>792</v>
      </c>
      <c r="B52" s="273" t="s">
        <v>1084</v>
      </c>
      <c r="C52" s="265">
        <v>774783.0</v>
      </c>
      <c r="D52" s="265">
        <v>1.10644E7</v>
      </c>
      <c r="E52" s="273" t="s">
        <v>2559</v>
      </c>
      <c r="F52" s="265">
        <v>502679.0</v>
      </c>
      <c r="G52" s="265">
        <v>1490814.0</v>
      </c>
      <c r="H52" s="265" t="s">
        <v>758</v>
      </c>
      <c r="I52" s="265" t="s">
        <v>2606</v>
      </c>
      <c r="J52" s="308"/>
      <c r="K52" s="308"/>
      <c r="L52" s="273" t="s">
        <v>2298</v>
      </c>
      <c r="M52" s="356"/>
      <c r="N52" s="289" t="s">
        <v>2323</v>
      </c>
      <c r="O52" s="323"/>
      <c r="P52" s="323"/>
      <c r="Q52" s="323"/>
      <c r="R52" s="323"/>
      <c r="S52" s="323"/>
      <c r="T52" s="323"/>
      <c r="U52" s="323"/>
      <c r="V52" s="323"/>
    </row>
    <row r="53" hidden="1">
      <c r="A53" s="273" t="s">
        <v>792</v>
      </c>
      <c r="B53" s="273" t="s">
        <v>1084</v>
      </c>
      <c r="C53" s="265">
        <v>775464.0</v>
      </c>
      <c r="D53" s="265">
        <v>1.1057544E7</v>
      </c>
      <c r="E53" s="273" t="s">
        <v>2327</v>
      </c>
      <c r="F53" s="265">
        <v>502712.0</v>
      </c>
      <c r="G53" s="265">
        <v>1491118.0</v>
      </c>
      <c r="H53" s="265" t="s">
        <v>749</v>
      </c>
      <c r="I53" s="265" t="s">
        <v>2312</v>
      </c>
      <c r="J53" s="308"/>
      <c r="K53" s="308"/>
      <c r="L53" s="273" t="s">
        <v>2298</v>
      </c>
      <c r="M53" s="273" t="s">
        <v>2604</v>
      </c>
      <c r="N53" s="289" t="s">
        <v>2323</v>
      </c>
      <c r="O53" s="323"/>
      <c r="P53" s="323"/>
      <c r="Q53" s="323"/>
      <c r="R53" s="323"/>
      <c r="S53" s="323"/>
      <c r="T53" s="323"/>
      <c r="U53" s="323"/>
      <c r="V53" s="323"/>
    </row>
    <row r="54" hidden="1">
      <c r="A54" s="273" t="s">
        <v>808</v>
      </c>
      <c r="B54" s="273" t="s">
        <v>1084</v>
      </c>
      <c r="C54" s="265">
        <v>776179.0</v>
      </c>
      <c r="D54" s="265">
        <v>1.105754E7</v>
      </c>
      <c r="E54" s="273" t="s">
        <v>2327</v>
      </c>
      <c r="F54" s="265">
        <v>502378.0</v>
      </c>
      <c r="G54" s="265">
        <v>1489083.0</v>
      </c>
      <c r="H54" s="265" t="s">
        <v>831</v>
      </c>
      <c r="I54" s="265" t="s">
        <v>2305</v>
      </c>
      <c r="J54" s="273" t="s">
        <v>2574</v>
      </c>
      <c r="K54" s="308"/>
      <c r="L54" s="273" t="s">
        <v>2298</v>
      </c>
      <c r="M54" s="273" t="s">
        <v>2565</v>
      </c>
      <c r="N54" s="289" t="s">
        <v>2323</v>
      </c>
      <c r="O54" s="323"/>
      <c r="P54" s="323"/>
      <c r="Q54" s="323"/>
      <c r="R54" s="323"/>
      <c r="S54" s="323"/>
      <c r="T54" s="323"/>
      <c r="U54" s="323"/>
      <c r="V54" s="323"/>
    </row>
    <row r="55" hidden="1">
      <c r="A55" s="273" t="s">
        <v>808</v>
      </c>
      <c r="B55" s="273" t="s">
        <v>1084</v>
      </c>
      <c r="C55" s="265">
        <v>776211.0</v>
      </c>
      <c r="D55" s="265">
        <v>1.1080757E7</v>
      </c>
      <c r="E55" s="273" t="s">
        <v>2327</v>
      </c>
      <c r="F55" s="265">
        <v>502325.0</v>
      </c>
      <c r="G55" s="265">
        <v>1488866.0</v>
      </c>
      <c r="H55" s="265" t="s">
        <v>550</v>
      </c>
      <c r="I55" s="265" t="s">
        <v>2605</v>
      </c>
      <c r="J55" s="273" t="s">
        <v>2574</v>
      </c>
      <c r="K55" s="308"/>
      <c r="L55" s="273" t="s">
        <v>2298</v>
      </c>
      <c r="M55" s="273" t="s">
        <v>2565</v>
      </c>
      <c r="N55" s="289" t="s">
        <v>2323</v>
      </c>
      <c r="O55" s="323"/>
      <c r="P55" s="323"/>
      <c r="Q55" s="323"/>
      <c r="R55" s="323"/>
      <c r="S55" s="323"/>
      <c r="T55" s="323"/>
      <c r="U55" s="323"/>
      <c r="V55" s="323"/>
    </row>
    <row r="56" hidden="1">
      <c r="A56" s="273" t="s">
        <v>808</v>
      </c>
      <c r="B56" s="273" t="s">
        <v>1084</v>
      </c>
      <c r="C56" s="265">
        <v>776689.0</v>
      </c>
      <c r="D56" s="265">
        <v>1.108542E7</v>
      </c>
      <c r="E56" s="273" t="s">
        <v>2566</v>
      </c>
      <c r="F56" s="265">
        <v>2065.0</v>
      </c>
      <c r="G56" s="265">
        <v>1491364.0</v>
      </c>
      <c r="H56" s="265" t="s">
        <v>441</v>
      </c>
      <c r="I56" s="265" t="s">
        <v>2316</v>
      </c>
      <c r="J56" s="308"/>
      <c r="K56" s="308"/>
      <c r="L56" s="273" t="s">
        <v>2557</v>
      </c>
      <c r="M56" s="356" t="s">
        <v>2607</v>
      </c>
      <c r="N56" s="289" t="s">
        <v>2323</v>
      </c>
      <c r="O56" s="323"/>
      <c r="P56" s="323"/>
      <c r="Q56" s="323"/>
      <c r="R56" s="323"/>
      <c r="S56" s="323"/>
      <c r="T56" s="323"/>
      <c r="U56" s="323"/>
      <c r="V56" s="323"/>
    </row>
    <row r="57" hidden="1">
      <c r="A57" s="273" t="s">
        <v>808</v>
      </c>
      <c r="B57" s="273" t="s">
        <v>2589</v>
      </c>
      <c r="C57" s="265">
        <v>776997.0</v>
      </c>
      <c r="D57" s="265">
        <v>1.108542E7</v>
      </c>
      <c r="E57" s="273" t="s">
        <v>2566</v>
      </c>
      <c r="F57" s="265">
        <v>2065.0</v>
      </c>
      <c r="G57" s="265">
        <v>1491364.0</v>
      </c>
      <c r="H57" s="265" t="s">
        <v>441</v>
      </c>
      <c r="I57" s="265" t="s">
        <v>2316</v>
      </c>
      <c r="J57" s="308"/>
      <c r="K57" s="308"/>
      <c r="L57" s="273" t="s">
        <v>2557</v>
      </c>
      <c r="M57" s="356"/>
      <c r="N57" s="289" t="s">
        <v>2323</v>
      </c>
      <c r="O57" s="323"/>
      <c r="P57" s="323"/>
      <c r="Q57" s="323"/>
      <c r="R57" s="323"/>
      <c r="S57" s="323"/>
      <c r="T57" s="323"/>
      <c r="U57" s="323"/>
      <c r="V57" s="323"/>
    </row>
    <row r="58" hidden="1">
      <c r="A58" s="273" t="s">
        <v>834</v>
      </c>
      <c r="B58" s="273" t="s">
        <v>2589</v>
      </c>
      <c r="C58" s="265">
        <v>777358.0</v>
      </c>
      <c r="D58" s="265">
        <v>1.108542E7</v>
      </c>
      <c r="E58" s="273" t="s">
        <v>2566</v>
      </c>
      <c r="F58" s="265">
        <v>2065.0</v>
      </c>
      <c r="G58" s="265">
        <v>1491364.0</v>
      </c>
      <c r="H58" s="265" t="s">
        <v>441</v>
      </c>
      <c r="I58" s="265" t="s">
        <v>2316</v>
      </c>
      <c r="J58" s="308"/>
      <c r="K58" s="308"/>
      <c r="L58" s="273" t="s">
        <v>2298</v>
      </c>
      <c r="M58" s="356" t="s">
        <v>2608</v>
      </c>
      <c r="N58" s="289" t="s">
        <v>2323</v>
      </c>
      <c r="O58" s="323"/>
      <c r="P58" s="323"/>
      <c r="Q58" s="323"/>
      <c r="R58" s="323"/>
      <c r="S58" s="323"/>
      <c r="T58" s="323"/>
      <c r="U58" s="323"/>
      <c r="V58" s="323"/>
    </row>
    <row r="59" hidden="1">
      <c r="A59" s="273" t="s">
        <v>808</v>
      </c>
      <c r="B59" s="273" t="s">
        <v>1154</v>
      </c>
      <c r="C59" s="265">
        <v>776996.0</v>
      </c>
      <c r="D59" s="265">
        <v>1.108542E7</v>
      </c>
      <c r="E59" s="273" t="s">
        <v>2566</v>
      </c>
      <c r="F59" s="265">
        <v>2065.0</v>
      </c>
      <c r="G59" s="265">
        <v>1491364.0</v>
      </c>
      <c r="H59" s="265" t="s">
        <v>441</v>
      </c>
      <c r="I59" s="265" t="s">
        <v>2316</v>
      </c>
      <c r="J59" s="273" t="s">
        <v>2609</v>
      </c>
      <c r="K59" s="308"/>
      <c r="L59" s="273" t="s">
        <v>2298</v>
      </c>
      <c r="M59" s="348"/>
      <c r="N59" s="289" t="s">
        <v>2300</v>
      </c>
      <c r="O59" s="323"/>
      <c r="P59" s="323"/>
      <c r="Q59" s="323"/>
      <c r="R59" s="323"/>
      <c r="S59" s="323"/>
      <c r="T59" s="323"/>
      <c r="U59" s="323"/>
      <c r="V59" s="323"/>
    </row>
    <row r="60" hidden="1">
      <c r="A60" s="273" t="s">
        <v>834</v>
      </c>
      <c r="B60" s="273" t="s">
        <v>1084</v>
      </c>
      <c r="C60" s="265">
        <v>777369.0</v>
      </c>
      <c r="D60" s="265">
        <v>1.1073694E7</v>
      </c>
      <c r="E60" s="273" t="s">
        <v>2571</v>
      </c>
      <c r="F60" s="265">
        <v>503077.0</v>
      </c>
      <c r="G60" s="265">
        <v>1493366.0</v>
      </c>
      <c r="H60" s="284" t="s">
        <v>659</v>
      </c>
      <c r="I60" s="284" t="s">
        <v>2306</v>
      </c>
      <c r="J60" s="308"/>
      <c r="K60" s="308"/>
      <c r="L60" s="273" t="s">
        <v>2557</v>
      </c>
      <c r="M60" s="356" t="s">
        <v>2610</v>
      </c>
      <c r="N60" s="289" t="s">
        <v>2323</v>
      </c>
      <c r="O60" s="323"/>
      <c r="P60" s="323"/>
      <c r="Q60" s="323"/>
      <c r="R60" s="323"/>
      <c r="S60" s="323"/>
      <c r="T60" s="323"/>
      <c r="U60" s="323"/>
      <c r="V60" s="323"/>
    </row>
    <row r="61" hidden="1">
      <c r="A61" s="273" t="s">
        <v>834</v>
      </c>
      <c r="B61" s="273" t="s">
        <v>2611</v>
      </c>
      <c r="C61" s="265">
        <v>778057.0</v>
      </c>
      <c r="D61" s="265">
        <v>1.1101336E7</v>
      </c>
      <c r="E61" s="273" t="s">
        <v>2612</v>
      </c>
      <c r="F61" s="265" t="s">
        <v>52</v>
      </c>
      <c r="G61" s="265" t="s">
        <v>52</v>
      </c>
      <c r="H61" s="265" t="s">
        <v>530</v>
      </c>
      <c r="I61" s="265" t="s">
        <v>2313</v>
      </c>
      <c r="J61" s="308"/>
      <c r="K61" s="308"/>
      <c r="L61" s="273" t="s">
        <v>2298</v>
      </c>
      <c r="M61" s="356" t="s">
        <v>2613</v>
      </c>
      <c r="N61" s="289" t="s">
        <v>2323</v>
      </c>
      <c r="O61" s="323"/>
      <c r="P61" s="323"/>
      <c r="Q61" s="323"/>
      <c r="R61" s="323"/>
      <c r="S61" s="323"/>
      <c r="T61" s="323"/>
      <c r="U61" s="323"/>
      <c r="V61" s="323"/>
    </row>
    <row r="62">
      <c r="A62" s="273" t="s">
        <v>834</v>
      </c>
      <c r="B62" s="273" t="s">
        <v>1084</v>
      </c>
      <c r="C62" s="265">
        <v>778171.0</v>
      </c>
      <c r="D62" s="265">
        <v>1.1073695E7</v>
      </c>
      <c r="E62" s="273" t="s">
        <v>2571</v>
      </c>
      <c r="F62" s="265">
        <v>503077.0</v>
      </c>
      <c r="G62" s="265">
        <v>1493366.0</v>
      </c>
      <c r="H62" s="284" t="s">
        <v>659</v>
      </c>
      <c r="I62" s="284" t="s">
        <v>2306</v>
      </c>
      <c r="J62" s="357" t="s">
        <v>2574</v>
      </c>
      <c r="K62" s="358"/>
      <c r="L62" s="273" t="s">
        <v>2298</v>
      </c>
      <c r="M62" s="348"/>
      <c r="N62" s="289" t="s">
        <v>2300</v>
      </c>
      <c r="O62" s="323"/>
      <c r="P62" s="323"/>
      <c r="Q62" s="323"/>
      <c r="R62" s="323"/>
      <c r="S62" s="323"/>
      <c r="T62" s="323"/>
      <c r="U62" s="323"/>
      <c r="V62" s="323"/>
    </row>
    <row r="63" hidden="1">
      <c r="A63" s="273" t="s">
        <v>830</v>
      </c>
      <c r="B63" s="273" t="s">
        <v>2589</v>
      </c>
      <c r="C63" s="265">
        <v>778491.0</v>
      </c>
      <c r="D63" s="265">
        <v>1.109519E7</v>
      </c>
      <c r="E63" s="273" t="s">
        <v>2331</v>
      </c>
      <c r="F63" s="265">
        <v>2070.0</v>
      </c>
      <c r="G63" s="265">
        <v>1493370.0</v>
      </c>
      <c r="H63" s="265" t="s">
        <v>821</v>
      </c>
      <c r="I63" s="265" t="s">
        <v>2614</v>
      </c>
      <c r="J63" s="308"/>
      <c r="K63" s="308"/>
      <c r="L63" s="273" t="s">
        <v>2298</v>
      </c>
      <c r="M63" s="348"/>
      <c r="N63" s="289" t="s">
        <v>2323</v>
      </c>
      <c r="O63" s="323"/>
      <c r="P63" s="323"/>
      <c r="Q63" s="323"/>
      <c r="R63" s="323"/>
      <c r="S63" s="323"/>
      <c r="T63" s="323"/>
      <c r="U63" s="323"/>
      <c r="V63" s="323"/>
    </row>
    <row r="64" hidden="1">
      <c r="A64" s="273" t="s">
        <v>830</v>
      </c>
      <c r="B64" s="273" t="s">
        <v>2589</v>
      </c>
      <c r="C64" s="265">
        <v>778596.0</v>
      </c>
      <c r="D64" s="265">
        <v>1.109519E7</v>
      </c>
      <c r="E64" s="273" t="s">
        <v>2331</v>
      </c>
      <c r="F64" s="265">
        <v>2070.0</v>
      </c>
      <c r="G64" s="265">
        <v>1493370.0</v>
      </c>
      <c r="H64" s="265" t="s">
        <v>821</v>
      </c>
      <c r="I64" s="265" t="s">
        <v>2614</v>
      </c>
      <c r="J64" s="308"/>
      <c r="K64" s="308"/>
      <c r="L64" s="273" t="s">
        <v>2298</v>
      </c>
      <c r="M64" s="356" t="s">
        <v>2615</v>
      </c>
      <c r="N64" s="289" t="s">
        <v>2323</v>
      </c>
      <c r="O64" s="323"/>
      <c r="P64" s="323"/>
      <c r="Q64" s="323"/>
      <c r="R64" s="323"/>
      <c r="S64" s="323"/>
      <c r="T64" s="323"/>
      <c r="U64" s="323"/>
      <c r="V64" s="323"/>
    </row>
    <row r="65">
      <c r="A65" s="273" t="s">
        <v>830</v>
      </c>
      <c r="B65" s="273" t="s">
        <v>1084</v>
      </c>
      <c r="C65" s="265">
        <v>778551.0</v>
      </c>
      <c r="D65" s="265">
        <v>1.1057544E7</v>
      </c>
      <c r="E65" s="273" t="s">
        <v>2327</v>
      </c>
      <c r="F65" s="265">
        <v>502712.0</v>
      </c>
      <c r="G65" s="265">
        <v>1491118.0</v>
      </c>
      <c r="H65" s="265" t="s">
        <v>749</v>
      </c>
      <c r="I65" s="265" t="s">
        <v>2312</v>
      </c>
      <c r="J65" s="357" t="s">
        <v>2574</v>
      </c>
      <c r="K65" s="358"/>
      <c r="L65" s="273" t="s">
        <v>2298</v>
      </c>
      <c r="M65" s="348"/>
      <c r="N65" s="289" t="s">
        <v>2300</v>
      </c>
      <c r="O65" s="323"/>
      <c r="P65" s="323"/>
      <c r="Q65" s="323"/>
      <c r="R65" s="323"/>
      <c r="S65" s="323"/>
      <c r="T65" s="323"/>
      <c r="U65" s="323"/>
      <c r="V65" s="323"/>
    </row>
    <row r="66">
      <c r="A66" s="273" t="s">
        <v>830</v>
      </c>
      <c r="B66" s="273" t="s">
        <v>2537</v>
      </c>
      <c r="C66" s="265">
        <v>778577.0</v>
      </c>
      <c r="D66" s="265">
        <v>1.1085004E7</v>
      </c>
      <c r="E66" s="273" t="s">
        <v>2571</v>
      </c>
      <c r="F66" s="265">
        <v>503396.0</v>
      </c>
      <c r="G66" s="265">
        <v>1494205.0</v>
      </c>
      <c r="H66" s="265" t="s">
        <v>452</v>
      </c>
      <c r="I66" s="265" t="s">
        <v>2616</v>
      </c>
      <c r="J66" s="357" t="s">
        <v>2550</v>
      </c>
      <c r="K66" s="358"/>
      <c r="L66" s="273" t="s">
        <v>2298</v>
      </c>
      <c r="M66" s="348"/>
      <c r="N66" s="289" t="s">
        <v>2300</v>
      </c>
      <c r="O66" s="323"/>
      <c r="P66" s="323"/>
      <c r="Q66" s="323"/>
      <c r="R66" s="323"/>
      <c r="S66" s="323"/>
      <c r="T66" s="323"/>
      <c r="U66" s="323"/>
      <c r="V66" s="323"/>
    </row>
    <row r="67" hidden="1">
      <c r="A67" s="343">
        <v>45689.0</v>
      </c>
      <c r="B67" s="273" t="s">
        <v>2078</v>
      </c>
      <c r="C67" s="265">
        <v>780613.0</v>
      </c>
      <c r="D67" s="265">
        <v>1.1101335E7</v>
      </c>
      <c r="E67" s="273" t="s">
        <v>2315</v>
      </c>
      <c r="F67" s="265">
        <v>2074.0</v>
      </c>
      <c r="G67" s="265">
        <v>1495225.0</v>
      </c>
      <c r="H67" s="265" t="s">
        <v>831</v>
      </c>
      <c r="I67" s="265" t="s">
        <v>2305</v>
      </c>
      <c r="J67" s="308"/>
      <c r="K67" s="308"/>
      <c r="L67" s="273" t="s">
        <v>2298</v>
      </c>
      <c r="M67" s="348"/>
      <c r="N67" s="289" t="s">
        <v>2323</v>
      </c>
      <c r="O67" s="323"/>
      <c r="P67" s="323"/>
      <c r="Q67" s="323"/>
      <c r="R67" s="323"/>
      <c r="S67" s="323"/>
      <c r="T67" s="323"/>
      <c r="U67" s="323"/>
      <c r="V67" s="323"/>
    </row>
    <row r="68" hidden="1">
      <c r="A68" s="343">
        <v>45689.0</v>
      </c>
      <c r="B68" s="273" t="s">
        <v>2589</v>
      </c>
      <c r="C68" s="265">
        <v>780626.0</v>
      </c>
      <c r="D68" s="265">
        <v>1.1101335E7</v>
      </c>
      <c r="E68" s="273" t="s">
        <v>2315</v>
      </c>
      <c r="F68" s="265">
        <v>2074.0</v>
      </c>
      <c r="G68" s="265">
        <v>1495225.0</v>
      </c>
      <c r="H68" s="265" t="s">
        <v>831</v>
      </c>
      <c r="I68" s="265" t="s">
        <v>2305</v>
      </c>
      <c r="J68" s="308"/>
      <c r="K68" s="308"/>
      <c r="L68" s="273" t="s">
        <v>2298</v>
      </c>
      <c r="M68" s="348"/>
      <c r="N68" s="289" t="s">
        <v>2323</v>
      </c>
      <c r="O68" s="323"/>
      <c r="P68" s="323"/>
      <c r="Q68" s="323"/>
      <c r="R68" s="323"/>
      <c r="S68" s="323"/>
      <c r="T68" s="323"/>
      <c r="U68" s="323"/>
      <c r="V68" s="323"/>
    </row>
    <row r="69" hidden="1">
      <c r="A69" s="343">
        <v>45839.0</v>
      </c>
      <c r="B69" s="273" t="s">
        <v>2537</v>
      </c>
      <c r="C69" s="265">
        <v>784301.0</v>
      </c>
      <c r="D69" s="265">
        <v>1.1106284E7</v>
      </c>
      <c r="E69" s="273" t="s">
        <v>2308</v>
      </c>
      <c r="F69" s="265">
        <v>2080.0</v>
      </c>
      <c r="G69" s="265">
        <v>1499044.0</v>
      </c>
      <c r="H69" s="265" t="s">
        <v>841</v>
      </c>
      <c r="I69" s="265" t="s">
        <v>2617</v>
      </c>
      <c r="J69" s="308"/>
      <c r="K69" s="308"/>
      <c r="L69" s="273" t="s">
        <v>2298</v>
      </c>
      <c r="M69" s="348"/>
      <c r="N69" s="289" t="s">
        <v>2323</v>
      </c>
      <c r="O69" s="323"/>
      <c r="P69" s="323"/>
      <c r="Q69" s="323"/>
      <c r="R69" s="323"/>
      <c r="S69" s="323"/>
      <c r="T69" s="323"/>
      <c r="U69" s="323"/>
      <c r="V69" s="323"/>
    </row>
    <row r="70" hidden="1">
      <c r="A70" s="343">
        <v>45870.0</v>
      </c>
      <c r="B70" s="273" t="s">
        <v>2307</v>
      </c>
      <c r="C70" s="265">
        <v>785072.0</v>
      </c>
      <c r="D70" s="265">
        <v>1.1096081E7</v>
      </c>
      <c r="E70" s="273" t="s">
        <v>2295</v>
      </c>
      <c r="F70" s="265">
        <v>2082.0</v>
      </c>
      <c r="G70" s="265">
        <v>1499039.0</v>
      </c>
      <c r="H70" s="265" t="s">
        <v>559</v>
      </c>
      <c r="I70" s="265" t="s">
        <v>2306</v>
      </c>
      <c r="J70" s="273" t="s">
        <v>2546</v>
      </c>
      <c r="K70" s="308"/>
      <c r="L70" s="273" t="s">
        <v>2298</v>
      </c>
      <c r="M70" s="348"/>
      <c r="N70" s="289" t="s">
        <v>2300</v>
      </c>
      <c r="O70" s="323"/>
      <c r="P70" s="323"/>
      <c r="Q70" s="323"/>
      <c r="R70" s="323"/>
      <c r="S70" s="323"/>
      <c r="T70" s="323"/>
      <c r="U70" s="323"/>
      <c r="V70" s="323"/>
    </row>
    <row r="71">
      <c r="A71" s="343">
        <v>45901.0</v>
      </c>
      <c r="B71" s="273" t="s">
        <v>2537</v>
      </c>
      <c r="C71" s="265">
        <v>786088.0</v>
      </c>
      <c r="D71" s="265">
        <v>1.1116445E7</v>
      </c>
      <c r="E71" s="273" t="s">
        <v>2388</v>
      </c>
      <c r="F71" s="265">
        <v>2085.0</v>
      </c>
      <c r="G71" s="265">
        <v>1499989.0</v>
      </c>
      <c r="H71" s="265" t="s">
        <v>494</v>
      </c>
      <c r="I71" s="265" t="s">
        <v>2596</v>
      </c>
      <c r="J71" s="357" t="s">
        <v>2574</v>
      </c>
      <c r="K71" s="358"/>
      <c r="L71" s="273" t="s">
        <v>2298</v>
      </c>
      <c r="M71" s="348"/>
      <c r="N71" s="289" t="s">
        <v>2300</v>
      </c>
      <c r="O71" s="323"/>
      <c r="P71" s="323"/>
      <c r="Q71" s="323"/>
      <c r="R71" s="323"/>
      <c r="S71" s="323"/>
      <c r="T71" s="323"/>
      <c r="U71" s="323"/>
      <c r="V71" s="323"/>
    </row>
    <row r="72" hidden="1">
      <c r="A72" s="343">
        <v>45931.0</v>
      </c>
      <c r="B72" s="273" t="s">
        <v>2307</v>
      </c>
      <c r="C72" s="265">
        <v>786425.0</v>
      </c>
      <c r="D72" s="265">
        <v>1.111943E7</v>
      </c>
      <c r="E72" s="273" t="s">
        <v>2295</v>
      </c>
      <c r="F72" s="265">
        <v>2089.0</v>
      </c>
      <c r="G72" s="265">
        <v>1501460.0</v>
      </c>
      <c r="H72" s="265" t="s">
        <v>844</v>
      </c>
      <c r="I72" s="265" t="s">
        <v>2618</v>
      </c>
      <c r="J72" s="273" t="s">
        <v>2546</v>
      </c>
      <c r="K72" s="308"/>
      <c r="L72" s="273" t="s">
        <v>2298</v>
      </c>
      <c r="M72" s="348"/>
      <c r="N72" s="289" t="s">
        <v>2300</v>
      </c>
      <c r="O72" s="323"/>
      <c r="P72" s="323"/>
      <c r="Q72" s="323"/>
      <c r="R72" s="323"/>
      <c r="S72" s="323"/>
      <c r="T72" s="323"/>
      <c r="U72" s="323"/>
      <c r="V72" s="323"/>
    </row>
    <row r="73" hidden="1">
      <c r="A73" s="343">
        <v>45931.0</v>
      </c>
      <c r="B73" s="273" t="s">
        <v>2554</v>
      </c>
      <c r="C73" s="265">
        <v>786433.0</v>
      </c>
      <c r="D73" s="265">
        <v>1.1121906E7</v>
      </c>
      <c r="E73" s="273" t="s">
        <v>2315</v>
      </c>
      <c r="F73" s="265">
        <v>2090.0</v>
      </c>
      <c r="G73" s="265">
        <v>1501696.0</v>
      </c>
      <c r="H73" s="265" t="s">
        <v>441</v>
      </c>
      <c r="I73" s="265" t="s">
        <v>2316</v>
      </c>
      <c r="J73" s="273" t="s">
        <v>2600</v>
      </c>
      <c r="K73" s="308"/>
      <c r="L73" s="273" t="s">
        <v>2298</v>
      </c>
      <c r="M73" s="356"/>
      <c r="N73" s="289" t="s">
        <v>2300</v>
      </c>
      <c r="O73" s="323"/>
      <c r="P73" s="323"/>
      <c r="Q73" s="323"/>
      <c r="R73" s="323"/>
      <c r="S73" s="323"/>
      <c r="T73" s="323"/>
      <c r="U73" s="323"/>
      <c r="V73" s="323"/>
    </row>
    <row r="74" hidden="1">
      <c r="A74" s="343">
        <v>45931.0</v>
      </c>
      <c r="B74" s="273" t="s">
        <v>2554</v>
      </c>
      <c r="C74" s="265">
        <v>786467.0</v>
      </c>
      <c r="D74" s="265">
        <v>1.111887E7</v>
      </c>
      <c r="E74" s="273" t="s">
        <v>2315</v>
      </c>
      <c r="F74" s="265">
        <v>2091.0</v>
      </c>
      <c r="G74" s="265">
        <v>1501793.0</v>
      </c>
      <c r="H74" s="265" t="s">
        <v>841</v>
      </c>
      <c r="I74" s="265" t="s">
        <v>2617</v>
      </c>
      <c r="J74" s="273" t="s">
        <v>2600</v>
      </c>
      <c r="K74" s="308"/>
      <c r="L74" s="273" t="s">
        <v>2298</v>
      </c>
      <c r="M74" s="356"/>
      <c r="N74" s="289" t="s">
        <v>2300</v>
      </c>
      <c r="O74" s="323"/>
      <c r="P74" s="323"/>
      <c r="Q74" s="323"/>
      <c r="R74" s="323"/>
      <c r="S74" s="323"/>
      <c r="T74" s="323"/>
      <c r="U74" s="323"/>
      <c r="V74" s="323"/>
    </row>
    <row r="75">
      <c r="A75" s="343">
        <v>45992.0</v>
      </c>
      <c r="B75" s="273" t="s">
        <v>2537</v>
      </c>
      <c r="C75" s="265">
        <v>787236.0</v>
      </c>
      <c r="D75" s="297">
        <v>1.1116446E7</v>
      </c>
      <c r="E75" s="273" t="s">
        <v>2559</v>
      </c>
      <c r="F75" s="265">
        <v>504826.0</v>
      </c>
      <c r="G75" s="265">
        <v>1502837.0</v>
      </c>
      <c r="H75" s="265" t="s">
        <v>494</v>
      </c>
      <c r="I75" s="265" t="s">
        <v>2596</v>
      </c>
      <c r="J75" s="357" t="s">
        <v>2574</v>
      </c>
      <c r="K75" s="358"/>
      <c r="L75" s="273" t="s">
        <v>2298</v>
      </c>
      <c r="M75" s="356"/>
      <c r="N75" s="289" t="s">
        <v>2300</v>
      </c>
      <c r="O75" s="323"/>
      <c r="P75" s="323"/>
      <c r="Q75" s="323"/>
      <c r="R75" s="323"/>
      <c r="S75" s="323"/>
      <c r="T75" s="323"/>
      <c r="U75" s="323"/>
      <c r="V75" s="323"/>
    </row>
    <row r="76" hidden="1">
      <c r="A76" s="273" t="s">
        <v>2619</v>
      </c>
      <c r="B76" s="273" t="s">
        <v>2078</v>
      </c>
      <c r="C76" s="265">
        <v>787810.0</v>
      </c>
      <c r="D76" s="265">
        <v>1.1122074E7</v>
      </c>
      <c r="E76" s="273" t="s">
        <v>2315</v>
      </c>
      <c r="F76" s="265">
        <v>2093.0</v>
      </c>
      <c r="G76" s="265">
        <v>1502855.0</v>
      </c>
      <c r="H76" s="265" t="s">
        <v>495</v>
      </c>
      <c r="I76" s="265" t="s">
        <v>2545</v>
      </c>
      <c r="J76" s="308"/>
      <c r="K76" s="308"/>
      <c r="L76" s="273" t="s">
        <v>2298</v>
      </c>
      <c r="M76" s="348"/>
      <c r="N76" s="289" t="s">
        <v>2323</v>
      </c>
      <c r="O76" s="323"/>
      <c r="P76" s="323"/>
      <c r="Q76" s="323"/>
      <c r="R76" s="323"/>
      <c r="S76" s="323"/>
      <c r="T76" s="323"/>
      <c r="U76" s="323"/>
      <c r="V76" s="323"/>
    </row>
    <row r="77" hidden="1">
      <c r="A77" s="273" t="s">
        <v>2619</v>
      </c>
      <c r="B77" s="273" t="s">
        <v>2589</v>
      </c>
      <c r="C77" s="265">
        <v>787829.0</v>
      </c>
      <c r="D77" s="265">
        <v>1.1122074E7</v>
      </c>
      <c r="E77" s="273" t="s">
        <v>2315</v>
      </c>
      <c r="F77" s="265">
        <v>2093.0</v>
      </c>
      <c r="G77" s="265">
        <v>1502855.0</v>
      </c>
      <c r="H77" s="265" t="s">
        <v>495</v>
      </c>
      <c r="I77" s="265" t="s">
        <v>2545</v>
      </c>
      <c r="J77" s="308"/>
      <c r="K77" s="308"/>
      <c r="L77" s="273" t="s">
        <v>2298</v>
      </c>
      <c r="M77" s="356" t="s">
        <v>2620</v>
      </c>
      <c r="N77" s="289" t="s">
        <v>2323</v>
      </c>
      <c r="O77" s="323"/>
      <c r="P77" s="323"/>
      <c r="Q77" s="323"/>
      <c r="R77" s="323"/>
      <c r="S77" s="323"/>
      <c r="T77" s="323"/>
      <c r="U77" s="323"/>
      <c r="V77" s="323"/>
    </row>
    <row r="78" hidden="1">
      <c r="A78" s="273" t="s">
        <v>887</v>
      </c>
      <c r="B78" s="273" t="s">
        <v>2078</v>
      </c>
      <c r="C78" s="265">
        <v>789565.0</v>
      </c>
      <c r="D78" s="265">
        <v>1.1121906E7</v>
      </c>
      <c r="E78" s="273" t="s">
        <v>2315</v>
      </c>
      <c r="F78" s="265">
        <v>2090.0</v>
      </c>
      <c r="G78" s="265">
        <v>1501696.0</v>
      </c>
      <c r="H78" s="265" t="s">
        <v>441</v>
      </c>
      <c r="I78" s="265" t="s">
        <v>2316</v>
      </c>
      <c r="J78" s="308"/>
      <c r="K78" s="308"/>
      <c r="L78" s="273" t="s">
        <v>2298</v>
      </c>
      <c r="M78" s="356" t="s">
        <v>2620</v>
      </c>
      <c r="N78" s="289" t="s">
        <v>2323</v>
      </c>
      <c r="O78" s="323"/>
      <c r="P78" s="323"/>
      <c r="Q78" s="323"/>
      <c r="R78" s="323"/>
      <c r="S78" s="323"/>
      <c r="T78" s="323"/>
      <c r="U78" s="323"/>
      <c r="V78" s="323"/>
    </row>
    <row r="79" hidden="1">
      <c r="A79" s="273" t="s">
        <v>887</v>
      </c>
      <c r="B79" s="273" t="s">
        <v>2589</v>
      </c>
      <c r="C79" s="265">
        <v>789560.0</v>
      </c>
      <c r="D79" s="265">
        <v>1.1121906E7</v>
      </c>
      <c r="E79" s="273" t="s">
        <v>2315</v>
      </c>
      <c r="F79" s="265">
        <v>2090.0</v>
      </c>
      <c r="G79" s="265">
        <v>1501696.0</v>
      </c>
      <c r="H79" s="265" t="s">
        <v>441</v>
      </c>
      <c r="I79" s="265" t="s">
        <v>2316</v>
      </c>
      <c r="J79" s="308"/>
      <c r="K79" s="308"/>
      <c r="L79" s="273" t="s">
        <v>2298</v>
      </c>
      <c r="M79" s="356" t="s">
        <v>2620</v>
      </c>
      <c r="N79" s="289" t="s">
        <v>2323</v>
      </c>
      <c r="O79" s="323"/>
      <c r="P79" s="323"/>
      <c r="Q79" s="323"/>
      <c r="R79" s="323"/>
      <c r="S79" s="323"/>
      <c r="T79" s="323"/>
      <c r="U79" s="323"/>
      <c r="V79" s="323"/>
    </row>
    <row r="80" hidden="1">
      <c r="A80" s="273" t="s">
        <v>887</v>
      </c>
      <c r="B80" s="273" t="s">
        <v>2589</v>
      </c>
      <c r="C80" s="265">
        <v>789629.0</v>
      </c>
      <c r="D80" s="265">
        <v>1.111887E7</v>
      </c>
      <c r="E80" s="273" t="s">
        <v>2315</v>
      </c>
      <c r="F80" s="265">
        <v>2091.0</v>
      </c>
      <c r="G80" s="265">
        <v>1501793.0</v>
      </c>
      <c r="H80" s="265" t="s">
        <v>841</v>
      </c>
      <c r="I80" s="265" t="s">
        <v>2617</v>
      </c>
      <c r="J80" s="308"/>
      <c r="K80" s="308"/>
      <c r="L80" s="273" t="s">
        <v>2298</v>
      </c>
      <c r="M80" s="356" t="s">
        <v>2620</v>
      </c>
      <c r="N80" s="289" t="s">
        <v>2323</v>
      </c>
      <c r="O80" s="323"/>
      <c r="P80" s="323"/>
      <c r="Q80" s="323"/>
      <c r="R80" s="323"/>
      <c r="S80" s="323"/>
      <c r="T80" s="323"/>
      <c r="U80" s="323"/>
      <c r="V80" s="323"/>
    </row>
    <row r="81" hidden="1">
      <c r="A81" s="273" t="s">
        <v>887</v>
      </c>
      <c r="B81" s="273" t="s">
        <v>2078</v>
      </c>
      <c r="C81" s="265">
        <v>789644.0</v>
      </c>
      <c r="D81" s="265">
        <v>1.111887E7</v>
      </c>
      <c r="E81" s="273" t="s">
        <v>2315</v>
      </c>
      <c r="F81" s="265">
        <v>2091.0</v>
      </c>
      <c r="G81" s="265">
        <v>1501793.0</v>
      </c>
      <c r="H81" s="265" t="s">
        <v>841</v>
      </c>
      <c r="I81" s="265" t="s">
        <v>2617</v>
      </c>
      <c r="J81" s="308"/>
      <c r="K81" s="308"/>
      <c r="L81" s="273" t="s">
        <v>2298</v>
      </c>
      <c r="M81" s="356" t="s">
        <v>2620</v>
      </c>
      <c r="N81" s="289" t="s">
        <v>2323</v>
      </c>
      <c r="O81" s="323"/>
      <c r="P81" s="323"/>
      <c r="Q81" s="323"/>
      <c r="R81" s="323"/>
      <c r="S81" s="323"/>
      <c r="T81" s="323"/>
      <c r="U81" s="323"/>
      <c r="V81" s="323"/>
    </row>
    <row r="82" hidden="1">
      <c r="A82" s="273" t="s">
        <v>2621</v>
      </c>
      <c r="B82" s="273" t="s">
        <v>2562</v>
      </c>
      <c r="C82" s="265">
        <v>791609.0</v>
      </c>
      <c r="D82" s="265">
        <v>1.1137473E7</v>
      </c>
      <c r="E82" s="273" t="s">
        <v>2331</v>
      </c>
      <c r="F82" s="265">
        <v>2098.0</v>
      </c>
      <c r="G82" s="265">
        <v>1506690.0</v>
      </c>
      <c r="H82" s="265" t="s">
        <v>888</v>
      </c>
      <c r="I82" s="265" t="s">
        <v>1936</v>
      </c>
      <c r="J82" s="308"/>
      <c r="K82" s="308"/>
      <c r="L82" s="273" t="s">
        <v>2298</v>
      </c>
      <c r="M82" s="348"/>
      <c r="N82" s="289" t="s">
        <v>2323</v>
      </c>
      <c r="O82" s="323"/>
      <c r="P82" s="323"/>
      <c r="Q82" s="323"/>
      <c r="R82" s="323"/>
      <c r="S82" s="323"/>
      <c r="T82" s="323"/>
      <c r="U82" s="323"/>
      <c r="V82" s="323"/>
    </row>
    <row r="83" hidden="1">
      <c r="A83" s="273" t="s">
        <v>2621</v>
      </c>
      <c r="B83" s="273" t="s">
        <v>2589</v>
      </c>
      <c r="C83" s="265">
        <v>791639.0</v>
      </c>
      <c r="D83" s="265">
        <v>1.1101336E7</v>
      </c>
      <c r="E83" s="273" t="s">
        <v>2612</v>
      </c>
      <c r="F83" s="265">
        <v>2073.0</v>
      </c>
      <c r="G83" s="265">
        <v>1494443.0</v>
      </c>
      <c r="H83" s="265" t="s">
        <v>530</v>
      </c>
      <c r="I83" s="265" t="s">
        <v>2313</v>
      </c>
      <c r="J83" s="308"/>
      <c r="K83" s="308"/>
      <c r="L83" s="273" t="s">
        <v>2298</v>
      </c>
      <c r="M83" s="356" t="s">
        <v>2620</v>
      </c>
      <c r="N83" s="289" t="s">
        <v>2323</v>
      </c>
      <c r="O83" s="323"/>
      <c r="P83" s="323"/>
      <c r="Q83" s="323"/>
      <c r="R83" s="323"/>
      <c r="S83" s="323"/>
      <c r="T83" s="323"/>
      <c r="U83" s="323"/>
      <c r="V83" s="323"/>
    </row>
    <row r="84" hidden="1">
      <c r="A84" s="273" t="s">
        <v>2621</v>
      </c>
      <c r="B84" s="274" t="s">
        <v>1154</v>
      </c>
      <c r="C84" s="265">
        <v>791680.0</v>
      </c>
      <c r="D84" s="265">
        <v>1.1101336E7</v>
      </c>
      <c r="E84" s="273" t="s">
        <v>2612</v>
      </c>
      <c r="F84" s="265">
        <v>2073.0</v>
      </c>
      <c r="G84" s="265">
        <v>1494443.0</v>
      </c>
      <c r="H84" s="265" t="s">
        <v>530</v>
      </c>
      <c r="I84" s="265" t="s">
        <v>2313</v>
      </c>
      <c r="J84" s="273" t="s">
        <v>2622</v>
      </c>
      <c r="K84" s="273"/>
      <c r="L84" s="273" t="s">
        <v>2298</v>
      </c>
      <c r="M84" s="348"/>
      <c r="N84" s="289" t="s">
        <v>2300</v>
      </c>
      <c r="O84" s="323"/>
      <c r="P84" s="323"/>
      <c r="Q84" s="323"/>
      <c r="R84" s="323"/>
      <c r="S84" s="323"/>
      <c r="T84" s="323"/>
      <c r="U84" s="323"/>
      <c r="V84" s="323"/>
    </row>
    <row r="85" hidden="1">
      <c r="A85" s="273" t="s">
        <v>2330</v>
      </c>
      <c r="B85" s="273" t="s">
        <v>2537</v>
      </c>
      <c r="C85" s="265">
        <v>793961.0</v>
      </c>
      <c r="D85" s="265">
        <v>1.1145471E7</v>
      </c>
      <c r="E85" s="273" t="s">
        <v>2333</v>
      </c>
      <c r="F85" s="265">
        <v>2099.0</v>
      </c>
      <c r="G85" s="265">
        <v>1509000.0</v>
      </c>
      <c r="H85" s="265" t="s">
        <v>441</v>
      </c>
      <c r="I85" s="265" t="s">
        <v>2316</v>
      </c>
      <c r="J85" s="308"/>
      <c r="K85" s="273"/>
      <c r="L85" s="273" t="s">
        <v>2557</v>
      </c>
      <c r="M85" s="356" t="s">
        <v>2623</v>
      </c>
      <c r="N85" s="289" t="s">
        <v>2323</v>
      </c>
      <c r="O85" s="323"/>
      <c r="P85" s="323"/>
      <c r="Q85" s="323"/>
      <c r="R85" s="323"/>
      <c r="S85" s="323"/>
      <c r="T85" s="323"/>
      <c r="U85" s="323"/>
      <c r="V85" s="323"/>
    </row>
    <row r="86" hidden="1">
      <c r="A86" s="273" t="s">
        <v>912</v>
      </c>
      <c r="B86" s="273" t="s">
        <v>1154</v>
      </c>
      <c r="C86" s="265">
        <v>795723.0</v>
      </c>
      <c r="D86" s="265">
        <v>1.1150944E7</v>
      </c>
      <c r="E86" s="273" t="s">
        <v>2335</v>
      </c>
      <c r="F86" s="265">
        <v>2100.0</v>
      </c>
      <c r="G86" s="265">
        <v>1511196.0</v>
      </c>
      <c r="H86" s="265" t="s">
        <v>874</v>
      </c>
      <c r="I86" s="265" t="s">
        <v>2336</v>
      </c>
      <c r="J86" s="273" t="s">
        <v>2624</v>
      </c>
      <c r="K86" s="308"/>
      <c r="L86" s="273" t="s">
        <v>2298</v>
      </c>
      <c r="M86" s="348"/>
      <c r="N86" s="289" t="s">
        <v>2300</v>
      </c>
      <c r="O86" s="323"/>
      <c r="P86" s="323"/>
      <c r="Q86" s="323"/>
      <c r="R86" s="323"/>
      <c r="S86" s="323"/>
      <c r="T86" s="323"/>
      <c r="U86" s="323"/>
      <c r="V86" s="323"/>
    </row>
    <row r="87">
      <c r="A87" s="273" t="s">
        <v>944</v>
      </c>
      <c r="B87" s="273" t="s">
        <v>2537</v>
      </c>
      <c r="C87" s="265">
        <v>796353.0</v>
      </c>
      <c r="D87" s="265">
        <v>1.1126513E7</v>
      </c>
      <c r="E87" s="273" t="s">
        <v>2327</v>
      </c>
      <c r="F87" s="265">
        <v>505685.0</v>
      </c>
      <c r="G87" s="265">
        <v>1507788.0</v>
      </c>
      <c r="H87" s="265" t="s">
        <v>2328</v>
      </c>
      <c r="I87" s="265" t="s">
        <v>2329</v>
      </c>
      <c r="J87" s="357" t="s">
        <v>2550</v>
      </c>
      <c r="K87" s="358"/>
      <c r="L87" s="294" t="s">
        <v>2298</v>
      </c>
      <c r="M87" s="348"/>
      <c r="N87" s="289" t="s">
        <v>2300</v>
      </c>
      <c r="O87" s="323"/>
      <c r="P87" s="323"/>
      <c r="Q87" s="323"/>
      <c r="R87" s="323"/>
      <c r="S87" s="323"/>
      <c r="T87" s="323"/>
      <c r="U87" s="323"/>
      <c r="V87" s="323"/>
    </row>
    <row r="88" hidden="1">
      <c r="A88" s="273" t="s">
        <v>933</v>
      </c>
      <c r="B88" s="273" t="s">
        <v>2589</v>
      </c>
      <c r="C88" s="265">
        <v>798560.0</v>
      </c>
      <c r="D88" s="265">
        <v>1.1164287E7</v>
      </c>
      <c r="E88" s="273" t="s">
        <v>2333</v>
      </c>
      <c r="F88" s="265">
        <v>2103.0</v>
      </c>
      <c r="G88" s="265">
        <v>1512774.0</v>
      </c>
      <c r="H88" s="265" t="s">
        <v>559</v>
      </c>
      <c r="I88" s="265" t="s">
        <v>2306</v>
      </c>
      <c r="J88" s="308"/>
      <c r="K88" s="308"/>
      <c r="L88" s="273" t="s">
        <v>2298</v>
      </c>
      <c r="M88" s="356" t="s">
        <v>2625</v>
      </c>
      <c r="N88" s="289" t="s">
        <v>2323</v>
      </c>
      <c r="O88" s="323"/>
      <c r="P88" s="323"/>
      <c r="Q88" s="323"/>
      <c r="R88" s="323"/>
      <c r="S88" s="323"/>
      <c r="T88" s="323"/>
      <c r="U88" s="323"/>
      <c r="V88" s="323"/>
    </row>
    <row r="89" hidden="1">
      <c r="A89" s="273" t="s">
        <v>933</v>
      </c>
      <c r="B89" s="273" t="s">
        <v>2307</v>
      </c>
      <c r="C89" s="265">
        <v>798561.0</v>
      </c>
      <c r="D89" s="265">
        <v>1.1158161E7</v>
      </c>
      <c r="E89" s="273" t="s">
        <v>2295</v>
      </c>
      <c r="F89" s="265">
        <v>2101.0</v>
      </c>
      <c r="G89" s="265">
        <v>1512042.0</v>
      </c>
      <c r="H89" s="265" t="s">
        <v>888</v>
      </c>
      <c r="I89" s="265" t="s">
        <v>1936</v>
      </c>
      <c r="J89" s="273" t="s">
        <v>2546</v>
      </c>
      <c r="K89" s="308"/>
      <c r="L89" s="294" t="s">
        <v>2298</v>
      </c>
      <c r="M89" s="348"/>
      <c r="N89" s="289" t="s">
        <v>2300</v>
      </c>
      <c r="O89" s="323"/>
      <c r="P89" s="323"/>
      <c r="Q89" s="323"/>
      <c r="R89" s="323"/>
      <c r="S89" s="323"/>
      <c r="T89" s="323"/>
      <c r="U89" s="323"/>
      <c r="V89" s="323"/>
    </row>
    <row r="90" hidden="1">
      <c r="A90" s="273" t="s">
        <v>975</v>
      </c>
      <c r="B90" s="273" t="s">
        <v>2589</v>
      </c>
      <c r="C90" s="265">
        <v>800019.0</v>
      </c>
      <c r="D90" s="265">
        <v>1.1166707E7</v>
      </c>
      <c r="E90" s="273" t="s">
        <v>2331</v>
      </c>
      <c r="F90" s="265">
        <v>2104.0</v>
      </c>
      <c r="G90" s="265">
        <v>1513508.0</v>
      </c>
      <c r="H90" s="265" t="s">
        <v>962</v>
      </c>
      <c r="I90" s="265" t="s">
        <v>1969</v>
      </c>
      <c r="J90" s="308"/>
      <c r="K90" s="308"/>
      <c r="L90" s="273" t="s">
        <v>2298</v>
      </c>
      <c r="M90" s="356" t="s">
        <v>2626</v>
      </c>
      <c r="N90" s="289" t="s">
        <v>2323</v>
      </c>
      <c r="O90" s="323"/>
      <c r="P90" s="323"/>
      <c r="Q90" s="323"/>
      <c r="R90" s="323"/>
      <c r="S90" s="323"/>
      <c r="T90" s="323"/>
      <c r="U90" s="323"/>
      <c r="V90" s="323"/>
    </row>
    <row r="91" hidden="1">
      <c r="A91" s="273" t="s">
        <v>951</v>
      </c>
      <c r="B91" s="273" t="s">
        <v>1154</v>
      </c>
      <c r="C91" s="265">
        <v>801657.0</v>
      </c>
      <c r="D91" s="265">
        <v>1.1166823E7</v>
      </c>
      <c r="E91" s="273" t="s">
        <v>2627</v>
      </c>
      <c r="F91" s="265">
        <v>2107.0</v>
      </c>
      <c r="G91" s="265">
        <v>1515426.0</v>
      </c>
      <c r="H91" s="265" t="s">
        <v>969</v>
      </c>
      <c r="I91" s="265" t="s">
        <v>969</v>
      </c>
      <c r="J91" s="273" t="s">
        <v>2628</v>
      </c>
      <c r="K91" s="308"/>
      <c r="L91" s="273" t="s">
        <v>2298</v>
      </c>
      <c r="M91" s="348"/>
      <c r="N91" s="289" t="s">
        <v>2300</v>
      </c>
      <c r="O91" s="323"/>
      <c r="P91" s="323"/>
      <c r="Q91" s="323"/>
      <c r="R91" s="323"/>
      <c r="S91" s="323"/>
      <c r="T91" s="323"/>
      <c r="U91" s="323"/>
      <c r="V91" s="323"/>
    </row>
    <row r="92" hidden="1">
      <c r="A92" s="273" t="s">
        <v>980</v>
      </c>
      <c r="B92" s="273" t="s">
        <v>1084</v>
      </c>
      <c r="C92" s="265">
        <v>802109.0</v>
      </c>
      <c r="D92" s="265">
        <v>1.1161981E7</v>
      </c>
      <c r="E92" s="273" t="s">
        <v>2327</v>
      </c>
      <c r="F92" s="265">
        <v>507342.0</v>
      </c>
      <c r="G92" s="265">
        <v>1515738.0</v>
      </c>
      <c r="H92" s="265" t="s">
        <v>1002</v>
      </c>
      <c r="I92" s="265" t="s">
        <v>2360</v>
      </c>
      <c r="J92" s="308"/>
      <c r="K92" s="308"/>
      <c r="L92" s="273" t="s">
        <v>2298</v>
      </c>
      <c r="M92" s="356" t="s">
        <v>2629</v>
      </c>
      <c r="N92" s="289" t="s">
        <v>2323</v>
      </c>
      <c r="O92" s="323"/>
      <c r="P92" s="323"/>
      <c r="Q92" s="323"/>
      <c r="R92" s="323"/>
      <c r="S92" s="323"/>
      <c r="T92" s="323"/>
      <c r="U92" s="323"/>
      <c r="V92" s="323"/>
    </row>
    <row r="93" hidden="1">
      <c r="A93" s="273" t="s">
        <v>980</v>
      </c>
      <c r="B93" s="273" t="s">
        <v>1154</v>
      </c>
      <c r="C93" s="265">
        <v>802215.0</v>
      </c>
      <c r="D93" s="265">
        <v>1.1166701E7</v>
      </c>
      <c r="E93" s="273" t="s">
        <v>2627</v>
      </c>
      <c r="F93" s="265">
        <v>2113.0</v>
      </c>
      <c r="G93" s="265">
        <v>1517024.0</v>
      </c>
      <c r="H93" s="265" t="s">
        <v>955</v>
      </c>
      <c r="I93" s="265" t="s">
        <v>955</v>
      </c>
      <c r="J93" s="273" t="s">
        <v>2630</v>
      </c>
      <c r="K93" s="308"/>
      <c r="L93" s="273" t="s">
        <v>2298</v>
      </c>
      <c r="M93" s="356"/>
      <c r="N93" s="289" t="s">
        <v>2300</v>
      </c>
      <c r="O93" s="323"/>
      <c r="P93" s="323"/>
      <c r="Q93" s="323"/>
      <c r="R93" s="323"/>
      <c r="S93" s="323"/>
      <c r="T93" s="323"/>
      <c r="U93" s="323"/>
      <c r="V93" s="323"/>
    </row>
    <row r="94" hidden="1">
      <c r="A94" s="343">
        <v>45659.0</v>
      </c>
      <c r="B94" s="273" t="s">
        <v>2589</v>
      </c>
      <c r="C94" s="265">
        <v>802752.0</v>
      </c>
      <c r="D94" s="265">
        <v>1.1180189E7</v>
      </c>
      <c r="E94" s="273" t="s">
        <v>2345</v>
      </c>
      <c r="F94" s="265">
        <v>2109.0</v>
      </c>
      <c r="G94" s="265">
        <v>1515983.0</v>
      </c>
      <c r="H94" s="265" t="s">
        <v>441</v>
      </c>
      <c r="I94" s="265" t="s">
        <v>2316</v>
      </c>
      <c r="J94" s="308"/>
      <c r="K94" s="308"/>
      <c r="L94" s="273" t="s">
        <v>2298</v>
      </c>
      <c r="M94" s="356" t="s">
        <v>2631</v>
      </c>
      <c r="N94" s="289" t="s">
        <v>2323</v>
      </c>
      <c r="O94" s="323"/>
      <c r="P94" s="323"/>
      <c r="Q94" s="323"/>
      <c r="R94" s="323"/>
      <c r="S94" s="323"/>
      <c r="T94" s="323"/>
      <c r="U94" s="323"/>
      <c r="V94" s="323"/>
    </row>
    <row r="95" hidden="1">
      <c r="A95" s="343">
        <v>45659.0</v>
      </c>
      <c r="B95" s="273" t="s">
        <v>2078</v>
      </c>
      <c r="C95" s="265">
        <v>802756.0</v>
      </c>
      <c r="D95" s="265">
        <v>1.1180189E7</v>
      </c>
      <c r="E95" s="273" t="s">
        <v>2345</v>
      </c>
      <c r="F95" s="265">
        <v>2109.0</v>
      </c>
      <c r="G95" s="265">
        <v>1515983.0</v>
      </c>
      <c r="H95" s="265" t="s">
        <v>441</v>
      </c>
      <c r="I95" s="265" t="s">
        <v>2316</v>
      </c>
      <c r="J95" s="308"/>
      <c r="K95" s="308"/>
      <c r="L95" s="273" t="s">
        <v>2298</v>
      </c>
      <c r="M95" s="348"/>
      <c r="N95" s="289" t="s">
        <v>2323</v>
      </c>
      <c r="O95" s="323"/>
      <c r="P95" s="323"/>
      <c r="Q95" s="323"/>
      <c r="R95" s="323"/>
      <c r="S95" s="323"/>
      <c r="T95" s="323"/>
      <c r="U95" s="323"/>
      <c r="V95" s="323"/>
    </row>
    <row r="96" hidden="1">
      <c r="A96" s="343">
        <v>45718.0</v>
      </c>
      <c r="B96" s="273" t="s">
        <v>2562</v>
      </c>
      <c r="C96" s="265">
        <v>803369.0</v>
      </c>
      <c r="D96" s="265">
        <v>1.1182082E7</v>
      </c>
      <c r="E96" s="273" t="s">
        <v>2345</v>
      </c>
      <c r="F96" s="265">
        <v>2114.0</v>
      </c>
      <c r="G96" s="265">
        <v>1517932.0</v>
      </c>
      <c r="H96" s="265" t="s">
        <v>989</v>
      </c>
      <c r="I96" s="265" t="s">
        <v>2366</v>
      </c>
      <c r="J96" s="308"/>
      <c r="K96" s="308"/>
      <c r="L96" s="273" t="s">
        <v>2298</v>
      </c>
      <c r="M96" s="356"/>
      <c r="N96" s="289" t="s">
        <v>2323</v>
      </c>
      <c r="O96" s="323"/>
      <c r="P96" s="323"/>
      <c r="Q96" s="323"/>
      <c r="R96" s="323"/>
      <c r="S96" s="323"/>
      <c r="T96" s="323"/>
      <c r="U96" s="323"/>
      <c r="V96" s="323"/>
    </row>
    <row r="97" hidden="1">
      <c r="A97" s="343">
        <v>45718.0</v>
      </c>
      <c r="B97" s="273" t="s">
        <v>2589</v>
      </c>
      <c r="C97" s="265">
        <v>804426.0</v>
      </c>
      <c r="D97" s="265">
        <v>1.1180188E7</v>
      </c>
      <c r="E97" s="273" t="s">
        <v>2345</v>
      </c>
      <c r="F97" s="265">
        <v>2115.0</v>
      </c>
      <c r="G97" s="265">
        <v>1517415.0</v>
      </c>
      <c r="H97" s="265" t="s">
        <v>982</v>
      </c>
      <c r="I97" s="265" t="s">
        <v>2632</v>
      </c>
      <c r="J97" s="308"/>
      <c r="K97" s="308"/>
      <c r="L97" s="273" t="s">
        <v>2298</v>
      </c>
      <c r="M97" s="356" t="s">
        <v>2633</v>
      </c>
      <c r="N97" s="289" t="s">
        <v>2323</v>
      </c>
      <c r="O97" s="323"/>
      <c r="P97" s="323"/>
      <c r="Q97" s="323"/>
      <c r="R97" s="323"/>
      <c r="S97" s="323"/>
      <c r="T97" s="323"/>
      <c r="U97" s="323"/>
      <c r="V97" s="323"/>
    </row>
    <row r="98" hidden="1">
      <c r="A98" s="343">
        <v>45718.0</v>
      </c>
      <c r="B98" s="273" t="s">
        <v>2078</v>
      </c>
      <c r="C98" s="265">
        <v>804428.0</v>
      </c>
      <c r="D98" s="265">
        <v>1.1180188E7</v>
      </c>
      <c r="E98" s="273" t="s">
        <v>2345</v>
      </c>
      <c r="F98" s="265">
        <v>2115.0</v>
      </c>
      <c r="G98" s="265">
        <v>1517415.0</v>
      </c>
      <c r="H98" s="265" t="s">
        <v>982</v>
      </c>
      <c r="I98" s="265" t="s">
        <v>2632</v>
      </c>
      <c r="J98" s="308"/>
      <c r="K98" s="308"/>
      <c r="L98" s="273" t="s">
        <v>2298</v>
      </c>
      <c r="M98" s="348"/>
      <c r="N98" s="289" t="s">
        <v>2323</v>
      </c>
      <c r="O98" s="323"/>
      <c r="P98" s="323"/>
      <c r="Q98" s="323"/>
      <c r="R98" s="323"/>
      <c r="S98" s="323"/>
      <c r="T98" s="323"/>
      <c r="U98" s="323"/>
      <c r="V98" s="323"/>
    </row>
    <row r="99" hidden="1">
      <c r="A99" s="343">
        <v>45718.0</v>
      </c>
      <c r="B99" s="273" t="s">
        <v>2589</v>
      </c>
      <c r="C99" s="265">
        <v>805323.0</v>
      </c>
      <c r="D99" s="265">
        <v>1.1182082E7</v>
      </c>
      <c r="E99" s="273" t="s">
        <v>2345</v>
      </c>
      <c r="F99" s="265">
        <v>2114.0</v>
      </c>
      <c r="G99" s="265">
        <v>1517932.0</v>
      </c>
      <c r="H99" s="265" t="s">
        <v>989</v>
      </c>
      <c r="I99" s="265" t="s">
        <v>2366</v>
      </c>
      <c r="J99" s="308"/>
      <c r="K99" s="308"/>
      <c r="L99" s="273" t="s">
        <v>2298</v>
      </c>
      <c r="M99" s="356" t="s">
        <v>2634</v>
      </c>
      <c r="N99" s="289" t="s">
        <v>2323</v>
      </c>
      <c r="O99" s="323"/>
      <c r="P99" s="323"/>
      <c r="Q99" s="323"/>
      <c r="R99" s="323"/>
      <c r="S99" s="323"/>
      <c r="T99" s="323"/>
      <c r="U99" s="323"/>
      <c r="V99" s="323"/>
    </row>
    <row r="100" hidden="1">
      <c r="A100" s="343">
        <v>45718.0</v>
      </c>
      <c r="B100" s="273" t="s">
        <v>1154</v>
      </c>
      <c r="C100" s="265">
        <v>805423.0</v>
      </c>
      <c r="D100" s="265">
        <v>1.1182082E7</v>
      </c>
      <c r="E100" s="273" t="s">
        <v>2345</v>
      </c>
      <c r="F100" s="265">
        <v>2114.0</v>
      </c>
      <c r="G100" s="265">
        <v>1517932.0</v>
      </c>
      <c r="H100" s="265" t="s">
        <v>989</v>
      </c>
      <c r="I100" s="265" t="s">
        <v>2366</v>
      </c>
      <c r="J100" s="273" t="s">
        <v>2635</v>
      </c>
      <c r="K100" s="308"/>
      <c r="L100" s="273" t="s">
        <v>2298</v>
      </c>
      <c r="M100" s="348"/>
      <c r="N100" s="289" t="s">
        <v>2300</v>
      </c>
      <c r="O100" s="323"/>
      <c r="P100" s="323"/>
      <c r="Q100" s="323"/>
      <c r="R100" s="323"/>
      <c r="S100" s="323"/>
      <c r="T100" s="323"/>
      <c r="U100" s="323"/>
      <c r="V100" s="323"/>
    </row>
    <row r="101" hidden="1">
      <c r="A101" s="343">
        <v>45871.0</v>
      </c>
      <c r="B101" s="273" t="s">
        <v>2537</v>
      </c>
      <c r="C101" s="265">
        <v>820437.0</v>
      </c>
      <c r="D101" s="265">
        <v>1.118564E7</v>
      </c>
      <c r="E101" s="273" t="s">
        <v>2333</v>
      </c>
      <c r="F101" s="265">
        <v>2120.0</v>
      </c>
      <c r="G101" s="265">
        <v>1520643.0</v>
      </c>
      <c r="H101" s="265" t="s">
        <v>704</v>
      </c>
      <c r="I101" s="265" t="s">
        <v>2361</v>
      </c>
      <c r="J101" s="308"/>
      <c r="K101" s="308"/>
      <c r="L101" s="273" t="s">
        <v>2298</v>
      </c>
      <c r="M101" s="356" t="s">
        <v>2636</v>
      </c>
      <c r="N101" s="289" t="s">
        <v>2323</v>
      </c>
      <c r="O101" s="323"/>
      <c r="P101" s="323"/>
      <c r="Q101" s="323"/>
      <c r="R101" s="323"/>
      <c r="S101" s="323"/>
      <c r="T101" s="323"/>
      <c r="U101" s="323"/>
      <c r="V101" s="323"/>
    </row>
    <row r="102" hidden="1">
      <c r="A102" s="343">
        <v>45932.0</v>
      </c>
      <c r="B102" s="273" t="s">
        <v>2589</v>
      </c>
      <c r="C102" s="265">
        <v>809381.0</v>
      </c>
      <c r="D102" s="265">
        <v>1.1193293E7</v>
      </c>
      <c r="E102" s="273" t="s">
        <v>2365</v>
      </c>
      <c r="F102" s="265">
        <v>2124.0</v>
      </c>
      <c r="G102" s="265">
        <v>1522360.0</v>
      </c>
      <c r="H102" s="265" t="s">
        <v>874</v>
      </c>
      <c r="I102" s="265" t="s">
        <v>2336</v>
      </c>
      <c r="J102" s="308"/>
      <c r="K102" s="308"/>
      <c r="L102" s="273" t="s">
        <v>2298</v>
      </c>
      <c r="M102" s="356" t="s">
        <v>2637</v>
      </c>
      <c r="N102" s="289" t="s">
        <v>2323</v>
      </c>
      <c r="O102" s="323"/>
      <c r="P102" s="323"/>
      <c r="Q102" s="323"/>
      <c r="R102" s="323"/>
      <c r="S102" s="323"/>
      <c r="T102" s="323"/>
      <c r="U102" s="323"/>
      <c r="V102" s="323"/>
    </row>
    <row r="103" hidden="1">
      <c r="A103" s="343">
        <v>45932.0</v>
      </c>
      <c r="B103" s="273" t="s">
        <v>2078</v>
      </c>
      <c r="C103" s="265">
        <v>809470.0</v>
      </c>
      <c r="D103" s="265">
        <v>1.1193293E7</v>
      </c>
      <c r="E103" s="273" t="s">
        <v>2365</v>
      </c>
      <c r="F103" s="265">
        <v>2124.0</v>
      </c>
      <c r="G103" s="265">
        <v>1522360.0</v>
      </c>
      <c r="H103" s="265" t="s">
        <v>874</v>
      </c>
      <c r="I103" s="265" t="s">
        <v>2336</v>
      </c>
      <c r="J103" s="308"/>
      <c r="K103" s="308"/>
      <c r="L103" s="273" t="s">
        <v>2298</v>
      </c>
      <c r="M103" s="348"/>
      <c r="N103" s="289" t="s">
        <v>2323</v>
      </c>
      <c r="O103" s="323"/>
      <c r="P103" s="323"/>
      <c r="Q103" s="323"/>
      <c r="R103" s="323"/>
      <c r="S103" s="323"/>
      <c r="T103" s="323"/>
      <c r="U103" s="323"/>
      <c r="V103" s="323"/>
    </row>
    <row r="104" hidden="1">
      <c r="A104" s="343">
        <v>45932.0</v>
      </c>
      <c r="B104" s="273" t="s">
        <v>1154</v>
      </c>
      <c r="C104" s="265">
        <v>809463.0</v>
      </c>
      <c r="D104" s="265">
        <v>1.1193293E7</v>
      </c>
      <c r="E104" s="273" t="s">
        <v>2365</v>
      </c>
      <c r="F104" s="265">
        <v>2124.0</v>
      </c>
      <c r="G104" s="265">
        <v>1522360.0</v>
      </c>
      <c r="H104" s="265" t="s">
        <v>874</v>
      </c>
      <c r="I104" s="265" t="s">
        <v>2336</v>
      </c>
      <c r="J104" s="273" t="s">
        <v>2638</v>
      </c>
      <c r="K104" s="308"/>
      <c r="L104" s="273" t="s">
        <v>2298</v>
      </c>
      <c r="M104" s="348"/>
      <c r="N104" s="289" t="s">
        <v>2300</v>
      </c>
      <c r="O104" s="323"/>
      <c r="P104" s="323"/>
      <c r="Q104" s="323"/>
      <c r="R104" s="323"/>
      <c r="S104" s="323"/>
      <c r="T104" s="323"/>
      <c r="U104" s="323"/>
      <c r="V104" s="323"/>
    </row>
    <row r="105" hidden="1">
      <c r="A105" s="343">
        <v>45932.0</v>
      </c>
      <c r="B105" s="273" t="s">
        <v>1084</v>
      </c>
      <c r="C105" s="265">
        <v>809488.0</v>
      </c>
      <c r="D105" s="265">
        <v>1.1200316E7</v>
      </c>
      <c r="E105" s="273" t="s">
        <v>2365</v>
      </c>
      <c r="F105" s="265">
        <v>2123.0</v>
      </c>
      <c r="G105" s="265">
        <v>1521977.0</v>
      </c>
      <c r="H105" s="265" t="s">
        <v>1017</v>
      </c>
      <c r="I105" s="265" t="s">
        <v>2639</v>
      </c>
      <c r="J105" s="308"/>
      <c r="K105" s="308"/>
      <c r="L105" s="273" t="s">
        <v>2298</v>
      </c>
      <c r="M105" s="348"/>
      <c r="N105" s="289" t="s">
        <v>2323</v>
      </c>
      <c r="O105" s="323"/>
      <c r="P105" s="323"/>
      <c r="Q105" s="323"/>
      <c r="R105" s="323"/>
      <c r="S105" s="323"/>
      <c r="T105" s="323"/>
      <c r="U105" s="323"/>
      <c r="V105" s="323"/>
    </row>
    <row r="106" hidden="1">
      <c r="A106" s="343">
        <v>45932.0</v>
      </c>
      <c r="B106" s="273" t="s">
        <v>1154</v>
      </c>
      <c r="C106" s="265">
        <v>809554.0</v>
      </c>
      <c r="D106" s="265">
        <v>1.1193478E7</v>
      </c>
      <c r="E106" s="273" t="s">
        <v>2365</v>
      </c>
      <c r="F106" s="265">
        <v>2125.0</v>
      </c>
      <c r="G106" s="265">
        <v>1522638.0</v>
      </c>
      <c r="H106" s="265" t="s">
        <v>509</v>
      </c>
      <c r="I106" s="265" t="s">
        <v>1985</v>
      </c>
      <c r="J106" s="273" t="s">
        <v>2640</v>
      </c>
      <c r="K106" s="308"/>
      <c r="L106" s="273" t="s">
        <v>2298</v>
      </c>
      <c r="M106" s="348"/>
      <c r="N106" s="289" t="s">
        <v>2300</v>
      </c>
      <c r="O106" s="323"/>
      <c r="P106" s="323"/>
      <c r="Q106" s="323"/>
      <c r="R106" s="323"/>
      <c r="S106" s="323"/>
      <c r="T106" s="323"/>
      <c r="U106" s="323"/>
      <c r="V106" s="323"/>
    </row>
    <row r="107" hidden="1">
      <c r="A107" s="343">
        <v>45932.0</v>
      </c>
      <c r="B107" s="273" t="s">
        <v>2078</v>
      </c>
      <c r="C107" s="265">
        <v>809552.0</v>
      </c>
      <c r="D107" s="265">
        <v>1.1193478E7</v>
      </c>
      <c r="E107" s="273" t="s">
        <v>2365</v>
      </c>
      <c r="F107" s="265">
        <v>2125.0</v>
      </c>
      <c r="G107" s="265">
        <v>1522638.0</v>
      </c>
      <c r="H107" s="265" t="s">
        <v>509</v>
      </c>
      <c r="I107" s="265" t="s">
        <v>1985</v>
      </c>
      <c r="J107" s="308"/>
      <c r="K107" s="308"/>
      <c r="L107" s="273" t="s">
        <v>2298</v>
      </c>
      <c r="M107" s="348"/>
      <c r="N107" s="289" t="s">
        <v>2323</v>
      </c>
      <c r="O107" s="323"/>
      <c r="P107" s="323"/>
      <c r="Q107" s="323"/>
      <c r="R107" s="323"/>
      <c r="S107" s="323"/>
      <c r="T107" s="323"/>
      <c r="U107" s="323"/>
      <c r="V107" s="323"/>
    </row>
    <row r="108" hidden="1">
      <c r="A108" s="343">
        <v>45932.0</v>
      </c>
      <c r="B108" s="273" t="s">
        <v>2589</v>
      </c>
      <c r="C108" s="265">
        <v>809559.0</v>
      </c>
      <c r="D108" s="265">
        <v>1.1193478E7</v>
      </c>
      <c r="E108" s="273" t="s">
        <v>2365</v>
      </c>
      <c r="F108" s="265">
        <v>2125.0</v>
      </c>
      <c r="G108" s="265">
        <v>1522638.0</v>
      </c>
      <c r="H108" s="265" t="s">
        <v>509</v>
      </c>
      <c r="I108" s="265" t="s">
        <v>1985</v>
      </c>
      <c r="J108" s="308"/>
      <c r="K108" s="308"/>
      <c r="L108" s="273" t="s">
        <v>2298</v>
      </c>
      <c r="M108" s="348"/>
      <c r="N108" s="289" t="s">
        <v>2323</v>
      </c>
      <c r="O108" s="323"/>
      <c r="P108" s="323"/>
      <c r="Q108" s="323"/>
      <c r="R108" s="323"/>
      <c r="S108" s="323"/>
      <c r="T108" s="323"/>
      <c r="U108" s="323"/>
      <c r="V108" s="323"/>
    </row>
    <row r="109" hidden="1">
      <c r="A109" s="343">
        <v>45963.0</v>
      </c>
      <c r="B109" s="273" t="s">
        <v>1154</v>
      </c>
      <c r="C109" s="265">
        <v>810333.0</v>
      </c>
      <c r="D109" s="265">
        <v>1.1200316E7</v>
      </c>
      <c r="E109" s="273" t="s">
        <v>2365</v>
      </c>
      <c r="F109" s="265">
        <v>2123.0</v>
      </c>
      <c r="G109" s="265">
        <v>1521977.0</v>
      </c>
      <c r="H109" s="265" t="s">
        <v>1017</v>
      </c>
      <c r="I109" s="265" t="s">
        <v>2639</v>
      </c>
      <c r="J109" s="273" t="s">
        <v>2641</v>
      </c>
      <c r="K109" s="308"/>
      <c r="L109" s="273" t="s">
        <v>2298</v>
      </c>
      <c r="M109" s="348"/>
      <c r="N109" s="289" t="s">
        <v>2300</v>
      </c>
      <c r="O109" s="323"/>
      <c r="P109" s="323"/>
      <c r="Q109" s="323"/>
      <c r="R109" s="323"/>
      <c r="S109" s="323"/>
      <c r="T109" s="323"/>
      <c r="U109" s="323"/>
      <c r="V109" s="323"/>
    </row>
    <row r="110">
      <c r="A110" s="273" t="s">
        <v>1028</v>
      </c>
      <c r="B110" s="273" t="s">
        <v>1084</v>
      </c>
      <c r="C110" s="265">
        <v>814034.0</v>
      </c>
      <c r="D110" s="265">
        <v>1.1201198E7</v>
      </c>
      <c r="E110" s="273" t="s">
        <v>2372</v>
      </c>
      <c r="F110" s="265">
        <v>184814.0</v>
      </c>
      <c r="G110" s="265">
        <v>1524821.0</v>
      </c>
      <c r="H110" s="265" t="s">
        <v>2642</v>
      </c>
      <c r="I110" s="265" t="s">
        <v>2643</v>
      </c>
      <c r="J110" s="357" t="s">
        <v>2644</v>
      </c>
      <c r="K110" s="358"/>
      <c r="L110" s="273" t="s">
        <v>2298</v>
      </c>
      <c r="M110" s="359" t="s">
        <v>2555</v>
      </c>
      <c r="N110" s="289" t="s">
        <v>2300</v>
      </c>
      <c r="O110" s="323"/>
      <c r="P110" s="323"/>
      <c r="Q110" s="323"/>
      <c r="R110" s="323"/>
      <c r="S110" s="323"/>
      <c r="T110" s="323"/>
      <c r="U110" s="323"/>
      <c r="V110" s="323"/>
    </row>
    <row r="111" hidden="1">
      <c r="A111" s="273" t="s">
        <v>1034</v>
      </c>
      <c r="B111" s="273" t="s">
        <v>2589</v>
      </c>
      <c r="C111" s="265">
        <v>815813.0</v>
      </c>
      <c r="D111" s="265">
        <v>1.1225244E7</v>
      </c>
      <c r="E111" s="273" t="s">
        <v>2372</v>
      </c>
      <c r="F111" s="265">
        <v>184908.0</v>
      </c>
      <c r="G111" s="265">
        <v>1528826.0</v>
      </c>
      <c r="H111" s="265" t="s">
        <v>704</v>
      </c>
      <c r="I111" s="265" t="s">
        <v>2361</v>
      </c>
      <c r="J111" s="308"/>
      <c r="K111" s="308"/>
      <c r="L111" s="273" t="s">
        <v>2298</v>
      </c>
      <c r="M111" s="356" t="s">
        <v>2629</v>
      </c>
      <c r="N111" s="289" t="s">
        <v>2323</v>
      </c>
      <c r="O111" s="323"/>
      <c r="P111" s="323"/>
      <c r="Q111" s="323"/>
      <c r="R111" s="323"/>
      <c r="S111" s="323"/>
      <c r="T111" s="323"/>
      <c r="U111" s="323"/>
      <c r="V111" s="323"/>
    </row>
    <row r="112" hidden="1">
      <c r="A112" s="273" t="s">
        <v>1129</v>
      </c>
      <c r="B112" s="273" t="s">
        <v>2562</v>
      </c>
      <c r="C112" s="265">
        <v>817418.0</v>
      </c>
      <c r="D112" s="265">
        <v>1.1234665E7</v>
      </c>
      <c r="E112" s="273" t="s">
        <v>2379</v>
      </c>
      <c r="F112" s="265">
        <v>2147.0</v>
      </c>
      <c r="G112" s="265">
        <v>1530388.0</v>
      </c>
      <c r="H112" s="265" t="s">
        <v>452</v>
      </c>
      <c r="I112" s="265" t="s">
        <v>2616</v>
      </c>
      <c r="J112" s="308"/>
      <c r="K112" s="308"/>
      <c r="L112" s="273" t="s">
        <v>2557</v>
      </c>
      <c r="M112" s="356" t="s">
        <v>2629</v>
      </c>
      <c r="N112" s="289" t="s">
        <v>2323</v>
      </c>
      <c r="O112" s="323"/>
      <c r="P112" s="323"/>
      <c r="Q112" s="323"/>
      <c r="R112" s="323"/>
      <c r="S112" s="323"/>
      <c r="T112" s="323"/>
      <c r="U112" s="323"/>
      <c r="V112" s="323"/>
    </row>
    <row r="113" hidden="1">
      <c r="A113" s="273" t="s">
        <v>1129</v>
      </c>
      <c r="B113" s="273" t="s">
        <v>2589</v>
      </c>
      <c r="C113" s="265">
        <v>817540.0</v>
      </c>
      <c r="D113" s="265">
        <v>1.123356E7</v>
      </c>
      <c r="E113" s="273" t="s">
        <v>2315</v>
      </c>
      <c r="F113" s="265">
        <v>2142.0</v>
      </c>
      <c r="G113" s="265">
        <v>1529260.0</v>
      </c>
      <c r="H113" s="265" t="s">
        <v>1095</v>
      </c>
      <c r="I113" s="265" t="s">
        <v>2645</v>
      </c>
      <c r="J113" s="308"/>
      <c r="K113" s="308"/>
      <c r="L113" s="273" t="s">
        <v>2298</v>
      </c>
      <c r="M113" s="356" t="s">
        <v>2646</v>
      </c>
      <c r="N113" s="289" t="s">
        <v>2323</v>
      </c>
      <c r="O113" s="323"/>
      <c r="P113" s="323"/>
      <c r="Q113" s="323"/>
      <c r="R113" s="323"/>
      <c r="S113" s="323"/>
      <c r="T113" s="323"/>
      <c r="U113" s="323"/>
      <c r="V113" s="323"/>
    </row>
    <row r="114" hidden="1">
      <c r="A114" s="273" t="s">
        <v>1129</v>
      </c>
      <c r="B114" s="273" t="s">
        <v>2078</v>
      </c>
      <c r="C114" s="265">
        <v>817428.0</v>
      </c>
      <c r="D114" s="265">
        <v>1.123356E7</v>
      </c>
      <c r="E114" s="273" t="s">
        <v>2315</v>
      </c>
      <c r="F114" s="265">
        <v>2142.0</v>
      </c>
      <c r="G114" s="265">
        <v>1529260.0</v>
      </c>
      <c r="H114" s="265" t="s">
        <v>1095</v>
      </c>
      <c r="I114" s="265" t="s">
        <v>2645</v>
      </c>
      <c r="J114" s="308"/>
      <c r="K114" s="308"/>
      <c r="L114" s="273" t="s">
        <v>2298</v>
      </c>
      <c r="M114" s="356" t="s">
        <v>2647</v>
      </c>
      <c r="N114" s="289" t="s">
        <v>2323</v>
      </c>
      <c r="O114" s="323"/>
      <c r="P114" s="323"/>
      <c r="Q114" s="323"/>
      <c r="R114" s="323"/>
      <c r="S114" s="323"/>
      <c r="T114" s="323"/>
      <c r="U114" s="323"/>
      <c r="V114" s="323"/>
    </row>
    <row r="115" hidden="1">
      <c r="A115" s="273" t="s">
        <v>1129</v>
      </c>
      <c r="B115" s="273" t="s">
        <v>1084</v>
      </c>
      <c r="C115" s="265">
        <v>817719.0</v>
      </c>
      <c r="D115" s="265">
        <v>1.1234664E7</v>
      </c>
      <c r="E115" s="273" t="s">
        <v>2379</v>
      </c>
      <c r="F115" s="265">
        <v>2145.0</v>
      </c>
      <c r="G115" s="265">
        <v>1530195.0</v>
      </c>
      <c r="H115" s="265" t="s">
        <v>495</v>
      </c>
      <c r="I115" s="265" t="s">
        <v>2545</v>
      </c>
      <c r="J115" s="308"/>
      <c r="K115" s="308"/>
      <c r="L115" s="273" t="s">
        <v>2557</v>
      </c>
      <c r="M115" s="356" t="s">
        <v>2629</v>
      </c>
      <c r="N115" s="289" t="s">
        <v>2323</v>
      </c>
      <c r="O115" s="323"/>
      <c r="P115" s="323"/>
      <c r="Q115" s="323"/>
      <c r="R115" s="323"/>
      <c r="S115" s="323"/>
      <c r="T115" s="323"/>
      <c r="U115" s="323"/>
      <c r="V115" s="323"/>
    </row>
    <row r="116" hidden="1">
      <c r="A116" s="273" t="s">
        <v>1129</v>
      </c>
      <c r="B116" s="273" t="s">
        <v>2078</v>
      </c>
      <c r="C116" s="265">
        <v>817831.0</v>
      </c>
      <c r="D116" s="265">
        <v>1.1234665E7</v>
      </c>
      <c r="E116" s="273" t="s">
        <v>2379</v>
      </c>
      <c r="F116" s="265">
        <v>2147.0</v>
      </c>
      <c r="G116" s="265">
        <v>1530388.0</v>
      </c>
      <c r="H116" s="265" t="s">
        <v>452</v>
      </c>
      <c r="I116" s="265" t="s">
        <v>2616</v>
      </c>
      <c r="J116" s="308"/>
      <c r="K116" s="308"/>
      <c r="L116" s="273" t="s">
        <v>2648</v>
      </c>
      <c r="M116" s="356" t="s">
        <v>2649</v>
      </c>
      <c r="N116" s="289" t="s">
        <v>2323</v>
      </c>
      <c r="O116" s="323"/>
      <c r="P116" s="323"/>
      <c r="Q116" s="323"/>
      <c r="R116" s="323"/>
      <c r="S116" s="323"/>
      <c r="T116" s="323"/>
      <c r="U116" s="323"/>
      <c r="V116" s="323"/>
    </row>
    <row r="117" hidden="1">
      <c r="A117" s="273" t="s">
        <v>1129</v>
      </c>
      <c r="B117" s="273" t="s">
        <v>1154</v>
      </c>
      <c r="C117" s="265">
        <v>817826.0</v>
      </c>
      <c r="D117" s="265">
        <v>1.1234665E7</v>
      </c>
      <c r="E117" s="273" t="s">
        <v>2379</v>
      </c>
      <c r="F117" s="265">
        <v>2147.0</v>
      </c>
      <c r="G117" s="265">
        <v>1530388.0</v>
      </c>
      <c r="H117" s="265" t="s">
        <v>452</v>
      </c>
      <c r="I117" s="265" t="s">
        <v>2616</v>
      </c>
      <c r="J117" s="273" t="s">
        <v>2650</v>
      </c>
      <c r="K117" s="308"/>
      <c r="L117" s="273" t="s">
        <v>2298</v>
      </c>
      <c r="M117" s="348"/>
      <c r="N117" s="289" t="s">
        <v>2323</v>
      </c>
      <c r="O117" s="323"/>
      <c r="P117" s="323"/>
      <c r="Q117" s="323"/>
      <c r="R117" s="323"/>
      <c r="S117" s="323"/>
      <c r="T117" s="323"/>
      <c r="U117" s="323"/>
      <c r="V117" s="323"/>
    </row>
    <row r="118" hidden="1">
      <c r="A118" s="273" t="s">
        <v>1102</v>
      </c>
      <c r="B118" s="273" t="s">
        <v>1154</v>
      </c>
      <c r="C118" s="265">
        <v>818137.0</v>
      </c>
      <c r="D118" s="265">
        <v>1.1234664E7</v>
      </c>
      <c r="E118" s="273" t="s">
        <v>2379</v>
      </c>
      <c r="F118" s="265">
        <v>2145.0</v>
      </c>
      <c r="G118" s="265">
        <v>1530195.0</v>
      </c>
      <c r="H118" s="265" t="s">
        <v>495</v>
      </c>
      <c r="I118" s="265" t="s">
        <v>2545</v>
      </c>
      <c r="J118" s="273" t="s">
        <v>2650</v>
      </c>
      <c r="K118" s="308"/>
      <c r="L118" s="273" t="s">
        <v>2298</v>
      </c>
      <c r="M118" s="348"/>
      <c r="N118" s="289" t="s">
        <v>2323</v>
      </c>
      <c r="O118" s="323"/>
      <c r="P118" s="323"/>
      <c r="Q118" s="323"/>
      <c r="R118" s="323"/>
      <c r="S118" s="323"/>
      <c r="T118" s="323"/>
      <c r="U118" s="323"/>
      <c r="V118" s="323"/>
    </row>
    <row r="119" hidden="1">
      <c r="A119" s="273" t="s">
        <v>1102</v>
      </c>
      <c r="B119" s="273" t="s">
        <v>2078</v>
      </c>
      <c r="C119" s="265">
        <v>818142.0</v>
      </c>
      <c r="D119" s="265">
        <v>1.1234664E7</v>
      </c>
      <c r="E119" s="273" t="s">
        <v>2379</v>
      </c>
      <c r="F119" s="265">
        <v>2145.0</v>
      </c>
      <c r="G119" s="265">
        <v>1530195.0</v>
      </c>
      <c r="H119" s="265" t="s">
        <v>495</v>
      </c>
      <c r="I119" s="265" t="s">
        <v>2545</v>
      </c>
      <c r="J119" s="308"/>
      <c r="K119" s="308"/>
      <c r="L119" s="273" t="s">
        <v>2298</v>
      </c>
      <c r="M119" s="348"/>
      <c r="N119" s="289" t="s">
        <v>2323</v>
      </c>
      <c r="O119" s="323"/>
      <c r="P119" s="323"/>
      <c r="Q119" s="323"/>
      <c r="R119" s="323"/>
      <c r="S119" s="323"/>
      <c r="T119" s="323"/>
      <c r="U119" s="323"/>
      <c r="V119" s="323"/>
    </row>
    <row r="120" hidden="1">
      <c r="A120" s="273" t="s">
        <v>1064</v>
      </c>
      <c r="B120" s="273" t="s">
        <v>1084</v>
      </c>
      <c r="C120" s="265">
        <v>819307.0</v>
      </c>
      <c r="D120" s="265">
        <v>1.1234898E7</v>
      </c>
      <c r="E120" s="273" t="s">
        <v>2379</v>
      </c>
      <c r="F120" s="265">
        <v>2150.0</v>
      </c>
      <c r="G120" s="265">
        <v>1530958.0</v>
      </c>
      <c r="H120" s="265" t="s">
        <v>962</v>
      </c>
      <c r="I120" s="265" t="s">
        <v>1969</v>
      </c>
      <c r="J120" s="308"/>
      <c r="K120" s="308"/>
      <c r="L120" s="273" t="s">
        <v>2557</v>
      </c>
      <c r="M120" s="356" t="s">
        <v>2629</v>
      </c>
      <c r="N120" s="289" t="s">
        <v>2323</v>
      </c>
      <c r="O120" s="323"/>
      <c r="P120" s="323"/>
      <c r="Q120" s="323"/>
      <c r="R120" s="323"/>
      <c r="S120" s="323"/>
      <c r="T120" s="323"/>
      <c r="U120" s="323"/>
      <c r="V120" s="323"/>
    </row>
    <row r="121" hidden="1">
      <c r="A121" s="273" t="s">
        <v>1064</v>
      </c>
      <c r="B121" s="273" t="s">
        <v>1154</v>
      </c>
      <c r="C121" s="265">
        <v>819521.0</v>
      </c>
      <c r="D121" s="265">
        <v>1.1234877E7</v>
      </c>
      <c r="E121" s="273" t="s">
        <v>2379</v>
      </c>
      <c r="F121" s="265">
        <v>2151.0</v>
      </c>
      <c r="G121" s="265">
        <v>1530964.0</v>
      </c>
      <c r="H121" s="265" t="s">
        <v>494</v>
      </c>
      <c r="I121" s="265" t="s">
        <v>2596</v>
      </c>
      <c r="J121" s="273" t="s">
        <v>2650</v>
      </c>
      <c r="K121" s="308"/>
      <c r="L121" s="273" t="s">
        <v>2298</v>
      </c>
      <c r="M121" s="348"/>
      <c r="N121" s="289" t="s">
        <v>2323</v>
      </c>
      <c r="O121" s="323"/>
      <c r="P121" s="323"/>
      <c r="Q121" s="323"/>
      <c r="R121" s="323"/>
      <c r="S121" s="323"/>
      <c r="T121" s="323"/>
      <c r="U121" s="323"/>
      <c r="V121" s="323"/>
    </row>
    <row r="122" hidden="1">
      <c r="A122" s="273" t="s">
        <v>1064</v>
      </c>
      <c r="B122" s="273" t="s">
        <v>2078</v>
      </c>
      <c r="C122" s="265">
        <v>819524.0</v>
      </c>
      <c r="D122" s="265">
        <v>1.1234877E7</v>
      </c>
      <c r="E122" s="273" t="s">
        <v>2379</v>
      </c>
      <c r="F122" s="265">
        <v>2151.0</v>
      </c>
      <c r="G122" s="265">
        <v>1530964.0</v>
      </c>
      <c r="H122" s="265" t="s">
        <v>494</v>
      </c>
      <c r="I122" s="265" t="s">
        <v>2596</v>
      </c>
      <c r="J122" s="308"/>
      <c r="K122" s="308"/>
      <c r="L122" s="273" t="s">
        <v>2298</v>
      </c>
      <c r="M122" s="356" t="s">
        <v>2651</v>
      </c>
      <c r="N122" s="289" t="s">
        <v>2323</v>
      </c>
      <c r="O122" s="323"/>
      <c r="P122" s="323"/>
      <c r="Q122" s="323"/>
      <c r="R122" s="323"/>
      <c r="S122" s="323"/>
      <c r="T122" s="323"/>
      <c r="U122" s="323"/>
      <c r="V122" s="323"/>
    </row>
    <row r="123" hidden="1">
      <c r="A123" s="273" t="s">
        <v>1155</v>
      </c>
      <c r="B123" s="273" t="s">
        <v>1154</v>
      </c>
      <c r="C123" s="265">
        <v>820233.0</v>
      </c>
      <c r="D123" s="265">
        <v>1.1234898E7</v>
      </c>
      <c r="E123" s="273" t="s">
        <v>2379</v>
      </c>
      <c r="F123" s="265">
        <v>2150.0</v>
      </c>
      <c r="G123" s="265">
        <v>1530958.0</v>
      </c>
      <c r="H123" s="265" t="s">
        <v>962</v>
      </c>
      <c r="I123" s="265" t="s">
        <v>1969</v>
      </c>
      <c r="J123" s="273" t="s">
        <v>2650</v>
      </c>
      <c r="K123" s="308"/>
      <c r="L123" s="273" t="s">
        <v>2298</v>
      </c>
      <c r="M123" s="348"/>
      <c r="N123" s="289" t="s">
        <v>2323</v>
      </c>
      <c r="O123" s="323"/>
      <c r="P123" s="323"/>
      <c r="Q123" s="323"/>
      <c r="R123" s="323"/>
      <c r="S123" s="323"/>
      <c r="T123" s="323"/>
      <c r="U123" s="323"/>
      <c r="V123" s="323"/>
    </row>
    <row r="124" hidden="1">
      <c r="A124" s="273" t="s">
        <v>1155</v>
      </c>
      <c r="B124" s="273" t="s">
        <v>2562</v>
      </c>
      <c r="C124" s="265">
        <v>820396.0</v>
      </c>
      <c r="D124" s="265">
        <v>1.1234237E7</v>
      </c>
      <c r="E124" s="273" t="s">
        <v>2384</v>
      </c>
      <c r="F124" s="265">
        <v>2153.0</v>
      </c>
      <c r="G124" s="265">
        <v>1531519.0</v>
      </c>
      <c r="H124" s="265" t="s">
        <v>495</v>
      </c>
      <c r="I124" s="265" t="s">
        <v>2545</v>
      </c>
      <c r="J124" s="308"/>
      <c r="K124" s="308"/>
      <c r="L124" s="273" t="s">
        <v>2298</v>
      </c>
      <c r="M124" s="348"/>
      <c r="N124" s="289" t="s">
        <v>2323</v>
      </c>
      <c r="O124" s="323"/>
      <c r="P124" s="323"/>
      <c r="Q124" s="323"/>
      <c r="R124" s="323"/>
      <c r="S124" s="323"/>
      <c r="T124" s="323"/>
      <c r="U124" s="323"/>
      <c r="V124" s="323"/>
    </row>
    <row r="125" hidden="1">
      <c r="A125" s="273" t="s">
        <v>1163</v>
      </c>
      <c r="B125" s="273" t="s">
        <v>1154</v>
      </c>
      <c r="C125" s="265">
        <v>821440.0</v>
      </c>
      <c r="D125" s="265">
        <v>1.1238602E7</v>
      </c>
      <c r="E125" s="273" t="s">
        <v>2380</v>
      </c>
      <c r="F125" s="265">
        <v>2149.0</v>
      </c>
      <c r="G125" s="265">
        <v>1530900.0</v>
      </c>
      <c r="H125" s="265" t="s">
        <v>1149</v>
      </c>
      <c r="I125" s="265" t="s">
        <v>2381</v>
      </c>
      <c r="J125" s="273" t="s">
        <v>2652</v>
      </c>
      <c r="K125" s="308"/>
      <c r="L125" s="273" t="s">
        <v>2298</v>
      </c>
      <c r="M125" s="348"/>
      <c r="N125" s="289" t="s">
        <v>2323</v>
      </c>
      <c r="O125" s="323"/>
      <c r="P125" s="323"/>
      <c r="Q125" s="323"/>
      <c r="R125" s="323"/>
      <c r="S125" s="323"/>
      <c r="T125" s="323"/>
      <c r="U125" s="323"/>
      <c r="V125" s="323"/>
    </row>
    <row r="126" hidden="1">
      <c r="A126" s="273" t="s">
        <v>1163</v>
      </c>
      <c r="B126" s="273" t="s">
        <v>1084</v>
      </c>
      <c r="C126" s="265">
        <v>821742.0</v>
      </c>
      <c r="D126" s="265">
        <v>1.1233446E7</v>
      </c>
      <c r="E126" s="273" t="s">
        <v>2388</v>
      </c>
      <c r="F126" s="265">
        <v>2156.0</v>
      </c>
      <c r="G126" s="265">
        <v>1532397.0</v>
      </c>
      <c r="H126" s="265" t="s">
        <v>1079</v>
      </c>
      <c r="I126" s="265" t="s">
        <v>2389</v>
      </c>
      <c r="J126" s="308"/>
      <c r="K126" s="308"/>
      <c r="L126" s="273" t="s">
        <v>2298</v>
      </c>
      <c r="M126" s="356" t="s">
        <v>2653</v>
      </c>
      <c r="N126" s="289" t="s">
        <v>2323</v>
      </c>
      <c r="O126" s="323"/>
      <c r="P126" s="323"/>
      <c r="Q126" s="323"/>
      <c r="R126" s="323"/>
      <c r="S126" s="323"/>
      <c r="T126" s="323"/>
      <c r="U126" s="323"/>
      <c r="V126" s="323"/>
    </row>
    <row r="127" hidden="1">
      <c r="A127" s="273" t="s">
        <v>2654</v>
      </c>
      <c r="B127" s="273" t="s">
        <v>1084</v>
      </c>
      <c r="C127" s="265">
        <v>823693.0</v>
      </c>
      <c r="D127" s="265">
        <v>1.123867E7</v>
      </c>
      <c r="E127" s="273" t="s">
        <v>2352</v>
      </c>
      <c r="F127" s="265">
        <v>2159.0</v>
      </c>
      <c r="G127" s="265">
        <v>1533131.0</v>
      </c>
      <c r="H127" s="265" t="s">
        <v>559</v>
      </c>
      <c r="I127" s="265" t="s">
        <v>2655</v>
      </c>
      <c r="J127" s="273" t="s">
        <v>2656</v>
      </c>
      <c r="K127" s="308"/>
      <c r="L127" s="273" t="s">
        <v>2298</v>
      </c>
      <c r="M127" s="356" t="s">
        <v>2657</v>
      </c>
      <c r="N127" s="289" t="s">
        <v>2323</v>
      </c>
      <c r="O127" s="323"/>
      <c r="P127" s="323"/>
      <c r="Q127" s="323"/>
      <c r="R127" s="323"/>
      <c r="S127" s="323"/>
      <c r="T127" s="323"/>
      <c r="U127" s="323"/>
      <c r="V127" s="323"/>
    </row>
    <row r="128" hidden="1">
      <c r="A128" s="273" t="s">
        <v>2658</v>
      </c>
      <c r="B128" s="273" t="s">
        <v>2562</v>
      </c>
      <c r="C128" s="265">
        <v>823685.0</v>
      </c>
      <c r="D128" s="265">
        <v>1.1255724E7</v>
      </c>
      <c r="E128" s="273" t="s">
        <v>2379</v>
      </c>
      <c r="F128" s="265">
        <v>2165.0</v>
      </c>
      <c r="G128" s="265">
        <v>1535729.0</v>
      </c>
      <c r="H128" s="265" t="s">
        <v>1187</v>
      </c>
      <c r="I128" s="265" t="s">
        <v>2427</v>
      </c>
      <c r="J128" s="308"/>
      <c r="K128" s="308"/>
      <c r="L128" s="273" t="s">
        <v>2557</v>
      </c>
      <c r="M128" s="356" t="s">
        <v>2629</v>
      </c>
      <c r="N128" s="289" t="s">
        <v>2323</v>
      </c>
      <c r="O128" s="323"/>
      <c r="P128" s="323"/>
      <c r="Q128" s="323"/>
      <c r="R128" s="323"/>
      <c r="S128" s="323"/>
      <c r="T128" s="323"/>
      <c r="U128" s="323"/>
      <c r="V128" s="323"/>
    </row>
    <row r="129" hidden="1">
      <c r="A129" s="273" t="s">
        <v>2658</v>
      </c>
      <c r="B129" s="273" t="s">
        <v>1084</v>
      </c>
      <c r="C129" s="265">
        <v>824101.0</v>
      </c>
      <c r="D129" s="265">
        <v>1.1241002E7</v>
      </c>
      <c r="E129" s="273" t="s">
        <v>2352</v>
      </c>
      <c r="F129" s="265">
        <v>2162.0</v>
      </c>
      <c r="G129" s="265">
        <v>1534157.0</v>
      </c>
      <c r="H129" s="265" t="s">
        <v>2659</v>
      </c>
      <c r="I129" s="265" t="s">
        <v>2645</v>
      </c>
      <c r="J129" s="308"/>
      <c r="K129" s="308"/>
      <c r="L129" s="273" t="s">
        <v>2298</v>
      </c>
      <c r="M129" s="356"/>
      <c r="N129" s="289" t="s">
        <v>2323</v>
      </c>
      <c r="O129" s="323"/>
      <c r="P129" s="323"/>
      <c r="Q129" s="323"/>
      <c r="R129" s="323"/>
      <c r="S129" s="323"/>
      <c r="T129" s="323"/>
      <c r="U129" s="323"/>
      <c r="V129" s="323"/>
    </row>
    <row r="130" hidden="1">
      <c r="A130" s="273" t="s">
        <v>2658</v>
      </c>
      <c r="B130" s="273" t="s">
        <v>1084</v>
      </c>
      <c r="C130" s="265">
        <v>824105.0</v>
      </c>
      <c r="D130" s="265">
        <v>1.1241667E7</v>
      </c>
      <c r="E130" s="273" t="s">
        <v>2352</v>
      </c>
      <c r="F130" s="265">
        <v>2161.0</v>
      </c>
      <c r="G130" s="265">
        <v>1534138.0</v>
      </c>
      <c r="H130" s="265" t="s">
        <v>1172</v>
      </c>
      <c r="I130" s="265" t="s">
        <v>2660</v>
      </c>
      <c r="J130" s="308"/>
      <c r="K130" s="308"/>
      <c r="L130" s="273" t="s">
        <v>2298</v>
      </c>
      <c r="M130" s="356" t="s">
        <v>2657</v>
      </c>
      <c r="N130" s="289" t="s">
        <v>2323</v>
      </c>
      <c r="O130" s="323"/>
      <c r="P130" s="323"/>
      <c r="Q130" s="323"/>
      <c r="R130" s="323"/>
      <c r="S130" s="323"/>
      <c r="T130" s="323"/>
      <c r="U130" s="323"/>
      <c r="V130" s="323"/>
    </row>
    <row r="131" hidden="1">
      <c r="A131" s="343">
        <v>45660.0</v>
      </c>
      <c r="B131" s="273" t="s">
        <v>1084</v>
      </c>
      <c r="C131" s="265">
        <v>824753.0</v>
      </c>
      <c r="D131" s="265">
        <v>1.1250302E7</v>
      </c>
      <c r="E131" s="273" t="s">
        <v>2352</v>
      </c>
      <c r="F131" s="265">
        <v>2164.0</v>
      </c>
      <c r="G131" s="265">
        <v>1535312.0</v>
      </c>
      <c r="H131" s="265" t="s">
        <v>1135</v>
      </c>
      <c r="I131" s="265" t="s">
        <v>2661</v>
      </c>
      <c r="J131" s="308"/>
      <c r="K131" s="308"/>
      <c r="L131" s="273" t="s">
        <v>2298</v>
      </c>
      <c r="M131" s="356"/>
      <c r="N131" s="289" t="s">
        <v>2323</v>
      </c>
      <c r="O131" s="323"/>
      <c r="P131" s="323"/>
      <c r="Q131" s="323"/>
      <c r="R131" s="323"/>
      <c r="S131" s="323"/>
      <c r="T131" s="323"/>
      <c r="U131" s="323"/>
      <c r="V131" s="323"/>
    </row>
    <row r="132" hidden="1">
      <c r="A132" s="343">
        <v>45719.0</v>
      </c>
      <c r="B132" s="273" t="s">
        <v>1195</v>
      </c>
      <c r="C132" s="265">
        <v>825446.0</v>
      </c>
      <c r="D132" s="265">
        <v>1.1256395E7</v>
      </c>
      <c r="E132" s="273" t="s">
        <v>2662</v>
      </c>
      <c r="F132" s="312"/>
      <c r="G132" s="312"/>
      <c r="H132" s="265" t="s">
        <v>240</v>
      </c>
      <c r="I132" s="265" t="s">
        <v>2663</v>
      </c>
      <c r="J132" s="273" t="s">
        <v>2664</v>
      </c>
      <c r="K132" s="273" t="s">
        <v>2665</v>
      </c>
      <c r="L132" s="273" t="s">
        <v>2298</v>
      </c>
      <c r="M132" s="348"/>
      <c r="N132" s="289" t="s">
        <v>2323</v>
      </c>
      <c r="O132" s="323"/>
      <c r="P132" s="323"/>
      <c r="Q132" s="323"/>
      <c r="R132" s="323"/>
      <c r="S132" s="323"/>
      <c r="T132" s="323"/>
      <c r="U132" s="323"/>
      <c r="V132" s="323"/>
    </row>
    <row r="133" hidden="1">
      <c r="A133" s="343">
        <v>45719.0</v>
      </c>
      <c r="B133" s="273" t="s">
        <v>2537</v>
      </c>
      <c r="C133" s="265">
        <v>825641.0</v>
      </c>
      <c r="D133" s="265">
        <v>1.126243E7</v>
      </c>
      <c r="E133" s="273" t="s">
        <v>2295</v>
      </c>
      <c r="F133" s="265">
        <v>2167.0</v>
      </c>
      <c r="G133" s="265">
        <v>1537266.0</v>
      </c>
      <c r="H133" s="265" t="s">
        <v>1200</v>
      </c>
      <c r="I133" s="265" t="s">
        <v>2666</v>
      </c>
      <c r="J133" s="308"/>
      <c r="K133" s="308"/>
      <c r="L133" s="273" t="s">
        <v>2298</v>
      </c>
      <c r="M133" s="356" t="s">
        <v>2629</v>
      </c>
      <c r="N133" s="289" t="s">
        <v>2323</v>
      </c>
      <c r="O133" s="323"/>
      <c r="P133" s="323"/>
      <c r="Q133" s="323"/>
      <c r="R133" s="323"/>
      <c r="S133" s="323"/>
      <c r="T133" s="323"/>
      <c r="U133" s="323"/>
      <c r="V133" s="323"/>
    </row>
    <row r="134" hidden="1">
      <c r="A134" s="343">
        <v>45780.0</v>
      </c>
      <c r="B134" s="273" t="s">
        <v>2589</v>
      </c>
      <c r="C134" s="265">
        <v>827342.0</v>
      </c>
      <c r="D134" s="265">
        <v>1.1255724E7</v>
      </c>
      <c r="E134" s="273" t="s">
        <v>2379</v>
      </c>
      <c r="F134" s="265">
        <v>2165.0</v>
      </c>
      <c r="G134" s="265">
        <v>1535729.0</v>
      </c>
      <c r="H134" s="265" t="s">
        <v>1187</v>
      </c>
      <c r="I134" s="265" t="s">
        <v>2427</v>
      </c>
      <c r="J134" s="308"/>
      <c r="K134" s="308"/>
      <c r="L134" s="273" t="s">
        <v>2298</v>
      </c>
      <c r="M134" s="356" t="s">
        <v>2667</v>
      </c>
      <c r="N134" s="289" t="s">
        <v>2323</v>
      </c>
      <c r="O134" s="323"/>
      <c r="P134" s="323"/>
      <c r="Q134" s="323"/>
      <c r="R134" s="323"/>
      <c r="S134" s="323"/>
      <c r="T134" s="323"/>
      <c r="U134" s="323"/>
      <c r="V134" s="323"/>
    </row>
    <row r="135" hidden="1">
      <c r="A135" s="343">
        <v>45811.0</v>
      </c>
      <c r="B135" s="273" t="s">
        <v>2668</v>
      </c>
      <c r="C135" s="265">
        <v>828065.0</v>
      </c>
      <c r="D135" s="265">
        <v>1.1251333E7</v>
      </c>
      <c r="E135" s="273" t="s">
        <v>2349</v>
      </c>
      <c r="F135" s="265">
        <v>43782.0</v>
      </c>
      <c r="G135" s="265">
        <v>1540436.0</v>
      </c>
      <c r="H135" s="265" t="s">
        <v>995</v>
      </c>
      <c r="I135" s="265" t="s">
        <v>2348</v>
      </c>
      <c r="J135" s="273" t="s">
        <v>2669</v>
      </c>
      <c r="K135" s="308"/>
      <c r="L135" s="273" t="s">
        <v>2298</v>
      </c>
      <c r="M135" s="348"/>
      <c r="N135" s="289" t="s">
        <v>2323</v>
      </c>
      <c r="O135" s="323"/>
      <c r="P135" s="323"/>
      <c r="Q135" s="323"/>
      <c r="R135" s="323"/>
      <c r="S135" s="323"/>
      <c r="T135" s="323"/>
      <c r="U135" s="323"/>
      <c r="V135" s="323"/>
    </row>
    <row r="136" hidden="1">
      <c r="A136" s="343">
        <v>45811.0</v>
      </c>
      <c r="B136" s="273" t="s">
        <v>2156</v>
      </c>
      <c r="C136" s="265">
        <v>828603.0</v>
      </c>
      <c r="D136" s="265">
        <v>1.1258782E7</v>
      </c>
      <c r="E136" s="273" t="s">
        <v>2331</v>
      </c>
      <c r="F136" s="265">
        <v>2168.0</v>
      </c>
      <c r="G136" s="265">
        <v>1537224.0</v>
      </c>
      <c r="H136" s="265" t="s">
        <v>1149</v>
      </c>
      <c r="I136" s="265" t="s">
        <v>2381</v>
      </c>
      <c r="J136" s="308"/>
      <c r="K136" s="308"/>
      <c r="L136" s="273" t="s">
        <v>2298</v>
      </c>
      <c r="M136" s="348"/>
      <c r="N136" s="289" t="s">
        <v>2323</v>
      </c>
      <c r="O136" s="323"/>
      <c r="P136" s="323"/>
      <c r="Q136" s="323"/>
      <c r="R136" s="323"/>
      <c r="S136" s="323"/>
      <c r="T136" s="323"/>
      <c r="U136" s="323"/>
      <c r="V136" s="323"/>
    </row>
    <row r="137" hidden="1">
      <c r="A137" s="343">
        <v>45841.0</v>
      </c>
      <c r="B137" s="273" t="s">
        <v>1154</v>
      </c>
      <c r="C137" s="265">
        <v>829264.0</v>
      </c>
      <c r="D137" s="265">
        <v>1.1270902E7</v>
      </c>
      <c r="E137" s="273" t="s">
        <v>2670</v>
      </c>
      <c r="F137" s="265">
        <v>2174.0</v>
      </c>
      <c r="G137" s="265">
        <v>1540587.0</v>
      </c>
      <c r="H137" s="265" t="s">
        <v>240</v>
      </c>
      <c r="I137" s="265" t="s">
        <v>2663</v>
      </c>
      <c r="J137" s="273" t="s">
        <v>2671</v>
      </c>
      <c r="K137" s="308"/>
      <c r="L137" s="273" t="s">
        <v>2298</v>
      </c>
      <c r="M137" s="348"/>
      <c r="N137" s="305" t="s">
        <v>2323</v>
      </c>
      <c r="O137" s="323"/>
      <c r="P137" s="323"/>
      <c r="Q137" s="323"/>
      <c r="R137" s="323"/>
      <c r="S137" s="323"/>
      <c r="T137" s="323"/>
      <c r="U137" s="323"/>
      <c r="V137" s="323"/>
    </row>
    <row r="138" hidden="1">
      <c r="A138" s="343">
        <v>45841.0</v>
      </c>
      <c r="B138" s="273" t="s">
        <v>2589</v>
      </c>
      <c r="C138" s="265">
        <v>829269.0</v>
      </c>
      <c r="D138" s="265">
        <v>1.1270902E7</v>
      </c>
      <c r="E138" s="273" t="s">
        <v>2670</v>
      </c>
      <c r="F138" s="265">
        <v>2174.0</v>
      </c>
      <c r="G138" s="265">
        <v>1540587.0</v>
      </c>
      <c r="H138" s="265" t="s">
        <v>240</v>
      </c>
      <c r="I138" s="265" t="s">
        <v>2663</v>
      </c>
      <c r="J138" s="308"/>
      <c r="K138" s="308"/>
      <c r="L138" s="273" t="s">
        <v>2298</v>
      </c>
      <c r="M138" s="348"/>
      <c r="N138" s="289" t="s">
        <v>2323</v>
      </c>
      <c r="O138" s="323"/>
      <c r="P138" s="323"/>
      <c r="Q138" s="323"/>
      <c r="R138" s="323"/>
      <c r="S138" s="323"/>
      <c r="T138" s="323"/>
      <c r="U138" s="323"/>
      <c r="V138" s="323"/>
    </row>
    <row r="139" hidden="1">
      <c r="A139" s="343">
        <v>45811.0</v>
      </c>
      <c r="B139" s="273" t="s">
        <v>2537</v>
      </c>
      <c r="C139" s="265">
        <v>828065.0</v>
      </c>
      <c r="D139" s="265">
        <v>1.1251333E7</v>
      </c>
      <c r="E139" s="273" t="s">
        <v>2349</v>
      </c>
      <c r="F139" s="265">
        <v>43782.0</v>
      </c>
      <c r="G139" s="265">
        <v>1540436.0</v>
      </c>
      <c r="H139" s="265" t="s">
        <v>2672</v>
      </c>
      <c r="I139" s="265" t="s">
        <v>2348</v>
      </c>
      <c r="J139" s="273" t="s">
        <v>2669</v>
      </c>
      <c r="K139" s="273" t="s">
        <v>2673</v>
      </c>
      <c r="L139" s="273" t="s">
        <v>2298</v>
      </c>
      <c r="M139" s="348"/>
      <c r="N139" s="289" t="s">
        <v>2323</v>
      </c>
      <c r="O139" s="323"/>
      <c r="P139" s="323"/>
      <c r="Q139" s="323"/>
      <c r="R139" s="323"/>
      <c r="S139" s="323"/>
      <c r="T139" s="323"/>
      <c r="U139" s="323"/>
      <c r="V139" s="323"/>
    </row>
    <row r="140" hidden="1">
      <c r="A140" s="343">
        <v>45841.0</v>
      </c>
      <c r="B140" s="273" t="s">
        <v>2537</v>
      </c>
      <c r="C140" s="265">
        <v>829290.0</v>
      </c>
      <c r="D140" s="265">
        <v>1.126493E7</v>
      </c>
      <c r="E140" s="273" t="s">
        <v>2333</v>
      </c>
      <c r="F140" s="265">
        <v>2171.0</v>
      </c>
      <c r="G140" s="265">
        <v>1540379.0</v>
      </c>
      <c r="H140" s="265" t="s">
        <v>704</v>
      </c>
      <c r="I140" s="265" t="s">
        <v>2361</v>
      </c>
      <c r="J140" s="308"/>
      <c r="K140" s="308"/>
      <c r="L140" s="273" t="s">
        <v>2298</v>
      </c>
      <c r="M140" s="348"/>
      <c r="N140" s="289" t="s">
        <v>2323</v>
      </c>
      <c r="O140" s="323"/>
      <c r="P140" s="323"/>
      <c r="Q140" s="323"/>
      <c r="R140" s="323"/>
      <c r="S140" s="323"/>
      <c r="T140" s="323"/>
      <c r="U140" s="323"/>
      <c r="V140" s="323"/>
    </row>
    <row r="141" hidden="1">
      <c r="A141" s="343">
        <v>45872.0</v>
      </c>
      <c r="B141" s="273" t="s">
        <v>1084</v>
      </c>
      <c r="C141" s="265">
        <v>829736.0</v>
      </c>
      <c r="D141" s="265">
        <v>1.1250303E7</v>
      </c>
      <c r="E141" s="273" t="s">
        <v>2549</v>
      </c>
      <c r="F141" s="265">
        <v>511482.0</v>
      </c>
      <c r="G141" s="265">
        <v>1539200.0</v>
      </c>
      <c r="H141" s="265" t="s">
        <v>1135</v>
      </c>
      <c r="I141" s="265" t="s">
        <v>2661</v>
      </c>
      <c r="J141" s="273" t="s">
        <v>2674</v>
      </c>
      <c r="K141" s="308"/>
      <c r="L141" s="273" t="s">
        <v>2298</v>
      </c>
      <c r="M141" s="348"/>
      <c r="N141" s="289" t="s">
        <v>2323</v>
      </c>
      <c r="O141" s="323"/>
      <c r="P141" s="323"/>
      <c r="Q141" s="323"/>
      <c r="R141" s="323"/>
      <c r="S141" s="323"/>
      <c r="T141" s="323"/>
      <c r="U141" s="323"/>
      <c r="V141" s="323"/>
    </row>
    <row r="142" hidden="1">
      <c r="A142" s="343">
        <v>45872.0</v>
      </c>
      <c r="B142" s="273" t="s">
        <v>2537</v>
      </c>
      <c r="C142" s="265">
        <v>829812.0</v>
      </c>
      <c r="D142" s="265">
        <v>1.126507E7</v>
      </c>
      <c r="E142" s="273" t="s">
        <v>2333</v>
      </c>
      <c r="F142" s="265">
        <v>2172.0</v>
      </c>
      <c r="G142" s="265">
        <v>1540397.0</v>
      </c>
      <c r="H142" s="265" t="s">
        <v>1017</v>
      </c>
      <c r="I142" s="265" t="s">
        <v>2639</v>
      </c>
      <c r="J142" s="308"/>
      <c r="K142" s="308"/>
      <c r="L142" s="273" t="s">
        <v>2298</v>
      </c>
      <c r="M142" s="348"/>
      <c r="N142" s="289" t="s">
        <v>2323</v>
      </c>
      <c r="O142" s="323"/>
      <c r="P142" s="323"/>
      <c r="Q142" s="323"/>
      <c r="R142" s="323"/>
      <c r="S142" s="323"/>
      <c r="T142" s="323"/>
      <c r="U142" s="323"/>
      <c r="V142" s="323"/>
    </row>
    <row r="143" hidden="1">
      <c r="A143" s="343">
        <v>45903.0</v>
      </c>
      <c r="B143" s="273" t="s">
        <v>2078</v>
      </c>
      <c r="C143" s="265">
        <v>829925.0</v>
      </c>
      <c r="D143" s="265">
        <v>1.126507E7</v>
      </c>
      <c r="E143" s="273" t="s">
        <v>2333</v>
      </c>
      <c r="F143" s="265">
        <v>2172.0</v>
      </c>
      <c r="G143" s="265">
        <v>1540397.0</v>
      </c>
      <c r="H143" s="265" t="s">
        <v>1017</v>
      </c>
      <c r="I143" s="265" t="s">
        <v>2639</v>
      </c>
      <c r="J143" s="308"/>
      <c r="K143" s="308"/>
      <c r="L143" s="273" t="s">
        <v>2298</v>
      </c>
      <c r="M143" s="356" t="s">
        <v>2675</v>
      </c>
      <c r="N143" s="289" t="s">
        <v>2323</v>
      </c>
      <c r="O143" s="323"/>
      <c r="P143" s="323"/>
      <c r="Q143" s="323"/>
      <c r="R143" s="323"/>
      <c r="S143" s="323"/>
      <c r="T143" s="323"/>
      <c r="U143" s="323"/>
      <c r="V143" s="323"/>
    </row>
    <row r="144" hidden="1">
      <c r="A144" s="343">
        <v>45933.0</v>
      </c>
      <c r="B144" s="273" t="s">
        <v>1203</v>
      </c>
      <c r="C144" s="265">
        <v>830538.0</v>
      </c>
      <c r="D144" s="265">
        <v>1.1265875E7</v>
      </c>
      <c r="E144" s="273" t="s">
        <v>2295</v>
      </c>
      <c r="F144" s="265">
        <v>2175.0</v>
      </c>
      <c r="G144" s="265">
        <v>1541327.0</v>
      </c>
      <c r="H144" s="265" t="s">
        <v>441</v>
      </c>
      <c r="I144" s="265" t="s">
        <v>2316</v>
      </c>
      <c r="J144" s="308"/>
      <c r="K144" s="308"/>
      <c r="L144" s="273" t="s">
        <v>2298</v>
      </c>
      <c r="M144" s="348"/>
      <c r="N144" s="289" t="s">
        <v>2323</v>
      </c>
      <c r="O144" s="323"/>
      <c r="P144" s="323"/>
      <c r="Q144" s="323"/>
      <c r="R144" s="323"/>
      <c r="S144" s="323"/>
      <c r="T144" s="323"/>
      <c r="U144" s="323"/>
      <c r="V144" s="323"/>
    </row>
    <row r="145" hidden="1">
      <c r="A145" s="343">
        <v>45933.0</v>
      </c>
      <c r="B145" s="273" t="s">
        <v>2562</v>
      </c>
      <c r="C145" s="265">
        <v>830707.0</v>
      </c>
      <c r="D145" s="265">
        <v>1.1277335E7</v>
      </c>
      <c r="E145" s="273" t="s">
        <v>2379</v>
      </c>
      <c r="F145" s="265">
        <v>2177.0</v>
      </c>
      <c r="G145" s="265">
        <v>1542489.0</v>
      </c>
      <c r="H145" s="265" t="s">
        <v>1095</v>
      </c>
      <c r="I145" s="265" t="s">
        <v>2645</v>
      </c>
      <c r="J145" s="308"/>
      <c r="K145" s="308"/>
      <c r="L145" s="273" t="s">
        <v>2298</v>
      </c>
      <c r="M145" s="348"/>
      <c r="N145" s="289" t="s">
        <v>2323</v>
      </c>
      <c r="O145" s="323"/>
      <c r="P145" s="323"/>
      <c r="Q145" s="323"/>
      <c r="R145" s="323"/>
      <c r="S145" s="323"/>
      <c r="T145" s="323"/>
      <c r="U145" s="323"/>
      <c r="V145" s="323"/>
    </row>
    <row r="146" hidden="1">
      <c r="A146" s="343">
        <v>45933.0</v>
      </c>
      <c r="B146" s="273" t="s">
        <v>2537</v>
      </c>
      <c r="C146" s="265">
        <v>830807.0</v>
      </c>
      <c r="D146" s="265">
        <v>1.1273311E7</v>
      </c>
      <c r="E146" s="273" t="s">
        <v>2295</v>
      </c>
      <c r="F146" s="265">
        <v>2180.0</v>
      </c>
      <c r="G146" s="265">
        <v>1543036.0</v>
      </c>
      <c r="H146" s="265" t="s">
        <v>1187</v>
      </c>
      <c r="I146" s="265" t="s">
        <v>2427</v>
      </c>
      <c r="J146" s="308"/>
      <c r="K146" s="308"/>
      <c r="L146" s="273" t="s">
        <v>2298</v>
      </c>
      <c r="M146" s="356" t="s">
        <v>2629</v>
      </c>
      <c r="N146" s="289" t="s">
        <v>2323</v>
      </c>
      <c r="O146" s="323"/>
      <c r="P146" s="323"/>
      <c r="Q146" s="323"/>
      <c r="R146" s="323"/>
      <c r="S146" s="323"/>
      <c r="T146" s="323"/>
      <c r="U146" s="323"/>
      <c r="V146" s="323"/>
    </row>
    <row r="147" hidden="1">
      <c r="A147" s="343">
        <v>45964.0</v>
      </c>
      <c r="B147" s="273" t="s">
        <v>2676</v>
      </c>
      <c r="C147" s="265">
        <v>831477.0</v>
      </c>
      <c r="D147" s="265">
        <v>1.126507E7</v>
      </c>
      <c r="E147" s="273" t="s">
        <v>2333</v>
      </c>
      <c r="F147" s="265">
        <v>2172.0</v>
      </c>
      <c r="G147" s="265">
        <v>1540397.0</v>
      </c>
      <c r="H147" s="265" t="s">
        <v>1017</v>
      </c>
      <c r="I147" s="265" t="s">
        <v>2639</v>
      </c>
      <c r="J147" s="308"/>
      <c r="K147" s="308"/>
      <c r="L147" s="273" t="s">
        <v>2298</v>
      </c>
      <c r="M147" s="356" t="s">
        <v>2677</v>
      </c>
      <c r="N147" s="289" t="s">
        <v>2323</v>
      </c>
      <c r="O147" s="323"/>
      <c r="P147" s="323"/>
      <c r="Q147" s="323"/>
      <c r="R147" s="323"/>
      <c r="S147" s="323"/>
      <c r="T147" s="323"/>
      <c r="U147" s="323"/>
      <c r="V147" s="323"/>
    </row>
    <row r="148" hidden="1">
      <c r="A148" s="343">
        <v>45964.0</v>
      </c>
      <c r="B148" s="273" t="s">
        <v>1154</v>
      </c>
      <c r="C148" s="265">
        <v>831508.0</v>
      </c>
      <c r="D148" s="265">
        <v>1.1277335E7</v>
      </c>
      <c r="E148" s="273" t="s">
        <v>2379</v>
      </c>
      <c r="F148" s="265">
        <v>2177.0</v>
      </c>
      <c r="G148" s="175">
        <v>1542489.0</v>
      </c>
      <c r="H148" s="265" t="s">
        <v>1095</v>
      </c>
      <c r="I148" s="265" t="s">
        <v>2645</v>
      </c>
      <c r="J148" s="273" t="s">
        <v>2678</v>
      </c>
      <c r="K148" s="308"/>
      <c r="L148" s="273" t="s">
        <v>2298</v>
      </c>
      <c r="M148" s="348"/>
      <c r="N148" s="289" t="s">
        <v>2323</v>
      </c>
      <c r="O148" s="323"/>
      <c r="P148" s="323"/>
      <c r="Q148" s="323"/>
      <c r="R148" s="323"/>
      <c r="S148" s="323"/>
      <c r="T148" s="323"/>
      <c r="U148" s="323"/>
      <c r="V148" s="323"/>
    </row>
    <row r="149" hidden="1">
      <c r="A149" s="343">
        <v>45964.0</v>
      </c>
      <c r="B149" s="273" t="s">
        <v>1154</v>
      </c>
      <c r="C149" s="265">
        <v>831620.0</v>
      </c>
      <c r="D149" s="265">
        <v>1.1258782E7</v>
      </c>
      <c r="E149" s="273" t="s">
        <v>2679</v>
      </c>
      <c r="F149" s="265">
        <v>2170.0</v>
      </c>
      <c r="G149" s="265">
        <v>1539432.0</v>
      </c>
      <c r="H149" s="265" t="s">
        <v>1149</v>
      </c>
      <c r="I149" s="265" t="s">
        <v>2381</v>
      </c>
      <c r="J149" s="273" t="s">
        <v>2680</v>
      </c>
      <c r="K149" s="308"/>
      <c r="L149" s="273" t="s">
        <v>2298</v>
      </c>
      <c r="M149" s="348"/>
      <c r="N149" s="289" t="s">
        <v>2323</v>
      </c>
      <c r="O149" s="323"/>
      <c r="P149" s="323"/>
      <c r="Q149" s="323"/>
      <c r="R149" s="323"/>
      <c r="S149" s="323"/>
      <c r="T149" s="323"/>
      <c r="U149" s="323"/>
      <c r="V149" s="323"/>
    </row>
    <row r="150" hidden="1">
      <c r="A150" s="343">
        <v>45964.0</v>
      </c>
      <c r="B150" s="273" t="s">
        <v>2078</v>
      </c>
      <c r="C150" s="265">
        <v>831670.0</v>
      </c>
      <c r="D150" s="265">
        <v>1.1277335E7</v>
      </c>
      <c r="E150" s="273" t="s">
        <v>2379</v>
      </c>
      <c r="F150" s="265">
        <v>2177.0</v>
      </c>
      <c r="G150" s="175">
        <v>1542489.0</v>
      </c>
      <c r="H150" s="265" t="s">
        <v>1095</v>
      </c>
      <c r="I150" s="265" t="s">
        <v>2645</v>
      </c>
      <c r="J150" s="308"/>
      <c r="K150" s="308"/>
      <c r="L150" s="273" t="s">
        <v>2298</v>
      </c>
      <c r="M150" s="356" t="s">
        <v>2651</v>
      </c>
      <c r="N150" s="289" t="s">
        <v>2323</v>
      </c>
      <c r="O150" s="323"/>
      <c r="P150" s="323"/>
      <c r="Q150" s="323"/>
      <c r="R150" s="323"/>
      <c r="S150" s="323"/>
      <c r="T150" s="323"/>
      <c r="U150" s="323"/>
      <c r="V150" s="323"/>
    </row>
    <row r="151" hidden="1">
      <c r="A151" s="343">
        <v>45964.0</v>
      </c>
      <c r="B151" s="273" t="s">
        <v>2537</v>
      </c>
      <c r="C151" s="265">
        <v>829736.0</v>
      </c>
      <c r="D151" s="265">
        <v>1.1250303E7</v>
      </c>
      <c r="E151" s="273" t="s">
        <v>2549</v>
      </c>
      <c r="F151" s="265">
        <v>511482.0</v>
      </c>
      <c r="G151" s="175">
        <v>1539200.0</v>
      </c>
      <c r="H151" s="265" t="s">
        <v>962</v>
      </c>
      <c r="I151" s="265" t="s">
        <v>1969</v>
      </c>
      <c r="J151" s="273" t="s">
        <v>2681</v>
      </c>
      <c r="K151" s="308"/>
      <c r="L151" s="273" t="s">
        <v>2298</v>
      </c>
      <c r="M151" s="348"/>
      <c r="N151" s="289" t="s">
        <v>2323</v>
      </c>
      <c r="O151" s="323"/>
      <c r="P151" s="323"/>
      <c r="Q151" s="323"/>
      <c r="R151" s="323"/>
      <c r="S151" s="323"/>
      <c r="T151" s="323"/>
      <c r="U151" s="323"/>
      <c r="V151" s="323"/>
    </row>
    <row r="152" hidden="1">
      <c r="A152" s="343">
        <v>45994.0</v>
      </c>
      <c r="B152" s="273" t="s">
        <v>2682</v>
      </c>
      <c r="C152" s="265">
        <v>832415.0</v>
      </c>
      <c r="D152" s="265">
        <v>1.126507E7</v>
      </c>
      <c r="E152" s="273" t="s">
        <v>2333</v>
      </c>
      <c r="F152" s="265">
        <v>2172.0</v>
      </c>
      <c r="G152" s="265">
        <v>1540397.0</v>
      </c>
      <c r="H152" s="265" t="s">
        <v>1017</v>
      </c>
      <c r="I152" s="265" t="s">
        <v>2639</v>
      </c>
      <c r="J152" s="273" t="s">
        <v>2683</v>
      </c>
      <c r="K152" s="273" t="s">
        <v>2684</v>
      </c>
      <c r="L152" s="273" t="s">
        <v>2298</v>
      </c>
      <c r="M152" s="348"/>
      <c r="N152" s="289" t="s">
        <v>2323</v>
      </c>
      <c r="O152" s="323"/>
      <c r="P152" s="323"/>
      <c r="Q152" s="323"/>
      <c r="R152" s="323"/>
      <c r="S152" s="323"/>
      <c r="T152" s="323"/>
      <c r="U152" s="323"/>
      <c r="V152" s="323"/>
    </row>
    <row r="153" hidden="1">
      <c r="A153" s="343">
        <v>45994.0</v>
      </c>
      <c r="B153" s="273" t="s">
        <v>2537</v>
      </c>
      <c r="C153" s="265">
        <v>832540.0</v>
      </c>
      <c r="D153" s="265">
        <v>1.1273314E7</v>
      </c>
      <c r="E153" s="273" t="s">
        <v>2327</v>
      </c>
      <c r="F153" s="265">
        <v>512544.0</v>
      </c>
      <c r="G153" s="265">
        <v>1544248.0</v>
      </c>
      <c r="H153" s="265" t="s">
        <v>1187</v>
      </c>
      <c r="I153" s="265" t="s">
        <v>2427</v>
      </c>
      <c r="J153" s="273" t="s">
        <v>2685</v>
      </c>
      <c r="K153" s="273" t="s">
        <v>2684</v>
      </c>
      <c r="L153" s="273" t="s">
        <v>2298</v>
      </c>
      <c r="M153" s="348"/>
      <c r="N153" s="289" t="s">
        <v>2323</v>
      </c>
      <c r="O153" s="323"/>
      <c r="P153" s="323"/>
      <c r="Q153" s="323"/>
      <c r="R153" s="323"/>
      <c r="S153" s="323"/>
      <c r="T153" s="323"/>
      <c r="U153" s="323"/>
      <c r="V153" s="323"/>
    </row>
    <row r="154" hidden="1">
      <c r="A154" s="273" t="s">
        <v>1252</v>
      </c>
      <c r="B154" s="273" t="s">
        <v>2537</v>
      </c>
      <c r="C154" s="265">
        <v>832948.0</v>
      </c>
      <c r="D154" s="265">
        <v>1.1277551E7</v>
      </c>
      <c r="E154" s="273" t="s">
        <v>2295</v>
      </c>
      <c r="F154" s="265">
        <v>2182.0</v>
      </c>
      <c r="G154" s="265">
        <v>1544751.0</v>
      </c>
      <c r="H154" s="265" t="s">
        <v>1095</v>
      </c>
      <c r="I154" s="265" t="s">
        <v>2645</v>
      </c>
      <c r="J154" s="308"/>
      <c r="K154" s="308"/>
      <c r="L154" s="273" t="s">
        <v>2298</v>
      </c>
      <c r="M154" s="356" t="s">
        <v>2686</v>
      </c>
      <c r="N154" s="289" t="s">
        <v>2323</v>
      </c>
      <c r="O154" s="323"/>
      <c r="P154" s="323"/>
      <c r="Q154" s="323"/>
      <c r="R154" s="323"/>
      <c r="S154" s="323"/>
      <c r="T154" s="323"/>
      <c r="U154" s="323"/>
      <c r="V154" s="323"/>
    </row>
    <row r="155" hidden="1">
      <c r="A155" s="273" t="s">
        <v>1252</v>
      </c>
      <c r="B155" s="273" t="s">
        <v>2537</v>
      </c>
      <c r="C155" s="265">
        <v>833219.0</v>
      </c>
      <c r="D155" s="265">
        <v>1.1277476E7</v>
      </c>
      <c r="E155" s="273" t="s">
        <v>2295</v>
      </c>
      <c r="F155" s="265">
        <v>2181.0</v>
      </c>
      <c r="G155" s="265">
        <v>1544699.0</v>
      </c>
      <c r="H155" s="265" t="s">
        <v>494</v>
      </c>
      <c r="I155" s="265" t="s">
        <v>2596</v>
      </c>
      <c r="J155" s="308"/>
      <c r="K155" s="308"/>
      <c r="L155" s="273" t="s">
        <v>2298</v>
      </c>
      <c r="M155" s="348"/>
      <c r="N155" s="289" t="s">
        <v>2323</v>
      </c>
      <c r="O155" s="323"/>
      <c r="P155" s="323"/>
      <c r="Q155" s="323"/>
      <c r="R155" s="323"/>
      <c r="S155" s="323"/>
      <c r="T155" s="323"/>
      <c r="U155" s="323"/>
      <c r="V155" s="323"/>
    </row>
    <row r="156" hidden="1">
      <c r="A156" s="273" t="s">
        <v>1252</v>
      </c>
      <c r="B156" s="294" t="s">
        <v>1084</v>
      </c>
      <c r="C156" s="284">
        <v>833320.0</v>
      </c>
      <c r="D156" s="284">
        <v>1.1277488E7</v>
      </c>
      <c r="E156" s="294" t="s">
        <v>2295</v>
      </c>
      <c r="F156" s="284">
        <v>2182.0</v>
      </c>
      <c r="G156" s="284">
        <v>1545273.0</v>
      </c>
      <c r="H156" s="284" t="s">
        <v>83</v>
      </c>
      <c r="I156" s="284" t="s">
        <v>2376</v>
      </c>
      <c r="J156" s="347"/>
      <c r="K156" s="347"/>
      <c r="L156" s="273" t="s">
        <v>2298</v>
      </c>
      <c r="M156" s="356" t="s">
        <v>2629</v>
      </c>
      <c r="N156" s="289" t="s">
        <v>2323</v>
      </c>
      <c r="O156" s="323"/>
      <c r="P156" s="323"/>
      <c r="Q156" s="323"/>
      <c r="R156" s="323"/>
      <c r="S156" s="323"/>
      <c r="T156" s="323"/>
      <c r="U156" s="323"/>
      <c r="V156" s="323"/>
    </row>
    <row r="157" hidden="1">
      <c r="A157" s="273" t="s">
        <v>1277</v>
      </c>
      <c r="B157" s="273" t="s">
        <v>2537</v>
      </c>
      <c r="C157" s="265">
        <v>834200.0</v>
      </c>
      <c r="D157" s="265">
        <v>1.1277553E7</v>
      </c>
      <c r="E157" s="273" t="s">
        <v>2327</v>
      </c>
      <c r="F157" s="265">
        <v>513227.0</v>
      </c>
      <c r="G157" s="265">
        <v>1546341.0</v>
      </c>
      <c r="H157" s="265" t="s">
        <v>1095</v>
      </c>
      <c r="I157" s="265" t="s">
        <v>2645</v>
      </c>
      <c r="J157" s="308"/>
      <c r="K157" s="308"/>
      <c r="L157" s="294" t="s">
        <v>2298</v>
      </c>
      <c r="M157" s="360" t="s">
        <v>2629</v>
      </c>
      <c r="N157" s="289" t="s">
        <v>2323</v>
      </c>
      <c r="O157" s="323"/>
      <c r="P157" s="323"/>
      <c r="Q157" s="323"/>
      <c r="R157" s="323"/>
      <c r="S157" s="323"/>
      <c r="T157" s="323"/>
      <c r="U157" s="323"/>
      <c r="V157" s="323"/>
    </row>
    <row r="158" hidden="1">
      <c r="A158" s="273" t="s">
        <v>1277</v>
      </c>
      <c r="B158" s="273" t="s">
        <v>1154</v>
      </c>
      <c r="C158" s="265">
        <v>834212.0</v>
      </c>
      <c r="D158" s="265">
        <v>1.1289305E7</v>
      </c>
      <c r="E158" s="273" t="s">
        <v>2379</v>
      </c>
      <c r="F158" s="265">
        <v>2185.0</v>
      </c>
      <c r="G158" s="265">
        <v>1545998.0</v>
      </c>
      <c r="H158" s="265" t="s">
        <v>1225</v>
      </c>
      <c r="I158" s="265" t="s">
        <v>1974</v>
      </c>
      <c r="J158" s="273" t="s">
        <v>2650</v>
      </c>
      <c r="K158" s="308"/>
      <c r="L158" s="294" t="s">
        <v>2298</v>
      </c>
      <c r="M158" s="361"/>
      <c r="N158" s="289" t="s">
        <v>2323</v>
      </c>
      <c r="O158" s="323"/>
      <c r="P158" s="323"/>
      <c r="Q158" s="323"/>
      <c r="R158" s="323"/>
      <c r="S158" s="323"/>
      <c r="T158" s="323"/>
      <c r="U158" s="323"/>
      <c r="V158" s="323"/>
    </row>
    <row r="159" hidden="1">
      <c r="A159" s="273" t="s">
        <v>1277</v>
      </c>
      <c r="B159" s="273" t="s">
        <v>2078</v>
      </c>
      <c r="C159" s="265">
        <v>834213.0</v>
      </c>
      <c r="D159" s="265">
        <v>1.1289305E7</v>
      </c>
      <c r="E159" s="273" t="s">
        <v>2379</v>
      </c>
      <c r="F159" s="265">
        <v>2185.0</v>
      </c>
      <c r="G159" s="265">
        <v>1545998.0</v>
      </c>
      <c r="H159" s="265" t="s">
        <v>1225</v>
      </c>
      <c r="I159" s="265" t="s">
        <v>1974</v>
      </c>
      <c r="J159" s="308"/>
      <c r="K159" s="308"/>
      <c r="L159" s="273" t="s">
        <v>2298</v>
      </c>
      <c r="M159" s="360" t="s">
        <v>2620</v>
      </c>
      <c r="N159" s="289" t="s">
        <v>2323</v>
      </c>
      <c r="O159" s="323"/>
      <c r="P159" s="323"/>
      <c r="Q159" s="323"/>
      <c r="R159" s="323"/>
      <c r="S159" s="323"/>
      <c r="T159" s="323"/>
      <c r="U159" s="323"/>
      <c r="V159" s="323"/>
    </row>
    <row r="160" hidden="1">
      <c r="A160" s="273" t="s">
        <v>1277</v>
      </c>
      <c r="B160" s="273" t="s">
        <v>1084</v>
      </c>
      <c r="C160" s="265">
        <v>834244.0</v>
      </c>
      <c r="D160" s="265">
        <v>1.1277477E7</v>
      </c>
      <c r="E160" s="273" t="s">
        <v>2295</v>
      </c>
      <c r="F160" s="265">
        <v>2184.0</v>
      </c>
      <c r="G160" s="265">
        <v>1545210.0</v>
      </c>
      <c r="H160" s="265" t="s">
        <v>962</v>
      </c>
      <c r="I160" s="265" t="s">
        <v>1969</v>
      </c>
      <c r="J160" s="308"/>
      <c r="K160" s="308"/>
      <c r="L160" s="273" t="s">
        <v>2298</v>
      </c>
      <c r="M160" s="360" t="s">
        <v>2629</v>
      </c>
      <c r="N160" s="289" t="s">
        <v>2323</v>
      </c>
      <c r="O160" s="323"/>
      <c r="P160" s="323"/>
      <c r="Q160" s="323"/>
      <c r="R160" s="323"/>
      <c r="S160" s="323"/>
      <c r="T160" s="323"/>
      <c r="U160" s="323"/>
      <c r="V160" s="323"/>
    </row>
    <row r="161" hidden="1">
      <c r="A161" s="273" t="s">
        <v>1269</v>
      </c>
      <c r="B161" s="273" t="s">
        <v>1154</v>
      </c>
      <c r="C161" s="265">
        <v>836478.0</v>
      </c>
      <c r="D161" s="265">
        <v>1.1286108E7</v>
      </c>
      <c r="E161" s="273" t="s">
        <v>2335</v>
      </c>
      <c r="F161" s="265">
        <v>2190.0</v>
      </c>
      <c r="G161" s="265">
        <v>1547551.0</v>
      </c>
      <c r="H161" s="265" t="s">
        <v>1095</v>
      </c>
      <c r="I161" s="265" t="s">
        <v>2645</v>
      </c>
      <c r="J161" s="273" t="s">
        <v>2687</v>
      </c>
      <c r="K161" s="308"/>
      <c r="L161" s="273" t="s">
        <v>2298</v>
      </c>
      <c r="M161" s="361"/>
      <c r="N161" s="289" t="s">
        <v>2323</v>
      </c>
      <c r="O161" s="323"/>
      <c r="P161" s="323"/>
      <c r="Q161" s="323"/>
      <c r="R161" s="323"/>
      <c r="S161" s="323"/>
      <c r="T161" s="323"/>
      <c r="U161" s="323"/>
      <c r="V161" s="323"/>
    </row>
    <row r="162" hidden="1">
      <c r="A162" s="273" t="s">
        <v>1269</v>
      </c>
      <c r="B162" s="273" t="s">
        <v>2537</v>
      </c>
      <c r="C162" s="265">
        <v>836611.0</v>
      </c>
      <c r="D162" s="265">
        <v>1.1289492E7</v>
      </c>
      <c r="E162" s="273" t="s">
        <v>2333</v>
      </c>
      <c r="F162" s="265">
        <v>2187.0</v>
      </c>
      <c r="G162" s="265">
        <v>1547169.0</v>
      </c>
      <c r="H162" s="265" t="s">
        <v>974</v>
      </c>
      <c r="I162" s="265" t="s">
        <v>2688</v>
      </c>
      <c r="J162" s="308"/>
      <c r="K162" s="308"/>
      <c r="L162" s="273" t="s">
        <v>2557</v>
      </c>
      <c r="M162" s="360" t="s">
        <v>2629</v>
      </c>
      <c r="N162" s="289" t="s">
        <v>2323</v>
      </c>
      <c r="O162" s="323"/>
      <c r="P162" s="323"/>
      <c r="Q162" s="323"/>
      <c r="R162" s="323"/>
      <c r="S162" s="323"/>
      <c r="T162" s="323"/>
      <c r="U162" s="323"/>
      <c r="V162" s="323"/>
    </row>
    <row r="163" hidden="1">
      <c r="A163" s="273" t="s">
        <v>1269</v>
      </c>
      <c r="B163" s="273" t="s">
        <v>2537</v>
      </c>
      <c r="C163" s="265">
        <v>836622.0</v>
      </c>
      <c r="D163" s="265">
        <v>1.1277554E7</v>
      </c>
      <c r="E163" s="273" t="s">
        <v>2327</v>
      </c>
      <c r="F163" s="265">
        <v>513706.0</v>
      </c>
      <c r="G163" s="265">
        <v>1548665.0</v>
      </c>
      <c r="H163" s="265" t="s">
        <v>1225</v>
      </c>
      <c r="I163" s="265" t="s">
        <v>1974</v>
      </c>
      <c r="J163" s="273" t="s">
        <v>2574</v>
      </c>
      <c r="K163" s="273" t="s">
        <v>2689</v>
      </c>
      <c r="L163" s="273" t="s">
        <v>2298</v>
      </c>
      <c r="M163" s="361"/>
      <c r="N163" s="289" t="s">
        <v>2323</v>
      </c>
      <c r="O163" s="323"/>
      <c r="P163" s="323"/>
      <c r="Q163" s="323"/>
      <c r="R163" s="323"/>
      <c r="S163" s="323"/>
      <c r="T163" s="323"/>
      <c r="U163" s="323"/>
      <c r="V163" s="323"/>
    </row>
    <row r="164" hidden="1">
      <c r="A164" s="273" t="s">
        <v>1291</v>
      </c>
      <c r="B164" s="273" t="s">
        <v>2537</v>
      </c>
      <c r="C164" s="265">
        <v>837055.0</v>
      </c>
      <c r="D164" s="265">
        <v>1.1293024E7</v>
      </c>
      <c r="E164" s="273" t="s">
        <v>2549</v>
      </c>
      <c r="F164" s="265">
        <v>513876.0</v>
      </c>
      <c r="G164" s="265">
        <v>1549349.0</v>
      </c>
      <c r="H164" s="265" t="s">
        <v>1187</v>
      </c>
      <c r="I164" s="265" t="s">
        <v>2427</v>
      </c>
      <c r="J164" s="308"/>
      <c r="K164" s="308"/>
      <c r="L164" s="273" t="s">
        <v>2298</v>
      </c>
      <c r="M164" s="361"/>
      <c r="N164" s="289" t="s">
        <v>2323</v>
      </c>
      <c r="O164" s="323"/>
      <c r="P164" s="323"/>
      <c r="Q164" s="323"/>
      <c r="R164" s="323"/>
      <c r="S164" s="323"/>
      <c r="T164" s="323"/>
      <c r="U164" s="323"/>
      <c r="V164" s="323"/>
    </row>
    <row r="165" hidden="1">
      <c r="A165" s="273" t="s">
        <v>1291</v>
      </c>
      <c r="B165" s="273" t="s">
        <v>2537</v>
      </c>
      <c r="C165" s="265">
        <v>837260.0</v>
      </c>
      <c r="D165" s="265">
        <v>1.1277555E7</v>
      </c>
      <c r="E165" s="273" t="s">
        <v>2327</v>
      </c>
      <c r="F165" s="265">
        <v>513730.0</v>
      </c>
      <c r="G165" s="265">
        <v>1548811.0</v>
      </c>
      <c r="H165" s="265" t="s">
        <v>1149</v>
      </c>
      <c r="I165" s="265" t="s">
        <v>2381</v>
      </c>
      <c r="J165" s="308"/>
      <c r="K165" s="308"/>
      <c r="L165" s="273" t="s">
        <v>2298</v>
      </c>
      <c r="M165" s="361"/>
      <c r="N165" s="289" t="s">
        <v>2323</v>
      </c>
      <c r="O165" s="323"/>
      <c r="P165" s="323"/>
      <c r="Q165" s="323"/>
      <c r="R165" s="323"/>
      <c r="S165" s="323"/>
      <c r="T165" s="323"/>
      <c r="U165" s="323"/>
      <c r="V165" s="323"/>
    </row>
    <row r="166" hidden="1">
      <c r="A166" s="273" t="s">
        <v>1291</v>
      </c>
      <c r="B166" s="273" t="s">
        <v>1084</v>
      </c>
      <c r="C166" s="265">
        <v>837287.0</v>
      </c>
      <c r="D166" s="265">
        <v>1.1292006E7</v>
      </c>
      <c r="E166" s="273" t="s">
        <v>2327</v>
      </c>
      <c r="F166" s="265">
        <v>2191.0</v>
      </c>
      <c r="G166" s="265">
        <v>1548406.0</v>
      </c>
      <c r="H166" s="265" t="s">
        <v>83</v>
      </c>
      <c r="I166" s="265" t="s">
        <v>2376</v>
      </c>
      <c r="J166" s="308"/>
      <c r="K166" s="308"/>
      <c r="L166" s="273" t="s">
        <v>2557</v>
      </c>
      <c r="M166" s="360" t="s">
        <v>2629</v>
      </c>
      <c r="N166" s="289" t="s">
        <v>2323</v>
      </c>
      <c r="O166" s="323"/>
      <c r="P166" s="323"/>
      <c r="Q166" s="323"/>
      <c r="R166" s="323"/>
      <c r="S166" s="323"/>
      <c r="T166" s="323"/>
      <c r="U166" s="323"/>
      <c r="V166" s="323"/>
    </row>
    <row r="167" hidden="1">
      <c r="A167" s="273" t="s">
        <v>1291</v>
      </c>
      <c r="B167" s="273" t="s">
        <v>1084</v>
      </c>
      <c r="C167" s="265">
        <v>837507.0</v>
      </c>
      <c r="D167" s="265">
        <v>1.1292007E7</v>
      </c>
      <c r="E167" s="273" t="s">
        <v>2295</v>
      </c>
      <c r="F167" s="265">
        <v>2192.0</v>
      </c>
      <c r="G167" s="265">
        <v>1548637.0</v>
      </c>
      <c r="H167" s="265" t="s">
        <v>704</v>
      </c>
      <c r="I167" s="265" t="s">
        <v>2361</v>
      </c>
      <c r="J167" s="308"/>
      <c r="K167" s="308"/>
      <c r="L167" s="273" t="s">
        <v>2557</v>
      </c>
      <c r="M167" s="360" t="s">
        <v>2629</v>
      </c>
      <c r="N167" s="289" t="s">
        <v>2323</v>
      </c>
      <c r="O167" s="323"/>
      <c r="P167" s="323"/>
      <c r="Q167" s="323"/>
      <c r="R167" s="323"/>
      <c r="S167" s="323"/>
      <c r="T167" s="323"/>
      <c r="U167" s="323"/>
      <c r="V167" s="323"/>
    </row>
    <row r="168" hidden="1">
      <c r="A168" s="273" t="s">
        <v>1331</v>
      </c>
      <c r="B168" s="273" t="s">
        <v>2537</v>
      </c>
      <c r="C168" s="265">
        <v>839735.0</v>
      </c>
      <c r="D168" s="265">
        <v>1.1300766E7</v>
      </c>
      <c r="E168" s="273" t="s">
        <v>2327</v>
      </c>
      <c r="F168" s="265">
        <v>514426.0</v>
      </c>
      <c r="G168" s="265">
        <v>1552001.0</v>
      </c>
      <c r="H168" s="265" t="s">
        <v>1225</v>
      </c>
      <c r="I168" s="265" t="s">
        <v>1974</v>
      </c>
      <c r="J168" s="308"/>
      <c r="K168" s="308"/>
      <c r="L168" s="273" t="s">
        <v>2557</v>
      </c>
      <c r="M168" s="360" t="s">
        <v>2629</v>
      </c>
      <c r="N168" s="289" t="s">
        <v>2323</v>
      </c>
      <c r="O168" s="323"/>
      <c r="P168" s="323"/>
      <c r="Q168" s="323"/>
      <c r="R168" s="323"/>
      <c r="S168" s="323"/>
      <c r="T168" s="323"/>
      <c r="U168" s="323"/>
      <c r="V168" s="323"/>
    </row>
    <row r="169" hidden="1">
      <c r="A169" s="273" t="s">
        <v>1334</v>
      </c>
      <c r="B169" s="273" t="s">
        <v>1154</v>
      </c>
      <c r="C169" s="265">
        <v>841516.0</v>
      </c>
      <c r="D169" s="265">
        <v>1.1309782E7</v>
      </c>
      <c r="E169" s="273" t="s">
        <v>2380</v>
      </c>
      <c r="F169" s="265">
        <v>2198.0</v>
      </c>
      <c r="G169" s="265">
        <v>1552195.0</v>
      </c>
      <c r="H169" s="265" t="s">
        <v>1095</v>
      </c>
      <c r="I169" s="265" t="s">
        <v>2645</v>
      </c>
      <c r="J169" s="273" t="s">
        <v>2690</v>
      </c>
      <c r="K169" s="308"/>
      <c r="L169" s="273" t="s">
        <v>2298</v>
      </c>
      <c r="M169" s="361"/>
      <c r="N169" s="289" t="s">
        <v>2323</v>
      </c>
      <c r="O169" s="323"/>
      <c r="P169" s="323"/>
      <c r="Q169" s="323"/>
      <c r="R169" s="323"/>
      <c r="S169" s="323"/>
      <c r="T169" s="323"/>
      <c r="U169" s="323"/>
      <c r="V169" s="323"/>
    </row>
    <row r="170" hidden="1">
      <c r="A170" s="273" t="s">
        <v>1337</v>
      </c>
      <c r="B170" s="273" t="s">
        <v>2537</v>
      </c>
      <c r="C170" s="265">
        <v>842290.0</v>
      </c>
      <c r="D170" s="265">
        <v>1.1300765E7</v>
      </c>
      <c r="E170" s="273" t="s">
        <v>2327</v>
      </c>
      <c r="F170" s="265">
        <v>514707.0</v>
      </c>
      <c r="G170" s="265">
        <v>1553352.0</v>
      </c>
      <c r="H170" s="265" t="s">
        <v>1017</v>
      </c>
      <c r="I170" s="265" t="s">
        <v>2639</v>
      </c>
      <c r="J170" s="273" t="s">
        <v>2550</v>
      </c>
      <c r="K170" s="273" t="s">
        <v>2684</v>
      </c>
      <c r="L170" s="273" t="s">
        <v>2298</v>
      </c>
      <c r="M170" s="361"/>
      <c r="N170" s="289" t="s">
        <v>2323</v>
      </c>
      <c r="O170" s="323"/>
      <c r="P170" s="323"/>
      <c r="Q170" s="323"/>
      <c r="R170" s="323"/>
      <c r="S170" s="323"/>
      <c r="T170" s="323"/>
      <c r="U170" s="323"/>
      <c r="V170" s="323"/>
    </row>
    <row r="171" hidden="1">
      <c r="A171" s="273" t="s">
        <v>1337</v>
      </c>
      <c r="B171" s="273" t="s">
        <v>1084</v>
      </c>
      <c r="C171" s="265">
        <v>842686.0</v>
      </c>
      <c r="D171" s="265">
        <v>1.1325509E7</v>
      </c>
      <c r="E171" s="273" t="s">
        <v>2327</v>
      </c>
      <c r="F171" s="265">
        <v>514820.0</v>
      </c>
      <c r="G171" s="265">
        <v>1553802.0</v>
      </c>
      <c r="H171" s="265" t="s">
        <v>1286</v>
      </c>
      <c r="I171" s="265" t="s">
        <v>1883</v>
      </c>
      <c r="J171" s="273" t="s">
        <v>2691</v>
      </c>
      <c r="K171" s="273" t="s">
        <v>2689</v>
      </c>
      <c r="L171" s="273" t="s">
        <v>2298</v>
      </c>
      <c r="M171" s="361"/>
      <c r="N171" s="289" t="s">
        <v>2323</v>
      </c>
      <c r="O171" s="323"/>
      <c r="P171" s="323"/>
      <c r="Q171" s="323"/>
      <c r="R171" s="323"/>
      <c r="S171" s="323"/>
      <c r="T171" s="323"/>
      <c r="U171" s="323"/>
      <c r="V171" s="323"/>
    </row>
    <row r="172" hidden="1">
      <c r="A172" s="273" t="s">
        <v>2692</v>
      </c>
      <c r="B172" s="273" t="s">
        <v>1154</v>
      </c>
      <c r="C172" s="265">
        <v>846319.0</v>
      </c>
      <c r="D172" s="265">
        <v>1.1324853E7</v>
      </c>
      <c r="E172" s="273" t="s">
        <v>2403</v>
      </c>
      <c r="F172" s="265">
        <v>2204.0</v>
      </c>
      <c r="G172" s="265">
        <v>1556724.0</v>
      </c>
      <c r="H172" s="265" t="s">
        <v>1225</v>
      </c>
      <c r="I172" s="265" t="s">
        <v>1974</v>
      </c>
      <c r="J172" s="273" t="s">
        <v>2693</v>
      </c>
      <c r="K172" s="308"/>
      <c r="L172" s="273" t="s">
        <v>2298</v>
      </c>
      <c r="M172" s="361"/>
      <c r="N172" s="289" t="s">
        <v>2323</v>
      </c>
      <c r="O172" s="323"/>
      <c r="P172" s="323"/>
      <c r="Q172" s="323"/>
      <c r="R172" s="323"/>
      <c r="S172" s="323"/>
      <c r="T172" s="323"/>
      <c r="U172" s="323"/>
      <c r="V172" s="323"/>
    </row>
    <row r="173" hidden="1">
      <c r="A173" s="343">
        <v>45692.0</v>
      </c>
      <c r="B173" s="273" t="s">
        <v>1154</v>
      </c>
      <c r="C173" s="265">
        <v>848071.0</v>
      </c>
      <c r="D173" s="265">
        <v>1.1332525E7</v>
      </c>
      <c r="E173" s="273" t="s">
        <v>2511</v>
      </c>
      <c r="F173" s="265">
        <v>2205.0</v>
      </c>
      <c r="G173" s="265">
        <v>1556726.0</v>
      </c>
      <c r="H173" s="265" t="s">
        <v>1017</v>
      </c>
      <c r="I173" s="265" t="s">
        <v>2639</v>
      </c>
      <c r="J173" s="273" t="s">
        <v>2694</v>
      </c>
      <c r="K173" s="308"/>
      <c r="L173" s="273" t="s">
        <v>2695</v>
      </c>
      <c r="M173" s="360" t="s">
        <v>2696</v>
      </c>
      <c r="N173" s="289" t="s">
        <v>2436</v>
      </c>
      <c r="O173" s="323"/>
      <c r="P173" s="323"/>
      <c r="Q173" s="323"/>
      <c r="R173" s="323"/>
      <c r="S173" s="323"/>
      <c r="T173" s="323"/>
      <c r="U173" s="323"/>
      <c r="V173" s="323"/>
    </row>
    <row r="174" hidden="1">
      <c r="A174" s="343">
        <v>45720.0</v>
      </c>
      <c r="B174" s="273" t="s">
        <v>1084</v>
      </c>
      <c r="C174" s="265">
        <v>850072.0</v>
      </c>
      <c r="D174" s="265">
        <v>1.1328138E7</v>
      </c>
      <c r="E174" s="273" t="s">
        <v>2327</v>
      </c>
      <c r="F174" s="265">
        <v>516223.0</v>
      </c>
      <c r="G174" s="265">
        <v>1560724.0</v>
      </c>
      <c r="H174" s="265" t="s">
        <v>1095</v>
      </c>
      <c r="I174" s="265" t="s">
        <v>2645</v>
      </c>
      <c r="J174" s="273" t="s">
        <v>2574</v>
      </c>
      <c r="K174" s="273" t="s">
        <v>2689</v>
      </c>
      <c r="L174" s="273" t="s">
        <v>2298</v>
      </c>
      <c r="M174" s="361"/>
      <c r="N174" s="289" t="s">
        <v>2323</v>
      </c>
      <c r="O174" s="323"/>
      <c r="P174" s="323"/>
      <c r="Q174" s="323"/>
      <c r="R174" s="323"/>
      <c r="S174" s="323"/>
      <c r="T174" s="323"/>
      <c r="U174" s="323"/>
      <c r="V174" s="323"/>
    </row>
    <row r="175" hidden="1">
      <c r="A175" s="343">
        <v>45720.0</v>
      </c>
      <c r="B175" s="273" t="s">
        <v>2537</v>
      </c>
      <c r="C175" s="265">
        <v>851230.0</v>
      </c>
      <c r="D175" s="265">
        <v>1.1328139E7</v>
      </c>
      <c r="E175" s="273" t="s">
        <v>2327</v>
      </c>
      <c r="F175" s="338">
        <v>516270.0</v>
      </c>
      <c r="G175" s="265">
        <v>1560932.0</v>
      </c>
      <c r="H175" s="265" t="s">
        <v>1286</v>
      </c>
      <c r="I175" s="265" t="s">
        <v>1883</v>
      </c>
      <c r="J175" s="273" t="s">
        <v>2697</v>
      </c>
      <c r="K175" s="273" t="s">
        <v>2698</v>
      </c>
      <c r="L175" s="273" t="s">
        <v>2298</v>
      </c>
      <c r="M175" s="361"/>
      <c r="N175" s="289" t="s">
        <v>2323</v>
      </c>
      <c r="O175" s="323"/>
      <c r="P175" s="323"/>
      <c r="Q175" s="323"/>
      <c r="R175" s="323"/>
      <c r="S175" s="323"/>
      <c r="T175" s="323"/>
      <c r="U175" s="323"/>
      <c r="V175" s="323"/>
    </row>
    <row r="176" hidden="1">
      <c r="A176" s="343">
        <v>45812.0</v>
      </c>
      <c r="B176" s="273" t="s">
        <v>1084</v>
      </c>
      <c r="C176" s="265">
        <v>851363.0</v>
      </c>
      <c r="D176" s="265">
        <v>1.133916E7</v>
      </c>
      <c r="E176" s="273" t="s">
        <v>2327</v>
      </c>
      <c r="F176" s="338">
        <v>516540.0</v>
      </c>
      <c r="G176" s="265">
        <v>1562285.0</v>
      </c>
      <c r="H176" s="265" t="s">
        <v>1225</v>
      </c>
      <c r="I176" s="265" t="s">
        <v>1974</v>
      </c>
      <c r="J176" s="273" t="s">
        <v>2699</v>
      </c>
      <c r="K176" s="273" t="s">
        <v>2700</v>
      </c>
      <c r="L176" s="273" t="s">
        <v>2298</v>
      </c>
      <c r="M176" s="361"/>
      <c r="N176" s="289" t="s">
        <v>2323</v>
      </c>
      <c r="O176" s="323"/>
      <c r="P176" s="323"/>
      <c r="Q176" s="323"/>
      <c r="R176" s="323"/>
      <c r="S176" s="323"/>
      <c r="T176" s="323"/>
      <c r="U176" s="323"/>
      <c r="V176" s="323"/>
    </row>
    <row r="177" hidden="1">
      <c r="A177" s="343">
        <v>45812.0</v>
      </c>
      <c r="B177" s="273" t="s">
        <v>1084</v>
      </c>
      <c r="C177" s="265">
        <v>851367.0</v>
      </c>
      <c r="D177" s="265">
        <v>1.1339161E7</v>
      </c>
      <c r="E177" s="273" t="s">
        <v>2327</v>
      </c>
      <c r="F177" s="338">
        <v>516482.0</v>
      </c>
      <c r="G177" s="265">
        <v>1561927.0</v>
      </c>
      <c r="H177" s="265" t="s">
        <v>704</v>
      </c>
      <c r="I177" s="265" t="s">
        <v>2361</v>
      </c>
      <c r="J177" s="273" t="s">
        <v>2699</v>
      </c>
      <c r="K177" s="273" t="s">
        <v>2700</v>
      </c>
      <c r="L177" s="273" t="s">
        <v>2298</v>
      </c>
      <c r="M177" s="361"/>
      <c r="N177" s="289" t="s">
        <v>2323</v>
      </c>
      <c r="O177" s="323"/>
      <c r="P177" s="323"/>
      <c r="Q177" s="323"/>
      <c r="R177" s="323"/>
      <c r="S177" s="323"/>
      <c r="T177" s="323"/>
      <c r="U177" s="323"/>
      <c r="V177" s="323"/>
    </row>
    <row r="178" hidden="1">
      <c r="A178" s="343">
        <v>45842.0</v>
      </c>
      <c r="B178" s="273" t="s">
        <v>2078</v>
      </c>
      <c r="C178" s="265">
        <v>851765.0</v>
      </c>
      <c r="D178" s="265">
        <v>1.1324853E7</v>
      </c>
      <c r="E178" s="273" t="s">
        <v>2403</v>
      </c>
      <c r="F178" s="265">
        <v>2204.0</v>
      </c>
      <c r="G178" s="265">
        <v>1556724.0</v>
      </c>
      <c r="H178" s="265" t="s">
        <v>1225</v>
      </c>
      <c r="I178" s="265" t="s">
        <v>1974</v>
      </c>
      <c r="J178" s="308"/>
      <c r="K178" s="308"/>
      <c r="L178" s="273" t="s">
        <v>2298</v>
      </c>
      <c r="M178" s="361"/>
      <c r="N178" s="289" t="s">
        <v>2323</v>
      </c>
      <c r="O178" s="323"/>
      <c r="P178" s="323"/>
      <c r="Q178" s="323"/>
      <c r="R178" s="323"/>
      <c r="S178" s="323"/>
      <c r="T178" s="323"/>
      <c r="U178" s="323"/>
      <c r="V178" s="323"/>
    </row>
    <row r="179" hidden="1">
      <c r="A179" s="343">
        <v>45873.0</v>
      </c>
      <c r="B179" s="273" t="s">
        <v>1972</v>
      </c>
      <c r="C179" s="265">
        <v>852692.0</v>
      </c>
      <c r="D179" s="265">
        <v>1.135485E7</v>
      </c>
      <c r="E179" s="273" t="s">
        <v>2295</v>
      </c>
      <c r="F179" s="265">
        <v>185766.0</v>
      </c>
      <c r="G179" s="265">
        <v>1562382.0</v>
      </c>
      <c r="H179" s="265" t="s">
        <v>1204</v>
      </c>
      <c r="I179" s="265" t="s">
        <v>2429</v>
      </c>
      <c r="J179" s="273" t="s">
        <v>2701</v>
      </c>
      <c r="K179" s="308"/>
      <c r="L179" s="273" t="s">
        <v>2298</v>
      </c>
      <c r="M179" s="361"/>
      <c r="N179" s="289" t="s">
        <v>2323</v>
      </c>
      <c r="O179" s="323"/>
      <c r="P179" s="323"/>
      <c r="Q179" s="323"/>
      <c r="R179" s="323"/>
      <c r="S179" s="323"/>
      <c r="T179" s="323"/>
      <c r="U179" s="323"/>
      <c r="V179" s="323"/>
    </row>
    <row r="180" hidden="1">
      <c r="A180" s="343">
        <v>45873.0</v>
      </c>
      <c r="B180" s="273" t="s">
        <v>2537</v>
      </c>
      <c r="C180" s="265">
        <v>852855.0</v>
      </c>
      <c r="D180" s="265">
        <v>1.1344826E7</v>
      </c>
      <c r="E180" s="273" t="s">
        <v>2327</v>
      </c>
      <c r="F180" s="265"/>
      <c r="G180" s="265"/>
      <c r="H180" s="265" t="s">
        <v>1095</v>
      </c>
      <c r="I180" s="265" t="s">
        <v>2645</v>
      </c>
      <c r="J180" s="308"/>
      <c r="K180" s="308"/>
      <c r="L180" s="273" t="s">
        <v>2298</v>
      </c>
      <c r="M180" s="360" t="s">
        <v>2702</v>
      </c>
      <c r="N180" s="289" t="s">
        <v>2323</v>
      </c>
      <c r="O180" s="323"/>
      <c r="P180" s="323"/>
      <c r="Q180" s="323"/>
      <c r="R180" s="323"/>
      <c r="S180" s="323"/>
      <c r="T180" s="323"/>
      <c r="U180" s="323"/>
      <c r="V180" s="323"/>
    </row>
    <row r="181" hidden="1">
      <c r="A181" s="343">
        <v>45965.0</v>
      </c>
      <c r="B181" s="273" t="s">
        <v>2537</v>
      </c>
      <c r="C181" s="265">
        <v>855000.0</v>
      </c>
      <c r="D181" s="265">
        <v>1.1344828E7</v>
      </c>
      <c r="E181" s="273" t="s">
        <v>2327</v>
      </c>
      <c r="F181" s="265">
        <v>516670.0</v>
      </c>
      <c r="G181" s="265">
        <v>1563051.0</v>
      </c>
      <c r="H181" s="265" t="s">
        <v>1095</v>
      </c>
      <c r="I181" s="265" t="s">
        <v>2645</v>
      </c>
      <c r="J181" s="273" t="s">
        <v>2697</v>
      </c>
      <c r="K181" s="273" t="s">
        <v>2703</v>
      </c>
      <c r="L181" s="273" t="s">
        <v>2298</v>
      </c>
      <c r="M181" s="361"/>
      <c r="N181" s="289" t="s">
        <v>2323</v>
      </c>
      <c r="O181" s="323"/>
      <c r="P181" s="323"/>
      <c r="Q181" s="323"/>
      <c r="R181" s="323"/>
      <c r="S181" s="323"/>
      <c r="T181" s="323"/>
      <c r="U181" s="323"/>
      <c r="V181" s="323"/>
    </row>
    <row r="182" hidden="1">
      <c r="A182" s="343">
        <v>45904.0</v>
      </c>
      <c r="B182" s="273" t="s">
        <v>2562</v>
      </c>
      <c r="C182" s="265">
        <v>853556.0</v>
      </c>
      <c r="D182" s="265">
        <v>1.1355313E7</v>
      </c>
      <c r="E182" s="273" t="s">
        <v>2379</v>
      </c>
      <c r="F182" s="265">
        <v>2211.0</v>
      </c>
      <c r="G182" s="265">
        <v>1564258.0</v>
      </c>
      <c r="H182" s="265" t="s">
        <v>1286</v>
      </c>
      <c r="I182" s="265" t="s">
        <v>1883</v>
      </c>
      <c r="J182" s="308"/>
      <c r="K182" s="308"/>
      <c r="L182" s="273" t="s">
        <v>2298</v>
      </c>
      <c r="M182" s="360" t="s">
        <v>2629</v>
      </c>
      <c r="N182" s="289" t="s">
        <v>2323</v>
      </c>
      <c r="O182" s="323"/>
      <c r="P182" s="323"/>
      <c r="Q182" s="323"/>
      <c r="R182" s="323"/>
      <c r="S182" s="323"/>
      <c r="T182" s="323"/>
      <c r="U182" s="323"/>
      <c r="V182" s="323"/>
    </row>
    <row r="183" hidden="1">
      <c r="A183" s="343">
        <v>45965.0</v>
      </c>
      <c r="B183" s="273" t="s">
        <v>1154</v>
      </c>
      <c r="C183" s="265">
        <v>855004.0</v>
      </c>
      <c r="D183" s="265">
        <v>1.1355313E7</v>
      </c>
      <c r="E183" s="273" t="s">
        <v>2379</v>
      </c>
      <c r="F183" s="265">
        <v>2211.0</v>
      </c>
      <c r="G183" s="265">
        <v>1564258.0</v>
      </c>
      <c r="H183" s="265" t="s">
        <v>1286</v>
      </c>
      <c r="I183" s="265" t="s">
        <v>1883</v>
      </c>
      <c r="J183" s="273" t="s">
        <v>2650</v>
      </c>
      <c r="K183" s="308"/>
      <c r="L183" s="273" t="s">
        <v>2704</v>
      </c>
      <c r="M183" s="361"/>
      <c r="N183" s="289" t="s">
        <v>2323</v>
      </c>
      <c r="O183" s="323"/>
      <c r="P183" s="323"/>
      <c r="Q183" s="323"/>
      <c r="R183" s="323"/>
      <c r="S183" s="323"/>
      <c r="T183" s="323"/>
      <c r="U183" s="323"/>
      <c r="V183" s="323"/>
    </row>
    <row r="184" hidden="1">
      <c r="A184" s="343">
        <v>45965.0</v>
      </c>
      <c r="B184" s="273" t="s">
        <v>2078</v>
      </c>
      <c r="C184" s="265">
        <v>855138.0</v>
      </c>
      <c r="D184" s="265">
        <v>1.1355313E7</v>
      </c>
      <c r="E184" s="273" t="s">
        <v>2379</v>
      </c>
      <c r="F184" s="265">
        <v>2211.0</v>
      </c>
      <c r="G184" s="265">
        <v>1564258.0</v>
      </c>
      <c r="H184" s="265" t="s">
        <v>1286</v>
      </c>
      <c r="I184" s="265" t="s">
        <v>1883</v>
      </c>
      <c r="J184" s="273"/>
      <c r="K184" s="308"/>
      <c r="L184" s="273" t="s">
        <v>2298</v>
      </c>
      <c r="M184" s="361"/>
      <c r="N184" s="289" t="s">
        <v>2323</v>
      </c>
      <c r="O184" s="323"/>
      <c r="P184" s="323"/>
      <c r="Q184" s="323"/>
      <c r="R184" s="323"/>
      <c r="S184" s="323"/>
      <c r="T184" s="323"/>
      <c r="U184" s="323"/>
      <c r="V184" s="323"/>
    </row>
    <row r="185" hidden="1">
      <c r="A185" s="343">
        <v>45904.0</v>
      </c>
      <c r="B185" s="273" t="s">
        <v>1154</v>
      </c>
      <c r="C185" s="265">
        <v>853639.0</v>
      </c>
      <c r="D185" s="265">
        <v>1.1355314E7</v>
      </c>
      <c r="E185" s="273" t="s">
        <v>2379</v>
      </c>
      <c r="F185" s="265">
        <v>2210.0</v>
      </c>
      <c r="G185" s="265">
        <v>1563754.0</v>
      </c>
      <c r="H185" s="265" t="s">
        <v>1149</v>
      </c>
      <c r="I185" s="265" t="s">
        <v>2381</v>
      </c>
      <c r="J185" s="273" t="s">
        <v>2650</v>
      </c>
      <c r="K185" s="308"/>
      <c r="L185" s="273" t="s">
        <v>2298</v>
      </c>
      <c r="M185" s="361"/>
      <c r="N185" s="289" t="s">
        <v>2323</v>
      </c>
      <c r="O185" s="323"/>
      <c r="P185" s="323"/>
      <c r="Q185" s="323"/>
      <c r="R185" s="323"/>
      <c r="S185" s="323"/>
      <c r="T185" s="323"/>
      <c r="U185" s="323"/>
      <c r="V185" s="323"/>
    </row>
    <row r="186" hidden="1">
      <c r="A186" s="343">
        <v>45904.0</v>
      </c>
      <c r="B186" s="273" t="s">
        <v>2078</v>
      </c>
      <c r="C186" s="265">
        <v>853643.0</v>
      </c>
      <c r="D186" s="265">
        <v>1.1355314E7</v>
      </c>
      <c r="E186" s="273" t="s">
        <v>2379</v>
      </c>
      <c r="F186" s="265">
        <v>2210.0</v>
      </c>
      <c r="G186" s="265">
        <v>1563754.0</v>
      </c>
      <c r="H186" s="265" t="s">
        <v>1149</v>
      </c>
      <c r="I186" s="265" t="s">
        <v>2381</v>
      </c>
      <c r="J186" s="308"/>
      <c r="K186" s="308"/>
      <c r="L186" s="273" t="s">
        <v>2298</v>
      </c>
      <c r="M186" s="361"/>
      <c r="N186" s="289" t="s">
        <v>2323</v>
      </c>
      <c r="O186" s="323"/>
      <c r="P186" s="323"/>
      <c r="Q186" s="323"/>
      <c r="R186" s="323"/>
      <c r="S186" s="323"/>
      <c r="T186" s="323"/>
      <c r="U186" s="323"/>
      <c r="V186" s="323"/>
    </row>
    <row r="187" hidden="1">
      <c r="A187" s="273" t="s">
        <v>1415</v>
      </c>
      <c r="B187" s="273" t="s">
        <v>1154</v>
      </c>
      <c r="C187" s="265">
        <v>858141.0</v>
      </c>
      <c r="D187" s="265">
        <v>1.1367914E7</v>
      </c>
      <c r="E187" s="273" t="s">
        <v>2379</v>
      </c>
      <c r="F187" s="265">
        <v>2216.0</v>
      </c>
      <c r="G187" s="265">
        <v>1568386.0</v>
      </c>
      <c r="H187" s="265" t="s">
        <v>913</v>
      </c>
      <c r="I187" s="265" t="s">
        <v>2454</v>
      </c>
      <c r="J187" s="273" t="s">
        <v>2705</v>
      </c>
      <c r="K187" s="308"/>
      <c r="L187" s="273" t="s">
        <v>2298</v>
      </c>
      <c r="M187" s="360" t="s">
        <v>2706</v>
      </c>
      <c r="N187" s="289" t="s">
        <v>2323</v>
      </c>
      <c r="O187" s="323"/>
      <c r="P187" s="323"/>
      <c r="Q187" s="323"/>
      <c r="R187" s="323"/>
      <c r="S187" s="323"/>
      <c r="T187" s="323"/>
      <c r="U187" s="323"/>
      <c r="V187" s="323"/>
    </row>
    <row r="188" hidden="1">
      <c r="A188" s="273" t="s">
        <v>2707</v>
      </c>
      <c r="B188" s="273" t="s">
        <v>2537</v>
      </c>
      <c r="C188" s="265">
        <v>858980.0</v>
      </c>
      <c r="D188" s="265">
        <v>1.1370424E7</v>
      </c>
      <c r="E188" s="273" t="s">
        <v>2327</v>
      </c>
      <c r="F188" s="265">
        <v>517845.0</v>
      </c>
      <c r="G188" s="265">
        <v>1569174.0</v>
      </c>
      <c r="H188" s="265" t="s">
        <v>1095</v>
      </c>
      <c r="I188" s="265" t="s">
        <v>2645</v>
      </c>
      <c r="J188" s="273" t="s">
        <v>2656</v>
      </c>
      <c r="K188" s="273" t="s">
        <v>52</v>
      </c>
      <c r="L188" s="273" t="s">
        <v>2298</v>
      </c>
      <c r="M188" s="360" t="s">
        <v>2708</v>
      </c>
      <c r="N188" s="289" t="s">
        <v>2323</v>
      </c>
      <c r="O188" s="323"/>
      <c r="P188" s="323"/>
      <c r="Q188" s="323"/>
      <c r="R188" s="323"/>
      <c r="S188" s="323"/>
      <c r="T188" s="323"/>
      <c r="U188" s="323"/>
      <c r="V188" s="323"/>
    </row>
    <row r="189" hidden="1">
      <c r="A189" s="273" t="s">
        <v>2707</v>
      </c>
      <c r="B189" s="273" t="s">
        <v>2537</v>
      </c>
      <c r="C189" s="265">
        <v>858916.0</v>
      </c>
      <c r="D189" s="265">
        <v>1.1368489E7</v>
      </c>
      <c r="E189" s="273" t="s">
        <v>2407</v>
      </c>
      <c r="F189" s="265">
        <v>2217.0</v>
      </c>
      <c r="G189" s="265">
        <v>1568577.0</v>
      </c>
      <c r="H189" s="265" t="s">
        <v>546</v>
      </c>
      <c r="I189" s="265" t="s">
        <v>2419</v>
      </c>
      <c r="J189" s="273" t="s">
        <v>2683</v>
      </c>
      <c r="K189" s="308"/>
      <c r="L189" s="273" t="s">
        <v>2298</v>
      </c>
      <c r="M189" s="361"/>
      <c r="N189" s="289" t="s">
        <v>2323</v>
      </c>
      <c r="O189" s="323"/>
      <c r="P189" s="323"/>
      <c r="Q189" s="323"/>
      <c r="R189" s="323"/>
      <c r="S189" s="323"/>
      <c r="T189" s="323"/>
      <c r="U189" s="323"/>
      <c r="V189" s="323"/>
    </row>
    <row r="190" hidden="1">
      <c r="A190" s="273" t="s">
        <v>2709</v>
      </c>
      <c r="B190" s="273" t="s">
        <v>2710</v>
      </c>
      <c r="C190" s="265">
        <v>863288.0</v>
      </c>
      <c r="D190" s="265">
        <v>1.1391986E7</v>
      </c>
      <c r="E190" s="273" t="s">
        <v>2452</v>
      </c>
      <c r="F190" s="265">
        <v>2225.0</v>
      </c>
      <c r="G190" s="265">
        <v>1576346.0</v>
      </c>
      <c r="H190" s="265" t="s">
        <v>1172</v>
      </c>
      <c r="I190" s="265" t="s">
        <v>2660</v>
      </c>
      <c r="J190" s="273" t="s">
        <v>2711</v>
      </c>
      <c r="K190" s="308"/>
      <c r="L190" s="273" t="s">
        <v>2298</v>
      </c>
      <c r="M190" s="360"/>
      <c r="N190" s="289" t="s">
        <v>2323</v>
      </c>
      <c r="O190" s="323"/>
      <c r="P190" s="323"/>
      <c r="Q190" s="323"/>
      <c r="R190" s="323"/>
      <c r="S190" s="323"/>
      <c r="T190" s="323"/>
      <c r="U190" s="323"/>
      <c r="V190" s="323"/>
    </row>
    <row r="191" hidden="1">
      <c r="A191" s="273" t="s">
        <v>1489</v>
      </c>
      <c r="B191" s="273" t="s">
        <v>2584</v>
      </c>
      <c r="C191" s="265">
        <v>863944.0</v>
      </c>
      <c r="D191" s="265">
        <v>1.1392188E7</v>
      </c>
      <c r="E191" s="273" t="s">
        <v>2712</v>
      </c>
      <c r="F191" s="265">
        <v>2226.0</v>
      </c>
      <c r="G191" s="265">
        <v>1576116.0</v>
      </c>
      <c r="H191" s="265" t="s">
        <v>2713</v>
      </c>
      <c r="I191" s="265" t="s">
        <v>2713</v>
      </c>
      <c r="J191" s="273" t="s">
        <v>2714</v>
      </c>
      <c r="K191" s="308"/>
      <c r="L191" s="273" t="s">
        <v>2704</v>
      </c>
      <c r="M191" s="360" t="s">
        <v>2715</v>
      </c>
      <c r="N191" s="289" t="s">
        <v>2323</v>
      </c>
      <c r="O191" s="323"/>
      <c r="P191" s="323"/>
      <c r="Q191" s="323"/>
      <c r="R191" s="323"/>
      <c r="S191" s="323"/>
      <c r="T191" s="323"/>
      <c r="U191" s="323"/>
      <c r="V191" s="323"/>
    </row>
    <row r="192" hidden="1">
      <c r="A192" s="273" t="s">
        <v>1489</v>
      </c>
      <c r="B192" s="273" t="s">
        <v>1154</v>
      </c>
      <c r="C192" s="265">
        <v>863945.0</v>
      </c>
      <c r="D192" s="265">
        <v>1.1392188E7</v>
      </c>
      <c r="E192" s="273" t="s">
        <v>2712</v>
      </c>
      <c r="F192" s="265">
        <v>2226.0</v>
      </c>
      <c r="G192" s="265">
        <v>1576116.0</v>
      </c>
      <c r="H192" s="265" t="s">
        <v>2713</v>
      </c>
      <c r="I192" s="265" t="s">
        <v>2713</v>
      </c>
      <c r="J192" s="273" t="s">
        <v>2716</v>
      </c>
      <c r="K192" s="308"/>
      <c r="L192" s="273" t="s">
        <v>2298</v>
      </c>
      <c r="M192" s="360" t="s">
        <v>2717</v>
      </c>
      <c r="N192" s="289" t="s">
        <v>2436</v>
      </c>
      <c r="O192" s="323"/>
      <c r="P192" s="323"/>
      <c r="Q192" s="323"/>
      <c r="R192" s="323"/>
      <c r="S192" s="323"/>
      <c r="T192" s="323"/>
      <c r="U192" s="323"/>
      <c r="V192" s="323"/>
    </row>
    <row r="193" hidden="1">
      <c r="A193" s="273" t="s">
        <v>1484</v>
      </c>
      <c r="B193" s="273" t="s">
        <v>1154</v>
      </c>
      <c r="C193" s="265">
        <v>865983.0</v>
      </c>
      <c r="D193" s="265">
        <v>1.1402522E7</v>
      </c>
      <c r="E193" s="273" t="s">
        <v>2452</v>
      </c>
      <c r="F193" s="265">
        <v>2227.0</v>
      </c>
      <c r="G193" s="265">
        <v>1578190.0</v>
      </c>
      <c r="H193" s="265" t="s">
        <v>1286</v>
      </c>
      <c r="I193" s="265" t="s">
        <v>1883</v>
      </c>
      <c r="J193" s="273" t="s">
        <v>2678</v>
      </c>
      <c r="K193" s="308"/>
      <c r="L193" s="273" t="s">
        <v>2704</v>
      </c>
      <c r="M193" s="361"/>
      <c r="N193" s="289" t="s">
        <v>2323</v>
      </c>
      <c r="O193" s="323"/>
      <c r="P193" s="323"/>
      <c r="Q193" s="323"/>
      <c r="R193" s="323"/>
      <c r="S193" s="323"/>
      <c r="T193" s="323"/>
      <c r="U193" s="323"/>
      <c r="V193" s="323"/>
    </row>
    <row r="194" hidden="1">
      <c r="A194" s="273" t="s">
        <v>1484</v>
      </c>
      <c r="B194" s="273" t="s">
        <v>1154</v>
      </c>
      <c r="C194" s="265">
        <v>865985.0</v>
      </c>
      <c r="D194" s="265">
        <v>1.1402281E7</v>
      </c>
      <c r="E194" s="273" t="s">
        <v>2452</v>
      </c>
      <c r="F194" s="265">
        <v>2228.0</v>
      </c>
      <c r="G194" s="265">
        <v>1579793.0</v>
      </c>
      <c r="H194" s="265" t="s">
        <v>1187</v>
      </c>
      <c r="I194" s="265" t="s">
        <v>2427</v>
      </c>
      <c r="J194" s="273" t="s">
        <v>2718</v>
      </c>
      <c r="K194" s="308"/>
      <c r="L194" s="273" t="s">
        <v>2704</v>
      </c>
      <c r="M194" s="360" t="s">
        <v>2719</v>
      </c>
      <c r="N194" s="289" t="s">
        <v>2323</v>
      </c>
      <c r="O194" s="323"/>
      <c r="P194" s="323"/>
      <c r="Q194" s="323"/>
      <c r="R194" s="323"/>
      <c r="S194" s="323"/>
      <c r="T194" s="323"/>
      <c r="U194" s="323"/>
      <c r="V194" s="323"/>
    </row>
    <row r="195" hidden="1">
      <c r="A195" s="273" t="s">
        <v>1495</v>
      </c>
      <c r="B195" s="273" t="s">
        <v>1154</v>
      </c>
      <c r="C195" s="265">
        <v>866784.0</v>
      </c>
      <c r="D195" s="265">
        <v>1.1402427E7</v>
      </c>
      <c r="E195" s="273" t="s">
        <v>2452</v>
      </c>
      <c r="F195" s="265">
        <v>2229.0</v>
      </c>
      <c r="G195" s="265">
        <v>1580549.0</v>
      </c>
      <c r="H195" s="265" t="s">
        <v>704</v>
      </c>
      <c r="I195" s="265" t="s">
        <v>2361</v>
      </c>
      <c r="J195" s="273" t="s">
        <v>2678</v>
      </c>
      <c r="K195" s="308"/>
      <c r="L195" s="273" t="s">
        <v>2298</v>
      </c>
      <c r="M195" s="360" t="s">
        <v>2719</v>
      </c>
      <c r="N195" s="289" t="s">
        <v>2323</v>
      </c>
      <c r="O195" s="323"/>
      <c r="P195" s="323"/>
      <c r="Q195" s="323"/>
      <c r="R195" s="323"/>
      <c r="S195" s="323"/>
      <c r="T195" s="323"/>
      <c r="U195" s="323"/>
      <c r="V195" s="323"/>
    </row>
    <row r="196" hidden="1">
      <c r="A196" s="343">
        <v>45693.0</v>
      </c>
      <c r="B196" s="273" t="s">
        <v>1154</v>
      </c>
      <c r="C196" s="265">
        <v>867860.0</v>
      </c>
      <c r="D196" s="265">
        <v>1.1409836E7</v>
      </c>
      <c r="E196" s="273" t="s">
        <v>2452</v>
      </c>
      <c r="F196" s="265">
        <v>2230.0</v>
      </c>
      <c r="G196" s="265">
        <v>1581526.0</v>
      </c>
      <c r="H196" s="265" t="s">
        <v>962</v>
      </c>
      <c r="I196" s="265" t="s">
        <v>1969</v>
      </c>
      <c r="J196" s="273" t="s">
        <v>2720</v>
      </c>
      <c r="K196" s="308"/>
      <c r="L196" s="273" t="s">
        <v>2298</v>
      </c>
      <c r="M196" s="361"/>
      <c r="N196" s="289" t="s">
        <v>2323</v>
      </c>
      <c r="O196" s="323"/>
      <c r="P196" s="323"/>
      <c r="Q196" s="323"/>
      <c r="R196" s="323"/>
      <c r="S196" s="323"/>
      <c r="T196" s="323"/>
      <c r="U196" s="323"/>
      <c r="V196" s="323"/>
    </row>
    <row r="197" hidden="1">
      <c r="A197" s="343">
        <v>45693.0</v>
      </c>
      <c r="B197" s="273" t="s">
        <v>1154</v>
      </c>
      <c r="C197" s="265">
        <v>867923.0</v>
      </c>
      <c r="D197" s="265">
        <v>1.1410635E7</v>
      </c>
      <c r="E197" s="273" t="s">
        <v>2452</v>
      </c>
      <c r="F197" s="265">
        <v>2233.0</v>
      </c>
      <c r="G197" s="265">
        <v>1581781.0</v>
      </c>
      <c r="H197" s="265" t="s">
        <v>1204</v>
      </c>
      <c r="I197" s="265" t="s">
        <v>2429</v>
      </c>
      <c r="J197" s="273" t="s">
        <v>2678</v>
      </c>
      <c r="K197" s="308"/>
      <c r="L197" s="273" t="s">
        <v>2298</v>
      </c>
      <c r="M197" s="360" t="s">
        <v>2719</v>
      </c>
      <c r="N197" s="289" t="s">
        <v>2323</v>
      </c>
      <c r="O197" s="323"/>
      <c r="P197" s="323"/>
      <c r="Q197" s="323"/>
      <c r="R197" s="323"/>
      <c r="S197" s="323"/>
      <c r="T197" s="323"/>
      <c r="U197" s="323"/>
      <c r="V197" s="323"/>
    </row>
    <row r="198" hidden="1">
      <c r="A198" s="343">
        <v>45782.0</v>
      </c>
      <c r="B198" s="273" t="s">
        <v>1154</v>
      </c>
      <c r="C198" s="265">
        <v>869144.0</v>
      </c>
      <c r="D198" s="265">
        <v>1.1407545E7</v>
      </c>
      <c r="E198" s="273" t="s">
        <v>2511</v>
      </c>
      <c r="F198" s="265">
        <v>2231.0</v>
      </c>
      <c r="G198" s="265">
        <v>1581700.0</v>
      </c>
      <c r="H198" s="265" t="s">
        <v>1496</v>
      </c>
      <c r="I198" s="265" t="s">
        <v>2721</v>
      </c>
      <c r="J198" s="273" t="s">
        <v>2722</v>
      </c>
      <c r="K198" s="308"/>
      <c r="L198" s="273" t="s">
        <v>2298</v>
      </c>
      <c r="M198" s="360" t="s">
        <v>2719</v>
      </c>
      <c r="N198" s="289" t="s">
        <v>2323</v>
      </c>
      <c r="O198" s="323"/>
      <c r="P198" s="323"/>
      <c r="Q198" s="323"/>
      <c r="R198" s="323"/>
      <c r="S198" s="323"/>
      <c r="T198" s="323"/>
      <c r="U198" s="323"/>
      <c r="V198" s="323"/>
    </row>
    <row r="199" hidden="1">
      <c r="A199" s="343">
        <v>45874.0</v>
      </c>
      <c r="B199" s="273" t="s">
        <v>2537</v>
      </c>
      <c r="C199" s="265">
        <v>872091.0</v>
      </c>
      <c r="D199" s="265">
        <v>1.1432484E7</v>
      </c>
      <c r="E199" s="273" t="s">
        <v>2327</v>
      </c>
      <c r="F199" s="265">
        <v>520461.0</v>
      </c>
      <c r="G199" s="265">
        <v>1586144.0</v>
      </c>
      <c r="H199" s="265" t="s">
        <v>1187</v>
      </c>
      <c r="I199" s="265" t="s">
        <v>2427</v>
      </c>
      <c r="J199" s="273" t="s">
        <v>2723</v>
      </c>
      <c r="K199" s="273" t="s">
        <v>2724</v>
      </c>
      <c r="L199" s="273" t="s">
        <v>2725</v>
      </c>
      <c r="M199" s="361"/>
      <c r="N199" s="289" t="s">
        <v>2323</v>
      </c>
      <c r="O199" s="323"/>
      <c r="P199" s="323"/>
      <c r="Q199" s="323"/>
      <c r="R199" s="323"/>
      <c r="S199" s="323"/>
      <c r="T199" s="323"/>
      <c r="U199" s="323"/>
      <c r="V199" s="323"/>
    </row>
    <row r="200" hidden="1">
      <c r="A200" s="343">
        <v>45874.0</v>
      </c>
      <c r="B200" s="273" t="s">
        <v>2537</v>
      </c>
      <c r="C200" s="265">
        <v>872186.0</v>
      </c>
      <c r="D200" s="265">
        <v>1.1417243E7</v>
      </c>
      <c r="E200" s="273" t="s">
        <v>2327</v>
      </c>
      <c r="F200" s="265">
        <v>520543.0</v>
      </c>
      <c r="G200" s="265">
        <v>1586421.0</v>
      </c>
      <c r="H200" s="265" t="s">
        <v>2659</v>
      </c>
      <c r="I200" s="265" t="s">
        <v>2645</v>
      </c>
      <c r="J200" s="273" t="s">
        <v>2723</v>
      </c>
      <c r="K200" s="273" t="s">
        <v>2724</v>
      </c>
      <c r="L200" s="273" t="s">
        <v>2725</v>
      </c>
      <c r="M200" s="361"/>
      <c r="N200" s="289" t="s">
        <v>2323</v>
      </c>
      <c r="O200" s="323"/>
      <c r="P200" s="323"/>
      <c r="Q200" s="323"/>
      <c r="R200" s="323"/>
      <c r="S200" s="323"/>
      <c r="T200" s="323"/>
      <c r="U200" s="323"/>
      <c r="V200" s="323"/>
    </row>
    <row r="201" hidden="1">
      <c r="A201" s="343">
        <v>45905.0</v>
      </c>
      <c r="B201" s="273" t="s">
        <v>2537</v>
      </c>
      <c r="C201" s="265">
        <v>872675.0</v>
      </c>
      <c r="D201" s="265">
        <v>1.1417436E7</v>
      </c>
      <c r="E201" s="273" t="s">
        <v>2421</v>
      </c>
      <c r="F201" s="265">
        <v>520617.0</v>
      </c>
      <c r="G201" s="265">
        <v>1587042.0</v>
      </c>
      <c r="H201" s="265" t="s">
        <v>2726</v>
      </c>
      <c r="I201" s="265" t="s">
        <v>2381</v>
      </c>
      <c r="J201" s="308"/>
      <c r="K201" s="308"/>
      <c r="L201" s="273" t="s">
        <v>2298</v>
      </c>
      <c r="M201" s="360" t="s">
        <v>2629</v>
      </c>
      <c r="N201" s="289" t="s">
        <v>2323</v>
      </c>
      <c r="O201" s="323"/>
      <c r="P201" s="323"/>
      <c r="Q201" s="323"/>
      <c r="R201" s="323"/>
      <c r="S201" s="323"/>
      <c r="T201" s="323"/>
      <c r="U201" s="323"/>
      <c r="V201" s="323"/>
    </row>
    <row r="202" hidden="1">
      <c r="A202" s="343">
        <v>45996.0</v>
      </c>
      <c r="B202" s="273" t="s">
        <v>1154</v>
      </c>
      <c r="C202" s="265">
        <v>873846.0</v>
      </c>
      <c r="D202" s="265">
        <v>1.1429618E7</v>
      </c>
      <c r="E202" s="273" t="s">
        <v>2423</v>
      </c>
      <c r="F202" s="265">
        <v>186358.0</v>
      </c>
      <c r="G202" s="265">
        <v>1588293.0</v>
      </c>
      <c r="H202" s="265" t="s">
        <v>216</v>
      </c>
      <c r="I202" s="265" t="s">
        <v>2727</v>
      </c>
      <c r="J202" s="273" t="s">
        <v>2728</v>
      </c>
      <c r="K202" s="308"/>
      <c r="L202" s="273" t="s">
        <v>2298</v>
      </c>
      <c r="M202" s="360" t="s">
        <v>2719</v>
      </c>
      <c r="N202" s="289" t="s">
        <v>2323</v>
      </c>
      <c r="O202" s="323"/>
      <c r="P202" s="323"/>
      <c r="Q202" s="323"/>
      <c r="R202" s="323"/>
      <c r="S202" s="323"/>
      <c r="T202" s="323"/>
      <c r="U202" s="323"/>
      <c r="V202" s="323"/>
    </row>
    <row r="203" hidden="1">
      <c r="A203" s="273" t="s">
        <v>1518</v>
      </c>
      <c r="B203" s="273" t="s">
        <v>2078</v>
      </c>
      <c r="C203" s="265">
        <v>874478.0</v>
      </c>
      <c r="D203" s="265">
        <v>1.1429862E7</v>
      </c>
      <c r="E203" s="273" t="s">
        <v>2423</v>
      </c>
      <c r="F203" s="265">
        <v>186375.0</v>
      </c>
      <c r="G203" s="265">
        <v>1588882.0</v>
      </c>
      <c r="H203" s="265" t="s">
        <v>1524</v>
      </c>
      <c r="I203" s="265" t="s">
        <v>2424</v>
      </c>
      <c r="J203" s="308"/>
      <c r="K203" s="308"/>
      <c r="L203" s="273" t="s">
        <v>2298</v>
      </c>
      <c r="M203" s="361"/>
      <c r="N203" s="289" t="s">
        <v>2323</v>
      </c>
      <c r="O203" s="323"/>
      <c r="P203" s="323"/>
      <c r="Q203" s="323"/>
      <c r="R203" s="323"/>
      <c r="S203" s="323"/>
      <c r="T203" s="323"/>
      <c r="U203" s="323"/>
      <c r="V203" s="323"/>
    </row>
    <row r="204" hidden="1">
      <c r="A204" s="273" t="s">
        <v>1533</v>
      </c>
      <c r="B204" s="273" t="s">
        <v>1154</v>
      </c>
      <c r="C204" s="265">
        <v>875344.0</v>
      </c>
      <c r="D204" s="265">
        <v>1.1429862E7</v>
      </c>
      <c r="E204" s="273" t="s">
        <v>2423</v>
      </c>
      <c r="F204" s="265">
        <v>186375.0</v>
      </c>
      <c r="G204" s="265">
        <v>1588882.0</v>
      </c>
      <c r="H204" s="265" t="s">
        <v>1524</v>
      </c>
      <c r="I204" s="265" t="s">
        <v>2424</v>
      </c>
      <c r="J204" s="273" t="s">
        <v>2729</v>
      </c>
      <c r="K204" s="273" t="s">
        <v>2730</v>
      </c>
      <c r="L204" s="273" t="s">
        <v>2298</v>
      </c>
      <c r="M204" s="360" t="s">
        <v>2719</v>
      </c>
      <c r="N204" s="289" t="s">
        <v>2323</v>
      </c>
      <c r="O204" s="323"/>
      <c r="P204" s="323"/>
      <c r="Q204" s="323"/>
      <c r="R204" s="323"/>
      <c r="S204" s="323"/>
      <c r="T204" s="323"/>
      <c r="U204" s="323"/>
      <c r="V204" s="323"/>
    </row>
    <row r="205" hidden="1">
      <c r="A205" s="273" t="s">
        <v>2731</v>
      </c>
      <c r="B205" s="273" t="s">
        <v>1084</v>
      </c>
      <c r="C205" s="265">
        <v>877078.0</v>
      </c>
      <c r="D205" s="265">
        <v>1.1445917E7</v>
      </c>
      <c r="E205" s="273" t="s">
        <v>2421</v>
      </c>
      <c r="F205" s="265">
        <v>522000.0</v>
      </c>
      <c r="G205" s="175">
        <v>1593490.0</v>
      </c>
      <c r="H205" s="265" t="s">
        <v>1225</v>
      </c>
      <c r="I205" s="265" t="s">
        <v>2732</v>
      </c>
      <c r="J205" s="273" t="s">
        <v>2699</v>
      </c>
      <c r="K205" s="273" t="s">
        <v>2733</v>
      </c>
      <c r="L205" s="273" t="s">
        <v>2734</v>
      </c>
      <c r="M205" s="360"/>
      <c r="N205" s="289" t="s">
        <v>2323</v>
      </c>
      <c r="O205" s="323"/>
      <c r="P205" s="323"/>
      <c r="Q205" s="323"/>
      <c r="R205" s="323"/>
      <c r="S205" s="323"/>
      <c r="T205" s="323"/>
      <c r="U205" s="323"/>
      <c r="V205" s="323"/>
    </row>
    <row r="206" hidden="1">
      <c r="A206" s="273" t="s">
        <v>2731</v>
      </c>
      <c r="B206" s="273" t="s">
        <v>2537</v>
      </c>
      <c r="C206" s="265">
        <v>877247.0</v>
      </c>
      <c r="D206" s="265">
        <v>1.1445916E7</v>
      </c>
      <c r="E206" s="273" t="s">
        <v>2421</v>
      </c>
      <c r="F206" s="265">
        <v>521969.0</v>
      </c>
      <c r="G206" s="265">
        <v>1593388.0</v>
      </c>
      <c r="H206" s="265" t="s">
        <v>1583</v>
      </c>
      <c r="I206" s="265" t="s">
        <v>2735</v>
      </c>
      <c r="J206" s="273" t="s">
        <v>52</v>
      </c>
      <c r="K206" s="308"/>
      <c r="L206" s="273" t="s">
        <v>2298</v>
      </c>
      <c r="M206" s="360"/>
      <c r="N206" s="289" t="s">
        <v>2323</v>
      </c>
      <c r="O206" s="323"/>
      <c r="P206" s="323"/>
      <c r="Q206" s="323"/>
      <c r="R206" s="323"/>
      <c r="S206" s="323"/>
      <c r="T206" s="323"/>
      <c r="U206" s="323"/>
      <c r="V206" s="323"/>
    </row>
    <row r="207" hidden="1">
      <c r="A207" s="273" t="s">
        <v>2736</v>
      </c>
      <c r="B207" s="273" t="s">
        <v>2537</v>
      </c>
      <c r="C207" s="265">
        <v>876132.0</v>
      </c>
      <c r="D207" s="265">
        <v>1.1441022E7</v>
      </c>
      <c r="E207" s="273" t="s">
        <v>2327</v>
      </c>
      <c r="F207" s="265">
        <v>521648.0</v>
      </c>
      <c r="G207" s="265">
        <v>1592119.0</v>
      </c>
      <c r="H207" s="265" t="s">
        <v>1286</v>
      </c>
      <c r="I207" s="265" t="s">
        <v>1883</v>
      </c>
      <c r="J207" s="273" t="s">
        <v>2699</v>
      </c>
      <c r="K207" s="273" t="s">
        <v>2733</v>
      </c>
      <c r="L207" s="273" t="s">
        <v>2734</v>
      </c>
      <c r="M207" s="360"/>
      <c r="N207" s="289" t="s">
        <v>2323</v>
      </c>
      <c r="O207" s="323"/>
      <c r="P207" s="323"/>
      <c r="Q207" s="323"/>
      <c r="R207" s="323"/>
      <c r="S207" s="323"/>
      <c r="T207" s="323"/>
      <c r="U207" s="323"/>
      <c r="V207" s="323"/>
    </row>
    <row r="208" hidden="1">
      <c r="A208" s="273" t="s">
        <v>2731</v>
      </c>
      <c r="B208" s="273" t="s">
        <v>2537</v>
      </c>
      <c r="C208" s="265">
        <v>876826.0</v>
      </c>
      <c r="D208" s="265">
        <v>1.1445909E7</v>
      </c>
      <c r="E208" s="273" t="s">
        <v>2421</v>
      </c>
      <c r="F208" s="265">
        <v>521898.0</v>
      </c>
      <c r="G208" s="265">
        <v>1593073.0</v>
      </c>
      <c r="H208" s="265" t="s">
        <v>1204</v>
      </c>
      <c r="I208" s="265" t="s">
        <v>2429</v>
      </c>
      <c r="J208" s="273" t="s">
        <v>2574</v>
      </c>
      <c r="K208" s="273" t="s">
        <v>2689</v>
      </c>
      <c r="L208" s="273" t="s">
        <v>2734</v>
      </c>
      <c r="M208" s="360"/>
      <c r="N208" s="289" t="s">
        <v>2323</v>
      </c>
      <c r="O208" s="323"/>
      <c r="P208" s="323"/>
      <c r="Q208" s="323"/>
      <c r="R208" s="323"/>
      <c r="S208" s="323"/>
      <c r="T208" s="323"/>
      <c r="U208" s="323"/>
      <c r="V208" s="323"/>
    </row>
    <row r="209" hidden="1">
      <c r="A209" s="362" t="s">
        <v>1550</v>
      </c>
      <c r="B209" s="362" t="s">
        <v>2537</v>
      </c>
      <c r="C209" s="363">
        <v>878274.0</v>
      </c>
      <c r="D209" s="363">
        <v>1.144102E7</v>
      </c>
      <c r="E209" s="362" t="s">
        <v>2327</v>
      </c>
      <c r="F209" s="265">
        <v>521955.0</v>
      </c>
      <c r="G209" s="265">
        <v>1593373.0</v>
      </c>
      <c r="H209" s="363" t="s">
        <v>913</v>
      </c>
      <c r="I209" s="265" t="s">
        <v>2454</v>
      </c>
      <c r="J209" s="364"/>
      <c r="K209" s="365"/>
      <c r="L209" s="366" t="s">
        <v>2298</v>
      </c>
      <c r="M209" s="367"/>
      <c r="N209" s="368" t="s">
        <v>2323</v>
      </c>
      <c r="O209" s="369"/>
      <c r="P209" s="369"/>
      <c r="Q209" s="369"/>
      <c r="R209" s="369"/>
      <c r="S209" s="369"/>
      <c r="T209" s="369"/>
      <c r="U209" s="369"/>
      <c r="V209" s="369"/>
    </row>
    <row r="210" hidden="1">
      <c r="A210" s="273" t="s">
        <v>1613</v>
      </c>
      <c r="B210" s="273" t="s">
        <v>2710</v>
      </c>
      <c r="C210" s="265">
        <v>879637.0</v>
      </c>
      <c r="D210" s="265">
        <v>1.1450898E7</v>
      </c>
      <c r="E210" s="273" t="s">
        <v>2403</v>
      </c>
      <c r="F210" s="175">
        <v>2250.0</v>
      </c>
      <c r="G210" s="265">
        <v>1597069.0</v>
      </c>
      <c r="H210" s="265" t="s">
        <v>1149</v>
      </c>
      <c r="I210" s="265" t="s">
        <v>2381</v>
      </c>
      <c r="J210" s="273" t="s">
        <v>52</v>
      </c>
      <c r="K210" s="308"/>
      <c r="L210" s="273" t="s">
        <v>2734</v>
      </c>
      <c r="M210" s="360" t="s">
        <v>2737</v>
      </c>
      <c r="N210" s="289" t="s">
        <v>2323</v>
      </c>
      <c r="O210" s="323"/>
      <c r="P210" s="323"/>
      <c r="Q210" s="323"/>
      <c r="R210" s="323"/>
      <c r="S210" s="323"/>
      <c r="T210" s="323"/>
      <c r="U210" s="323"/>
      <c r="V210" s="323"/>
    </row>
    <row r="211" hidden="1">
      <c r="A211" s="273" t="s">
        <v>1643</v>
      </c>
      <c r="B211" s="273" t="s">
        <v>2710</v>
      </c>
      <c r="C211" s="265">
        <v>880264.0</v>
      </c>
      <c r="D211" s="265">
        <v>1.1450898E7</v>
      </c>
      <c r="E211" s="273" t="s">
        <v>2403</v>
      </c>
      <c r="F211" s="175">
        <v>2250.0</v>
      </c>
      <c r="G211" s="265">
        <v>1597069.0</v>
      </c>
      <c r="H211" s="265" t="s">
        <v>1149</v>
      </c>
      <c r="I211" s="265" t="s">
        <v>2381</v>
      </c>
      <c r="J211" s="308"/>
      <c r="K211" s="308"/>
      <c r="L211" s="273" t="s">
        <v>2738</v>
      </c>
      <c r="M211" s="361"/>
      <c r="N211" s="289" t="s">
        <v>2323</v>
      </c>
      <c r="O211" s="323"/>
      <c r="P211" s="323"/>
      <c r="Q211" s="323"/>
      <c r="R211" s="323"/>
      <c r="S211" s="323"/>
      <c r="T211" s="323"/>
      <c r="U211" s="323"/>
      <c r="V211" s="323"/>
    </row>
    <row r="212" hidden="1">
      <c r="A212" s="273" t="s">
        <v>1643</v>
      </c>
      <c r="B212" s="273" t="s">
        <v>1084</v>
      </c>
      <c r="C212" s="265">
        <v>880328.0</v>
      </c>
      <c r="D212" s="265">
        <v>1.1459301E7</v>
      </c>
      <c r="E212" s="273" t="s">
        <v>2371</v>
      </c>
      <c r="F212" s="312"/>
      <c r="G212" s="265">
        <v>1597374.0</v>
      </c>
      <c r="H212" s="265" t="s">
        <v>913</v>
      </c>
      <c r="I212" s="265" t="s">
        <v>2454</v>
      </c>
      <c r="J212" s="308"/>
      <c r="K212" s="308"/>
      <c r="L212" s="273" t="s">
        <v>2298</v>
      </c>
      <c r="M212" s="370" t="s">
        <v>2739</v>
      </c>
      <c r="N212" s="289" t="s">
        <v>2323</v>
      </c>
      <c r="O212" s="323"/>
      <c r="P212" s="323"/>
      <c r="Q212" s="323"/>
      <c r="R212" s="323"/>
      <c r="S212" s="323"/>
      <c r="T212" s="323"/>
      <c r="U212" s="323"/>
      <c r="V212" s="323"/>
    </row>
    <row r="213" hidden="1">
      <c r="A213" s="273" t="s">
        <v>1654</v>
      </c>
      <c r="B213" s="273" t="s">
        <v>2710</v>
      </c>
      <c r="C213" s="265">
        <v>881335.0</v>
      </c>
      <c r="D213" s="265">
        <v>1.1455383E7</v>
      </c>
      <c r="E213" s="273" t="s">
        <v>2403</v>
      </c>
      <c r="F213" s="265">
        <v>2252.0</v>
      </c>
      <c r="G213" s="265">
        <v>1598295.0</v>
      </c>
      <c r="H213" s="265" t="s">
        <v>1519</v>
      </c>
      <c r="I213" s="265" t="s">
        <v>2740</v>
      </c>
      <c r="J213" s="308"/>
      <c r="K213" s="308"/>
      <c r="L213" s="273" t="s">
        <v>2741</v>
      </c>
      <c r="M213" s="370"/>
      <c r="N213" s="289" t="s">
        <v>2323</v>
      </c>
      <c r="O213" s="323"/>
      <c r="P213" s="323"/>
      <c r="Q213" s="323"/>
      <c r="R213" s="323"/>
      <c r="S213" s="323"/>
      <c r="T213" s="323"/>
      <c r="U213" s="323"/>
      <c r="V213" s="323"/>
    </row>
    <row r="214" hidden="1">
      <c r="A214" s="273" t="s">
        <v>1449</v>
      </c>
      <c r="B214" s="273" t="s">
        <v>2537</v>
      </c>
      <c r="C214" s="265">
        <v>882034.0</v>
      </c>
      <c r="D214" s="265">
        <v>1.1459595E7</v>
      </c>
      <c r="E214" s="273" t="s">
        <v>2421</v>
      </c>
      <c r="F214" s="265">
        <v>523382.0</v>
      </c>
      <c r="G214" s="265">
        <v>1600671.0</v>
      </c>
      <c r="H214" s="265" t="s">
        <v>1204</v>
      </c>
      <c r="I214" s="265" t="s">
        <v>2429</v>
      </c>
      <c r="J214" s="308"/>
      <c r="K214" s="308"/>
      <c r="L214" s="273" t="s">
        <v>2298</v>
      </c>
      <c r="M214" s="370"/>
      <c r="N214" s="289" t="s">
        <v>2323</v>
      </c>
      <c r="O214" s="323"/>
      <c r="P214" s="323"/>
      <c r="Q214" s="323"/>
      <c r="R214" s="323"/>
      <c r="S214" s="323"/>
      <c r="T214" s="323"/>
      <c r="U214" s="323"/>
      <c r="V214" s="323"/>
    </row>
    <row r="215" hidden="1">
      <c r="A215" s="273" t="s">
        <v>1692</v>
      </c>
      <c r="B215" s="273" t="s">
        <v>1084</v>
      </c>
      <c r="C215" s="265">
        <v>883666.0</v>
      </c>
      <c r="D215" s="265">
        <v>1.1463662E7</v>
      </c>
      <c r="E215" s="273" t="s">
        <v>2559</v>
      </c>
      <c r="F215" s="265">
        <v>523737.0</v>
      </c>
      <c r="G215" s="265">
        <v>1603003.0</v>
      </c>
      <c r="H215" s="265" t="s">
        <v>1551</v>
      </c>
      <c r="I215" s="265" t="s">
        <v>1943</v>
      </c>
      <c r="J215" s="357" t="s">
        <v>2742</v>
      </c>
      <c r="K215" s="358"/>
      <c r="L215" s="273" t="s">
        <v>2298</v>
      </c>
      <c r="M215" s="359" t="s">
        <v>2555</v>
      </c>
      <c r="N215" s="289" t="s">
        <v>2323</v>
      </c>
      <c r="O215" s="323"/>
      <c r="P215" s="323"/>
      <c r="Q215" s="323"/>
      <c r="R215" s="323"/>
      <c r="S215" s="323"/>
      <c r="T215" s="323"/>
      <c r="U215" s="323"/>
      <c r="V215" s="323"/>
    </row>
    <row r="216" hidden="1">
      <c r="A216" s="273" t="s">
        <v>1692</v>
      </c>
      <c r="B216" s="273" t="s">
        <v>1154</v>
      </c>
      <c r="C216" s="265">
        <v>883864.0</v>
      </c>
      <c r="D216" s="371">
        <v>1.1467401E7</v>
      </c>
      <c r="E216" s="273" t="s">
        <v>2335</v>
      </c>
      <c r="F216" s="312"/>
      <c r="G216" s="265">
        <v>1599339.0</v>
      </c>
      <c r="H216" s="265" t="s">
        <v>1665</v>
      </c>
      <c r="I216" s="265" t="s">
        <v>2743</v>
      </c>
      <c r="J216" s="273" t="s">
        <v>2744</v>
      </c>
      <c r="K216" s="308"/>
      <c r="L216" s="273" t="s">
        <v>2298</v>
      </c>
      <c r="M216" s="361"/>
      <c r="N216" s="289" t="s">
        <v>2323</v>
      </c>
      <c r="O216" s="323"/>
      <c r="P216" s="323"/>
      <c r="Q216" s="323"/>
      <c r="R216" s="323"/>
      <c r="S216" s="323"/>
      <c r="T216" s="323"/>
      <c r="U216" s="323"/>
      <c r="V216" s="323"/>
    </row>
    <row r="217" hidden="1">
      <c r="A217" s="273" t="s">
        <v>1692</v>
      </c>
      <c r="B217" s="273" t="s">
        <v>1154</v>
      </c>
      <c r="C217" s="265">
        <v>883868.0</v>
      </c>
      <c r="D217" s="265">
        <v>1.1455383E7</v>
      </c>
      <c r="E217" s="273" t="s">
        <v>2403</v>
      </c>
      <c r="F217" s="265">
        <v>2252.0</v>
      </c>
      <c r="G217" s="265">
        <v>1598295.0</v>
      </c>
      <c r="H217" s="265" t="s">
        <v>1519</v>
      </c>
      <c r="I217" s="265" t="s">
        <v>2740</v>
      </c>
      <c r="J217" s="273" t="s">
        <v>2745</v>
      </c>
      <c r="K217" s="308"/>
      <c r="L217" s="273" t="s">
        <v>2298</v>
      </c>
      <c r="M217" s="360" t="s">
        <v>2746</v>
      </c>
      <c r="N217" s="289" t="s">
        <v>2323</v>
      </c>
      <c r="O217" s="323"/>
      <c r="P217" s="323"/>
      <c r="Q217" s="323"/>
      <c r="R217" s="323"/>
      <c r="S217" s="323"/>
      <c r="T217" s="323"/>
      <c r="U217" s="323"/>
      <c r="V217" s="323"/>
    </row>
    <row r="218" hidden="1">
      <c r="A218" s="273" t="s">
        <v>1692</v>
      </c>
      <c r="B218" s="273" t="s">
        <v>2078</v>
      </c>
      <c r="C218" s="265">
        <v>883902.0</v>
      </c>
      <c r="D218" s="265">
        <v>1.1455383E7</v>
      </c>
      <c r="E218" s="273" t="s">
        <v>2403</v>
      </c>
      <c r="F218" s="312"/>
      <c r="G218" s="265">
        <v>1598295.0</v>
      </c>
      <c r="H218" s="265" t="s">
        <v>1519</v>
      </c>
      <c r="I218" s="265" t="s">
        <v>2740</v>
      </c>
      <c r="J218" s="308"/>
      <c r="K218" s="308"/>
      <c r="L218" s="273" t="s">
        <v>2298</v>
      </c>
      <c r="M218" s="360" t="s">
        <v>2747</v>
      </c>
      <c r="N218" s="289" t="s">
        <v>2323</v>
      </c>
      <c r="O218" s="323"/>
      <c r="P218" s="323"/>
      <c r="Q218" s="323"/>
      <c r="R218" s="323"/>
      <c r="S218" s="323"/>
      <c r="T218" s="323"/>
      <c r="U218" s="323"/>
      <c r="V218" s="323"/>
    </row>
    <row r="219" hidden="1">
      <c r="A219" s="273" t="s">
        <v>2748</v>
      </c>
      <c r="B219" s="273" t="s">
        <v>1195</v>
      </c>
      <c r="C219" s="265">
        <v>884391.0</v>
      </c>
      <c r="D219" s="265">
        <v>1.1463662E7</v>
      </c>
      <c r="E219" s="273" t="s">
        <v>2559</v>
      </c>
      <c r="F219" s="265">
        <v>523737.0</v>
      </c>
      <c r="G219" s="265">
        <v>1603003.0</v>
      </c>
      <c r="H219" s="265" t="s">
        <v>1551</v>
      </c>
      <c r="I219" s="265" t="s">
        <v>1943</v>
      </c>
      <c r="J219" s="308"/>
      <c r="K219" s="308"/>
      <c r="L219" s="273" t="s">
        <v>2435</v>
      </c>
      <c r="M219" s="372" t="s">
        <v>2749</v>
      </c>
      <c r="N219" s="289" t="s">
        <v>2436</v>
      </c>
      <c r="O219" s="323"/>
      <c r="P219" s="323"/>
      <c r="Q219" s="323"/>
      <c r="R219" s="323"/>
      <c r="S219" s="323"/>
      <c r="T219" s="323"/>
      <c r="U219" s="323"/>
      <c r="V219" s="323"/>
    </row>
    <row r="220" hidden="1">
      <c r="A220" s="273" t="s">
        <v>2748</v>
      </c>
      <c r="B220" s="273" t="s">
        <v>2156</v>
      </c>
      <c r="C220" s="265">
        <v>884381.0</v>
      </c>
      <c r="D220" s="265">
        <v>1.1467402E7</v>
      </c>
      <c r="E220" s="273" t="s">
        <v>2335</v>
      </c>
      <c r="F220" s="312"/>
      <c r="G220" s="265">
        <v>1601095.0</v>
      </c>
      <c r="H220" s="265" t="s">
        <v>1149</v>
      </c>
      <c r="I220" s="265" t="s">
        <v>2381</v>
      </c>
      <c r="J220" s="308"/>
      <c r="K220" s="308"/>
      <c r="L220" s="273" t="s">
        <v>2298</v>
      </c>
      <c r="M220" s="360" t="s">
        <v>2750</v>
      </c>
      <c r="N220" s="289" t="s">
        <v>2323</v>
      </c>
      <c r="O220" s="323"/>
      <c r="P220" s="323"/>
      <c r="Q220" s="323"/>
      <c r="R220" s="323"/>
      <c r="S220" s="323"/>
      <c r="T220" s="323"/>
      <c r="U220" s="323"/>
      <c r="V220" s="323"/>
    </row>
    <row r="221" hidden="1">
      <c r="A221" s="273" t="s">
        <v>2748</v>
      </c>
      <c r="B221" s="273" t="s">
        <v>1084</v>
      </c>
      <c r="C221" s="265">
        <v>884676.0</v>
      </c>
      <c r="D221" s="265">
        <v>1.1460143E7</v>
      </c>
      <c r="E221" s="273" t="s">
        <v>2327</v>
      </c>
      <c r="F221" s="265">
        <v>523747.0</v>
      </c>
      <c r="G221" s="265">
        <v>1602869.0</v>
      </c>
      <c r="H221" s="265" t="s">
        <v>1644</v>
      </c>
      <c r="I221" s="265" t="s">
        <v>2021</v>
      </c>
      <c r="J221" s="357" t="s">
        <v>2751</v>
      </c>
      <c r="K221" s="373" t="s">
        <v>2752</v>
      </c>
      <c r="L221" s="273" t="s">
        <v>2704</v>
      </c>
      <c r="M221" s="359" t="s">
        <v>2555</v>
      </c>
      <c r="N221" s="289" t="s">
        <v>2323</v>
      </c>
      <c r="O221" s="323"/>
      <c r="P221" s="323"/>
      <c r="Q221" s="323"/>
      <c r="R221" s="323"/>
      <c r="S221" s="323"/>
      <c r="T221" s="323"/>
      <c r="U221" s="323"/>
      <c r="V221" s="323"/>
    </row>
    <row r="222" hidden="1">
      <c r="A222" s="273" t="s">
        <v>2753</v>
      </c>
      <c r="B222" s="273" t="s">
        <v>2562</v>
      </c>
      <c r="C222" s="265">
        <v>885178.0</v>
      </c>
      <c r="D222" s="265">
        <v>1.1467402E7</v>
      </c>
      <c r="E222" s="273" t="s">
        <v>2335</v>
      </c>
      <c r="F222" s="265">
        <v>2258.0</v>
      </c>
      <c r="G222" s="265">
        <v>1601095.0</v>
      </c>
      <c r="H222" s="265" t="s">
        <v>1149</v>
      </c>
      <c r="I222" s="265" t="s">
        <v>2381</v>
      </c>
      <c r="J222" s="308"/>
      <c r="K222" s="308"/>
      <c r="L222" s="273" t="s">
        <v>2298</v>
      </c>
      <c r="M222" s="361"/>
      <c r="N222" s="289" t="s">
        <v>2323</v>
      </c>
      <c r="O222" s="323"/>
      <c r="P222" s="323"/>
      <c r="Q222" s="323"/>
      <c r="R222" s="323"/>
      <c r="S222" s="323"/>
      <c r="T222" s="323"/>
      <c r="U222" s="323"/>
      <c r="V222" s="323"/>
    </row>
    <row r="223" hidden="1">
      <c r="A223" s="273" t="s">
        <v>2754</v>
      </c>
      <c r="B223" s="273" t="s">
        <v>2537</v>
      </c>
      <c r="C223" s="265">
        <v>885341.0</v>
      </c>
      <c r="D223" s="265">
        <v>1.1473453E7</v>
      </c>
      <c r="E223" s="273" t="s">
        <v>2352</v>
      </c>
      <c r="F223" s="265">
        <v>2260.0</v>
      </c>
      <c r="G223" s="265">
        <v>1602942.0</v>
      </c>
      <c r="H223" s="265" t="s">
        <v>546</v>
      </c>
      <c r="I223" s="265" t="s">
        <v>2419</v>
      </c>
      <c r="J223" s="308"/>
      <c r="K223" s="308"/>
      <c r="L223" s="273" t="s">
        <v>2298</v>
      </c>
      <c r="M223" s="360"/>
      <c r="N223" s="289" t="s">
        <v>2323</v>
      </c>
      <c r="O223" s="323"/>
      <c r="P223" s="323"/>
      <c r="Q223" s="323"/>
      <c r="R223" s="323"/>
      <c r="S223" s="323"/>
      <c r="T223" s="323"/>
      <c r="U223" s="323"/>
      <c r="V223" s="323"/>
    </row>
    <row r="224" hidden="1">
      <c r="A224" s="273" t="s">
        <v>2754</v>
      </c>
      <c r="B224" s="273" t="s">
        <v>1154</v>
      </c>
      <c r="C224" s="265">
        <v>885436.0</v>
      </c>
      <c r="D224" s="265">
        <v>1.1467402E7</v>
      </c>
      <c r="E224" s="273" t="s">
        <v>2335</v>
      </c>
      <c r="F224" s="265">
        <v>2258.0</v>
      </c>
      <c r="G224" s="265">
        <v>1601095.0</v>
      </c>
      <c r="H224" s="265" t="s">
        <v>1149</v>
      </c>
      <c r="I224" s="265" t="s">
        <v>2381</v>
      </c>
      <c r="J224" s="273" t="s">
        <v>2755</v>
      </c>
      <c r="K224" s="308"/>
      <c r="L224" s="273" t="s">
        <v>2756</v>
      </c>
      <c r="M224" s="361"/>
      <c r="N224" s="289" t="s">
        <v>2300</v>
      </c>
      <c r="O224" s="323"/>
      <c r="P224" s="323"/>
      <c r="Q224" s="323"/>
      <c r="R224" s="323"/>
      <c r="S224" s="323"/>
      <c r="T224" s="323"/>
      <c r="U224" s="323"/>
      <c r="V224" s="323"/>
    </row>
    <row r="225" hidden="1">
      <c r="A225" s="273" t="s">
        <v>2754</v>
      </c>
      <c r="B225" s="273" t="s">
        <v>1154</v>
      </c>
      <c r="C225" s="265">
        <v>885447.0</v>
      </c>
      <c r="D225" s="374">
        <v>1.1450898E7</v>
      </c>
      <c r="E225" s="273" t="s">
        <v>2403</v>
      </c>
      <c r="F225" s="265">
        <v>2247.0</v>
      </c>
      <c r="G225" s="265">
        <v>1595703.0</v>
      </c>
      <c r="H225" s="265" t="s">
        <v>1149</v>
      </c>
      <c r="I225" s="265" t="s">
        <v>2381</v>
      </c>
      <c r="J225" s="273" t="s">
        <v>2635</v>
      </c>
      <c r="K225" s="308"/>
      <c r="L225" s="273" t="s">
        <v>2298</v>
      </c>
      <c r="M225" s="360" t="s">
        <v>2757</v>
      </c>
      <c r="N225" s="289" t="s">
        <v>2323</v>
      </c>
      <c r="O225" s="323"/>
      <c r="P225" s="323"/>
      <c r="Q225" s="323"/>
      <c r="R225" s="323"/>
      <c r="S225" s="323"/>
      <c r="T225" s="323"/>
      <c r="U225" s="323"/>
      <c r="V225" s="323"/>
    </row>
    <row r="226" hidden="1">
      <c r="A226" s="343">
        <v>45694.0</v>
      </c>
      <c r="B226" s="273" t="s">
        <v>2682</v>
      </c>
      <c r="C226" s="265">
        <v>887080.0</v>
      </c>
      <c r="D226" s="265">
        <v>1.1489199E7</v>
      </c>
      <c r="E226" s="273" t="s">
        <v>2481</v>
      </c>
      <c r="F226" s="265">
        <v>2262.0</v>
      </c>
      <c r="G226" s="265">
        <v>1607326.0</v>
      </c>
      <c r="H226" s="265" t="s">
        <v>1768</v>
      </c>
      <c r="I226" s="265" t="s">
        <v>2758</v>
      </c>
      <c r="J226" s="273" t="s">
        <v>2759</v>
      </c>
      <c r="K226" s="308"/>
      <c r="L226" s="273" t="s">
        <v>2298</v>
      </c>
      <c r="M226" s="370"/>
      <c r="N226" s="289" t="s">
        <v>2323</v>
      </c>
      <c r="O226" s="323"/>
      <c r="P226" s="323"/>
      <c r="Q226" s="323"/>
      <c r="R226" s="323"/>
      <c r="S226" s="323"/>
      <c r="T226" s="323"/>
      <c r="U226" s="323"/>
      <c r="V226" s="323"/>
    </row>
    <row r="227" hidden="1">
      <c r="A227" s="343">
        <v>45694.0</v>
      </c>
      <c r="B227" s="273" t="s">
        <v>2682</v>
      </c>
      <c r="C227" s="265">
        <v>887103.0</v>
      </c>
      <c r="D227" s="265">
        <v>1.14892E7</v>
      </c>
      <c r="E227" s="273" t="s">
        <v>2481</v>
      </c>
      <c r="F227" s="265">
        <v>2264.0</v>
      </c>
      <c r="G227" s="265">
        <v>1607701.0</v>
      </c>
      <c r="H227" s="265" t="s">
        <v>1713</v>
      </c>
      <c r="I227" s="265" t="s">
        <v>2760</v>
      </c>
      <c r="J227" s="273" t="s">
        <v>2759</v>
      </c>
      <c r="K227" s="308"/>
      <c r="L227" s="273" t="s">
        <v>2298</v>
      </c>
      <c r="M227" s="370"/>
      <c r="N227" s="289" t="s">
        <v>2323</v>
      </c>
      <c r="O227" s="323"/>
      <c r="P227" s="323"/>
      <c r="Q227" s="323"/>
      <c r="R227" s="323"/>
      <c r="S227" s="323"/>
      <c r="T227" s="323"/>
      <c r="U227" s="323"/>
      <c r="V227" s="323"/>
    </row>
    <row r="228" hidden="1">
      <c r="A228" s="343">
        <v>45694.0</v>
      </c>
      <c r="B228" s="273" t="s">
        <v>2589</v>
      </c>
      <c r="C228" s="265">
        <v>887404.0</v>
      </c>
      <c r="D228" s="374">
        <v>1.1483186E7</v>
      </c>
      <c r="E228" s="273" t="s">
        <v>2407</v>
      </c>
      <c r="F228" s="312"/>
      <c r="G228" s="265">
        <v>1608012.0</v>
      </c>
      <c r="H228" s="265" t="s">
        <v>1792</v>
      </c>
      <c r="I228" s="265" t="s">
        <v>2444</v>
      </c>
      <c r="J228" s="308"/>
      <c r="K228" s="308"/>
      <c r="L228" s="273" t="s">
        <v>2298</v>
      </c>
      <c r="M228" s="360" t="s">
        <v>2761</v>
      </c>
      <c r="N228" s="289" t="s">
        <v>2323</v>
      </c>
      <c r="O228" s="323"/>
      <c r="P228" s="323"/>
      <c r="Q228" s="323"/>
      <c r="R228" s="323"/>
      <c r="S228" s="323"/>
      <c r="T228" s="323"/>
      <c r="U228" s="323"/>
      <c r="V228" s="323"/>
    </row>
    <row r="229" hidden="1">
      <c r="A229" s="343">
        <v>45694.0</v>
      </c>
      <c r="B229" s="273" t="s">
        <v>2762</v>
      </c>
      <c r="C229" s="265">
        <v>887537.0</v>
      </c>
      <c r="D229" s="265">
        <v>1.1483185E7</v>
      </c>
      <c r="E229" s="273" t="s">
        <v>2407</v>
      </c>
      <c r="F229" s="265">
        <v>2263.0</v>
      </c>
      <c r="G229" s="265">
        <v>1607107.0</v>
      </c>
      <c r="H229" s="265" t="s">
        <v>2763</v>
      </c>
      <c r="I229" s="265" t="s">
        <v>2764</v>
      </c>
      <c r="J229" s="308"/>
      <c r="K229" s="308"/>
      <c r="L229" s="273" t="s">
        <v>2765</v>
      </c>
      <c r="M229" s="360" t="s">
        <v>2766</v>
      </c>
      <c r="N229" s="289" t="s">
        <v>2436</v>
      </c>
      <c r="O229" s="323"/>
      <c r="P229" s="323"/>
      <c r="Q229" s="323"/>
      <c r="R229" s="323"/>
      <c r="S229" s="323"/>
      <c r="T229" s="323"/>
      <c r="U229" s="323"/>
      <c r="V229" s="323"/>
    </row>
    <row r="230" hidden="1">
      <c r="A230" s="343">
        <v>45722.0</v>
      </c>
      <c r="B230" s="273" t="s">
        <v>1084</v>
      </c>
      <c r="C230" s="265">
        <v>887989.0</v>
      </c>
      <c r="D230" s="265">
        <v>1.1489199E7</v>
      </c>
      <c r="E230" s="273" t="s">
        <v>2481</v>
      </c>
      <c r="F230" s="265">
        <v>2262.0</v>
      </c>
      <c r="G230" s="265">
        <v>1607326.0</v>
      </c>
      <c r="H230" s="265" t="s">
        <v>1768</v>
      </c>
      <c r="I230" s="265" t="s">
        <v>2758</v>
      </c>
      <c r="J230" s="308"/>
      <c r="K230" s="308"/>
      <c r="L230" s="273" t="s">
        <v>2767</v>
      </c>
      <c r="M230" s="360" t="s">
        <v>2768</v>
      </c>
      <c r="N230" s="289" t="s">
        <v>2323</v>
      </c>
      <c r="O230" s="323"/>
      <c r="P230" s="323"/>
      <c r="Q230" s="323"/>
      <c r="R230" s="323"/>
      <c r="S230" s="323"/>
      <c r="T230" s="323"/>
      <c r="U230" s="323"/>
      <c r="V230" s="323"/>
    </row>
    <row r="231" hidden="1">
      <c r="A231" s="343">
        <v>45722.0</v>
      </c>
      <c r="B231" s="273" t="s">
        <v>1084</v>
      </c>
      <c r="C231" s="265">
        <v>888002.0</v>
      </c>
      <c r="D231" s="265">
        <v>1.14892E7</v>
      </c>
      <c r="E231" s="273" t="s">
        <v>2481</v>
      </c>
      <c r="F231" s="265">
        <v>2264.0</v>
      </c>
      <c r="G231" s="265">
        <v>1607701.0</v>
      </c>
      <c r="H231" s="265" t="s">
        <v>1713</v>
      </c>
      <c r="I231" s="265" t="s">
        <v>2760</v>
      </c>
      <c r="J231" s="308"/>
      <c r="K231" s="308"/>
      <c r="L231" s="273" t="s">
        <v>2298</v>
      </c>
      <c r="M231" s="360" t="s">
        <v>2768</v>
      </c>
      <c r="N231" s="289" t="s">
        <v>2323</v>
      </c>
      <c r="O231" s="323"/>
      <c r="P231" s="323"/>
      <c r="Q231" s="323"/>
      <c r="R231" s="323"/>
      <c r="S231" s="323"/>
      <c r="T231" s="323"/>
      <c r="U231" s="323"/>
      <c r="V231" s="323"/>
    </row>
    <row r="232" hidden="1">
      <c r="A232" s="343">
        <v>45722.0</v>
      </c>
      <c r="B232" s="273" t="s">
        <v>1154</v>
      </c>
      <c r="C232" s="265">
        <v>888370.0</v>
      </c>
      <c r="D232" s="265">
        <v>1.1483186E7</v>
      </c>
      <c r="E232" s="273" t="s">
        <v>2407</v>
      </c>
      <c r="F232" s="265">
        <v>2265.0</v>
      </c>
      <c r="G232" s="265">
        <v>1608012.0</v>
      </c>
      <c r="H232" s="265" t="s">
        <v>1792</v>
      </c>
      <c r="I232" s="265" t="s">
        <v>2444</v>
      </c>
      <c r="J232" s="273" t="s">
        <v>2769</v>
      </c>
      <c r="K232" s="308"/>
      <c r="L232" s="273" t="s">
        <v>2298</v>
      </c>
      <c r="M232" s="361"/>
      <c r="N232" s="289" t="s">
        <v>2323</v>
      </c>
      <c r="O232" s="323"/>
      <c r="P232" s="323"/>
      <c r="Q232" s="323"/>
      <c r="R232" s="323"/>
      <c r="S232" s="323"/>
      <c r="T232" s="323"/>
      <c r="U232" s="323"/>
      <c r="V232" s="323"/>
    </row>
    <row r="233" hidden="1">
      <c r="A233" s="343">
        <v>45753.0</v>
      </c>
      <c r="B233" s="273" t="s">
        <v>1084</v>
      </c>
      <c r="C233" s="265">
        <v>888857.0</v>
      </c>
      <c r="D233" s="265">
        <v>1.1459301E7</v>
      </c>
      <c r="E233" s="273" t="s">
        <v>2371</v>
      </c>
      <c r="F233" s="265">
        <v>2251.0</v>
      </c>
      <c r="G233" s="265">
        <v>1597374.0</v>
      </c>
      <c r="H233" s="265" t="s">
        <v>913</v>
      </c>
      <c r="I233" s="265" t="s">
        <v>2454</v>
      </c>
      <c r="J233" s="308"/>
      <c r="K233" s="308"/>
      <c r="L233" s="375" t="s">
        <v>2298</v>
      </c>
      <c r="M233" s="360" t="s">
        <v>2770</v>
      </c>
      <c r="N233" s="289" t="s">
        <v>2323</v>
      </c>
      <c r="O233" s="323"/>
      <c r="P233" s="323"/>
      <c r="Q233" s="323"/>
      <c r="R233" s="323"/>
      <c r="S233" s="323"/>
      <c r="T233" s="323"/>
      <c r="U233" s="323"/>
      <c r="V233" s="323"/>
    </row>
    <row r="234" hidden="1">
      <c r="A234" s="343">
        <v>45753.0</v>
      </c>
      <c r="B234" s="273" t="s">
        <v>2537</v>
      </c>
      <c r="C234" s="265">
        <v>888933.0</v>
      </c>
      <c r="D234" s="265">
        <v>1.1483185E7</v>
      </c>
      <c r="E234" s="273" t="s">
        <v>2407</v>
      </c>
      <c r="F234" s="265">
        <v>2263.0</v>
      </c>
      <c r="G234" s="265">
        <v>1607107.0</v>
      </c>
      <c r="H234" s="265" t="s">
        <v>2763</v>
      </c>
      <c r="I234" s="265" t="s">
        <v>2764</v>
      </c>
      <c r="J234" s="273" t="s">
        <v>2656</v>
      </c>
      <c r="K234" s="273" t="s">
        <v>2689</v>
      </c>
      <c r="L234" s="273" t="s">
        <v>2298</v>
      </c>
      <c r="M234" s="360" t="s">
        <v>2771</v>
      </c>
      <c r="N234" s="289" t="s">
        <v>2323</v>
      </c>
      <c r="O234" s="323"/>
      <c r="P234" s="323"/>
      <c r="Q234" s="323"/>
      <c r="R234" s="323"/>
      <c r="S234" s="323"/>
      <c r="T234" s="323"/>
      <c r="U234" s="323"/>
      <c r="V234" s="323"/>
    </row>
    <row r="235" hidden="1">
      <c r="A235" s="343">
        <v>45783.0</v>
      </c>
      <c r="B235" s="273" t="s">
        <v>1154</v>
      </c>
      <c r="C235" s="265">
        <v>889587.0</v>
      </c>
      <c r="D235" s="265">
        <v>1.1489199E7</v>
      </c>
      <c r="E235" s="273" t="s">
        <v>2481</v>
      </c>
      <c r="F235" s="265">
        <v>2262.0</v>
      </c>
      <c r="G235" s="265">
        <v>1607326.0</v>
      </c>
      <c r="H235" s="265" t="s">
        <v>1768</v>
      </c>
      <c r="I235" s="265" t="s">
        <v>2758</v>
      </c>
      <c r="J235" s="273" t="s">
        <v>2678</v>
      </c>
      <c r="K235" s="308"/>
      <c r="L235" s="273" t="s">
        <v>2298</v>
      </c>
      <c r="M235" s="361"/>
      <c r="N235" s="289" t="s">
        <v>2323</v>
      </c>
      <c r="O235" s="323"/>
      <c r="P235" s="323"/>
      <c r="Q235" s="323"/>
      <c r="R235" s="323"/>
      <c r="S235" s="323"/>
      <c r="T235" s="323"/>
      <c r="U235" s="323"/>
      <c r="V235" s="323"/>
    </row>
    <row r="236" hidden="1">
      <c r="A236" s="343">
        <v>45814.0</v>
      </c>
      <c r="B236" s="273" t="s">
        <v>1154</v>
      </c>
      <c r="C236" s="265">
        <v>890546.0</v>
      </c>
      <c r="D236" s="265">
        <v>1.14892E7</v>
      </c>
      <c r="E236" s="273" t="s">
        <v>2481</v>
      </c>
      <c r="F236" s="265">
        <v>2264.0</v>
      </c>
      <c r="G236" s="265">
        <v>1607701.0</v>
      </c>
      <c r="H236" s="265" t="s">
        <v>1713</v>
      </c>
      <c r="I236" s="265" t="s">
        <v>2760</v>
      </c>
      <c r="J236" s="273" t="s">
        <v>2678</v>
      </c>
      <c r="K236" s="308"/>
      <c r="L236" s="273" t="s">
        <v>2298</v>
      </c>
      <c r="M236" s="361"/>
      <c r="N236" s="289" t="s">
        <v>2323</v>
      </c>
      <c r="O236" s="323"/>
      <c r="P236" s="323"/>
      <c r="Q236" s="323"/>
      <c r="R236" s="323"/>
      <c r="S236" s="323"/>
      <c r="T236" s="323"/>
      <c r="U236" s="323"/>
      <c r="V236" s="323"/>
    </row>
    <row r="237">
      <c r="A237" s="343">
        <v>45814.0</v>
      </c>
      <c r="B237" s="273" t="s">
        <v>2537</v>
      </c>
      <c r="C237" s="265">
        <v>890786.0</v>
      </c>
      <c r="D237" s="265">
        <v>1.1502853E7</v>
      </c>
      <c r="E237" s="273" t="s">
        <v>2421</v>
      </c>
      <c r="F237" s="265">
        <v>186765.0</v>
      </c>
      <c r="G237" s="265">
        <v>1610553.0</v>
      </c>
      <c r="H237" s="265" t="s">
        <v>2763</v>
      </c>
      <c r="I237" s="265" t="s">
        <v>2764</v>
      </c>
      <c r="J237" s="376"/>
      <c r="K237" s="358"/>
      <c r="L237" s="273" t="s">
        <v>2435</v>
      </c>
      <c r="M237" s="360" t="s">
        <v>2772</v>
      </c>
      <c r="N237" s="289" t="s">
        <v>2436</v>
      </c>
      <c r="O237" s="323"/>
      <c r="P237" s="323"/>
      <c r="Q237" s="323"/>
      <c r="R237" s="323"/>
      <c r="S237" s="323"/>
      <c r="T237" s="323"/>
      <c r="U237" s="323"/>
      <c r="V237" s="323"/>
    </row>
    <row r="238" hidden="1">
      <c r="A238" s="273" t="s">
        <v>2773</v>
      </c>
      <c r="B238" s="273" t="s">
        <v>2554</v>
      </c>
      <c r="C238" s="265">
        <v>896579.0</v>
      </c>
      <c r="D238" s="265">
        <v>1.1532441E7</v>
      </c>
      <c r="E238" s="273" t="s">
        <v>2511</v>
      </c>
      <c r="F238" s="312"/>
      <c r="G238" s="265">
        <v>1618013.0</v>
      </c>
      <c r="H238" s="265" t="s">
        <v>913</v>
      </c>
      <c r="I238" s="265" t="s">
        <v>2454</v>
      </c>
      <c r="J238" s="308"/>
      <c r="K238" s="308"/>
      <c r="L238" s="273" t="s">
        <v>2557</v>
      </c>
      <c r="M238" s="361"/>
      <c r="N238" s="289" t="s">
        <v>2323</v>
      </c>
      <c r="O238" s="323"/>
      <c r="P238" s="323"/>
      <c r="Q238" s="323"/>
      <c r="R238" s="323"/>
      <c r="S238" s="323"/>
      <c r="T238" s="323"/>
      <c r="U238" s="323"/>
      <c r="V238" s="323"/>
    </row>
    <row r="239" hidden="1">
      <c r="A239" s="273" t="s">
        <v>2773</v>
      </c>
      <c r="B239" s="273" t="s">
        <v>1154</v>
      </c>
      <c r="C239" s="265">
        <v>896870.0</v>
      </c>
      <c r="D239" s="265">
        <v>1.1532441E7</v>
      </c>
      <c r="E239" s="273" t="s">
        <v>2511</v>
      </c>
      <c r="F239" s="265">
        <v>2266.0</v>
      </c>
      <c r="G239" s="265">
        <v>1618013.0</v>
      </c>
      <c r="H239" s="265" t="s">
        <v>913</v>
      </c>
      <c r="I239" s="265" t="s">
        <v>2454</v>
      </c>
      <c r="J239" s="308"/>
      <c r="K239" s="308"/>
      <c r="L239" s="273" t="s">
        <v>2756</v>
      </c>
      <c r="M239" s="361"/>
      <c r="N239" s="289" t="s">
        <v>2300</v>
      </c>
      <c r="O239" s="323"/>
      <c r="P239" s="323"/>
      <c r="Q239" s="323"/>
      <c r="R239" s="323"/>
      <c r="S239" s="323"/>
      <c r="T239" s="323"/>
      <c r="U239" s="323"/>
      <c r="V239" s="323"/>
    </row>
    <row r="240" hidden="1">
      <c r="A240" s="273" t="s">
        <v>1787</v>
      </c>
      <c r="B240" s="273" t="s">
        <v>2554</v>
      </c>
      <c r="C240" s="265">
        <v>903873.0</v>
      </c>
      <c r="D240" s="265">
        <v>1.1559929E7</v>
      </c>
      <c r="E240" s="273" t="s">
        <v>2774</v>
      </c>
      <c r="F240" s="265">
        <v>2274.0</v>
      </c>
      <c r="G240" s="265">
        <v>1631447.0</v>
      </c>
      <c r="H240" s="265" t="s">
        <v>1775</v>
      </c>
      <c r="I240" s="265" t="s">
        <v>2459</v>
      </c>
      <c r="J240" s="273" t="s">
        <v>2697</v>
      </c>
      <c r="K240" s="308"/>
      <c r="L240" s="273" t="s">
        <v>2298</v>
      </c>
      <c r="M240" s="360" t="s">
        <v>2775</v>
      </c>
      <c r="N240" s="289" t="s">
        <v>2323</v>
      </c>
      <c r="O240" s="323"/>
      <c r="P240" s="323"/>
      <c r="Q240" s="323"/>
      <c r="R240" s="323"/>
      <c r="S240" s="323"/>
      <c r="T240" s="323"/>
      <c r="U240" s="323"/>
      <c r="V240" s="323"/>
    </row>
    <row r="241" hidden="1">
      <c r="A241" s="273" t="s">
        <v>1787</v>
      </c>
      <c r="B241" s="273" t="s">
        <v>1084</v>
      </c>
      <c r="C241" s="265">
        <v>903925.0</v>
      </c>
      <c r="D241" s="265">
        <v>1.1558173E7</v>
      </c>
      <c r="E241" s="273" t="s">
        <v>2481</v>
      </c>
      <c r="F241" s="265">
        <v>2273.0</v>
      </c>
      <c r="G241" s="265">
        <v>1631455.0</v>
      </c>
      <c r="H241" s="265" t="s">
        <v>913</v>
      </c>
      <c r="I241" s="265" t="s">
        <v>2454</v>
      </c>
      <c r="J241" s="308"/>
      <c r="K241" s="308"/>
      <c r="L241" s="273" t="s">
        <v>131</v>
      </c>
      <c r="M241" s="361"/>
      <c r="N241" s="289" t="s">
        <v>2323</v>
      </c>
      <c r="O241" s="323"/>
      <c r="P241" s="323"/>
      <c r="Q241" s="323"/>
      <c r="R241" s="323"/>
      <c r="S241" s="323"/>
      <c r="T241" s="323"/>
      <c r="U241" s="323"/>
      <c r="V241" s="323"/>
    </row>
    <row r="242" hidden="1">
      <c r="A242" s="345">
        <v>45665.0</v>
      </c>
      <c r="B242" s="294" t="s">
        <v>1084</v>
      </c>
      <c r="C242" s="265">
        <v>25634.0</v>
      </c>
      <c r="D242" s="377">
        <v>1.1631881E7</v>
      </c>
      <c r="E242" s="294" t="s">
        <v>2511</v>
      </c>
      <c r="F242" s="284">
        <v>2284.0</v>
      </c>
      <c r="G242" s="284">
        <v>1657830.0</v>
      </c>
      <c r="H242" s="284" t="s">
        <v>913</v>
      </c>
      <c r="I242" s="284" t="s">
        <v>2454</v>
      </c>
      <c r="J242" s="378" t="s">
        <v>2776</v>
      </c>
      <c r="K242" s="379" t="s">
        <v>2777</v>
      </c>
      <c r="L242" s="273" t="s">
        <v>2704</v>
      </c>
      <c r="M242" s="380"/>
      <c r="N242" s="289" t="s">
        <v>2323</v>
      </c>
      <c r="O242" s="323"/>
      <c r="P242" s="323"/>
      <c r="Q242" s="323"/>
      <c r="R242" s="323"/>
      <c r="S242" s="323"/>
      <c r="T242" s="323"/>
      <c r="U242" s="323"/>
      <c r="V242" s="323"/>
    </row>
    <row r="243" hidden="1">
      <c r="A243" s="343" t="s">
        <v>1787</v>
      </c>
      <c r="B243" s="273" t="s">
        <v>1154</v>
      </c>
      <c r="C243" s="265">
        <v>904228.0</v>
      </c>
      <c r="D243" s="265">
        <v>1.1558174E7</v>
      </c>
      <c r="E243" s="273" t="s">
        <v>2452</v>
      </c>
      <c r="F243" s="265">
        <v>2275.0</v>
      </c>
      <c r="G243" s="265">
        <v>1631520.0</v>
      </c>
      <c r="H243" s="265" t="s">
        <v>1768</v>
      </c>
      <c r="I243" s="265" t="s">
        <v>2758</v>
      </c>
      <c r="J243" s="308" t="s">
        <v>2678</v>
      </c>
      <c r="K243" s="308"/>
      <c r="L243" s="273" t="s">
        <v>2298</v>
      </c>
      <c r="M243" s="360"/>
      <c r="N243" s="289" t="s">
        <v>2323</v>
      </c>
      <c r="O243" s="323"/>
      <c r="P243" s="323"/>
      <c r="Q243" s="323"/>
      <c r="R243" s="323"/>
      <c r="S243" s="323"/>
      <c r="T243" s="323"/>
      <c r="U243" s="323"/>
      <c r="V243" s="323"/>
    </row>
    <row r="244" hidden="1">
      <c r="A244" s="273" t="s">
        <v>1787</v>
      </c>
      <c r="B244" s="273" t="s">
        <v>1154</v>
      </c>
      <c r="C244" s="265">
        <v>904232.0</v>
      </c>
      <c r="D244" s="265">
        <v>1.1558173E7</v>
      </c>
      <c r="E244" s="273" t="s">
        <v>2452</v>
      </c>
      <c r="F244" s="265">
        <v>2273.0</v>
      </c>
      <c r="G244" s="265">
        <v>1631455.0</v>
      </c>
      <c r="H244" s="265" t="s">
        <v>913</v>
      </c>
      <c r="I244" s="265" t="s">
        <v>2454</v>
      </c>
      <c r="J244" s="308" t="s">
        <v>2678</v>
      </c>
      <c r="K244" s="308"/>
      <c r="L244" s="273" t="s">
        <v>2298</v>
      </c>
      <c r="M244" s="361"/>
      <c r="N244" s="289" t="s">
        <v>2323</v>
      </c>
      <c r="O244" s="323"/>
      <c r="P244" s="323"/>
      <c r="Q244" s="323"/>
      <c r="R244" s="323"/>
      <c r="S244" s="323"/>
      <c r="T244" s="323"/>
      <c r="U244" s="323"/>
      <c r="V244" s="323"/>
    </row>
    <row r="245" hidden="1">
      <c r="A245" s="273" t="s">
        <v>1787</v>
      </c>
      <c r="B245" s="273" t="s">
        <v>1154</v>
      </c>
      <c r="C245" s="265">
        <v>904301.0</v>
      </c>
      <c r="D245" s="284">
        <v>1.1560236E7</v>
      </c>
      <c r="E245" s="294" t="s">
        <v>2778</v>
      </c>
      <c r="F245" s="284">
        <v>2276.0</v>
      </c>
      <c r="G245" s="284">
        <v>1631561.0</v>
      </c>
      <c r="H245" s="284" t="s">
        <v>1784</v>
      </c>
      <c r="I245" s="284" t="s">
        <v>2779</v>
      </c>
      <c r="J245" s="294" t="s">
        <v>2628</v>
      </c>
      <c r="K245" s="347"/>
      <c r="L245" s="294" t="s">
        <v>2780</v>
      </c>
      <c r="M245" s="361"/>
      <c r="N245" s="289" t="s">
        <v>2300</v>
      </c>
      <c r="O245" s="323"/>
      <c r="P245" s="323"/>
      <c r="Q245" s="323"/>
      <c r="R245" s="323"/>
      <c r="S245" s="323"/>
      <c r="T245" s="323"/>
      <c r="U245" s="323"/>
      <c r="V245" s="323"/>
    </row>
    <row r="246" hidden="1">
      <c r="A246" s="343">
        <v>45664.0</v>
      </c>
      <c r="B246" s="273" t="s">
        <v>2059</v>
      </c>
      <c r="C246" s="265">
        <v>904937.0</v>
      </c>
      <c r="D246" s="265">
        <v>1.1563474E7</v>
      </c>
      <c r="E246" s="273" t="s">
        <v>2379</v>
      </c>
      <c r="F246" s="265"/>
      <c r="G246" s="265">
        <v>1633160.0</v>
      </c>
      <c r="H246" s="284" t="s">
        <v>1172</v>
      </c>
      <c r="I246" s="284" t="s">
        <v>1921</v>
      </c>
      <c r="J246" s="308"/>
      <c r="K246" s="308"/>
      <c r="L246" s="273" t="s">
        <v>2298</v>
      </c>
      <c r="M246" s="360" t="s">
        <v>2781</v>
      </c>
      <c r="N246" s="289" t="s">
        <v>2323</v>
      </c>
      <c r="O246" s="323"/>
      <c r="P246" s="323"/>
      <c r="Q246" s="323"/>
      <c r="R246" s="323"/>
      <c r="S246" s="323"/>
      <c r="T246" s="323"/>
      <c r="U246" s="323"/>
      <c r="V246" s="323"/>
    </row>
    <row r="247" hidden="1">
      <c r="A247" s="345">
        <v>45695.0</v>
      </c>
      <c r="B247" s="273" t="s">
        <v>2782</v>
      </c>
      <c r="C247" s="284">
        <v>905335.0</v>
      </c>
      <c r="D247" s="284">
        <v>1.1566124E7</v>
      </c>
      <c r="E247" s="294" t="s">
        <v>2783</v>
      </c>
      <c r="F247" s="284"/>
      <c r="G247" s="265">
        <v>1633595.0</v>
      </c>
      <c r="H247" s="284" t="s">
        <v>955</v>
      </c>
      <c r="I247" s="284" t="s">
        <v>955</v>
      </c>
      <c r="J247" s="347"/>
      <c r="K247" s="347"/>
      <c r="L247" s="294" t="s">
        <v>2784</v>
      </c>
      <c r="M247" s="381" t="s">
        <v>2785</v>
      </c>
      <c r="N247" s="289" t="s">
        <v>2436</v>
      </c>
      <c r="O247" s="323"/>
      <c r="P247" s="323"/>
      <c r="Q247" s="323"/>
      <c r="R247" s="323"/>
      <c r="S247" s="323"/>
      <c r="T247" s="323"/>
      <c r="U247" s="323"/>
      <c r="V247" s="323"/>
    </row>
    <row r="248" hidden="1">
      <c r="A248" s="343">
        <v>45723.0</v>
      </c>
      <c r="B248" s="273" t="s">
        <v>1154</v>
      </c>
      <c r="C248" s="265">
        <v>906240.0</v>
      </c>
      <c r="D248" s="284">
        <v>1.1559929E7</v>
      </c>
      <c r="E248" s="273" t="s">
        <v>2774</v>
      </c>
      <c r="F248" s="265">
        <v>2274.0</v>
      </c>
      <c r="G248" s="265">
        <v>1631447.0</v>
      </c>
      <c r="H248" s="265" t="s">
        <v>1775</v>
      </c>
      <c r="I248" s="265" t="s">
        <v>2459</v>
      </c>
      <c r="J248" s="273" t="s">
        <v>2786</v>
      </c>
      <c r="K248" s="308"/>
      <c r="L248" s="273" t="s">
        <v>2298</v>
      </c>
      <c r="M248" s="360"/>
      <c r="N248" s="289" t="s">
        <v>2323</v>
      </c>
      <c r="O248" s="323"/>
      <c r="P248" s="323"/>
      <c r="Q248" s="323"/>
      <c r="R248" s="323"/>
      <c r="S248" s="323"/>
      <c r="T248" s="323"/>
      <c r="U248" s="323"/>
      <c r="V248" s="323"/>
    </row>
    <row r="249" hidden="1">
      <c r="A249" s="343">
        <v>45876.0</v>
      </c>
      <c r="B249" s="273" t="s">
        <v>1154</v>
      </c>
      <c r="C249" s="265">
        <v>907780.0</v>
      </c>
      <c r="D249" s="265">
        <v>1.1566124E7</v>
      </c>
      <c r="E249" s="294" t="s">
        <v>2783</v>
      </c>
      <c r="F249" s="265">
        <v>2279.0</v>
      </c>
      <c r="G249" s="265">
        <v>1633595.0</v>
      </c>
      <c r="H249" s="284" t="s">
        <v>955</v>
      </c>
      <c r="I249" s="284" t="s">
        <v>955</v>
      </c>
      <c r="J249" s="273" t="s">
        <v>2787</v>
      </c>
      <c r="K249" s="308"/>
      <c r="L249" s="273" t="s">
        <v>2648</v>
      </c>
      <c r="M249" s="361"/>
      <c r="N249" s="289" t="s">
        <v>2323</v>
      </c>
      <c r="O249" s="323"/>
      <c r="P249" s="323"/>
      <c r="Q249" s="323"/>
      <c r="R249" s="323"/>
      <c r="S249" s="323"/>
      <c r="T249" s="323"/>
      <c r="U249" s="323"/>
      <c r="V249" s="323"/>
    </row>
    <row r="250" hidden="1">
      <c r="A250" s="343">
        <v>45876.0</v>
      </c>
      <c r="B250" s="273" t="s">
        <v>2584</v>
      </c>
      <c r="C250" s="265">
        <v>907782.0</v>
      </c>
      <c r="D250" s="265">
        <v>1.1566124E7</v>
      </c>
      <c r="E250" s="294" t="s">
        <v>2783</v>
      </c>
      <c r="F250" s="265">
        <v>2279.0</v>
      </c>
      <c r="G250" s="265">
        <v>1633595.0</v>
      </c>
      <c r="H250" s="284" t="s">
        <v>955</v>
      </c>
      <c r="I250" s="284" t="s">
        <v>955</v>
      </c>
      <c r="J250" s="308"/>
      <c r="K250" s="308"/>
      <c r="L250" s="273" t="s">
        <v>2648</v>
      </c>
      <c r="M250" s="360"/>
      <c r="N250" s="289" t="s">
        <v>2323</v>
      </c>
      <c r="O250" s="323"/>
      <c r="P250" s="323"/>
      <c r="Q250" s="323"/>
      <c r="R250" s="323"/>
      <c r="S250" s="323"/>
      <c r="T250" s="323"/>
      <c r="U250" s="323"/>
      <c r="V250" s="323"/>
    </row>
    <row r="251" hidden="1">
      <c r="A251" s="343">
        <v>45937.0</v>
      </c>
      <c r="B251" s="273" t="s">
        <v>2537</v>
      </c>
      <c r="C251" s="265">
        <v>11808.0</v>
      </c>
      <c r="D251" s="265">
        <v>1.1587093E7</v>
      </c>
      <c r="E251" s="273" t="s">
        <v>2407</v>
      </c>
      <c r="F251" s="265"/>
      <c r="G251" s="84">
        <v>1639915.0</v>
      </c>
      <c r="H251" s="265" t="s">
        <v>1204</v>
      </c>
      <c r="I251" s="265" t="s">
        <v>2429</v>
      </c>
      <c r="J251" s="308"/>
      <c r="K251" s="308"/>
      <c r="L251" s="273" t="s">
        <v>2298</v>
      </c>
      <c r="M251" s="360"/>
      <c r="N251" s="289" t="s">
        <v>2323</v>
      </c>
      <c r="O251" s="323"/>
      <c r="P251" s="323"/>
      <c r="Q251" s="323"/>
      <c r="R251" s="323"/>
      <c r="S251" s="323"/>
      <c r="T251" s="323"/>
      <c r="U251" s="323"/>
      <c r="V251" s="323"/>
    </row>
    <row r="252" hidden="1">
      <c r="A252" s="343" t="s">
        <v>2788</v>
      </c>
      <c r="B252" s="273" t="s">
        <v>2589</v>
      </c>
      <c r="C252" s="265">
        <v>912916.0</v>
      </c>
      <c r="D252" s="265">
        <v>1.1560322E7</v>
      </c>
      <c r="E252" s="273" t="s">
        <v>2481</v>
      </c>
      <c r="F252" s="265">
        <v>2277.0</v>
      </c>
      <c r="G252" s="84">
        <v>1632622.0</v>
      </c>
      <c r="H252" s="265" t="s">
        <v>1792</v>
      </c>
      <c r="I252" s="265" t="s">
        <v>2444</v>
      </c>
      <c r="J252" s="308"/>
      <c r="K252" s="308"/>
      <c r="L252" s="273" t="s">
        <v>2298</v>
      </c>
      <c r="M252" s="360"/>
      <c r="N252" s="289" t="s">
        <v>2323</v>
      </c>
      <c r="O252" s="323"/>
      <c r="P252" s="323"/>
      <c r="Q252" s="323"/>
      <c r="R252" s="323"/>
      <c r="S252" s="323"/>
      <c r="T252" s="323"/>
      <c r="U252" s="323"/>
      <c r="V252" s="323"/>
    </row>
    <row r="253" hidden="1">
      <c r="A253" s="345">
        <v>45665.0</v>
      </c>
      <c r="B253" s="294" t="s">
        <v>2537</v>
      </c>
      <c r="C253" s="265">
        <v>25552.0</v>
      </c>
      <c r="D253" s="377">
        <v>1.1631962E7</v>
      </c>
      <c r="E253" s="294" t="s">
        <v>2511</v>
      </c>
      <c r="F253" s="284">
        <v>2283.0</v>
      </c>
      <c r="G253" s="284">
        <v>1657832.0</v>
      </c>
      <c r="H253" s="284" t="s">
        <v>1842</v>
      </c>
      <c r="I253" s="284" t="s">
        <v>2466</v>
      </c>
      <c r="J253" s="378" t="s">
        <v>2776</v>
      </c>
      <c r="K253" s="379" t="s">
        <v>2777</v>
      </c>
      <c r="L253" s="294" t="s">
        <v>2704</v>
      </c>
      <c r="M253" s="380"/>
      <c r="N253" s="289" t="s">
        <v>2323</v>
      </c>
      <c r="O253" s="323"/>
      <c r="P253" s="323"/>
      <c r="Q253" s="323"/>
      <c r="R253" s="323"/>
      <c r="S253" s="323"/>
      <c r="T253" s="323"/>
      <c r="U253" s="323"/>
      <c r="V253" s="323"/>
    </row>
    <row r="254" hidden="1">
      <c r="A254" s="345">
        <v>45846.0</v>
      </c>
      <c r="B254" s="294" t="s">
        <v>1154</v>
      </c>
      <c r="C254" s="284">
        <v>31205.0</v>
      </c>
      <c r="D254" s="377">
        <v>1.1631962E7</v>
      </c>
      <c r="E254" s="294" t="s">
        <v>2511</v>
      </c>
      <c r="F254" s="284"/>
      <c r="G254" s="284">
        <v>1657832.0</v>
      </c>
      <c r="H254" s="284" t="s">
        <v>1842</v>
      </c>
      <c r="I254" s="284" t="s">
        <v>2466</v>
      </c>
      <c r="J254" s="347"/>
      <c r="K254" s="347"/>
      <c r="L254" s="294" t="s">
        <v>2435</v>
      </c>
      <c r="M254" s="380"/>
      <c r="N254" s="289" t="s">
        <v>2436</v>
      </c>
      <c r="O254" s="382"/>
      <c r="P254" s="382"/>
      <c r="Q254" s="382"/>
      <c r="R254" s="382"/>
      <c r="S254" s="382"/>
      <c r="T254" s="382"/>
      <c r="U254" s="382"/>
    </row>
    <row r="255" hidden="1">
      <c r="A255" s="345">
        <v>45877.0</v>
      </c>
      <c r="B255" s="294" t="s">
        <v>1154</v>
      </c>
      <c r="C255" s="284">
        <v>32161.0</v>
      </c>
      <c r="D255" s="284">
        <v>1.1631881E7</v>
      </c>
      <c r="E255" s="294" t="s">
        <v>2511</v>
      </c>
      <c r="F255" s="284"/>
      <c r="G255" s="284">
        <v>1657832.0</v>
      </c>
      <c r="H255" s="284" t="s">
        <v>913</v>
      </c>
      <c r="I255" s="284" t="s">
        <v>2454</v>
      </c>
      <c r="J255" s="347"/>
      <c r="K255" s="347"/>
      <c r="L255" s="294" t="s">
        <v>2435</v>
      </c>
      <c r="M255" s="380"/>
      <c r="N255" s="289" t="s">
        <v>2436</v>
      </c>
      <c r="O255" s="382"/>
      <c r="P255" s="382"/>
      <c r="Q255" s="382"/>
      <c r="R255" s="382"/>
      <c r="S255" s="382"/>
      <c r="T255" s="382"/>
      <c r="U255" s="382"/>
    </row>
    <row r="256" hidden="1">
      <c r="A256" s="345">
        <v>45846.0</v>
      </c>
      <c r="B256" s="294" t="s">
        <v>1154</v>
      </c>
      <c r="C256" s="265">
        <v>32161.0</v>
      </c>
      <c r="D256" s="377">
        <v>1.1631881E7</v>
      </c>
      <c r="E256" s="294" t="s">
        <v>2511</v>
      </c>
      <c r="F256" s="284">
        <v>2284.0</v>
      </c>
      <c r="G256" s="284">
        <v>1657830.0</v>
      </c>
      <c r="H256" s="284" t="s">
        <v>913</v>
      </c>
      <c r="I256" s="284" t="s">
        <v>2454</v>
      </c>
      <c r="J256" s="378" t="s">
        <v>2789</v>
      </c>
      <c r="K256" s="383"/>
      <c r="L256" s="294" t="s">
        <v>2704</v>
      </c>
      <c r="M256" s="380"/>
      <c r="N256" s="289" t="s">
        <v>2323</v>
      </c>
      <c r="O256" s="323"/>
      <c r="P256" s="323"/>
      <c r="Q256" s="323"/>
      <c r="R256" s="323"/>
      <c r="S256" s="323"/>
      <c r="T256" s="323"/>
      <c r="U256" s="323"/>
      <c r="V256" s="323"/>
    </row>
    <row r="257" hidden="1">
      <c r="A257" s="345">
        <v>45846.0</v>
      </c>
      <c r="B257" s="294" t="s">
        <v>1154</v>
      </c>
      <c r="C257" s="265">
        <v>31205.0</v>
      </c>
      <c r="D257" s="377">
        <v>1.1631962E7</v>
      </c>
      <c r="E257" s="294" t="s">
        <v>2511</v>
      </c>
      <c r="F257" s="284">
        <v>2283.0</v>
      </c>
      <c r="G257" s="284">
        <v>1657832.0</v>
      </c>
      <c r="H257" s="284" t="s">
        <v>1842</v>
      </c>
      <c r="I257" s="284" t="s">
        <v>2466</v>
      </c>
      <c r="J257" s="378" t="s">
        <v>2789</v>
      </c>
      <c r="K257" s="383"/>
      <c r="L257" s="294" t="s">
        <v>2704</v>
      </c>
      <c r="M257" s="380"/>
      <c r="N257" s="289" t="s">
        <v>2323</v>
      </c>
      <c r="O257" s="323"/>
      <c r="P257" s="323"/>
      <c r="Q257" s="323"/>
      <c r="R257" s="323"/>
      <c r="S257" s="323"/>
      <c r="T257" s="323"/>
      <c r="U257" s="323"/>
      <c r="V257" s="323"/>
    </row>
    <row r="258" hidden="1">
      <c r="A258" s="294" t="s">
        <v>1847</v>
      </c>
      <c r="B258" s="294" t="s">
        <v>2307</v>
      </c>
      <c r="C258" s="265">
        <v>38270.0</v>
      </c>
      <c r="D258" s="284">
        <v>1.1665805E7</v>
      </c>
      <c r="E258" s="294" t="s">
        <v>2295</v>
      </c>
      <c r="F258" s="284">
        <v>2288.0</v>
      </c>
      <c r="G258" s="284">
        <v>1669523.0</v>
      </c>
      <c r="H258" s="284" t="s">
        <v>888</v>
      </c>
      <c r="I258" s="284" t="s">
        <v>1936</v>
      </c>
      <c r="J258" s="378" t="s">
        <v>2701</v>
      </c>
      <c r="K258" s="383"/>
      <c r="L258" s="294" t="s">
        <v>2648</v>
      </c>
      <c r="M258" s="380"/>
      <c r="N258" s="289" t="s">
        <v>2323</v>
      </c>
      <c r="O258" s="323"/>
      <c r="P258" s="323"/>
      <c r="Q258" s="323"/>
      <c r="R258" s="323"/>
      <c r="S258" s="323"/>
      <c r="T258" s="323"/>
      <c r="U258" s="323"/>
      <c r="V258" s="323"/>
    </row>
    <row r="259" hidden="1">
      <c r="A259" s="294" t="s">
        <v>1868</v>
      </c>
      <c r="B259" s="294" t="s">
        <v>1154</v>
      </c>
      <c r="C259" s="265">
        <v>43093.0</v>
      </c>
      <c r="D259" s="284">
        <v>1.1684093E7</v>
      </c>
      <c r="E259" s="294" t="s">
        <v>2481</v>
      </c>
      <c r="F259" s="284">
        <v>2290.0</v>
      </c>
      <c r="G259" s="284">
        <v>1674671.0</v>
      </c>
      <c r="H259" s="284" t="s">
        <v>1172</v>
      </c>
      <c r="I259" s="284" t="s">
        <v>1921</v>
      </c>
      <c r="J259" s="378" t="s">
        <v>2678</v>
      </c>
      <c r="K259" s="383"/>
      <c r="L259" s="294" t="s">
        <v>2704</v>
      </c>
      <c r="M259" s="380"/>
      <c r="N259" s="289" t="s">
        <v>2323</v>
      </c>
      <c r="O259" s="323"/>
      <c r="P259" s="323"/>
      <c r="Q259" s="323"/>
      <c r="R259" s="323"/>
      <c r="S259" s="323"/>
      <c r="T259" s="323"/>
      <c r="U259" s="323"/>
      <c r="V259" s="323"/>
    </row>
    <row r="260" hidden="1">
      <c r="A260" s="294" t="s">
        <v>1858</v>
      </c>
      <c r="B260" s="294" t="s">
        <v>1154</v>
      </c>
      <c r="C260" s="265">
        <v>43546.0</v>
      </c>
      <c r="D260" s="284">
        <v>1.1680324E7</v>
      </c>
      <c r="E260" s="294" t="s">
        <v>2365</v>
      </c>
      <c r="F260" s="284">
        <v>2294.0</v>
      </c>
      <c r="G260" s="284">
        <v>1675410.0</v>
      </c>
      <c r="H260" s="284" t="s">
        <v>2790</v>
      </c>
      <c r="I260" s="284" t="s">
        <v>1860</v>
      </c>
      <c r="J260" s="378" t="s">
        <v>2791</v>
      </c>
      <c r="K260" s="383"/>
      <c r="L260" s="294" t="s">
        <v>2704</v>
      </c>
      <c r="M260" s="380"/>
      <c r="N260" s="289" t="s">
        <v>2323</v>
      </c>
      <c r="O260" s="323"/>
      <c r="P260" s="323"/>
      <c r="Q260" s="323"/>
      <c r="R260" s="323"/>
      <c r="S260" s="323"/>
      <c r="T260" s="323"/>
      <c r="U260" s="323"/>
      <c r="V260" s="323"/>
    </row>
    <row r="261" hidden="1">
      <c r="A261" s="294" t="s">
        <v>1858</v>
      </c>
      <c r="B261" s="294" t="s">
        <v>1154</v>
      </c>
      <c r="C261" s="265">
        <v>46561.0</v>
      </c>
      <c r="D261" s="284">
        <v>1.1689753E7</v>
      </c>
      <c r="E261" s="294" t="s">
        <v>2407</v>
      </c>
      <c r="F261" s="284">
        <v>2292.0</v>
      </c>
      <c r="G261" s="284">
        <v>1675193.0</v>
      </c>
      <c r="H261" s="284" t="s">
        <v>1286</v>
      </c>
      <c r="I261" s="284" t="s">
        <v>1883</v>
      </c>
      <c r="J261" s="378" t="s">
        <v>2792</v>
      </c>
      <c r="K261" s="383"/>
      <c r="L261" s="294" t="s">
        <v>2704</v>
      </c>
      <c r="M261" s="380"/>
      <c r="N261" s="289" t="s">
        <v>2323</v>
      </c>
      <c r="O261" s="323"/>
      <c r="P261" s="323"/>
      <c r="Q261" s="323"/>
      <c r="R261" s="323"/>
      <c r="S261" s="323"/>
      <c r="T261" s="323"/>
      <c r="U261" s="323"/>
      <c r="V261" s="323"/>
    </row>
    <row r="262">
      <c r="A262" s="294" t="s">
        <v>1858</v>
      </c>
      <c r="B262" s="294" t="s">
        <v>1084</v>
      </c>
      <c r="C262" s="265">
        <v>44451.0</v>
      </c>
      <c r="D262" s="284">
        <v>1.1689753E7</v>
      </c>
      <c r="E262" s="294" t="s">
        <v>2407</v>
      </c>
      <c r="F262" s="284">
        <v>2292.0</v>
      </c>
      <c r="G262" s="284">
        <v>1675193.0</v>
      </c>
      <c r="H262" s="284" t="s">
        <v>1286</v>
      </c>
      <c r="I262" s="284" t="s">
        <v>1883</v>
      </c>
      <c r="J262" s="378">
        <v>909.0</v>
      </c>
      <c r="K262" s="379">
        <v>500.0</v>
      </c>
      <c r="L262" s="294" t="s">
        <v>2470</v>
      </c>
      <c r="M262" s="381" t="s">
        <v>2793</v>
      </c>
      <c r="N262" s="289" t="s">
        <v>2323</v>
      </c>
      <c r="O262" s="323"/>
      <c r="P262" s="323"/>
      <c r="Q262" s="323"/>
      <c r="R262" s="323"/>
      <c r="S262" s="323"/>
      <c r="T262" s="323"/>
      <c r="U262" s="323"/>
      <c r="V262" s="323"/>
    </row>
    <row r="263" hidden="1">
      <c r="A263" s="294" t="s">
        <v>1900</v>
      </c>
      <c r="B263" s="294" t="s">
        <v>2584</v>
      </c>
      <c r="C263" s="265">
        <v>48318.0</v>
      </c>
      <c r="D263" s="284">
        <v>1.1697772E7</v>
      </c>
      <c r="E263" s="294" t="s">
        <v>2486</v>
      </c>
      <c r="F263" s="284">
        <v>188257.0</v>
      </c>
      <c r="G263" s="284">
        <v>1677304.0</v>
      </c>
      <c r="H263" s="284" t="s">
        <v>2790</v>
      </c>
      <c r="I263" s="284" t="s">
        <v>1860</v>
      </c>
      <c r="J263" s="384"/>
      <c r="K263" s="383"/>
      <c r="L263" s="294" t="s">
        <v>2741</v>
      </c>
      <c r="M263" s="380"/>
      <c r="N263" s="289" t="s">
        <v>2436</v>
      </c>
      <c r="O263" s="323"/>
      <c r="P263" s="323"/>
      <c r="Q263" s="323"/>
      <c r="R263" s="323"/>
      <c r="S263" s="323"/>
      <c r="T263" s="323"/>
      <c r="U263" s="323"/>
      <c r="V263" s="323"/>
    </row>
    <row r="264">
      <c r="A264" s="294" t="s">
        <v>2794</v>
      </c>
      <c r="B264" s="294" t="s">
        <v>2537</v>
      </c>
      <c r="C264" s="265">
        <v>48415.0</v>
      </c>
      <c r="D264" s="284">
        <v>1.1691637E7</v>
      </c>
      <c r="E264" s="294" t="s">
        <v>2417</v>
      </c>
      <c r="F264" s="284">
        <v>538516.0</v>
      </c>
      <c r="G264" s="284">
        <v>1677249.0</v>
      </c>
      <c r="H264" s="284" t="s">
        <v>1742</v>
      </c>
      <c r="I264" s="284" t="s">
        <v>1890</v>
      </c>
      <c r="J264" s="384"/>
      <c r="K264" s="383"/>
      <c r="L264" s="273" t="s">
        <v>2298</v>
      </c>
      <c r="M264" s="380"/>
      <c r="N264" s="289" t="s">
        <v>2323</v>
      </c>
      <c r="O264" s="323"/>
      <c r="P264" s="323"/>
      <c r="Q264" s="323"/>
      <c r="R264" s="323"/>
      <c r="S264" s="323"/>
      <c r="T264" s="323"/>
      <c r="U264" s="323"/>
      <c r="V264" s="323"/>
    </row>
    <row r="265">
      <c r="A265" s="345">
        <v>45697.0</v>
      </c>
      <c r="B265" s="294" t="s">
        <v>1154</v>
      </c>
      <c r="C265" s="265">
        <v>56849.0</v>
      </c>
      <c r="D265" s="284">
        <v>1.1698635E7</v>
      </c>
      <c r="E265" s="294" t="s">
        <v>2403</v>
      </c>
      <c r="F265" s="284">
        <v>2295.0</v>
      </c>
      <c r="G265" s="284">
        <v>1680373.0</v>
      </c>
      <c r="H265" s="284"/>
      <c r="I265" s="284" t="s">
        <v>1860</v>
      </c>
      <c r="J265" s="378"/>
      <c r="K265" s="378" t="s">
        <v>2795</v>
      </c>
      <c r="L265" s="273" t="s">
        <v>2796</v>
      </c>
      <c r="M265" s="380"/>
      <c r="N265" s="289" t="s">
        <v>2436</v>
      </c>
      <c r="O265" s="323"/>
      <c r="P265" s="323"/>
      <c r="Q265" s="323"/>
      <c r="R265" s="323"/>
      <c r="S265" s="323"/>
      <c r="T265" s="323"/>
      <c r="U265" s="323"/>
      <c r="V265" s="323"/>
    </row>
    <row r="266">
      <c r="A266" s="345">
        <v>45725.0</v>
      </c>
      <c r="B266" s="294" t="s">
        <v>1154</v>
      </c>
      <c r="C266" s="265">
        <v>59219.0</v>
      </c>
      <c r="D266" s="284">
        <v>1.1706839E7</v>
      </c>
      <c r="E266" s="294" t="s">
        <v>2295</v>
      </c>
      <c r="F266" s="284"/>
      <c r="G266" s="284">
        <v>1680896.0</v>
      </c>
      <c r="H266" s="284"/>
      <c r="I266" s="284" t="s">
        <v>1916</v>
      </c>
      <c r="J266" s="378"/>
      <c r="K266" s="378" t="s">
        <v>2797</v>
      </c>
      <c r="L266" s="294" t="s">
        <v>2470</v>
      </c>
      <c r="M266" s="381" t="s">
        <v>2798</v>
      </c>
      <c r="N266" s="289" t="s">
        <v>2300</v>
      </c>
      <c r="O266" s="323"/>
      <c r="P266" s="323"/>
      <c r="Q266" s="323"/>
      <c r="R266" s="323"/>
      <c r="S266" s="323"/>
      <c r="T266" s="323"/>
      <c r="U266" s="323"/>
      <c r="V266" s="323"/>
    </row>
    <row r="267">
      <c r="A267" s="345">
        <v>45725.0</v>
      </c>
      <c r="B267" s="294" t="s">
        <v>1154</v>
      </c>
      <c r="C267" s="265">
        <v>60505.0</v>
      </c>
      <c r="D267" s="284">
        <v>1.1706841E7</v>
      </c>
      <c r="E267" s="294" t="s">
        <v>2295</v>
      </c>
      <c r="F267" s="284"/>
      <c r="G267" s="284">
        <v>1680900.0</v>
      </c>
      <c r="H267" s="284"/>
      <c r="I267" s="284" t="s">
        <v>1921</v>
      </c>
      <c r="J267" s="378"/>
      <c r="K267" s="378" t="s">
        <v>2797</v>
      </c>
      <c r="L267" s="273" t="s">
        <v>2796</v>
      </c>
      <c r="M267" s="380"/>
      <c r="N267" s="289" t="s">
        <v>2436</v>
      </c>
      <c r="O267" s="323"/>
      <c r="P267" s="323"/>
      <c r="Q267" s="323"/>
      <c r="R267" s="323"/>
      <c r="S267" s="323"/>
      <c r="T267" s="323"/>
      <c r="U267" s="323"/>
      <c r="V267" s="323"/>
    </row>
    <row r="268">
      <c r="A268" s="345">
        <v>45725.0</v>
      </c>
      <c r="B268" s="294" t="s">
        <v>1154</v>
      </c>
      <c r="C268" s="265">
        <v>59244.0</v>
      </c>
      <c r="D268" s="284">
        <v>1.1706842E7</v>
      </c>
      <c r="E268" s="294" t="s">
        <v>2295</v>
      </c>
      <c r="F268" s="284"/>
      <c r="G268" s="284">
        <v>1680450.0</v>
      </c>
      <c r="H268" s="284"/>
      <c r="I268" s="284" t="s">
        <v>1890</v>
      </c>
      <c r="J268" s="378">
        <v>88.64</v>
      </c>
      <c r="K268" s="378" t="s">
        <v>2797</v>
      </c>
      <c r="L268" s="294" t="s">
        <v>2470</v>
      </c>
      <c r="M268" s="381" t="s">
        <v>2799</v>
      </c>
      <c r="N268" s="289" t="s">
        <v>2323</v>
      </c>
      <c r="O268" s="323"/>
      <c r="P268" s="323"/>
      <c r="Q268" s="323"/>
      <c r="R268" s="323"/>
      <c r="S268" s="323"/>
      <c r="T268" s="323"/>
      <c r="U268" s="323"/>
      <c r="V268" s="323"/>
    </row>
    <row r="269">
      <c r="A269" s="345">
        <v>45725.0</v>
      </c>
      <c r="B269" s="294" t="s">
        <v>1154</v>
      </c>
      <c r="C269" s="265">
        <v>59290.0</v>
      </c>
      <c r="D269" s="284">
        <v>1.1706843E7</v>
      </c>
      <c r="E269" s="294" t="s">
        <v>2295</v>
      </c>
      <c r="F269" s="284"/>
      <c r="G269" s="284">
        <v>1681044.0</v>
      </c>
      <c r="H269" s="284"/>
      <c r="I269" s="284" t="s">
        <v>1931</v>
      </c>
      <c r="J269" s="378"/>
      <c r="K269" s="378" t="s">
        <v>2797</v>
      </c>
      <c r="L269" s="294" t="s">
        <v>2470</v>
      </c>
      <c r="M269" s="381" t="s">
        <v>2800</v>
      </c>
      <c r="N269" s="289" t="s">
        <v>2300</v>
      </c>
      <c r="O269" s="323"/>
      <c r="P269" s="323"/>
      <c r="Q269" s="323"/>
      <c r="R269" s="323"/>
      <c r="S269" s="323"/>
      <c r="T269" s="323"/>
      <c r="U269" s="323"/>
      <c r="V269" s="323"/>
    </row>
    <row r="270">
      <c r="A270" s="385">
        <v>45909.0</v>
      </c>
      <c r="B270" s="294" t="s">
        <v>1972</v>
      </c>
      <c r="C270" s="265">
        <v>71613.0</v>
      </c>
      <c r="D270" s="284">
        <v>1.1723352E7</v>
      </c>
      <c r="E270" s="294" t="s">
        <v>2295</v>
      </c>
      <c r="F270" s="284"/>
      <c r="G270" s="284">
        <v>1687385.0</v>
      </c>
      <c r="H270" s="284"/>
      <c r="I270" s="284" t="s">
        <v>1945</v>
      </c>
      <c r="J270" s="378">
        <v>4429.56</v>
      </c>
      <c r="K270" s="379">
        <v>2000.0</v>
      </c>
      <c r="L270" s="294" t="s">
        <v>2470</v>
      </c>
      <c r="M270" s="381" t="s">
        <v>2801</v>
      </c>
      <c r="N270" s="289" t="s">
        <v>2323</v>
      </c>
      <c r="O270" s="323"/>
      <c r="P270" s="323"/>
      <c r="Q270" s="323"/>
      <c r="R270" s="323"/>
      <c r="S270" s="323"/>
      <c r="T270" s="323"/>
      <c r="U270" s="323"/>
      <c r="V270" s="323"/>
    </row>
    <row r="271">
      <c r="A271" s="385">
        <v>45912.0</v>
      </c>
      <c r="B271" s="294" t="s">
        <v>1154</v>
      </c>
      <c r="C271" s="265">
        <v>77193.0</v>
      </c>
      <c r="D271" s="284">
        <v>1.1735796E7</v>
      </c>
      <c r="E271" s="294" t="s">
        <v>2511</v>
      </c>
      <c r="F271" s="284"/>
      <c r="G271" s="284">
        <v>1689663.0</v>
      </c>
      <c r="H271" s="284"/>
      <c r="I271" s="284" t="s">
        <v>1860</v>
      </c>
      <c r="J271" s="378">
        <v>598.0</v>
      </c>
      <c r="K271" s="379">
        <v>598.0</v>
      </c>
      <c r="L271" s="294" t="s">
        <v>2470</v>
      </c>
      <c r="M271" s="381" t="s">
        <v>2802</v>
      </c>
      <c r="N271" s="289" t="s">
        <v>2323</v>
      </c>
      <c r="O271" s="323"/>
      <c r="P271" s="323"/>
      <c r="Q271" s="323"/>
      <c r="R271" s="323"/>
      <c r="S271" s="323"/>
      <c r="T271" s="323"/>
      <c r="U271" s="323"/>
      <c r="V271" s="323"/>
    </row>
    <row r="272">
      <c r="A272" s="385">
        <v>45912.0</v>
      </c>
      <c r="B272" s="294" t="s">
        <v>1154</v>
      </c>
      <c r="C272" s="265">
        <v>74478.0</v>
      </c>
      <c r="D272" s="284">
        <v>1.173583E7</v>
      </c>
      <c r="E272" s="294" t="s">
        <v>2511</v>
      </c>
      <c r="F272" s="284"/>
      <c r="G272" s="284">
        <v>1689702.0</v>
      </c>
      <c r="H272" s="284"/>
      <c r="I272" s="284" t="s">
        <v>1916</v>
      </c>
      <c r="J272" s="378">
        <v>598.0</v>
      </c>
      <c r="K272" s="378">
        <v>598.0</v>
      </c>
      <c r="L272" s="294" t="s">
        <v>2470</v>
      </c>
      <c r="M272" s="381" t="s">
        <v>2803</v>
      </c>
      <c r="N272" s="289" t="s">
        <v>2323</v>
      </c>
      <c r="O272" s="323"/>
      <c r="P272" s="323"/>
      <c r="Q272" s="323"/>
      <c r="R272" s="323"/>
      <c r="S272" s="323"/>
      <c r="T272" s="323"/>
      <c r="U272" s="323"/>
      <c r="V272" s="323"/>
    </row>
    <row r="273">
      <c r="A273" s="385">
        <v>45915.0</v>
      </c>
      <c r="B273" s="294" t="s">
        <v>2059</v>
      </c>
      <c r="C273" s="265">
        <v>81701.0</v>
      </c>
      <c r="D273" s="284">
        <v>1.1734839E7</v>
      </c>
      <c r="E273" s="294" t="s">
        <v>2295</v>
      </c>
      <c r="F273" s="284"/>
      <c r="G273" s="284">
        <v>1692740.0</v>
      </c>
      <c r="H273" s="284"/>
      <c r="I273" s="284" t="s">
        <v>1943</v>
      </c>
      <c r="J273" s="378">
        <v>909.0</v>
      </c>
      <c r="K273" s="379">
        <v>500.0</v>
      </c>
      <c r="L273" s="294" t="s">
        <v>2470</v>
      </c>
      <c r="M273" s="381" t="s">
        <v>2804</v>
      </c>
      <c r="N273" s="289" t="s">
        <v>2323</v>
      </c>
      <c r="O273" s="323"/>
      <c r="P273" s="323"/>
      <c r="Q273" s="323"/>
      <c r="R273" s="323"/>
      <c r="S273" s="323"/>
      <c r="T273" s="323"/>
      <c r="U273" s="323"/>
      <c r="V273" s="323"/>
    </row>
    <row r="274">
      <c r="A274" s="385">
        <v>45915.0</v>
      </c>
      <c r="B274" s="294" t="s">
        <v>2307</v>
      </c>
      <c r="C274" s="265">
        <v>83972.0</v>
      </c>
      <c r="D274" s="284">
        <v>1.1734839E7</v>
      </c>
      <c r="E274" s="294" t="s">
        <v>2295</v>
      </c>
      <c r="F274" s="284"/>
      <c r="G274" s="284">
        <v>1692740.0</v>
      </c>
      <c r="H274" s="284"/>
      <c r="I274" s="284" t="s">
        <v>1943</v>
      </c>
      <c r="J274" s="378">
        <v>4429.55</v>
      </c>
      <c r="K274" s="379">
        <v>2000.0</v>
      </c>
      <c r="L274" s="294" t="s">
        <v>2470</v>
      </c>
      <c r="M274" s="381" t="s">
        <v>2805</v>
      </c>
      <c r="N274" s="289" t="s">
        <v>2323</v>
      </c>
      <c r="O274" s="323"/>
      <c r="P274" s="323"/>
      <c r="Q274" s="323"/>
      <c r="R274" s="323"/>
      <c r="S274" s="323"/>
      <c r="T274" s="323"/>
      <c r="U274" s="323"/>
      <c r="V274" s="323"/>
    </row>
    <row r="275">
      <c r="A275" s="385">
        <v>45915.0</v>
      </c>
      <c r="B275" s="294" t="s">
        <v>2059</v>
      </c>
      <c r="C275" s="265">
        <v>81723.0</v>
      </c>
      <c r="D275" s="284">
        <v>1.1734568E7</v>
      </c>
      <c r="E275" s="294" t="s">
        <v>2295</v>
      </c>
      <c r="F275" s="284"/>
      <c r="G275" s="284">
        <v>1692195.0</v>
      </c>
      <c r="H275" s="284"/>
      <c r="I275" s="284" t="s">
        <v>1945</v>
      </c>
      <c r="J275" s="378">
        <v>909.0</v>
      </c>
      <c r="K275" s="379">
        <v>500.0</v>
      </c>
      <c r="L275" s="294" t="s">
        <v>2470</v>
      </c>
      <c r="M275" s="381" t="s">
        <v>2806</v>
      </c>
      <c r="N275" s="289" t="s">
        <v>2323</v>
      </c>
      <c r="O275" s="323"/>
      <c r="P275" s="323"/>
      <c r="Q275" s="323"/>
      <c r="R275" s="323"/>
      <c r="S275" s="323"/>
      <c r="T275" s="323"/>
      <c r="U275" s="323"/>
      <c r="V275" s="323"/>
    </row>
    <row r="276">
      <c r="A276" s="385">
        <v>45915.0</v>
      </c>
      <c r="B276" s="294" t="s">
        <v>2307</v>
      </c>
      <c r="C276" s="265">
        <v>84008.0</v>
      </c>
      <c r="D276" s="284">
        <v>1.1734568E7</v>
      </c>
      <c r="E276" s="294" t="s">
        <v>2295</v>
      </c>
      <c r="F276" s="284"/>
      <c r="G276" s="284">
        <v>1692195.0</v>
      </c>
      <c r="H276" s="284"/>
      <c r="I276" s="284" t="s">
        <v>1945</v>
      </c>
      <c r="J276" s="378">
        <v>4429.55</v>
      </c>
      <c r="K276" s="379">
        <v>2000.0</v>
      </c>
      <c r="L276" s="294" t="s">
        <v>2470</v>
      </c>
      <c r="M276" s="381" t="s">
        <v>2807</v>
      </c>
      <c r="N276" s="289" t="s">
        <v>2323</v>
      </c>
      <c r="O276" s="323"/>
      <c r="P276" s="323"/>
      <c r="Q276" s="323"/>
      <c r="R276" s="323"/>
      <c r="S276" s="323"/>
      <c r="T276" s="323"/>
      <c r="U276" s="323"/>
      <c r="V276" s="323"/>
    </row>
    <row r="277">
      <c r="A277" s="385">
        <v>45916.0</v>
      </c>
      <c r="B277" s="294" t="s">
        <v>2059</v>
      </c>
      <c r="C277" s="265">
        <v>81763.0</v>
      </c>
      <c r="D277" s="284">
        <v>1.1745864E7</v>
      </c>
      <c r="E277" s="294" t="s">
        <v>2407</v>
      </c>
      <c r="F277" s="284"/>
      <c r="G277" s="284">
        <v>1692234.0</v>
      </c>
      <c r="H277" s="284"/>
      <c r="I277" s="284" t="s">
        <v>1969</v>
      </c>
      <c r="J277" s="384"/>
      <c r="K277" s="383"/>
      <c r="L277" s="273" t="s">
        <v>2808</v>
      </c>
      <c r="M277" s="380"/>
      <c r="N277" s="289" t="s">
        <v>2323</v>
      </c>
      <c r="O277" s="323"/>
      <c r="P277" s="323"/>
      <c r="Q277" s="323"/>
      <c r="R277" s="323"/>
      <c r="S277" s="323"/>
      <c r="T277" s="323"/>
      <c r="U277" s="323"/>
      <c r="V277" s="323"/>
    </row>
    <row r="278">
      <c r="A278" s="385">
        <v>45917.0</v>
      </c>
      <c r="B278" s="294" t="s">
        <v>2307</v>
      </c>
      <c r="C278" s="265">
        <v>84018.0</v>
      </c>
      <c r="D278" s="284">
        <v>1.1745117E7</v>
      </c>
      <c r="E278" s="294" t="s">
        <v>2295</v>
      </c>
      <c r="F278" s="284"/>
      <c r="G278" s="284">
        <v>1692733.0</v>
      </c>
      <c r="H278" s="284"/>
      <c r="I278" s="284" t="s">
        <v>1971</v>
      </c>
      <c r="J278" s="378">
        <v>4429.55</v>
      </c>
      <c r="K278" s="379">
        <v>0.0</v>
      </c>
      <c r="L278" s="273" t="s">
        <v>2470</v>
      </c>
      <c r="M278" s="381" t="s">
        <v>2809</v>
      </c>
      <c r="N278" s="289" t="s">
        <v>2323</v>
      </c>
      <c r="O278" s="323"/>
      <c r="P278" s="323"/>
      <c r="Q278" s="323"/>
      <c r="R278" s="323"/>
      <c r="S278" s="323"/>
      <c r="T278" s="323"/>
      <c r="U278" s="323"/>
      <c r="V278" s="323"/>
    </row>
    <row r="279">
      <c r="A279" s="385">
        <v>45918.0</v>
      </c>
      <c r="B279" s="294" t="s">
        <v>2307</v>
      </c>
      <c r="C279" s="265">
        <v>84028.0</v>
      </c>
      <c r="D279" s="284">
        <v>1.1745121E7</v>
      </c>
      <c r="E279" s="294" t="s">
        <v>2295</v>
      </c>
      <c r="F279" s="284"/>
      <c r="G279" s="284">
        <v>1693255.0</v>
      </c>
      <c r="H279" s="284"/>
      <c r="I279" s="284" t="s">
        <v>1916</v>
      </c>
      <c r="J279" s="378">
        <v>4429.55</v>
      </c>
      <c r="K279" s="379">
        <v>0.0</v>
      </c>
      <c r="L279" s="273" t="s">
        <v>2470</v>
      </c>
      <c r="M279" s="381" t="s">
        <v>2810</v>
      </c>
      <c r="N279" s="289" t="s">
        <v>2323</v>
      </c>
      <c r="O279" s="323"/>
      <c r="P279" s="323"/>
      <c r="Q279" s="323"/>
      <c r="R279" s="323"/>
      <c r="S279" s="323"/>
      <c r="T279" s="323"/>
      <c r="U279" s="323"/>
      <c r="V279" s="323"/>
    </row>
    <row r="280">
      <c r="A280" s="385">
        <v>45920.0</v>
      </c>
      <c r="B280" s="294" t="s">
        <v>1154</v>
      </c>
      <c r="C280" s="374">
        <v>85205.0</v>
      </c>
      <c r="D280" s="284">
        <v>1.1753177E7</v>
      </c>
      <c r="E280" s="294" t="s">
        <v>2465</v>
      </c>
      <c r="F280" s="284"/>
      <c r="G280" s="284">
        <v>1694535.0</v>
      </c>
      <c r="H280" s="284"/>
      <c r="I280" s="284" t="s">
        <v>1988</v>
      </c>
      <c r="J280" s="378">
        <v>520.0</v>
      </c>
      <c r="K280" s="379">
        <v>520.0</v>
      </c>
      <c r="L280" s="273" t="s">
        <v>2470</v>
      </c>
      <c r="M280" s="381" t="s">
        <v>2811</v>
      </c>
      <c r="N280" s="289" t="s">
        <v>2323</v>
      </c>
      <c r="O280" s="323"/>
      <c r="P280" s="323"/>
      <c r="Q280" s="323"/>
      <c r="R280" s="323"/>
      <c r="S280" s="323"/>
      <c r="T280" s="323"/>
      <c r="U280" s="323"/>
      <c r="V280" s="323"/>
    </row>
    <row r="281">
      <c r="A281" s="385">
        <v>45920.0</v>
      </c>
      <c r="B281" s="294" t="s">
        <v>2059</v>
      </c>
      <c r="C281" s="265">
        <v>85518.0</v>
      </c>
      <c r="D281" s="284">
        <v>1.1753176E7</v>
      </c>
      <c r="E281" s="294" t="s">
        <v>2465</v>
      </c>
      <c r="F281" s="284"/>
      <c r="G281" s="284">
        <v>1694750.0</v>
      </c>
      <c r="H281" s="284"/>
      <c r="I281" s="284" t="s">
        <v>1883</v>
      </c>
      <c r="J281" s="384"/>
      <c r="K281" s="383"/>
      <c r="L281" s="273" t="s">
        <v>2812</v>
      </c>
      <c r="M281" s="380"/>
      <c r="N281" s="289" t="s">
        <v>2323</v>
      </c>
      <c r="O281" s="323"/>
      <c r="P281" s="323"/>
      <c r="Q281" s="323"/>
      <c r="R281" s="323"/>
      <c r="S281" s="323"/>
      <c r="T281" s="323"/>
      <c r="U281" s="323"/>
      <c r="V281" s="323"/>
    </row>
    <row r="282">
      <c r="A282" s="385">
        <v>45918.0</v>
      </c>
      <c r="B282" s="294" t="s">
        <v>2059</v>
      </c>
      <c r="C282" s="265">
        <v>83325.0</v>
      </c>
      <c r="D282" s="284">
        <v>1.1745861E7</v>
      </c>
      <c r="E282" s="294" t="s">
        <v>2407</v>
      </c>
      <c r="F282" s="284">
        <v>2315.0</v>
      </c>
      <c r="G282" s="284">
        <v>1693361.0</v>
      </c>
      <c r="H282" s="284"/>
      <c r="I282" s="284" t="s">
        <v>1931</v>
      </c>
      <c r="J282" s="378">
        <v>2727.0</v>
      </c>
      <c r="K282" s="379">
        <v>1000.0</v>
      </c>
      <c r="L282" s="273" t="s">
        <v>2470</v>
      </c>
      <c r="M282" s="381" t="s">
        <v>2813</v>
      </c>
      <c r="N282" s="289" t="s">
        <v>2323</v>
      </c>
      <c r="O282" s="323"/>
      <c r="P282" s="323"/>
      <c r="Q282" s="323"/>
      <c r="R282" s="323"/>
      <c r="S282" s="323"/>
      <c r="T282" s="323"/>
      <c r="U282" s="323"/>
      <c r="V282" s="323"/>
    </row>
    <row r="283">
      <c r="A283" s="385">
        <v>45918.0</v>
      </c>
      <c r="B283" s="294" t="s">
        <v>2059</v>
      </c>
      <c r="C283" s="265">
        <v>88160.0</v>
      </c>
      <c r="D283" s="284">
        <v>1.1745867E7</v>
      </c>
      <c r="E283" s="294" t="s">
        <v>2421</v>
      </c>
      <c r="F283" s="284">
        <v>542616.0</v>
      </c>
      <c r="G283" s="284">
        <v>1695545.0</v>
      </c>
      <c r="H283" s="284"/>
      <c r="I283" s="284" t="s">
        <v>1931</v>
      </c>
      <c r="J283" s="378">
        <v>1818.0</v>
      </c>
      <c r="K283" s="379">
        <v>1000.0</v>
      </c>
      <c r="L283" s="273" t="s">
        <v>2814</v>
      </c>
      <c r="M283" s="381" t="s">
        <v>2815</v>
      </c>
      <c r="N283" s="289" t="s">
        <v>2323</v>
      </c>
      <c r="O283" s="323"/>
      <c r="P283" s="323"/>
      <c r="Q283" s="323"/>
      <c r="R283" s="323"/>
      <c r="S283" s="323"/>
      <c r="T283" s="323"/>
      <c r="U283" s="323"/>
      <c r="V283" s="323"/>
    </row>
    <row r="284">
      <c r="A284" s="385">
        <v>45920.0</v>
      </c>
      <c r="B284" s="294" t="s">
        <v>2589</v>
      </c>
      <c r="C284" s="265">
        <v>89605.0</v>
      </c>
      <c r="D284" s="284">
        <v>1.1753177E7</v>
      </c>
      <c r="E284" s="294" t="s">
        <v>2465</v>
      </c>
      <c r="F284" s="284"/>
      <c r="G284" s="284">
        <v>1694535.0</v>
      </c>
      <c r="H284" s="284"/>
      <c r="I284" s="284" t="s">
        <v>1988</v>
      </c>
      <c r="J284" s="384"/>
      <c r="K284" s="383"/>
      <c r="L284" s="273" t="s">
        <v>2816</v>
      </c>
      <c r="M284" s="380"/>
      <c r="N284" s="289" t="s">
        <v>2323</v>
      </c>
      <c r="O284" s="323"/>
      <c r="P284" s="323"/>
      <c r="Q284" s="323"/>
      <c r="R284" s="323"/>
      <c r="S284" s="323"/>
      <c r="T284" s="323"/>
      <c r="U284" s="323"/>
      <c r="V284" s="323"/>
    </row>
    <row r="285">
      <c r="A285" s="385">
        <v>45920.0</v>
      </c>
      <c r="B285" s="294" t="s">
        <v>1154</v>
      </c>
      <c r="C285" s="374">
        <v>86894.0</v>
      </c>
      <c r="D285" s="284">
        <v>1.1753176E7</v>
      </c>
      <c r="E285" s="294" t="s">
        <v>2465</v>
      </c>
      <c r="F285" s="284"/>
      <c r="G285" s="284">
        <v>1694750.0</v>
      </c>
      <c r="H285" s="284"/>
      <c r="I285" s="284" t="s">
        <v>1883</v>
      </c>
      <c r="J285" s="378">
        <v>520.0</v>
      </c>
      <c r="K285" s="379">
        <v>520.0</v>
      </c>
      <c r="L285" s="273" t="s">
        <v>2470</v>
      </c>
      <c r="M285" s="381" t="s">
        <v>2817</v>
      </c>
      <c r="N285" s="289" t="s">
        <v>2323</v>
      </c>
      <c r="O285" s="323"/>
      <c r="P285" s="323"/>
      <c r="Q285" s="323"/>
      <c r="R285" s="323"/>
      <c r="S285" s="323"/>
      <c r="T285" s="323"/>
      <c r="U285" s="323"/>
      <c r="V285" s="323"/>
    </row>
    <row r="286">
      <c r="A286" s="385">
        <v>45920.0</v>
      </c>
      <c r="B286" s="294" t="s">
        <v>2589</v>
      </c>
      <c r="C286" s="265">
        <v>95408.0</v>
      </c>
      <c r="D286" s="284">
        <v>1.1753176E7</v>
      </c>
      <c r="E286" s="294" t="s">
        <v>2465</v>
      </c>
      <c r="F286" s="284"/>
      <c r="G286" s="284">
        <v>1694750.0</v>
      </c>
      <c r="H286" s="284"/>
      <c r="I286" s="284" t="s">
        <v>1883</v>
      </c>
      <c r="J286" s="384"/>
      <c r="K286" s="383"/>
      <c r="L286" s="273" t="s">
        <v>2816</v>
      </c>
      <c r="M286" s="380"/>
      <c r="N286" s="289" t="s">
        <v>2323</v>
      </c>
      <c r="O286" s="323"/>
      <c r="P286" s="323"/>
      <c r="Q286" s="323"/>
      <c r="R286" s="323"/>
      <c r="S286" s="323"/>
      <c r="T286" s="323"/>
      <c r="U286" s="323"/>
      <c r="V286" s="323"/>
    </row>
    <row r="287">
      <c r="A287" s="385">
        <v>45922.0</v>
      </c>
      <c r="B287" s="294" t="s">
        <v>1940</v>
      </c>
      <c r="C287" s="265">
        <v>88755.0</v>
      </c>
      <c r="D287" s="284">
        <v>1.1758901E7</v>
      </c>
      <c r="E287" s="294" t="s">
        <v>2481</v>
      </c>
      <c r="F287" s="284"/>
      <c r="G287" s="284">
        <v>1694775.0</v>
      </c>
      <c r="H287" s="284"/>
      <c r="I287" s="284" t="s">
        <v>1916</v>
      </c>
      <c r="J287" s="384"/>
      <c r="K287" s="383"/>
      <c r="L287" s="273" t="s">
        <v>2818</v>
      </c>
      <c r="M287" s="380"/>
      <c r="N287" s="289" t="s">
        <v>2323</v>
      </c>
      <c r="O287" s="323"/>
      <c r="P287" s="323"/>
      <c r="Q287" s="323"/>
      <c r="R287" s="323"/>
      <c r="S287" s="323"/>
      <c r="T287" s="323"/>
      <c r="U287" s="323"/>
      <c r="V287" s="323"/>
    </row>
    <row r="288">
      <c r="A288" s="385">
        <v>45923.0</v>
      </c>
      <c r="B288" s="294" t="s">
        <v>2589</v>
      </c>
      <c r="C288" s="265">
        <v>92816.0</v>
      </c>
      <c r="D288" s="284">
        <v>1.1762143E7</v>
      </c>
      <c r="E288" s="294" t="s">
        <v>2819</v>
      </c>
      <c r="F288" s="284"/>
      <c r="G288" s="284">
        <v>1696159.0</v>
      </c>
      <c r="H288" s="284"/>
      <c r="I288" s="284" t="s">
        <v>1974</v>
      </c>
      <c r="J288" s="384"/>
      <c r="K288" s="383"/>
      <c r="L288" s="273" t="s">
        <v>2816</v>
      </c>
      <c r="M288" s="380"/>
      <c r="N288" s="289" t="s">
        <v>2323</v>
      </c>
      <c r="O288" s="323"/>
      <c r="P288" s="323"/>
      <c r="Q288" s="323"/>
      <c r="R288" s="323"/>
      <c r="S288" s="323"/>
      <c r="T288" s="323"/>
      <c r="U288" s="323"/>
      <c r="V288" s="323"/>
    </row>
    <row r="289">
      <c r="A289" s="385">
        <v>45923.0</v>
      </c>
      <c r="B289" s="294" t="s">
        <v>1154</v>
      </c>
      <c r="C289" s="374">
        <v>91878.0</v>
      </c>
      <c r="D289" s="284">
        <v>1.1760005E7</v>
      </c>
      <c r="E289" s="294" t="s">
        <v>2511</v>
      </c>
      <c r="F289" s="284"/>
      <c r="G289" s="284">
        <v>1696216.0</v>
      </c>
      <c r="H289" s="284"/>
      <c r="I289" s="284" t="s">
        <v>2000</v>
      </c>
      <c r="J289" s="378">
        <v>598.0</v>
      </c>
      <c r="K289" s="379">
        <v>598.0</v>
      </c>
      <c r="L289" s="273" t="s">
        <v>2470</v>
      </c>
      <c r="M289" s="381" t="s">
        <v>2820</v>
      </c>
      <c r="N289" s="289" t="s">
        <v>2323</v>
      </c>
      <c r="O289" s="323"/>
      <c r="P289" s="323"/>
      <c r="Q289" s="323"/>
      <c r="R289" s="323"/>
      <c r="S289" s="323"/>
      <c r="T289" s="323"/>
      <c r="U289" s="323"/>
      <c r="V289" s="323"/>
    </row>
    <row r="290">
      <c r="A290" s="385">
        <v>45924.0</v>
      </c>
      <c r="B290" s="294" t="s">
        <v>2059</v>
      </c>
      <c r="C290" s="265">
        <v>95612.0</v>
      </c>
      <c r="D290" s="386">
        <v>1.1761741E7</v>
      </c>
      <c r="E290" s="294" t="s">
        <v>2481</v>
      </c>
      <c r="F290" s="284"/>
      <c r="G290" s="284">
        <v>1696973.0</v>
      </c>
      <c r="H290" s="284"/>
      <c r="I290" s="284" t="s">
        <v>2005</v>
      </c>
      <c r="J290" s="384"/>
      <c r="K290" s="383"/>
      <c r="L290" s="273" t="s">
        <v>131</v>
      </c>
      <c r="M290" s="381"/>
      <c r="N290" s="289" t="s">
        <v>2323</v>
      </c>
      <c r="O290" s="323"/>
      <c r="P290" s="323"/>
      <c r="Q290" s="323"/>
      <c r="R290" s="323"/>
      <c r="S290" s="323"/>
      <c r="T290" s="323"/>
      <c r="U290" s="323"/>
      <c r="V290" s="323"/>
    </row>
    <row r="291">
      <c r="A291" s="385">
        <v>45927.0</v>
      </c>
      <c r="B291" s="294" t="s">
        <v>1154</v>
      </c>
      <c r="C291" s="265">
        <v>99398.0</v>
      </c>
      <c r="D291" s="284">
        <v>1.1773859E7</v>
      </c>
      <c r="E291" s="294" t="s">
        <v>2379</v>
      </c>
      <c r="F291" s="284"/>
      <c r="G291" s="284">
        <v>1698931.0</v>
      </c>
      <c r="H291" s="284"/>
      <c r="I291" s="284" t="s">
        <v>2011</v>
      </c>
      <c r="J291" s="384"/>
      <c r="K291" s="383"/>
      <c r="L291" s="273" t="s">
        <v>2470</v>
      </c>
      <c r="M291" s="381" t="s">
        <v>2821</v>
      </c>
      <c r="N291" s="289" t="s">
        <v>2323</v>
      </c>
      <c r="O291" s="323"/>
      <c r="P291" s="323"/>
      <c r="Q291" s="323"/>
      <c r="R291" s="323"/>
      <c r="S291" s="323"/>
      <c r="T291" s="323"/>
      <c r="U291" s="323"/>
      <c r="V291" s="323"/>
    </row>
    <row r="292">
      <c r="A292" s="385">
        <v>45924.0</v>
      </c>
      <c r="B292" s="294" t="s">
        <v>1154</v>
      </c>
      <c r="C292" s="265">
        <v>101060.0</v>
      </c>
      <c r="D292" s="284">
        <v>1.1761741E7</v>
      </c>
      <c r="E292" s="294" t="s">
        <v>2481</v>
      </c>
      <c r="F292" s="284"/>
      <c r="G292" s="284">
        <v>1696973.0</v>
      </c>
      <c r="H292" s="284"/>
      <c r="I292" s="284" t="s">
        <v>2005</v>
      </c>
      <c r="J292" s="378">
        <v>323.0</v>
      </c>
      <c r="K292" s="378">
        <v>323.0</v>
      </c>
      <c r="L292" s="273" t="s">
        <v>2470</v>
      </c>
      <c r="M292" s="381" t="s">
        <v>2822</v>
      </c>
      <c r="N292" s="289" t="s">
        <v>2323</v>
      </c>
      <c r="O292" s="323"/>
      <c r="P292" s="323"/>
      <c r="Q292" s="323"/>
      <c r="R292" s="323"/>
      <c r="S292" s="323"/>
      <c r="T292" s="323"/>
      <c r="U292" s="323"/>
      <c r="V292" s="323"/>
    </row>
    <row r="293">
      <c r="A293" s="385">
        <v>45929.0</v>
      </c>
      <c r="B293" s="294" t="s">
        <v>1154</v>
      </c>
      <c r="C293" s="265">
        <v>105470.0</v>
      </c>
      <c r="D293" s="284">
        <v>1.1773847E7</v>
      </c>
      <c r="E293" s="294" t="s">
        <v>2295</v>
      </c>
      <c r="F293" s="284"/>
      <c r="G293" s="284">
        <v>1699494.0</v>
      </c>
      <c r="H293" s="284"/>
      <c r="I293" s="284" t="s">
        <v>1945</v>
      </c>
      <c r="J293" s="378" t="s">
        <v>2823</v>
      </c>
      <c r="K293" s="378">
        <v>712.0</v>
      </c>
      <c r="L293" s="273" t="s">
        <v>2470</v>
      </c>
      <c r="M293" s="381" t="s">
        <v>2824</v>
      </c>
      <c r="N293" s="289" t="s">
        <v>2323</v>
      </c>
      <c r="O293" s="323"/>
      <c r="P293" s="323"/>
      <c r="Q293" s="323"/>
      <c r="R293" s="323"/>
      <c r="S293" s="323"/>
      <c r="T293" s="323"/>
      <c r="U293" s="323"/>
      <c r="V293" s="323"/>
    </row>
    <row r="294">
      <c r="A294" s="385">
        <v>45895.0</v>
      </c>
      <c r="B294" s="294" t="s">
        <v>2059</v>
      </c>
      <c r="C294" s="265">
        <v>48318.0</v>
      </c>
      <c r="D294" s="284">
        <v>1.1697772E7</v>
      </c>
      <c r="E294" s="294" t="s">
        <v>2486</v>
      </c>
      <c r="F294" s="284"/>
      <c r="G294" s="284">
        <v>1677304.0</v>
      </c>
      <c r="H294" s="284"/>
      <c r="I294" s="284" t="s">
        <v>1860</v>
      </c>
      <c r="J294" s="384"/>
      <c r="K294" s="383"/>
      <c r="L294" s="273" t="s">
        <v>2470</v>
      </c>
      <c r="M294" s="381" t="s">
        <v>2825</v>
      </c>
      <c r="N294" s="289" t="s">
        <v>2300</v>
      </c>
      <c r="O294" s="323"/>
      <c r="P294" s="323"/>
      <c r="Q294" s="323"/>
      <c r="R294" s="323"/>
      <c r="S294" s="323"/>
      <c r="T294" s="323"/>
      <c r="U294" s="323"/>
      <c r="V294" s="323"/>
    </row>
    <row r="295">
      <c r="A295" s="385">
        <v>45922.0</v>
      </c>
      <c r="B295" s="294" t="s">
        <v>1940</v>
      </c>
      <c r="C295" s="265">
        <v>88755.0</v>
      </c>
      <c r="D295" s="284">
        <v>1.1758901E7</v>
      </c>
      <c r="E295" s="294" t="s">
        <v>2481</v>
      </c>
      <c r="F295" s="284"/>
      <c r="G295" s="284">
        <v>1694775.0</v>
      </c>
      <c r="H295" s="284"/>
      <c r="I295" s="284" t="s">
        <v>1916</v>
      </c>
      <c r="J295" s="384"/>
      <c r="K295" s="383"/>
      <c r="L295" s="273" t="s">
        <v>2826</v>
      </c>
      <c r="M295" s="380"/>
      <c r="N295" s="289" t="s">
        <v>2323</v>
      </c>
      <c r="O295" s="323"/>
      <c r="P295" s="323"/>
      <c r="Q295" s="323"/>
      <c r="R295" s="323"/>
      <c r="S295" s="323"/>
      <c r="T295" s="323"/>
      <c r="U295" s="323"/>
      <c r="V295" s="323"/>
    </row>
    <row r="296">
      <c r="A296" s="385">
        <v>45923.0</v>
      </c>
      <c r="B296" s="294" t="s">
        <v>2589</v>
      </c>
      <c r="C296" s="265">
        <v>92816.0</v>
      </c>
      <c r="D296" s="284">
        <v>1.1762143E7</v>
      </c>
      <c r="E296" s="294" t="s">
        <v>2819</v>
      </c>
      <c r="F296" s="284"/>
      <c r="G296" s="284">
        <v>1696159.0</v>
      </c>
      <c r="H296" s="284"/>
      <c r="I296" s="284" t="s">
        <v>1974</v>
      </c>
      <c r="J296" s="384"/>
      <c r="K296" s="383"/>
      <c r="L296" s="273" t="s">
        <v>2470</v>
      </c>
      <c r="M296" s="381" t="s">
        <v>2816</v>
      </c>
      <c r="N296" s="289" t="s">
        <v>2323</v>
      </c>
      <c r="O296" s="323"/>
      <c r="P296" s="323"/>
      <c r="Q296" s="323"/>
      <c r="R296" s="323"/>
      <c r="S296" s="323"/>
      <c r="T296" s="323"/>
      <c r="U296" s="323"/>
      <c r="V296" s="323"/>
    </row>
    <row r="297">
      <c r="A297" s="385">
        <v>45929.0</v>
      </c>
      <c r="B297" s="294" t="s">
        <v>2078</v>
      </c>
      <c r="C297" s="265">
        <v>105218.0</v>
      </c>
      <c r="D297" s="284">
        <v>1.1773847E7</v>
      </c>
      <c r="E297" s="294" t="s">
        <v>2295</v>
      </c>
      <c r="F297" s="284"/>
      <c r="G297" s="284">
        <v>1699494.0</v>
      </c>
      <c r="H297" s="284"/>
      <c r="I297" s="284" t="s">
        <v>1945</v>
      </c>
      <c r="J297" s="378">
        <v>5128.0</v>
      </c>
      <c r="K297" s="383"/>
      <c r="L297" s="273" t="s">
        <v>2765</v>
      </c>
      <c r="M297" s="381" t="s">
        <v>2827</v>
      </c>
      <c r="N297" s="289" t="s">
        <v>2323</v>
      </c>
      <c r="O297" s="323"/>
      <c r="P297" s="323"/>
      <c r="Q297" s="323"/>
      <c r="R297" s="323"/>
      <c r="S297" s="323"/>
      <c r="T297" s="323"/>
      <c r="U297" s="323"/>
      <c r="V297" s="323"/>
    </row>
    <row r="298">
      <c r="A298" s="385">
        <v>45932.0</v>
      </c>
      <c r="B298" s="294" t="s">
        <v>2059</v>
      </c>
      <c r="C298" s="265">
        <v>112887.0</v>
      </c>
      <c r="D298" s="284">
        <v>1.1798094E7</v>
      </c>
      <c r="E298" s="273" t="s">
        <v>2327</v>
      </c>
      <c r="F298" s="284"/>
      <c r="G298" s="284">
        <v>1701791.0</v>
      </c>
      <c r="H298" s="284"/>
      <c r="I298" s="284" t="s">
        <v>1945</v>
      </c>
      <c r="J298" s="378">
        <v>2000.0</v>
      </c>
      <c r="K298" s="379">
        <v>12727.27</v>
      </c>
      <c r="L298" s="273" t="s">
        <v>2470</v>
      </c>
      <c r="M298" s="381" t="s">
        <v>2828</v>
      </c>
      <c r="N298" s="289" t="s">
        <v>2323</v>
      </c>
      <c r="O298" s="323"/>
      <c r="P298" s="323"/>
      <c r="Q298" s="323"/>
      <c r="R298" s="323"/>
      <c r="S298" s="323"/>
      <c r="T298" s="323"/>
      <c r="U298" s="323"/>
      <c r="V298" s="323"/>
    </row>
    <row r="299">
      <c r="A299" s="385">
        <v>45933.0</v>
      </c>
      <c r="B299" s="294" t="s">
        <v>2059</v>
      </c>
      <c r="C299" s="265">
        <v>118531.0</v>
      </c>
      <c r="D299" s="284">
        <v>1.1769344E7</v>
      </c>
      <c r="E299" s="294" t="s">
        <v>2295</v>
      </c>
      <c r="F299" s="284"/>
      <c r="G299" s="284">
        <v>1702971.0</v>
      </c>
      <c r="H299" s="284"/>
      <c r="I299" s="284" t="s">
        <v>1883</v>
      </c>
      <c r="J299" s="384"/>
      <c r="K299" s="383"/>
      <c r="L299" s="273" t="s">
        <v>2470</v>
      </c>
      <c r="M299" s="381" t="s">
        <v>2829</v>
      </c>
      <c r="N299" s="289" t="s">
        <v>2323</v>
      </c>
      <c r="O299" s="323"/>
      <c r="P299" s="323"/>
      <c r="Q299" s="323"/>
      <c r="R299" s="323"/>
      <c r="S299" s="323"/>
      <c r="T299" s="323"/>
      <c r="U299" s="323"/>
      <c r="V299" s="323"/>
    </row>
    <row r="300">
      <c r="A300" s="385">
        <v>45937.0</v>
      </c>
      <c r="B300" s="294" t="s">
        <v>1940</v>
      </c>
      <c r="C300" s="265" t="s">
        <v>2830</v>
      </c>
      <c r="D300" s="284">
        <v>1.178693E7</v>
      </c>
      <c r="E300" s="294" t="s">
        <v>2295</v>
      </c>
      <c r="F300" s="284"/>
      <c r="G300" s="284">
        <v>1704714.0</v>
      </c>
      <c r="H300" s="284"/>
      <c r="I300" s="284" t="s">
        <v>1883</v>
      </c>
      <c r="J300" s="384"/>
      <c r="K300" s="383"/>
      <c r="L300" s="273" t="s">
        <v>2765</v>
      </c>
      <c r="M300" s="381" t="s">
        <v>2831</v>
      </c>
      <c r="N300" s="289" t="s">
        <v>2323</v>
      </c>
      <c r="O300" s="323"/>
      <c r="P300" s="323"/>
      <c r="Q300" s="323"/>
      <c r="R300" s="323"/>
      <c r="S300" s="323"/>
      <c r="T300" s="323"/>
      <c r="U300" s="323"/>
      <c r="V300" s="323"/>
    </row>
    <row r="301">
      <c r="A301" s="385">
        <v>45931.0</v>
      </c>
      <c r="B301" s="294" t="s">
        <v>2059</v>
      </c>
      <c r="C301" s="265">
        <v>115746.0</v>
      </c>
      <c r="D301" s="284">
        <v>1.1786936E7</v>
      </c>
      <c r="E301" s="294" t="s">
        <v>2372</v>
      </c>
      <c r="F301" s="284"/>
      <c r="G301" s="284">
        <v>1701862.0</v>
      </c>
      <c r="H301" s="284"/>
      <c r="I301" s="284" t="s">
        <v>2021</v>
      </c>
      <c r="J301" s="384"/>
      <c r="K301" s="383"/>
      <c r="L301" s="273" t="s">
        <v>2470</v>
      </c>
      <c r="M301" s="381" t="s">
        <v>2829</v>
      </c>
      <c r="N301" s="289" t="s">
        <v>2323</v>
      </c>
      <c r="O301" s="323"/>
      <c r="P301" s="323"/>
      <c r="Q301" s="323"/>
      <c r="R301" s="323"/>
      <c r="S301" s="323"/>
      <c r="T301" s="323"/>
      <c r="U301" s="323"/>
      <c r="V301" s="323"/>
    </row>
    <row r="302">
      <c r="A302" s="385">
        <v>45946.0</v>
      </c>
      <c r="B302" s="294" t="s">
        <v>1972</v>
      </c>
      <c r="C302" s="265">
        <v>139925.0</v>
      </c>
      <c r="D302" s="284">
        <v>1.1812311E7</v>
      </c>
      <c r="E302" s="294" t="s">
        <v>2295</v>
      </c>
      <c r="F302" s="284"/>
      <c r="G302" s="284">
        <v>1710199.0</v>
      </c>
      <c r="H302" s="284"/>
      <c r="I302" s="284" t="s">
        <v>1988</v>
      </c>
      <c r="J302" s="378">
        <v>4429.55</v>
      </c>
      <c r="K302" s="379">
        <v>0.0</v>
      </c>
      <c r="L302" s="273" t="s">
        <v>2470</v>
      </c>
      <c r="M302" s="381" t="s">
        <v>2832</v>
      </c>
      <c r="N302" s="289" t="s">
        <v>2323</v>
      </c>
      <c r="O302" s="323"/>
      <c r="P302" s="323"/>
      <c r="Q302" s="323"/>
      <c r="R302" s="323"/>
      <c r="S302" s="323"/>
      <c r="T302" s="323"/>
      <c r="U302" s="323"/>
      <c r="V302" s="323"/>
    </row>
    <row r="303">
      <c r="A303" s="385">
        <v>45946.0</v>
      </c>
      <c r="B303" s="294" t="s">
        <v>2059</v>
      </c>
      <c r="C303" s="265">
        <v>138896.0</v>
      </c>
      <c r="D303" s="284">
        <v>1.1812311E7</v>
      </c>
      <c r="E303" s="294" t="s">
        <v>2295</v>
      </c>
      <c r="F303" s="284"/>
      <c r="G303" s="284">
        <v>1710199.0</v>
      </c>
      <c r="H303" s="284"/>
      <c r="I303" s="284" t="s">
        <v>1988</v>
      </c>
      <c r="J303" s="378">
        <v>1818.0</v>
      </c>
      <c r="K303" s="379">
        <v>0.0</v>
      </c>
      <c r="L303" s="273" t="s">
        <v>2470</v>
      </c>
      <c r="M303" s="381" t="s">
        <v>2833</v>
      </c>
      <c r="N303" s="289" t="s">
        <v>2323</v>
      </c>
      <c r="O303" s="323"/>
      <c r="P303" s="323"/>
      <c r="Q303" s="323"/>
      <c r="R303" s="323"/>
      <c r="S303" s="323"/>
      <c r="T303" s="323"/>
      <c r="U303" s="323"/>
      <c r="V303" s="323"/>
    </row>
    <row r="304">
      <c r="A304" s="385">
        <v>45946.0</v>
      </c>
      <c r="B304" s="294" t="s">
        <v>1972</v>
      </c>
      <c r="C304" s="265">
        <v>140678.0</v>
      </c>
      <c r="D304" s="284">
        <v>1.1821167E7</v>
      </c>
      <c r="E304" s="294" t="s">
        <v>2295</v>
      </c>
      <c r="F304" s="284"/>
      <c r="G304" s="284">
        <v>1710290.0</v>
      </c>
      <c r="H304" s="284"/>
      <c r="I304" s="284" t="s">
        <v>2036</v>
      </c>
      <c r="J304" s="378">
        <v>4429.55</v>
      </c>
      <c r="K304" s="379">
        <v>2000.0</v>
      </c>
      <c r="L304" s="273" t="s">
        <v>2470</v>
      </c>
      <c r="M304" s="381" t="s">
        <v>2834</v>
      </c>
      <c r="N304" s="289" t="s">
        <v>2323</v>
      </c>
      <c r="O304" s="323"/>
      <c r="P304" s="323"/>
      <c r="Q304" s="323"/>
      <c r="R304" s="323"/>
      <c r="S304" s="323"/>
      <c r="T304" s="323"/>
      <c r="U304" s="323"/>
      <c r="V304" s="323"/>
    </row>
    <row r="305">
      <c r="A305" s="385">
        <v>45948.0</v>
      </c>
      <c r="B305" s="294" t="s">
        <v>2589</v>
      </c>
      <c r="C305" s="265">
        <v>143146.0</v>
      </c>
      <c r="D305" s="284">
        <v>1.1833589E7</v>
      </c>
      <c r="E305" s="294" t="s">
        <v>2835</v>
      </c>
      <c r="F305" s="284"/>
      <c r="G305" s="284">
        <v>1711293.0</v>
      </c>
      <c r="H305" s="284"/>
      <c r="I305" s="284" t="s">
        <v>1931</v>
      </c>
      <c r="J305" s="384"/>
      <c r="K305" s="383"/>
      <c r="L305" s="273" t="s">
        <v>2470</v>
      </c>
      <c r="M305" s="381" t="s">
        <v>2816</v>
      </c>
      <c r="N305" s="289" t="s">
        <v>2323</v>
      </c>
      <c r="O305" s="323"/>
      <c r="P305" s="323"/>
      <c r="Q305" s="323"/>
      <c r="R305" s="323"/>
      <c r="S305" s="323"/>
      <c r="T305" s="323"/>
      <c r="U305" s="323"/>
      <c r="V305" s="323"/>
    </row>
    <row r="306">
      <c r="A306" s="385">
        <v>45948.0</v>
      </c>
      <c r="B306" s="294" t="s">
        <v>2589</v>
      </c>
      <c r="C306" s="265">
        <v>146387.0</v>
      </c>
      <c r="D306" s="284">
        <v>1.1833047E7</v>
      </c>
      <c r="E306" s="294" t="s">
        <v>2835</v>
      </c>
      <c r="F306" s="284"/>
      <c r="G306" s="284">
        <v>1711532.0</v>
      </c>
      <c r="H306" s="284"/>
      <c r="I306" s="284" t="s">
        <v>1969</v>
      </c>
      <c r="J306" s="384"/>
      <c r="K306" s="383"/>
      <c r="L306" s="273" t="s">
        <v>2470</v>
      </c>
      <c r="M306" s="381" t="s">
        <v>2816</v>
      </c>
      <c r="N306" s="289" t="s">
        <v>2323</v>
      </c>
      <c r="O306" s="323"/>
      <c r="P306" s="323"/>
      <c r="Q306" s="323"/>
      <c r="R306" s="323"/>
      <c r="S306" s="323"/>
      <c r="T306" s="323"/>
      <c r="U306" s="323"/>
      <c r="V306" s="323"/>
    </row>
    <row r="307">
      <c r="A307" s="385">
        <v>45950.0</v>
      </c>
      <c r="B307" s="294" t="s">
        <v>2307</v>
      </c>
      <c r="C307" s="265">
        <v>145451.0</v>
      </c>
      <c r="D307" s="284">
        <v>1.1829088E7</v>
      </c>
      <c r="E307" s="294" t="s">
        <v>2295</v>
      </c>
      <c r="F307" s="284"/>
      <c r="G307" s="284">
        <v>1712193.0</v>
      </c>
      <c r="H307" s="284"/>
      <c r="I307" s="284" t="s">
        <v>1988</v>
      </c>
      <c r="J307" s="378">
        <v>5536.93</v>
      </c>
      <c r="K307" s="379">
        <v>0.0</v>
      </c>
      <c r="L307" s="273" t="s">
        <v>2470</v>
      </c>
      <c r="M307" s="381" t="s">
        <v>2836</v>
      </c>
      <c r="N307" s="289" t="s">
        <v>2323</v>
      </c>
      <c r="O307" s="323"/>
      <c r="P307" s="323"/>
      <c r="Q307" s="323"/>
      <c r="R307" s="323"/>
      <c r="S307" s="323"/>
      <c r="T307" s="323"/>
      <c r="U307" s="323"/>
      <c r="V307" s="323"/>
    </row>
    <row r="308">
      <c r="A308" s="385">
        <v>45951.0</v>
      </c>
      <c r="B308" s="294" t="s">
        <v>2307</v>
      </c>
      <c r="C308" s="265">
        <v>150659.0</v>
      </c>
      <c r="D308" s="284">
        <v>1.1812372E7</v>
      </c>
      <c r="E308" s="294" t="s">
        <v>2295</v>
      </c>
      <c r="F308" s="284"/>
      <c r="G308" s="284">
        <v>1713222.0</v>
      </c>
      <c r="H308" s="284"/>
      <c r="I308" s="284" t="s">
        <v>2036</v>
      </c>
      <c r="J308" s="378">
        <v>5536.93</v>
      </c>
      <c r="K308" s="379">
        <v>2000.0</v>
      </c>
      <c r="L308" s="273" t="s">
        <v>2470</v>
      </c>
      <c r="M308" s="381" t="s">
        <v>2837</v>
      </c>
      <c r="N308" s="289" t="s">
        <v>2323</v>
      </c>
      <c r="O308" s="323"/>
      <c r="P308" s="323"/>
      <c r="Q308" s="323"/>
      <c r="R308" s="323"/>
      <c r="S308" s="323"/>
      <c r="T308" s="323"/>
      <c r="U308" s="323"/>
      <c r="V308" s="323"/>
    </row>
    <row r="309">
      <c r="A309" s="385">
        <v>45952.0</v>
      </c>
      <c r="B309" s="294" t="s">
        <v>2307</v>
      </c>
      <c r="C309" s="265">
        <v>150625.0</v>
      </c>
      <c r="D309" s="284">
        <v>1.1834077E7</v>
      </c>
      <c r="E309" s="294" t="s">
        <v>2295</v>
      </c>
      <c r="F309" s="284"/>
      <c r="G309" s="284">
        <v>1713538.0</v>
      </c>
      <c r="H309" s="284"/>
      <c r="I309" s="284" t="s">
        <v>2838</v>
      </c>
      <c r="J309" s="378">
        <v>5536.93</v>
      </c>
      <c r="K309" s="379">
        <v>2000.0</v>
      </c>
      <c r="L309" s="273" t="s">
        <v>2470</v>
      </c>
      <c r="M309" s="381" t="s">
        <v>2839</v>
      </c>
      <c r="N309" s="289" t="s">
        <v>2323</v>
      </c>
      <c r="O309" s="323"/>
      <c r="P309" s="323"/>
      <c r="Q309" s="323"/>
      <c r="R309" s="323"/>
      <c r="S309" s="323"/>
      <c r="T309" s="323"/>
      <c r="U309" s="323"/>
      <c r="V309" s="323"/>
    </row>
    <row r="310">
      <c r="A310" s="385">
        <v>45952.0</v>
      </c>
      <c r="B310" s="294" t="s">
        <v>2307</v>
      </c>
      <c r="C310" s="265">
        <v>152207.0</v>
      </c>
      <c r="D310" s="284">
        <v>1.1837485E7</v>
      </c>
      <c r="E310" s="294" t="s">
        <v>2295</v>
      </c>
      <c r="F310" s="284"/>
      <c r="G310" s="284">
        <v>1713938.0</v>
      </c>
      <c r="H310" s="284"/>
      <c r="I310" s="284" t="s">
        <v>1931</v>
      </c>
      <c r="J310" s="378">
        <v>5536.93</v>
      </c>
      <c r="K310" s="379">
        <v>2000.0</v>
      </c>
      <c r="L310" s="273" t="s">
        <v>2470</v>
      </c>
      <c r="M310" s="381" t="s">
        <v>2840</v>
      </c>
      <c r="N310" s="289" t="s">
        <v>2323</v>
      </c>
      <c r="O310" s="323"/>
      <c r="P310" s="323"/>
      <c r="Q310" s="323"/>
      <c r="R310" s="323"/>
      <c r="S310" s="323"/>
      <c r="T310" s="323"/>
      <c r="U310" s="323"/>
      <c r="V310" s="323"/>
    </row>
    <row r="311">
      <c r="A311" s="385">
        <v>45927.0</v>
      </c>
      <c r="B311" s="294" t="s">
        <v>1154</v>
      </c>
      <c r="C311" s="265">
        <v>99398.0</v>
      </c>
      <c r="D311" s="284">
        <v>1.1773859E7</v>
      </c>
      <c r="E311" s="294" t="s">
        <v>2379</v>
      </c>
      <c r="F311" s="284"/>
      <c r="G311" s="284">
        <v>1698931.0</v>
      </c>
      <c r="H311" s="284"/>
      <c r="I311" s="284" t="s">
        <v>2011</v>
      </c>
      <c r="J311" s="378">
        <v>730.0</v>
      </c>
      <c r="K311" s="379">
        <v>730.0</v>
      </c>
      <c r="L311" s="273" t="s">
        <v>2756</v>
      </c>
      <c r="M311" s="381" t="s">
        <v>2821</v>
      </c>
      <c r="N311" s="289" t="s">
        <v>2323</v>
      </c>
      <c r="O311" s="323"/>
      <c r="P311" s="323"/>
      <c r="Q311" s="323"/>
      <c r="R311" s="323"/>
      <c r="S311" s="323"/>
      <c r="T311" s="323"/>
      <c r="U311" s="323"/>
      <c r="V311" s="323"/>
    </row>
    <row r="312">
      <c r="A312" s="385">
        <v>45954.0</v>
      </c>
      <c r="B312" s="294" t="s">
        <v>2307</v>
      </c>
      <c r="C312" s="265">
        <v>155539.0</v>
      </c>
      <c r="D312" s="284">
        <v>1.1804315E7</v>
      </c>
      <c r="E312" s="294" t="s">
        <v>2295</v>
      </c>
      <c r="F312" s="284"/>
      <c r="G312" s="284">
        <v>1715110.0</v>
      </c>
      <c r="H312" s="284"/>
      <c r="I312" s="284" t="s">
        <v>2036</v>
      </c>
      <c r="J312" s="378">
        <v>5536.93</v>
      </c>
      <c r="K312" s="379">
        <v>2000.0</v>
      </c>
      <c r="L312" s="273" t="s">
        <v>2470</v>
      </c>
      <c r="M312" s="381" t="s">
        <v>2841</v>
      </c>
      <c r="N312" s="289" t="s">
        <v>2323</v>
      </c>
      <c r="O312" s="323"/>
      <c r="P312" s="323"/>
      <c r="Q312" s="323"/>
      <c r="R312" s="323"/>
      <c r="S312" s="323"/>
      <c r="T312" s="323"/>
      <c r="U312" s="323"/>
      <c r="V312" s="323"/>
    </row>
    <row r="313">
      <c r="A313" s="385">
        <v>45958.0</v>
      </c>
      <c r="B313" s="294" t="s">
        <v>1154</v>
      </c>
      <c r="C313" s="265">
        <v>166199.0</v>
      </c>
      <c r="D313" s="284">
        <v>1.1851501E7</v>
      </c>
      <c r="E313" s="294" t="s">
        <v>2403</v>
      </c>
      <c r="F313" s="284"/>
      <c r="G313" s="284">
        <v>1717335.0</v>
      </c>
      <c r="H313" s="284"/>
      <c r="I313" s="284" t="s">
        <v>2034</v>
      </c>
      <c r="J313" s="378">
        <v>561.36</v>
      </c>
      <c r="K313" s="379">
        <v>494.0</v>
      </c>
      <c r="L313" s="273" t="s">
        <v>2470</v>
      </c>
      <c r="M313" s="381" t="s">
        <v>2842</v>
      </c>
      <c r="N313" s="289" t="s">
        <v>2323</v>
      </c>
      <c r="O313" s="323"/>
      <c r="P313" s="323"/>
      <c r="Q313" s="323"/>
      <c r="R313" s="323"/>
      <c r="S313" s="323"/>
      <c r="T313" s="323"/>
      <c r="U313" s="323"/>
      <c r="V313" s="323"/>
    </row>
    <row r="314">
      <c r="A314" s="385">
        <v>45956.0</v>
      </c>
      <c r="B314" s="294" t="s">
        <v>1154</v>
      </c>
      <c r="C314" s="265">
        <v>163717.0</v>
      </c>
      <c r="D314" s="284">
        <v>1.1854016E7</v>
      </c>
      <c r="E314" s="294" t="s">
        <v>2481</v>
      </c>
      <c r="F314" s="284"/>
      <c r="G314" s="284">
        <v>1715921.0</v>
      </c>
      <c r="H314" s="284"/>
      <c r="I314" s="284" t="s">
        <v>2075</v>
      </c>
      <c r="J314" s="378">
        <v>312.0</v>
      </c>
      <c r="K314" s="379">
        <v>312.0</v>
      </c>
      <c r="L314" s="273" t="s">
        <v>2470</v>
      </c>
      <c r="M314" s="381" t="s">
        <v>2843</v>
      </c>
      <c r="N314" s="289" t="s">
        <v>2323</v>
      </c>
      <c r="O314" s="323"/>
      <c r="P314" s="323"/>
      <c r="Q314" s="323"/>
      <c r="R314" s="323"/>
      <c r="S314" s="323"/>
      <c r="T314" s="323"/>
      <c r="U314" s="323"/>
      <c r="V314" s="323"/>
    </row>
    <row r="315">
      <c r="A315" s="385">
        <v>45956.0</v>
      </c>
      <c r="B315" s="294" t="s">
        <v>1154</v>
      </c>
      <c r="C315" s="265">
        <v>166375.0</v>
      </c>
      <c r="D315" s="284">
        <v>1.1854017E7</v>
      </c>
      <c r="E315" s="294" t="s">
        <v>2481</v>
      </c>
      <c r="F315" s="284"/>
      <c r="G315" s="284">
        <v>1717047.0</v>
      </c>
      <c r="H315" s="284"/>
      <c r="I315" s="284" t="s">
        <v>2076</v>
      </c>
      <c r="J315" s="378">
        <v>312.0</v>
      </c>
      <c r="K315" s="379">
        <v>312.0</v>
      </c>
      <c r="L315" s="273" t="s">
        <v>2470</v>
      </c>
      <c r="M315" s="381" t="s">
        <v>2844</v>
      </c>
      <c r="N315" s="289" t="s">
        <v>2323</v>
      </c>
      <c r="O315" s="323"/>
      <c r="P315" s="323"/>
      <c r="Q315" s="323"/>
      <c r="R315" s="323"/>
      <c r="S315" s="323"/>
      <c r="T315" s="323"/>
      <c r="U315" s="323"/>
      <c r="V315" s="323"/>
    </row>
    <row r="316">
      <c r="A316" s="385">
        <v>45959.0</v>
      </c>
      <c r="B316" s="294" t="s">
        <v>1154</v>
      </c>
      <c r="C316" s="265">
        <v>170578.0</v>
      </c>
      <c r="D316" s="284">
        <v>1.1866518E7</v>
      </c>
      <c r="E316" s="294" t="s">
        <v>2481</v>
      </c>
      <c r="F316" s="284"/>
      <c r="G316" s="284">
        <v>1718736.0</v>
      </c>
      <c r="H316" s="284"/>
      <c r="I316" s="284" t="s">
        <v>2079</v>
      </c>
      <c r="J316" s="378">
        <v>312.0</v>
      </c>
      <c r="K316" s="379">
        <v>312.0</v>
      </c>
      <c r="L316" s="273" t="s">
        <v>2470</v>
      </c>
      <c r="M316" s="381" t="s">
        <v>2845</v>
      </c>
      <c r="N316" s="289" t="s">
        <v>2323</v>
      </c>
      <c r="O316" s="323"/>
      <c r="P316" s="323"/>
      <c r="Q316" s="323"/>
      <c r="R316" s="323"/>
      <c r="S316" s="323"/>
      <c r="T316" s="323"/>
      <c r="U316" s="323"/>
      <c r="V316" s="323"/>
    </row>
    <row r="317">
      <c r="A317" s="385">
        <v>45972.0</v>
      </c>
      <c r="B317" s="294" t="s">
        <v>2589</v>
      </c>
      <c r="C317" s="265">
        <v>198667.0</v>
      </c>
      <c r="D317" s="284">
        <v>1.190769E7</v>
      </c>
      <c r="E317" s="294" t="s">
        <v>2846</v>
      </c>
      <c r="F317" s="284"/>
      <c r="G317" s="284">
        <v>1726846.0</v>
      </c>
      <c r="H317" s="284"/>
      <c r="I317" s="284" t="s">
        <v>2092</v>
      </c>
      <c r="J317" s="384"/>
      <c r="K317" s="383"/>
      <c r="L317" s="273" t="s">
        <v>2470</v>
      </c>
      <c r="M317" s="381" t="s">
        <v>2816</v>
      </c>
      <c r="N317" s="289" t="s">
        <v>2323</v>
      </c>
      <c r="O317" s="323"/>
      <c r="P317" s="323"/>
      <c r="Q317" s="323"/>
      <c r="R317" s="323"/>
      <c r="S317" s="323"/>
      <c r="T317" s="323"/>
      <c r="U317" s="323"/>
      <c r="V317" s="323"/>
    </row>
    <row r="318">
      <c r="A318" s="385">
        <v>45971.0</v>
      </c>
      <c r="B318" s="294" t="s">
        <v>1154</v>
      </c>
      <c r="C318" s="265">
        <v>206338.0</v>
      </c>
      <c r="D318" s="284">
        <v>1.1907691E7</v>
      </c>
      <c r="E318" s="294" t="s">
        <v>2846</v>
      </c>
      <c r="F318" s="284"/>
      <c r="G318" s="284">
        <v>1726737.0</v>
      </c>
      <c r="H318" s="284"/>
      <c r="I318" s="284" t="s">
        <v>2036</v>
      </c>
      <c r="J318" s="378">
        <v>420.0</v>
      </c>
      <c r="K318" s="379">
        <v>590.91</v>
      </c>
      <c r="L318" s="273" t="s">
        <v>2470</v>
      </c>
      <c r="M318" s="381" t="s">
        <v>2847</v>
      </c>
      <c r="N318" s="289" t="s">
        <v>2323</v>
      </c>
      <c r="O318" s="323"/>
      <c r="P318" s="323"/>
      <c r="Q318" s="323"/>
      <c r="R318" s="323"/>
      <c r="S318" s="323"/>
      <c r="T318" s="323"/>
      <c r="U318" s="323"/>
      <c r="V318" s="323"/>
    </row>
    <row r="319">
      <c r="A319" s="385">
        <v>45971.0</v>
      </c>
      <c r="B319" s="294" t="s">
        <v>1154</v>
      </c>
      <c r="C319" s="265">
        <v>198833.0</v>
      </c>
      <c r="D319" s="284">
        <v>1.190769E7</v>
      </c>
      <c r="E319" s="294" t="s">
        <v>2846</v>
      </c>
      <c r="F319" s="284"/>
      <c r="G319" s="284">
        <v>1726846.0</v>
      </c>
      <c r="H319" s="284"/>
      <c r="I319" s="284" t="s">
        <v>2092</v>
      </c>
      <c r="J319" s="378">
        <v>520.0</v>
      </c>
      <c r="K319" s="379">
        <v>590.91</v>
      </c>
      <c r="L319" s="273" t="s">
        <v>2470</v>
      </c>
      <c r="M319" s="381" t="s">
        <v>2848</v>
      </c>
      <c r="N319" s="289" t="s">
        <v>2323</v>
      </c>
      <c r="O319" s="323"/>
      <c r="P319" s="323"/>
      <c r="Q319" s="323"/>
      <c r="R319" s="323"/>
      <c r="S319" s="323"/>
      <c r="T319" s="323"/>
      <c r="U319" s="323"/>
      <c r="V319" s="323"/>
    </row>
    <row r="320">
      <c r="A320" s="385">
        <v>45975.0</v>
      </c>
      <c r="B320" s="294" t="s">
        <v>1154</v>
      </c>
      <c r="C320" s="265">
        <v>208928.0</v>
      </c>
      <c r="D320" s="284">
        <v>1.1908033E7</v>
      </c>
      <c r="E320" s="294" t="s">
        <v>2365</v>
      </c>
      <c r="F320" s="284"/>
      <c r="G320" s="284">
        <v>1730365.0</v>
      </c>
      <c r="H320" s="284"/>
      <c r="I320" s="284" t="s">
        <v>1936</v>
      </c>
      <c r="J320" s="378">
        <v>725.0</v>
      </c>
      <c r="K320" s="378">
        <v>725.0</v>
      </c>
      <c r="L320" s="273" t="s">
        <v>2756</v>
      </c>
      <c r="M320" s="381" t="s">
        <v>2849</v>
      </c>
      <c r="N320" s="289" t="s">
        <v>2323</v>
      </c>
      <c r="O320" s="323"/>
      <c r="P320" s="323"/>
      <c r="Q320" s="323"/>
      <c r="R320" s="323"/>
      <c r="S320" s="323"/>
      <c r="T320" s="323"/>
      <c r="U320" s="323"/>
      <c r="V320" s="323"/>
    </row>
    <row r="321">
      <c r="A321" s="385">
        <v>45990.0</v>
      </c>
      <c r="B321" s="294" t="s">
        <v>1154</v>
      </c>
      <c r="C321" s="265">
        <v>247111.0</v>
      </c>
      <c r="D321" s="284">
        <v>1.1952744E7</v>
      </c>
      <c r="E321" s="294" t="s">
        <v>2481</v>
      </c>
      <c r="F321" s="284"/>
      <c r="G321" s="284">
        <v>1740549.0</v>
      </c>
      <c r="H321" s="284"/>
      <c r="I321" s="284" t="s">
        <v>2076</v>
      </c>
      <c r="J321" s="378">
        <v>442.0</v>
      </c>
      <c r="K321" s="379">
        <v>442.0</v>
      </c>
      <c r="L321" s="273" t="s">
        <v>2470</v>
      </c>
      <c r="M321" s="381" t="s">
        <v>2850</v>
      </c>
      <c r="N321" s="289" t="s">
        <v>2323</v>
      </c>
      <c r="O321" s="323"/>
      <c r="P321" s="323"/>
      <c r="Q321" s="323"/>
      <c r="R321" s="323"/>
      <c r="S321" s="323"/>
      <c r="T321" s="323"/>
      <c r="U321" s="323"/>
      <c r="V321" s="323"/>
    </row>
    <row r="322">
      <c r="A322" s="385">
        <v>45989.0</v>
      </c>
      <c r="B322" s="294" t="s">
        <v>1154</v>
      </c>
      <c r="C322" s="265">
        <v>238353.0</v>
      </c>
      <c r="D322" s="284">
        <v>1.1952743E7</v>
      </c>
      <c r="E322" s="294" t="s">
        <v>2481</v>
      </c>
      <c r="F322" s="284"/>
      <c r="G322" s="284">
        <v>1738942.0</v>
      </c>
      <c r="H322" s="284"/>
      <c r="I322" s="284" t="s">
        <v>1985</v>
      </c>
      <c r="J322" s="378">
        <v>442.0</v>
      </c>
      <c r="K322" s="379">
        <v>442.0</v>
      </c>
      <c r="L322" s="273" t="s">
        <v>2470</v>
      </c>
      <c r="M322" s="381" t="s">
        <v>2851</v>
      </c>
      <c r="N322" s="289" t="s">
        <v>2323</v>
      </c>
      <c r="O322" s="323"/>
      <c r="P322" s="323"/>
      <c r="Q322" s="323"/>
      <c r="R322" s="323"/>
      <c r="S322" s="323"/>
      <c r="T322" s="323"/>
      <c r="U322" s="323"/>
      <c r="V322" s="323"/>
    </row>
    <row r="323">
      <c r="A323" s="385">
        <v>45981.0</v>
      </c>
      <c r="B323" s="294" t="s">
        <v>1154</v>
      </c>
      <c r="C323" s="265">
        <v>238611.0</v>
      </c>
      <c r="D323" s="284">
        <v>1.1926951E7</v>
      </c>
      <c r="E323" s="294" t="s">
        <v>2335</v>
      </c>
      <c r="F323" s="284"/>
      <c r="G323" s="284">
        <v>1734033.0</v>
      </c>
      <c r="H323" s="284"/>
      <c r="I323" s="284" t="s">
        <v>1985</v>
      </c>
      <c r="J323" s="378">
        <v>463.64</v>
      </c>
      <c r="K323" s="379">
        <v>408.0</v>
      </c>
      <c r="L323" s="273" t="s">
        <v>2470</v>
      </c>
      <c r="M323" s="381" t="s">
        <v>2852</v>
      </c>
      <c r="N323" s="289" t="s">
        <v>2323</v>
      </c>
      <c r="O323" s="323"/>
      <c r="P323" s="323"/>
      <c r="Q323" s="323"/>
      <c r="R323" s="323"/>
      <c r="S323" s="323"/>
      <c r="T323" s="323"/>
      <c r="U323" s="323"/>
      <c r="V323" s="323"/>
    </row>
    <row r="324">
      <c r="A324" s="385">
        <v>45980.0</v>
      </c>
      <c r="B324" s="294" t="s">
        <v>1154</v>
      </c>
      <c r="C324" s="265">
        <v>216785.0</v>
      </c>
      <c r="D324" s="284">
        <v>1.1918893E7</v>
      </c>
      <c r="E324" s="294" t="s">
        <v>2335</v>
      </c>
      <c r="F324" s="284"/>
      <c r="G324" s="284">
        <v>1732942.0</v>
      </c>
      <c r="H324" s="284"/>
      <c r="I324" s="284" t="s">
        <v>2034</v>
      </c>
      <c r="J324" s="378">
        <v>625.0</v>
      </c>
      <c r="K324" s="379">
        <v>550.0</v>
      </c>
      <c r="L324" s="273" t="s">
        <v>2756</v>
      </c>
      <c r="M324" s="381" t="s">
        <v>2853</v>
      </c>
      <c r="N324" s="289" t="s">
        <v>2323</v>
      </c>
      <c r="O324" s="323"/>
      <c r="P324" s="323"/>
      <c r="Q324" s="323"/>
      <c r="R324" s="323"/>
      <c r="S324" s="323"/>
      <c r="T324" s="323"/>
      <c r="U324" s="323"/>
      <c r="V324" s="323"/>
    </row>
    <row r="325">
      <c r="A325" s="385">
        <v>45979.0</v>
      </c>
      <c r="B325" s="294" t="s">
        <v>2537</v>
      </c>
      <c r="C325" s="265">
        <v>216237.0</v>
      </c>
      <c r="D325" s="284">
        <v>1.192286E7</v>
      </c>
      <c r="E325" s="294" t="s">
        <v>2481</v>
      </c>
      <c r="F325" s="284"/>
      <c r="G325" s="284">
        <v>1732680.0</v>
      </c>
      <c r="H325" s="284"/>
      <c r="I325" s="284" t="s">
        <v>2076</v>
      </c>
      <c r="J325" s="378">
        <v>800.0</v>
      </c>
      <c r="K325" s="379">
        <v>0.0</v>
      </c>
      <c r="L325" s="273" t="s">
        <v>2814</v>
      </c>
      <c r="M325" s="381" t="s">
        <v>2854</v>
      </c>
      <c r="N325" s="289" t="s">
        <v>2323</v>
      </c>
      <c r="O325" s="323"/>
      <c r="P325" s="323"/>
      <c r="Q325" s="323"/>
      <c r="R325" s="323"/>
      <c r="S325" s="323"/>
      <c r="T325" s="323"/>
      <c r="U325" s="323"/>
      <c r="V325" s="323"/>
    </row>
    <row r="326">
      <c r="A326" s="11">
        <v>46004.0</v>
      </c>
      <c r="B326" s="294" t="s">
        <v>2307</v>
      </c>
      <c r="C326" s="265">
        <v>282153.0</v>
      </c>
      <c r="D326" s="284">
        <v>1.1996163E7</v>
      </c>
      <c r="E326" s="294" t="s">
        <v>2295</v>
      </c>
      <c r="F326" s="284"/>
      <c r="G326" s="284">
        <v>1749768.0</v>
      </c>
      <c r="H326" s="284"/>
      <c r="I326" s="284" t="s">
        <v>1974</v>
      </c>
      <c r="J326" s="378">
        <v>5536.93</v>
      </c>
      <c r="K326" s="379">
        <v>2000.0</v>
      </c>
      <c r="L326" s="273" t="s">
        <v>2470</v>
      </c>
      <c r="M326" s="381" t="s">
        <v>2855</v>
      </c>
      <c r="N326" s="289" t="s">
        <v>2323</v>
      </c>
      <c r="O326" s="323"/>
      <c r="P326" s="323"/>
      <c r="Q326" s="323"/>
      <c r="R326" s="323"/>
      <c r="S326" s="323"/>
      <c r="T326" s="323"/>
      <c r="U326" s="323"/>
      <c r="V326" s="323"/>
    </row>
    <row r="327">
      <c r="A327" s="385">
        <v>46006.0</v>
      </c>
      <c r="B327" s="294" t="s">
        <v>2307</v>
      </c>
      <c r="C327" s="265">
        <v>285401.0</v>
      </c>
      <c r="D327" s="284">
        <v>1.2000323E7</v>
      </c>
      <c r="E327" s="294" t="s">
        <v>2371</v>
      </c>
      <c r="F327" s="284"/>
      <c r="G327" s="284">
        <v>1750215.0</v>
      </c>
      <c r="H327" s="284"/>
      <c r="I327" s="284" t="s">
        <v>1936</v>
      </c>
      <c r="J327" s="378">
        <v>1946.5</v>
      </c>
      <c r="K327" s="379"/>
      <c r="L327" s="273" t="s">
        <v>2470</v>
      </c>
      <c r="M327" s="381" t="s">
        <v>2856</v>
      </c>
      <c r="N327" s="289" t="s">
        <v>2323</v>
      </c>
      <c r="O327" s="323"/>
      <c r="P327" s="323"/>
      <c r="Q327" s="323"/>
      <c r="R327" s="323"/>
      <c r="S327" s="323"/>
      <c r="T327" s="323"/>
      <c r="U327" s="323"/>
      <c r="V327" s="323"/>
    </row>
    <row r="328">
      <c r="A328" s="385">
        <v>45989.0</v>
      </c>
      <c r="B328" s="294" t="s">
        <v>1154</v>
      </c>
      <c r="C328" s="265">
        <v>259098.0</v>
      </c>
      <c r="D328" s="284">
        <v>1.1964623E7</v>
      </c>
      <c r="E328" s="294" t="s">
        <v>2295</v>
      </c>
      <c r="F328" s="284"/>
      <c r="G328" s="284">
        <v>1739965.0</v>
      </c>
      <c r="H328" s="284"/>
      <c r="I328" s="284" t="s">
        <v>2097</v>
      </c>
      <c r="J328" s="378">
        <v>539.77</v>
      </c>
      <c r="K328" s="379">
        <v>475.0</v>
      </c>
      <c r="L328" s="273" t="s">
        <v>2470</v>
      </c>
      <c r="M328" s="381" t="s">
        <v>2857</v>
      </c>
      <c r="N328" s="289" t="s">
        <v>2323</v>
      </c>
      <c r="O328" s="323"/>
      <c r="P328" s="323"/>
      <c r="Q328" s="323"/>
      <c r="R328" s="323"/>
      <c r="S328" s="323"/>
      <c r="T328" s="323"/>
      <c r="U328" s="323"/>
      <c r="V328" s="323"/>
    </row>
    <row r="329">
      <c r="A329" s="385">
        <v>45979.0</v>
      </c>
      <c r="B329" s="294" t="s">
        <v>1154</v>
      </c>
      <c r="C329" s="265">
        <v>258234.0</v>
      </c>
      <c r="D329" s="284">
        <v>1.192286E7</v>
      </c>
      <c r="E329" s="294" t="s">
        <v>2481</v>
      </c>
      <c r="F329" s="284"/>
      <c r="G329" s="284">
        <v>1732680.0</v>
      </c>
      <c r="H329" s="284"/>
      <c r="I329" s="284" t="s">
        <v>2076</v>
      </c>
      <c r="J329" s="378">
        <v>312.0</v>
      </c>
      <c r="K329" s="379">
        <v>312.0</v>
      </c>
      <c r="L329" s="273" t="s">
        <v>2470</v>
      </c>
      <c r="M329" s="381" t="s">
        <v>2858</v>
      </c>
      <c r="N329" s="289" t="s">
        <v>2323</v>
      </c>
      <c r="O329" s="323"/>
      <c r="P329" s="323"/>
      <c r="Q329" s="323"/>
      <c r="R329" s="323"/>
      <c r="S329" s="323"/>
      <c r="T329" s="323"/>
      <c r="U329" s="323"/>
      <c r="V329" s="323"/>
    </row>
    <row r="330">
      <c r="A330" s="385">
        <v>45971.0</v>
      </c>
      <c r="B330" s="294" t="s">
        <v>2537</v>
      </c>
      <c r="C330" s="265">
        <v>195730.0</v>
      </c>
      <c r="D330" s="284">
        <v>1.190769E7</v>
      </c>
      <c r="E330" s="294" t="s">
        <v>2846</v>
      </c>
      <c r="F330" s="284"/>
      <c r="G330" s="284">
        <v>1726846.0</v>
      </c>
      <c r="H330" s="284"/>
      <c r="I330" s="284" t="s">
        <v>2092</v>
      </c>
      <c r="J330" s="378">
        <v>909.09</v>
      </c>
      <c r="K330" s="379">
        <v>0.0</v>
      </c>
      <c r="L330" s="273" t="s">
        <v>2470</v>
      </c>
      <c r="M330" s="381" t="s">
        <v>2859</v>
      </c>
      <c r="N330" s="289" t="s">
        <v>2323</v>
      </c>
      <c r="O330" s="323"/>
      <c r="P330" s="323"/>
      <c r="Q330" s="323"/>
      <c r="R330" s="323"/>
      <c r="S330" s="323"/>
      <c r="T330" s="323"/>
      <c r="U330" s="323"/>
      <c r="V330" s="323"/>
    </row>
    <row r="331">
      <c r="A331" s="385">
        <v>46025.0</v>
      </c>
      <c r="B331" s="294" t="s">
        <v>2537</v>
      </c>
      <c r="C331" s="265">
        <v>334416.0</v>
      </c>
      <c r="D331" s="284">
        <v>1.2063165E7</v>
      </c>
      <c r="E331" s="294" t="s">
        <v>2327</v>
      </c>
      <c r="F331" s="284"/>
      <c r="G331" s="284">
        <v>1761175.0</v>
      </c>
      <c r="H331" s="284"/>
      <c r="I331" s="284" t="s">
        <v>2170</v>
      </c>
      <c r="J331" s="378">
        <v>1500.0</v>
      </c>
      <c r="K331" s="379">
        <v>0.0</v>
      </c>
      <c r="L331" s="273" t="s">
        <v>2814</v>
      </c>
      <c r="M331" s="381"/>
      <c r="N331" s="289" t="s">
        <v>2300</v>
      </c>
      <c r="O331" s="323"/>
      <c r="P331" s="323"/>
      <c r="Q331" s="323"/>
      <c r="R331" s="323"/>
      <c r="S331" s="323"/>
      <c r="T331" s="323"/>
      <c r="U331" s="323"/>
      <c r="V331" s="323"/>
    </row>
    <row r="332">
      <c r="A332" s="385">
        <v>45981.0</v>
      </c>
      <c r="B332" s="294" t="s">
        <v>1154</v>
      </c>
      <c r="C332" s="265">
        <v>216429.0</v>
      </c>
      <c r="D332" s="284">
        <v>1.1937375E7</v>
      </c>
      <c r="E332" s="294" t="s">
        <v>2860</v>
      </c>
      <c r="F332" s="284"/>
      <c r="G332" s="284">
        <v>1734047.0</v>
      </c>
      <c r="H332" s="284"/>
      <c r="I332" s="284" t="s">
        <v>2079</v>
      </c>
      <c r="J332" s="378">
        <v>798.0</v>
      </c>
      <c r="K332" s="379">
        <v>798.0</v>
      </c>
      <c r="L332" s="273" t="s">
        <v>2470</v>
      </c>
      <c r="M332" s="381" t="s">
        <v>2861</v>
      </c>
      <c r="N332" s="289" t="s">
        <v>2300</v>
      </c>
      <c r="O332" s="323"/>
      <c r="P332" s="323"/>
      <c r="Q332" s="323"/>
      <c r="R332" s="323"/>
      <c r="S332" s="323"/>
      <c r="T332" s="323"/>
      <c r="U332" s="323"/>
      <c r="V332" s="323"/>
    </row>
    <row r="333">
      <c r="A333" s="385">
        <v>46028.0</v>
      </c>
      <c r="B333" s="294" t="s">
        <v>2307</v>
      </c>
      <c r="C333" s="265">
        <v>338924.0</v>
      </c>
      <c r="D333" s="284">
        <v>1.2058711E7</v>
      </c>
      <c r="E333" s="294" t="s">
        <v>2862</v>
      </c>
      <c r="F333" s="284"/>
      <c r="G333" s="284">
        <v>1758602.0</v>
      </c>
      <c r="H333" s="284"/>
      <c r="I333" s="284" t="s">
        <v>2200</v>
      </c>
      <c r="J333" s="378">
        <v>5311.0</v>
      </c>
      <c r="K333" s="379">
        <v>0.0</v>
      </c>
      <c r="L333" s="273" t="s">
        <v>2863</v>
      </c>
      <c r="M333" s="381"/>
      <c r="N333" s="289" t="s">
        <v>2300</v>
      </c>
      <c r="O333" s="323"/>
      <c r="P333" s="323"/>
      <c r="Q333" s="323"/>
      <c r="R333" s="323"/>
      <c r="S333" s="323"/>
      <c r="T333" s="323"/>
      <c r="U333" s="323"/>
      <c r="V333" s="323"/>
    </row>
    <row r="334">
      <c r="A334" s="385">
        <v>46028.0</v>
      </c>
      <c r="B334" s="294" t="s">
        <v>2307</v>
      </c>
      <c r="C334" s="265">
        <v>338916.0</v>
      </c>
      <c r="D334" s="284">
        <v>1.2058403E7</v>
      </c>
      <c r="E334" s="294" t="s">
        <v>2862</v>
      </c>
      <c r="F334" s="284"/>
      <c r="G334" s="284">
        <v>1760522.0</v>
      </c>
      <c r="H334" s="284"/>
      <c r="I334" s="284" t="s">
        <v>2186</v>
      </c>
      <c r="J334" s="378">
        <v>5311.0</v>
      </c>
      <c r="K334" s="379">
        <v>0.0</v>
      </c>
      <c r="L334" s="273" t="s">
        <v>2863</v>
      </c>
      <c r="M334" s="381"/>
      <c r="N334" s="289" t="s">
        <v>2300</v>
      </c>
      <c r="O334" s="323"/>
      <c r="P334" s="323"/>
      <c r="Q334" s="323"/>
      <c r="R334" s="323"/>
      <c r="S334" s="323"/>
      <c r="T334" s="323"/>
      <c r="U334" s="323"/>
      <c r="V334" s="323"/>
    </row>
    <row r="335">
      <c r="A335" s="385">
        <v>46042.0</v>
      </c>
      <c r="B335" s="294" t="s">
        <v>2537</v>
      </c>
      <c r="C335" s="265">
        <v>357027.0</v>
      </c>
      <c r="D335" s="284">
        <v>1.2091664E7</v>
      </c>
      <c r="E335" s="294" t="s">
        <v>2862</v>
      </c>
      <c r="F335" s="284"/>
      <c r="G335" s="284">
        <v>1768514.0</v>
      </c>
      <c r="H335" s="284"/>
      <c r="I335" s="284" t="s">
        <v>2200</v>
      </c>
      <c r="J335" s="378">
        <v>1600.0</v>
      </c>
      <c r="K335" s="379">
        <v>500.0</v>
      </c>
      <c r="L335" s="273" t="s">
        <v>2814</v>
      </c>
      <c r="M335" s="381"/>
      <c r="N335" s="289" t="s">
        <v>2300</v>
      </c>
      <c r="O335" s="323"/>
      <c r="P335" s="323"/>
      <c r="Q335" s="323"/>
      <c r="R335" s="323"/>
      <c r="S335" s="323"/>
      <c r="T335" s="323"/>
      <c r="U335" s="323"/>
      <c r="V335" s="323"/>
    </row>
    <row r="336">
      <c r="A336" s="385">
        <v>46042.0</v>
      </c>
      <c r="B336" s="294" t="s">
        <v>2307</v>
      </c>
      <c r="C336" s="265">
        <v>359165.0</v>
      </c>
      <c r="D336" s="284">
        <v>1.2091664E7</v>
      </c>
      <c r="E336" s="294" t="s">
        <v>2862</v>
      </c>
      <c r="F336" s="284"/>
      <c r="G336" s="284">
        <v>1768514.0</v>
      </c>
      <c r="H336" s="284"/>
      <c r="I336" s="284" t="s">
        <v>2200</v>
      </c>
      <c r="J336" s="378">
        <v>5311.0</v>
      </c>
      <c r="K336" s="379">
        <v>0.0</v>
      </c>
      <c r="L336" s="273" t="s">
        <v>2863</v>
      </c>
      <c r="M336" s="381"/>
      <c r="N336" s="289" t="s">
        <v>2300</v>
      </c>
      <c r="O336" s="323"/>
      <c r="P336" s="323"/>
      <c r="Q336" s="323"/>
      <c r="R336" s="323"/>
      <c r="S336" s="323"/>
      <c r="T336" s="323"/>
      <c r="U336" s="323"/>
      <c r="V336" s="323"/>
    </row>
    <row r="337">
      <c r="A337" s="385">
        <v>46354.0</v>
      </c>
      <c r="B337" s="294" t="s">
        <v>2537</v>
      </c>
      <c r="C337" s="265">
        <v>236274.0</v>
      </c>
      <c r="D337" s="284">
        <v>1.1963668E7</v>
      </c>
      <c r="E337" s="294" t="s">
        <v>2864</v>
      </c>
      <c r="F337" s="284"/>
      <c r="G337" s="284">
        <v>1740036.0</v>
      </c>
      <c r="H337" s="284"/>
      <c r="I337" s="284" t="s">
        <v>2106</v>
      </c>
      <c r="J337" s="378">
        <v>1600.0</v>
      </c>
      <c r="K337" s="379">
        <v>0.0</v>
      </c>
      <c r="L337" s="273" t="s">
        <v>2814</v>
      </c>
      <c r="M337" s="381"/>
      <c r="N337" s="289" t="s">
        <v>2300</v>
      </c>
      <c r="O337" s="323"/>
      <c r="P337" s="323"/>
      <c r="Q337" s="323"/>
      <c r="R337" s="323"/>
      <c r="S337" s="323"/>
      <c r="T337" s="323"/>
      <c r="U337" s="323"/>
      <c r="V337" s="323"/>
    </row>
    <row r="338">
      <c r="A338" s="385">
        <v>45968.0</v>
      </c>
      <c r="B338" s="294" t="s">
        <v>2537</v>
      </c>
      <c r="C338" s="265">
        <v>188547.0</v>
      </c>
      <c r="D338" s="284">
        <v>1.1900747E7</v>
      </c>
      <c r="E338" s="294" t="s">
        <v>2864</v>
      </c>
      <c r="F338" s="284"/>
      <c r="G338" s="284">
        <v>1725051.0</v>
      </c>
      <c r="H338" s="284"/>
      <c r="I338" s="284" t="s">
        <v>2865</v>
      </c>
      <c r="J338" s="378">
        <v>1600.0</v>
      </c>
      <c r="K338" s="379">
        <v>0.0</v>
      </c>
      <c r="L338" s="273" t="s">
        <v>2470</v>
      </c>
      <c r="M338" s="381" t="s">
        <v>2866</v>
      </c>
      <c r="N338" s="289" t="s">
        <v>2300</v>
      </c>
      <c r="O338" s="323"/>
      <c r="P338" s="323"/>
      <c r="Q338" s="323"/>
      <c r="R338" s="323"/>
      <c r="S338" s="323"/>
      <c r="T338" s="323"/>
      <c r="U338" s="323"/>
      <c r="V338" s="323"/>
    </row>
    <row r="339">
      <c r="A339" s="385">
        <v>45987.0</v>
      </c>
      <c r="B339" s="294" t="s">
        <v>2537</v>
      </c>
      <c r="C339" s="265">
        <v>233273.0</v>
      </c>
      <c r="D339" s="284">
        <v>1.1941348E7</v>
      </c>
      <c r="E339" s="294" t="s">
        <v>2407</v>
      </c>
      <c r="F339" s="284"/>
      <c r="G339" s="284">
        <v>1738476.0</v>
      </c>
      <c r="H339" s="284"/>
      <c r="I339" s="284" t="s">
        <v>2126</v>
      </c>
      <c r="J339" s="378">
        <v>2400.0</v>
      </c>
      <c r="K339" s="379">
        <v>1500.0</v>
      </c>
      <c r="L339" s="273" t="s">
        <v>2814</v>
      </c>
      <c r="M339" s="381"/>
      <c r="N339" s="289" t="s">
        <v>2300</v>
      </c>
      <c r="O339" s="323"/>
      <c r="P339" s="323"/>
      <c r="Q339" s="323"/>
      <c r="R339" s="323"/>
      <c r="S339" s="323"/>
      <c r="T339" s="323"/>
      <c r="U339" s="323"/>
      <c r="V339" s="323"/>
    </row>
    <row r="340">
      <c r="A340" s="385">
        <v>46042.0</v>
      </c>
      <c r="B340" s="294" t="s">
        <v>2307</v>
      </c>
      <c r="C340" s="265">
        <v>361110.0</v>
      </c>
      <c r="D340" s="103">
        <v>1.2091661E7</v>
      </c>
      <c r="E340" s="294" t="s">
        <v>2862</v>
      </c>
      <c r="F340" s="284"/>
      <c r="G340" s="84">
        <v>1768520.0</v>
      </c>
      <c r="H340" s="284"/>
      <c r="I340" s="284" t="s">
        <v>2190</v>
      </c>
      <c r="J340" s="378">
        <v>5311.0</v>
      </c>
      <c r="K340" s="379">
        <v>0.0</v>
      </c>
      <c r="L340" s="273" t="s">
        <v>2863</v>
      </c>
      <c r="M340" s="381"/>
      <c r="N340" s="289" t="s">
        <v>2300</v>
      </c>
      <c r="O340" s="323"/>
      <c r="P340" s="323"/>
      <c r="Q340" s="323"/>
      <c r="R340" s="323"/>
      <c r="S340" s="323"/>
      <c r="T340" s="323"/>
      <c r="U340" s="323"/>
      <c r="V340" s="323"/>
    </row>
    <row r="341">
      <c r="A341" s="385">
        <v>46042.0</v>
      </c>
      <c r="B341" s="294" t="s">
        <v>2307</v>
      </c>
      <c r="C341" s="265">
        <v>365287.0</v>
      </c>
      <c r="D341" s="103">
        <v>1.209166E7</v>
      </c>
      <c r="E341" s="294" t="s">
        <v>2862</v>
      </c>
      <c r="F341" s="284"/>
      <c r="G341" s="84">
        <v>1768523.0</v>
      </c>
      <c r="H341" s="284"/>
      <c r="I341" s="284" t="s">
        <v>2220</v>
      </c>
      <c r="J341" s="378">
        <v>5311.0</v>
      </c>
      <c r="K341" s="379">
        <v>0.0</v>
      </c>
      <c r="L341" s="273" t="s">
        <v>2863</v>
      </c>
      <c r="M341" s="381"/>
      <c r="N341" s="289" t="s">
        <v>2300</v>
      </c>
      <c r="O341" s="323"/>
      <c r="P341" s="323"/>
      <c r="Q341" s="323"/>
      <c r="R341" s="323"/>
      <c r="S341" s="323"/>
      <c r="T341" s="323"/>
      <c r="U341" s="323"/>
      <c r="V341" s="323"/>
    </row>
    <row r="342">
      <c r="A342" s="385"/>
      <c r="B342" s="294"/>
      <c r="C342" s="265"/>
      <c r="D342" s="103"/>
      <c r="E342" s="294"/>
      <c r="F342" s="284"/>
      <c r="G342" s="84"/>
      <c r="H342" s="284"/>
      <c r="I342" s="284"/>
      <c r="J342" s="378"/>
      <c r="K342" s="379"/>
      <c r="L342" s="273"/>
      <c r="M342" s="381"/>
      <c r="N342" s="289"/>
      <c r="O342" s="323"/>
      <c r="P342" s="323"/>
      <c r="Q342" s="323"/>
      <c r="R342" s="323"/>
      <c r="S342" s="323"/>
      <c r="T342" s="323"/>
      <c r="U342" s="323"/>
      <c r="V342" s="323"/>
    </row>
    <row r="343">
      <c r="A343" s="385"/>
      <c r="B343" s="294"/>
      <c r="C343" s="265"/>
      <c r="D343" s="103"/>
      <c r="E343" s="294"/>
      <c r="F343" s="284"/>
      <c r="G343" s="84"/>
      <c r="H343" s="284"/>
      <c r="I343" s="284"/>
      <c r="J343" s="378"/>
      <c r="K343" s="379"/>
      <c r="L343" s="273"/>
      <c r="M343" s="381"/>
      <c r="N343" s="289"/>
      <c r="O343" s="323"/>
      <c r="P343" s="323"/>
      <c r="Q343" s="323"/>
      <c r="R343" s="323"/>
      <c r="S343" s="323"/>
      <c r="T343" s="323"/>
      <c r="U343" s="323"/>
      <c r="V343" s="323"/>
    </row>
    <row r="344">
      <c r="A344" s="385"/>
      <c r="B344" s="294"/>
      <c r="C344" s="265"/>
      <c r="D344" s="103"/>
      <c r="E344" s="294"/>
      <c r="F344" s="284"/>
      <c r="G344" s="84"/>
      <c r="H344" s="284"/>
      <c r="I344" s="284"/>
      <c r="J344" s="378"/>
      <c r="K344" s="379"/>
      <c r="L344" s="273"/>
      <c r="M344" s="381"/>
      <c r="N344" s="289"/>
      <c r="O344" s="323"/>
      <c r="P344" s="323"/>
      <c r="Q344" s="323"/>
      <c r="R344" s="323"/>
      <c r="S344" s="323"/>
      <c r="T344" s="323"/>
      <c r="U344" s="323"/>
      <c r="V344" s="323"/>
    </row>
    <row r="345">
      <c r="A345" s="385"/>
      <c r="B345" s="294"/>
      <c r="C345" s="265"/>
      <c r="D345" s="103"/>
      <c r="E345" s="294"/>
      <c r="F345" s="284"/>
      <c r="G345" s="84"/>
      <c r="H345" s="284"/>
      <c r="I345" s="284"/>
      <c r="J345" s="378"/>
      <c r="K345" s="379"/>
      <c r="L345" s="273"/>
      <c r="M345" s="381"/>
      <c r="N345" s="289"/>
      <c r="O345" s="323"/>
      <c r="P345" s="323"/>
      <c r="Q345" s="323"/>
      <c r="R345" s="323"/>
      <c r="S345" s="323"/>
      <c r="T345" s="323"/>
      <c r="U345" s="323"/>
      <c r="V345" s="323"/>
    </row>
    <row r="346">
      <c r="A346" s="385"/>
      <c r="B346" s="294"/>
      <c r="C346" s="265"/>
      <c r="D346" s="103"/>
      <c r="E346" s="294"/>
      <c r="F346" s="284"/>
      <c r="G346" s="84"/>
      <c r="H346" s="284"/>
      <c r="I346" s="284"/>
      <c r="J346" s="378"/>
      <c r="K346" s="379"/>
      <c r="L346" s="273"/>
      <c r="M346" s="381"/>
      <c r="N346" s="289"/>
      <c r="O346" s="323"/>
      <c r="P346" s="323"/>
      <c r="Q346" s="323"/>
      <c r="R346" s="323"/>
      <c r="S346" s="323"/>
      <c r="T346" s="323"/>
      <c r="U346" s="323"/>
      <c r="V346" s="323"/>
    </row>
    <row r="347">
      <c r="A347" s="385"/>
      <c r="B347" s="294"/>
      <c r="C347" s="265"/>
      <c r="D347" s="103"/>
      <c r="E347" s="294"/>
      <c r="F347" s="284"/>
      <c r="G347" s="84"/>
      <c r="H347" s="284"/>
      <c r="I347" s="284"/>
      <c r="J347" s="378"/>
      <c r="K347" s="379"/>
      <c r="L347" s="273"/>
      <c r="M347" s="381"/>
      <c r="N347" s="289"/>
      <c r="O347" s="323"/>
      <c r="P347" s="323"/>
      <c r="Q347" s="323"/>
      <c r="R347" s="323"/>
      <c r="S347" s="323"/>
      <c r="T347" s="323"/>
      <c r="U347" s="323"/>
      <c r="V347" s="323"/>
    </row>
    <row r="348">
      <c r="A348" s="385"/>
      <c r="B348" s="294"/>
      <c r="C348" s="265"/>
      <c r="D348" s="103"/>
      <c r="E348" s="294"/>
      <c r="F348" s="284"/>
      <c r="G348" s="84"/>
      <c r="H348" s="284"/>
      <c r="I348" s="284"/>
      <c r="J348" s="378"/>
      <c r="K348" s="379"/>
      <c r="L348" s="273"/>
      <c r="M348" s="381"/>
      <c r="N348" s="289"/>
      <c r="O348" s="323"/>
      <c r="P348" s="323"/>
      <c r="Q348" s="323"/>
      <c r="R348" s="323"/>
      <c r="S348" s="323"/>
      <c r="T348" s="323"/>
      <c r="U348" s="323"/>
      <c r="V348" s="323"/>
    </row>
    <row r="349">
      <c r="A349" s="385"/>
      <c r="B349" s="294"/>
      <c r="C349" s="265"/>
      <c r="D349" s="103"/>
      <c r="E349" s="294"/>
      <c r="F349" s="284"/>
      <c r="G349" s="84"/>
      <c r="H349" s="284"/>
      <c r="I349" s="284"/>
      <c r="J349" s="378"/>
      <c r="K349" s="379"/>
      <c r="L349" s="273"/>
      <c r="M349" s="381"/>
      <c r="N349" s="289"/>
      <c r="O349" s="323"/>
      <c r="P349" s="323"/>
      <c r="Q349" s="323"/>
      <c r="R349" s="323"/>
      <c r="S349" s="323"/>
      <c r="T349" s="323"/>
      <c r="U349" s="323"/>
      <c r="V349" s="323"/>
    </row>
    <row r="350">
      <c r="A350" s="323"/>
      <c r="B350" s="323"/>
      <c r="C350" s="322"/>
      <c r="D350" s="322"/>
      <c r="E350" s="323"/>
      <c r="F350" s="322"/>
      <c r="G350" s="322"/>
      <c r="H350" s="322"/>
      <c r="I350" s="322"/>
      <c r="J350" s="387"/>
      <c r="K350" s="388"/>
      <c r="L350" s="323"/>
      <c r="M350" s="323"/>
      <c r="N350" s="323"/>
      <c r="O350" s="323"/>
      <c r="P350" s="323"/>
      <c r="Q350" s="323"/>
      <c r="R350" s="323"/>
      <c r="S350" s="323"/>
      <c r="T350" s="323"/>
      <c r="U350" s="323"/>
      <c r="V350" s="323"/>
    </row>
    <row r="351">
      <c r="A351" s="323"/>
      <c r="B351" s="323"/>
      <c r="C351" s="322"/>
      <c r="D351" s="322"/>
      <c r="E351" s="323"/>
      <c r="F351" s="322"/>
      <c r="G351" s="322"/>
      <c r="H351" s="322"/>
      <c r="I351" s="322"/>
      <c r="J351" s="387"/>
      <c r="K351" s="388"/>
      <c r="L351" s="323"/>
      <c r="M351" s="323"/>
      <c r="N351" s="323"/>
      <c r="O351" s="323"/>
      <c r="P351" s="323"/>
      <c r="Q351" s="323"/>
      <c r="R351" s="323"/>
      <c r="S351" s="323"/>
      <c r="T351" s="323"/>
      <c r="U351" s="323"/>
      <c r="V351" s="323"/>
    </row>
    <row r="352">
      <c r="A352" s="323"/>
      <c r="B352" s="323"/>
      <c r="C352" s="322"/>
      <c r="D352" s="322"/>
      <c r="E352" s="323"/>
      <c r="F352" s="322"/>
      <c r="G352" s="322"/>
      <c r="H352" s="322"/>
      <c r="I352" s="322"/>
      <c r="J352" s="387"/>
      <c r="K352" s="388"/>
      <c r="L352" s="323"/>
      <c r="M352" s="323"/>
      <c r="N352" s="323"/>
      <c r="O352" s="323"/>
      <c r="P352" s="323"/>
      <c r="Q352" s="323"/>
      <c r="R352" s="323"/>
      <c r="S352" s="323"/>
      <c r="T352" s="323"/>
      <c r="U352" s="323"/>
      <c r="V352" s="323"/>
    </row>
    <row r="353">
      <c r="A353" s="323"/>
      <c r="B353" s="323"/>
      <c r="C353" s="322"/>
      <c r="D353" s="322"/>
      <c r="E353" s="323"/>
      <c r="F353" s="322"/>
      <c r="G353" s="322"/>
      <c r="H353" s="322"/>
      <c r="I353" s="322"/>
      <c r="J353" s="387"/>
      <c r="K353" s="388"/>
      <c r="L353" s="323"/>
      <c r="M353" s="323"/>
      <c r="N353" s="323"/>
      <c r="O353" s="323"/>
      <c r="P353" s="323"/>
      <c r="Q353" s="323"/>
      <c r="R353" s="323"/>
      <c r="S353" s="323"/>
      <c r="T353" s="323"/>
      <c r="U353" s="323"/>
      <c r="V353" s="323"/>
    </row>
    <row r="354">
      <c r="A354" s="323"/>
      <c r="B354" s="323"/>
      <c r="C354" s="322"/>
      <c r="D354" s="322"/>
      <c r="E354" s="323"/>
      <c r="F354" s="322"/>
      <c r="G354" s="322"/>
      <c r="H354" s="322"/>
      <c r="I354" s="322"/>
      <c r="J354" s="387"/>
      <c r="K354" s="388"/>
      <c r="L354" s="323"/>
      <c r="M354" s="323"/>
      <c r="N354" s="323"/>
      <c r="O354" s="323"/>
      <c r="P354" s="323"/>
      <c r="Q354" s="323"/>
      <c r="R354" s="323"/>
      <c r="S354" s="323"/>
      <c r="T354" s="323"/>
      <c r="U354" s="323"/>
      <c r="V354" s="323"/>
    </row>
    <row r="355">
      <c r="A355" s="323"/>
      <c r="B355" s="323"/>
      <c r="C355" s="322"/>
      <c r="D355" s="322"/>
      <c r="E355" s="323"/>
      <c r="F355" s="322"/>
      <c r="G355" s="322"/>
      <c r="H355" s="322"/>
      <c r="I355" s="322"/>
      <c r="J355" s="387"/>
      <c r="K355" s="388"/>
      <c r="L355" s="323"/>
      <c r="M355" s="323"/>
      <c r="N355" s="323"/>
      <c r="O355" s="323"/>
      <c r="P355" s="323"/>
      <c r="Q355" s="323"/>
      <c r="R355" s="323"/>
      <c r="S355" s="323"/>
      <c r="T355" s="323"/>
      <c r="U355" s="323"/>
      <c r="V355" s="323"/>
    </row>
    <row r="356">
      <c r="A356" s="323"/>
      <c r="B356" s="323"/>
      <c r="C356" s="322"/>
      <c r="D356" s="322"/>
      <c r="E356" s="323"/>
      <c r="F356" s="322"/>
      <c r="G356" s="322"/>
      <c r="H356" s="322"/>
      <c r="I356" s="322"/>
      <c r="J356" s="387"/>
      <c r="K356" s="388"/>
      <c r="L356" s="323"/>
      <c r="M356" s="323"/>
      <c r="N356" s="323"/>
      <c r="O356" s="323"/>
      <c r="P356" s="323"/>
      <c r="Q356" s="323"/>
      <c r="R356" s="323"/>
      <c r="S356" s="323"/>
      <c r="T356" s="323"/>
      <c r="U356" s="323"/>
      <c r="V356" s="323"/>
    </row>
    <row r="357">
      <c r="A357" s="323"/>
      <c r="B357" s="323"/>
      <c r="C357" s="322"/>
      <c r="D357" s="322"/>
      <c r="E357" s="323"/>
      <c r="F357" s="322"/>
      <c r="G357" s="322"/>
      <c r="H357" s="322"/>
      <c r="I357" s="322"/>
      <c r="J357" s="387"/>
      <c r="K357" s="388"/>
      <c r="L357" s="323"/>
      <c r="M357" s="323"/>
      <c r="N357" s="323"/>
      <c r="O357" s="323"/>
      <c r="P357" s="323"/>
      <c r="Q357" s="323"/>
      <c r="R357" s="323"/>
      <c r="S357" s="323"/>
      <c r="T357" s="323"/>
      <c r="U357" s="323"/>
      <c r="V357" s="323"/>
    </row>
    <row r="358">
      <c r="A358" s="323"/>
      <c r="B358" s="323"/>
      <c r="C358" s="322"/>
      <c r="D358" s="322"/>
      <c r="E358" s="323"/>
      <c r="F358" s="322"/>
      <c r="G358" s="322"/>
      <c r="H358" s="322"/>
      <c r="I358" s="322"/>
      <c r="J358" s="387"/>
      <c r="K358" s="388"/>
      <c r="L358" s="323"/>
      <c r="M358" s="323"/>
      <c r="N358" s="323"/>
      <c r="O358" s="323"/>
      <c r="P358" s="323"/>
      <c r="Q358" s="323"/>
      <c r="R358" s="323"/>
      <c r="S358" s="323"/>
      <c r="T358" s="323"/>
      <c r="U358" s="323"/>
      <c r="V358" s="323"/>
    </row>
    <row r="359">
      <c r="A359" s="323"/>
      <c r="B359" s="323"/>
      <c r="C359" s="322"/>
      <c r="D359" s="322"/>
      <c r="E359" s="323"/>
      <c r="F359" s="322"/>
      <c r="G359" s="322"/>
      <c r="H359" s="322"/>
      <c r="I359" s="322"/>
      <c r="J359" s="387"/>
      <c r="K359" s="388"/>
      <c r="L359" s="323"/>
      <c r="M359" s="323"/>
      <c r="N359" s="323"/>
      <c r="O359" s="323"/>
      <c r="P359" s="323"/>
      <c r="Q359" s="323"/>
      <c r="R359" s="323"/>
      <c r="S359" s="323"/>
      <c r="T359" s="323"/>
      <c r="U359" s="323"/>
      <c r="V359" s="323"/>
    </row>
    <row r="360">
      <c r="A360" s="323"/>
      <c r="B360" s="323"/>
      <c r="C360" s="322"/>
      <c r="D360" s="322"/>
      <c r="E360" s="323"/>
      <c r="F360" s="322"/>
      <c r="G360" s="322"/>
      <c r="H360" s="322"/>
      <c r="I360" s="322"/>
      <c r="J360" s="387"/>
      <c r="K360" s="388"/>
      <c r="L360" s="323"/>
      <c r="M360" s="323"/>
      <c r="N360" s="323"/>
      <c r="O360" s="323"/>
      <c r="P360" s="323"/>
      <c r="Q360" s="323"/>
      <c r="R360" s="323"/>
      <c r="S360" s="323"/>
      <c r="T360" s="323"/>
      <c r="U360" s="323"/>
      <c r="V360" s="323"/>
    </row>
    <row r="361">
      <c r="A361" s="323"/>
      <c r="B361" s="323"/>
      <c r="C361" s="322"/>
      <c r="D361" s="322"/>
      <c r="E361" s="323"/>
      <c r="F361" s="322"/>
      <c r="G361" s="322"/>
      <c r="H361" s="322"/>
      <c r="I361" s="322"/>
      <c r="J361" s="387"/>
      <c r="K361" s="388"/>
      <c r="L361" s="323"/>
      <c r="M361" s="323"/>
      <c r="N361" s="323"/>
      <c r="O361" s="323"/>
      <c r="P361" s="323"/>
      <c r="Q361" s="323"/>
      <c r="R361" s="323"/>
      <c r="S361" s="323"/>
      <c r="T361" s="323"/>
      <c r="U361" s="323"/>
      <c r="V361" s="323"/>
    </row>
    <row r="362">
      <c r="A362" s="323"/>
      <c r="B362" s="323"/>
      <c r="C362" s="322"/>
      <c r="D362" s="322"/>
      <c r="E362" s="323"/>
      <c r="F362" s="322"/>
      <c r="G362" s="322"/>
      <c r="H362" s="322"/>
      <c r="I362" s="322"/>
      <c r="J362" s="387"/>
      <c r="K362" s="388"/>
      <c r="L362" s="323"/>
      <c r="M362" s="323"/>
      <c r="N362" s="323"/>
      <c r="O362" s="323"/>
      <c r="P362" s="323"/>
      <c r="Q362" s="323"/>
      <c r="R362" s="323"/>
      <c r="S362" s="323"/>
      <c r="T362" s="323"/>
      <c r="U362" s="323"/>
      <c r="V362" s="323"/>
    </row>
    <row r="363">
      <c r="A363" s="323"/>
      <c r="B363" s="323"/>
      <c r="C363" s="322"/>
      <c r="D363" s="322"/>
      <c r="E363" s="323"/>
      <c r="F363" s="322"/>
      <c r="G363" s="322"/>
      <c r="H363" s="322"/>
      <c r="I363" s="322"/>
      <c r="J363" s="387"/>
      <c r="K363" s="388"/>
      <c r="L363" s="323"/>
      <c r="M363" s="323"/>
      <c r="N363" s="323"/>
      <c r="O363" s="323"/>
      <c r="P363" s="323"/>
      <c r="Q363" s="323"/>
      <c r="R363" s="323"/>
      <c r="S363" s="323"/>
      <c r="T363" s="323"/>
      <c r="U363" s="323"/>
      <c r="V363" s="323"/>
    </row>
    <row r="364">
      <c r="A364" s="323"/>
      <c r="B364" s="323"/>
      <c r="C364" s="322"/>
      <c r="D364" s="322"/>
      <c r="E364" s="323"/>
      <c r="F364" s="322"/>
      <c r="G364" s="322"/>
      <c r="H364" s="322"/>
      <c r="I364" s="322"/>
      <c r="J364" s="387"/>
      <c r="K364" s="388"/>
      <c r="L364" s="323"/>
      <c r="M364" s="323"/>
      <c r="N364" s="323"/>
      <c r="O364" s="323"/>
      <c r="P364" s="323"/>
      <c r="Q364" s="323"/>
      <c r="R364" s="323"/>
      <c r="S364" s="323"/>
      <c r="T364" s="323"/>
      <c r="U364" s="323"/>
      <c r="V364" s="323"/>
    </row>
    <row r="365">
      <c r="A365" s="323"/>
      <c r="B365" s="323"/>
      <c r="C365" s="322"/>
      <c r="D365" s="322"/>
      <c r="E365" s="323"/>
      <c r="F365" s="322"/>
      <c r="G365" s="322"/>
      <c r="H365" s="322"/>
      <c r="I365" s="322"/>
      <c r="J365" s="387"/>
      <c r="K365" s="388"/>
      <c r="L365" s="323"/>
      <c r="M365" s="323"/>
      <c r="N365" s="323"/>
      <c r="O365" s="323"/>
      <c r="P365" s="323"/>
      <c r="Q365" s="323"/>
      <c r="R365" s="323"/>
      <c r="S365" s="323"/>
      <c r="T365" s="323"/>
      <c r="U365" s="323"/>
      <c r="V365" s="323"/>
    </row>
    <row r="366">
      <c r="A366" s="323"/>
      <c r="B366" s="323"/>
      <c r="C366" s="322"/>
      <c r="D366" s="322"/>
      <c r="E366" s="323"/>
      <c r="F366" s="322"/>
      <c r="G366" s="322"/>
      <c r="H366" s="322"/>
      <c r="I366" s="322"/>
      <c r="J366" s="387"/>
      <c r="K366" s="388"/>
      <c r="L366" s="323"/>
      <c r="M366" s="323"/>
      <c r="N366" s="323"/>
      <c r="O366" s="323"/>
      <c r="P366" s="323"/>
      <c r="Q366" s="323"/>
      <c r="R366" s="323"/>
      <c r="S366" s="323"/>
      <c r="T366" s="323"/>
      <c r="U366" s="323"/>
      <c r="V366" s="323"/>
    </row>
    <row r="367">
      <c r="A367" s="323"/>
      <c r="B367" s="323"/>
      <c r="C367" s="322"/>
      <c r="D367" s="322"/>
      <c r="E367" s="323"/>
      <c r="F367" s="322"/>
      <c r="G367" s="322"/>
      <c r="H367" s="322"/>
      <c r="I367" s="322"/>
      <c r="J367" s="387"/>
      <c r="K367" s="388"/>
      <c r="L367" s="323"/>
      <c r="M367" s="323"/>
      <c r="N367" s="323"/>
      <c r="O367" s="323"/>
      <c r="P367" s="323"/>
      <c r="Q367" s="323"/>
      <c r="R367" s="323"/>
      <c r="S367" s="323"/>
      <c r="T367" s="323"/>
      <c r="U367" s="323"/>
      <c r="V367" s="323"/>
    </row>
    <row r="368">
      <c r="A368" s="323"/>
      <c r="B368" s="323"/>
      <c r="C368" s="322"/>
      <c r="D368" s="322"/>
      <c r="E368" s="323"/>
      <c r="F368" s="322"/>
      <c r="G368" s="322"/>
      <c r="H368" s="322"/>
      <c r="I368" s="322"/>
      <c r="J368" s="387"/>
      <c r="K368" s="388"/>
      <c r="L368" s="323"/>
      <c r="M368" s="323"/>
      <c r="N368" s="323"/>
      <c r="O368" s="323"/>
      <c r="P368" s="323"/>
      <c r="Q368" s="323"/>
      <c r="R368" s="323"/>
      <c r="S368" s="323"/>
      <c r="T368" s="323"/>
      <c r="U368" s="323"/>
      <c r="V368" s="323"/>
    </row>
    <row r="369">
      <c r="A369" s="323"/>
      <c r="B369" s="323"/>
      <c r="C369" s="322"/>
      <c r="D369" s="322"/>
      <c r="E369" s="323"/>
      <c r="F369" s="322"/>
      <c r="G369" s="322"/>
      <c r="H369" s="322"/>
      <c r="I369" s="322"/>
      <c r="J369" s="387"/>
      <c r="K369" s="388"/>
      <c r="L369" s="323"/>
      <c r="M369" s="323"/>
      <c r="N369" s="323"/>
      <c r="O369" s="323"/>
      <c r="P369" s="323"/>
      <c r="Q369" s="323"/>
      <c r="R369" s="323"/>
      <c r="S369" s="323"/>
      <c r="T369" s="323"/>
      <c r="U369" s="323"/>
      <c r="V369" s="323"/>
    </row>
    <row r="370">
      <c r="A370" s="323"/>
      <c r="B370" s="323"/>
      <c r="C370" s="322"/>
      <c r="D370" s="322"/>
      <c r="E370" s="323"/>
      <c r="F370" s="322"/>
      <c r="G370" s="322"/>
      <c r="H370" s="322"/>
      <c r="I370" s="322"/>
      <c r="J370" s="387"/>
      <c r="K370" s="388"/>
      <c r="L370" s="323"/>
      <c r="M370" s="323"/>
      <c r="N370" s="323"/>
      <c r="O370" s="323"/>
      <c r="P370" s="323"/>
      <c r="Q370" s="323"/>
      <c r="R370" s="323"/>
      <c r="S370" s="323"/>
      <c r="T370" s="323"/>
      <c r="U370" s="323"/>
      <c r="V370" s="323"/>
    </row>
    <row r="371">
      <c r="A371" s="323"/>
      <c r="B371" s="323"/>
      <c r="C371" s="322"/>
      <c r="D371" s="322"/>
      <c r="E371" s="323"/>
      <c r="F371" s="322"/>
      <c r="G371" s="322"/>
      <c r="H371" s="322"/>
      <c r="I371" s="322"/>
      <c r="J371" s="387"/>
      <c r="K371" s="388"/>
      <c r="L371" s="323"/>
      <c r="M371" s="323"/>
      <c r="N371" s="323"/>
      <c r="O371" s="323"/>
      <c r="P371" s="323"/>
      <c r="Q371" s="323"/>
      <c r="R371" s="323"/>
      <c r="S371" s="323"/>
      <c r="T371" s="323"/>
      <c r="U371" s="323"/>
      <c r="V371" s="323"/>
    </row>
    <row r="372">
      <c r="A372" s="323"/>
      <c r="B372" s="323"/>
      <c r="C372" s="322"/>
      <c r="D372" s="322"/>
      <c r="E372" s="323"/>
      <c r="F372" s="322"/>
      <c r="G372" s="322"/>
      <c r="H372" s="322"/>
      <c r="I372" s="322"/>
      <c r="J372" s="387"/>
      <c r="K372" s="388"/>
      <c r="L372" s="323"/>
      <c r="M372" s="323"/>
      <c r="N372" s="323"/>
      <c r="O372" s="323"/>
      <c r="P372" s="323"/>
      <c r="Q372" s="323"/>
      <c r="R372" s="323"/>
      <c r="S372" s="323"/>
      <c r="T372" s="323"/>
      <c r="U372" s="323"/>
      <c r="V372" s="323"/>
    </row>
    <row r="373">
      <c r="A373" s="323"/>
      <c r="B373" s="323"/>
      <c r="C373" s="322"/>
      <c r="D373" s="322"/>
      <c r="E373" s="323"/>
      <c r="F373" s="322"/>
      <c r="G373" s="322"/>
      <c r="H373" s="322"/>
      <c r="I373" s="322"/>
      <c r="J373" s="387"/>
      <c r="K373" s="388"/>
      <c r="L373" s="323"/>
      <c r="M373" s="323"/>
      <c r="N373" s="323"/>
      <c r="O373" s="323"/>
      <c r="P373" s="323"/>
      <c r="Q373" s="323"/>
      <c r="R373" s="323"/>
      <c r="S373" s="323"/>
      <c r="T373" s="323"/>
      <c r="U373" s="323"/>
      <c r="V373" s="323"/>
    </row>
    <row r="374">
      <c r="A374" s="323"/>
      <c r="B374" s="323"/>
      <c r="C374" s="322"/>
      <c r="D374" s="322"/>
      <c r="E374" s="323"/>
      <c r="F374" s="322"/>
      <c r="G374" s="322"/>
      <c r="H374" s="322"/>
      <c r="I374" s="322"/>
      <c r="J374" s="387"/>
      <c r="K374" s="388"/>
      <c r="L374" s="323"/>
      <c r="M374" s="323"/>
      <c r="N374" s="323"/>
      <c r="O374" s="323"/>
      <c r="P374" s="323"/>
      <c r="Q374" s="323"/>
      <c r="R374" s="323"/>
      <c r="S374" s="323"/>
      <c r="T374" s="323"/>
      <c r="U374" s="323"/>
      <c r="V374" s="323"/>
    </row>
    <row r="375">
      <c r="A375" s="323"/>
      <c r="B375" s="323"/>
      <c r="C375" s="322"/>
      <c r="D375" s="322"/>
      <c r="E375" s="323"/>
      <c r="F375" s="322"/>
      <c r="G375" s="322"/>
      <c r="H375" s="322"/>
      <c r="I375" s="322"/>
      <c r="J375" s="387"/>
      <c r="K375" s="388"/>
      <c r="L375" s="323"/>
      <c r="M375" s="323"/>
      <c r="N375" s="323"/>
      <c r="O375" s="323"/>
      <c r="P375" s="323"/>
      <c r="Q375" s="323"/>
      <c r="R375" s="323"/>
      <c r="S375" s="323"/>
      <c r="T375" s="323"/>
      <c r="U375" s="323"/>
      <c r="V375" s="323"/>
    </row>
    <row r="376">
      <c r="A376" s="323"/>
      <c r="B376" s="323"/>
      <c r="C376" s="322"/>
      <c r="D376" s="322"/>
      <c r="E376" s="323"/>
      <c r="F376" s="322"/>
      <c r="G376" s="322"/>
      <c r="H376" s="322"/>
      <c r="I376" s="322"/>
      <c r="J376" s="387"/>
      <c r="K376" s="388"/>
      <c r="L376" s="323"/>
      <c r="M376" s="323"/>
      <c r="N376" s="323"/>
      <c r="O376" s="323"/>
      <c r="P376" s="323"/>
      <c r="Q376" s="323"/>
      <c r="R376" s="323"/>
      <c r="S376" s="323"/>
      <c r="T376" s="323"/>
      <c r="U376" s="323"/>
      <c r="V376" s="323"/>
    </row>
    <row r="377">
      <c r="A377" s="323"/>
      <c r="B377" s="323"/>
      <c r="C377" s="322"/>
      <c r="D377" s="322"/>
      <c r="E377" s="323"/>
      <c r="F377" s="322"/>
      <c r="G377" s="322"/>
      <c r="H377" s="322"/>
      <c r="I377" s="322"/>
      <c r="J377" s="387"/>
      <c r="K377" s="388"/>
      <c r="L377" s="323"/>
      <c r="M377" s="323"/>
      <c r="N377" s="323"/>
      <c r="O377" s="323"/>
      <c r="P377" s="323"/>
      <c r="Q377" s="323"/>
      <c r="R377" s="323"/>
      <c r="S377" s="323"/>
      <c r="T377" s="323"/>
      <c r="U377" s="323"/>
      <c r="V377" s="323"/>
    </row>
    <row r="378">
      <c r="A378" s="323"/>
      <c r="B378" s="323"/>
      <c r="C378" s="322"/>
      <c r="D378" s="322"/>
      <c r="E378" s="323"/>
      <c r="F378" s="322"/>
      <c r="G378" s="322"/>
      <c r="H378" s="322"/>
      <c r="I378" s="322"/>
      <c r="J378" s="387"/>
      <c r="K378" s="388"/>
      <c r="L378" s="323"/>
      <c r="M378" s="323"/>
      <c r="N378" s="323"/>
      <c r="O378" s="323"/>
      <c r="P378" s="323"/>
      <c r="Q378" s="323"/>
      <c r="R378" s="323"/>
      <c r="S378" s="323"/>
      <c r="T378" s="323"/>
      <c r="U378" s="323"/>
      <c r="V378" s="323"/>
    </row>
    <row r="379">
      <c r="A379" s="323"/>
      <c r="B379" s="323"/>
      <c r="C379" s="322"/>
      <c r="D379" s="322"/>
      <c r="E379" s="323"/>
      <c r="F379" s="322"/>
      <c r="G379" s="322"/>
      <c r="H379" s="322"/>
      <c r="I379" s="322"/>
      <c r="J379" s="387"/>
      <c r="K379" s="388"/>
      <c r="L379" s="323"/>
      <c r="M379" s="323"/>
      <c r="N379" s="323"/>
      <c r="O379" s="323"/>
      <c r="P379" s="323"/>
      <c r="Q379" s="323"/>
      <c r="R379" s="323"/>
      <c r="S379" s="323"/>
      <c r="T379" s="323"/>
      <c r="U379" s="323"/>
      <c r="V379" s="323"/>
    </row>
    <row r="380">
      <c r="A380" s="323"/>
      <c r="B380" s="323"/>
      <c r="C380" s="322"/>
      <c r="D380" s="322"/>
      <c r="E380" s="323"/>
      <c r="F380" s="322"/>
      <c r="G380" s="322"/>
      <c r="H380" s="322"/>
      <c r="I380" s="322"/>
      <c r="J380" s="387"/>
      <c r="K380" s="388"/>
      <c r="L380" s="323"/>
      <c r="M380" s="323"/>
      <c r="N380" s="323"/>
      <c r="O380" s="323"/>
      <c r="P380" s="323"/>
      <c r="Q380" s="323"/>
      <c r="R380" s="323"/>
      <c r="S380" s="323"/>
      <c r="T380" s="323"/>
      <c r="U380" s="323"/>
      <c r="V380" s="323"/>
    </row>
    <row r="381">
      <c r="A381" s="323"/>
      <c r="B381" s="323"/>
      <c r="C381" s="322"/>
      <c r="D381" s="322"/>
      <c r="E381" s="323"/>
      <c r="F381" s="322"/>
      <c r="G381" s="322"/>
      <c r="H381" s="322"/>
      <c r="I381" s="322"/>
      <c r="J381" s="387"/>
      <c r="K381" s="388"/>
      <c r="L381" s="323"/>
      <c r="M381" s="323"/>
      <c r="N381" s="323"/>
      <c r="O381" s="323"/>
      <c r="P381" s="323"/>
      <c r="Q381" s="323"/>
      <c r="R381" s="323"/>
      <c r="S381" s="323"/>
      <c r="T381" s="323"/>
      <c r="U381" s="323"/>
      <c r="V381" s="323"/>
    </row>
    <row r="382">
      <c r="A382" s="323"/>
      <c r="B382" s="323"/>
      <c r="C382" s="322"/>
      <c r="D382" s="322"/>
      <c r="E382" s="323"/>
      <c r="F382" s="322"/>
      <c r="G382" s="322"/>
      <c r="H382" s="322"/>
      <c r="I382" s="322"/>
      <c r="J382" s="387"/>
      <c r="K382" s="388"/>
      <c r="L382" s="323"/>
      <c r="M382" s="323"/>
      <c r="N382" s="323"/>
      <c r="O382" s="323"/>
      <c r="P382" s="323"/>
      <c r="Q382" s="323"/>
      <c r="R382" s="323"/>
      <c r="S382" s="323"/>
      <c r="T382" s="323"/>
      <c r="U382" s="323"/>
      <c r="V382" s="323"/>
    </row>
    <row r="383">
      <c r="A383" s="323"/>
      <c r="B383" s="323"/>
      <c r="C383" s="322"/>
      <c r="D383" s="322"/>
      <c r="E383" s="323"/>
      <c r="F383" s="322"/>
      <c r="G383" s="322"/>
      <c r="H383" s="322"/>
      <c r="I383" s="322"/>
      <c r="J383" s="387"/>
      <c r="K383" s="388"/>
      <c r="L383" s="323"/>
      <c r="M383" s="323"/>
      <c r="N383" s="323"/>
      <c r="O383" s="323"/>
      <c r="P383" s="323"/>
      <c r="Q383" s="323"/>
      <c r="R383" s="323"/>
      <c r="S383" s="323"/>
      <c r="T383" s="323"/>
      <c r="U383" s="323"/>
      <c r="V383" s="323"/>
    </row>
    <row r="384">
      <c r="A384" s="323"/>
      <c r="B384" s="323"/>
      <c r="C384" s="322"/>
      <c r="D384" s="322"/>
      <c r="E384" s="323"/>
      <c r="F384" s="322"/>
      <c r="G384" s="322"/>
      <c r="H384" s="322"/>
      <c r="I384" s="322"/>
      <c r="J384" s="387"/>
      <c r="K384" s="388"/>
      <c r="L384" s="323"/>
      <c r="M384" s="323"/>
      <c r="N384" s="323"/>
      <c r="O384" s="323"/>
      <c r="P384" s="323"/>
      <c r="Q384" s="323"/>
      <c r="R384" s="323"/>
      <c r="S384" s="323"/>
      <c r="T384" s="323"/>
      <c r="U384" s="323"/>
      <c r="V384" s="323"/>
    </row>
    <row r="385">
      <c r="A385" s="323"/>
      <c r="B385" s="323"/>
      <c r="C385" s="322"/>
      <c r="D385" s="322"/>
      <c r="E385" s="323"/>
      <c r="F385" s="322"/>
      <c r="G385" s="322"/>
      <c r="H385" s="322"/>
      <c r="I385" s="322"/>
      <c r="J385" s="387"/>
      <c r="K385" s="388"/>
      <c r="L385" s="323"/>
      <c r="M385" s="323"/>
      <c r="N385" s="323"/>
      <c r="O385" s="323"/>
      <c r="P385" s="323"/>
      <c r="Q385" s="323"/>
      <c r="R385" s="323"/>
      <c r="S385" s="323"/>
      <c r="T385" s="323"/>
      <c r="U385" s="323"/>
      <c r="V385" s="323"/>
    </row>
    <row r="386">
      <c r="A386" s="323"/>
      <c r="B386" s="323"/>
      <c r="C386" s="322"/>
      <c r="D386" s="322"/>
      <c r="E386" s="323"/>
      <c r="F386" s="322"/>
      <c r="G386" s="322"/>
      <c r="H386" s="322"/>
      <c r="I386" s="322"/>
      <c r="J386" s="387"/>
      <c r="K386" s="388"/>
      <c r="L386" s="323"/>
      <c r="M386" s="323"/>
      <c r="N386" s="323"/>
      <c r="O386" s="323"/>
      <c r="P386" s="323"/>
      <c r="Q386" s="323"/>
      <c r="R386" s="323"/>
      <c r="S386" s="323"/>
      <c r="T386" s="323"/>
      <c r="U386" s="323"/>
      <c r="V386" s="323"/>
    </row>
    <row r="387">
      <c r="A387" s="323"/>
      <c r="B387" s="323"/>
      <c r="C387" s="322"/>
      <c r="D387" s="322"/>
      <c r="E387" s="323"/>
      <c r="F387" s="322"/>
      <c r="G387" s="322"/>
      <c r="H387" s="322"/>
      <c r="I387" s="322"/>
      <c r="J387" s="387"/>
      <c r="K387" s="388"/>
      <c r="L387" s="323"/>
      <c r="M387" s="323"/>
      <c r="N387" s="323"/>
      <c r="O387" s="323"/>
      <c r="P387" s="323"/>
      <c r="Q387" s="323"/>
      <c r="R387" s="323"/>
      <c r="S387" s="323"/>
      <c r="T387" s="323"/>
      <c r="U387" s="323"/>
      <c r="V387" s="323"/>
    </row>
    <row r="388">
      <c r="A388" s="323"/>
      <c r="B388" s="323"/>
      <c r="C388" s="322"/>
      <c r="D388" s="322"/>
      <c r="E388" s="323"/>
      <c r="F388" s="322"/>
      <c r="G388" s="322"/>
      <c r="H388" s="322"/>
      <c r="I388" s="322"/>
      <c r="J388" s="387"/>
      <c r="K388" s="388"/>
      <c r="L388" s="323"/>
      <c r="M388" s="323"/>
      <c r="N388" s="323"/>
      <c r="O388" s="323"/>
      <c r="P388" s="323"/>
      <c r="Q388" s="323"/>
      <c r="R388" s="323"/>
      <c r="S388" s="323"/>
      <c r="T388" s="323"/>
      <c r="U388" s="323"/>
      <c r="V388" s="323"/>
    </row>
    <row r="389">
      <c r="A389" s="323"/>
      <c r="B389" s="323"/>
      <c r="C389" s="322"/>
      <c r="D389" s="322"/>
      <c r="E389" s="323"/>
      <c r="F389" s="322"/>
      <c r="G389" s="322"/>
      <c r="H389" s="322"/>
      <c r="I389" s="322"/>
      <c r="J389" s="387"/>
      <c r="K389" s="388"/>
      <c r="L389" s="323"/>
      <c r="M389" s="323"/>
      <c r="N389" s="323"/>
      <c r="O389" s="323"/>
      <c r="P389" s="323"/>
      <c r="Q389" s="323"/>
      <c r="R389" s="323"/>
      <c r="S389" s="323"/>
      <c r="T389" s="323"/>
      <c r="U389" s="323"/>
      <c r="V389" s="323"/>
    </row>
    <row r="390">
      <c r="A390" s="323"/>
      <c r="B390" s="323"/>
      <c r="C390" s="322"/>
      <c r="D390" s="322"/>
      <c r="E390" s="323"/>
      <c r="F390" s="322"/>
      <c r="G390" s="322"/>
      <c r="H390" s="322"/>
      <c r="I390" s="322"/>
      <c r="J390" s="387"/>
      <c r="K390" s="388"/>
      <c r="L390" s="323"/>
      <c r="M390" s="323"/>
      <c r="N390" s="323"/>
      <c r="O390" s="323"/>
      <c r="P390" s="323"/>
      <c r="Q390" s="323"/>
      <c r="R390" s="323"/>
      <c r="S390" s="323"/>
      <c r="T390" s="323"/>
      <c r="U390" s="323"/>
      <c r="V390" s="323"/>
    </row>
    <row r="391">
      <c r="A391" s="323"/>
      <c r="B391" s="323"/>
      <c r="C391" s="322"/>
      <c r="D391" s="322"/>
      <c r="E391" s="323"/>
      <c r="F391" s="322"/>
      <c r="G391" s="322"/>
      <c r="H391" s="322"/>
      <c r="I391" s="322"/>
      <c r="J391" s="387"/>
      <c r="K391" s="388"/>
      <c r="L391" s="323"/>
      <c r="M391" s="323"/>
      <c r="N391" s="323"/>
      <c r="O391" s="323"/>
      <c r="P391" s="323"/>
      <c r="Q391" s="323"/>
      <c r="R391" s="323"/>
      <c r="S391" s="323"/>
      <c r="T391" s="323"/>
      <c r="U391" s="323"/>
      <c r="V391" s="323"/>
    </row>
    <row r="392">
      <c r="A392" s="323"/>
      <c r="B392" s="323"/>
      <c r="C392" s="322"/>
      <c r="D392" s="322"/>
      <c r="E392" s="323"/>
      <c r="F392" s="322"/>
      <c r="G392" s="322"/>
      <c r="H392" s="322"/>
      <c r="I392" s="322"/>
      <c r="J392" s="387"/>
      <c r="K392" s="388"/>
      <c r="L392" s="323"/>
      <c r="M392" s="323"/>
      <c r="N392" s="323"/>
      <c r="O392" s="323"/>
      <c r="P392" s="323"/>
      <c r="Q392" s="323"/>
      <c r="R392" s="323"/>
      <c r="S392" s="323"/>
      <c r="T392" s="323"/>
      <c r="U392" s="323"/>
      <c r="V392" s="323"/>
    </row>
    <row r="393">
      <c r="A393" s="323"/>
      <c r="B393" s="323"/>
      <c r="C393" s="322"/>
      <c r="D393" s="322"/>
      <c r="E393" s="323"/>
      <c r="F393" s="322"/>
      <c r="G393" s="322"/>
      <c r="H393" s="322"/>
      <c r="I393" s="322"/>
      <c r="J393" s="387"/>
      <c r="K393" s="388"/>
      <c r="L393" s="323"/>
      <c r="M393" s="323"/>
      <c r="N393" s="323"/>
      <c r="O393" s="323"/>
      <c r="P393" s="323"/>
      <c r="Q393" s="323"/>
      <c r="R393" s="323"/>
      <c r="S393" s="323"/>
      <c r="T393" s="323"/>
      <c r="U393" s="323"/>
      <c r="V393" s="323"/>
    </row>
    <row r="394">
      <c r="A394" s="323"/>
      <c r="B394" s="323"/>
      <c r="C394" s="322"/>
      <c r="D394" s="322"/>
      <c r="E394" s="323"/>
      <c r="F394" s="322"/>
      <c r="G394" s="322"/>
      <c r="H394" s="322"/>
      <c r="I394" s="322"/>
      <c r="J394" s="387"/>
      <c r="K394" s="388"/>
      <c r="L394" s="323"/>
      <c r="M394" s="323"/>
      <c r="N394" s="323"/>
      <c r="O394" s="323"/>
      <c r="P394" s="323"/>
      <c r="Q394" s="323"/>
      <c r="R394" s="323"/>
      <c r="S394" s="323"/>
      <c r="T394" s="323"/>
      <c r="U394" s="323"/>
      <c r="V394" s="323"/>
    </row>
    <row r="395">
      <c r="A395" s="323"/>
      <c r="B395" s="323"/>
      <c r="C395" s="322"/>
      <c r="D395" s="322"/>
      <c r="E395" s="323"/>
      <c r="F395" s="322"/>
      <c r="G395" s="322"/>
      <c r="H395" s="322"/>
      <c r="I395" s="322"/>
      <c r="J395" s="387"/>
      <c r="K395" s="388"/>
      <c r="L395" s="323"/>
      <c r="M395" s="323"/>
      <c r="N395" s="323"/>
      <c r="O395" s="323"/>
      <c r="P395" s="323"/>
      <c r="Q395" s="323"/>
      <c r="R395" s="323"/>
      <c r="S395" s="323"/>
      <c r="T395" s="323"/>
      <c r="U395" s="323"/>
      <c r="V395" s="323"/>
    </row>
    <row r="396">
      <c r="A396" s="323"/>
      <c r="B396" s="323"/>
      <c r="C396" s="322"/>
      <c r="D396" s="322"/>
      <c r="E396" s="323"/>
      <c r="F396" s="322"/>
      <c r="G396" s="322"/>
      <c r="H396" s="322"/>
      <c r="I396" s="322"/>
      <c r="J396" s="387"/>
      <c r="K396" s="388"/>
      <c r="L396" s="323"/>
      <c r="M396" s="323"/>
      <c r="N396" s="323"/>
      <c r="O396" s="323"/>
      <c r="P396" s="323"/>
      <c r="Q396" s="323"/>
      <c r="R396" s="323"/>
      <c r="S396" s="323"/>
      <c r="T396" s="323"/>
      <c r="U396" s="323"/>
      <c r="V396" s="323"/>
    </row>
    <row r="397">
      <c r="A397" s="323"/>
      <c r="B397" s="323"/>
      <c r="C397" s="322"/>
      <c r="D397" s="322"/>
      <c r="E397" s="323"/>
      <c r="F397" s="322"/>
      <c r="G397" s="322"/>
      <c r="H397" s="322"/>
      <c r="I397" s="322"/>
      <c r="J397" s="387"/>
      <c r="K397" s="388"/>
      <c r="L397" s="323"/>
      <c r="M397" s="323"/>
      <c r="N397" s="323"/>
      <c r="O397" s="323"/>
      <c r="P397" s="323"/>
      <c r="Q397" s="323"/>
      <c r="R397" s="323"/>
      <c r="S397" s="323"/>
      <c r="T397" s="323"/>
      <c r="U397" s="323"/>
      <c r="V397" s="323"/>
    </row>
    <row r="398">
      <c r="A398" s="323"/>
      <c r="B398" s="323"/>
      <c r="C398" s="322"/>
      <c r="D398" s="322"/>
      <c r="E398" s="323"/>
      <c r="F398" s="322"/>
      <c r="G398" s="322"/>
      <c r="H398" s="322"/>
      <c r="I398" s="322"/>
      <c r="J398" s="387"/>
      <c r="K398" s="388"/>
      <c r="L398" s="323"/>
      <c r="M398" s="323"/>
      <c r="N398" s="323"/>
      <c r="O398" s="323"/>
      <c r="P398" s="323"/>
      <c r="Q398" s="323"/>
      <c r="R398" s="323"/>
      <c r="S398" s="323"/>
      <c r="T398" s="323"/>
      <c r="U398" s="323"/>
      <c r="V398" s="323"/>
    </row>
    <row r="399">
      <c r="A399" s="323"/>
      <c r="B399" s="323"/>
      <c r="C399" s="322"/>
      <c r="D399" s="322"/>
      <c r="E399" s="323"/>
      <c r="F399" s="322"/>
      <c r="G399" s="322"/>
      <c r="H399" s="322"/>
      <c r="I399" s="322"/>
      <c r="J399" s="387"/>
      <c r="K399" s="388"/>
      <c r="L399" s="323"/>
      <c r="M399" s="323"/>
      <c r="N399" s="323"/>
      <c r="O399" s="323"/>
      <c r="P399" s="323"/>
      <c r="Q399" s="323"/>
      <c r="R399" s="323"/>
      <c r="S399" s="323"/>
      <c r="T399" s="323"/>
      <c r="U399" s="323"/>
      <c r="V399" s="323"/>
    </row>
    <row r="400">
      <c r="A400" s="323"/>
      <c r="B400" s="323"/>
      <c r="C400" s="322"/>
      <c r="D400" s="322"/>
      <c r="E400" s="323"/>
      <c r="F400" s="322"/>
      <c r="G400" s="322"/>
      <c r="H400" s="322"/>
      <c r="I400" s="322"/>
      <c r="J400" s="387"/>
      <c r="K400" s="388"/>
      <c r="L400" s="323"/>
      <c r="M400" s="323"/>
      <c r="N400" s="323"/>
      <c r="O400" s="323"/>
      <c r="P400" s="323"/>
      <c r="Q400" s="323"/>
      <c r="R400" s="323"/>
      <c r="S400" s="323"/>
      <c r="T400" s="323"/>
      <c r="U400" s="323"/>
      <c r="V400" s="323"/>
    </row>
    <row r="401">
      <c r="A401" s="323"/>
      <c r="B401" s="323"/>
      <c r="C401" s="322"/>
      <c r="D401" s="322"/>
      <c r="E401" s="323"/>
      <c r="F401" s="322"/>
      <c r="G401" s="322"/>
      <c r="H401" s="322"/>
      <c r="I401" s="322"/>
      <c r="J401" s="387"/>
      <c r="K401" s="388"/>
      <c r="L401" s="323"/>
      <c r="M401" s="323"/>
      <c r="N401" s="323"/>
      <c r="O401" s="323"/>
      <c r="P401" s="323"/>
      <c r="Q401" s="323"/>
      <c r="R401" s="323"/>
      <c r="S401" s="323"/>
      <c r="T401" s="323"/>
      <c r="U401" s="323"/>
      <c r="V401" s="323"/>
    </row>
    <row r="402">
      <c r="A402" s="323"/>
      <c r="B402" s="323"/>
      <c r="C402" s="322"/>
      <c r="D402" s="322"/>
      <c r="E402" s="323"/>
      <c r="F402" s="322"/>
      <c r="G402" s="322"/>
      <c r="H402" s="322"/>
      <c r="I402" s="322"/>
      <c r="J402" s="387"/>
      <c r="K402" s="388"/>
      <c r="L402" s="323"/>
      <c r="M402" s="323"/>
      <c r="N402" s="323"/>
      <c r="O402" s="323"/>
      <c r="P402" s="323"/>
      <c r="Q402" s="323"/>
      <c r="R402" s="323"/>
      <c r="S402" s="323"/>
      <c r="T402" s="323"/>
      <c r="U402" s="323"/>
      <c r="V402" s="323"/>
    </row>
    <row r="403">
      <c r="A403" s="323"/>
      <c r="B403" s="323"/>
      <c r="C403" s="322"/>
      <c r="D403" s="322"/>
      <c r="E403" s="323"/>
      <c r="F403" s="322"/>
      <c r="G403" s="322"/>
      <c r="H403" s="322"/>
      <c r="I403" s="322"/>
      <c r="J403" s="387"/>
      <c r="K403" s="388"/>
      <c r="L403" s="323"/>
      <c r="M403" s="323"/>
      <c r="N403" s="323"/>
      <c r="O403" s="323"/>
      <c r="P403" s="323"/>
      <c r="Q403" s="323"/>
      <c r="R403" s="323"/>
      <c r="S403" s="323"/>
      <c r="T403" s="323"/>
      <c r="U403" s="323"/>
      <c r="V403" s="323"/>
    </row>
    <row r="404">
      <c r="A404" s="323"/>
      <c r="B404" s="323"/>
      <c r="C404" s="322"/>
      <c r="D404" s="322"/>
      <c r="E404" s="323"/>
      <c r="F404" s="322"/>
      <c r="G404" s="322"/>
      <c r="H404" s="322"/>
      <c r="I404" s="322"/>
      <c r="J404" s="387"/>
      <c r="K404" s="388"/>
      <c r="L404" s="323"/>
      <c r="M404" s="323"/>
      <c r="N404" s="323"/>
      <c r="O404" s="323"/>
      <c r="P404" s="323"/>
      <c r="Q404" s="323"/>
      <c r="R404" s="323"/>
      <c r="S404" s="323"/>
      <c r="T404" s="323"/>
      <c r="U404" s="323"/>
      <c r="V404" s="323"/>
    </row>
    <row r="405">
      <c r="A405" s="323"/>
      <c r="B405" s="323"/>
      <c r="C405" s="322"/>
      <c r="D405" s="322"/>
      <c r="E405" s="323"/>
      <c r="F405" s="322"/>
      <c r="G405" s="322"/>
      <c r="H405" s="322"/>
      <c r="I405" s="322"/>
      <c r="J405" s="387"/>
      <c r="K405" s="388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</row>
    <row r="406">
      <c r="A406" s="323"/>
      <c r="B406" s="323"/>
      <c r="C406" s="322"/>
      <c r="D406" s="322"/>
      <c r="E406" s="323"/>
      <c r="F406" s="322"/>
      <c r="G406" s="322"/>
      <c r="H406" s="322"/>
      <c r="I406" s="322"/>
      <c r="J406" s="387"/>
      <c r="K406" s="388"/>
      <c r="L406" s="323"/>
      <c r="M406" s="323"/>
      <c r="N406" s="323"/>
      <c r="O406" s="323"/>
      <c r="P406" s="323"/>
      <c r="Q406" s="323"/>
      <c r="R406" s="323"/>
      <c r="S406" s="323"/>
      <c r="T406" s="323"/>
      <c r="U406" s="323"/>
      <c r="V406" s="323"/>
    </row>
    <row r="407">
      <c r="A407" s="323"/>
      <c r="B407" s="323"/>
      <c r="C407" s="322"/>
      <c r="D407" s="322"/>
      <c r="E407" s="323"/>
      <c r="F407" s="322"/>
      <c r="G407" s="322"/>
      <c r="H407" s="322"/>
      <c r="I407" s="322"/>
      <c r="J407" s="387"/>
      <c r="K407" s="388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</row>
    <row r="408">
      <c r="A408" s="323"/>
      <c r="B408" s="323"/>
      <c r="C408" s="322"/>
      <c r="D408" s="322"/>
      <c r="E408" s="323"/>
      <c r="F408" s="322"/>
      <c r="G408" s="322"/>
      <c r="H408" s="322"/>
      <c r="I408" s="322"/>
      <c r="J408" s="387"/>
      <c r="K408" s="388"/>
      <c r="L408" s="323"/>
      <c r="M408" s="323"/>
      <c r="N408" s="323"/>
      <c r="O408" s="323"/>
      <c r="P408" s="323"/>
      <c r="Q408" s="323"/>
      <c r="R408" s="323"/>
      <c r="S408" s="323"/>
      <c r="T408" s="323"/>
      <c r="U408" s="323"/>
      <c r="V408" s="323"/>
    </row>
    <row r="409">
      <c r="A409" s="323"/>
      <c r="B409" s="323"/>
      <c r="C409" s="322"/>
      <c r="D409" s="322"/>
      <c r="E409" s="323"/>
      <c r="F409" s="322"/>
      <c r="G409" s="322"/>
      <c r="H409" s="322"/>
      <c r="I409" s="322"/>
      <c r="J409" s="387"/>
      <c r="K409" s="388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</row>
    <row r="410">
      <c r="A410" s="323"/>
      <c r="B410" s="323"/>
      <c r="C410" s="322"/>
      <c r="D410" s="322"/>
      <c r="E410" s="323"/>
      <c r="F410" s="322"/>
      <c r="G410" s="322"/>
      <c r="H410" s="322"/>
      <c r="I410" s="322"/>
      <c r="J410" s="387"/>
      <c r="K410" s="388"/>
      <c r="L410" s="323"/>
      <c r="M410" s="323"/>
      <c r="N410" s="323"/>
      <c r="O410" s="323"/>
      <c r="P410" s="323"/>
      <c r="Q410" s="323"/>
      <c r="R410" s="323"/>
      <c r="S410" s="323"/>
      <c r="T410" s="323"/>
      <c r="U410" s="323"/>
      <c r="V410" s="323"/>
    </row>
    <row r="411">
      <c r="A411" s="323"/>
      <c r="B411" s="323"/>
      <c r="C411" s="322"/>
      <c r="D411" s="322"/>
      <c r="E411" s="323"/>
      <c r="F411" s="322"/>
      <c r="G411" s="322"/>
      <c r="H411" s="322"/>
      <c r="I411" s="322"/>
      <c r="J411" s="387"/>
      <c r="K411" s="388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</row>
    <row r="412">
      <c r="A412" s="323"/>
      <c r="B412" s="323"/>
      <c r="C412" s="322"/>
      <c r="D412" s="322"/>
      <c r="E412" s="323"/>
      <c r="F412" s="322"/>
      <c r="G412" s="322"/>
      <c r="H412" s="322"/>
      <c r="I412" s="322"/>
      <c r="J412" s="387"/>
      <c r="K412" s="388"/>
      <c r="L412" s="323"/>
      <c r="M412" s="323"/>
      <c r="N412" s="323"/>
      <c r="O412" s="323"/>
      <c r="P412" s="323"/>
      <c r="Q412" s="323"/>
      <c r="R412" s="323"/>
      <c r="S412" s="323"/>
      <c r="T412" s="323"/>
      <c r="U412" s="323"/>
      <c r="V412" s="323"/>
    </row>
    <row r="413">
      <c r="A413" s="323"/>
      <c r="B413" s="323"/>
      <c r="C413" s="322"/>
      <c r="D413" s="322"/>
      <c r="E413" s="323"/>
      <c r="F413" s="322"/>
      <c r="G413" s="322"/>
      <c r="H413" s="322"/>
      <c r="I413" s="322"/>
      <c r="J413" s="387"/>
      <c r="K413" s="388"/>
      <c r="L413" s="323"/>
      <c r="M413" s="323"/>
      <c r="N413" s="323"/>
      <c r="O413" s="323"/>
      <c r="P413" s="323"/>
      <c r="Q413" s="323"/>
      <c r="R413" s="323"/>
      <c r="S413" s="323"/>
      <c r="T413" s="323"/>
      <c r="U413" s="323"/>
      <c r="V413" s="323"/>
    </row>
    <row r="414">
      <c r="A414" s="323"/>
      <c r="B414" s="323"/>
      <c r="C414" s="322"/>
      <c r="D414" s="322"/>
      <c r="E414" s="323"/>
      <c r="F414" s="322"/>
      <c r="G414" s="322"/>
      <c r="H414" s="322"/>
      <c r="I414" s="322"/>
      <c r="J414" s="387"/>
      <c r="K414" s="388"/>
      <c r="L414" s="323"/>
      <c r="M414" s="323"/>
      <c r="N414" s="323"/>
      <c r="O414" s="323"/>
      <c r="P414" s="323"/>
      <c r="Q414" s="323"/>
      <c r="R414" s="323"/>
      <c r="S414" s="323"/>
      <c r="T414" s="323"/>
      <c r="U414" s="323"/>
      <c r="V414" s="323"/>
    </row>
    <row r="415">
      <c r="A415" s="323"/>
      <c r="B415" s="323"/>
      <c r="C415" s="322"/>
      <c r="D415" s="322"/>
      <c r="E415" s="323"/>
      <c r="F415" s="322"/>
      <c r="G415" s="322"/>
      <c r="H415" s="322"/>
      <c r="I415" s="322"/>
      <c r="J415" s="387"/>
      <c r="K415" s="388"/>
      <c r="L415" s="323"/>
      <c r="M415" s="323"/>
      <c r="N415" s="323"/>
      <c r="O415" s="323"/>
      <c r="P415" s="323"/>
      <c r="Q415" s="323"/>
      <c r="R415" s="323"/>
      <c r="S415" s="323"/>
      <c r="T415" s="323"/>
      <c r="U415" s="323"/>
      <c r="V415" s="323"/>
    </row>
    <row r="416">
      <c r="A416" s="323"/>
      <c r="B416" s="323"/>
      <c r="C416" s="322"/>
      <c r="D416" s="322"/>
      <c r="E416" s="323"/>
      <c r="F416" s="322"/>
      <c r="G416" s="322"/>
      <c r="H416" s="322"/>
      <c r="I416" s="322"/>
      <c r="J416" s="387"/>
      <c r="K416" s="388"/>
      <c r="L416" s="323"/>
      <c r="M416" s="323"/>
      <c r="N416" s="323"/>
      <c r="O416" s="323"/>
      <c r="P416" s="323"/>
      <c r="Q416" s="323"/>
      <c r="R416" s="323"/>
      <c r="S416" s="323"/>
      <c r="T416" s="323"/>
      <c r="U416" s="323"/>
      <c r="V416" s="323"/>
    </row>
    <row r="417">
      <c r="A417" s="323"/>
      <c r="B417" s="323"/>
      <c r="C417" s="322"/>
      <c r="D417" s="322"/>
      <c r="E417" s="323"/>
      <c r="F417" s="322"/>
      <c r="G417" s="322"/>
      <c r="H417" s="322"/>
      <c r="I417" s="322"/>
      <c r="J417" s="387"/>
      <c r="K417" s="388"/>
      <c r="L417" s="323"/>
      <c r="M417" s="323"/>
      <c r="N417" s="323"/>
      <c r="O417" s="323"/>
      <c r="P417" s="323"/>
      <c r="Q417" s="323"/>
      <c r="R417" s="323"/>
      <c r="S417" s="323"/>
      <c r="T417" s="323"/>
      <c r="U417" s="323"/>
      <c r="V417" s="323"/>
    </row>
    <row r="418">
      <c r="A418" s="323"/>
      <c r="B418" s="323"/>
      <c r="C418" s="322"/>
      <c r="D418" s="322"/>
      <c r="E418" s="323"/>
      <c r="F418" s="322"/>
      <c r="G418" s="322"/>
      <c r="H418" s="322"/>
      <c r="I418" s="322"/>
      <c r="J418" s="387"/>
      <c r="K418" s="388"/>
      <c r="L418" s="323"/>
      <c r="M418" s="323"/>
      <c r="N418" s="323"/>
      <c r="O418" s="323"/>
      <c r="P418" s="323"/>
      <c r="Q418" s="323"/>
      <c r="R418" s="323"/>
      <c r="S418" s="323"/>
      <c r="T418" s="323"/>
      <c r="U418" s="323"/>
      <c r="V418" s="323"/>
    </row>
    <row r="419">
      <c r="A419" s="323"/>
      <c r="B419" s="323"/>
      <c r="C419" s="322"/>
      <c r="D419" s="322"/>
      <c r="E419" s="323"/>
      <c r="F419" s="322"/>
      <c r="G419" s="322"/>
      <c r="H419" s="322"/>
      <c r="I419" s="322"/>
      <c r="J419" s="387"/>
      <c r="K419" s="388"/>
      <c r="L419" s="323"/>
      <c r="M419" s="323"/>
      <c r="N419" s="323"/>
      <c r="O419" s="323"/>
      <c r="P419" s="323"/>
      <c r="Q419" s="323"/>
      <c r="R419" s="323"/>
      <c r="S419" s="323"/>
      <c r="T419" s="323"/>
      <c r="U419" s="323"/>
      <c r="V419" s="323"/>
    </row>
    <row r="420">
      <c r="A420" s="323"/>
      <c r="B420" s="323"/>
      <c r="C420" s="322"/>
      <c r="D420" s="322"/>
      <c r="E420" s="323"/>
      <c r="F420" s="322"/>
      <c r="G420" s="322"/>
      <c r="H420" s="322"/>
      <c r="I420" s="322"/>
      <c r="J420" s="387"/>
      <c r="K420" s="388"/>
      <c r="L420" s="323"/>
      <c r="M420" s="323"/>
      <c r="N420" s="323"/>
      <c r="O420" s="323"/>
      <c r="P420" s="323"/>
      <c r="Q420" s="323"/>
      <c r="R420" s="323"/>
      <c r="S420" s="323"/>
      <c r="T420" s="323"/>
      <c r="U420" s="323"/>
      <c r="V420" s="323"/>
    </row>
    <row r="421">
      <c r="A421" s="323"/>
      <c r="B421" s="323"/>
      <c r="C421" s="322"/>
      <c r="D421" s="322"/>
      <c r="E421" s="323"/>
      <c r="F421" s="322"/>
      <c r="G421" s="322"/>
      <c r="H421" s="322"/>
      <c r="I421" s="322"/>
      <c r="J421" s="387"/>
      <c r="K421" s="388"/>
      <c r="L421" s="323"/>
      <c r="M421" s="323"/>
      <c r="N421" s="323"/>
      <c r="O421" s="323"/>
      <c r="P421" s="323"/>
      <c r="Q421" s="323"/>
      <c r="R421" s="323"/>
      <c r="S421" s="323"/>
      <c r="T421" s="323"/>
      <c r="U421" s="323"/>
      <c r="V421" s="323"/>
    </row>
    <row r="422">
      <c r="A422" s="323"/>
      <c r="B422" s="323"/>
      <c r="C422" s="322"/>
      <c r="D422" s="322"/>
      <c r="E422" s="323"/>
      <c r="F422" s="322"/>
      <c r="G422" s="322"/>
      <c r="H422" s="322"/>
      <c r="I422" s="322"/>
      <c r="J422" s="387"/>
      <c r="K422" s="388"/>
      <c r="L422" s="323"/>
      <c r="M422" s="323"/>
      <c r="N422" s="323"/>
      <c r="O422" s="323"/>
      <c r="P422" s="323"/>
      <c r="Q422" s="323"/>
      <c r="R422" s="323"/>
      <c r="S422" s="323"/>
      <c r="T422" s="323"/>
      <c r="U422" s="323"/>
      <c r="V422" s="323"/>
    </row>
    <row r="423">
      <c r="A423" s="323"/>
      <c r="B423" s="323"/>
      <c r="C423" s="322"/>
      <c r="D423" s="322"/>
      <c r="E423" s="323"/>
      <c r="F423" s="322"/>
      <c r="G423" s="322"/>
      <c r="H423" s="322"/>
      <c r="I423" s="322"/>
      <c r="J423" s="387"/>
      <c r="K423" s="388"/>
      <c r="L423" s="323"/>
      <c r="M423" s="323"/>
      <c r="N423" s="323"/>
      <c r="O423" s="323"/>
      <c r="P423" s="323"/>
      <c r="Q423" s="323"/>
      <c r="R423" s="323"/>
      <c r="S423" s="323"/>
      <c r="T423" s="323"/>
      <c r="U423" s="323"/>
      <c r="V423" s="323"/>
    </row>
    <row r="424">
      <c r="A424" s="323"/>
      <c r="B424" s="323"/>
      <c r="C424" s="322"/>
      <c r="D424" s="322"/>
      <c r="E424" s="323"/>
      <c r="F424" s="322"/>
      <c r="G424" s="322"/>
      <c r="H424" s="322"/>
      <c r="I424" s="322"/>
      <c r="J424" s="387"/>
      <c r="K424" s="388"/>
      <c r="L424" s="323"/>
      <c r="M424" s="323"/>
      <c r="N424" s="323"/>
      <c r="O424" s="323"/>
      <c r="P424" s="323"/>
      <c r="Q424" s="323"/>
      <c r="R424" s="323"/>
      <c r="S424" s="323"/>
      <c r="T424" s="323"/>
      <c r="U424" s="323"/>
      <c r="V424" s="323"/>
    </row>
    <row r="425">
      <c r="A425" s="323"/>
      <c r="B425" s="323"/>
      <c r="C425" s="322"/>
      <c r="D425" s="322"/>
      <c r="E425" s="323"/>
      <c r="F425" s="322"/>
      <c r="G425" s="322"/>
      <c r="H425" s="322"/>
      <c r="I425" s="322"/>
      <c r="J425" s="387"/>
      <c r="K425" s="388"/>
      <c r="L425" s="323"/>
      <c r="M425" s="323"/>
      <c r="N425" s="323"/>
      <c r="O425" s="323"/>
      <c r="P425" s="323"/>
      <c r="Q425" s="323"/>
      <c r="R425" s="323"/>
      <c r="S425" s="323"/>
      <c r="T425" s="323"/>
      <c r="U425" s="323"/>
      <c r="V425" s="323"/>
    </row>
    <row r="426">
      <c r="A426" s="323"/>
      <c r="B426" s="323"/>
      <c r="C426" s="322"/>
      <c r="D426" s="322"/>
      <c r="E426" s="323"/>
      <c r="F426" s="322"/>
      <c r="G426" s="322"/>
      <c r="H426" s="322"/>
      <c r="I426" s="322"/>
      <c r="J426" s="387"/>
      <c r="K426" s="388"/>
      <c r="L426" s="323"/>
      <c r="M426" s="323"/>
      <c r="N426" s="323"/>
      <c r="O426" s="323"/>
      <c r="P426" s="323"/>
      <c r="Q426" s="323"/>
      <c r="R426" s="323"/>
      <c r="S426" s="323"/>
      <c r="T426" s="323"/>
      <c r="U426" s="323"/>
      <c r="V426" s="323"/>
    </row>
    <row r="427">
      <c r="A427" s="323"/>
      <c r="B427" s="323"/>
      <c r="C427" s="322"/>
      <c r="D427" s="322"/>
      <c r="E427" s="323"/>
      <c r="F427" s="322"/>
      <c r="G427" s="322"/>
      <c r="H427" s="322"/>
      <c r="I427" s="322"/>
      <c r="J427" s="387"/>
      <c r="K427" s="388"/>
      <c r="L427" s="323"/>
      <c r="M427" s="323"/>
      <c r="N427" s="323"/>
      <c r="O427" s="323"/>
      <c r="P427" s="323"/>
      <c r="Q427" s="323"/>
      <c r="R427" s="323"/>
      <c r="S427" s="323"/>
      <c r="T427" s="323"/>
      <c r="U427" s="323"/>
      <c r="V427" s="323"/>
    </row>
    <row r="428">
      <c r="A428" s="323"/>
      <c r="B428" s="323"/>
      <c r="C428" s="322"/>
      <c r="D428" s="322"/>
      <c r="E428" s="323"/>
      <c r="F428" s="322"/>
      <c r="G428" s="322"/>
      <c r="H428" s="322"/>
      <c r="I428" s="322"/>
      <c r="J428" s="387"/>
      <c r="K428" s="388"/>
      <c r="L428" s="323"/>
      <c r="M428" s="323"/>
      <c r="N428" s="323"/>
      <c r="O428" s="323"/>
      <c r="P428" s="323"/>
      <c r="Q428" s="323"/>
      <c r="R428" s="323"/>
      <c r="S428" s="323"/>
      <c r="T428" s="323"/>
      <c r="U428" s="323"/>
      <c r="V428" s="323"/>
    </row>
    <row r="429">
      <c r="A429" s="323"/>
      <c r="B429" s="323"/>
      <c r="C429" s="322"/>
      <c r="D429" s="322"/>
      <c r="E429" s="323"/>
      <c r="F429" s="322"/>
      <c r="G429" s="322"/>
      <c r="H429" s="322"/>
      <c r="I429" s="322"/>
      <c r="J429" s="387"/>
      <c r="K429" s="388"/>
      <c r="L429" s="323"/>
      <c r="M429" s="323"/>
      <c r="N429" s="323"/>
      <c r="O429" s="323"/>
      <c r="P429" s="323"/>
      <c r="Q429" s="323"/>
      <c r="R429" s="323"/>
      <c r="S429" s="323"/>
      <c r="T429" s="323"/>
      <c r="U429" s="323"/>
      <c r="V429" s="323"/>
    </row>
    <row r="430">
      <c r="A430" s="323"/>
      <c r="B430" s="323"/>
      <c r="C430" s="322"/>
      <c r="D430" s="322"/>
      <c r="E430" s="323"/>
      <c r="F430" s="322"/>
      <c r="G430" s="322"/>
      <c r="H430" s="322"/>
      <c r="I430" s="322"/>
      <c r="J430" s="387"/>
      <c r="K430" s="388"/>
      <c r="L430" s="323"/>
      <c r="M430" s="323"/>
      <c r="N430" s="323"/>
      <c r="O430" s="323"/>
      <c r="P430" s="323"/>
      <c r="Q430" s="323"/>
      <c r="R430" s="323"/>
      <c r="S430" s="323"/>
      <c r="T430" s="323"/>
      <c r="U430" s="323"/>
      <c r="V430" s="323"/>
    </row>
    <row r="431">
      <c r="A431" s="323"/>
      <c r="B431" s="323"/>
      <c r="C431" s="322"/>
      <c r="D431" s="322"/>
      <c r="E431" s="323"/>
      <c r="F431" s="322"/>
      <c r="G431" s="322"/>
      <c r="H431" s="322"/>
      <c r="I431" s="322"/>
      <c r="J431" s="387"/>
      <c r="K431" s="388"/>
      <c r="L431" s="323"/>
      <c r="M431" s="323"/>
      <c r="N431" s="323"/>
      <c r="O431" s="323"/>
      <c r="P431" s="323"/>
      <c r="Q431" s="323"/>
      <c r="R431" s="323"/>
      <c r="S431" s="323"/>
      <c r="T431" s="323"/>
      <c r="U431" s="323"/>
      <c r="V431" s="323"/>
    </row>
    <row r="432">
      <c r="A432" s="323"/>
      <c r="B432" s="323"/>
      <c r="C432" s="322"/>
      <c r="D432" s="322"/>
      <c r="E432" s="323"/>
      <c r="F432" s="322"/>
      <c r="G432" s="322"/>
      <c r="H432" s="322"/>
      <c r="I432" s="322"/>
      <c r="J432" s="387"/>
      <c r="K432" s="388"/>
      <c r="L432" s="323"/>
      <c r="M432" s="323"/>
      <c r="N432" s="323"/>
      <c r="O432" s="323"/>
      <c r="P432" s="323"/>
      <c r="Q432" s="323"/>
      <c r="R432" s="323"/>
      <c r="S432" s="323"/>
      <c r="T432" s="323"/>
      <c r="U432" s="323"/>
      <c r="V432" s="323"/>
    </row>
    <row r="433">
      <c r="A433" s="323"/>
      <c r="B433" s="323"/>
      <c r="C433" s="322"/>
      <c r="D433" s="322"/>
      <c r="E433" s="323"/>
      <c r="F433" s="322"/>
      <c r="G433" s="322"/>
      <c r="H433" s="322"/>
      <c r="I433" s="322"/>
      <c r="J433" s="387"/>
      <c r="K433" s="388"/>
      <c r="L433" s="323"/>
      <c r="M433" s="323"/>
      <c r="N433" s="323"/>
      <c r="O433" s="323"/>
      <c r="P433" s="323"/>
      <c r="Q433" s="323"/>
      <c r="R433" s="323"/>
      <c r="S433" s="323"/>
      <c r="T433" s="323"/>
      <c r="U433" s="323"/>
      <c r="V433" s="323"/>
    </row>
    <row r="434">
      <c r="A434" s="323"/>
      <c r="B434" s="323"/>
      <c r="C434" s="322"/>
      <c r="D434" s="322"/>
      <c r="E434" s="323"/>
      <c r="F434" s="322"/>
      <c r="G434" s="322"/>
      <c r="H434" s="322"/>
      <c r="I434" s="322"/>
      <c r="J434" s="387"/>
      <c r="K434" s="388"/>
      <c r="L434" s="323"/>
      <c r="M434" s="323"/>
      <c r="N434" s="323"/>
      <c r="O434" s="323"/>
      <c r="P434" s="323"/>
      <c r="Q434" s="323"/>
      <c r="R434" s="323"/>
      <c r="S434" s="323"/>
      <c r="T434" s="323"/>
      <c r="U434" s="323"/>
      <c r="V434" s="323"/>
    </row>
    <row r="435">
      <c r="A435" s="323"/>
      <c r="B435" s="323"/>
      <c r="C435" s="322"/>
      <c r="D435" s="322"/>
      <c r="E435" s="323"/>
      <c r="F435" s="322"/>
      <c r="G435" s="322"/>
      <c r="H435" s="322"/>
      <c r="I435" s="322"/>
      <c r="J435" s="387"/>
      <c r="K435" s="388"/>
      <c r="L435" s="323"/>
      <c r="M435" s="323"/>
      <c r="N435" s="323"/>
      <c r="O435" s="323"/>
      <c r="P435" s="323"/>
      <c r="Q435" s="323"/>
      <c r="R435" s="323"/>
      <c r="S435" s="323"/>
      <c r="T435" s="323"/>
      <c r="U435" s="323"/>
      <c r="V435" s="323"/>
    </row>
    <row r="436">
      <c r="A436" s="323"/>
      <c r="B436" s="323"/>
      <c r="C436" s="322"/>
      <c r="D436" s="322"/>
      <c r="E436" s="323"/>
      <c r="F436" s="322"/>
      <c r="G436" s="322"/>
      <c r="H436" s="322"/>
      <c r="I436" s="322"/>
      <c r="J436" s="387"/>
      <c r="K436" s="388"/>
      <c r="L436" s="323"/>
      <c r="M436" s="323"/>
      <c r="N436" s="323"/>
      <c r="O436" s="323"/>
      <c r="P436" s="323"/>
      <c r="Q436" s="323"/>
      <c r="R436" s="323"/>
      <c r="S436" s="323"/>
      <c r="T436" s="323"/>
      <c r="U436" s="323"/>
      <c r="V436" s="323"/>
    </row>
    <row r="437">
      <c r="A437" s="323"/>
      <c r="B437" s="323"/>
      <c r="C437" s="322"/>
      <c r="D437" s="322"/>
      <c r="E437" s="323"/>
      <c r="F437" s="322"/>
      <c r="G437" s="322"/>
      <c r="H437" s="322"/>
      <c r="I437" s="322"/>
      <c r="J437" s="387"/>
      <c r="K437" s="388"/>
      <c r="L437" s="323"/>
      <c r="M437" s="323"/>
      <c r="N437" s="323"/>
      <c r="O437" s="323"/>
      <c r="P437" s="323"/>
      <c r="Q437" s="323"/>
      <c r="R437" s="323"/>
      <c r="S437" s="323"/>
      <c r="T437" s="323"/>
      <c r="U437" s="323"/>
      <c r="V437" s="323"/>
    </row>
    <row r="438">
      <c r="A438" s="323"/>
      <c r="B438" s="323"/>
      <c r="C438" s="322"/>
      <c r="D438" s="322"/>
      <c r="E438" s="323"/>
      <c r="F438" s="322"/>
      <c r="G438" s="322"/>
      <c r="H438" s="322"/>
      <c r="I438" s="322"/>
      <c r="J438" s="387"/>
      <c r="K438" s="388"/>
      <c r="L438" s="323"/>
      <c r="M438" s="323"/>
      <c r="N438" s="323"/>
      <c r="O438" s="323"/>
      <c r="P438" s="323"/>
      <c r="Q438" s="323"/>
      <c r="R438" s="323"/>
      <c r="S438" s="323"/>
      <c r="T438" s="323"/>
      <c r="U438" s="323"/>
      <c r="V438" s="323"/>
    </row>
    <row r="439">
      <c r="A439" s="323"/>
      <c r="B439" s="323"/>
      <c r="C439" s="322"/>
      <c r="D439" s="322"/>
      <c r="E439" s="323"/>
      <c r="F439" s="322"/>
      <c r="G439" s="322"/>
      <c r="H439" s="322"/>
      <c r="I439" s="322"/>
      <c r="J439" s="387"/>
      <c r="K439" s="388"/>
      <c r="L439" s="323"/>
      <c r="M439" s="323"/>
      <c r="N439" s="323"/>
      <c r="O439" s="323"/>
      <c r="P439" s="323"/>
      <c r="Q439" s="323"/>
      <c r="R439" s="323"/>
      <c r="S439" s="323"/>
      <c r="T439" s="323"/>
      <c r="U439" s="323"/>
      <c r="V439" s="323"/>
    </row>
    <row r="440">
      <c r="A440" s="323"/>
      <c r="B440" s="323"/>
      <c r="C440" s="322"/>
      <c r="D440" s="322"/>
      <c r="E440" s="323"/>
      <c r="F440" s="322"/>
      <c r="G440" s="322"/>
      <c r="H440" s="322"/>
      <c r="I440" s="322"/>
      <c r="J440" s="387"/>
      <c r="K440" s="388"/>
      <c r="L440" s="323"/>
      <c r="M440" s="323"/>
      <c r="N440" s="323"/>
      <c r="O440" s="323"/>
      <c r="P440" s="323"/>
      <c r="Q440" s="323"/>
      <c r="R440" s="323"/>
      <c r="S440" s="323"/>
      <c r="T440" s="323"/>
      <c r="U440" s="323"/>
      <c r="V440" s="323"/>
    </row>
    <row r="441">
      <c r="A441" s="323"/>
      <c r="B441" s="323"/>
      <c r="C441" s="322"/>
      <c r="D441" s="322"/>
      <c r="E441" s="323"/>
      <c r="F441" s="322"/>
      <c r="G441" s="322"/>
      <c r="H441" s="322"/>
      <c r="I441" s="322"/>
      <c r="J441" s="387"/>
      <c r="K441" s="388"/>
      <c r="L441" s="323"/>
      <c r="M441" s="323"/>
      <c r="N441" s="323"/>
      <c r="O441" s="323"/>
      <c r="P441" s="323"/>
      <c r="Q441" s="323"/>
      <c r="R441" s="323"/>
      <c r="S441" s="323"/>
      <c r="T441" s="323"/>
      <c r="U441" s="323"/>
      <c r="V441" s="323"/>
    </row>
    <row r="442">
      <c r="A442" s="323"/>
      <c r="B442" s="323"/>
      <c r="C442" s="322"/>
      <c r="D442" s="322"/>
      <c r="E442" s="323"/>
      <c r="F442" s="322"/>
      <c r="G442" s="322"/>
      <c r="H442" s="322"/>
      <c r="I442" s="322"/>
      <c r="J442" s="387"/>
      <c r="K442" s="388"/>
      <c r="L442" s="323"/>
      <c r="M442" s="323"/>
      <c r="N442" s="323"/>
      <c r="O442" s="323"/>
      <c r="P442" s="323"/>
      <c r="Q442" s="323"/>
      <c r="R442" s="323"/>
      <c r="S442" s="323"/>
      <c r="T442" s="323"/>
      <c r="U442" s="323"/>
      <c r="V442" s="323"/>
    </row>
    <row r="443">
      <c r="A443" s="323"/>
      <c r="B443" s="323"/>
      <c r="C443" s="322"/>
      <c r="D443" s="322"/>
      <c r="E443" s="323"/>
      <c r="F443" s="322"/>
      <c r="G443" s="322"/>
      <c r="H443" s="322"/>
      <c r="I443" s="322"/>
      <c r="J443" s="387"/>
      <c r="K443" s="388"/>
      <c r="L443" s="323"/>
      <c r="M443" s="323"/>
      <c r="N443" s="323"/>
      <c r="O443" s="323"/>
      <c r="P443" s="323"/>
      <c r="Q443" s="323"/>
      <c r="R443" s="323"/>
      <c r="S443" s="323"/>
      <c r="T443" s="323"/>
      <c r="U443" s="323"/>
      <c r="V443" s="323"/>
    </row>
    <row r="444">
      <c r="A444" s="323"/>
      <c r="B444" s="323"/>
      <c r="C444" s="322"/>
      <c r="D444" s="322"/>
      <c r="E444" s="323"/>
      <c r="F444" s="322"/>
      <c r="G444" s="322"/>
      <c r="H444" s="322"/>
      <c r="I444" s="322"/>
      <c r="J444" s="387"/>
      <c r="K444" s="388"/>
      <c r="L444" s="323"/>
      <c r="M444" s="323"/>
      <c r="N444" s="323"/>
      <c r="O444" s="323"/>
      <c r="P444" s="323"/>
      <c r="Q444" s="323"/>
      <c r="R444" s="323"/>
      <c r="S444" s="323"/>
      <c r="T444" s="323"/>
      <c r="U444" s="323"/>
      <c r="V444" s="323"/>
    </row>
    <row r="445">
      <c r="A445" s="323"/>
      <c r="B445" s="323"/>
      <c r="C445" s="322"/>
      <c r="D445" s="322"/>
      <c r="E445" s="323"/>
      <c r="F445" s="322"/>
      <c r="G445" s="322"/>
      <c r="H445" s="322"/>
      <c r="I445" s="322"/>
      <c r="J445" s="387"/>
      <c r="K445" s="388"/>
      <c r="L445" s="323"/>
      <c r="M445" s="323"/>
      <c r="N445" s="323"/>
      <c r="O445" s="323"/>
      <c r="P445" s="323"/>
      <c r="Q445" s="323"/>
      <c r="R445" s="323"/>
      <c r="S445" s="323"/>
      <c r="T445" s="323"/>
      <c r="U445" s="323"/>
      <c r="V445" s="323"/>
    </row>
    <row r="446">
      <c r="A446" s="323"/>
      <c r="B446" s="323"/>
      <c r="C446" s="322"/>
      <c r="D446" s="322"/>
      <c r="E446" s="323"/>
      <c r="F446" s="322"/>
      <c r="G446" s="322"/>
      <c r="H446" s="322"/>
      <c r="I446" s="322"/>
      <c r="J446" s="387"/>
      <c r="K446" s="388"/>
      <c r="L446" s="323"/>
      <c r="M446" s="323"/>
      <c r="N446" s="323"/>
      <c r="O446" s="323"/>
      <c r="P446" s="323"/>
      <c r="Q446" s="323"/>
      <c r="R446" s="323"/>
      <c r="S446" s="323"/>
      <c r="T446" s="323"/>
      <c r="U446" s="323"/>
      <c r="V446" s="323"/>
    </row>
    <row r="447">
      <c r="A447" s="323"/>
      <c r="B447" s="323"/>
      <c r="C447" s="322"/>
      <c r="D447" s="322"/>
      <c r="E447" s="323"/>
      <c r="F447" s="322"/>
      <c r="G447" s="322"/>
      <c r="H447" s="322"/>
      <c r="I447" s="322"/>
      <c r="J447" s="387"/>
      <c r="K447" s="388"/>
      <c r="L447" s="323"/>
      <c r="M447" s="323"/>
      <c r="N447" s="323"/>
      <c r="O447" s="323"/>
      <c r="P447" s="323"/>
      <c r="Q447" s="323"/>
      <c r="R447" s="323"/>
      <c r="S447" s="323"/>
      <c r="T447" s="323"/>
      <c r="U447" s="323"/>
      <c r="V447" s="323"/>
    </row>
    <row r="448">
      <c r="A448" s="323"/>
      <c r="B448" s="323"/>
      <c r="C448" s="322"/>
      <c r="D448" s="322"/>
      <c r="E448" s="323"/>
      <c r="F448" s="322"/>
      <c r="G448" s="322"/>
      <c r="H448" s="322"/>
      <c r="I448" s="322"/>
      <c r="J448" s="387"/>
      <c r="K448" s="388"/>
      <c r="L448" s="323"/>
      <c r="M448" s="323"/>
      <c r="N448" s="323"/>
      <c r="O448" s="323"/>
      <c r="P448" s="323"/>
      <c r="Q448" s="323"/>
      <c r="R448" s="323"/>
      <c r="S448" s="323"/>
      <c r="T448" s="323"/>
      <c r="U448" s="323"/>
      <c r="V448" s="323"/>
    </row>
    <row r="449">
      <c r="A449" s="323"/>
      <c r="B449" s="323"/>
      <c r="C449" s="322"/>
      <c r="D449" s="322"/>
      <c r="E449" s="323"/>
      <c r="F449" s="322"/>
      <c r="G449" s="322"/>
      <c r="H449" s="322"/>
      <c r="I449" s="322"/>
      <c r="J449" s="387"/>
      <c r="K449" s="388"/>
      <c r="L449" s="323"/>
      <c r="M449" s="323"/>
      <c r="N449" s="323"/>
      <c r="O449" s="323"/>
      <c r="P449" s="323"/>
      <c r="Q449" s="323"/>
      <c r="R449" s="323"/>
      <c r="S449" s="323"/>
      <c r="T449" s="323"/>
      <c r="U449" s="323"/>
      <c r="V449" s="323"/>
    </row>
    <row r="450">
      <c r="A450" s="323"/>
      <c r="B450" s="323"/>
      <c r="C450" s="322"/>
      <c r="D450" s="322"/>
      <c r="E450" s="323"/>
      <c r="F450" s="322"/>
      <c r="G450" s="322"/>
      <c r="H450" s="322"/>
      <c r="I450" s="322"/>
      <c r="J450" s="387"/>
      <c r="K450" s="388"/>
      <c r="L450" s="323"/>
      <c r="M450" s="323"/>
      <c r="N450" s="323"/>
      <c r="O450" s="323"/>
      <c r="P450" s="323"/>
      <c r="Q450" s="323"/>
      <c r="R450" s="323"/>
      <c r="S450" s="323"/>
      <c r="T450" s="323"/>
      <c r="U450" s="323"/>
      <c r="V450" s="323"/>
    </row>
    <row r="451">
      <c r="A451" s="323"/>
      <c r="B451" s="323"/>
      <c r="C451" s="322"/>
      <c r="D451" s="322"/>
      <c r="E451" s="323"/>
      <c r="F451" s="322"/>
      <c r="G451" s="322"/>
      <c r="H451" s="322"/>
      <c r="I451" s="322"/>
      <c r="J451" s="387"/>
      <c r="K451" s="388"/>
      <c r="L451" s="323"/>
      <c r="M451" s="323"/>
      <c r="N451" s="323"/>
      <c r="O451" s="323"/>
      <c r="P451" s="323"/>
      <c r="Q451" s="323"/>
      <c r="R451" s="323"/>
      <c r="S451" s="323"/>
      <c r="T451" s="323"/>
      <c r="U451" s="323"/>
      <c r="V451" s="323"/>
    </row>
    <row r="452">
      <c r="A452" s="323"/>
      <c r="B452" s="323"/>
      <c r="C452" s="322"/>
      <c r="D452" s="322"/>
      <c r="E452" s="323"/>
      <c r="F452" s="322"/>
      <c r="G452" s="322"/>
      <c r="H452" s="322"/>
      <c r="I452" s="322"/>
      <c r="J452" s="387"/>
      <c r="K452" s="388"/>
      <c r="L452" s="323"/>
      <c r="M452" s="323"/>
      <c r="N452" s="323"/>
      <c r="O452" s="323"/>
      <c r="P452" s="323"/>
      <c r="Q452" s="323"/>
      <c r="R452" s="323"/>
      <c r="S452" s="323"/>
      <c r="T452" s="323"/>
      <c r="U452" s="323"/>
      <c r="V452" s="323"/>
    </row>
    <row r="453">
      <c r="A453" s="323"/>
      <c r="B453" s="323"/>
      <c r="C453" s="322"/>
      <c r="D453" s="322"/>
      <c r="E453" s="323"/>
      <c r="F453" s="322"/>
      <c r="G453" s="322"/>
      <c r="H453" s="322"/>
      <c r="I453" s="322"/>
      <c r="J453" s="387"/>
      <c r="K453" s="388"/>
      <c r="L453" s="323"/>
      <c r="M453" s="323"/>
      <c r="N453" s="323"/>
      <c r="O453" s="323"/>
      <c r="P453" s="323"/>
      <c r="Q453" s="323"/>
      <c r="R453" s="323"/>
      <c r="S453" s="323"/>
      <c r="T453" s="323"/>
      <c r="U453" s="323"/>
      <c r="V453" s="323"/>
    </row>
    <row r="454">
      <c r="A454" s="323"/>
      <c r="B454" s="323"/>
      <c r="C454" s="322"/>
      <c r="D454" s="322"/>
      <c r="E454" s="323"/>
      <c r="F454" s="322"/>
      <c r="G454" s="322"/>
      <c r="H454" s="322"/>
      <c r="I454" s="322"/>
      <c r="J454" s="387"/>
      <c r="K454" s="388"/>
      <c r="L454" s="323"/>
      <c r="M454" s="323"/>
      <c r="N454" s="323"/>
      <c r="O454" s="323"/>
      <c r="P454" s="323"/>
      <c r="Q454" s="323"/>
      <c r="R454" s="323"/>
      <c r="S454" s="323"/>
      <c r="T454" s="323"/>
      <c r="U454" s="323"/>
      <c r="V454" s="323"/>
    </row>
    <row r="455">
      <c r="A455" s="323"/>
      <c r="B455" s="323"/>
      <c r="C455" s="322"/>
      <c r="D455" s="322"/>
      <c r="E455" s="323"/>
      <c r="F455" s="322"/>
      <c r="G455" s="322"/>
      <c r="H455" s="322"/>
      <c r="I455" s="322"/>
      <c r="J455" s="387"/>
      <c r="K455" s="388"/>
      <c r="L455" s="323"/>
      <c r="M455" s="323"/>
      <c r="N455" s="323"/>
      <c r="O455" s="323"/>
      <c r="P455" s="323"/>
      <c r="Q455" s="323"/>
      <c r="R455" s="323"/>
      <c r="S455" s="323"/>
      <c r="T455" s="323"/>
      <c r="U455" s="323"/>
      <c r="V455" s="323"/>
    </row>
    <row r="456">
      <c r="A456" s="323"/>
      <c r="B456" s="323"/>
      <c r="C456" s="322"/>
      <c r="D456" s="322"/>
      <c r="E456" s="323"/>
      <c r="F456" s="322"/>
      <c r="G456" s="322"/>
      <c r="H456" s="322"/>
      <c r="I456" s="322"/>
      <c r="J456" s="387"/>
      <c r="K456" s="388"/>
      <c r="L456" s="323"/>
      <c r="M456" s="323"/>
      <c r="N456" s="323"/>
      <c r="O456" s="323"/>
      <c r="P456" s="323"/>
      <c r="Q456" s="323"/>
      <c r="R456" s="323"/>
      <c r="S456" s="323"/>
      <c r="T456" s="323"/>
      <c r="U456" s="323"/>
      <c r="V456" s="323"/>
    </row>
    <row r="457">
      <c r="A457" s="323"/>
      <c r="B457" s="323"/>
      <c r="C457" s="322"/>
      <c r="D457" s="322"/>
      <c r="E457" s="323"/>
      <c r="F457" s="322"/>
      <c r="G457" s="322"/>
      <c r="H457" s="322"/>
      <c r="I457" s="322"/>
      <c r="J457" s="387"/>
      <c r="K457" s="388"/>
      <c r="L457" s="323"/>
      <c r="M457" s="323"/>
      <c r="N457" s="323"/>
      <c r="O457" s="323"/>
      <c r="P457" s="323"/>
      <c r="Q457" s="323"/>
      <c r="R457" s="323"/>
      <c r="S457" s="323"/>
      <c r="T457" s="323"/>
      <c r="U457" s="323"/>
      <c r="V457" s="323"/>
    </row>
    <row r="458">
      <c r="A458" s="323"/>
      <c r="B458" s="323"/>
      <c r="C458" s="322"/>
      <c r="D458" s="322"/>
      <c r="E458" s="323"/>
      <c r="F458" s="322"/>
      <c r="G458" s="322"/>
      <c r="H458" s="322"/>
      <c r="I458" s="322"/>
      <c r="J458" s="387"/>
      <c r="K458" s="388"/>
      <c r="L458" s="323"/>
      <c r="M458" s="323"/>
      <c r="N458" s="323"/>
      <c r="O458" s="323"/>
      <c r="P458" s="323"/>
      <c r="Q458" s="323"/>
      <c r="R458" s="323"/>
      <c r="S458" s="323"/>
      <c r="T458" s="323"/>
      <c r="U458" s="323"/>
      <c r="V458" s="323"/>
    </row>
    <row r="459">
      <c r="A459" s="323"/>
      <c r="B459" s="323"/>
      <c r="C459" s="322"/>
      <c r="D459" s="322"/>
      <c r="E459" s="323"/>
      <c r="F459" s="322"/>
      <c r="G459" s="322"/>
      <c r="H459" s="322"/>
      <c r="I459" s="322"/>
      <c r="J459" s="387"/>
      <c r="K459" s="388"/>
      <c r="L459" s="323"/>
      <c r="M459" s="323"/>
      <c r="N459" s="323"/>
      <c r="O459" s="323"/>
      <c r="P459" s="323"/>
      <c r="Q459" s="323"/>
      <c r="R459" s="323"/>
      <c r="S459" s="323"/>
      <c r="T459" s="323"/>
      <c r="U459" s="323"/>
      <c r="V459" s="323"/>
    </row>
    <row r="460">
      <c r="A460" s="323"/>
      <c r="B460" s="323"/>
      <c r="C460" s="322"/>
      <c r="D460" s="322"/>
      <c r="E460" s="323"/>
      <c r="F460" s="322"/>
      <c r="G460" s="322"/>
      <c r="H460" s="322"/>
      <c r="I460" s="322"/>
      <c r="J460" s="387"/>
      <c r="K460" s="388"/>
      <c r="L460" s="323"/>
      <c r="M460" s="323"/>
      <c r="N460" s="323"/>
      <c r="O460" s="323"/>
      <c r="P460" s="323"/>
      <c r="Q460" s="323"/>
      <c r="R460" s="323"/>
      <c r="S460" s="323"/>
      <c r="T460" s="323"/>
      <c r="U460" s="323"/>
      <c r="V460" s="323"/>
    </row>
    <row r="461">
      <c r="A461" s="323"/>
      <c r="B461" s="323"/>
      <c r="C461" s="322"/>
      <c r="D461" s="322"/>
      <c r="E461" s="323"/>
      <c r="F461" s="322"/>
      <c r="G461" s="322"/>
      <c r="H461" s="322"/>
      <c r="I461" s="322"/>
      <c r="J461" s="387"/>
      <c r="K461" s="388"/>
      <c r="L461" s="323"/>
      <c r="M461" s="323"/>
      <c r="N461" s="323"/>
      <c r="O461" s="323"/>
      <c r="P461" s="323"/>
      <c r="Q461" s="323"/>
      <c r="R461" s="323"/>
      <c r="S461" s="323"/>
      <c r="T461" s="323"/>
      <c r="U461" s="323"/>
      <c r="V461" s="323"/>
    </row>
    <row r="462">
      <c r="A462" s="323"/>
      <c r="B462" s="323"/>
      <c r="C462" s="322"/>
      <c r="D462" s="322"/>
      <c r="E462" s="323"/>
      <c r="F462" s="322"/>
      <c r="G462" s="322"/>
      <c r="H462" s="322"/>
      <c r="I462" s="322"/>
      <c r="J462" s="387"/>
      <c r="K462" s="388"/>
      <c r="L462" s="323"/>
      <c r="M462" s="323"/>
      <c r="N462" s="323"/>
      <c r="O462" s="323"/>
      <c r="P462" s="323"/>
      <c r="Q462" s="323"/>
      <c r="R462" s="323"/>
      <c r="S462" s="323"/>
      <c r="T462" s="323"/>
      <c r="U462" s="323"/>
      <c r="V462" s="323"/>
    </row>
    <row r="463">
      <c r="A463" s="323"/>
      <c r="B463" s="323"/>
      <c r="C463" s="322"/>
      <c r="D463" s="322"/>
      <c r="E463" s="323"/>
      <c r="F463" s="322"/>
      <c r="G463" s="322"/>
      <c r="H463" s="322"/>
      <c r="I463" s="322"/>
      <c r="J463" s="387"/>
      <c r="K463" s="388"/>
      <c r="L463" s="323"/>
      <c r="M463" s="323"/>
      <c r="N463" s="323"/>
      <c r="O463" s="323"/>
      <c r="P463" s="323"/>
      <c r="Q463" s="323"/>
      <c r="R463" s="323"/>
      <c r="S463" s="323"/>
      <c r="T463" s="323"/>
      <c r="U463" s="323"/>
      <c r="V463" s="323"/>
    </row>
    <row r="464">
      <c r="A464" s="323"/>
      <c r="B464" s="323"/>
      <c r="C464" s="322"/>
      <c r="D464" s="322"/>
      <c r="E464" s="323"/>
      <c r="F464" s="322"/>
      <c r="G464" s="322"/>
      <c r="H464" s="322"/>
      <c r="I464" s="322"/>
      <c r="J464" s="387"/>
      <c r="K464" s="388"/>
      <c r="L464" s="323"/>
      <c r="M464" s="323"/>
      <c r="N464" s="323"/>
      <c r="O464" s="323"/>
      <c r="P464" s="323"/>
      <c r="Q464" s="323"/>
      <c r="R464" s="323"/>
      <c r="S464" s="323"/>
      <c r="T464" s="323"/>
      <c r="U464" s="323"/>
      <c r="V464" s="323"/>
    </row>
    <row r="465">
      <c r="A465" s="323"/>
      <c r="B465" s="323"/>
      <c r="C465" s="322"/>
      <c r="D465" s="322"/>
      <c r="E465" s="323"/>
      <c r="F465" s="322"/>
      <c r="G465" s="322"/>
      <c r="H465" s="322"/>
      <c r="I465" s="322"/>
      <c r="J465" s="387"/>
      <c r="K465" s="388"/>
      <c r="L465" s="323"/>
      <c r="M465" s="323"/>
      <c r="N465" s="323"/>
      <c r="O465" s="323"/>
      <c r="P465" s="323"/>
      <c r="Q465" s="323"/>
      <c r="R465" s="323"/>
      <c r="S465" s="323"/>
      <c r="T465" s="323"/>
      <c r="U465" s="323"/>
      <c r="V465" s="323"/>
    </row>
    <row r="466">
      <c r="A466" s="323"/>
      <c r="B466" s="323"/>
      <c r="C466" s="322"/>
      <c r="D466" s="322"/>
      <c r="E466" s="323"/>
      <c r="F466" s="322"/>
      <c r="G466" s="322"/>
      <c r="H466" s="322"/>
      <c r="I466" s="322"/>
      <c r="J466" s="387"/>
      <c r="K466" s="388"/>
      <c r="L466" s="323"/>
      <c r="M466" s="323"/>
      <c r="N466" s="323"/>
      <c r="O466" s="323"/>
      <c r="P466" s="323"/>
      <c r="Q466" s="323"/>
      <c r="R466" s="323"/>
      <c r="S466" s="323"/>
      <c r="T466" s="323"/>
      <c r="U466" s="323"/>
      <c r="V466" s="323"/>
    </row>
    <row r="467">
      <c r="A467" s="323"/>
      <c r="B467" s="323"/>
      <c r="C467" s="322"/>
      <c r="D467" s="322"/>
      <c r="E467" s="323"/>
      <c r="F467" s="322"/>
      <c r="G467" s="322"/>
      <c r="H467" s="322"/>
      <c r="I467" s="322"/>
      <c r="J467" s="387"/>
      <c r="K467" s="388"/>
      <c r="L467" s="323"/>
      <c r="M467" s="323"/>
      <c r="N467" s="323"/>
      <c r="O467" s="323"/>
      <c r="P467" s="323"/>
      <c r="Q467" s="323"/>
      <c r="R467" s="323"/>
      <c r="S467" s="323"/>
      <c r="T467" s="323"/>
      <c r="U467" s="323"/>
      <c r="V467" s="323"/>
    </row>
    <row r="468">
      <c r="A468" s="323"/>
      <c r="B468" s="323"/>
      <c r="C468" s="322"/>
      <c r="D468" s="322"/>
      <c r="E468" s="323"/>
      <c r="F468" s="322"/>
      <c r="G468" s="322"/>
      <c r="H468" s="322"/>
      <c r="I468" s="322"/>
      <c r="J468" s="387"/>
      <c r="K468" s="388"/>
      <c r="L468" s="323"/>
      <c r="M468" s="323"/>
      <c r="N468" s="323"/>
      <c r="O468" s="323"/>
      <c r="P468" s="323"/>
      <c r="Q468" s="323"/>
      <c r="R468" s="323"/>
      <c r="S468" s="323"/>
      <c r="T468" s="323"/>
      <c r="U468" s="323"/>
      <c r="V468" s="323"/>
    </row>
    <row r="469">
      <c r="A469" s="323"/>
      <c r="B469" s="323"/>
      <c r="C469" s="322"/>
      <c r="D469" s="322"/>
      <c r="E469" s="323"/>
      <c r="F469" s="322"/>
      <c r="G469" s="322"/>
      <c r="H469" s="322"/>
      <c r="I469" s="322"/>
      <c r="J469" s="387"/>
      <c r="K469" s="388"/>
      <c r="L469" s="323"/>
      <c r="M469" s="323"/>
      <c r="N469" s="323"/>
      <c r="O469" s="323"/>
      <c r="P469" s="323"/>
      <c r="Q469" s="323"/>
      <c r="R469" s="323"/>
      <c r="S469" s="323"/>
      <c r="T469" s="323"/>
      <c r="U469" s="323"/>
      <c r="V469" s="323"/>
    </row>
    <row r="470">
      <c r="A470" s="323"/>
      <c r="B470" s="323"/>
      <c r="C470" s="322"/>
      <c r="D470" s="322"/>
      <c r="E470" s="323"/>
      <c r="F470" s="322"/>
      <c r="G470" s="322"/>
      <c r="H470" s="322"/>
      <c r="I470" s="322"/>
      <c r="J470" s="387"/>
      <c r="K470" s="388"/>
      <c r="L470" s="323"/>
      <c r="M470" s="323"/>
      <c r="N470" s="323"/>
      <c r="O470" s="323"/>
      <c r="P470" s="323"/>
      <c r="Q470" s="323"/>
      <c r="R470" s="323"/>
      <c r="S470" s="323"/>
      <c r="T470" s="323"/>
      <c r="U470" s="323"/>
      <c r="V470" s="323"/>
    </row>
    <row r="471">
      <c r="A471" s="323"/>
      <c r="B471" s="323"/>
      <c r="C471" s="322"/>
      <c r="D471" s="322"/>
      <c r="E471" s="323"/>
      <c r="F471" s="322"/>
      <c r="G471" s="322"/>
      <c r="H471" s="322"/>
      <c r="I471" s="322"/>
      <c r="J471" s="387"/>
      <c r="K471" s="388"/>
      <c r="L471" s="323"/>
      <c r="M471" s="323"/>
      <c r="N471" s="323"/>
      <c r="O471" s="323"/>
      <c r="P471" s="323"/>
      <c r="Q471" s="323"/>
      <c r="R471" s="323"/>
      <c r="S471" s="323"/>
      <c r="T471" s="323"/>
      <c r="U471" s="323"/>
      <c r="V471" s="323"/>
    </row>
    <row r="472">
      <c r="A472" s="323"/>
      <c r="B472" s="323"/>
      <c r="C472" s="322"/>
      <c r="D472" s="322"/>
      <c r="E472" s="323"/>
      <c r="F472" s="322"/>
      <c r="G472" s="322"/>
      <c r="H472" s="322"/>
      <c r="I472" s="322"/>
      <c r="J472" s="387"/>
      <c r="K472" s="388"/>
      <c r="L472" s="323"/>
      <c r="M472" s="323"/>
      <c r="N472" s="323"/>
      <c r="O472" s="323"/>
      <c r="P472" s="323"/>
      <c r="Q472" s="323"/>
      <c r="R472" s="323"/>
      <c r="S472" s="323"/>
      <c r="T472" s="323"/>
      <c r="U472" s="323"/>
      <c r="V472" s="323"/>
    </row>
    <row r="473">
      <c r="A473" s="323"/>
      <c r="B473" s="323"/>
      <c r="C473" s="322"/>
      <c r="D473" s="322"/>
      <c r="E473" s="323"/>
      <c r="F473" s="322"/>
      <c r="G473" s="322"/>
      <c r="H473" s="322"/>
      <c r="I473" s="322"/>
      <c r="J473" s="387"/>
      <c r="K473" s="388"/>
      <c r="L473" s="323"/>
      <c r="M473" s="323"/>
      <c r="N473" s="323"/>
      <c r="O473" s="323"/>
      <c r="P473" s="323"/>
      <c r="Q473" s="323"/>
      <c r="R473" s="323"/>
      <c r="S473" s="323"/>
      <c r="T473" s="323"/>
      <c r="U473" s="323"/>
      <c r="V473" s="323"/>
    </row>
    <row r="474">
      <c r="A474" s="323"/>
      <c r="B474" s="323"/>
      <c r="C474" s="322"/>
      <c r="D474" s="322"/>
      <c r="E474" s="323"/>
      <c r="F474" s="322"/>
      <c r="G474" s="322"/>
      <c r="H474" s="322"/>
      <c r="I474" s="322"/>
      <c r="J474" s="387"/>
      <c r="K474" s="388"/>
      <c r="L474" s="323"/>
      <c r="M474" s="323"/>
      <c r="N474" s="323"/>
      <c r="O474" s="323"/>
      <c r="P474" s="323"/>
      <c r="Q474" s="323"/>
      <c r="R474" s="323"/>
      <c r="S474" s="323"/>
      <c r="T474" s="323"/>
      <c r="U474" s="323"/>
      <c r="V474" s="323"/>
    </row>
    <row r="475">
      <c r="A475" s="323"/>
      <c r="B475" s="323"/>
      <c r="C475" s="322"/>
      <c r="D475" s="322"/>
      <c r="E475" s="323"/>
      <c r="F475" s="322"/>
      <c r="G475" s="322"/>
      <c r="H475" s="322"/>
      <c r="I475" s="322"/>
      <c r="J475" s="387"/>
      <c r="K475" s="388"/>
      <c r="L475" s="323"/>
      <c r="M475" s="323"/>
      <c r="N475" s="323"/>
      <c r="O475" s="323"/>
      <c r="P475" s="323"/>
      <c r="Q475" s="323"/>
      <c r="R475" s="323"/>
      <c r="S475" s="323"/>
      <c r="T475" s="323"/>
      <c r="U475" s="323"/>
      <c r="V475" s="323"/>
    </row>
    <row r="476">
      <c r="A476" s="323"/>
      <c r="B476" s="323"/>
      <c r="C476" s="322"/>
      <c r="D476" s="322"/>
      <c r="E476" s="323"/>
      <c r="F476" s="322"/>
      <c r="G476" s="322"/>
      <c r="H476" s="322"/>
      <c r="I476" s="322"/>
      <c r="J476" s="387"/>
      <c r="K476" s="388"/>
      <c r="L476" s="323"/>
      <c r="M476" s="323"/>
      <c r="N476" s="323"/>
      <c r="O476" s="323"/>
      <c r="P476" s="323"/>
      <c r="Q476" s="323"/>
      <c r="R476" s="323"/>
      <c r="S476" s="323"/>
      <c r="T476" s="323"/>
      <c r="U476" s="323"/>
      <c r="V476" s="323"/>
    </row>
    <row r="477">
      <c r="A477" s="323"/>
      <c r="B477" s="323"/>
      <c r="C477" s="322"/>
      <c r="D477" s="322"/>
      <c r="E477" s="323"/>
      <c r="F477" s="322"/>
      <c r="G477" s="322"/>
      <c r="H477" s="322"/>
      <c r="I477" s="322"/>
      <c r="J477" s="387"/>
      <c r="K477" s="388"/>
      <c r="L477" s="323"/>
      <c r="M477" s="323"/>
      <c r="N477" s="323"/>
      <c r="O477" s="323"/>
      <c r="P477" s="323"/>
      <c r="Q477" s="323"/>
      <c r="R477" s="323"/>
      <c r="S477" s="323"/>
      <c r="T477" s="323"/>
      <c r="U477" s="323"/>
      <c r="V477" s="323"/>
    </row>
    <row r="478">
      <c r="A478" s="323"/>
      <c r="B478" s="323"/>
      <c r="C478" s="322"/>
      <c r="D478" s="322"/>
      <c r="E478" s="323"/>
      <c r="F478" s="322"/>
      <c r="G478" s="322"/>
      <c r="H478" s="322"/>
      <c r="I478" s="322"/>
      <c r="J478" s="387"/>
      <c r="K478" s="388"/>
      <c r="L478" s="323"/>
      <c r="M478" s="323"/>
      <c r="N478" s="323"/>
      <c r="O478" s="323"/>
      <c r="P478" s="323"/>
      <c r="Q478" s="323"/>
      <c r="R478" s="323"/>
      <c r="S478" s="323"/>
      <c r="T478" s="323"/>
      <c r="U478" s="323"/>
      <c r="V478" s="323"/>
    </row>
    <row r="479">
      <c r="A479" s="323"/>
      <c r="B479" s="323"/>
      <c r="C479" s="322"/>
      <c r="D479" s="322"/>
      <c r="E479" s="323"/>
      <c r="F479" s="322"/>
      <c r="G479" s="322"/>
      <c r="H479" s="322"/>
      <c r="I479" s="322"/>
      <c r="J479" s="387"/>
      <c r="K479" s="388"/>
      <c r="L479" s="323"/>
      <c r="M479" s="323"/>
      <c r="N479" s="323"/>
      <c r="O479" s="323"/>
      <c r="P479" s="323"/>
      <c r="Q479" s="323"/>
      <c r="R479" s="323"/>
      <c r="S479" s="323"/>
      <c r="T479" s="323"/>
      <c r="U479" s="323"/>
      <c r="V479" s="323"/>
    </row>
    <row r="480">
      <c r="A480" s="323"/>
      <c r="B480" s="323"/>
      <c r="C480" s="322"/>
      <c r="D480" s="322"/>
      <c r="E480" s="323"/>
      <c r="F480" s="322"/>
      <c r="G480" s="322"/>
      <c r="H480" s="322"/>
      <c r="I480" s="322"/>
      <c r="J480" s="387"/>
      <c r="K480" s="388"/>
      <c r="L480" s="323"/>
      <c r="M480" s="323"/>
      <c r="N480" s="323"/>
      <c r="O480" s="323"/>
      <c r="P480" s="323"/>
      <c r="Q480" s="323"/>
      <c r="R480" s="323"/>
      <c r="S480" s="323"/>
      <c r="T480" s="323"/>
      <c r="U480" s="323"/>
      <c r="V480" s="323"/>
    </row>
    <row r="481">
      <c r="A481" s="323"/>
      <c r="B481" s="323"/>
      <c r="C481" s="322"/>
      <c r="D481" s="322"/>
      <c r="E481" s="323"/>
      <c r="F481" s="322"/>
      <c r="G481" s="322"/>
      <c r="H481" s="322"/>
      <c r="I481" s="322"/>
      <c r="J481" s="387"/>
      <c r="K481" s="388"/>
      <c r="L481" s="323"/>
      <c r="M481" s="323"/>
      <c r="N481" s="323"/>
      <c r="O481" s="323"/>
      <c r="P481" s="323"/>
      <c r="Q481" s="323"/>
      <c r="R481" s="323"/>
      <c r="S481" s="323"/>
      <c r="T481" s="323"/>
      <c r="U481" s="323"/>
      <c r="V481" s="323"/>
    </row>
    <row r="482">
      <c r="A482" s="323"/>
      <c r="B482" s="323"/>
      <c r="C482" s="322"/>
      <c r="D482" s="322"/>
      <c r="E482" s="323"/>
      <c r="F482" s="322"/>
      <c r="G482" s="322"/>
      <c r="H482" s="322"/>
      <c r="I482" s="322"/>
      <c r="J482" s="387"/>
      <c r="K482" s="388"/>
      <c r="L482" s="323"/>
      <c r="M482" s="323"/>
      <c r="N482" s="323"/>
      <c r="O482" s="323"/>
      <c r="P482" s="323"/>
      <c r="Q482" s="323"/>
      <c r="R482" s="323"/>
      <c r="S482" s="323"/>
      <c r="T482" s="323"/>
      <c r="U482" s="323"/>
      <c r="V482" s="323"/>
    </row>
    <row r="483">
      <c r="A483" s="323"/>
      <c r="B483" s="323"/>
      <c r="C483" s="322"/>
      <c r="D483" s="322"/>
      <c r="E483" s="323"/>
      <c r="F483" s="322"/>
      <c r="G483" s="322"/>
      <c r="H483" s="322"/>
      <c r="I483" s="322"/>
      <c r="J483" s="387"/>
      <c r="K483" s="388"/>
      <c r="L483" s="323"/>
      <c r="M483" s="323"/>
      <c r="N483" s="323"/>
      <c r="O483" s="323"/>
      <c r="P483" s="323"/>
      <c r="Q483" s="323"/>
      <c r="R483" s="323"/>
      <c r="S483" s="323"/>
      <c r="T483" s="323"/>
      <c r="U483" s="323"/>
      <c r="V483" s="323"/>
    </row>
    <row r="484">
      <c r="A484" s="323"/>
      <c r="B484" s="323"/>
      <c r="C484" s="322"/>
      <c r="D484" s="322"/>
      <c r="E484" s="323"/>
      <c r="F484" s="322"/>
      <c r="G484" s="322"/>
      <c r="H484" s="322"/>
      <c r="I484" s="322"/>
      <c r="J484" s="387"/>
      <c r="K484" s="388"/>
      <c r="L484" s="323"/>
      <c r="M484" s="323"/>
      <c r="N484" s="323"/>
      <c r="O484" s="323"/>
      <c r="P484" s="323"/>
      <c r="Q484" s="323"/>
      <c r="R484" s="323"/>
      <c r="S484" s="323"/>
      <c r="T484" s="323"/>
      <c r="U484" s="323"/>
      <c r="V484" s="323"/>
    </row>
    <row r="485">
      <c r="A485" s="323"/>
      <c r="B485" s="323"/>
      <c r="C485" s="322"/>
      <c r="D485" s="322"/>
      <c r="E485" s="323"/>
      <c r="F485" s="322"/>
      <c r="G485" s="322"/>
      <c r="H485" s="322"/>
      <c r="I485" s="322"/>
      <c r="J485" s="387"/>
      <c r="K485" s="388"/>
      <c r="L485" s="323"/>
      <c r="M485" s="323"/>
      <c r="N485" s="323"/>
      <c r="O485" s="323"/>
      <c r="P485" s="323"/>
      <c r="Q485" s="323"/>
      <c r="R485" s="323"/>
      <c r="S485" s="323"/>
      <c r="T485" s="323"/>
      <c r="U485" s="323"/>
      <c r="V485" s="323"/>
    </row>
    <row r="486">
      <c r="A486" s="323"/>
      <c r="B486" s="323"/>
      <c r="C486" s="322"/>
      <c r="D486" s="322"/>
      <c r="E486" s="323"/>
      <c r="F486" s="322"/>
      <c r="G486" s="322"/>
      <c r="H486" s="322"/>
      <c r="I486" s="322"/>
      <c r="J486" s="387"/>
      <c r="K486" s="388"/>
      <c r="L486" s="323"/>
      <c r="M486" s="323"/>
      <c r="N486" s="323"/>
      <c r="O486" s="323"/>
      <c r="P486" s="323"/>
      <c r="Q486" s="323"/>
      <c r="R486" s="323"/>
      <c r="S486" s="323"/>
      <c r="T486" s="323"/>
      <c r="U486" s="323"/>
      <c r="V486" s="323"/>
    </row>
    <row r="487">
      <c r="A487" s="323"/>
      <c r="B487" s="323"/>
      <c r="C487" s="322"/>
      <c r="D487" s="322"/>
      <c r="E487" s="323"/>
      <c r="F487" s="322"/>
      <c r="G487" s="322"/>
      <c r="H487" s="322"/>
      <c r="I487" s="322"/>
      <c r="J487" s="387"/>
      <c r="K487" s="388"/>
      <c r="L487" s="323"/>
      <c r="M487" s="323"/>
      <c r="N487" s="323"/>
      <c r="O487" s="323"/>
      <c r="P487" s="323"/>
      <c r="Q487" s="323"/>
      <c r="R487" s="323"/>
      <c r="S487" s="323"/>
      <c r="T487" s="323"/>
      <c r="U487" s="323"/>
      <c r="V487" s="323"/>
    </row>
    <row r="488">
      <c r="A488" s="323"/>
      <c r="B488" s="323"/>
      <c r="C488" s="322"/>
      <c r="D488" s="322"/>
      <c r="E488" s="323"/>
      <c r="F488" s="322"/>
      <c r="G488" s="322"/>
      <c r="H488" s="322"/>
      <c r="I488" s="322"/>
      <c r="J488" s="387"/>
      <c r="K488" s="388"/>
      <c r="L488" s="323"/>
      <c r="M488" s="323"/>
      <c r="N488" s="323"/>
      <c r="O488" s="323"/>
      <c r="P488" s="323"/>
      <c r="Q488" s="323"/>
      <c r="R488" s="323"/>
      <c r="S488" s="323"/>
      <c r="T488" s="323"/>
      <c r="U488" s="323"/>
      <c r="V488" s="323"/>
    </row>
    <row r="489">
      <c r="A489" s="323"/>
      <c r="B489" s="323"/>
      <c r="C489" s="322"/>
      <c r="D489" s="322"/>
      <c r="E489" s="323"/>
      <c r="F489" s="322"/>
      <c r="G489" s="322"/>
      <c r="H489" s="322"/>
      <c r="I489" s="322"/>
      <c r="J489" s="387"/>
      <c r="K489" s="388"/>
      <c r="L489" s="323"/>
      <c r="M489" s="323"/>
      <c r="N489" s="323"/>
      <c r="O489" s="323"/>
      <c r="P489" s="323"/>
      <c r="Q489" s="323"/>
      <c r="R489" s="323"/>
      <c r="S489" s="323"/>
      <c r="T489" s="323"/>
      <c r="U489" s="323"/>
      <c r="V489" s="323"/>
    </row>
    <row r="490">
      <c r="A490" s="323"/>
      <c r="B490" s="323"/>
      <c r="C490" s="322"/>
      <c r="D490" s="322"/>
      <c r="E490" s="323"/>
      <c r="F490" s="322"/>
      <c r="G490" s="322"/>
      <c r="H490" s="322"/>
      <c r="I490" s="322"/>
      <c r="J490" s="387"/>
      <c r="K490" s="388"/>
      <c r="L490" s="323"/>
      <c r="M490" s="323"/>
      <c r="N490" s="323"/>
      <c r="O490" s="323"/>
      <c r="P490" s="323"/>
      <c r="Q490" s="323"/>
      <c r="R490" s="323"/>
      <c r="S490" s="323"/>
      <c r="T490" s="323"/>
      <c r="U490" s="323"/>
      <c r="V490" s="323"/>
    </row>
    <row r="491">
      <c r="A491" s="323"/>
      <c r="B491" s="323"/>
      <c r="C491" s="322"/>
      <c r="D491" s="322"/>
      <c r="E491" s="323"/>
      <c r="F491" s="322"/>
      <c r="G491" s="322"/>
      <c r="H491" s="322"/>
      <c r="I491" s="322"/>
      <c r="J491" s="387"/>
      <c r="K491" s="388"/>
      <c r="L491" s="323"/>
      <c r="M491" s="323"/>
      <c r="N491" s="323"/>
      <c r="O491" s="323"/>
      <c r="P491" s="323"/>
      <c r="Q491" s="323"/>
      <c r="R491" s="323"/>
      <c r="S491" s="323"/>
      <c r="T491" s="323"/>
      <c r="U491" s="323"/>
      <c r="V491" s="323"/>
    </row>
    <row r="492">
      <c r="A492" s="323"/>
      <c r="B492" s="323"/>
      <c r="C492" s="322"/>
      <c r="D492" s="322"/>
      <c r="E492" s="323"/>
      <c r="F492" s="322"/>
      <c r="G492" s="322"/>
      <c r="H492" s="322"/>
      <c r="I492" s="322"/>
      <c r="J492" s="387"/>
      <c r="K492" s="388"/>
      <c r="L492" s="323"/>
      <c r="M492" s="323"/>
      <c r="N492" s="323"/>
      <c r="O492" s="323"/>
      <c r="P492" s="323"/>
      <c r="Q492" s="323"/>
      <c r="R492" s="323"/>
      <c r="S492" s="323"/>
      <c r="T492" s="323"/>
      <c r="U492" s="323"/>
      <c r="V492" s="323"/>
    </row>
    <row r="493">
      <c r="A493" s="323"/>
      <c r="B493" s="323"/>
      <c r="C493" s="322"/>
      <c r="D493" s="322"/>
      <c r="E493" s="323"/>
      <c r="F493" s="322"/>
      <c r="G493" s="322"/>
      <c r="H493" s="322"/>
      <c r="I493" s="322"/>
      <c r="J493" s="387"/>
      <c r="K493" s="388"/>
      <c r="L493" s="323"/>
      <c r="M493" s="323"/>
      <c r="N493" s="323"/>
      <c r="O493" s="323"/>
      <c r="P493" s="323"/>
      <c r="Q493" s="323"/>
      <c r="R493" s="323"/>
      <c r="S493" s="323"/>
      <c r="T493" s="323"/>
      <c r="U493" s="323"/>
      <c r="V493" s="323"/>
    </row>
    <row r="494">
      <c r="A494" s="323"/>
      <c r="B494" s="323"/>
      <c r="C494" s="322"/>
      <c r="D494" s="322"/>
      <c r="E494" s="323"/>
      <c r="F494" s="322"/>
      <c r="G494" s="322"/>
      <c r="H494" s="322"/>
      <c r="I494" s="322"/>
      <c r="J494" s="387"/>
      <c r="K494" s="388"/>
      <c r="L494" s="323"/>
      <c r="M494" s="323"/>
      <c r="N494" s="323"/>
      <c r="O494" s="323"/>
      <c r="P494" s="323"/>
      <c r="Q494" s="323"/>
      <c r="R494" s="323"/>
      <c r="S494" s="323"/>
      <c r="T494" s="323"/>
      <c r="U494" s="323"/>
      <c r="V494" s="323"/>
    </row>
    <row r="495">
      <c r="A495" s="323"/>
      <c r="B495" s="323"/>
      <c r="C495" s="322"/>
      <c r="D495" s="322"/>
      <c r="E495" s="323"/>
      <c r="F495" s="322"/>
      <c r="G495" s="322"/>
      <c r="H495" s="322"/>
      <c r="I495" s="322"/>
      <c r="J495" s="387"/>
      <c r="K495" s="388"/>
      <c r="L495" s="323"/>
      <c r="M495" s="323"/>
      <c r="N495" s="323"/>
      <c r="O495" s="323"/>
      <c r="P495" s="323"/>
      <c r="Q495" s="323"/>
      <c r="R495" s="323"/>
      <c r="S495" s="323"/>
      <c r="T495" s="323"/>
      <c r="U495" s="323"/>
      <c r="V495" s="323"/>
    </row>
    <row r="496">
      <c r="A496" s="323"/>
      <c r="B496" s="323"/>
      <c r="C496" s="322"/>
      <c r="D496" s="322"/>
      <c r="E496" s="323"/>
      <c r="F496" s="322"/>
      <c r="G496" s="322"/>
      <c r="H496" s="322"/>
      <c r="I496" s="322"/>
      <c r="J496" s="387"/>
      <c r="K496" s="388"/>
      <c r="L496" s="323"/>
      <c r="M496" s="323"/>
      <c r="N496" s="323"/>
      <c r="O496" s="323"/>
      <c r="P496" s="323"/>
      <c r="Q496" s="323"/>
      <c r="R496" s="323"/>
      <c r="S496" s="323"/>
      <c r="T496" s="323"/>
      <c r="U496" s="323"/>
      <c r="V496" s="323"/>
    </row>
    <row r="497">
      <c r="A497" s="323"/>
      <c r="B497" s="323"/>
      <c r="C497" s="322"/>
      <c r="D497" s="322"/>
      <c r="E497" s="323"/>
      <c r="F497" s="322"/>
      <c r="G497" s="322"/>
      <c r="H497" s="322"/>
      <c r="I497" s="322"/>
      <c r="J497" s="387"/>
      <c r="K497" s="388"/>
      <c r="L497" s="323"/>
      <c r="M497" s="323"/>
      <c r="N497" s="323"/>
      <c r="O497" s="323"/>
      <c r="P497" s="323"/>
      <c r="Q497" s="323"/>
      <c r="R497" s="323"/>
      <c r="S497" s="323"/>
      <c r="T497" s="323"/>
      <c r="U497" s="323"/>
      <c r="V497" s="323"/>
    </row>
    <row r="498">
      <c r="A498" s="323"/>
      <c r="B498" s="323"/>
      <c r="C498" s="322"/>
      <c r="D498" s="322"/>
      <c r="E498" s="323"/>
      <c r="F498" s="322"/>
      <c r="G498" s="322"/>
      <c r="H498" s="322"/>
      <c r="I498" s="322"/>
      <c r="J498" s="387"/>
      <c r="K498" s="388"/>
      <c r="L498" s="323"/>
      <c r="M498" s="323"/>
      <c r="N498" s="323"/>
      <c r="O498" s="323"/>
      <c r="P498" s="323"/>
      <c r="Q498" s="323"/>
      <c r="R498" s="323"/>
      <c r="S498" s="323"/>
      <c r="T498" s="323"/>
      <c r="U498" s="323"/>
      <c r="V498" s="323"/>
    </row>
    <row r="499">
      <c r="A499" s="323"/>
      <c r="B499" s="323"/>
      <c r="C499" s="322"/>
      <c r="D499" s="322"/>
      <c r="E499" s="323"/>
      <c r="F499" s="322"/>
      <c r="G499" s="322"/>
      <c r="H499" s="322"/>
      <c r="I499" s="322"/>
      <c r="J499" s="387"/>
      <c r="K499" s="388"/>
      <c r="L499" s="323"/>
      <c r="M499" s="323"/>
      <c r="N499" s="323"/>
      <c r="O499" s="323"/>
      <c r="P499" s="323"/>
      <c r="Q499" s="323"/>
      <c r="R499" s="323"/>
      <c r="S499" s="323"/>
      <c r="T499" s="323"/>
      <c r="U499" s="323"/>
      <c r="V499" s="323"/>
    </row>
    <row r="500">
      <c r="A500" s="323"/>
      <c r="B500" s="323"/>
      <c r="C500" s="322"/>
      <c r="D500" s="322"/>
      <c r="E500" s="323"/>
      <c r="F500" s="322"/>
      <c r="G500" s="322"/>
      <c r="H500" s="322"/>
      <c r="I500" s="322"/>
      <c r="J500" s="387"/>
      <c r="K500" s="388"/>
      <c r="L500" s="323"/>
      <c r="M500" s="323"/>
      <c r="N500" s="323"/>
      <c r="O500" s="323"/>
      <c r="P500" s="323"/>
      <c r="Q500" s="323"/>
      <c r="R500" s="323"/>
      <c r="S500" s="323"/>
      <c r="T500" s="323"/>
      <c r="U500" s="323"/>
      <c r="V500" s="323"/>
    </row>
    <row r="501">
      <c r="A501" s="323"/>
      <c r="B501" s="323"/>
      <c r="C501" s="322"/>
      <c r="D501" s="322"/>
      <c r="E501" s="323"/>
      <c r="F501" s="322"/>
      <c r="G501" s="322"/>
      <c r="H501" s="322"/>
      <c r="I501" s="322"/>
      <c r="J501" s="387"/>
      <c r="K501" s="388"/>
      <c r="L501" s="323"/>
      <c r="M501" s="323"/>
      <c r="N501" s="323"/>
      <c r="O501" s="323"/>
      <c r="P501" s="323"/>
      <c r="Q501" s="323"/>
      <c r="R501" s="323"/>
      <c r="S501" s="323"/>
      <c r="T501" s="323"/>
      <c r="U501" s="323"/>
      <c r="V501" s="323"/>
    </row>
    <row r="502">
      <c r="A502" s="323"/>
      <c r="B502" s="323"/>
      <c r="C502" s="322"/>
      <c r="D502" s="322"/>
      <c r="E502" s="323"/>
      <c r="F502" s="322"/>
      <c r="G502" s="322"/>
      <c r="H502" s="322"/>
      <c r="I502" s="322"/>
      <c r="J502" s="387"/>
      <c r="K502" s="388"/>
      <c r="L502" s="323"/>
      <c r="M502" s="323"/>
      <c r="N502" s="323"/>
      <c r="O502" s="323"/>
      <c r="P502" s="323"/>
      <c r="Q502" s="323"/>
      <c r="R502" s="323"/>
      <c r="S502" s="323"/>
      <c r="T502" s="323"/>
      <c r="U502" s="323"/>
      <c r="V502" s="323"/>
    </row>
    <row r="503">
      <c r="A503" s="323"/>
      <c r="B503" s="323"/>
      <c r="C503" s="322"/>
      <c r="D503" s="322"/>
      <c r="E503" s="323"/>
      <c r="F503" s="322"/>
      <c r="G503" s="322"/>
      <c r="H503" s="322"/>
      <c r="I503" s="322"/>
      <c r="J503" s="387"/>
      <c r="K503" s="388"/>
      <c r="L503" s="323"/>
      <c r="M503" s="323"/>
      <c r="N503" s="323"/>
      <c r="O503" s="323"/>
      <c r="P503" s="323"/>
      <c r="Q503" s="323"/>
      <c r="R503" s="323"/>
      <c r="S503" s="323"/>
      <c r="T503" s="323"/>
      <c r="U503" s="323"/>
      <c r="V503" s="323"/>
    </row>
    <row r="504">
      <c r="A504" s="323"/>
      <c r="B504" s="323"/>
      <c r="C504" s="322"/>
      <c r="D504" s="322"/>
      <c r="E504" s="323"/>
      <c r="F504" s="322"/>
      <c r="G504" s="322"/>
      <c r="H504" s="322"/>
      <c r="I504" s="322"/>
      <c r="J504" s="387"/>
      <c r="K504" s="388"/>
      <c r="L504" s="323"/>
      <c r="M504" s="323"/>
      <c r="N504" s="323"/>
      <c r="O504" s="323"/>
      <c r="P504" s="323"/>
      <c r="Q504" s="323"/>
      <c r="R504" s="323"/>
      <c r="S504" s="323"/>
      <c r="T504" s="323"/>
      <c r="U504" s="323"/>
      <c r="V504" s="323"/>
    </row>
    <row r="505">
      <c r="A505" s="323"/>
      <c r="B505" s="323"/>
      <c r="C505" s="322"/>
      <c r="D505" s="322"/>
      <c r="E505" s="323"/>
      <c r="F505" s="322"/>
      <c r="G505" s="322"/>
      <c r="H505" s="322"/>
      <c r="I505" s="322"/>
      <c r="J505" s="387"/>
      <c r="K505" s="388"/>
      <c r="L505" s="323"/>
      <c r="M505" s="323"/>
      <c r="N505" s="323"/>
      <c r="O505" s="323"/>
      <c r="P505" s="323"/>
      <c r="Q505" s="323"/>
      <c r="R505" s="323"/>
      <c r="S505" s="323"/>
      <c r="T505" s="323"/>
      <c r="U505" s="323"/>
      <c r="V505" s="323"/>
    </row>
    <row r="506">
      <c r="A506" s="323"/>
      <c r="B506" s="323"/>
      <c r="C506" s="322"/>
      <c r="D506" s="322"/>
      <c r="E506" s="323"/>
      <c r="F506" s="322"/>
      <c r="G506" s="322"/>
      <c r="H506" s="322"/>
      <c r="I506" s="322"/>
      <c r="J506" s="387"/>
      <c r="K506" s="388"/>
      <c r="L506" s="323"/>
      <c r="M506" s="323"/>
      <c r="N506" s="323"/>
      <c r="O506" s="323"/>
      <c r="P506" s="323"/>
      <c r="Q506" s="323"/>
      <c r="R506" s="323"/>
      <c r="S506" s="323"/>
      <c r="T506" s="323"/>
      <c r="U506" s="323"/>
      <c r="V506" s="323"/>
    </row>
    <row r="507">
      <c r="A507" s="323"/>
      <c r="B507" s="323"/>
      <c r="C507" s="322"/>
      <c r="D507" s="322"/>
      <c r="E507" s="323"/>
      <c r="F507" s="322"/>
      <c r="G507" s="322"/>
      <c r="H507" s="322"/>
      <c r="I507" s="322"/>
      <c r="J507" s="387"/>
      <c r="K507" s="388"/>
      <c r="L507" s="323"/>
      <c r="M507" s="323"/>
      <c r="N507" s="323"/>
      <c r="O507" s="323"/>
      <c r="P507" s="323"/>
      <c r="Q507" s="323"/>
      <c r="R507" s="323"/>
      <c r="S507" s="323"/>
      <c r="T507" s="323"/>
      <c r="U507" s="323"/>
      <c r="V507" s="323"/>
    </row>
    <row r="508">
      <c r="A508" s="323"/>
      <c r="B508" s="323"/>
      <c r="C508" s="322"/>
      <c r="D508" s="322"/>
      <c r="E508" s="323"/>
      <c r="F508" s="322"/>
      <c r="G508" s="322"/>
      <c r="H508" s="322"/>
      <c r="I508" s="322"/>
      <c r="J508" s="387"/>
      <c r="K508" s="388"/>
      <c r="L508" s="323"/>
      <c r="M508" s="323"/>
      <c r="N508" s="323"/>
      <c r="O508" s="323"/>
      <c r="P508" s="323"/>
      <c r="Q508" s="323"/>
      <c r="R508" s="323"/>
      <c r="S508" s="323"/>
      <c r="T508" s="323"/>
      <c r="U508" s="323"/>
      <c r="V508" s="323"/>
    </row>
    <row r="509">
      <c r="A509" s="323"/>
      <c r="B509" s="323"/>
      <c r="C509" s="322"/>
      <c r="D509" s="322"/>
      <c r="E509" s="323"/>
      <c r="F509" s="322"/>
      <c r="G509" s="322"/>
      <c r="H509" s="322"/>
      <c r="I509" s="322"/>
      <c r="J509" s="387"/>
      <c r="K509" s="388"/>
      <c r="L509" s="323"/>
      <c r="M509" s="323"/>
      <c r="N509" s="323"/>
      <c r="O509" s="323"/>
      <c r="P509" s="323"/>
      <c r="Q509" s="323"/>
      <c r="R509" s="323"/>
      <c r="S509" s="323"/>
      <c r="T509" s="323"/>
      <c r="U509" s="323"/>
      <c r="V509" s="323"/>
    </row>
    <row r="510">
      <c r="A510" s="323"/>
      <c r="B510" s="323"/>
      <c r="C510" s="322"/>
      <c r="D510" s="322"/>
      <c r="E510" s="323"/>
      <c r="F510" s="322"/>
      <c r="G510" s="322"/>
      <c r="H510" s="322"/>
      <c r="I510" s="322"/>
      <c r="J510" s="387"/>
      <c r="K510" s="388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</row>
    <row r="511">
      <c r="A511" s="323"/>
      <c r="B511" s="323"/>
      <c r="C511" s="322"/>
      <c r="D511" s="322"/>
      <c r="E511" s="323"/>
      <c r="F511" s="322"/>
      <c r="G511" s="322"/>
      <c r="H511" s="322"/>
      <c r="I511" s="322"/>
      <c r="J511" s="387"/>
      <c r="K511" s="388"/>
      <c r="L511" s="323"/>
      <c r="M511" s="323"/>
      <c r="N511" s="323"/>
      <c r="O511" s="323"/>
      <c r="P511" s="323"/>
      <c r="Q511" s="323"/>
      <c r="R511" s="323"/>
      <c r="S511" s="323"/>
      <c r="T511" s="323"/>
      <c r="U511" s="323"/>
      <c r="V511" s="323"/>
    </row>
    <row r="512">
      <c r="A512" s="323"/>
      <c r="B512" s="323"/>
      <c r="C512" s="322"/>
      <c r="D512" s="322"/>
      <c r="E512" s="323"/>
      <c r="F512" s="322"/>
      <c r="G512" s="322"/>
      <c r="H512" s="322"/>
      <c r="I512" s="322"/>
      <c r="J512" s="387"/>
      <c r="K512" s="388"/>
      <c r="L512" s="323"/>
      <c r="M512" s="323"/>
      <c r="N512" s="323"/>
      <c r="O512" s="323"/>
      <c r="P512" s="323"/>
      <c r="Q512" s="323"/>
      <c r="R512" s="323"/>
      <c r="S512" s="323"/>
      <c r="T512" s="323"/>
      <c r="U512" s="323"/>
      <c r="V512" s="323"/>
    </row>
    <row r="513">
      <c r="A513" s="323"/>
      <c r="B513" s="323"/>
      <c r="C513" s="322"/>
      <c r="D513" s="322"/>
      <c r="E513" s="323"/>
      <c r="F513" s="322"/>
      <c r="G513" s="322"/>
      <c r="H513" s="322"/>
      <c r="I513" s="322"/>
      <c r="J513" s="387"/>
      <c r="K513" s="388"/>
      <c r="L513" s="323"/>
      <c r="M513" s="323"/>
      <c r="N513" s="323"/>
      <c r="O513" s="323"/>
      <c r="P513" s="323"/>
      <c r="Q513" s="323"/>
      <c r="R513" s="323"/>
      <c r="S513" s="323"/>
      <c r="T513" s="323"/>
      <c r="U513" s="323"/>
      <c r="V513" s="323"/>
    </row>
    <row r="514">
      <c r="A514" s="323"/>
      <c r="B514" s="323"/>
      <c r="C514" s="322"/>
      <c r="D514" s="322"/>
      <c r="E514" s="323"/>
      <c r="F514" s="322"/>
      <c r="G514" s="322"/>
      <c r="H514" s="322"/>
      <c r="I514" s="322"/>
      <c r="J514" s="387"/>
      <c r="K514" s="388"/>
      <c r="L514" s="323"/>
      <c r="M514" s="323"/>
      <c r="N514" s="323"/>
      <c r="O514" s="323"/>
      <c r="P514" s="323"/>
      <c r="Q514" s="323"/>
      <c r="R514" s="323"/>
      <c r="S514" s="323"/>
      <c r="T514" s="323"/>
      <c r="U514" s="323"/>
      <c r="V514" s="323"/>
    </row>
    <row r="515">
      <c r="A515" s="323"/>
      <c r="B515" s="323"/>
      <c r="C515" s="322"/>
      <c r="D515" s="322"/>
      <c r="E515" s="323"/>
      <c r="F515" s="322"/>
      <c r="G515" s="322"/>
      <c r="H515" s="322"/>
      <c r="I515" s="322"/>
      <c r="J515" s="387"/>
      <c r="K515" s="388"/>
      <c r="L515" s="323"/>
      <c r="M515" s="323"/>
      <c r="N515" s="323"/>
      <c r="O515" s="323"/>
      <c r="P515" s="323"/>
      <c r="Q515" s="323"/>
      <c r="R515" s="323"/>
      <c r="S515" s="323"/>
      <c r="T515" s="323"/>
      <c r="U515" s="323"/>
      <c r="V515" s="323"/>
    </row>
    <row r="516">
      <c r="A516" s="323"/>
      <c r="B516" s="323"/>
      <c r="C516" s="322"/>
      <c r="D516" s="322"/>
      <c r="E516" s="323"/>
      <c r="F516" s="322"/>
      <c r="G516" s="322"/>
      <c r="H516" s="322"/>
      <c r="I516" s="322"/>
      <c r="J516" s="387"/>
      <c r="K516" s="388"/>
      <c r="L516" s="323"/>
      <c r="M516" s="323"/>
      <c r="N516" s="323"/>
      <c r="O516" s="323"/>
      <c r="P516" s="323"/>
      <c r="Q516" s="323"/>
      <c r="R516" s="323"/>
      <c r="S516" s="323"/>
      <c r="T516" s="323"/>
      <c r="U516" s="323"/>
      <c r="V516" s="323"/>
    </row>
    <row r="517">
      <c r="A517" s="323"/>
      <c r="B517" s="323"/>
      <c r="C517" s="322"/>
      <c r="D517" s="322"/>
      <c r="E517" s="323"/>
      <c r="F517" s="322"/>
      <c r="G517" s="322"/>
      <c r="H517" s="322"/>
      <c r="I517" s="322"/>
      <c r="J517" s="387"/>
      <c r="K517" s="388"/>
      <c r="L517" s="323"/>
      <c r="M517" s="323"/>
      <c r="N517" s="323"/>
      <c r="O517" s="323"/>
      <c r="P517" s="323"/>
      <c r="Q517" s="323"/>
      <c r="R517" s="323"/>
      <c r="S517" s="323"/>
      <c r="T517" s="323"/>
      <c r="U517" s="323"/>
      <c r="V517" s="323"/>
    </row>
    <row r="518">
      <c r="A518" s="323"/>
      <c r="B518" s="323"/>
      <c r="C518" s="322"/>
      <c r="D518" s="322"/>
      <c r="E518" s="323"/>
      <c r="F518" s="322"/>
      <c r="G518" s="322"/>
      <c r="H518" s="322"/>
      <c r="I518" s="322"/>
      <c r="J518" s="387"/>
      <c r="K518" s="388"/>
      <c r="L518" s="323"/>
      <c r="M518" s="323"/>
      <c r="N518" s="323"/>
      <c r="O518" s="323"/>
      <c r="P518" s="323"/>
      <c r="Q518" s="323"/>
      <c r="R518" s="323"/>
      <c r="S518" s="323"/>
      <c r="T518" s="323"/>
      <c r="U518" s="323"/>
      <c r="V518" s="323"/>
    </row>
    <row r="519">
      <c r="A519" s="323"/>
      <c r="B519" s="323"/>
      <c r="C519" s="322"/>
      <c r="D519" s="322"/>
      <c r="E519" s="323"/>
      <c r="F519" s="322"/>
      <c r="G519" s="322"/>
      <c r="H519" s="322"/>
      <c r="I519" s="322"/>
      <c r="J519" s="387"/>
      <c r="K519" s="388"/>
      <c r="L519" s="323"/>
      <c r="M519" s="323"/>
      <c r="N519" s="323"/>
      <c r="O519" s="323"/>
      <c r="P519" s="323"/>
      <c r="Q519" s="323"/>
      <c r="R519" s="323"/>
      <c r="S519" s="323"/>
      <c r="T519" s="323"/>
      <c r="U519" s="323"/>
      <c r="V519" s="323"/>
    </row>
    <row r="520">
      <c r="A520" s="323"/>
      <c r="B520" s="323"/>
      <c r="C520" s="322"/>
      <c r="D520" s="322"/>
      <c r="E520" s="323"/>
      <c r="F520" s="322"/>
      <c r="G520" s="322"/>
      <c r="H520" s="322"/>
      <c r="I520" s="322"/>
      <c r="J520" s="387"/>
      <c r="K520" s="388"/>
      <c r="L520" s="323"/>
      <c r="M520" s="323"/>
      <c r="N520" s="323"/>
      <c r="O520" s="323"/>
      <c r="P520" s="323"/>
      <c r="Q520" s="323"/>
      <c r="R520" s="323"/>
      <c r="S520" s="323"/>
      <c r="T520" s="323"/>
      <c r="U520" s="323"/>
      <c r="V520" s="323"/>
    </row>
    <row r="521">
      <c r="A521" s="323"/>
      <c r="B521" s="323"/>
      <c r="C521" s="322"/>
      <c r="D521" s="322"/>
      <c r="E521" s="323"/>
      <c r="F521" s="322"/>
      <c r="G521" s="322"/>
      <c r="H521" s="322"/>
      <c r="I521" s="322"/>
      <c r="J521" s="387"/>
      <c r="K521" s="388"/>
      <c r="L521" s="323"/>
      <c r="M521" s="323"/>
      <c r="N521" s="323"/>
      <c r="O521" s="323"/>
      <c r="P521" s="323"/>
      <c r="Q521" s="323"/>
      <c r="R521" s="323"/>
      <c r="S521" s="323"/>
      <c r="T521" s="323"/>
      <c r="U521" s="323"/>
      <c r="V521" s="323"/>
    </row>
    <row r="522">
      <c r="A522" s="323"/>
      <c r="B522" s="323"/>
      <c r="C522" s="322"/>
      <c r="D522" s="322"/>
      <c r="E522" s="323"/>
      <c r="F522" s="322"/>
      <c r="G522" s="322"/>
      <c r="H522" s="322"/>
      <c r="I522" s="322"/>
      <c r="J522" s="387"/>
      <c r="K522" s="388"/>
      <c r="L522" s="323"/>
      <c r="M522" s="323"/>
      <c r="N522" s="323"/>
      <c r="O522" s="323"/>
      <c r="P522" s="323"/>
      <c r="Q522" s="323"/>
      <c r="R522" s="323"/>
      <c r="S522" s="323"/>
      <c r="T522" s="323"/>
      <c r="U522" s="323"/>
      <c r="V522" s="323"/>
    </row>
    <row r="523">
      <c r="A523" s="323"/>
      <c r="B523" s="323"/>
      <c r="C523" s="322"/>
      <c r="D523" s="322"/>
      <c r="E523" s="323"/>
      <c r="F523" s="322"/>
      <c r="G523" s="322"/>
      <c r="H523" s="322"/>
      <c r="I523" s="322"/>
      <c r="J523" s="387"/>
      <c r="K523" s="388"/>
      <c r="L523" s="323"/>
      <c r="M523" s="323"/>
      <c r="N523" s="323"/>
      <c r="O523" s="323"/>
      <c r="P523" s="323"/>
      <c r="Q523" s="323"/>
      <c r="R523" s="323"/>
      <c r="S523" s="323"/>
      <c r="T523" s="323"/>
      <c r="U523" s="323"/>
      <c r="V523" s="323"/>
    </row>
    <row r="524">
      <c r="A524" s="323"/>
      <c r="B524" s="323"/>
      <c r="C524" s="322"/>
      <c r="D524" s="322"/>
      <c r="E524" s="323"/>
      <c r="F524" s="322"/>
      <c r="G524" s="322"/>
      <c r="H524" s="322"/>
      <c r="I524" s="322"/>
      <c r="J524" s="387"/>
      <c r="K524" s="388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</row>
    <row r="525">
      <c r="A525" s="323"/>
      <c r="B525" s="323"/>
      <c r="C525" s="322"/>
      <c r="D525" s="322"/>
      <c r="E525" s="323"/>
      <c r="F525" s="322"/>
      <c r="G525" s="322"/>
      <c r="H525" s="322"/>
      <c r="I525" s="322"/>
      <c r="J525" s="387"/>
      <c r="K525" s="388"/>
      <c r="L525" s="323"/>
      <c r="M525" s="323"/>
      <c r="N525" s="323"/>
      <c r="O525" s="323"/>
      <c r="P525" s="323"/>
      <c r="Q525" s="323"/>
      <c r="R525" s="323"/>
      <c r="S525" s="323"/>
      <c r="T525" s="323"/>
      <c r="U525" s="323"/>
      <c r="V525" s="323"/>
    </row>
    <row r="526">
      <c r="A526" s="323"/>
      <c r="B526" s="323"/>
      <c r="C526" s="322"/>
      <c r="D526" s="322"/>
      <c r="E526" s="323"/>
      <c r="F526" s="322"/>
      <c r="G526" s="322"/>
      <c r="H526" s="322"/>
      <c r="I526" s="322"/>
      <c r="J526" s="387"/>
      <c r="K526" s="388"/>
      <c r="L526" s="323"/>
      <c r="M526" s="323"/>
      <c r="N526" s="323"/>
      <c r="O526" s="323"/>
      <c r="P526" s="323"/>
      <c r="Q526" s="323"/>
      <c r="R526" s="323"/>
      <c r="S526" s="323"/>
      <c r="T526" s="323"/>
      <c r="U526" s="323"/>
      <c r="V526" s="323"/>
    </row>
    <row r="527">
      <c r="A527" s="323"/>
      <c r="B527" s="323"/>
      <c r="C527" s="322"/>
      <c r="D527" s="322"/>
      <c r="E527" s="323"/>
      <c r="F527" s="322"/>
      <c r="G527" s="322"/>
      <c r="H527" s="322"/>
      <c r="I527" s="322"/>
      <c r="J527" s="387"/>
      <c r="K527" s="388"/>
      <c r="L527" s="323"/>
      <c r="M527" s="323"/>
      <c r="N527" s="323"/>
      <c r="O527" s="323"/>
      <c r="P527" s="323"/>
      <c r="Q527" s="323"/>
      <c r="R527" s="323"/>
      <c r="S527" s="323"/>
      <c r="T527" s="323"/>
      <c r="U527" s="323"/>
      <c r="V527" s="323"/>
    </row>
    <row r="528">
      <c r="A528" s="323"/>
      <c r="B528" s="323"/>
      <c r="C528" s="322"/>
      <c r="D528" s="322"/>
      <c r="E528" s="323"/>
      <c r="F528" s="322"/>
      <c r="G528" s="322"/>
      <c r="H528" s="322"/>
      <c r="I528" s="322"/>
      <c r="J528" s="387"/>
      <c r="K528" s="388"/>
      <c r="L528" s="323"/>
      <c r="M528" s="323"/>
      <c r="N528" s="323"/>
      <c r="O528" s="323"/>
      <c r="P528" s="323"/>
      <c r="Q528" s="323"/>
      <c r="R528" s="323"/>
      <c r="S528" s="323"/>
      <c r="T528" s="323"/>
      <c r="U528" s="323"/>
      <c r="V528" s="323"/>
    </row>
    <row r="529">
      <c r="A529" s="323"/>
      <c r="B529" s="323"/>
      <c r="C529" s="322"/>
      <c r="D529" s="322"/>
      <c r="E529" s="323"/>
      <c r="F529" s="322"/>
      <c r="G529" s="322"/>
      <c r="H529" s="322"/>
      <c r="I529" s="322"/>
      <c r="J529" s="387"/>
      <c r="K529" s="388"/>
      <c r="L529" s="323"/>
      <c r="M529" s="323"/>
      <c r="N529" s="323"/>
      <c r="O529" s="323"/>
      <c r="P529" s="323"/>
      <c r="Q529" s="323"/>
      <c r="R529" s="323"/>
      <c r="S529" s="323"/>
      <c r="T529" s="323"/>
      <c r="U529" s="323"/>
      <c r="V529" s="323"/>
    </row>
    <row r="530">
      <c r="A530" s="323"/>
      <c r="B530" s="323"/>
      <c r="C530" s="322"/>
      <c r="D530" s="322"/>
      <c r="E530" s="323"/>
      <c r="F530" s="322"/>
      <c r="G530" s="322"/>
      <c r="H530" s="322"/>
      <c r="I530" s="322"/>
      <c r="J530" s="387"/>
      <c r="K530" s="388"/>
      <c r="L530" s="323"/>
      <c r="M530" s="323"/>
      <c r="N530" s="323"/>
      <c r="O530" s="323"/>
      <c r="P530" s="323"/>
      <c r="Q530" s="323"/>
      <c r="R530" s="323"/>
      <c r="S530" s="323"/>
      <c r="T530" s="323"/>
      <c r="U530" s="323"/>
      <c r="V530" s="323"/>
    </row>
    <row r="531">
      <c r="A531" s="323"/>
      <c r="B531" s="323"/>
      <c r="C531" s="322"/>
      <c r="D531" s="322"/>
      <c r="E531" s="323"/>
      <c r="F531" s="322"/>
      <c r="G531" s="322"/>
      <c r="H531" s="322"/>
      <c r="I531" s="322"/>
      <c r="J531" s="387"/>
      <c r="K531" s="388"/>
      <c r="L531" s="323"/>
      <c r="M531" s="323"/>
      <c r="N531" s="323"/>
      <c r="O531" s="323"/>
      <c r="P531" s="323"/>
      <c r="Q531" s="323"/>
      <c r="R531" s="323"/>
      <c r="S531" s="323"/>
      <c r="T531" s="323"/>
      <c r="U531" s="323"/>
      <c r="V531" s="323"/>
    </row>
    <row r="532">
      <c r="A532" s="323"/>
      <c r="B532" s="323"/>
      <c r="C532" s="322"/>
      <c r="D532" s="322"/>
      <c r="E532" s="323"/>
      <c r="F532" s="322"/>
      <c r="G532" s="322"/>
      <c r="H532" s="322"/>
      <c r="I532" s="322"/>
      <c r="J532" s="387"/>
      <c r="K532" s="388"/>
      <c r="L532" s="323"/>
      <c r="M532" s="323"/>
      <c r="N532" s="323"/>
      <c r="O532" s="323"/>
      <c r="P532" s="323"/>
      <c r="Q532" s="323"/>
      <c r="R532" s="323"/>
      <c r="S532" s="323"/>
      <c r="T532" s="323"/>
      <c r="U532" s="323"/>
      <c r="V532" s="323"/>
    </row>
    <row r="533">
      <c r="A533" s="323"/>
      <c r="B533" s="323"/>
      <c r="C533" s="322"/>
      <c r="D533" s="322"/>
      <c r="E533" s="323"/>
      <c r="F533" s="322"/>
      <c r="G533" s="322"/>
      <c r="H533" s="322"/>
      <c r="I533" s="322"/>
      <c r="J533" s="387"/>
      <c r="K533" s="388"/>
      <c r="L533" s="323"/>
      <c r="M533" s="323"/>
      <c r="N533" s="323"/>
      <c r="O533" s="323"/>
      <c r="P533" s="323"/>
      <c r="Q533" s="323"/>
      <c r="R533" s="323"/>
      <c r="S533" s="323"/>
      <c r="T533" s="323"/>
      <c r="U533" s="323"/>
      <c r="V533" s="323"/>
    </row>
    <row r="534">
      <c r="A534" s="323"/>
      <c r="B534" s="323"/>
      <c r="C534" s="322"/>
      <c r="D534" s="322"/>
      <c r="E534" s="323"/>
      <c r="F534" s="322"/>
      <c r="G534" s="322"/>
      <c r="H534" s="322"/>
      <c r="I534" s="322"/>
      <c r="J534" s="387"/>
      <c r="K534" s="388"/>
      <c r="L534" s="323"/>
      <c r="M534" s="323"/>
      <c r="N534" s="323"/>
      <c r="O534" s="323"/>
      <c r="P534" s="323"/>
      <c r="Q534" s="323"/>
      <c r="R534" s="323"/>
      <c r="S534" s="323"/>
      <c r="T534" s="323"/>
      <c r="U534" s="323"/>
      <c r="V534" s="323"/>
    </row>
    <row r="535">
      <c r="A535" s="323"/>
      <c r="B535" s="323"/>
      <c r="C535" s="322"/>
      <c r="D535" s="322"/>
      <c r="E535" s="323"/>
      <c r="F535" s="322"/>
      <c r="G535" s="322"/>
      <c r="H535" s="322"/>
      <c r="I535" s="322"/>
      <c r="J535" s="387"/>
      <c r="K535" s="388"/>
      <c r="L535" s="323"/>
      <c r="M535" s="323"/>
      <c r="N535" s="323"/>
      <c r="O535" s="323"/>
      <c r="P535" s="323"/>
      <c r="Q535" s="323"/>
      <c r="R535" s="323"/>
      <c r="S535" s="323"/>
      <c r="T535" s="323"/>
      <c r="U535" s="323"/>
      <c r="V535" s="323"/>
    </row>
    <row r="536">
      <c r="A536" s="323"/>
      <c r="B536" s="323"/>
      <c r="C536" s="322"/>
      <c r="D536" s="322"/>
      <c r="E536" s="323"/>
      <c r="F536" s="322"/>
      <c r="G536" s="322"/>
      <c r="H536" s="322"/>
      <c r="I536" s="322"/>
      <c r="J536" s="387"/>
      <c r="K536" s="388"/>
      <c r="L536" s="323"/>
      <c r="M536" s="323"/>
      <c r="N536" s="323"/>
      <c r="O536" s="323"/>
      <c r="P536" s="323"/>
      <c r="Q536" s="323"/>
      <c r="R536" s="323"/>
      <c r="S536" s="323"/>
      <c r="T536" s="323"/>
      <c r="U536" s="323"/>
      <c r="V536" s="323"/>
    </row>
    <row r="537">
      <c r="A537" s="323"/>
      <c r="B537" s="323"/>
      <c r="C537" s="322"/>
      <c r="D537" s="322"/>
      <c r="E537" s="323"/>
      <c r="F537" s="322"/>
      <c r="G537" s="322"/>
      <c r="H537" s="322"/>
      <c r="I537" s="322"/>
      <c r="J537" s="387"/>
      <c r="K537" s="388"/>
      <c r="L537" s="323"/>
      <c r="M537" s="323"/>
      <c r="N537" s="323"/>
      <c r="O537" s="323"/>
      <c r="P537" s="323"/>
      <c r="Q537" s="323"/>
      <c r="R537" s="323"/>
      <c r="S537" s="323"/>
      <c r="T537" s="323"/>
      <c r="U537" s="323"/>
      <c r="V537" s="323"/>
    </row>
    <row r="538">
      <c r="A538" s="323"/>
      <c r="B538" s="323"/>
      <c r="C538" s="322"/>
      <c r="D538" s="322"/>
      <c r="E538" s="323"/>
      <c r="F538" s="322"/>
      <c r="G538" s="322"/>
      <c r="H538" s="322"/>
      <c r="I538" s="322"/>
      <c r="J538" s="387"/>
      <c r="K538" s="388"/>
      <c r="L538" s="323"/>
      <c r="M538" s="323"/>
      <c r="N538" s="323"/>
      <c r="O538" s="323"/>
      <c r="P538" s="323"/>
      <c r="Q538" s="323"/>
      <c r="R538" s="323"/>
      <c r="S538" s="323"/>
      <c r="T538" s="323"/>
      <c r="U538" s="323"/>
      <c r="V538" s="323"/>
    </row>
    <row r="539">
      <c r="A539" s="323"/>
      <c r="B539" s="323"/>
      <c r="C539" s="322"/>
      <c r="D539" s="322"/>
      <c r="E539" s="323"/>
      <c r="F539" s="322"/>
      <c r="G539" s="322"/>
      <c r="H539" s="322"/>
      <c r="I539" s="322"/>
      <c r="J539" s="387"/>
      <c r="K539" s="388"/>
      <c r="L539" s="323"/>
      <c r="M539" s="323"/>
      <c r="N539" s="323"/>
      <c r="O539" s="323"/>
      <c r="P539" s="323"/>
      <c r="Q539" s="323"/>
      <c r="R539" s="323"/>
      <c r="S539" s="323"/>
      <c r="T539" s="323"/>
      <c r="U539" s="323"/>
      <c r="V539" s="323"/>
    </row>
    <row r="540">
      <c r="A540" s="323"/>
      <c r="B540" s="323"/>
      <c r="C540" s="322"/>
      <c r="D540" s="322"/>
      <c r="E540" s="323"/>
      <c r="F540" s="322"/>
      <c r="G540" s="322"/>
      <c r="H540" s="322"/>
      <c r="I540" s="322"/>
      <c r="J540" s="387"/>
      <c r="K540" s="388"/>
      <c r="L540" s="323"/>
      <c r="M540" s="323"/>
      <c r="N540" s="323"/>
      <c r="O540" s="323"/>
      <c r="P540" s="323"/>
      <c r="Q540" s="323"/>
      <c r="R540" s="323"/>
      <c r="S540" s="323"/>
      <c r="T540" s="323"/>
      <c r="U540" s="323"/>
      <c r="V540" s="323"/>
    </row>
    <row r="541">
      <c r="A541" s="323"/>
      <c r="B541" s="323"/>
      <c r="C541" s="322"/>
      <c r="D541" s="322"/>
      <c r="E541" s="323"/>
      <c r="F541" s="322"/>
      <c r="G541" s="322"/>
      <c r="H541" s="322"/>
      <c r="I541" s="322"/>
      <c r="J541" s="387"/>
      <c r="K541" s="388"/>
      <c r="L541" s="323"/>
      <c r="M541" s="323"/>
      <c r="N541" s="323"/>
      <c r="O541" s="323"/>
      <c r="P541" s="323"/>
      <c r="Q541" s="323"/>
      <c r="R541" s="323"/>
      <c r="S541" s="323"/>
      <c r="T541" s="323"/>
      <c r="U541" s="323"/>
      <c r="V541" s="323"/>
    </row>
    <row r="542">
      <c r="A542" s="323"/>
      <c r="B542" s="323"/>
      <c r="C542" s="322"/>
      <c r="D542" s="322"/>
      <c r="E542" s="323"/>
      <c r="F542" s="322"/>
      <c r="G542" s="322"/>
      <c r="H542" s="322"/>
      <c r="I542" s="322"/>
      <c r="J542" s="387"/>
      <c r="K542" s="388"/>
      <c r="L542" s="323"/>
      <c r="M542" s="323"/>
      <c r="N542" s="323"/>
      <c r="O542" s="323"/>
      <c r="P542" s="323"/>
      <c r="Q542" s="323"/>
      <c r="R542" s="323"/>
      <c r="S542" s="323"/>
      <c r="T542" s="323"/>
      <c r="U542" s="323"/>
      <c r="V542" s="323"/>
    </row>
    <row r="543">
      <c r="A543" s="323"/>
      <c r="B543" s="323"/>
      <c r="C543" s="322"/>
      <c r="D543" s="322"/>
      <c r="E543" s="323"/>
      <c r="F543" s="322"/>
      <c r="G543" s="322"/>
      <c r="H543" s="322"/>
      <c r="I543" s="322"/>
      <c r="J543" s="387"/>
      <c r="K543" s="388"/>
      <c r="L543" s="323"/>
      <c r="M543" s="323"/>
      <c r="N543" s="323"/>
      <c r="O543" s="323"/>
      <c r="P543" s="323"/>
      <c r="Q543" s="323"/>
      <c r="R543" s="323"/>
      <c r="S543" s="323"/>
      <c r="T543" s="323"/>
      <c r="U543" s="323"/>
      <c r="V543" s="323"/>
    </row>
    <row r="544">
      <c r="A544" s="323"/>
      <c r="B544" s="323"/>
      <c r="C544" s="322"/>
      <c r="D544" s="322"/>
      <c r="E544" s="323"/>
      <c r="F544" s="322"/>
      <c r="G544" s="322"/>
      <c r="H544" s="322"/>
      <c r="I544" s="322"/>
      <c r="J544" s="387"/>
      <c r="K544" s="388"/>
      <c r="L544" s="323"/>
      <c r="M544" s="323"/>
      <c r="N544" s="323"/>
      <c r="O544" s="323"/>
      <c r="P544" s="323"/>
      <c r="Q544" s="323"/>
      <c r="R544" s="323"/>
      <c r="S544" s="323"/>
      <c r="T544" s="323"/>
      <c r="U544" s="323"/>
      <c r="V544" s="323"/>
    </row>
    <row r="545">
      <c r="A545" s="323"/>
      <c r="B545" s="323"/>
      <c r="C545" s="322"/>
      <c r="D545" s="322"/>
      <c r="E545" s="323"/>
      <c r="F545" s="322"/>
      <c r="G545" s="322"/>
      <c r="H545" s="322"/>
      <c r="I545" s="322"/>
      <c r="J545" s="387"/>
      <c r="K545" s="388"/>
      <c r="L545" s="323"/>
      <c r="M545" s="323"/>
      <c r="N545" s="323"/>
      <c r="O545" s="323"/>
      <c r="P545" s="323"/>
      <c r="Q545" s="323"/>
      <c r="R545" s="323"/>
      <c r="S545" s="323"/>
      <c r="T545" s="323"/>
      <c r="U545" s="323"/>
      <c r="V545" s="323"/>
    </row>
    <row r="546">
      <c r="A546" s="323"/>
      <c r="B546" s="323"/>
      <c r="C546" s="322"/>
      <c r="D546" s="322"/>
      <c r="E546" s="323"/>
      <c r="F546" s="322"/>
      <c r="G546" s="322"/>
      <c r="H546" s="322"/>
      <c r="I546" s="322"/>
      <c r="J546" s="387"/>
      <c r="K546" s="388"/>
      <c r="L546" s="323"/>
      <c r="M546" s="323"/>
      <c r="N546" s="323"/>
      <c r="O546" s="323"/>
      <c r="P546" s="323"/>
      <c r="Q546" s="323"/>
      <c r="R546" s="323"/>
      <c r="S546" s="323"/>
      <c r="T546" s="323"/>
      <c r="U546" s="323"/>
      <c r="V546" s="323"/>
    </row>
    <row r="547">
      <c r="A547" s="323"/>
      <c r="B547" s="323"/>
      <c r="C547" s="322"/>
      <c r="D547" s="322"/>
      <c r="E547" s="323"/>
      <c r="F547" s="322"/>
      <c r="G547" s="322"/>
      <c r="H547" s="322"/>
      <c r="I547" s="322"/>
      <c r="J547" s="387"/>
      <c r="K547" s="388"/>
      <c r="L547" s="323"/>
      <c r="M547" s="323"/>
      <c r="N547" s="323"/>
      <c r="O547" s="323"/>
      <c r="P547" s="323"/>
      <c r="Q547" s="323"/>
      <c r="R547" s="323"/>
      <c r="S547" s="323"/>
      <c r="T547" s="323"/>
      <c r="U547" s="323"/>
      <c r="V547" s="323"/>
    </row>
    <row r="548">
      <c r="A548" s="323"/>
      <c r="B548" s="323"/>
      <c r="C548" s="322"/>
      <c r="D548" s="322"/>
      <c r="E548" s="323"/>
      <c r="F548" s="322"/>
      <c r="G548" s="322"/>
      <c r="H548" s="322"/>
      <c r="I548" s="322"/>
      <c r="J548" s="387"/>
      <c r="K548" s="388"/>
      <c r="L548" s="323"/>
      <c r="M548" s="323"/>
      <c r="N548" s="323"/>
      <c r="O548" s="323"/>
      <c r="P548" s="323"/>
      <c r="Q548" s="323"/>
      <c r="R548" s="323"/>
      <c r="S548" s="323"/>
      <c r="T548" s="323"/>
      <c r="U548" s="323"/>
      <c r="V548" s="323"/>
    </row>
    <row r="549">
      <c r="A549" s="323"/>
      <c r="B549" s="323"/>
      <c r="C549" s="322"/>
      <c r="D549" s="322"/>
      <c r="E549" s="323"/>
      <c r="F549" s="322"/>
      <c r="G549" s="322"/>
      <c r="H549" s="322"/>
      <c r="I549" s="322"/>
      <c r="J549" s="387"/>
      <c r="K549" s="388"/>
      <c r="L549" s="323"/>
      <c r="M549" s="323"/>
      <c r="N549" s="323"/>
      <c r="O549" s="323"/>
      <c r="P549" s="323"/>
      <c r="Q549" s="323"/>
      <c r="R549" s="323"/>
      <c r="S549" s="323"/>
      <c r="T549" s="323"/>
      <c r="U549" s="323"/>
      <c r="V549" s="323"/>
    </row>
    <row r="550">
      <c r="A550" s="323"/>
      <c r="B550" s="323"/>
      <c r="C550" s="322"/>
      <c r="D550" s="322"/>
      <c r="E550" s="323"/>
      <c r="F550" s="322"/>
      <c r="G550" s="322"/>
      <c r="H550" s="322"/>
      <c r="I550" s="322"/>
      <c r="J550" s="387"/>
      <c r="K550" s="388"/>
      <c r="L550" s="323"/>
      <c r="M550" s="323"/>
      <c r="N550" s="323"/>
      <c r="O550" s="323"/>
      <c r="P550" s="323"/>
      <c r="Q550" s="323"/>
      <c r="R550" s="323"/>
      <c r="S550" s="323"/>
      <c r="T550" s="323"/>
      <c r="U550" s="323"/>
      <c r="V550" s="323"/>
    </row>
    <row r="551">
      <c r="A551" s="323"/>
      <c r="B551" s="323"/>
      <c r="C551" s="322"/>
      <c r="D551" s="322"/>
      <c r="E551" s="323"/>
      <c r="F551" s="322"/>
      <c r="G551" s="322"/>
      <c r="H551" s="322"/>
      <c r="I551" s="322"/>
      <c r="J551" s="387"/>
      <c r="K551" s="388"/>
      <c r="L551" s="323"/>
      <c r="M551" s="323"/>
      <c r="N551" s="323"/>
      <c r="O551" s="323"/>
      <c r="P551" s="323"/>
      <c r="Q551" s="323"/>
      <c r="R551" s="323"/>
      <c r="S551" s="323"/>
      <c r="T551" s="323"/>
      <c r="U551" s="323"/>
      <c r="V551" s="323"/>
    </row>
    <row r="552">
      <c r="A552" s="323"/>
      <c r="B552" s="323"/>
      <c r="C552" s="322"/>
      <c r="D552" s="322"/>
      <c r="E552" s="323"/>
      <c r="F552" s="322"/>
      <c r="G552" s="322"/>
      <c r="H552" s="322"/>
      <c r="I552" s="322"/>
      <c r="J552" s="387"/>
      <c r="K552" s="388"/>
      <c r="L552" s="323"/>
      <c r="M552" s="323"/>
      <c r="N552" s="323"/>
      <c r="O552" s="323"/>
      <c r="P552" s="323"/>
      <c r="Q552" s="323"/>
      <c r="R552" s="323"/>
      <c r="S552" s="323"/>
      <c r="T552" s="323"/>
      <c r="U552" s="323"/>
      <c r="V552" s="323"/>
    </row>
    <row r="553">
      <c r="A553" s="323"/>
      <c r="B553" s="323"/>
      <c r="C553" s="322"/>
      <c r="D553" s="322"/>
      <c r="E553" s="323"/>
      <c r="F553" s="322"/>
      <c r="G553" s="322"/>
      <c r="H553" s="322"/>
      <c r="I553" s="322"/>
      <c r="J553" s="387"/>
      <c r="K553" s="388"/>
      <c r="L553" s="323"/>
      <c r="M553" s="323"/>
      <c r="N553" s="323"/>
      <c r="O553" s="323"/>
      <c r="P553" s="323"/>
      <c r="Q553" s="323"/>
      <c r="R553" s="323"/>
      <c r="S553" s="323"/>
      <c r="T553" s="323"/>
      <c r="U553" s="323"/>
      <c r="V553" s="323"/>
    </row>
    <row r="554">
      <c r="A554" s="323"/>
      <c r="B554" s="323"/>
      <c r="C554" s="322"/>
      <c r="D554" s="322"/>
      <c r="E554" s="323"/>
      <c r="F554" s="322"/>
      <c r="G554" s="322"/>
      <c r="H554" s="322"/>
      <c r="I554" s="322"/>
      <c r="J554" s="387"/>
      <c r="K554" s="388"/>
      <c r="L554" s="323"/>
      <c r="M554" s="323"/>
      <c r="N554" s="323"/>
      <c r="O554" s="323"/>
      <c r="P554" s="323"/>
      <c r="Q554" s="323"/>
      <c r="R554" s="323"/>
      <c r="S554" s="323"/>
      <c r="T554" s="323"/>
      <c r="U554" s="323"/>
      <c r="V554" s="323"/>
    </row>
    <row r="555">
      <c r="A555" s="323"/>
      <c r="B555" s="323"/>
      <c r="C555" s="322"/>
      <c r="D555" s="322"/>
      <c r="E555" s="323"/>
      <c r="F555" s="322"/>
      <c r="G555" s="322"/>
      <c r="H555" s="322"/>
      <c r="I555" s="322"/>
      <c r="J555" s="387"/>
      <c r="K555" s="388"/>
      <c r="L555" s="323"/>
      <c r="M555" s="323"/>
      <c r="N555" s="323"/>
      <c r="O555" s="323"/>
      <c r="P555" s="323"/>
      <c r="Q555" s="323"/>
      <c r="R555" s="323"/>
      <c r="S555" s="323"/>
      <c r="T555" s="323"/>
      <c r="U555" s="323"/>
      <c r="V555" s="323"/>
    </row>
    <row r="556">
      <c r="A556" s="323"/>
      <c r="B556" s="323"/>
      <c r="C556" s="322"/>
      <c r="D556" s="322"/>
      <c r="E556" s="323"/>
      <c r="F556" s="322"/>
      <c r="G556" s="322"/>
      <c r="H556" s="322"/>
      <c r="I556" s="322"/>
      <c r="J556" s="387"/>
      <c r="K556" s="388"/>
      <c r="L556" s="323"/>
      <c r="M556" s="323"/>
      <c r="N556" s="323"/>
      <c r="O556" s="323"/>
      <c r="P556" s="323"/>
      <c r="Q556" s="323"/>
      <c r="R556" s="323"/>
      <c r="S556" s="323"/>
      <c r="T556" s="323"/>
      <c r="U556" s="323"/>
      <c r="V556" s="323"/>
    </row>
    <row r="557">
      <c r="A557" s="323"/>
      <c r="B557" s="323"/>
      <c r="C557" s="322"/>
      <c r="D557" s="322"/>
      <c r="E557" s="323"/>
      <c r="F557" s="322"/>
      <c r="G557" s="322"/>
      <c r="H557" s="322"/>
      <c r="I557" s="322"/>
      <c r="J557" s="387"/>
      <c r="K557" s="388"/>
      <c r="L557" s="323"/>
      <c r="M557" s="323"/>
      <c r="N557" s="323"/>
      <c r="O557" s="323"/>
      <c r="P557" s="323"/>
      <c r="Q557" s="323"/>
      <c r="R557" s="323"/>
      <c r="S557" s="323"/>
      <c r="T557" s="323"/>
      <c r="U557" s="323"/>
      <c r="V557" s="323"/>
    </row>
    <row r="558">
      <c r="A558" s="323"/>
      <c r="B558" s="323"/>
      <c r="C558" s="322"/>
      <c r="D558" s="322"/>
      <c r="E558" s="323"/>
      <c r="F558" s="322"/>
      <c r="G558" s="322"/>
      <c r="H558" s="322"/>
      <c r="I558" s="322"/>
      <c r="J558" s="387"/>
      <c r="K558" s="388"/>
      <c r="L558" s="323"/>
      <c r="M558" s="323"/>
      <c r="N558" s="323"/>
      <c r="O558" s="323"/>
      <c r="P558" s="323"/>
      <c r="Q558" s="323"/>
      <c r="R558" s="323"/>
      <c r="S558" s="323"/>
      <c r="T558" s="323"/>
      <c r="U558" s="323"/>
      <c r="V558" s="323"/>
    </row>
    <row r="559">
      <c r="A559" s="323"/>
      <c r="B559" s="323"/>
      <c r="C559" s="322"/>
      <c r="D559" s="322"/>
      <c r="E559" s="323"/>
      <c r="F559" s="322"/>
      <c r="G559" s="322"/>
      <c r="H559" s="322"/>
      <c r="I559" s="322"/>
      <c r="J559" s="387"/>
      <c r="K559" s="388"/>
      <c r="L559" s="323"/>
      <c r="M559" s="323"/>
      <c r="N559" s="323"/>
      <c r="O559" s="323"/>
      <c r="P559" s="323"/>
      <c r="Q559" s="323"/>
      <c r="R559" s="323"/>
      <c r="S559" s="323"/>
      <c r="T559" s="323"/>
      <c r="U559" s="323"/>
      <c r="V559" s="323"/>
    </row>
    <row r="560">
      <c r="A560" s="323"/>
      <c r="B560" s="323"/>
      <c r="C560" s="322"/>
      <c r="D560" s="322"/>
      <c r="E560" s="323"/>
      <c r="F560" s="322"/>
      <c r="G560" s="322"/>
      <c r="H560" s="322"/>
      <c r="I560" s="322"/>
      <c r="J560" s="387"/>
      <c r="K560" s="388"/>
      <c r="L560" s="323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</row>
    <row r="561">
      <c r="A561" s="323"/>
      <c r="B561" s="323"/>
      <c r="C561" s="322"/>
      <c r="D561" s="322"/>
      <c r="E561" s="323"/>
      <c r="F561" s="322"/>
      <c r="G561" s="322"/>
      <c r="H561" s="322"/>
      <c r="I561" s="322"/>
      <c r="J561" s="387"/>
      <c r="K561" s="388"/>
      <c r="L561" s="323"/>
      <c r="M561" s="323"/>
      <c r="N561" s="323"/>
      <c r="O561" s="323"/>
      <c r="P561" s="323"/>
      <c r="Q561" s="323"/>
      <c r="R561" s="323"/>
      <c r="S561" s="323"/>
      <c r="T561" s="323"/>
      <c r="U561" s="323"/>
      <c r="V561" s="323"/>
    </row>
    <row r="562">
      <c r="A562" s="323"/>
      <c r="B562" s="323"/>
      <c r="C562" s="322"/>
      <c r="D562" s="322"/>
      <c r="E562" s="323"/>
      <c r="F562" s="322"/>
      <c r="G562" s="322"/>
      <c r="H562" s="322"/>
      <c r="I562" s="322"/>
      <c r="J562" s="387"/>
      <c r="K562" s="388"/>
      <c r="L562" s="323"/>
      <c r="M562" s="323"/>
      <c r="N562" s="323"/>
      <c r="O562" s="323"/>
      <c r="P562" s="323"/>
      <c r="Q562" s="323"/>
      <c r="R562" s="323"/>
      <c r="S562" s="323"/>
      <c r="T562" s="323"/>
      <c r="U562" s="323"/>
      <c r="V562" s="323"/>
    </row>
    <row r="563">
      <c r="A563" s="323"/>
      <c r="B563" s="323"/>
      <c r="C563" s="322"/>
      <c r="D563" s="322"/>
      <c r="E563" s="323"/>
      <c r="F563" s="322"/>
      <c r="G563" s="322"/>
      <c r="H563" s="322"/>
      <c r="I563" s="322"/>
      <c r="J563" s="387"/>
      <c r="K563" s="388"/>
      <c r="L563" s="323"/>
      <c r="M563" s="323"/>
      <c r="N563" s="323"/>
      <c r="O563" s="323"/>
      <c r="P563" s="323"/>
      <c r="Q563" s="323"/>
      <c r="R563" s="323"/>
      <c r="S563" s="323"/>
      <c r="T563" s="323"/>
      <c r="U563" s="323"/>
      <c r="V563" s="323"/>
    </row>
    <row r="564">
      <c r="A564" s="323"/>
      <c r="B564" s="323"/>
      <c r="C564" s="322"/>
      <c r="D564" s="322"/>
      <c r="E564" s="323"/>
      <c r="F564" s="322"/>
      <c r="G564" s="322"/>
      <c r="H564" s="322"/>
      <c r="I564" s="322"/>
      <c r="J564" s="387"/>
      <c r="K564" s="388"/>
      <c r="L564" s="323"/>
      <c r="M564" s="323"/>
      <c r="N564" s="323"/>
      <c r="O564" s="323"/>
      <c r="P564" s="323"/>
      <c r="Q564" s="323"/>
      <c r="R564" s="323"/>
      <c r="S564" s="323"/>
      <c r="T564" s="323"/>
      <c r="U564" s="323"/>
      <c r="V564" s="323"/>
    </row>
    <row r="565">
      <c r="A565" s="323"/>
      <c r="B565" s="323"/>
      <c r="C565" s="322"/>
      <c r="D565" s="322"/>
      <c r="E565" s="323"/>
      <c r="F565" s="322"/>
      <c r="G565" s="322"/>
      <c r="H565" s="322"/>
      <c r="I565" s="322"/>
      <c r="J565" s="387"/>
      <c r="K565" s="388"/>
      <c r="L565" s="323"/>
      <c r="M565" s="323"/>
      <c r="N565" s="323"/>
      <c r="O565" s="323"/>
      <c r="P565" s="323"/>
      <c r="Q565" s="323"/>
      <c r="R565" s="323"/>
      <c r="S565" s="323"/>
      <c r="T565" s="323"/>
      <c r="U565" s="323"/>
      <c r="V565" s="323"/>
    </row>
    <row r="566">
      <c r="A566" s="323"/>
      <c r="B566" s="323"/>
      <c r="C566" s="322"/>
      <c r="D566" s="322"/>
      <c r="E566" s="323"/>
      <c r="F566" s="322"/>
      <c r="G566" s="322"/>
      <c r="H566" s="322"/>
      <c r="I566" s="322"/>
      <c r="J566" s="387"/>
      <c r="K566" s="388"/>
      <c r="L566" s="323"/>
      <c r="M566" s="323"/>
      <c r="N566" s="323"/>
      <c r="O566" s="323"/>
      <c r="P566" s="323"/>
      <c r="Q566" s="323"/>
      <c r="R566" s="323"/>
      <c r="S566" s="323"/>
      <c r="T566" s="323"/>
      <c r="U566" s="323"/>
      <c r="V566" s="323"/>
    </row>
    <row r="567">
      <c r="A567" s="323"/>
      <c r="B567" s="323"/>
      <c r="C567" s="322"/>
      <c r="D567" s="322"/>
      <c r="E567" s="323"/>
      <c r="F567" s="322"/>
      <c r="G567" s="322"/>
      <c r="H567" s="322"/>
      <c r="I567" s="322"/>
      <c r="J567" s="387"/>
      <c r="K567" s="388"/>
      <c r="L567" s="323"/>
      <c r="M567" s="323"/>
      <c r="N567" s="323"/>
      <c r="O567" s="323"/>
      <c r="P567" s="323"/>
      <c r="Q567" s="323"/>
      <c r="R567" s="323"/>
      <c r="S567" s="323"/>
      <c r="T567" s="323"/>
      <c r="U567" s="323"/>
      <c r="V567" s="323"/>
    </row>
    <row r="568">
      <c r="A568" s="323"/>
      <c r="B568" s="323"/>
      <c r="C568" s="322"/>
      <c r="D568" s="322"/>
      <c r="E568" s="323"/>
      <c r="F568" s="322"/>
      <c r="G568" s="322"/>
      <c r="H568" s="322"/>
      <c r="I568" s="322"/>
      <c r="J568" s="387"/>
      <c r="K568" s="388"/>
      <c r="L568" s="323"/>
      <c r="M568" s="323"/>
      <c r="N568" s="323"/>
      <c r="O568" s="323"/>
      <c r="P568" s="323"/>
      <c r="Q568" s="323"/>
      <c r="R568" s="323"/>
      <c r="S568" s="323"/>
      <c r="T568" s="323"/>
      <c r="U568" s="323"/>
      <c r="V568" s="323"/>
    </row>
    <row r="569">
      <c r="A569" s="323"/>
      <c r="B569" s="323"/>
      <c r="C569" s="322"/>
      <c r="D569" s="322"/>
      <c r="E569" s="323"/>
      <c r="F569" s="322"/>
      <c r="G569" s="322"/>
      <c r="H569" s="322"/>
      <c r="I569" s="322"/>
      <c r="J569" s="387"/>
      <c r="K569" s="388"/>
      <c r="L569" s="323"/>
      <c r="M569" s="323"/>
      <c r="N569" s="323"/>
      <c r="O569" s="323"/>
      <c r="P569" s="323"/>
      <c r="Q569" s="323"/>
      <c r="R569" s="323"/>
      <c r="S569" s="323"/>
      <c r="T569" s="323"/>
      <c r="U569" s="323"/>
      <c r="V569" s="323"/>
    </row>
    <row r="570">
      <c r="A570" s="323"/>
      <c r="B570" s="323"/>
      <c r="C570" s="322"/>
      <c r="D570" s="322"/>
      <c r="E570" s="323"/>
      <c r="F570" s="322"/>
      <c r="G570" s="322"/>
      <c r="H570" s="322"/>
      <c r="I570" s="322"/>
      <c r="J570" s="387"/>
      <c r="K570" s="388"/>
      <c r="L570" s="323"/>
      <c r="M570" s="323"/>
      <c r="N570" s="323"/>
      <c r="O570" s="323"/>
      <c r="P570" s="323"/>
      <c r="Q570" s="323"/>
      <c r="R570" s="323"/>
      <c r="S570" s="323"/>
      <c r="T570" s="323"/>
      <c r="U570" s="323"/>
      <c r="V570" s="323"/>
    </row>
    <row r="571">
      <c r="A571" s="323"/>
      <c r="B571" s="323"/>
      <c r="C571" s="322"/>
      <c r="D571" s="322"/>
      <c r="E571" s="323"/>
      <c r="F571" s="322"/>
      <c r="G571" s="322"/>
      <c r="H571" s="322"/>
      <c r="I571" s="322"/>
      <c r="J571" s="387"/>
      <c r="K571" s="388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</row>
    <row r="572">
      <c r="A572" s="323"/>
      <c r="B572" s="323"/>
      <c r="C572" s="322"/>
      <c r="D572" s="322"/>
      <c r="E572" s="323"/>
      <c r="F572" s="322"/>
      <c r="G572" s="322"/>
      <c r="H572" s="322"/>
      <c r="I572" s="322"/>
      <c r="J572" s="387"/>
      <c r="K572" s="388"/>
      <c r="L572" s="323"/>
      <c r="M572" s="323"/>
      <c r="N572" s="323"/>
      <c r="O572" s="323"/>
      <c r="P572" s="323"/>
      <c r="Q572" s="323"/>
      <c r="R572" s="323"/>
      <c r="S572" s="323"/>
      <c r="T572" s="323"/>
      <c r="U572" s="323"/>
      <c r="V572" s="323"/>
    </row>
    <row r="573">
      <c r="A573" s="323"/>
      <c r="B573" s="323"/>
      <c r="C573" s="322"/>
      <c r="D573" s="322"/>
      <c r="E573" s="323"/>
      <c r="F573" s="322"/>
      <c r="G573" s="322"/>
      <c r="H573" s="322"/>
      <c r="I573" s="322"/>
      <c r="J573" s="387"/>
      <c r="K573" s="388"/>
      <c r="L573" s="323"/>
      <c r="M573" s="323"/>
      <c r="N573" s="323"/>
      <c r="O573" s="323"/>
      <c r="P573" s="323"/>
      <c r="Q573" s="323"/>
      <c r="R573" s="323"/>
      <c r="S573" s="323"/>
      <c r="T573" s="323"/>
      <c r="U573" s="323"/>
      <c r="V573" s="323"/>
    </row>
    <row r="574">
      <c r="A574" s="323"/>
      <c r="B574" s="323"/>
      <c r="C574" s="322"/>
      <c r="D574" s="322"/>
      <c r="E574" s="323"/>
      <c r="F574" s="322"/>
      <c r="G574" s="322"/>
      <c r="H574" s="322"/>
      <c r="I574" s="322"/>
      <c r="J574" s="387"/>
      <c r="K574" s="388"/>
      <c r="L574" s="323"/>
      <c r="M574" s="323"/>
      <c r="N574" s="323"/>
      <c r="O574" s="323"/>
      <c r="P574" s="323"/>
      <c r="Q574" s="323"/>
      <c r="R574" s="323"/>
      <c r="S574" s="323"/>
      <c r="T574" s="323"/>
      <c r="U574" s="323"/>
      <c r="V574" s="323"/>
    </row>
    <row r="575">
      <c r="A575" s="323"/>
      <c r="B575" s="323"/>
      <c r="C575" s="322"/>
      <c r="D575" s="322"/>
      <c r="E575" s="323"/>
      <c r="F575" s="322"/>
      <c r="G575" s="322"/>
      <c r="H575" s="322"/>
      <c r="I575" s="322"/>
      <c r="J575" s="387"/>
      <c r="K575" s="388"/>
      <c r="L575" s="323"/>
      <c r="M575" s="323"/>
      <c r="N575" s="323"/>
      <c r="O575" s="323"/>
      <c r="P575" s="323"/>
      <c r="Q575" s="323"/>
      <c r="R575" s="323"/>
      <c r="S575" s="323"/>
      <c r="T575" s="323"/>
      <c r="U575" s="323"/>
      <c r="V575" s="323"/>
    </row>
    <row r="576">
      <c r="A576" s="323"/>
      <c r="B576" s="323"/>
      <c r="C576" s="322"/>
      <c r="D576" s="322"/>
      <c r="E576" s="323"/>
      <c r="F576" s="322"/>
      <c r="G576" s="322"/>
      <c r="H576" s="322"/>
      <c r="I576" s="322"/>
      <c r="J576" s="387"/>
      <c r="K576" s="388"/>
      <c r="L576" s="323"/>
      <c r="M576" s="323"/>
      <c r="N576" s="323"/>
      <c r="O576" s="323"/>
      <c r="P576" s="323"/>
      <c r="Q576" s="323"/>
      <c r="R576" s="323"/>
      <c r="S576" s="323"/>
      <c r="T576" s="323"/>
      <c r="U576" s="323"/>
      <c r="V576" s="323"/>
    </row>
    <row r="577">
      <c r="A577" s="323"/>
      <c r="B577" s="323"/>
      <c r="C577" s="322"/>
      <c r="D577" s="322"/>
      <c r="E577" s="323"/>
      <c r="F577" s="322"/>
      <c r="G577" s="322"/>
      <c r="H577" s="322"/>
      <c r="I577" s="322"/>
      <c r="J577" s="387"/>
      <c r="K577" s="388"/>
      <c r="L577" s="323"/>
      <c r="M577" s="323"/>
      <c r="N577" s="323"/>
      <c r="O577" s="323"/>
      <c r="P577" s="323"/>
      <c r="Q577" s="323"/>
      <c r="R577" s="323"/>
      <c r="S577" s="323"/>
      <c r="T577" s="323"/>
      <c r="U577" s="323"/>
      <c r="V577" s="323"/>
    </row>
    <row r="578">
      <c r="A578" s="323"/>
      <c r="B578" s="323"/>
      <c r="C578" s="322"/>
      <c r="D578" s="322"/>
      <c r="E578" s="323"/>
      <c r="F578" s="322"/>
      <c r="G578" s="322"/>
      <c r="H578" s="322"/>
      <c r="I578" s="322"/>
      <c r="J578" s="387"/>
      <c r="K578" s="388"/>
      <c r="L578" s="323"/>
      <c r="M578" s="323"/>
      <c r="N578" s="323"/>
      <c r="O578" s="323"/>
      <c r="P578" s="323"/>
      <c r="Q578" s="323"/>
      <c r="R578" s="323"/>
      <c r="S578" s="323"/>
      <c r="T578" s="323"/>
      <c r="U578" s="323"/>
      <c r="V578" s="323"/>
    </row>
    <row r="579">
      <c r="A579" s="323"/>
      <c r="B579" s="323"/>
      <c r="C579" s="322"/>
      <c r="D579" s="322"/>
      <c r="E579" s="323"/>
      <c r="F579" s="322"/>
      <c r="G579" s="322"/>
      <c r="H579" s="322"/>
      <c r="I579" s="322"/>
      <c r="J579" s="387"/>
      <c r="K579" s="388"/>
      <c r="L579" s="323"/>
      <c r="M579" s="323"/>
      <c r="N579" s="323"/>
      <c r="O579" s="323"/>
      <c r="P579" s="323"/>
      <c r="Q579" s="323"/>
      <c r="R579" s="323"/>
      <c r="S579" s="323"/>
      <c r="T579" s="323"/>
      <c r="U579" s="323"/>
      <c r="V579" s="323"/>
    </row>
    <row r="580">
      <c r="A580" s="323"/>
      <c r="B580" s="323"/>
      <c r="C580" s="322"/>
      <c r="D580" s="322"/>
      <c r="E580" s="323"/>
      <c r="F580" s="322"/>
      <c r="G580" s="322"/>
      <c r="H580" s="322"/>
      <c r="I580" s="322"/>
      <c r="J580" s="387"/>
      <c r="K580" s="388"/>
      <c r="L580" s="323"/>
      <c r="M580" s="323"/>
      <c r="N580" s="323"/>
      <c r="O580" s="323"/>
      <c r="P580" s="323"/>
      <c r="Q580" s="323"/>
      <c r="R580" s="323"/>
      <c r="S580" s="323"/>
      <c r="T580" s="323"/>
      <c r="U580" s="323"/>
      <c r="V580" s="323"/>
    </row>
    <row r="581">
      <c r="A581" s="323"/>
      <c r="B581" s="323"/>
      <c r="C581" s="322"/>
      <c r="D581" s="322"/>
      <c r="E581" s="323"/>
      <c r="F581" s="322"/>
      <c r="G581" s="322"/>
      <c r="H581" s="322"/>
      <c r="I581" s="322"/>
      <c r="J581" s="387"/>
      <c r="K581" s="388"/>
      <c r="L581" s="323"/>
      <c r="M581" s="323"/>
      <c r="N581" s="323"/>
      <c r="O581" s="323"/>
      <c r="P581" s="323"/>
      <c r="Q581" s="323"/>
      <c r="R581" s="323"/>
      <c r="S581" s="323"/>
      <c r="T581" s="323"/>
      <c r="U581" s="323"/>
      <c r="V581" s="323"/>
    </row>
    <row r="582">
      <c r="A582" s="323"/>
      <c r="B582" s="323"/>
      <c r="C582" s="322"/>
      <c r="D582" s="322"/>
      <c r="E582" s="323"/>
      <c r="F582" s="322"/>
      <c r="G582" s="322"/>
      <c r="H582" s="322"/>
      <c r="I582" s="322"/>
      <c r="J582" s="387"/>
      <c r="K582" s="388"/>
      <c r="L582" s="323"/>
      <c r="M582" s="323"/>
      <c r="N582" s="323"/>
      <c r="O582" s="323"/>
      <c r="P582" s="323"/>
      <c r="Q582" s="323"/>
      <c r="R582" s="323"/>
      <c r="S582" s="323"/>
      <c r="T582" s="323"/>
      <c r="U582" s="323"/>
      <c r="V582" s="323"/>
    </row>
    <row r="583">
      <c r="A583" s="323"/>
      <c r="B583" s="323"/>
      <c r="C583" s="322"/>
      <c r="D583" s="322"/>
      <c r="E583" s="323"/>
      <c r="F583" s="322"/>
      <c r="G583" s="322"/>
      <c r="H583" s="322"/>
      <c r="I583" s="322"/>
      <c r="J583" s="387"/>
      <c r="K583" s="388"/>
      <c r="L583" s="323"/>
      <c r="M583" s="323"/>
      <c r="N583" s="323"/>
      <c r="O583" s="323"/>
      <c r="P583" s="323"/>
      <c r="Q583" s="323"/>
      <c r="R583" s="323"/>
      <c r="S583" s="323"/>
      <c r="T583" s="323"/>
      <c r="U583" s="323"/>
      <c r="V583" s="323"/>
    </row>
    <row r="584">
      <c r="A584" s="323"/>
      <c r="B584" s="323"/>
      <c r="C584" s="322"/>
      <c r="D584" s="322"/>
      <c r="E584" s="323"/>
      <c r="F584" s="322"/>
      <c r="G584" s="322"/>
      <c r="H584" s="322"/>
      <c r="I584" s="322"/>
      <c r="J584" s="387"/>
      <c r="K584" s="388"/>
      <c r="L584" s="323"/>
      <c r="M584" s="323"/>
      <c r="N584" s="323"/>
      <c r="O584" s="323"/>
      <c r="P584" s="323"/>
      <c r="Q584" s="323"/>
      <c r="R584" s="323"/>
      <c r="S584" s="323"/>
      <c r="T584" s="323"/>
      <c r="U584" s="323"/>
      <c r="V584" s="323"/>
    </row>
    <row r="585">
      <c r="A585" s="323"/>
      <c r="B585" s="323"/>
      <c r="C585" s="322"/>
      <c r="D585" s="322"/>
      <c r="E585" s="323"/>
      <c r="F585" s="322"/>
      <c r="G585" s="322"/>
      <c r="H585" s="322"/>
      <c r="I585" s="322"/>
      <c r="J585" s="387"/>
      <c r="K585" s="388"/>
      <c r="L585" s="323"/>
      <c r="M585" s="323"/>
      <c r="N585" s="323"/>
      <c r="O585" s="323"/>
      <c r="P585" s="323"/>
      <c r="Q585" s="323"/>
      <c r="R585" s="323"/>
      <c r="S585" s="323"/>
      <c r="T585" s="323"/>
      <c r="U585" s="323"/>
      <c r="V585" s="323"/>
    </row>
    <row r="586">
      <c r="A586" s="323"/>
      <c r="B586" s="323"/>
      <c r="C586" s="322"/>
      <c r="D586" s="322"/>
      <c r="E586" s="323"/>
      <c r="F586" s="322"/>
      <c r="G586" s="322"/>
      <c r="H586" s="322"/>
      <c r="I586" s="322"/>
      <c r="J586" s="387"/>
      <c r="K586" s="388"/>
      <c r="L586" s="323"/>
      <c r="M586" s="323"/>
      <c r="N586" s="323"/>
      <c r="O586" s="323"/>
      <c r="P586" s="323"/>
      <c r="Q586" s="323"/>
      <c r="R586" s="323"/>
      <c r="S586" s="323"/>
      <c r="T586" s="323"/>
      <c r="U586" s="323"/>
      <c r="V586" s="323"/>
    </row>
    <row r="587">
      <c r="A587" s="323"/>
      <c r="B587" s="323"/>
      <c r="C587" s="322"/>
      <c r="D587" s="322"/>
      <c r="E587" s="323"/>
      <c r="F587" s="322"/>
      <c r="G587" s="322"/>
      <c r="H587" s="322"/>
      <c r="I587" s="322"/>
      <c r="J587" s="387"/>
      <c r="K587" s="388"/>
      <c r="L587" s="323"/>
      <c r="M587" s="323"/>
      <c r="N587" s="323"/>
      <c r="O587" s="323"/>
      <c r="P587" s="323"/>
      <c r="Q587" s="323"/>
      <c r="R587" s="323"/>
      <c r="S587" s="323"/>
      <c r="T587" s="323"/>
      <c r="U587" s="323"/>
      <c r="V587" s="323"/>
    </row>
    <row r="588">
      <c r="A588" s="323"/>
      <c r="B588" s="323"/>
      <c r="C588" s="322"/>
      <c r="D588" s="322"/>
      <c r="E588" s="323"/>
      <c r="F588" s="322"/>
      <c r="G588" s="322"/>
      <c r="H588" s="322"/>
      <c r="I588" s="322"/>
      <c r="J588" s="387"/>
      <c r="K588" s="388"/>
      <c r="L588" s="323"/>
      <c r="M588" s="323"/>
      <c r="N588" s="323"/>
      <c r="O588" s="323"/>
      <c r="P588" s="323"/>
      <c r="Q588" s="323"/>
      <c r="R588" s="323"/>
      <c r="S588" s="323"/>
      <c r="T588" s="323"/>
      <c r="U588" s="323"/>
      <c r="V588" s="323"/>
    </row>
    <row r="589">
      <c r="A589" s="323"/>
      <c r="B589" s="323"/>
      <c r="C589" s="322"/>
      <c r="D589" s="322"/>
      <c r="E589" s="323"/>
      <c r="F589" s="322"/>
      <c r="G589" s="322"/>
      <c r="H589" s="322"/>
      <c r="I589" s="322"/>
      <c r="J589" s="387"/>
      <c r="K589" s="388"/>
      <c r="L589" s="323"/>
      <c r="M589" s="323"/>
      <c r="N589" s="323"/>
      <c r="O589" s="323"/>
      <c r="P589" s="323"/>
      <c r="Q589" s="323"/>
      <c r="R589" s="323"/>
      <c r="S589" s="323"/>
      <c r="T589" s="323"/>
      <c r="U589" s="323"/>
      <c r="V589" s="323"/>
    </row>
    <row r="590">
      <c r="A590" s="323"/>
      <c r="B590" s="323"/>
      <c r="C590" s="322"/>
      <c r="D590" s="322"/>
      <c r="E590" s="323"/>
      <c r="F590" s="322"/>
      <c r="G590" s="322"/>
      <c r="H590" s="322"/>
      <c r="I590" s="322"/>
      <c r="J590" s="387"/>
      <c r="K590" s="388"/>
      <c r="L590" s="323"/>
      <c r="M590" s="323"/>
      <c r="N590" s="323"/>
      <c r="O590" s="323"/>
      <c r="P590" s="323"/>
      <c r="Q590" s="323"/>
      <c r="R590" s="323"/>
      <c r="S590" s="323"/>
      <c r="T590" s="323"/>
      <c r="U590" s="323"/>
      <c r="V590" s="323"/>
    </row>
    <row r="591">
      <c r="A591" s="323"/>
      <c r="B591" s="323"/>
      <c r="C591" s="322"/>
      <c r="D591" s="322"/>
      <c r="E591" s="323"/>
      <c r="F591" s="322"/>
      <c r="G591" s="322"/>
      <c r="H591" s="322"/>
      <c r="I591" s="322"/>
      <c r="J591" s="387"/>
      <c r="K591" s="388"/>
      <c r="L591" s="323"/>
      <c r="M591" s="323"/>
      <c r="N591" s="323"/>
      <c r="O591" s="323"/>
      <c r="P591" s="323"/>
      <c r="Q591" s="323"/>
      <c r="R591" s="323"/>
      <c r="S591" s="323"/>
      <c r="T591" s="323"/>
      <c r="U591" s="323"/>
      <c r="V591" s="323"/>
    </row>
    <row r="592">
      <c r="A592" s="323"/>
      <c r="B592" s="323"/>
      <c r="C592" s="322"/>
      <c r="D592" s="322"/>
      <c r="E592" s="323"/>
      <c r="F592" s="322"/>
      <c r="G592" s="322"/>
      <c r="H592" s="322"/>
      <c r="I592" s="322"/>
      <c r="J592" s="387"/>
      <c r="K592" s="388"/>
      <c r="L592" s="323"/>
      <c r="M592" s="323"/>
      <c r="N592" s="323"/>
      <c r="O592" s="323"/>
      <c r="P592" s="323"/>
      <c r="Q592" s="323"/>
      <c r="R592" s="323"/>
      <c r="S592" s="323"/>
      <c r="T592" s="323"/>
      <c r="U592" s="323"/>
      <c r="V592" s="323"/>
    </row>
    <row r="593">
      <c r="A593" s="323"/>
      <c r="B593" s="323"/>
      <c r="C593" s="322"/>
      <c r="D593" s="322"/>
      <c r="E593" s="323"/>
      <c r="F593" s="322"/>
      <c r="G593" s="322"/>
      <c r="H593" s="322"/>
      <c r="I593" s="322"/>
      <c r="J593" s="387"/>
      <c r="K593" s="388"/>
      <c r="L593" s="323"/>
      <c r="M593" s="323"/>
      <c r="N593" s="323"/>
      <c r="O593" s="323"/>
      <c r="P593" s="323"/>
      <c r="Q593" s="323"/>
      <c r="R593" s="323"/>
      <c r="S593" s="323"/>
      <c r="T593" s="323"/>
      <c r="U593" s="323"/>
      <c r="V593" s="323"/>
    </row>
    <row r="594">
      <c r="A594" s="323"/>
      <c r="B594" s="323"/>
      <c r="C594" s="322"/>
      <c r="D594" s="322"/>
      <c r="E594" s="323"/>
      <c r="F594" s="322"/>
      <c r="G594" s="322"/>
      <c r="H594" s="322"/>
      <c r="I594" s="322"/>
      <c r="J594" s="387"/>
      <c r="K594" s="388"/>
      <c r="L594" s="323"/>
      <c r="M594" s="323"/>
      <c r="N594" s="323"/>
      <c r="O594" s="323"/>
      <c r="P594" s="323"/>
      <c r="Q594" s="323"/>
      <c r="R594" s="323"/>
      <c r="S594" s="323"/>
      <c r="T594" s="323"/>
      <c r="U594" s="323"/>
      <c r="V594" s="323"/>
    </row>
    <row r="595">
      <c r="A595" s="323"/>
      <c r="B595" s="323"/>
      <c r="C595" s="322"/>
      <c r="D595" s="322"/>
      <c r="E595" s="323"/>
      <c r="F595" s="322"/>
      <c r="G595" s="322"/>
      <c r="H595" s="322"/>
      <c r="I595" s="322"/>
      <c r="J595" s="387"/>
      <c r="K595" s="388"/>
      <c r="L595" s="323"/>
      <c r="M595" s="323"/>
      <c r="N595" s="323"/>
      <c r="O595" s="323"/>
      <c r="P595" s="323"/>
      <c r="Q595" s="323"/>
      <c r="R595" s="323"/>
      <c r="S595" s="323"/>
      <c r="T595" s="323"/>
      <c r="U595" s="323"/>
      <c r="V595" s="323"/>
    </row>
    <row r="596">
      <c r="A596" s="323"/>
      <c r="B596" s="323"/>
      <c r="C596" s="322"/>
      <c r="D596" s="322"/>
      <c r="E596" s="323"/>
      <c r="F596" s="322"/>
      <c r="G596" s="322"/>
      <c r="H596" s="322"/>
      <c r="I596" s="322"/>
      <c r="J596" s="387"/>
      <c r="K596" s="388"/>
      <c r="L596" s="323"/>
      <c r="M596" s="323"/>
      <c r="N596" s="323"/>
      <c r="O596" s="323"/>
      <c r="P596" s="323"/>
      <c r="Q596" s="323"/>
      <c r="R596" s="323"/>
      <c r="S596" s="323"/>
      <c r="T596" s="323"/>
      <c r="U596" s="323"/>
      <c r="V596" s="323"/>
    </row>
    <row r="597">
      <c r="A597" s="323"/>
      <c r="B597" s="323"/>
      <c r="C597" s="322"/>
      <c r="D597" s="322"/>
      <c r="E597" s="323"/>
      <c r="F597" s="322"/>
      <c r="G597" s="322"/>
      <c r="H597" s="322"/>
      <c r="I597" s="322"/>
      <c r="J597" s="387"/>
      <c r="K597" s="388"/>
      <c r="L597" s="323"/>
      <c r="M597" s="323"/>
      <c r="N597" s="323"/>
      <c r="O597" s="323"/>
      <c r="P597" s="323"/>
      <c r="Q597" s="323"/>
      <c r="R597" s="323"/>
      <c r="S597" s="323"/>
      <c r="T597" s="323"/>
      <c r="U597" s="323"/>
      <c r="V597" s="323"/>
    </row>
    <row r="598">
      <c r="A598" s="323"/>
      <c r="B598" s="323"/>
      <c r="C598" s="322"/>
      <c r="D598" s="322"/>
      <c r="E598" s="323"/>
      <c r="F598" s="322"/>
      <c r="G598" s="322"/>
      <c r="H598" s="322"/>
      <c r="I598" s="322"/>
      <c r="J598" s="387"/>
      <c r="K598" s="388"/>
      <c r="L598" s="323"/>
      <c r="M598" s="323"/>
      <c r="N598" s="323"/>
      <c r="O598" s="323"/>
      <c r="P598" s="323"/>
      <c r="Q598" s="323"/>
      <c r="R598" s="323"/>
      <c r="S598" s="323"/>
      <c r="T598" s="323"/>
      <c r="U598" s="323"/>
      <c r="V598" s="323"/>
    </row>
    <row r="599">
      <c r="A599" s="323"/>
      <c r="B599" s="323"/>
      <c r="C599" s="322"/>
      <c r="D599" s="322"/>
      <c r="E599" s="323"/>
      <c r="F599" s="322"/>
      <c r="G599" s="322"/>
      <c r="H599" s="322"/>
      <c r="I599" s="322"/>
      <c r="J599" s="387"/>
      <c r="K599" s="388"/>
      <c r="L599" s="323"/>
      <c r="M599" s="323"/>
      <c r="N599" s="323"/>
      <c r="O599" s="323"/>
      <c r="P599" s="323"/>
      <c r="Q599" s="323"/>
      <c r="R599" s="323"/>
      <c r="S599" s="323"/>
      <c r="T599" s="323"/>
      <c r="U599" s="323"/>
      <c r="V599" s="323"/>
    </row>
    <row r="600">
      <c r="A600" s="323"/>
      <c r="B600" s="323"/>
      <c r="C600" s="322"/>
      <c r="D600" s="322"/>
      <c r="E600" s="323"/>
      <c r="F600" s="322"/>
      <c r="G600" s="322"/>
      <c r="H600" s="322"/>
      <c r="I600" s="322"/>
      <c r="J600" s="387"/>
      <c r="K600" s="388"/>
      <c r="L600" s="323"/>
      <c r="M600" s="323"/>
      <c r="N600" s="323"/>
      <c r="O600" s="323"/>
      <c r="P600" s="323"/>
      <c r="Q600" s="323"/>
      <c r="R600" s="323"/>
      <c r="S600" s="323"/>
      <c r="T600" s="323"/>
      <c r="U600" s="323"/>
      <c r="V600" s="323"/>
    </row>
    <row r="601">
      <c r="A601" s="323"/>
      <c r="B601" s="323"/>
      <c r="C601" s="322"/>
      <c r="D601" s="322"/>
      <c r="E601" s="323"/>
      <c r="F601" s="322"/>
      <c r="G601" s="322"/>
      <c r="H601" s="322"/>
      <c r="I601" s="322"/>
      <c r="J601" s="387"/>
      <c r="K601" s="388"/>
      <c r="L601" s="323"/>
      <c r="M601" s="323"/>
      <c r="N601" s="323"/>
      <c r="O601" s="323"/>
      <c r="P601" s="323"/>
      <c r="Q601" s="323"/>
      <c r="R601" s="323"/>
      <c r="S601" s="323"/>
      <c r="T601" s="323"/>
      <c r="U601" s="323"/>
      <c r="V601" s="323"/>
    </row>
    <row r="602">
      <c r="A602" s="323"/>
      <c r="B602" s="323"/>
      <c r="C602" s="322"/>
      <c r="D602" s="322"/>
      <c r="E602" s="323"/>
      <c r="F602" s="322"/>
      <c r="G602" s="322"/>
      <c r="H602" s="322"/>
      <c r="I602" s="322"/>
      <c r="J602" s="387"/>
      <c r="K602" s="388"/>
      <c r="L602" s="323"/>
      <c r="M602" s="323"/>
      <c r="N602" s="323"/>
      <c r="O602" s="323"/>
      <c r="P602" s="323"/>
      <c r="Q602" s="323"/>
      <c r="R602" s="323"/>
      <c r="S602" s="323"/>
      <c r="T602" s="323"/>
      <c r="U602" s="323"/>
      <c r="V602" s="323"/>
    </row>
    <row r="603">
      <c r="A603" s="323"/>
      <c r="B603" s="323"/>
      <c r="C603" s="322"/>
      <c r="D603" s="322"/>
      <c r="E603" s="323"/>
      <c r="F603" s="322"/>
      <c r="G603" s="322"/>
      <c r="H603" s="322"/>
      <c r="I603" s="322"/>
      <c r="J603" s="387"/>
      <c r="K603" s="388"/>
      <c r="L603" s="323"/>
      <c r="M603" s="323"/>
      <c r="N603" s="323"/>
      <c r="O603" s="323"/>
      <c r="P603" s="323"/>
      <c r="Q603" s="323"/>
      <c r="R603" s="323"/>
      <c r="S603" s="323"/>
      <c r="T603" s="323"/>
      <c r="U603" s="323"/>
      <c r="V603" s="323"/>
    </row>
    <row r="604">
      <c r="A604" s="323"/>
      <c r="B604" s="323"/>
      <c r="C604" s="322"/>
      <c r="D604" s="322"/>
      <c r="E604" s="323"/>
      <c r="F604" s="322"/>
      <c r="G604" s="322"/>
      <c r="H604" s="322"/>
      <c r="I604" s="322"/>
      <c r="J604" s="387"/>
      <c r="K604" s="388"/>
      <c r="L604" s="323"/>
      <c r="M604" s="323"/>
      <c r="N604" s="323"/>
      <c r="O604" s="323"/>
      <c r="P604" s="323"/>
      <c r="Q604" s="323"/>
      <c r="R604" s="323"/>
      <c r="S604" s="323"/>
      <c r="T604" s="323"/>
      <c r="U604" s="323"/>
      <c r="V604" s="323"/>
    </row>
    <row r="605">
      <c r="A605" s="323"/>
      <c r="B605" s="323"/>
      <c r="C605" s="322"/>
      <c r="D605" s="322"/>
      <c r="E605" s="323"/>
      <c r="F605" s="322"/>
      <c r="G605" s="322"/>
      <c r="H605" s="322"/>
      <c r="I605" s="322"/>
      <c r="J605" s="387"/>
      <c r="K605" s="388"/>
      <c r="L605" s="323"/>
      <c r="M605" s="323"/>
      <c r="N605" s="323"/>
      <c r="O605" s="323"/>
      <c r="P605" s="323"/>
      <c r="Q605" s="323"/>
      <c r="R605" s="323"/>
      <c r="S605" s="323"/>
      <c r="T605" s="323"/>
      <c r="U605" s="323"/>
      <c r="V605" s="323"/>
    </row>
    <row r="606">
      <c r="A606" s="323"/>
      <c r="B606" s="323"/>
      <c r="C606" s="322"/>
      <c r="D606" s="322"/>
      <c r="E606" s="323"/>
      <c r="F606" s="322"/>
      <c r="G606" s="322"/>
      <c r="H606" s="322"/>
      <c r="I606" s="322"/>
      <c r="J606" s="387"/>
      <c r="K606" s="388"/>
      <c r="L606" s="323"/>
      <c r="M606" s="323"/>
      <c r="N606" s="323"/>
      <c r="O606" s="323"/>
      <c r="P606" s="323"/>
      <c r="Q606" s="323"/>
      <c r="R606" s="323"/>
      <c r="S606" s="323"/>
      <c r="T606" s="323"/>
      <c r="U606" s="323"/>
      <c r="V606" s="323"/>
    </row>
    <row r="607">
      <c r="A607" s="323"/>
      <c r="B607" s="323"/>
      <c r="C607" s="322"/>
      <c r="D607" s="322"/>
      <c r="E607" s="323"/>
      <c r="F607" s="322"/>
      <c r="G607" s="322"/>
      <c r="H607" s="322"/>
      <c r="I607" s="322"/>
      <c r="J607" s="387"/>
      <c r="K607" s="388"/>
      <c r="L607" s="323"/>
      <c r="M607" s="323"/>
      <c r="N607" s="323"/>
      <c r="O607" s="323"/>
      <c r="P607" s="323"/>
      <c r="Q607" s="323"/>
      <c r="R607" s="323"/>
      <c r="S607" s="323"/>
      <c r="T607" s="323"/>
      <c r="U607" s="323"/>
      <c r="V607" s="323"/>
    </row>
    <row r="608">
      <c r="A608" s="323"/>
      <c r="B608" s="323"/>
      <c r="C608" s="322"/>
      <c r="D608" s="322"/>
      <c r="E608" s="323"/>
      <c r="F608" s="322"/>
      <c r="G608" s="322"/>
      <c r="H608" s="322"/>
      <c r="I608" s="322"/>
      <c r="J608" s="387"/>
      <c r="K608" s="388"/>
      <c r="L608" s="323"/>
      <c r="M608" s="323"/>
      <c r="N608" s="323"/>
      <c r="O608" s="323"/>
      <c r="P608" s="323"/>
      <c r="Q608" s="323"/>
      <c r="R608" s="323"/>
      <c r="S608" s="323"/>
      <c r="T608" s="323"/>
      <c r="U608" s="323"/>
      <c r="V608" s="323"/>
    </row>
    <row r="609">
      <c r="A609" s="323"/>
      <c r="B609" s="323"/>
      <c r="C609" s="322"/>
      <c r="D609" s="322"/>
      <c r="E609" s="323"/>
      <c r="F609" s="322"/>
      <c r="G609" s="322"/>
      <c r="H609" s="322"/>
      <c r="I609" s="322"/>
      <c r="J609" s="387"/>
      <c r="K609" s="388"/>
      <c r="L609" s="323"/>
      <c r="M609" s="323"/>
      <c r="N609" s="323"/>
      <c r="O609" s="323"/>
      <c r="P609" s="323"/>
      <c r="Q609" s="323"/>
      <c r="R609" s="323"/>
      <c r="S609" s="323"/>
      <c r="T609" s="323"/>
      <c r="U609" s="323"/>
      <c r="V609" s="323"/>
    </row>
    <row r="610">
      <c r="A610" s="323"/>
      <c r="B610" s="323"/>
      <c r="C610" s="322"/>
      <c r="D610" s="322"/>
      <c r="E610" s="323"/>
      <c r="F610" s="322"/>
      <c r="G610" s="322"/>
      <c r="H610" s="322"/>
      <c r="I610" s="322"/>
      <c r="J610" s="387"/>
      <c r="K610" s="388"/>
      <c r="L610" s="323"/>
      <c r="M610" s="323"/>
      <c r="N610" s="323"/>
      <c r="O610" s="323"/>
      <c r="P610" s="323"/>
      <c r="Q610" s="323"/>
      <c r="R610" s="323"/>
      <c r="S610" s="323"/>
      <c r="T610" s="323"/>
      <c r="U610" s="323"/>
      <c r="V610" s="323"/>
    </row>
    <row r="611">
      <c r="A611" s="323"/>
      <c r="B611" s="323"/>
      <c r="C611" s="322"/>
      <c r="D611" s="322"/>
      <c r="E611" s="323"/>
      <c r="F611" s="322"/>
      <c r="G611" s="322"/>
      <c r="H611" s="322"/>
      <c r="I611" s="322"/>
      <c r="J611" s="387"/>
      <c r="K611" s="388"/>
      <c r="L611" s="323"/>
      <c r="M611" s="323"/>
      <c r="N611" s="323"/>
      <c r="O611" s="323"/>
      <c r="P611" s="323"/>
      <c r="Q611" s="323"/>
      <c r="R611" s="323"/>
      <c r="S611" s="323"/>
      <c r="T611" s="323"/>
      <c r="U611" s="323"/>
      <c r="V611" s="323"/>
    </row>
    <row r="612">
      <c r="A612" s="323"/>
      <c r="B612" s="323"/>
      <c r="C612" s="322"/>
      <c r="D612" s="322"/>
      <c r="E612" s="323"/>
      <c r="F612" s="322"/>
      <c r="G612" s="322"/>
      <c r="H612" s="322"/>
      <c r="I612" s="322"/>
      <c r="J612" s="387"/>
      <c r="K612" s="388"/>
      <c r="L612" s="323"/>
      <c r="M612" s="323"/>
      <c r="N612" s="323"/>
      <c r="O612" s="323"/>
      <c r="P612" s="323"/>
      <c r="Q612" s="323"/>
      <c r="R612" s="323"/>
      <c r="S612" s="323"/>
      <c r="T612" s="323"/>
      <c r="U612" s="323"/>
      <c r="V612" s="323"/>
    </row>
    <row r="613">
      <c r="A613" s="323"/>
      <c r="B613" s="323"/>
      <c r="C613" s="322"/>
      <c r="D613" s="322"/>
      <c r="E613" s="323"/>
      <c r="F613" s="322"/>
      <c r="G613" s="322"/>
      <c r="H613" s="322"/>
      <c r="I613" s="322"/>
      <c r="J613" s="387"/>
      <c r="K613" s="388"/>
      <c r="L613" s="323"/>
      <c r="M613" s="323"/>
      <c r="N613" s="323"/>
      <c r="O613" s="323"/>
      <c r="P613" s="323"/>
      <c r="Q613" s="323"/>
      <c r="R613" s="323"/>
      <c r="S613" s="323"/>
      <c r="T613" s="323"/>
      <c r="U613" s="323"/>
      <c r="V613" s="323"/>
    </row>
    <row r="614">
      <c r="A614" s="323"/>
      <c r="B614" s="323"/>
      <c r="C614" s="322"/>
      <c r="D614" s="322"/>
      <c r="E614" s="323"/>
      <c r="F614" s="322"/>
      <c r="G614" s="322"/>
      <c r="H614" s="322"/>
      <c r="I614" s="322"/>
      <c r="J614" s="387"/>
      <c r="K614" s="388"/>
      <c r="L614" s="323"/>
      <c r="M614" s="323"/>
      <c r="N614" s="323"/>
      <c r="O614" s="323"/>
      <c r="P614" s="323"/>
      <c r="Q614" s="323"/>
      <c r="R614" s="323"/>
      <c r="S614" s="323"/>
      <c r="T614" s="323"/>
      <c r="U614" s="323"/>
      <c r="V614" s="323"/>
    </row>
    <row r="615">
      <c r="A615" s="323"/>
      <c r="B615" s="323"/>
      <c r="C615" s="322"/>
      <c r="D615" s="322"/>
      <c r="E615" s="323"/>
      <c r="F615" s="322"/>
      <c r="G615" s="322"/>
      <c r="H615" s="322"/>
      <c r="I615" s="322"/>
      <c r="J615" s="387"/>
      <c r="K615" s="388"/>
      <c r="L615" s="323"/>
      <c r="M615" s="323"/>
      <c r="N615" s="323"/>
      <c r="O615" s="323"/>
      <c r="P615" s="323"/>
      <c r="Q615" s="323"/>
      <c r="R615" s="323"/>
      <c r="S615" s="323"/>
      <c r="T615" s="323"/>
      <c r="U615" s="323"/>
      <c r="V615" s="323"/>
    </row>
    <row r="616">
      <c r="A616" s="323"/>
      <c r="B616" s="323"/>
      <c r="C616" s="322"/>
      <c r="D616" s="322"/>
      <c r="E616" s="323"/>
      <c r="F616" s="322"/>
      <c r="G616" s="322"/>
      <c r="H616" s="322"/>
      <c r="I616" s="322"/>
      <c r="J616" s="387"/>
      <c r="K616" s="388"/>
      <c r="L616" s="323"/>
      <c r="M616" s="323"/>
      <c r="N616" s="323"/>
      <c r="O616" s="323"/>
      <c r="P616" s="323"/>
      <c r="Q616" s="323"/>
      <c r="R616" s="323"/>
      <c r="S616" s="323"/>
      <c r="T616" s="323"/>
      <c r="U616" s="323"/>
      <c r="V616" s="323"/>
    </row>
    <row r="617">
      <c r="A617" s="323"/>
      <c r="B617" s="323"/>
      <c r="C617" s="322"/>
      <c r="D617" s="322"/>
      <c r="E617" s="323"/>
      <c r="F617" s="322"/>
      <c r="G617" s="322"/>
      <c r="H617" s="322"/>
      <c r="I617" s="322"/>
      <c r="J617" s="387"/>
      <c r="K617" s="388"/>
      <c r="L617" s="323"/>
      <c r="M617" s="323"/>
      <c r="N617" s="323"/>
      <c r="O617" s="323"/>
      <c r="P617" s="323"/>
      <c r="Q617" s="323"/>
      <c r="R617" s="323"/>
      <c r="S617" s="323"/>
      <c r="T617" s="323"/>
      <c r="U617" s="323"/>
      <c r="V617" s="323"/>
    </row>
    <row r="618">
      <c r="A618" s="323"/>
      <c r="B618" s="323"/>
      <c r="C618" s="322"/>
      <c r="D618" s="322"/>
      <c r="E618" s="323"/>
      <c r="F618" s="322"/>
      <c r="G618" s="322"/>
      <c r="H618" s="322"/>
      <c r="I618" s="322"/>
      <c r="J618" s="387"/>
      <c r="K618" s="388"/>
      <c r="L618" s="323"/>
      <c r="M618" s="323"/>
      <c r="N618" s="323"/>
      <c r="O618" s="323"/>
      <c r="P618" s="323"/>
      <c r="Q618" s="323"/>
      <c r="R618" s="323"/>
      <c r="S618" s="323"/>
      <c r="T618" s="323"/>
      <c r="U618" s="323"/>
      <c r="V618" s="323"/>
    </row>
    <row r="619">
      <c r="A619" s="323"/>
      <c r="B619" s="323"/>
      <c r="C619" s="322"/>
      <c r="D619" s="322"/>
      <c r="E619" s="323"/>
      <c r="F619" s="322"/>
      <c r="G619" s="322"/>
      <c r="H619" s="322"/>
      <c r="I619" s="322"/>
      <c r="J619" s="387"/>
      <c r="K619" s="388"/>
      <c r="L619" s="323"/>
      <c r="M619" s="323"/>
      <c r="N619" s="323"/>
      <c r="O619" s="323"/>
      <c r="P619" s="323"/>
      <c r="Q619" s="323"/>
      <c r="R619" s="323"/>
      <c r="S619" s="323"/>
      <c r="T619" s="323"/>
      <c r="U619" s="323"/>
      <c r="V619" s="323"/>
    </row>
    <row r="620">
      <c r="A620" s="323"/>
      <c r="B620" s="323"/>
      <c r="C620" s="322"/>
      <c r="D620" s="322"/>
      <c r="E620" s="323"/>
      <c r="F620" s="322"/>
      <c r="G620" s="322"/>
      <c r="H620" s="322"/>
      <c r="I620" s="322"/>
      <c r="J620" s="387"/>
      <c r="K620" s="388"/>
      <c r="L620" s="323"/>
      <c r="M620" s="323"/>
      <c r="N620" s="323"/>
      <c r="O620" s="323"/>
      <c r="P620" s="323"/>
      <c r="Q620" s="323"/>
      <c r="R620" s="323"/>
      <c r="S620" s="323"/>
      <c r="T620" s="323"/>
      <c r="U620" s="323"/>
      <c r="V620" s="323"/>
    </row>
    <row r="621">
      <c r="A621" s="323"/>
      <c r="B621" s="323"/>
      <c r="C621" s="322"/>
      <c r="D621" s="322"/>
      <c r="E621" s="323"/>
      <c r="F621" s="322"/>
      <c r="G621" s="322"/>
      <c r="H621" s="322"/>
      <c r="I621" s="322"/>
      <c r="J621" s="387"/>
      <c r="K621" s="388"/>
      <c r="L621" s="323"/>
      <c r="M621" s="323"/>
      <c r="N621" s="323"/>
      <c r="O621" s="323"/>
      <c r="P621" s="323"/>
      <c r="Q621" s="323"/>
      <c r="R621" s="323"/>
      <c r="S621" s="323"/>
      <c r="T621" s="323"/>
      <c r="U621" s="323"/>
      <c r="V621" s="323"/>
    </row>
    <row r="622">
      <c r="A622" s="323"/>
      <c r="B622" s="323"/>
      <c r="C622" s="322"/>
      <c r="D622" s="322"/>
      <c r="E622" s="323"/>
      <c r="F622" s="322"/>
      <c r="G622" s="322"/>
      <c r="H622" s="322"/>
      <c r="I622" s="322"/>
      <c r="J622" s="387"/>
      <c r="K622" s="388"/>
      <c r="L622" s="323"/>
      <c r="M622" s="323"/>
      <c r="N622" s="323"/>
      <c r="O622" s="323"/>
      <c r="P622" s="323"/>
      <c r="Q622" s="323"/>
      <c r="R622" s="323"/>
      <c r="S622" s="323"/>
      <c r="T622" s="323"/>
      <c r="U622" s="323"/>
      <c r="V622" s="323"/>
    </row>
    <row r="623">
      <c r="A623" s="323"/>
      <c r="B623" s="323"/>
      <c r="C623" s="322"/>
      <c r="D623" s="322"/>
      <c r="E623" s="323"/>
      <c r="F623" s="322"/>
      <c r="G623" s="322"/>
      <c r="H623" s="322"/>
      <c r="I623" s="322"/>
      <c r="J623" s="387"/>
      <c r="K623" s="388"/>
      <c r="L623" s="323"/>
      <c r="M623" s="323"/>
      <c r="N623" s="323"/>
      <c r="O623" s="323"/>
      <c r="P623" s="323"/>
      <c r="Q623" s="323"/>
      <c r="R623" s="323"/>
      <c r="S623" s="323"/>
      <c r="T623" s="323"/>
      <c r="U623" s="323"/>
      <c r="V623" s="323"/>
    </row>
    <row r="624">
      <c r="A624" s="323"/>
      <c r="B624" s="323"/>
      <c r="C624" s="322"/>
      <c r="D624" s="322"/>
      <c r="E624" s="323"/>
      <c r="F624" s="322"/>
      <c r="G624" s="322"/>
      <c r="H624" s="322"/>
      <c r="I624" s="322"/>
      <c r="J624" s="387"/>
      <c r="K624" s="388"/>
      <c r="L624" s="323"/>
      <c r="M624" s="323"/>
      <c r="N624" s="323"/>
      <c r="O624" s="323"/>
      <c r="P624" s="323"/>
      <c r="Q624" s="323"/>
      <c r="R624" s="323"/>
      <c r="S624" s="323"/>
      <c r="T624" s="323"/>
      <c r="U624" s="323"/>
      <c r="V624" s="323"/>
    </row>
    <row r="625">
      <c r="A625" s="323"/>
      <c r="B625" s="323"/>
      <c r="C625" s="322"/>
      <c r="D625" s="322"/>
      <c r="E625" s="323"/>
      <c r="F625" s="322"/>
      <c r="G625" s="322"/>
      <c r="H625" s="322"/>
      <c r="I625" s="322"/>
      <c r="J625" s="387"/>
      <c r="K625" s="388"/>
      <c r="L625" s="323"/>
      <c r="M625" s="323"/>
      <c r="N625" s="323"/>
      <c r="O625" s="323"/>
      <c r="P625" s="323"/>
      <c r="Q625" s="323"/>
      <c r="R625" s="323"/>
      <c r="S625" s="323"/>
      <c r="T625" s="323"/>
      <c r="U625" s="323"/>
      <c r="V625" s="323"/>
    </row>
    <row r="626">
      <c r="A626" s="323"/>
      <c r="B626" s="323"/>
      <c r="C626" s="322"/>
      <c r="D626" s="322"/>
      <c r="E626" s="323"/>
      <c r="F626" s="322"/>
      <c r="G626" s="322"/>
      <c r="H626" s="322"/>
      <c r="I626" s="322"/>
      <c r="J626" s="387"/>
      <c r="K626" s="388"/>
      <c r="L626" s="323"/>
      <c r="M626" s="323"/>
      <c r="N626" s="323"/>
      <c r="O626" s="323"/>
      <c r="P626" s="323"/>
      <c r="Q626" s="323"/>
      <c r="R626" s="323"/>
      <c r="S626" s="323"/>
      <c r="T626" s="323"/>
      <c r="U626" s="323"/>
      <c r="V626" s="323"/>
    </row>
    <row r="627">
      <c r="A627" s="323"/>
      <c r="B627" s="323"/>
      <c r="C627" s="322"/>
      <c r="D627" s="322"/>
      <c r="E627" s="323"/>
      <c r="F627" s="322"/>
      <c r="G627" s="322"/>
      <c r="H627" s="322"/>
      <c r="I627" s="322"/>
      <c r="J627" s="387"/>
      <c r="K627" s="388"/>
      <c r="L627" s="323"/>
      <c r="M627" s="323"/>
      <c r="N627" s="323"/>
      <c r="O627" s="323"/>
      <c r="P627" s="323"/>
      <c r="Q627" s="323"/>
      <c r="R627" s="323"/>
      <c r="S627" s="323"/>
      <c r="T627" s="323"/>
      <c r="U627" s="323"/>
      <c r="V627" s="323"/>
    </row>
    <row r="628">
      <c r="A628" s="323"/>
      <c r="B628" s="323"/>
      <c r="C628" s="322"/>
      <c r="D628" s="322"/>
      <c r="E628" s="323"/>
      <c r="F628" s="322"/>
      <c r="G628" s="322"/>
      <c r="H628" s="322"/>
      <c r="I628" s="322"/>
      <c r="J628" s="387"/>
      <c r="K628" s="388"/>
      <c r="L628" s="323"/>
      <c r="M628" s="323"/>
      <c r="N628" s="323"/>
      <c r="O628" s="323"/>
      <c r="P628" s="323"/>
      <c r="Q628" s="323"/>
      <c r="R628" s="323"/>
      <c r="S628" s="323"/>
      <c r="T628" s="323"/>
      <c r="U628" s="323"/>
      <c r="V628" s="323"/>
    </row>
    <row r="629">
      <c r="A629" s="323"/>
      <c r="B629" s="323"/>
      <c r="C629" s="322"/>
      <c r="D629" s="322"/>
      <c r="E629" s="323"/>
      <c r="F629" s="322"/>
      <c r="G629" s="322"/>
      <c r="H629" s="322"/>
      <c r="I629" s="322"/>
      <c r="J629" s="387"/>
      <c r="K629" s="388"/>
      <c r="L629" s="323"/>
      <c r="M629" s="323"/>
      <c r="N629" s="323"/>
      <c r="O629" s="323"/>
      <c r="P629" s="323"/>
      <c r="Q629" s="323"/>
      <c r="R629" s="323"/>
      <c r="S629" s="323"/>
      <c r="T629" s="323"/>
      <c r="U629" s="323"/>
      <c r="V629" s="323"/>
    </row>
    <row r="630">
      <c r="A630" s="323"/>
      <c r="B630" s="323"/>
      <c r="C630" s="322"/>
      <c r="D630" s="322"/>
      <c r="E630" s="323"/>
      <c r="F630" s="322"/>
      <c r="G630" s="322"/>
      <c r="H630" s="322"/>
      <c r="I630" s="322"/>
      <c r="J630" s="387"/>
      <c r="K630" s="388"/>
      <c r="L630" s="323"/>
      <c r="M630" s="323"/>
      <c r="N630" s="323"/>
      <c r="O630" s="323"/>
      <c r="P630" s="323"/>
      <c r="Q630" s="323"/>
      <c r="R630" s="323"/>
      <c r="S630" s="323"/>
      <c r="T630" s="323"/>
      <c r="U630" s="323"/>
      <c r="V630" s="323"/>
    </row>
    <row r="631">
      <c r="A631" s="323"/>
      <c r="B631" s="323"/>
      <c r="C631" s="322"/>
      <c r="D631" s="322"/>
      <c r="E631" s="323"/>
      <c r="F631" s="322"/>
      <c r="G631" s="322"/>
      <c r="H631" s="322"/>
      <c r="I631" s="322"/>
      <c r="J631" s="387"/>
      <c r="K631" s="388"/>
      <c r="L631" s="323"/>
      <c r="M631" s="323"/>
      <c r="N631" s="323"/>
      <c r="O631" s="323"/>
      <c r="P631" s="323"/>
      <c r="Q631" s="323"/>
      <c r="R631" s="323"/>
      <c r="S631" s="323"/>
      <c r="T631" s="323"/>
      <c r="U631" s="323"/>
      <c r="V631" s="323"/>
    </row>
    <row r="632">
      <c r="A632" s="323"/>
      <c r="B632" s="323"/>
      <c r="C632" s="322"/>
      <c r="D632" s="322"/>
      <c r="E632" s="323"/>
      <c r="F632" s="322"/>
      <c r="G632" s="322"/>
      <c r="H632" s="322"/>
      <c r="I632" s="322"/>
      <c r="J632" s="387"/>
      <c r="K632" s="388"/>
      <c r="L632" s="323"/>
      <c r="M632" s="323"/>
      <c r="N632" s="323"/>
      <c r="O632" s="323"/>
      <c r="P632" s="323"/>
      <c r="Q632" s="323"/>
      <c r="R632" s="323"/>
      <c r="S632" s="323"/>
      <c r="T632" s="323"/>
      <c r="U632" s="323"/>
      <c r="V632" s="323"/>
    </row>
    <row r="633">
      <c r="A633" s="323"/>
      <c r="B633" s="323"/>
      <c r="C633" s="322"/>
      <c r="D633" s="322"/>
      <c r="E633" s="323"/>
      <c r="F633" s="322"/>
      <c r="G633" s="322"/>
      <c r="H633" s="322"/>
      <c r="I633" s="322"/>
      <c r="J633" s="387"/>
      <c r="K633" s="388"/>
      <c r="L633" s="323"/>
      <c r="M633" s="323"/>
      <c r="N633" s="323"/>
      <c r="O633" s="323"/>
      <c r="P633" s="323"/>
      <c r="Q633" s="323"/>
      <c r="R633" s="323"/>
      <c r="S633" s="323"/>
      <c r="T633" s="323"/>
      <c r="U633" s="323"/>
      <c r="V633" s="323"/>
    </row>
    <row r="634">
      <c r="A634" s="323"/>
      <c r="B634" s="323"/>
      <c r="C634" s="322"/>
      <c r="D634" s="322"/>
      <c r="E634" s="323"/>
      <c r="F634" s="322"/>
      <c r="G634" s="322"/>
      <c r="H634" s="322"/>
      <c r="I634" s="322"/>
      <c r="J634" s="387"/>
      <c r="K634" s="388"/>
      <c r="L634" s="323"/>
      <c r="M634" s="323"/>
      <c r="N634" s="323"/>
      <c r="O634" s="323"/>
      <c r="P634" s="323"/>
      <c r="Q634" s="323"/>
      <c r="R634" s="323"/>
      <c r="S634" s="323"/>
      <c r="T634" s="323"/>
      <c r="U634" s="323"/>
      <c r="V634" s="323"/>
    </row>
    <row r="635">
      <c r="A635" s="323"/>
      <c r="B635" s="323"/>
      <c r="C635" s="322"/>
      <c r="D635" s="322"/>
      <c r="E635" s="323"/>
      <c r="F635" s="322"/>
      <c r="G635" s="322"/>
      <c r="H635" s="322"/>
      <c r="I635" s="322"/>
      <c r="J635" s="387"/>
      <c r="K635" s="388"/>
      <c r="L635" s="323"/>
      <c r="M635" s="323"/>
      <c r="N635" s="323"/>
      <c r="O635" s="323"/>
      <c r="P635" s="323"/>
      <c r="Q635" s="323"/>
      <c r="R635" s="323"/>
      <c r="S635" s="323"/>
      <c r="T635" s="323"/>
      <c r="U635" s="323"/>
      <c r="V635" s="323"/>
    </row>
    <row r="636">
      <c r="A636" s="323"/>
      <c r="B636" s="323"/>
      <c r="C636" s="322"/>
      <c r="D636" s="322"/>
      <c r="E636" s="323"/>
      <c r="F636" s="322"/>
      <c r="G636" s="322"/>
      <c r="H636" s="322"/>
      <c r="I636" s="322"/>
      <c r="J636" s="387"/>
      <c r="K636" s="388"/>
      <c r="L636" s="323"/>
      <c r="M636" s="323"/>
      <c r="N636" s="323"/>
      <c r="O636" s="323"/>
      <c r="P636" s="323"/>
      <c r="Q636" s="323"/>
      <c r="R636" s="323"/>
      <c r="S636" s="323"/>
      <c r="T636" s="323"/>
      <c r="U636" s="323"/>
      <c r="V636" s="323"/>
    </row>
    <row r="637">
      <c r="A637" s="323"/>
      <c r="B637" s="323"/>
      <c r="C637" s="322"/>
      <c r="D637" s="322"/>
      <c r="E637" s="323"/>
      <c r="F637" s="322"/>
      <c r="G637" s="322"/>
      <c r="H637" s="322"/>
      <c r="I637" s="322"/>
      <c r="J637" s="387"/>
      <c r="K637" s="388"/>
      <c r="L637" s="323"/>
      <c r="M637" s="323"/>
      <c r="N637" s="323"/>
      <c r="O637" s="323"/>
      <c r="P637" s="323"/>
      <c r="Q637" s="323"/>
      <c r="R637" s="323"/>
      <c r="S637" s="323"/>
      <c r="T637" s="323"/>
      <c r="U637" s="323"/>
      <c r="V637" s="323"/>
    </row>
    <row r="638">
      <c r="A638" s="323"/>
      <c r="B638" s="323"/>
      <c r="C638" s="322"/>
      <c r="D638" s="322"/>
      <c r="E638" s="323"/>
      <c r="F638" s="322"/>
      <c r="G638" s="322"/>
      <c r="H638" s="322"/>
      <c r="I638" s="322"/>
      <c r="J638" s="387"/>
      <c r="K638" s="388"/>
      <c r="L638" s="323"/>
      <c r="M638" s="323"/>
      <c r="N638" s="323"/>
      <c r="O638" s="323"/>
      <c r="P638" s="323"/>
      <c r="Q638" s="323"/>
      <c r="R638" s="323"/>
      <c r="S638" s="323"/>
      <c r="T638" s="323"/>
      <c r="U638" s="323"/>
      <c r="V638" s="323"/>
    </row>
    <row r="639">
      <c r="A639" s="323"/>
      <c r="B639" s="323"/>
      <c r="C639" s="322"/>
      <c r="D639" s="322"/>
      <c r="E639" s="323"/>
      <c r="F639" s="322"/>
      <c r="G639" s="322"/>
      <c r="H639" s="322"/>
      <c r="I639" s="322"/>
      <c r="J639" s="387"/>
      <c r="K639" s="388"/>
      <c r="L639" s="323"/>
      <c r="M639" s="323"/>
      <c r="N639" s="323"/>
      <c r="O639" s="323"/>
      <c r="P639" s="323"/>
      <c r="Q639" s="323"/>
      <c r="R639" s="323"/>
      <c r="S639" s="323"/>
      <c r="T639" s="323"/>
      <c r="U639" s="323"/>
      <c r="V639" s="323"/>
    </row>
    <row r="640">
      <c r="A640" s="323"/>
      <c r="B640" s="323"/>
      <c r="C640" s="322"/>
      <c r="D640" s="322"/>
      <c r="E640" s="323"/>
      <c r="F640" s="322"/>
      <c r="G640" s="322"/>
      <c r="H640" s="322"/>
      <c r="I640" s="322"/>
      <c r="J640" s="387"/>
      <c r="K640" s="388"/>
      <c r="L640" s="323"/>
      <c r="M640" s="323"/>
      <c r="N640" s="323"/>
      <c r="O640" s="323"/>
      <c r="P640" s="323"/>
      <c r="Q640" s="323"/>
      <c r="R640" s="323"/>
      <c r="S640" s="323"/>
      <c r="T640" s="323"/>
      <c r="U640" s="323"/>
      <c r="V640" s="323"/>
    </row>
    <row r="641">
      <c r="A641" s="323"/>
      <c r="B641" s="323"/>
      <c r="C641" s="322"/>
      <c r="D641" s="322"/>
      <c r="E641" s="323"/>
      <c r="F641" s="322"/>
      <c r="G641" s="322"/>
      <c r="H641" s="322"/>
      <c r="I641" s="322"/>
      <c r="J641" s="387"/>
      <c r="K641" s="388"/>
      <c r="L641" s="323"/>
      <c r="M641" s="323"/>
      <c r="N641" s="323"/>
      <c r="O641" s="323"/>
      <c r="P641" s="323"/>
      <c r="Q641" s="323"/>
      <c r="R641" s="323"/>
      <c r="S641" s="323"/>
      <c r="T641" s="323"/>
      <c r="U641" s="323"/>
      <c r="V641" s="323"/>
    </row>
    <row r="642">
      <c r="A642" s="323"/>
      <c r="B642" s="323"/>
      <c r="C642" s="322"/>
      <c r="D642" s="322"/>
      <c r="E642" s="323"/>
      <c r="F642" s="322"/>
      <c r="G642" s="322"/>
      <c r="H642" s="322"/>
      <c r="I642" s="322"/>
      <c r="J642" s="387"/>
      <c r="K642" s="388"/>
      <c r="L642" s="323"/>
      <c r="M642" s="323"/>
      <c r="N642" s="323"/>
      <c r="O642" s="323"/>
      <c r="P642" s="323"/>
      <c r="Q642" s="323"/>
      <c r="R642" s="323"/>
      <c r="S642" s="323"/>
      <c r="T642" s="323"/>
      <c r="U642" s="323"/>
      <c r="V642" s="323"/>
    </row>
    <row r="643">
      <c r="A643" s="323"/>
      <c r="B643" s="323"/>
      <c r="C643" s="322"/>
      <c r="D643" s="322"/>
      <c r="E643" s="323"/>
      <c r="F643" s="322"/>
      <c r="G643" s="322"/>
      <c r="H643" s="322"/>
      <c r="I643" s="322"/>
      <c r="J643" s="387"/>
      <c r="K643" s="388"/>
      <c r="L643" s="323"/>
      <c r="M643" s="323"/>
      <c r="N643" s="323"/>
      <c r="O643" s="323"/>
      <c r="P643" s="323"/>
      <c r="Q643" s="323"/>
      <c r="R643" s="323"/>
      <c r="S643" s="323"/>
      <c r="T643" s="323"/>
      <c r="U643" s="323"/>
      <c r="V643" s="323"/>
    </row>
    <row r="644">
      <c r="A644" s="323"/>
      <c r="B644" s="323"/>
      <c r="C644" s="322"/>
      <c r="D644" s="322"/>
      <c r="E644" s="323"/>
      <c r="F644" s="322"/>
      <c r="G644" s="322"/>
      <c r="H644" s="322"/>
      <c r="I644" s="322"/>
      <c r="J644" s="387"/>
      <c r="K644" s="388"/>
      <c r="L644" s="323"/>
      <c r="M644" s="323"/>
      <c r="N644" s="323"/>
      <c r="O644" s="323"/>
      <c r="P644" s="323"/>
      <c r="Q644" s="323"/>
      <c r="R644" s="323"/>
      <c r="S644" s="323"/>
      <c r="T644" s="323"/>
      <c r="U644" s="323"/>
      <c r="V644" s="323"/>
    </row>
    <row r="645">
      <c r="A645" s="323"/>
      <c r="B645" s="323"/>
      <c r="C645" s="322"/>
      <c r="D645" s="322"/>
      <c r="E645" s="323"/>
      <c r="F645" s="322"/>
      <c r="G645" s="322"/>
      <c r="H645" s="322"/>
      <c r="I645" s="322"/>
      <c r="J645" s="387"/>
      <c r="K645" s="388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323"/>
    </row>
    <row r="646">
      <c r="A646" s="323"/>
      <c r="B646" s="323"/>
      <c r="C646" s="322"/>
      <c r="D646" s="322"/>
      <c r="E646" s="323"/>
      <c r="F646" s="322"/>
      <c r="G646" s="322"/>
      <c r="H646" s="322"/>
      <c r="I646" s="322"/>
      <c r="J646" s="387"/>
      <c r="K646" s="388"/>
      <c r="L646" s="323"/>
      <c r="M646" s="323"/>
      <c r="N646" s="323"/>
      <c r="O646" s="323"/>
      <c r="P646" s="323"/>
      <c r="Q646" s="323"/>
      <c r="R646" s="323"/>
      <c r="S646" s="323"/>
      <c r="T646" s="323"/>
      <c r="U646" s="323"/>
      <c r="V646" s="323"/>
    </row>
    <row r="647">
      <c r="A647" s="323"/>
      <c r="B647" s="323"/>
      <c r="C647" s="322"/>
      <c r="D647" s="322"/>
      <c r="E647" s="323"/>
      <c r="F647" s="322"/>
      <c r="G647" s="322"/>
      <c r="H647" s="322"/>
      <c r="I647" s="322"/>
      <c r="J647" s="387"/>
      <c r="K647" s="388"/>
      <c r="L647" s="323"/>
      <c r="M647" s="323"/>
      <c r="N647" s="323"/>
      <c r="O647" s="323"/>
      <c r="P647" s="323"/>
      <c r="Q647" s="323"/>
      <c r="R647" s="323"/>
      <c r="S647" s="323"/>
      <c r="T647" s="323"/>
      <c r="U647" s="323"/>
      <c r="V647" s="323"/>
    </row>
    <row r="648">
      <c r="A648" s="323"/>
      <c r="B648" s="323"/>
      <c r="C648" s="322"/>
      <c r="D648" s="322"/>
      <c r="E648" s="323"/>
      <c r="F648" s="322"/>
      <c r="G648" s="322"/>
      <c r="H648" s="322"/>
      <c r="I648" s="322"/>
      <c r="J648" s="387"/>
      <c r="K648" s="388"/>
      <c r="L648" s="323"/>
      <c r="M648" s="323"/>
      <c r="N648" s="323"/>
      <c r="O648" s="323"/>
      <c r="P648" s="323"/>
      <c r="Q648" s="323"/>
      <c r="R648" s="323"/>
      <c r="S648" s="323"/>
      <c r="T648" s="323"/>
      <c r="U648" s="323"/>
      <c r="V648" s="323"/>
    </row>
    <row r="649">
      <c r="A649" s="323"/>
      <c r="B649" s="323"/>
      <c r="C649" s="322"/>
      <c r="D649" s="322"/>
      <c r="E649" s="323"/>
      <c r="F649" s="322"/>
      <c r="G649" s="322"/>
      <c r="H649" s="322"/>
      <c r="I649" s="322"/>
      <c r="J649" s="387"/>
      <c r="K649" s="388"/>
      <c r="L649" s="323"/>
      <c r="M649" s="323"/>
      <c r="N649" s="323"/>
      <c r="O649" s="323"/>
      <c r="P649" s="323"/>
      <c r="Q649" s="323"/>
      <c r="R649" s="323"/>
      <c r="S649" s="323"/>
      <c r="T649" s="323"/>
      <c r="U649" s="323"/>
      <c r="V649" s="323"/>
    </row>
    <row r="650">
      <c r="A650" s="323"/>
      <c r="B650" s="323"/>
      <c r="C650" s="322"/>
      <c r="D650" s="322"/>
      <c r="E650" s="323"/>
      <c r="F650" s="322"/>
      <c r="G650" s="322"/>
      <c r="H650" s="322"/>
      <c r="I650" s="322"/>
      <c r="J650" s="387"/>
      <c r="K650" s="388"/>
      <c r="L650" s="323"/>
      <c r="M650" s="323"/>
      <c r="N650" s="323"/>
      <c r="O650" s="323"/>
      <c r="P650" s="323"/>
      <c r="Q650" s="323"/>
      <c r="R650" s="323"/>
      <c r="S650" s="323"/>
      <c r="T650" s="323"/>
      <c r="U650" s="323"/>
      <c r="V650" s="323"/>
    </row>
    <row r="651">
      <c r="A651" s="323"/>
      <c r="B651" s="323"/>
      <c r="C651" s="322"/>
      <c r="D651" s="322"/>
      <c r="E651" s="323"/>
      <c r="F651" s="322"/>
      <c r="G651" s="322"/>
      <c r="H651" s="322"/>
      <c r="I651" s="322"/>
      <c r="J651" s="387"/>
      <c r="K651" s="388"/>
      <c r="L651" s="323"/>
      <c r="M651" s="323"/>
      <c r="N651" s="323"/>
      <c r="O651" s="323"/>
      <c r="P651" s="323"/>
      <c r="Q651" s="323"/>
      <c r="R651" s="323"/>
      <c r="S651" s="323"/>
      <c r="T651" s="323"/>
      <c r="U651" s="323"/>
      <c r="V651" s="323"/>
    </row>
    <row r="652">
      <c r="A652" s="323"/>
      <c r="B652" s="323"/>
      <c r="C652" s="322"/>
      <c r="D652" s="322"/>
      <c r="E652" s="323"/>
      <c r="F652" s="322"/>
      <c r="G652" s="322"/>
      <c r="H652" s="322"/>
      <c r="I652" s="322"/>
      <c r="J652" s="387"/>
      <c r="K652" s="388"/>
      <c r="L652" s="323"/>
      <c r="M652" s="323"/>
      <c r="N652" s="323"/>
      <c r="O652" s="323"/>
      <c r="P652" s="323"/>
      <c r="Q652" s="323"/>
      <c r="R652" s="323"/>
      <c r="S652" s="323"/>
      <c r="T652" s="323"/>
      <c r="U652" s="323"/>
      <c r="V652" s="323"/>
    </row>
    <row r="653">
      <c r="A653" s="323"/>
      <c r="B653" s="323"/>
      <c r="C653" s="322"/>
      <c r="D653" s="322"/>
      <c r="E653" s="323"/>
      <c r="F653" s="322"/>
      <c r="G653" s="322"/>
      <c r="H653" s="322"/>
      <c r="I653" s="322"/>
      <c r="J653" s="387"/>
      <c r="K653" s="388"/>
      <c r="L653" s="323"/>
      <c r="M653" s="323"/>
      <c r="N653" s="323"/>
      <c r="O653" s="323"/>
      <c r="P653" s="323"/>
      <c r="Q653" s="323"/>
      <c r="R653" s="323"/>
      <c r="S653" s="323"/>
      <c r="T653" s="323"/>
      <c r="U653" s="323"/>
      <c r="V653" s="323"/>
    </row>
    <row r="654">
      <c r="A654" s="323"/>
      <c r="B654" s="323"/>
      <c r="C654" s="322"/>
      <c r="D654" s="322"/>
      <c r="E654" s="323"/>
      <c r="F654" s="322"/>
      <c r="G654" s="322"/>
      <c r="H654" s="322"/>
      <c r="I654" s="322"/>
      <c r="J654" s="387"/>
      <c r="K654" s="388"/>
      <c r="L654" s="323"/>
      <c r="M654" s="323"/>
      <c r="N654" s="323"/>
      <c r="O654" s="323"/>
      <c r="P654" s="323"/>
      <c r="Q654" s="323"/>
      <c r="R654" s="323"/>
      <c r="S654" s="323"/>
      <c r="T654" s="323"/>
      <c r="U654" s="323"/>
      <c r="V654" s="323"/>
    </row>
    <row r="655">
      <c r="A655" s="323"/>
      <c r="B655" s="323"/>
      <c r="C655" s="322"/>
      <c r="D655" s="322"/>
      <c r="E655" s="323"/>
      <c r="F655" s="322"/>
      <c r="G655" s="322"/>
      <c r="H655" s="322"/>
      <c r="I655" s="322"/>
      <c r="J655" s="387"/>
      <c r="K655" s="388"/>
      <c r="L655" s="323"/>
      <c r="M655" s="323"/>
      <c r="N655" s="323"/>
      <c r="O655" s="323"/>
      <c r="P655" s="323"/>
      <c r="Q655" s="323"/>
      <c r="R655" s="323"/>
      <c r="S655" s="323"/>
      <c r="T655" s="323"/>
      <c r="U655" s="323"/>
      <c r="V655" s="323"/>
    </row>
    <row r="656">
      <c r="A656" s="323"/>
      <c r="B656" s="323"/>
      <c r="C656" s="322"/>
      <c r="D656" s="322"/>
      <c r="E656" s="323"/>
      <c r="F656" s="322"/>
      <c r="G656" s="322"/>
      <c r="H656" s="322"/>
      <c r="I656" s="322"/>
      <c r="J656" s="387"/>
      <c r="K656" s="388"/>
      <c r="L656" s="323"/>
      <c r="M656" s="323"/>
      <c r="N656" s="323"/>
      <c r="O656" s="323"/>
      <c r="P656" s="323"/>
      <c r="Q656" s="323"/>
      <c r="R656" s="323"/>
      <c r="S656" s="323"/>
      <c r="T656" s="323"/>
      <c r="U656" s="323"/>
      <c r="V656" s="323"/>
    </row>
    <row r="657">
      <c r="A657" s="323"/>
      <c r="B657" s="323"/>
      <c r="C657" s="322"/>
      <c r="D657" s="322"/>
      <c r="E657" s="323"/>
      <c r="F657" s="322"/>
      <c r="G657" s="322"/>
      <c r="H657" s="322"/>
      <c r="I657" s="322"/>
      <c r="J657" s="387"/>
      <c r="K657" s="388"/>
      <c r="L657" s="323"/>
      <c r="M657" s="323"/>
      <c r="N657" s="323"/>
      <c r="O657" s="323"/>
      <c r="P657" s="323"/>
      <c r="Q657" s="323"/>
      <c r="R657" s="323"/>
      <c r="S657" s="323"/>
      <c r="T657" s="323"/>
      <c r="U657" s="323"/>
      <c r="V657" s="323"/>
    </row>
    <row r="658">
      <c r="A658" s="323"/>
      <c r="B658" s="323"/>
      <c r="C658" s="322"/>
      <c r="D658" s="322"/>
      <c r="E658" s="323"/>
      <c r="F658" s="322"/>
      <c r="G658" s="322"/>
      <c r="H658" s="322"/>
      <c r="I658" s="322"/>
      <c r="J658" s="387"/>
      <c r="K658" s="388"/>
      <c r="L658" s="323"/>
      <c r="M658" s="323"/>
      <c r="N658" s="323"/>
      <c r="O658" s="323"/>
      <c r="P658" s="323"/>
      <c r="Q658" s="323"/>
      <c r="R658" s="323"/>
      <c r="S658" s="323"/>
      <c r="T658" s="323"/>
      <c r="U658" s="323"/>
      <c r="V658" s="323"/>
    </row>
    <row r="659">
      <c r="A659" s="323"/>
      <c r="B659" s="323"/>
      <c r="C659" s="322"/>
      <c r="D659" s="322"/>
      <c r="E659" s="323"/>
      <c r="F659" s="322"/>
      <c r="G659" s="322"/>
      <c r="H659" s="322"/>
      <c r="I659" s="322"/>
      <c r="J659" s="387"/>
      <c r="K659" s="388"/>
      <c r="L659" s="323"/>
      <c r="M659" s="323"/>
      <c r="N659" s="323"/>
      <c r="O659" s="323"/>
      <c r="P659" s="323"/>
      <c r="Q659" s="323"/>
      <c r="R659" s="323"/>
      <c r="S659" s="323"/>
      <c r="T659" s="323"/>
      <c r="U659" s="323"/>
      <c r="V659" s="323"/>
    </row>
    <row r="660">
      <c r="A660" s="323"/>
      <c r="B660" s="323"/>
      <c r="C660" s="322"/>
      <c r="D660" s="322"/>
      <c r="E660" s="323"/>
      <c r="F660" s="322"/>
      <c r="G660" s="322"/>
      <c r="H660" s="322"/>
      <c r="I660" s="322"/>
      <c r="J660" s="387"/>
      <c r="K660" s="388"/>
      <c r="L660" s="323"/>
      <c r="M660" s="323"/>
      <c r="N660" s="323"/>
      <c r="O660" s="323"/>
      <c r="P660" s="323"/>
      <c r="Q660" s="323"/>
      <c r="R660" s="323"/>
      <c r="S660" s="323"/>
      <c r="T660" s="323"/>
      <c r="U660" s="323"/>
      <c r="V660" s="323"/>
    </row>
    <row r="661">
      <c r="A661" s="323"/>
      <c r="B661" s="323"/>
      <c r="C661" s="322"/>
      <c r="D661" s="322"/>
      <c r="E661" s="323"/>
      <c r="F661" s="322"/>
      <c r="G661" s="322"/>
      <c r="H661" s="322"/>
      <c r="I661" s="322"/>
      <c r="J661" s="387"/>
      <c r="K661" s="388"/>
      <c r="L661" s="323"/>
      <c r="M661" s="323"/>
      <c r="N661" s="323"/>
      <c r="O661" s="323"/>
      <c r="P661" s="323"/>
      <c r="Q661" s="323"/>
      <c r="R661" s="323"/>
      <c r="S661" s="323"/>
      <c r="T661" s="323"/>
      <c r="U661" s="323"/>
      <c r="V661" s="323"/>
    </row>
    <row r="662">
      <c r="A662" s="323"/>
      <c r="B662" s="323"/>
      <c r="C662" s="322"/>
      <c r="D662" s="322"/>
      <c r="E662" s="323"/>
      <c r="F662" s="322"/>
      <c r="G662" s="322"/>
      <c r="H662" s="322"/>
      <c r="I662" s="322"/>
      <c r="J662" s="387"/>
      <c r="K662" s="388"/>
      <c r="L662" s="323"/>
      <c r="M662" s="323"/>
      <c r="N662" s="323"/>
      <c r="O662" s="323"/>
      <c r="P662" s="323"/>
      <c r="Q662" s="323"/>
      <c r="R662" s="323"/>
      <c r="S662" s="323"/>
      <c r="T662" s="323"/>
      <c r="U662" s="323"/>
      <c r="V662" s="323"/>
    </row>
    <row r="663">
      <c r="A663" s="323"/>
      <c r="B663" s="323"/>
      <c r="C663" s="322"/>
      <c r="D663" s="322"/>
      <c r="E663" s="323"/>
      <c r="F663" s="322"/>
      <c r="G663" s="322"/>
      <c r="H663" s="322"/>
      <c r="I663" s="322"/>
      <c r="J663" s="387"/>
      <c r="K663" s="388"/>
      <c r="L663" s="323"/>
      <c r="M663" s="323"/>
      <c r="N663" s="323"/>
      <c r="O663" s="323"/>
      <c r="P663" s="323"/>
      <c r="Q663" s="323"/>
      <c r="R663" s="323"/>
      <c r="S663" s="323"/>
      <c r="T663" s="323"/>
      <c r="U663" s="323"/>
      <c r="V663" s="323"/>
    </row>
    <row r="664">
      <c r="A664" s="323"/>
      <c r="B664" s="323"/>
      <c r="C664" s="322"/>
      <c r="D664" s="322"/>
      <c r="E664" s="323"/>
      <c r="F664" s="322"/>
      <c r="G664" s="322"/>
      <c r="H664" s="322"/>
      <c r="I664" s="322"/>
      <c r="J664" s="387"/>
      <c r="K664" s="388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</row>
    <row r="665">
      <c r="A665" s="323"/>
      <c r="B665" s="323"/>
      <c r="C665" s="322"/>
      <c r="D665" s="322"/>
      <c r="E665" s="323"/>
      <c r="F665" s="322"/>
      <c r="G665" s="322"/>
      <c r="H665" s="322"/>
      <c r="I665" s="322"/>
      <c r="J665" s="387"/>
      <c r="K665" s="388"/>
      <c r="L665" s="323"/>
      <c r="M665" s="323"/>
      <c r="N665" s="323"/>
      <c r="O665" s="323"/>
      <c r="P665" s="323"/>
      <c r="Q665" s="323"/>
      <c r="R665" s="323"/>
      <c r="S665" s="323"/>
      <c r="T665" s="323"/>
      <c r="U665" s="323"/>
      <c r="V665" s="323"/>
    </row>
    <row r="666">
      <c r="A666" s="323"/>
      <c r="B666" s="323"/>
      <c r="C666" s="322"/>
      <c r="D666" s="322"/>
      <c r="E666" s="323"/>
      <c r="F666" s="322"/>
      <c r="G666" s="322"/>
      <c r="H666" s="322"/>
      <c r="I666" s="322"/>
      <c r="J666" s="387"/>
      <c r="K666" s="388"/>
      <c r="L666" s="323"/>
      <c r="M666" s="323"/>
      <c r="N666" s="323"/>
      <c r="O666" s="323"/>
      <c r="P666" s="323"/>
      <c r="Q666" s="323"/>
      <c r="R666" s="323"/>
      <c r="S666" s="323"/>
      <c r="T666" s="323"/>
      <c r="U666" s="323"/>
      <c r="V666" s="323"/>
    </row>
    <row r="667">
      <c r="A667" s="323"/>
      <c r="B667" s="323"/>
      <c r="C667" s="322"/>
      <c r="D667" s="322"/>
      <c r="E667" s="323"/>
      <c r="F667" s="322"/>
      <c r="G667" s="322"/>
      <c r="H667" s="322"/>
      <c r="I667" s="322"/>
      <c r="J667" s="387"/>
      <c r="K667" s="388"/>
      <c r="L667" s="323"/>
      <c r="M667" s="323"/>
      <c r="N667" s="323"/>
      <c r="O667" s="323"/>
      <c r="P667" s="323"/>
      <c r="Q667" s="323"/>
      <c r="R667" s="323"/>
      <c r="S667" s="323"/>
      <c r="T667" s="323"/>
      <c r="U667" s="323"/>
      <c r="V667" s="323"/>
    </row>
    <row r="668">
      <c r="A668" s="323"/>
      <c r="B668" s="323"/>
      <c r="C668" s="322"/>
      <c r="D668" s="322"/>
      <c r="E668" s="323"/>
      <c r="F668" s="322"/>
      <c r="G668" s="322"/>
      <c r="H668" s="322"/>
      <c r="I668" s="322"/>
      <c r="J668" s="387"/>
      <c r="K668" s="388"/>
      <c r="L668" s="323"/>
      <c r="M668" s="323"/>
      <c r="N668" s="323"/>
      <c r="O668" s="323"/>
      <c r="P668" s="323"/>
      <c r="Q668" s="323"/>
      <c r="R668" s="323"/>
      <c r="S668" s="323"/>
      <c r="T668" s="323"/>
      <c r="U668" s="323"/>
      <c r="V668" s="323"/>
    </row>
    <row r="669">
      <c r="A669" s="323"/>
      <c r="B669" s="323"/>
      <c r="C669" s="322"/>
      <c r="D669" s="322"/>
      <c r="E669" s="323"/>
      <c r="F669" s="322"/>
      <c r="G669" s="322"/>
      <c r="H669" s="322"/>
      <c r="I669" s="322"/>
      <c r="J669" s="387"/>
      <c r="K669" s="388"/>
      <c r="L669" s="323"/>
      <c r="M669" s="323"/>
      <c r="N669" s="323"/>
      <c r="O669" s="323"/>
      <c r="P669" s="323"/>
      <c r="Q669" s="323"/>
      <c r="R669" s="323"/>
      <c r="S669" s="323"/>
      <c r="T669" s="323"/>
      <c r="U669" s="323"/>
      <c r="V669" s="323"/>
    </row>
    <row r="670">
      <c r="A670" s="323"/>
      <c r="B670" s="323"/>
      <c r="C670" s="322"/>
      <c r="D670" s="322"/>
      <c r="E670" s="323"/>
      <c r="F670" s="322"/>
      <c r="G670" s="322"/>
      <c r="H670" s="322"/>
      <c r="I670" s="322"/>
      <c r="J670" s="387"/>
      <c r="K670" s="388"/>
      <c r="L670" s="323"/>
      <c r="M670" s="323"/>
      <c r="N670" s="323"/>
      <c r="O670" s="323"/>
      <c r="P670" s="323"/>
      <c r="Q670" s="323"/>
      <c r="R670" s="323"/>
      <c r="S670" s="323"/>
      <c r="T670" s="323"/>
      <c r="U670" s="323"/>
      <c r="V670" s="323"/>
    </row>
    <row r="671">
      <c r="A671" s="323"/>
      <c r="B671" s="323"/>
      <c r="C671" s="322"/>
      <c r="D671" s="322"/>
      <c r="E671" s="323"/>
      <c r="F671" s="322"/>
      <c r="G671" s="322"/>
      <c r="H671" s="322"/>
      <c r="I671" s="322"/>
      <c r="J671" s="387"/>
      <c r="K671" s="388"/>
      <c r="L671" s="323"/>
      <c r="M671" s="323"/>
      <c r="N671" s="323"/>
      <c r="O671" s="323"/>
      <c r="P671" s="323"/>
      <c r="Q671" s="323"/>
      <c r="R671" s="323"/>
      <c r="S671" s="323"/>
      <c r="T671" s="323"/>
      <c r="U671" s="323"/>
      <c r="V671" s="323"/>
    </row>
    <row r="672">
      <c r="A672" s="323"/>
      <c r="B672" s="323"/>
      <c r="C672" s="322"/>
      <c r="D672" s="322"/>
      <c r="E672" s="323"/>
      <c r="F672" s="322"/>
      <c r="G672" s="322"/>
      <c r="H672" s="322"/>
      <c r="I672" s="322"/>
      <c r="J672" s="387"/>
      <c r="K672" s="388"/>
      <c r="L672" s="323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</row>
    <row r="673">
      <c r="A673" s="323"/>
      <c r="B673" s="323"/>
      <c r="C673" s="322"/>
      <c r="D673" s="322"/>
      <c r="E673" s="323"/>
      <c r="F673" s="322"/>
      <c r="G673" s="322"/>
      <c r="H673" s="322"/>
      <c r="I673" s="322"/>
      <c r="J673" s="387"/>
      <c r="K673" s="388"/>
      <c r="L673" s="323"/>
      <c r="M673" s="323"/>
      <c r="N673" s="323"/>
      <c r="O673" s="323"/>
      <c r="P673" s="323"/>
      <c r="Q673" s="323"/>
      <c r="R673" s="323"/>
      <c r="S673" s="323"/>
      <c r="T673" s="323"/>
      <c r="U673" s="323"/>
      <c r="V673" s="323"/>
    </row>
    <row r="674">
      <c r="A674" s="323"/>
      <c r="B674" s="323"/>
      <c r="C674" s="322"/>
      <c r="D674" s="322"/>
      <c r="E674" s="323"/>
      <c r="F674" s="322"/>
      <c r="G674" s="322"/>
      <c r="H674" s="322"/>
      <c r="I674" s="322"/>
      <c r="J674" s="387"/>
      <c r="K674" s="388"/>
      <c r="L674" s="323"/>
      <c r="M674" s="323"/>
      <c r="N674" s="323"/>
      <c r="O674" s="323"/>
      <c r="P674" s="323"/>
      <c r="Q674" s="323"/>
      <c r="R674" s="323"/>
      <c r="S674" s="323"/>
      <c r="T674" s="323"/>
      <c r="U674" s="323"/>
      <c r="V674" s="323"/>
    </row>
    <row r="675">
      <c r="A675" s="323"/>
      <c r="B675" s="323"/>
      <c r="C675" s="322"/>
      <c r="D675" s="322"/>
      <c r="E675" s="323"/>
      <c r="F675" s="322"/>
      <c r="G675" s="322"/>
      <c r="H675" s="322"/>
      <c r="I675" s="322"/>
      <c r="J675" s="387"/>
      <c r="K675" s="388"/>
      <c r="L675" s="323"/>
      <c r="M675" s="323"/>
      <c r="N675" s="323"/>
      <c r="O675" s="323"/>
      <c r="P675" s="323"/>
      <c r="Q675" s="323"/>
      <c r="R675" s="323"/>
      <c r="S675" s="323"/>
      <c r="T675" s="323"/>
      <c r="U675" s="323"/>
      <c r="V675" s="323"/>
    </row>
    <row r="676">
      <c r="A676" s="323"/>
      <c r="B676" s="323"/>
      <c r="C676" s="322"/>
      <c r="D676" s="322"/>
      <c r="E676" s="323"/>
      <c r="F676" s="322"/>
      <c r="G676" s="322"/>
      <c r="H676" s="322"/>
      <c r="I676" s="322"/>
      <c r="J676" s="387"/>
      <c r="K676" s="388"/>
      <c r="L676" s="323"/>
      <c r="M676" s="323"/>
      <c r="N676" s="323"/>
      <c r="O676" s="323"/>
      <c r="P676" s="323"/>
      <c r="Q676" s="323"/>
      <c r="R676" s="323"/>
      <c r="S676" s="323"/>
      <c r="T676" s="323"/>
      <c r="U676" s="323"/>
      <c r="V676" s="323"/>
    </row>
    <row r="677">
      <c r="A677" s="323"/>
      <c r="B677" s="323"/>
      <c r="C677" s="322"/>
      <c r="D677" s="322"/>
      <c r="E677" s="323"/>
      <c r="F677" s="322"/>
      <c r="G677" s="322"/>
      <c r="H677" s="322"/>
      <c r="I677" s="322"/>
      <c r="J677" s="387"/>
      <c r="K677" s="388"/>
      <c r="L677" s="323"/>
      <c r="M677" s="323"/>
      <c r="N677" s="323"/>
      <c r="O677" s="323"/>
      <c r="P677" s="323"/>
      <c r="Q677" s="323"/>
      <c r="R677" s="323"/>
      <c r="S677" s="323"/>
      <c r="T677" s="323"/>
      <c r="U677" s="323"/>
      <c r="V677" s="323"/>
    </row>
    <row r="678">
      <c r="A678" s="323"/>
      <c r="B678" s="323"/>
      <c r="C678" s="322"/>
      <c r="D678" s="322"/>
      <c r="E678" s="323"/>
      <c r="F678" s="322"/>
      <c r="G678" s="322"/>
      <c r="H678" s="322"/>
      <c r="I678" s="322"/>
      <c r="J678" s="387"/>
      <c r="K678" s="388"/>
      <c r="L678" s="323"/>
      <c r="M678" s="323"/>
      <c r="N678" s="323"/>
      <c r="O678" s="323"/>
      <c r="P678" s="323"/>
      <c r="Q678" s="323"/>
      <c r="R678" s="323"/>
      <c r="S678" s="323"/>
      <c r="T678" s="323"/>
      <c r="U678" s="323"/>
      <c r="V678" s="323"/>
    </row>
    <row r="679">
      <c r="A679" s="323"/>
      <c r="B679" s="323"/>
      <c r="C679" s="322"/>
      <c r="D679" s="322"/>
      <c r="E679" s="323"/>
      <c r="F679" s="322"/>
      <c r="G679" s="322"/>
      <c r="H679" s="322"/>
      <c r="I679" s="322"/>
      <c r="J679" s="387"/>
      <c r="K679" s="388"/>
      <c r="L679" s="323"/>
      <c r="M679" s="323"/>
      <c r="N679" s="323"/>
      <c r="O679" s="323"/>
      <c r="P679" s="323"/>
      <c r="Q679" s="323"/>
      <c r="R679" s="323"/>
      <c r="S679" s="323"/>
      <c r="T679" s="323"/>
      <c r="U679" s="323"/>
      <c r="V679" s="323"/>
    </row>
    <row r="680">
      <c r="A680" s="323"/>
      <c r="B680" s="323"/>
      <c r="C680" s="322"/>
      <c r="D680" s="322"/>
      <c r="E680" s="323"/>
      <c r="F680" s="322"/>
      <c r="G680" s="322"/>
      <c r="H680" s="322"/>
      <c r="I680" s="322"/>
      <c r="J680" s="387"/>
      <c r="K680" s="388"/>
      <c r="L680" s="323"/>
      <c r="M680" s="323"/>
      <c r="N680" s="323"/>
      <c r="O680" s="323"/>
      <c r="P680" s="323"/>
      <c r="Q680" s="323"/>
      <c r="R680" s="323"/>
      <c r="S680" s="323"/>
      <c r="T680" s="323"/>
      <c r="U680" s="323"/>
      <c r="V680" s="323"/>
    </row>
    <row r="681">
      <c r="A681" s="323"/>
      <c r="B681" s="323"/>
      <c r="C681" s="322"/>
      <c r="D681" s="322"/>
      <c r="E681" s="323"/>
      <c r="F681" s="322"/>
      <c r="G681" s="322"/>
      <c r="H681" s="322"/>
      <c r="I681" s="322"/>
      <c r="J681" s="387"/>
      <c r="K681" s="388"/>
      <c r="L681" s="323"/>
      <c r="M681" s="323"/>
      <c r="N681" s="323"/>
      <c r="O681" s="323"/>
      <c r="P681" s="323"/>
      <c r="Q681" s="323"/>
      <c r="R681" s="323"/>
      <c r="S681" s="323"/>
      <c r="T681" s="323"/>
      <c r="U681" s="323"/>
      <c r="V681" s="323"/>
    </row>
    <row r="682">
      <c r="A682" s="323"/>
      <c r="B682" s="323"/>
      <c r="C682" s="322"/>
      <c r="D682" s="322"/>
      <c r="E682" s="323"/>
      <c r="F682" s="322"/>
      <c r="G682" s="322"/>
      <c r="H682" s="322"/>
      <c r="I682" s="322"/>
      <c r="J682" s="387"/>
      <c r="K682" s="388"/>
      <c r="L682" s="323"/>
      <c r="M682" s="323"/>
      <c r="N682" s="323"/>
      <c r="O682" s="323"/>
      <c r="P682" s="323"/>
      <c r="Q682" s="323"/>
      <c r="R682" s="323"/>
      <c r="S682" s="323"/>
      <c r="T682" s="323"/>
      <c r="U682" s="323"/>
      <c r="V682" s="323"/>
    </row>
    <row r="683">
      <c r="A683" s="323"/>
      <c r="B683" s="323"/>
      <c r="C683" s="322"/>
      <c r="D683" s="322"/>
      <c r="E683" s="323"/>
      <c r="F683" s="322"/>
      <c r="G683" s="322"/>
      <c r="H683" s="322"/>
      <c r="I683" s="322"/>
      <c r="J683" s="387"/>
      <c r="K683" s="388"/>
      <c r="L683" s="323"/>
      <c r="M683" s="323"/>
      <c r="N683" s="323"/>
      <c r="O683" s="323"/>
      <c r="P683" s="323"/>
      <c r="Q683" s="323"/>
      <c r="R683" s="323"/>
      <c r="S683" s="323"/>
      <c r="T683" s="323"/>
      <c r="U683" s="323"/>
      <c r="V683" s="323"/>
    </row>
    <row r="684">
      <c r="A684" s="323"/>
      <c r="B684" s="323"/>
      <c r="C684" s="322"/>
      <c r="D684" s="322"/>
      <c r="E684" s="323"/>
      <c r="F684" s="322"/>
      <c r="G684" s="322"/>
      <c r="H684" s="322"/>
      <c r="I684" s="322"/>
      <c r="J684" s="387"/>
      <c r="K684" s="388"/>
      <c r="L684" s="323"/>
      <c r="M684" s="323"/>
      <c r="N684" s="323"/>
      <c r="O684" s="323"/>
      <c r="P684" s="323"/>
      <c r="Q684" s="323"/>
      <c r="R684" s="323"/>
      <c r="S684" s="323"/>
      <c r="T684" s="323"/>
      <c r="U684" s="323"/>
      <c r="V684" s="323"/>
    </row>
    <row r="685">
      <c r="A685" s="323"/>
      <c r="B685" s="323"/>
      <c r="C685" s="322"/>
      <c r="D685" s="322"/>
      <c r="E685" s="323"/>
      <c r="F685" s="322"/>
      <c r="G685" s="322"/>
      <c r="H685" s="322"/>
      <c r="I685" s="322"/>
      <c r="J685" s="387"/>
      <c r="K685" s="388"/>
      <c r="L685" s="323"/>
      <c r="M685" s="323"/>
      <c r="N685" s="323"/>
      <c r="O685" s="323"/>
      <c r="P685" s="323"/>
      <c r="Q685" s="323"/>
      <c r="R685" s="323"/>
      <c r="S685" s="323"/>
      <c r="T685" s="323"/>
      <c r="U685" s="323"/>
      <c r="V685" s="323"/>
    </row>
    <row r="686">
      <c r="A686" s="323"/>
      <c r="B686" s="323"/>
      <c r="C686" s="322"/>
      <c r="D686" s="322"/>
      <c r="E686" s="323"/>
      <c r="F686" s="322"/>
      <c r="G686" s="322"/>
      <c r="H686" s="322"/>
      <c r="I686" s="322"/>
      <c r="J686" s="387"/>
      <c r="K686" s="388"/>
      <c r="L686" s="323"/>
      <c r="M686" s="323"/>
      <c r="N686" s="323"/>
      <c r="O686" s="323"/>
      <c r="P686" s="323"/>
      <c r="Q686" s="323"/>
      <c r="R686" s="323"/>
      <c r="S686" s="323"/>
      <c r="T686" s="323"/>
      <c r="U686" s="323"/>
      <c r="V686" s="323"/>
    </row>
    <row r="687">
      <c r="A687" s="323"/>
      <c r="B687" s="323"/>
      <c r="C687" s="322"/>
      <c r="D687" s="322"/>
      <c r="E687" s="323"/>
      <c r="F687" s="322"/>
      <c r="G687" s="322"/>
      <c r="H687" s="322"/>
      <c r="I687" s="322"/>
      <c r="J687" s="387"/>
      <c r="K687" s="388"/>
      <c r="L687" s="323"/>
      <c r="M687" s="323"/>
      <c r="N687" s="323"/>
      <c r="O687" s="323"/>
      <c r="P687" s="323"/>
      <c r="Q687" s="323"/>
      <c r="R687" s="323"/>
      <c r="S687" s="323"/>
      <c r="T687" s="323"/>
      <c r="U687" s="323"/>
      <c r="V687" s="323"/>
    </row>
    <row r="688">
      <c r="A688" s="323"/>
      <c r="B688" s="323"/>
      <c r="C688" s="322"/>
      <c r="D688" s="322"/>
      <c r="E688" s="323"/>
      <c r="F688" s="322"/>
      <c r="G688" s="322"/>
      <c r="H688" s="322"/>
      <c r="I688" s="322"/>
      <c r="J688" s="387"/>
      <c r="K688" s="388"/>
      <c r="L688" s="323"/>
      <c r="M688" s="323"/>
      <c r="N688" s="323"/>
      <c r="O688" s="323"/>
      <c r="P688" s="323"/>
      <c r="Q688" s="323"/>
      <c r="R688" s="323"/>
      <c r="S688" s="323"/>
      <c r="T688" s="323"/>
      <c r="U688" s="323"/>
      <c r="V688" s="323"/>
    </row>
    <row r="689">
      <c r="A689" s="323"/>
      <c r="B689" s="323"/>
      <c r="C689" s="322"/>
      <c r="D689" s="322"/>
      <c r="E689" s="323"/>
      <c r="F689" s="322"/>
      <c r="G689" s="322"/>
      <c r="H689" s="322"/>
      <c r="I689" s="322"/>
      <c r="J689" s="387"/>
      <c r="K689" s="388"/>
      <c r="L689" s="323"/>
      <c r="M689" s="323"/>
      <c r="N689" s="323"/>
      <c r="O689" s="323"/>
      <c r="P689" s="323"/>
      <c r="Q689" s="323"/>
      <c r="R689" s="323"/>
      <c r="S689" s="323"/>
      <c r="T689" s="323"/>
      <c r="U689" s="323"/>
      <c r="V689" s="323"/>
    </row>
    <row r="690">
      <c r="A690" s="323"/>
      <c r="B690" s="323"/>
      <c r="C690" s="322"/>
      <c r="D690" s="322"/>
      <c r="E690" s="323"/>
      <c r="F690" s="322"/>
      <c r="G690" s="322"/>
      <c r="H690" s="322"/>
      <c r="I690" s="322"/>
      <c r="J690" s="387"/>
      <c r="K690" s="388"/>
      <c r="L690" s="323"/>
      <c r="M690" s="323"/>
      <c r="N690" s="323"/>
      <c r="O690" s="323"/>
      <c r="P690" s="323"/>
      <c r="Q690" s="323"/>
      <c r="R690" s="323"/>
      <c r="S690" s="323"/>
      <c r="T690" s="323"/>
      <c r="U690" s="323"/>
      <c r="V690" s="323"/>
    </row>
    <row r="691">
      <c r="A691" s="323"/>
      <c r="B691" s="323"/>
      <c r="C691" s="322"/>
      <c r="D691" s="322"/>
      <c r="E691" s="323"/>
      <c r="F691" s="322"/>
      <c r="G691" s="322"/>
      <c r="H691" s="322"/>
      <c r="I691" s="322"/>
      <c r="J691" s="387"/>
      <c r="K691" s="388"/>
      <c r="L691" s="323"/>
      <c r="M691" s="323"/>
      <c r="N691" s="323"/>
      <c r="O691" s="323"/>
      <c r="P691" s="323"/>
      <c r="Q691" s="323"/>
      <c r="R691" s="323"/>
      <c r="S691" s="323"/>
      <c r="T691" s="323"/>
      <c r="U691" s="323"/>
      <c r="V691" s="323"/>
    </row>
    <row r="692">
      <c r="A692" s="323"/>
      <c r="B692" s="323"/>
      <c r="C692" s="322"/>
      <c r="D692" s="322"/>
      <c r="E692" s="323"/>
      <c r="F692" s="322"/>
      <c r="G692" s="322"/>
      <c r="H692" s="322"/>
      <c r="I692" s="322"/>
      <c r="J692" s="387"/>
      <c r="K692" s="388"/>
      <c r="L692" s="323"/>
      <c r="M692" s="323"/>
      <c r="N692" s="323"/>
      <c r="O692" s="323"/>
      <c r="P692" s="323"/>
      <c r="Q692" s="323"/>
      <c r="R692" s="323"/>
      <c r="S692" s="323"/>
      <c r="T692" s="323"/>
      <c r="U692" s="323"/>
      <c r="V692" s="323"/>
    </row>
    <row r="693">
      <c r="A693" s="323"/>
      <c r="B693" s="323"/>
      <c r="C693" s="322"/>
      <c r="D693" s="322"/>
      <c r="E693" s="323"/>
      <c r="F693" s="322"/>
      <c r="G693" s="322"/>
      <c r="H693" s="322"/>
      <c r="I693" s="322"/>
      <c r="J693" s="387"/>
      <c r="K693" s="388"/>
      <c r="L693" s="323"/>
      <c r="M693" s="323"/>
      <c r="N693" s="323"/>
      <c r="O693" s="323"/>
      <c r="P693" s="323"/>
      <c r="Q693" s="323"/>
      <c r="R693" s="323"/>
      <c r="S693" s="323"/>
      <c r="T693" s="323"/>
      <c r="U693" s="323"/>
      <c r="V693" s="323"/>
    </row>
    <row r="694">
      <c r="A694" s="323"/>
      <c r="B694" s="323"/>
      <c r="C694" s="322"/>
      <c r="D694" s="322"/>
      <c r="E694" s="323"/>
      <c r="F694" s="322"/>
      <c r="G694" s="322"/>
      <c r="H694" s="322"/>
      <c r="I694" s="322"/>
      <c r="J694" s="387"/>
      <c r="K694" s="388"/>
      <c r="L694" s="323"/>
      <c r="M694" s="323"/>
      <c r="N694" s="323"/>
      <c r="O694" s="323"/>
      <c r="P694" s="323"/>
      <c r="Q694" s="323"/>
      <c r="R694" s="323"/>
      <c r="S694" s="323"/>
      <c r="T694" s="323"/>
      <c r="U694" s="323"/>
      <c r="V694" s="323"/>
    </row>
    <row r="695">
      <c r="A695" s="323"/>
      <c r="B695" s="323"/>
      <c r="C695" s="322"/>
      <c r="D695" s="322"/>
      <c r="E695" s="323"/>
      <c r="F695" s="322"/>
      <c r="G695" s="322"/>
      <c r="H695" s="322"/>
      <c r="I695" s="322"/>
      <c r="J695" s="387"/>
      <c r="K695" s="388"/>
      <c r="L695" s="323"/>
      <c r="M695" s="323"/>
      <c r="N695" s="323"/>
      <c r="O695" s="323"/>
      <c r="P695" s="323"/>
      <c r="Q695" s="323"/>
      <c r="R695" s="323"/>
      <c r="S695" s="323"/>
      <c r="T695" s="323"/>
      <c r="U695" s="323"/>
      <c r="V695" s="323"/>
    </row>
    <row r="696">
      <c r="A696" s="323"/>
      <c r="B696" s="323"/>
      <c r="C696" s="322"/>
      <c r="D696" s="322"/>
      <c r="E696" s="323"/>
      <c r="F696" s="322"/>
      <c r="G696" s="322"/>
      <c r="H696" s="322"/>
      <c r="I696" s="322"/>
      <c r="J696" s="387"/>
      <c r="K696" s="388"/>
      <c r="L696" s="323"/>
      <c r="M696" s="323"/>
      <c r="N696" s="323"/>
      <c r="O696" s="323"/>
      <c r="P696" s="323"/>
      <c r="Q696" s="323"/>
      <c r="R696" s="323"/>
      <c r="S696" s="323"/>
      <c r="T696" s="323"/>
      <c r="U696" s="323"/>
      <c r="V696" s="323"/>
    </row>
    <row r="697">
      <c r="A697" s="323"/>
      <c r="B697" s="323"/>
      <c r="C697" s="322"/>
      <c r="D697" s="322"/>
      <c r="E697" s="323"/>
      <c r="F697" s="322"/>
      <c r="G697" s="322"/>
      <c r="H697" s="322"/>
      <c r="I697" s="322"/>
      <c r="J697" s="387"/>
      <c r="K697" s="388"/>
      <c r="L697" s="323"/>
      <c r="M697" s="323"/>
      <c r="N697" s="323"/>
      <c r="O697" s="323"/>
      <c r="P697" s="323"/>
      <c r="Q697" s="323"/>
      <c r="R697" s="323"/>
      <c r="S697" s="323"/>
      <c r="T697" s="323"/>
      <c r="U697" s="323"/>
      <c r="V697" s="323"/>
    </row>
    <row r="698">
      <c r="A698" s="323"/>
      <c r="B698" s="323"/>
      <c r="C698" s="322"/>
      <c r="D698" s="322"/>
      <c r="E698" s="323"/>
      <c r="F698" s="322"/>
      <c r="G698" s="322"/>
      <c r="H698" s="322"/>
      <c r="I698" s="322"/>
      <c r="J698" s="387"/>
      <c r="K698" s="388"/>
      <c r="L698" s="323"/>
      <c r="M698" s="323"/>
      <c r="N698" s="323"/>
      <c r="O698" s="323"/>
      <c r="P698" s="323"/>
      <c r="Q698" s="323"/>
      <c r="R698" s="323"/>
      <c r="S698" s="323"/>
      <c r="T698" s="323"/>
      <c r="U698" s="323"/>
      <c r="V698" s="323"/>
    </row>
    <row r="699">
      <c r="A699" s="323"/>
      <c r="B699" s="323"/>
      <c r="C699" s="322"/>
      <c r="D699" s="322"/>
      <c r="E699" s="323"/>
      <c r="F699" s="322"/>
      <c r="G699" s="322"/>
      <c r="H699" s="322"/>
      <c r="I699" s="322"/>
      <c r="J699" s="387"/>
      <c r="K699" s="388"/>
      <c r="L699" s="323"/>
      <c r="M699" s="323"/>
      <c r="N699" s="323"/>
      <c r="O699" s="323"/>
      <c r="P699" s="323"/>
      <c r="Q699" s="323"/>
      <c r="R699" s="323"/>
      <c r="S699" s="323"/>
      <c r="T699" s="323"/>
      <c r="U699" s="323"/>
      <c r="V699" s="323"/>
    </row>
    <row r="700">
      <c r="A700" s="323"/>
      <c r="B700" s="323"/>
      <c r="C700" s="322"/>
      <c r="D700" s="322"/>
      <c r="E700" s="323"/>
      <c r="F700" s="322"/>
      <c r="G700" s="322"/>
      <c r="H700" s="322"/>
      <c r="I700" s="322"/>
      <c r="J700" s="387"/>
      <c r="K700" s="388"/>
      <c r="L700" s="323"/>
      <c r="M700" s="323"/>
      <c r="N700" s="323"/>
      <c r="O700" s="323"/>
      <c r="P700" s="323"/>
      <c r="Q700" s="323"/>
      <c r="R700" s="323"/>
      <c r="S700" s="323"/>
      <c r="T700" s="323"/>
      <c r="U700" s="323"/>
      <c r="V700" s="323"/>
    </row>
    <row r="701">
      <c r="A701" s="323"/>
      <c r="B701" s="323"/>
      <c r="C701" s="322"/>
      <c r="D701" s="322"/>
      <c r="E701" s="323"/>
      <c r="F701" s="322"/>
      <c r="G701" s="322"/>
      <c r="H701" s="322"/>
      <c r="I701" s="322"/>
      <c r="J701" s="387"/>
      <c r="K701" s="388"/>
      <c r="L701" s="323"/>
      <c r="M701" s="323"/>
      <c r="N701" s="323"/>
      <c r="O701" s="323"/>
      <c r="P701" s="323"/>
      <c r="Q701" s="323"/>
      <c r="R701" s="323"/>
      <c r="S701" s="323"/>
      <c r="T701" s="323"/>
      <c r="U701" s="323"/>
      <c r="V701" s="323"/>
    </row>
    <row r="702">
      <c r="A702" s="323"/>
      <c r="B702" s="323"/>
      <c r="C702" s="322"/>
      <c r="D702" s="322"/>
      <c r="E702" s="323"/>
      <c r="F702" s="322"/>
      <c r="G702" s="322"/>
      <c r="H702" s="322"/>
      <c r="I702" s="322"/>
      <c r="J702" s="387"/>
      <c r="K702" s="388"/>
      <c r="L702" s="323"/>
      <c r="M702" s="323"/>
      <c r="N702" s="323"/>
      <c r="O702" s="323"/>
      <c r="P702" s="323"/>
      <c r="Q702" s="323"/>
      <c r="R702" s="323"/>
      <c r="S702" s="323"/>
      <c r="T702" s="323"/>
      <c r="U702" s="323"/>
      <c r="V702" s="323"/>
    </row>
    <row r="703">
      <c r="A703" s="323"/>
      <c r="B703" s="323"/>
      <c r="C703" s="322"/>
      <c r="D703" s="322"/>
      <c r="E703" s="323"/>
      <c r="F703" s="322"/>
      <c r="G703" s="322"/>
      <c r="H703" s="322"/>
      <c r="I703" s="322"/>
      <c r="J703" s="387"/>
      <c r="K703" s="388"/>
      <c r="L703" s="323"/>
      <c r="M703" s="323"/>
      <c r="N703" s="323"/>
      <c r="O703" s="323"/>
      <c r="P703" s="323"/>
      <c r="Q703" s="323"/>
      <c r="R703" s="323"/>
      <c r="S703" s="323"/>
      <c r="T703" s="323"/>
      <c r="U703" s="323"/>
      <c r="V703" s="323"/>
    </row>
    <row r="704">
      <c r="A704" s="323"/>
      <c r="B704" s="323"/>
      <c r="C704" s="322"/>
      <c r="D704" s="322"/>
      <c r="E704" s="323"/>
      <c r="F704" s="322"/>
      <c r="G704" s="322"/>
      <c r="H704" s="322"/>
      <c r="I704" s="322"/>
      <c r="J704" s="387"/>
      <c r="K704" s="388"/>
      <c r="L704" s="323"/>
      <c r="M704" s="323"/>
      <c r="N704" s="323"/>
      <c r="O704" s="323"/>
      <c r="P704" s="323"/>
      <c r="Q704" s="323"/>
      <c r="R704" s="323"/>
      <c r="S704" s="323"/>
      <c r="T704" s="323"/>
      <c r="U704" s="323"/>
      <c r="V704" s="323"/>
    </row>
    <row r="705">
      <c r="A705" s="323"/>
      <c r="B705" s="323"/>
      <c r="C705" s="322"/>
      <c r="D705" s="322"/>
      <c r="E705" s="323"/>
      <c r="F705" s="322"/>
      <c r="G705" s="322"/>
      <c r="H705" s="322"/>
      <c r="I705" s="322"/>
      <c r="J705" s="387"/>
      <c r="K705" s="388"/>
      <c r="L705" s="323"/>
      <c r="M705" s="323"/>
      <c r="N705" s="323"/>
      <c r="O705" s="323"/>
      <c r="P705" s="323"/>
      <c r="Q705" s="323"/>
      <c r="R705" s="323"/>
      <c r="S705" s="323"/>
      <c r="T705" s="323"/>
      <c r="U705" s="323"/>
      <c r="V705" s="323"/>
    </row>
    <row r="706">
      <c r="A706" s="323"/>
      <c r="B706" s="323"/>
      <c r="C706" s="322"/>
      <c r="D706" s="322"/>
      <c r="E706" s="323"/>
      <c r="F706" s="322"/>
      <c r="G706" s="322"/>
      <c r="H706" s="322"/>
      <c r="I706" s="322"/>
      <c r="J706" s="387"/>
      <c r="K706" s="388"/>
      <c r="L706" s="323"/>
      <c r="M706" s="323"/>
      <c r="N706" s="323"/>
      <c r="O706" s="323"/>
      <c r="P706" s="323"/>
      <c r="Q706" s="323"/>
      <c r="R706" s="323"/>
      <c r="S706" s="323"/>
      <c r="T706" s="323"/>
      <c r="U706" s="323"/>
      <c r="V706" s="323"/>
    </row>
    <row r="707">
      <c r="A707" s="323"/>
      <c r="B707" s="323"/>
      <c r="C707" s="322"/>
      <c r="D707" s="322"/>
      <c r="E707" s="323"/>
      <c r="F707" s="322"/>
      <c r="G707" s="322"/>
      <c r="H707" s="322"/>
      <c r="I707" s="322"/>
      <c r="J707" s="387"/>
      <c r="K707" s="388"/>
      <c r="L707" s="323"/>
      <c r="M707" s="323"/>
      <c r="N707" s="323"/>
      <c r="O707" s="323"/>
      <c r="P707" s="323"/>
      <c r="Q707" s="323"/>
      <c r="R707" s="323"/>
      <c r="S707" s="323"/>
      <c r="T707" s="323"/>
      <c r="U707" s="323"/>
      <c r="V707" s="323"/>
    </row>
    <row r="708">
      <c r="A708" s="323"/>
      <c r="B708" s="323"/>
      <c r="C708" s="322"/>
      <c r="D708" s="322"/>
      <c r="E708" s="323"/>
      <c r="F708" s="322"/>
      <c r="G708" s="322"/>
      <c r="H708" s="322"/>
      <c r="I708" s="322"/>
      <c r="J708" s="387"/>
      <c r="K708" s="388"/>
      <c r="L708" s="323"/>
      <c r="M708" s="323"/>
      <c r="N708" s="323"/>
      <c r="O708" s="323"/>
      <c r="P708" s="323"/>
      <c r="Q708" s="323"/>
      <c r="R708" s="323"/>
      <c r="S708" s="323"/>
      <c r="T708" s="323"/>
      <c r="U708" s="323"/>
      <c r="V708" s="323"/>
    </row>
    <row r="709">
      <c r="A709" s="323"/>
      <c r="B709" s="323"/>
      <c r="C709" s="322"/>
      <c r="D709" s="322"/>
      <c r="E709" s="323"/>
      <c r="F709" s="322"/>
      <c r="G709" s="322"/>
      <c r="H709" s="322"/>
      <c r="I709" s="322"/>
      <c r="J709" s="387"/>
      <c r="K709" s="388"/>
      <c r="L709" s="323"/>
      <c r="M709" s="323"/>
      <c r="N709" s="323"/>
      <c r="O709" s="323"/>
      <c r="P709" s="323"/>
      <c r="Q709" s="323"/>
      <c r="R709" s="323"/>
      <c r="S709" s="323"/>
      <c r="T709" s="323"/>
      <c r="U709" s="323"/>
      <c r="V709" s="323"/>
    </row>
    <row r="710">
      <c r="A710" s="323"/>
      <c r="B710" s="323"/>
      <c r="C710" s="322"/>
      <c r="D710" s="322"/>
      <c r="E710" s="323"/>
      <c r="F710" s="322"/>
      <c r="G710" s="322"/>
      <c r="H710" s="322"/>
      <c r="I710" s="322"/>
      <c r="J710" s="387"/>
      <c r="K710" s="388"/>
      <c r="L710" s="323"/>
      <c r="M710" s="323"/>
      <c r="N710" s="323"/>
      <c r="O710" s="323"/>
      <c r="P710" s="323"/>
      <c r="Q710" s="323"/>
      <c r="R710" s="323"/>
      <c r="S710" s="323"/>
      <c r="T710" s="323"/>
      <c r="U710" s="323"/>
      <c r="V710" s="323"/>
    </row>
    <row r="711">
      <c r="A711" s="323"/>
      <c r="B711" s="323"/>
      <c r="C711" s="322"/>
      <c r="D711" s="322"/>
      <c r="E711" s="323"/>
      <c r="F711" s="322"/>
      <c r="G711" s="322"/>
      <c r="H711" s="322"/>
      <c r="I711" s="322"/>
      <c r="J711" s="387"/>
      <c r="K711" s="388"/>
      <c r="L711" s="323"/>
      <c r="M711" s="323"/>
      <c r="N711" s="323"/>
      <c r="O711" s="323"/>
      <c r="P711" s="323"/>
      <c r="Q711" s="323"/>
      <c r="R711" s="323"/>
      <c r="S711" s="323"/>
      <c r="T711" s="323"/>
      <c r="U711" s="323"/>
      <c r="V711" s="323"/>
    </row>
    <row r="712">
      <c r="A712" s="323"/>
      <c r="B712" s="323"/>
      <c r="C712" s="322"/>
      <c r="D712" s="322"/>
      <c r="E712" s="323"/>
      <c r="F712" s="322"/>
      <c r="G712" s="322"/>
      <c r="H712" s="322"/>
      <c r="I712" s="322"/>
      <c r="J712" s="387"/>
      <c r="K712" s="388"/>
      <c r="L712" s="323"/>
      <c r="M712" s="323"/>
      <c r="N712" s="323"/>
      <c r="O712" s="323"/>
      <c r="P712" s="323"/>
      <c r="Q712" s="323"/>
      <c r="R712" s="323"/>
      <c r="S712" s="323"/>
      <c r="T712" s="323"/>
      <c r="U712" s="323"/>
      <c r="V712" s="323"/>
    </row>
    <row r="713">
      <c r="A713" s="323"/>
      <c r="B713" s="323"/>
      <c r="C713" s="322"/>
      <c r="D713" s="322"/>
      <c r="E713" s="323"/>
      <c r="F713" s="322"/>
      <c r="G713" s="322"/>
      <c r="H713" s="322"/>
      <c r="I713" s="322"/>
      <c r="J713" s="387"/>
      <c r="K713" s="388"/>
      <c r="L713" s="323"/>
      <c r="M713" s="323"/>
      <c r="N713" s="323"/>
      <c r="O713" s="323"/>
      <c r="P713" s="323"/>
      <c r="Q713" s="323"/>
      <c r="R713" s="323"/>
      <c r="S713" s="323"/>
      <c r="T713" s="323"/>
      <c r="U713" s="323"/>
      <c r="V713" s="323"/>
    </row>
    <row r="714">
      <c r="A714" s="323"/>
      <c r="B714" s="323"/>
      <c r="C714" s="322"/>
      <c r="D714" s="322"/>
      <c r="E714" s="323"/>
      <c r="F714" s="322"/>
      <c r="G714" s="322"/>
      <c r="H714" s="322"/>
      <c r="I714" s="322"/>
      <c r="J714" s="387"/>
      <c r="K714" s="388"/>
      <c r="L714" s="323"/>
      <c r="M714" s="323"/>
      <c r="N714" s="323"/>
      <c r="O714" s="323"/>
      <c r="P714" s="323"/>
      <c r="Q714" s="323"/>
      <c r="R714" s="323"/>
      <c r="S714" s="323"/>
      <c r="T714" s="323"/>
      <c r="U714" s="323"/>
      <c r="V714" s="323"/>
    </row>
    <row r="715">
      <c r="A715" s="323"/>
      <c r="B715" s="323"/>
      <c r="C715" s="322"/>
      <c r="D715" s="322"/>
      <c r="E715" s="323"/>
      <c r="F715" s="322"/>
      <c r="G715" s="322"/>
      <c r="H715" s="322"/>
      <c r="I715" s="322"/>
      <c r="J715" s="387"/>
      <c r="K715" s="388"/>
      <c r="L715" s="323"/>
      <c r="M715" s="323"/>
      <c r="N715" s="323"/>
      <c r="O715" s="323"/>
      <c r="P715" s="323"/>
      <c r="Q715" s="323"/>
      <c r="R715" s="323"/>
      <c r="S715" s="323"/>
      <c r="T715" s="323"/>
      <c r="U715" s="323"/>
      <c r="V715" s="323"/>
    </row>
    <row r="716">
      <c r="A716" s="323"/>
      <c r="B716" s="323"/>
      <c r="C716" s="322"/>
      <c r="D716" s="322"/>
      <c r="E716" s="323"/>
      <c r="F716" s="322"/>
      <c r="G716" s="322"/>
      <c r="H716" s="322"/>
      <c r="I716" s="322"/>
      <c r="J716" s="387"/>
      <c r="K716" s="388"/>
      <c r="L716" s="323"/>
      <c r="M716" s="323"/>
      <c r="N716" s="323"/>
      <c r="O716" s="323"/>
      <c r="P716" s="323"/>
      <c r="Q716" s="323"/>
      <c r="R716" s="323"/>
      <c r="S716" s="323"/>
      <c r="T716" s="323"/>
      <c r="U716" s="323"/>
      <c r="V716" s="323"/>
    </row>
    <row r="717">
      <c r="A717" s="323"/>
      <c r="B717" s="323"/>
      <c r="C717" s="322"/>
      <c r="D717" s="322"/>
      <c r="E717" s="323"/>
      <c r="F717" s="322"/>
      <c r="G717" s="322"/>
      <c r="H717" s="322"/>
      <c r="I717" s="322"/>
      <c r="J717" s="387"/>
      <c r="K717" s="388"/>
      <c r="L717" s="323"/>
      <c r="M717" s="323"/>
      <c r="N717" s="323"/>
      <c r="O717" s="323"/>
      <c r="P717" s="323"/>
      <c r="Q717" s="323"/>
      <c r="R717" s="323"/>
      <c r="S717" s="323"/>
      <c r="T717" s="323"/>
      <c r="U717" s="323"/>
      <c r="V717" s="323"/>
    </row>
    <row r="718">
      <c r="A718" s="323"/>
      <c r="B718" s="323"/>
      <c r="C718" s="322"/>
      <c r="D718" s="322"/>
      <c r="E718" s="323"/>
      <c r="F718" s="322"/>
      <c r="G718" s="322"/>
      <c r="H718" s="322"/>
      <c r="I718" s="322"/>
      <c r="J718" s="387"/>
      <c r="K718" s="388"/>
      <c r="L718" s="323"/>
      <c r="M718" s="323"/>
      <c r="N718" s="323"/>
      <c r="O718" s="323"/>
      <c r="P718" s="323"/>
      <c r="Q718" s="323"/>
      <c r="R718" s="323"/>
      <c r="S718" s="323"/>
      <c r="T718" s="323"/>
      <c r="U718" s="323"/>
      <c r="V718" s="323"/>
    </row>
    <row r="719">
      <c r="A719" s="323"/>
      <c r="B719" s="323"/>
      <c r="C719" s="322"/>
      <c r="D719" s="322"/>
      <c r="E719" s="323"/>
      <c r="F719" s="322"/>
      <c r="G719" s="322"/>
      <c r="H719" s="322"/>
      <c r="I719" s="322"/>
      <c r="J719" s="387"/>
      <c r="K719" s="388"/>
      <c r="L719" s="323"/>
      <c r="M719" s="323"/>
      <c r="N719" s="323"/>
      <c r="O719" s="323"/>
      <c r="P719" s="323"/>
      <c r="Q719" s="323"/>
      <c r="R719" s="323"/>
      <c r="S719" s="323"/>
      <c r="T719" s="323"/>
      <c r="U719" s="323"/>
      <c r="V719" s="323"/>
    </row>
    <row r="720">
      <c r="A720" s="323"/>
      <c r="B720" s="323"/>
      <c r="C720" s="322"/>
      <c r="D720" s="322"/>
      <c r="E720" s="323"/>
      <c r="F720" s="322"/>
      <c r="G720" s="322"/>
      <c r="H720" s="322"/>
      <c r="I720" s="322"/>
      <c r="J720" s="387"/>
      <c r="K720" s="388"/>
      <c r="L720" s="323"/>
      <c r="M720" s="323"/>
      <c r="N720" s="323"/>
      <c r="O720" s="323"/>
      <c r="P720" s="323"/>
      <c r="Q720" s="323"/>
      <c r="R720" s="323"/>
      <c r="S720" s="323"/>
      <c r="T720" s="323"/>
      <c r="U720" s="323"/>
      <c r="V720" s="323"/>
    </row>
    <row r="721">
      <c r="A721" s="323"/>
      <c r="B721" s="323"/>
      <c r="C721" s="322"/>
      <c r="D721" s="322"/>
      <c r="E721" s="323"/>
      <c r="F721" s="322"/>
      <c r="G721" s="322"/>
      <c r="H721" s="322"/>
      <c r="I721" s="322"/>
      <c r="J721" s="387"/>
      <c r="K721" s="388"/>
      <c r="L721" s="323"/>
      <c r="M721" s="323"/>
      <c r="N721" s="323"/>
      <c r="O721" s="323"/>
      <c r="P721" s="323"/>
      <c r="Q721" s="323"/>
      <c r="R721" s="323"/>
      <c r="S721" s="323"/>
      <c r="T721" s="323"/>
      <c r="U721" s="323"/>
      <c r="V721" s="323"/>
    </row>
    <row r="722">
      <c r="A722" s="323"/>
      <c r="B722" s="323"/>
      <c r="C722" s="322"/>
      <c r="D722" s="322"/>
      <c r="E722" s="323"/>
      <c r="F722" s="322"/>
      <c r="G722" s="322"/>
      <c r="H722" s="322"/>
      <c r="I722" s="322"/>
      <c r="J722" s="387"/>
      <c r="K722" s="388"/>
      <c r="L722" s="323"/>
      <c r="M722" s="323"/>
      <c r="N722" s="323"/>
      <c r="O722" s="323"/>
      <c r="P722" s="323"/>
      <c r="Q722" s="323"/>
      <c r="R722" s="323"/>
      <c r="S722" s="323"/>
      <c r="T722" s="323"/>
      <c r="U722" s="323"/>
      <c r="V722" s="323"/>
    </row>
    <row r="723">
      <c r="A723" s="323"/>
      <c r="B723" s="323"/>
      <c r="C723" s="322"/>
      <c r="D723" s="322"/>
      <c r="E723" s="323"/>
      <c r="F723" s="322"/>
      <c r="G723" s="322"/>
      <c r="H723" s="322"/>
      <c r="I723" s="322"/>
      <c r="J723" s="387"/>
      <c r="K723" s="388"/>
      <c r="L723" s="323"/>
      <c r="M723" s="323"/>
      <c r="N723" s="323"/>
      <c r="O723" s="323"/>
      <c r="P723" s="323"/>
      <c r="Q723" s="323"/>
      <c r="R723" s="323"/>
      <c r="S723" s="323"/>
      <c r="T723" s="323"/>
      <c r="U723" s="323"/>
      <c r="V723" s="323"/>
    </row>
    <row r="724">
      <c r="A724" s="323"/>
      <c r="B724" s="323"/>
      <c r="C724" s="322"/>
      <c r="D724" s="322"/>
      <c r="E724" s="323"/>
      <c r="F724" s="322"/>
      <c r="G724" s="322"/>
      <c r="H724" s="322"/>
      <c r="I724" s="322"/>
      <c r="J724" s="387"/>
      <c r="K724" s="388"/>
      <c r="L724" s="323"/>
      <c r="M724" s="323"/>
      <c r="N724" s="323"/>
      <c r="O724" s="323"/>
      <c r="P724" s="323"/>
      <c r="Q724" s="323"/>
      <c r="R724" s="323"/>
      <c r="S724" s="323"/>
      <c r="T724" s="323"/>
      <c r="U724" s="323"/>
      <c r="V724" s="323"/>
    </row>
    <row r="725">
      <c r="A725" s="323"/>
      <c r="B725" s="323"/>
      <c r="C725" s="322"/>
      <c r="D725" s="322"/>
      <c r="E725" s="323"/>
      <c r="F725" s="322"/>
      <c r="G725" s="322"/>
      <c r="H725" s="322"/>
      <c r="I725" s="322"/>
      <c r="J725" s="387"/>
      <c r="K725" s="388"/>
      <c r="L725" s="323"/>
      <c r="M725" s="323"/>
      <c r="N725" s="323"/>
      <c r="O725" s="323"/>
      <c r="P725" s="323"/>
      <c r="Q725" s="323"/>
      <c r="R725" s="323"/>
      <c r="S725" s="323"/>
      <c r="T725" s="323"/>
      <c r="U725" s="323"/>
      <c r="V725" s="323"/>
    </row>
    <row r="726">
      <c r="A726" s="323"/>
      <c r="B726" s="323"/>
      <c r="C726" s="322"/>
      <c r="D726" s="322"/>
      <c r="E726" s="323"/>
      <c r="F726" s="322"/>
      <c r="G726" s="322"/>
      <c r="H726" s="322"/>
      <c r="I726" s="322"/>
      <c r="J726" s="387"/>
      <c r="K726" s="388"/>
      <c r="L726" s="323"/>
      <c r="M726" s="323"/>
      <c r="N726" s="323"/>
      <c r="O726" s="323"/>
      <c r="P726" s="323"/>
      <c r="Q726" s="323"/>
      <c r="R726" s="323"/>
      <c r="S726" s="323"/>
      <c r="T726" s="323"/>
      <c r="U726" s="323"/>
      <c r="V726" s="323"/>
    </row>
    <row r="727">
      <c r="A727" s="323"/>
      <c r="B727" s="323"/>
      <c r="C727" s="322"/>
      <c r="D727" s="322"/>
      <c r="E727" s="323"/>
      <c r="F727" s="322"/>
      <c r="G727" s="322"/>
      <c r="H727" s="322"/>
      <c r="I727" s="322"/>
      <c r="J727" s="387"/>
      <c r="K727" s="388"/>
      <c r="L727" s="323"/>
      <c r="M727" s="323"/>
      <c r="N727" s="323"/>
      <c r="O727" s="323"/>
      <c r="P727" s="323"/>
      <c r="Q727" s="323"/>
      <c r="R727" s="323"/>
      <c r="S727" s="323"/>
      <c r="T727" s="323"/>
      <c r="U727" s="323"/>
      <c r="V727" s="323"/>
    </row>
    <row r="728">
      <c r="A728" s="323"/>
      <c r="B728" s="323"/>
      <c r="C728" s="322"/>
      <c r="D728" s="322"/>
      <c r="E728" s="323"/>
      <c r="F728" s="322"/>
      <c r="G728" s="322"/>
      <c r="H728" s="322"/>
      <c r="I728" s="322"/>
      <c r="J728" s="387"/>
      <c r="K728" s="388"/>
      <c r="L728" s="323"/>
      <c r="M728" s="323"/>
      <c r="N728" s="323"/>
      <c r="O728" s="323"/>
      <c r="P728" s="323"/>
      <c r="Q728" s="323"/>
      <c r="R728" s="323"/>
      <c r="S728" s="323"/>
      <c r="T728" s="323"/>
      <c r="U728" s="323"/>
      <c r="V728" s="323"/>
    </row>
    <row r="729">
      <c r="A729" s="323"/>
      <c r="B729" s="323"/>
      <c r="C729" s="322"/>
      <c r="D729" s="322"/>
      <c r="E729" s="323"/>
      <c r="F729" s="322"/>
      <c r="G729" s="322"/>
      <c r="H729" s="322"/>
      <c r="I729" s="322"/>
      <c r="J729" s="387"/>
      <c r="K729" s="388"/>
      <c r="L729" s="323"/>
      <c r="M729" s="323"/>
      <c r="N729" s="323"/>
      <c r="O729" s="323"/>
      <c r="P729" s="323"/>
      <c r="Q729" s="323"/>
      <c r="R729" s="323"/>
      <c r="S729" s="323"/>
      <c r="T729" s="323"/>
      <c r="U729" s="323"/>
      <c r="V729" s="323"/>
    </row>
    <row r="730">
      <c r="A730" s="323"/>
      <c r="B730" s="323"/>
      <c r="C730" s="322"/>
      <c r="D730" s="322"/>
      <c r="E730" s="323"/>
      <c r="F730" s="322"/>
      <c r="G730" s="322"/>
      <c r="H730" s="322"/>
      <c r="I730" s="322"/>
      <c r="J730" s="387"/>
      <c r="K730" s="388"/>
      <c r="L730" s="323"/>
      <c r="M730" s="323"/>
      <c r="N730" s="323"/>
      <c r="O730" s="323"/>
      <c r="P730" s="323"/>
      <c r="Q730" s="323"/>
      <c r="R730" s="323"/>
      <c r="S730" s="323"/>
      <c r="T730" s="323"/>
      <c r="U730" s="323"/>
      <c r="V730" s="323"/>
    </row>
    <row r="731">
      <c r="A731" s="323"/>
      <c r="B731" s="323"/>
      <c r="C731" s="322"/>
      <c r="D731" s="322"/>
      <c r="E731" s="323"/>
      <c r="F731" s="322"/>
      <c r="G731" s="322"/>
      <c r="H731" s="322"/>
      <c r="I731" s="322"/>
      <c r="J731" s="387"/>
      <c r="K731" s="388"/>
      <c r="L731" s="323"/>
      <c r="M731" s="323"/>
      <c r="N731" s="323"/>
      <c r="O731" s="323"/>
      <c r="P731" s="323"/>
      <c r="Q731" s="323"/>
      <c r="R731" s="323"/>
      <c r="S731" s="323"/>
      <c r="T731" s="323"/>
      <c r="U731" s="323"/>
      <c r="V731" s="323"/>
    </row>
    <row r="732">
      <c r="A732" s="323"/>
      <c r="B732" s="323"/>
      <c r="C732" s="322"/>
      <c r="D732" s="322"/>
      <c r="E732" s="323"/>
      <c r="F732" s="322"/>
      <c r="G732" s="322"/>
      <c r="H732" s="322"/>
      <c r="I732" s="322"/>
      <c r="J732" s="387"/>
      <c r="K732" s="388"/>
      <c r="L732" s="323"/>
      <c r="M732" s="323"/>
      <c r="N732" s="323"/>
      <c r="O732" s="323"/>
      <c r="P732" s="323"/>
      <c r="Q732" s="323"/>
      <c r="R732" s="323"/>
      <c r="S732" s="323"/>
      <c r="T732" s="323"/>
      <c r="U732" s="323"/>
      <c r="V732" s="323"/>
    </row>
    <row r="733">
      <c r="A733" s="323"/>
      <c r="B733" s="323"/>
      <c r="C733" s="322"/>
      <c r="D733" s="322"/>
      <c r="E733" s="323"/>
      <c r="F733" s="322"/>
      <c r="G733" s="322"/>
      <c r="H733" s="322"/>
      <c r="I733" s="322"/>
      <c r="J733" s="387"/>
      <c r="K733" s="388"/>
      <c r="L733" s="323"/>
      <c r="M733" s="323"/>
      <c r="N733" s="323"/>
      <c r="O733" s="323"/>
      <c r="P733" s="323"/>
      <c r="Q733" s="323"/>
      <c r="R733" s="323"/>
      <c r="S733" s="323"/>
      <c r="T733" s="323"/>
      <c r="U733" s="323"/>
      <c r="V733" s="323"/>
    </row>
    <row r="734">
      <c r="A734" s="323"/>
      <c r="B734" s="323"/>
      <c r="C734" s="322"/>
      <c r="D734" s="322"/>
      <c r="E734" s="323"/>
      <c r="F734" s="322"/>
      <c r="G734" s="322"/>
      <c r="H734" s="322"/>
      <c r="I734" s="322"/>
      <c r="J734" s="387"/>
      <c r="K734" s="388"/>
      <c r="L734" s="323"/>
      <c r="M734" s="323"/>
      <c r="N734" s="323"/>
      <c r="O734" s="323"/>
      <c r="P734" s="323"/>
      <c r="Q734" s="323"/>
      <c r="R734" s="323"/>
      <c r="S734" s="323"/>
      <c r="T734" s="323"/>
      <c r="U734" s="323"/>
      <c r="V734" s="323"/>
    </row>
    <row r="735">
      <c r="A735" s="323"/>
      <c r="B735" s="323"/>
      <c r="C735" s="322"/>
      <c r="D735" s="322"/>
      <c r="E735" s="323"/>
      <c r="F735" s="322"/>
      <c r="G735" s="322"/>
      <c r="H735" s="322"/>
      <c r="I735" s="322"/>
      <c r="J735" s="387"/>
      <c r="K735" s="388"/>
      <c r="L735" s="323"/>
      <c r="M735" s="323"/>
      <c r="N735" s="323"/>
      <c r="O735" s="323"/>
      <c r="P735" s="323"/>
      <c r="Q735" s="323"/>
      <c r="R735" s="323"/>
      <c r="S735" s="323"/>
      <c r="T735" s="323"/>
      <c r="U735" s="323"/>
      <c r="V735" s="323"/>
    </row>
    <row r="736">
      <c r="A736" s="323"/>
      <c r="B736" s="323"/>
      <c r="C736" s="322"/>
      <c r="D736" s="322"/>
      <c r="E736" s="323"/>
      <c r="F736" s="322"/>
      <c r="G736" s="322"/>
      <c r="H736" s="322"/>
      <c r="I736" s="322"/>
      <c r="J736" s="387"/>
      <c r="K736" s="388"/>
      <c r="L736" s="323"/>
      <c r="M736" s="323"/>
      <c r="N736" s="323"/>
      <c r="O736" s="323"/>
      <c r="P736" s="323"/>
      <c r="Q736" s="323"/>
      <c r="R736" s="323"/>
      <c r="S736" s="323"/>
      <c r="T736" s="323"/>
      <c r="U736" s="323"/>
      <c r="V736" s="323"/>
    </row>
    <row r="737">
      <c r="A737" s="323"/>
      <c r="B737" s="323"/>
      <c r="C737" s="322"/>
      <c r="D737" s="322"/>
      <c r="E737" s="323"/>
      <c r="F737" s="322"/>
      <c r="G737" s="322"/>
      <c r="H737" s="322"/>
      <c r="I737" s="322"/>
      <c r="J737" s="387"/>
      <c r="K737" s="388"/>
      <c r="L737" s="323"/>
      <c r="M737" s="323"/>
      <c r="N737" s="323"/>
      <c r="O737" s="323"/>
      <c r="P737" s="323"/>
      <c r="Q737" s="323"/>
      <c r="R737" s="323"/>
      <c r="S737" s="323"/>
      <c r="T737" s="323"/>
      <c r="U737" s="323"/>
      <c r="V737" s="323"/>
    </row>
    <row r="738">
      <c r="A738" s="323"/>
      <c r="B738" s="323"/>
      <c r="C738" s="322"/>
      <c r="D738" s="322"/>
      <c r="E738" s="323"/>
      <c r="F738" s="322"/>
      <c r="G738" s="322"/>
      <c r="H738" s="322"/>
      <c r="I738" s="322"/>
      <c r="J738" s="387"/>
      <c r="K738" s="388"/>
      <c r="L738" s="323"/>
      <c r="M738" s="323"/>
      <c r="N738" s="323"/>
      <c r="O738" s="323"/>
      <c r="P738" s="323"/>
      <c r="Q738" s="323"/>
      <c r="R738" s="323"/>
      <c r="S738" s="323"/>
      <c r="T738" s="323"/>
      <c r="U738" s="323"/>
      <c r="V738" s="323"/>
    </row>
    <row r="739">
      <c r="A739" s="323"/>
      <c r="B739" s="323"/>
      <c r="C739" s="322"/>
      <c r="D739" s="322"/>
      <c r="E739" s="323"/>
      <c r="F739" s="322"/>
      <c r="G739" s="322"/>
      <c r="H739" s="322"/>
      <c r="I739" s="322"/>
      <c r="J739" s="387"/>
      <c r="K739" s="388"/>
      <c r="L739" s="323"/>
      <c r="M739" s="323"/>
      <c r="N739" s="323"/>
      <c r="O739" s="323"/>
      <c r="P739" s="323"/>
      <c r="Q739" s="323"/>
      <c r="R739" s="323"/>
      <c r="S739" s="323"/>
      <c r="T739" s="323"/>
      <c r="U739" s="323"/>
      <c r="V739" s="323"/>
    </row>
    <row r="740">
      <c r="A740" s="323"/>
      <c r="B740" s="323"/>
      <c r="C740" s="322"/>
      <c r="D740" s="322"/>
      <c r="E740" s="323"/>
      <c r="F740" s="322"/>
      <c r="G740" s="322"/>
      <c r="H740" s="322"/>
      <c r="I740" s="322"/>
      <c r="J740" s="387"/>
      <c r="K740" s="388"/>
      <c r="L740" s="323"/>
      <c r="M740" s="323"/>
      <c r="N740" s="323"/>
      <c r="O740" s="323"/>
      <c r="P740" s="323"/>
      <c r="Q740" s="323"/>
      <c r="R740" s="323"/>
      <c r="S740" s="323"/>
      <c r="T740" s="323"/>
      <c r="U740" s="323"/>
      <c r="V740" s="323"/>
    </row>
    <row r="741">
      <c r="A741" s="323"/>
      <c r="B741" s="323"/>
      <c r="C741" s="322"/>
      <c r="D741" s="322"/>
      <c r="E741" s="323"/>
      <c r="F741" s="322"/>
      <c r="G741" s="322"/>
      <c r="H741" s="322"/>
      <c r="I741" s="322"/>
      <c r="J741" s="387"/>
      <c r="K741" s="388"/>
      <c r="L741" s="323"/>
      <c r="M741" s="323"/>
      <c r="N741" s="323"/>
      <c r="O741" s="323"/>
      <c r="P741" s="323"/>
      <c r="Q741" s="323"/>
      <c r="R741" s="323"/>
      <c r="S741" s="323"/>
      <c r="T741" s="323"/>
      <c r="U741" s="323"/>
      <c r="V741" s="323"/>
    </row>
    <row r="742">
      <c r="A742" s="323"/>
      <c r="B742" s="323"/>
      <c r="C742" s="322"/>
      <c r="D742" s="322"/>
      <c r="E742" s="323"/>
      <c r="F742" s="322"/>
      <c r="G742" s="322"/>
      <c r="H742" s="322"/>
      <c r="I742" s="322"/>
      <c r="J742" s="387"/>
      <c r="K742" s="388"/>
      <c r="L742" s="323"/>
      <c r="M742" s="323"/>
      <c r="N742" s="323"/>
      <c r="O742" s="323"/>
      <c r="P742" s="323"/>
      <c r="Q742" s="323"/>
      <c r="R742" s="323"/>
      <c r="S742" s="323"/>
      <c r="T742" s="323"/>
      <c r="U742" s="323"/>
      <c r="V742" s="323"/>
    </row>
    <row r="743">
      <c r="A743" s="323"/>
      <c r="B743" s="323"/>
      <c r="C743" s="322"/>
      <c r="D743" s="322"/>
      <c r="E743" s="323"/>
      <c r="F743" s="322"/>
      <c r="G743" s="322"/>
      <c r="H743" s="322"/>
      <c r="I743" s="322"/>
      <c r="J743" s="387"/>
      <c r="K743" s="388"/>
      <c r="L743" s="323"/>
      <c r="M743" s="323"/>
      <c r="N743" s="323"/>
      <c r="O743" s="323"/>
      <c r="P743" s="323"/>
      <c r="Q743" s="323"/>
      <c r="R743" s="323"/>
      <c r="S743" s="323"/>
      <c r="T743" s="323"/>
      <c r="U743" s="323"/>
      <c r="V743" s="323"/>
    </row>
    <row r="744">
      <c r="A744" s="323"/>
      <c r="B744" s="323"/>
      <c r="C744" s="322"/>
      <c r="D744" s="322"/>
      <c r="E744" s="323"/>
      <c r="F744" s="322"/>
      <c r="G744" s="322"/>
      <c r="H744" s="322"/>
      <c r="I744" s="322"/>
      <c r="J744" s="387"/>
      <c r="K744" s="388"/>
      <c r="L744" s="323"/>
      <c r="M744" s="323"/>
      <c r="N744" s="323"/>
      <c r="O744" s="323"/>
      <c r="P744" s="323"/>
      <c r="Q744" s="323"/>
      <c r="R744" s="323"/>
      <c r="S744" s="323"/>
      <c r="T744" s="323"/>
      <c r="U744" s="323"/>
      <c r="V744" s="323"/>
    </row>
    <row r="745">
      <c r="A745" s="323"/>
      <c r="B745" s="323"/>
      <c r="C745" s="322"/>
      <c r="D745" s="322"/>
      <c r="E745" s="323"/>
      <c r="F745" s="322"/>
      <c r="G745" s="322"/>
      <c r="H745" s="322"/>
      <c r="I745" s="322"/>
      <c r="J745" s="387"/>
      <c r="K745" s="388"/>
      <c r="L745" s="323"/>
      <c r="M745" s="323"/>
      <c r="N745" s="323"/>
      <c r="O745" s="323"/>
      <c r="P745" s="323"/>
      <c r="Q745" s="323"/>
      <c r="R745" s="323"/>
      <c r="S745" s="323"/>
      <c r="T745" s="323"/>
      <c r="U745" s="323"/>
      <c r="V745" s="323"/>
    </row>
    <row r="746">
      <c r="A746" s="323"/>
      <c r="B746" s="323"/>
      <c r="C746" s="322"/>
      <c r="D746" s="322"/>
      <c r="E746" s="323"/>
      <c r="F746" s="322"/>
      <c r="G746" s="322"/>
      <c r="H746" s="322"/>
      <c r="I746" s="322"/>
      <c r="J746" s="387"/>
      <c r="K746" s="388"/>
      <c r="L746" s="323"/>
      <c r="M746" s="323"/>
      <c r="N746" s="323"/>
      <c r="O746" s="323"/>
      <c r="P746" s="323"/>
      <c r="Q746" s="323"/>
      <c r="R746" s="323"/>
      <c r="S746" s="323"/>
      <c r="T746" s="323"/>
      <c r="U746" s="323"/>
      <c r="V746" s="323"/>
    </row>
    <row r="747">
      <c r="A747" s="323"/>
      <c r="B747" s="323"/>
      <c r="C747" s="322"/>
      <c r="D747" s="322"/>
      <c r="E747" s="323"/>
      <c r="F747" s="322"/>
      <c r="G747" s="322"/>
      <c r="H747" s="322"/>
      <c r="I747" s="322"/>
      <c r="J747" s="387"/>
      <c r="K747" s="388"/>
      <c r="L747" s="323"/>
      <c r="M747" s="323"/>
      <c r="N747" s="323"/>
      <c r="O747" s="323"/>
      <c r="P747" s="323"/>
      <c r="Q747" s="323"/>
      <c r="R747" s="323"/>
      <c r="S747" s="323"/>
      <c r="T747" s="323"/>
      <c r="U747" s="323"/>
      <c r="V747" s="323"/>
    </row>
    <row r="748">
      <c r="A748" s="323"/>
      <c r="B748" s="323"/>
      <c r="C748" s="322"/>
      <c r="D748" s="322"/>
      <c r="E748" s="323"/>
      <c r="F748" s="322"/>
      <c r="G748" s="322"/>
      <c r="H748" s="322"/>
      <c r="I748" s="322"/>
      <c r="J748" s="387"/>
      <c r="K748" s="388"/>
      <c r="L748" s="323"/>
      <c r="M748" s="323"/>
      <c r="N748" s="323"/>
      <c r="O748" s="323"/>
      <c r="P748" s="323"/>
      <c r="Q748" s="323"/>
      <c r="R748" s="323"/>
      <c r="S748" s="323"/>
      <c r="T748" s="323"/>
      <c r="U748" s="323"/>
      <c r="V748" s="323"/>
    </row>
    <row r="749">
      <c r="A749" s="323"/>
      <c r="B749" s="323"/>
      <c r="C749" s="322"/>
      <c r="D749" s="322"/>
      <c r="E749" s="323"/>
      <c r="F749" s="322"/>
      <c r="G749" s="322"/>
      <c r="H749" s="322"/>
      <c r="I749" s="322"/>
      <c r="J749" s="387"/>
      <c r="K749" s="388"/>
      <c r="L749" s="323"/>
      <c r="M749" s="323"/>
      <c r="N749" s="323"/>
      <c r="O749" s="323"/>
      <c r="P749" s="323"/>
      <c r="Q749" s="323"/>
      <c r="R749" s="323"/>
      <c r="S749" s="323"/>
      <c r="T749" s="323"/>
      <c r="U749" s="323"/>
      <c r="V749" s="323"/>
    </row>
    <row r="750">
      <c r="A750" s="323"/>
      <c r="B750" s="323"/>
      <c r="C750" s="322"/>
      <c r="D750" s="322"/>
      <c r="E750" s="323"/>
      <c r="F750" s="322"/>
      <c r="G750" s="322"/>
      <c r="H750" s="322"/>
      <c r="I750" s="322"/>
      <c r="J750" s="387"/>
      <c r="K750" s="388"/>
      <c r="L750" s="323"/>
      <c r="M750" s="323"/>
      <c r="N750" s="323"/>
      <c r="O750" s="323"/>
      <c r="P750" s="323"/>
      <c r="Q750" s="323"/>
      <c r="R750" s="323"/>
      <c r="S750" s="323"/>
      <c r="T750" s="323"/>
      <c r="U750" s="323"/>
      <c r="V750" s="323"/>
    </row>
    <row r="751">
      <c r="A751" s="323"/>
      <c r="B751" s="323"/>
      <c r="C751" s="322"/>
      <c r="D751" s="322"/>
      <c r="E751" s="323"/>
      <c r="F751" s="322"/>
      <c r="G751" s="322"/>
      <c r="H751" s="322"/>
      <c r="I751" s="322"/>
      <c r="J751" s="387"/>
      <c r="K751" s="388"/>
      <c r="L751" s="323"/>
      <c r="M751" s="323"/>
      <c r="N751" s="323"/>
      <c r="O751" s="323"/>
      <c r="P751" s="323"/>
      <c r="Q751" s="323"/>
      <c r="R751" s="323"/>
      <c r="S751" s="323"/>
      <c r="T751" s="323"/>
      <c r="U751" s="323"/>
      <c r="V751" s="323"/>
    </row>
    <row r="752">
      <c r="A752" s="323"/>
      <c r="B752" s="323"/>
      <c r="C752" s="322"/>
      <c r="D752" s="322"/>
      <c r="E752" s="323"/>
      <c r="F752" s="322"/>
      <c r="G752" s="322"/>
      <c r="H752" s="322"/>
      <c r="I752" s="322"/>
      <c r="J752" s="387"/>
      <c r="K752" s="388"/>
      <c r="L752" s="323"/>
      <c r="M752" s="323"/>
      <c r="N752" s="323"/>
      <c r="O752" s="323"/>
      <c r="P752" s="323"/>
      <c r="Q752" s="323"/>
      <c r="R752" s="323"/>
      <c r="S752" s="323"/>
      <c r="T752" s="323"/>
      <c r="U752" s="323"/>
      <c r="V752" s="323"/>
    </row>
    <row r="753">
      <c r="A753" s="323"/>
      <c r="B753" s="323"/>
      <c r="C753" s="322"/>
      <c r="D753" s="322"/>
      <c r="E753" s="323"/>
      <c r="F753" s="322"/>
      <c r="G753" s="322"/>
      <c r="H753" s="322"/>
      <c r="I753" s="322"/>
      <c r="J753" s="387"/>
      <c r="K753" s="388"/>
      <c r="L753" s="323"/>
      <c r="M753" s="323"/>
      <c r="N753" s="323"/>
      <c r="O753" s="323"/>
      <c r="P753" s="323"/>
      <c r="Q753" s="323"/>
      <c r="R753" s="323"/>
      <c r="S753" s="323"/>
      <c r="T753" s="323"/>
      <c r="U753" s="323"/>
      <c r="V753" s="323"/>
    </row>
    <row r="754">
      <c r="A754" s="323"/>
      <c r="B754" s="323"/>
      <c r="C754" s="322"/>
      <c r="D754" s="322"/>
      <c r="E754" s="323"/>
      <c r="F754" s="322"/>
      <c r="G754" s="322"/>
      <c r="H754" s="322"/>
      <c r="I754" s="322"/>
      <c r="J754" s="387"/>
      <c r="K754" s="388"/>
      <c r="L754" s="323"/>
      <c r="M754" s="323"/>
      <c r="N754" s="323"/>
      <c r="O754" s="323"/>
      <c r="P754" s="323"/>
      <c r="Q754" s="323"/>
      <c r="R754" s="323"/>
      <c r="S754" s="323"/>
      <c r="T754" s="323"/>
      <c r="U754" s="323"/>
      <c r="V754" s="323"/>
    </row>
    <row r="755">
      <c r="A755" s="323"/>
      <c r="B755" s="323"/>
      <c r="C755" s="322"/>
      <c r="D755" s="322"/>
      <c r="E755" s="323"/>
      <c r="F755" s="322"/>
      <c r="G755" s="322"/>
      <c r="H755" s="322"/>
      <c r="I755" s="322"/>
      <c r="J755" s="387"/>
      <c r="K755" s="388"/>
      <c r="L755" s="323"/>
      <c r="M755" s="323"/>
      <c r="N755" s="323"/>
      <c r="O755" s="323"/>
      <c r="P755" s="323"/>
      <c r="Q755" s="323"/>
      <c r="R755" s="323"/>
      <c r="S755" s="323"/>
      <c r="T755" s="323"/>
      <c r="U755" s="323"/>
      <c r="V755" s="323"/>
    </row>
    <row r="756">
      <c r="A756" s="323"/>
      <c r="B756" s="323"/>
      <c r="C756" s="322"/>
      <c r="D756" s="322"/>
      <c r="E756" s="323"/>
      <c r="F756" s="322"/>
      <c r="G756" s="322"/>
      <c r="H756" s="322"/>
      <c r="I756" s="322"/>
      <c r="J756" s="387"/>
      <c r="K756" s="388"/>
      <c r="L756" s="323"/>
      <c r="M756" s="323"/>
      <c r="N756" s="323"/>
      <c r="O756" s="323"/>
      <c r="P756" s="323"/>
      <c r="Q756" s="323"/>
      <c r="R756" s="323"/>
      <c r="S756" s="323"/>
      <c r="T756" s="323"/>
      <c r="U756" s="323"/>
      <c r="V756" s="323"/>
    </row>
    <row r="757">
      <c r="A757" s="323"/>
      <c r="B757" s="323"/>
      <c r="C757" s="322"/>
      <c r="D757" s="322"/>
      <c r="E757" s="323"/>
      <c r="F757" s="322"/>
      <c r="G757" s="322"/>
      <c r="H757" s="322"/>
      <c r="I757" s="322"/>
      <c r="J757" s="387"/>
      <c r="K757" s="388"/>
      <c r="L757" s="323"/>
      <c r="M757" s="323"/>
      <c r="N757" s="323"/>
      <c r="O757" s="323"/>
      <c r="P757" s="323"/>
      <c r="Q757" s="323"/>
      <c r="R757" s="323"/>
      <c r="S757" s="323"/>
      <c r="T757" s="323"/>
      <c r="U757" s="323"/>
      <c r="V757" s="323"/>
    </row>
    <row r="758">
      <c r="A758" s="323"/>
      <c r="B758" s="323"/>
      <c r="C758" s="322"/>
      <c r="D758" s="322"/>
      <c r="E758" s="323"/>
      <c r="F758" s="322"/>
      <c r="G758" s="322"/>
      <c r="H758" s="322"/>
      <c r="I758" s="322"/>
      <c r="J758" s="387"/>
      <c r="K758" s="388"/>
      <c r="L758" s="323"/>
      <c r="M758" s="323"/>
      <c r="N758" s="323"/>
      <c r="O758" s="323"/>
      <c r="P758" s="323"/>
      <c r="Q758" s="323"/>
      <c r="R758" s="323"/>
      <c r="S758" s="323"/>
      <c r="T758" s="323"/>
      <c r="U758" s="323"/>
      <c r="V758" s="323"/>
    </row>
    <row r="759">
      <c r="A759" s="323"/>
      <c r="B759" s="323"/>
      <c r="C759" s="322"/>
      <c r="D759" s="322"/>
      <c r="E759" s="323"/>
      <c r="F759" s="322"/>
      <c r="G759" s="322"/>
      <c r="H759" s="322"/>
      <c r="I759" s="322"/>
      <c r="J759" s="387"/>
      <c r="K759" s="388"/>
      <c r="L759" s="323"/>
      <c r="M759" s="323"/>
      <c r="N759" s="323"/>
      <c r="O759" s="323"/>
      <c r="P759" s="323"/>
      <c r="Q759" s="323"/>
      <c r="R759" s="323"/>
      <c r="S759" s="323"/>
      <c r="T759" s="323"/>
      <c r="U759" s="323"/>
      <c r="V759" s="323"/>
    </row>
    <row r="760">
      <c r="A760" s="323"/>
      <c r="B760" s="323"/>
      <c r="C760" s="322"/>
      <c r="D760" s="322"/>
      <c r="E760" s="323"/>
      <c r="F760" s="322"/>
      <c r="G760" s="322"/>
      <c r="H760" s="322"/>
      <c r="I760" s="322"/>
      <c r="J760" s="387"/>
      <c r="K760" s="388"/>
      <c r="L760" s="323"/>
      <c r="M760" s="323"/>
      <c r="N760" s="323"/>
      <c r="O760" s="323"/>
      <c r="P760" s="323"/>
      <c r="Q760" s="323"/>
      <c r="R760" s="323"/>
      <c r="S760" s="323"/>
      <c r="T760" s="323"/>
      <c r="U760" s="323"/>
      <c r="V760" s="323"/>
    </row>
    <row r="761">
      <c r="A761" s="323"/>
      <c r="B761" s="323"/>
      <c r="C761" s="322"/>
      <c r="D761" s="322"/>
      <c r="E761" s="323"/>
      <c r="F761" s="322"/>
      <c r="G761" s="322"/>
      <c r="H761" s="322"/>
      <c r="I761" s="322"/>
      <c r="J761" s="387"/>
      <c r="K761" s="388"/>
      <c r="L761" s="323"/>
      <c r="M761" s="323"/>
      <c r="N761" s="323"/>
      <c r="O761" s="323"/>
      <c r="P761" s="323"/>
      <c r="Q761" s="323"/>
      <c r="R761" s="323"/>
      <c r="S761" s="323"/>
      <c r="T761" s="323"/>
      <c r="U761" s="323"/>
      <c r="V761" s="323"/>
    </row>
    <row r="762">
      <c r="A762" s="323"/>
      <c r="B762" s="323"/>
      <c r="C762" s="322"/>
      <c r="D762" s="322"/>
      <c r="E762" s="323"/>
      <c r="F762" s="322"/>
      <c r="G762" s="322"/>
      <c r="H762" s="322"/>
      <c r="I762" s="322"/>
      <c r="J762" s="387"/>
      <c r="K762" s="388"/>
      <c r="L762" s="323"/>
      <c r="M762" s="323"/>
      <c r="N762" s="323"/>
      <c r="O762" s="323"/>
      <c r="P762" s="323"/>
      <c r="Q762" s="323"/>
      <c r="R762" s="323"/>
      <c r="S762" s="323"/>
      <c r="T762" s="323"/>
      <c r="U762" s="323"/>
      <c r="V762" s="323"/>
    </row>
    <row r="763">
      <c r="A763" s="323"/>
      <c r="B763" s="323"/>
      <c r="C763" s="322"/>
      <c r="D763" s="322"/>
      <c r="E763" s="323"/>
      <c r="F763" s="322"/>
      <c r="G763" s="322"/>
      <c r="H763" s="322"/>
      <c r="I763" s="322"/>
      <c r="J763" s="387"/>
      <c r="K763" s="388"/>
      <c r="L763" s="323"/>
      <c r="M763" s="323"/>
      <c r="N763" s="323"/>
      <c r="O763" s="323"/>
      <c r="P763" s="323"/>
      <c r="Q763" s="323"/>
      <c r="R763" s="323"/>
      <c r="S763" s="323"/>
      <c r="T763" s="323"/>
      <c r="U763" s="323"/>
      <c r="V763" s="323"/>
    </row>
    <row r="764">
      <c r="A764" s="323"/>
      <c r="B764" s="323"/>
      <c r="C764" s="322"/>
      <c r="D764" s="322"/>
      <c r="E764" s="323"/>
      <c r="F764" s="322"/>
      <c r="G764" s="322"/>
      <c r="H764" s="322"/>
      <c r="I764" s="322"/>
      <c r="J764" s="387"/>
      <c r="K764" s="388"/>
      <c r="L764" s="323"/>
      <c r="M764" s="323"/>
      <c r="N764" s="323"/>
      <c r="O764" s="323"/>
      <c r="P764" s="323"/>
      <c r="Q764" s="323"/>
      <c r="R764" s="323"/>
      <c r="S764" s="323"/>
      <c r="T764" s="323"/>
      <c r="U764" s="323"/>
      <c r="V764" s="323"/>
    </row>
    <row r="765">
      <c r="A765" s="323"/>
      <c r="B765" s="323"/>
      <c r="C765" s="322"/>
      <c r="D765" s="322"/>
      <c r="E765" s="323"/>
      <c r="F765" s="322"/>
      <c r="G765" s="322"/>
      <c r="H765" s="322"/>
      <c r="I765" s="322"/>
      <c r="J765" s="387"/>
      <c r="K765" s="388"/>
      <c r="L765" s="323"/>
      <c r="M765" s="323"/>
      <c r="N765" s="323"/>
      <c r="O765" s="323"/>
      <c r="P765" s="323"/>
      <c r="Q765" s="323"/>
      <c r="R765" s="323"/>
      <c r="S765" s="323"/>
      <c r="T765" s="323"/>
      <c r="U765" s="323"/>
      <c r="V765" s="323"/>
    </row>
    <row r="766">
      <c r="A766" s="323"/>
      <c r="B766" s="323"/>
      <c r="C766" s="322"/>
      <c r="D766" s="322"/>
      <c r="E766" s="323"/>
      <c r="F766" s="322"/>
      <c r="G766" s="322"/>
      <c r="H766" s="322"/>
      <c r="I766" s="322"/>
      <c r="J766" s="387"/>
      <c r="K766" s="388"/>
      <c r="L766" s="323"/>
      <c r="M766" s="323"/>
      <c r="N766" s="323"/>
      <c r="O766" s="323"/>
      <c r="P766" s="323"/>
      <c r="Q766" s="323"/>
      <c r="R766" s="323"/>
      <c r="S766" s="323"/>
      <c r="T766" s="323"/>
      <c r="U766" s="323"/>
      <c r="V766" s="323"/>
    </row>
    <row r="767">
      <c r="A767" s="323"/>
      <c r="B767" s="323"/>
      <c r="C767" s="322"/>
      <c r="D767" s="322"/>
      <c r="E767" s="323"/>
      <c r="F767" s="322"/>
      <c r="G767" s="322"/>
      <c r="H767" s="322"/>
      <c r="I767" s="322"/>
      <c r="J767" s="387"/>
      <c r="K767" s="388"/>
      <c r="L767" s="323"/>
      <c r="M767" s="323"/>
      <c r="N767" s="323"/>
      <c r="O767" s="323"/>
      <c r="P767" s="323"/>
      <c r="Q767" s="323"/>
      <c r="R767" s="323"/>
      <c r="S767" s="323"/>
      <c r="T767" s="323"/>
      <c r="U767" s="323"/>
      <c r="V767" s="323"/>
    </row>
    <row r="768">
      <c r="A768" s="323"/>
      <c r="B768" s="323"/>
      <c r="C768" s="322"/>
      <c r="D768" s="322"/>
      <c r="E768" s="323"/>
      <c r="F768" s="322"/>
      <c r="G768" s="322"/>
      <c r="H768" s="322"/>
      <c r="I768" s="322"/>
      <c r="J768" s="387"/>
      <c r="K768" s="388"/>
      <c r="L768" s="323"/>
      <c r="M768" s="323"/>
      <c r="N768" s="323"/>
      <c r="O768" s="323"/>
      <c r="P768" s="323"/>
      <c r="Q768" s="323"/>
      <c r="R768" s="323"/>
      <c r="S768" s="323"/>
      <c r="T768" s="323"/>
      <c r="U768" s="323"/>
      <c r="V768" s="323"/>
    </row>
    <row r="769">
      <c r="A769" s="323"/>
      <c r="B769" s="323"/>
      <c r="C769" s="322"/>
      <c r="D769" s="322"/>
      <c r="E769" s="323"/>
      <c r="F769" s="322"/>
      <c r="G769" s="322"/>
      <c r="H769" s="322"/>
      <c r="I769" s="322"/>
      <c r="J769" s="387"/>
      <c r="K769" s="388"/>
      <c r="L769" s="323"/>
      <c r="M769" s="323"/>
      <c r="N769" s="323"/>
      <c r="O769" s="323"/>
      <c r="P769" s="323"/>
      <c r="Q769" s="323"/>
      <c r="R769" s="323"/>
      <c r="S769" s="323"/>
      <c r="T769" s="323"/>
      <c r="U769" s="323"/>
      <c r="V769" s="323"/>
    </row>
    <row r="770">
      <c r="A770" s="323"/>
      <c r="B770" s="323"/>
      <c r="C770" s="322"/>
      <c r="D770" s="322"/>
      <c r="E770" s="323"/>
      <c r="F770" s="322"/>
      <c r="G770" s="322"/>
      <c r="H770" s="322"/>
      <c r="I770" s="322"/>
      <c r="J770" s="387"/>
      <c r="K770" s="388"/>
      <c r="L770" s="323"/>
      <c r="M770" s="323"/>
      <c r="N770" s="323"/>
      <c r="O770" s="323"/>
      <c r="P770" s="323"/>
      <c r="Q770" s="323"/>
      <c r="R770" s="323"/>
      <c r="S770" s="323"/>
      <c r="T770" s="323"/>
      <c r="U770" s="323"/>
      <c r="V770" s="323"/>
    </row>
    <row r="771">
      <c r="A771" s="323"/>
      <c r="B771" s="323"/>
      <c r="C771" s="322"/>
      <c r="D771" s="322"/>
      <c r="E771" s="323"/>
      <c r="F771" s="322"/>
      <c r="G771" s="322"/>
      <c r="H771" s="322"/>
      <c r="I771" s="322"/>
      <c r="J771" s="387"/>
      <c r="K771" s="388"/>
      <c r="L771" s="323"/>
      <c r="M771" s="323"/>
      <c r="N771" s="323"/>
      <c r="O771" s="323"/>
      <c r="P771" s="323"/>
      <c r="Q771" s="323"/>
      <c r="R771" s="323"/>
      <c r="S771" s="323"/>
      <c r="T771" s="323"/>
      <c r="U771" s="323"/>
      <c r="V771" s="323"/>
    </row>
    <row r="772">
      <c r="A772" s="323"/>
      <c r="B772" s="323"/>
      <c r="C772" s="322"/>
      <c r="D772" s="322"/>
      <c r="E772" s="323"/>
      <c r="F772" s="322"/>
      <c r="G772" s="322"/>
      <c r="H772" s="322"/>
      <c r="I772" s="322"/>
      <c r="J772" s="387"/>
      <c r="K772" s="388"/>
      <c r="L772" s="323"/>
      <c r="M772" s="323"/>
      <c r="N772" s="323"/>
      <c r="O772" s="323"/>
      <c r="P772" s="323"/>
      <c r="Q772" s="323"/>
      <c r="R772" s="323"/>
      <c r="S772" s="323"/>
      <c r="T772" s="323"/>
      <c r="U772" s="323"/>
      <c r="V772" s="323"/>
    </row>
    <row r="773">
      <c r="A773" s="323"/>
      <c r="B773" s="323"/>
      <c r="C773" s="322"/>
      <c r="D773" s="322"/>
      <c r="E773" s="323"/>
      <c r="F773" s="322"/>
      <c r="G773" s="322"/>
      <c r="H773" s="322"/>
      <c r="I773" s="322"/>
      <c r="J773" s="387"/>
      <c r="K773" s="388"/>
      <c r="L773" s="323"/>
      <c r="M773" s="323"/>
      <c r="N773" s="323"/>
      <c r="O773" s="323"/>
      <c r="P773" s="323"/>
      <c r="Q773" s="323"/>
      <c r="R773" s="323"/>
      <c r="S773" s="323"/>
      <c r="T773" s="323"/>
      <c r="U773" s="323"/>
      <c r="V773" s="323"/>
    </row>
    <row r="774">
      <c r="A774" s="323"/>
      <c r="B774" s="323"/>
      <c r="C774" s="322"/>
      <c r="D774" s="322"/>
      <c r="E774" s="323"/>
      <c r="F774" s="322"/>
      <c r="G774" s="322"/>
      <c r="H774" s="322"/>
      <c r="I774" s="322"/>
      <c r="J774" s="387"/>
      <c r="K774" s="388"/>
      <c r="L774" s="323"/>
      <c r="M774" s="323"/>
      <c r="N774" s="323"/>
      <c r="O774" s="323"/>
      <c r="P774" s="323"/>
      <c r="Q774" s="323"/>
      <c r="R774" s="323"/>
      <c r="S774" s="323"/>
      <c r="T774" s="323"/>
      <c r="U774" s="323"/>
      <c r="V774" s="323"/>
    </row>
    <row r="775">
      <c r="A775" s="323"/>
      <c r="B775" s="323"/>
      <c r="C775" s="322"/>
      <c r="D775" s="322"/>
      <c r="E775" s="323"/>
      <c r="F775" s="322"/>
      <c r="G775" s="322"/>
      <c r="H775" s="322"/>
      <c r="I775" s="322"/>
      <c r="J775" s="387"/>
      <c r="K775" s="388"/>
      <c r="L775" s="323"/>
      <c r="M775" s="323"/>
      <c r="N775" s="323"/>
      <c r="O775" s="323"/>
      <c r="P775" s="323"/>
      <c r="Q775" s="323"/>
      <c r="R775" s="323"/>
      <c r="S775" s="323"/>
      <c r="T775" s="323"/>
      <c r="U775" s="323"/>
      <c r="V775" s="323"/>
    </row>
    <row r="776">
      <c r="A776" s="323"/>
      <c r="B776" s="323"/>
      <c r="C776" s="322"/>
      <c r="D776" s="322"/>
      <c r="E776" s="323"/>
      <c r="F776" s="322"/>
      <c r="G776" s="322"/>
      <c r="H776" s="322"/>
      <c r="I776" s="322"/>
      <c r="J776" s="387"/>
      <c r="K776" s="388"/>
      <c r="L776" s="323"/>
      <c r="M776" s="323"/>
      <c r="N776" s="323"/>
      <c r="O776" s="323"/>
      <c r="P776" s="323"/>
      <c r="Q776" s="323"/>
      <c r="R776" s="323"/>
      <c r="S776" s="323"/>
      <c r="T776" s="323"/>
      <c r="U776" s="323"/>
      <c r="V776" s="323"/>
    </row>
    <row r="777">
      <c r="A777" s="323"/>
      <c r="B777" s="323"/>
      <c r="C777" s="322"/>
      <c r="D777" s="322"/>
      <c r="E777" s="323"/>
      <c r="F777" s="322"/>
      <c r="G777" s="322"/>
      <c r="H777" s="322"/>
      <c r="I777" s="322"/>
      <c r="J777" s="387"/>
      <c r="K777" s="388"/>
      <c r="L777" s="323"/>
      <c r="M777" s="323"/>
      <c r="N777" s="323"/>
      <c r="O777" s="323"/>
      <c r="P777" s="323"/>
      <c r="Q777" s="323"/>
      <c r="R777" s="323"/>
      <c r="S777" s="323"/>
      <c r="T777" s="323"/>
      <c r="U777" s="323"/>
      <c r="V777" s="323"/>
    </row>
    <row r="778">
      <c r="A778" s="323"/>
      <c r="B778" s="323"/>
      <c r="C778" s="322"/>
      <c r="D778" s="322"/>
      <c r="E778" s="323"/>
      <c r="F778" s="322"/>
      <c r="G778" s="322"/>
      <c r="H778" s="322"/>
      <c r="I778" s="322"/>
      <c r="J778" s="387"/>
      <c r="K778" s="388"/>
      <c r="L778" s="323"/>
      <c r="M778" s="323"/>
      <c r="N778" s="323"/>
      <c r="O778" s="323"/>
      <c r="P778" s="323"/>
      <c r="Q778" s="323"/>
      <c r="R778" s="323"/>
      <c r="S778" s="323"/>
      <c r="T778" s="323"/>
      <c r="U778" s="323"/>
      <c r="V778" s="323"/>
    </row>
    <row r="779">
      <c r="A779" s="323"/>
      <c r="B779" s="323"/>
      <c r="C779" s="322"/>
      <c r="D779" s="322"/>
      <c r="E779" s="323"/>
      <c r="F779" s="322"/>
      <c r="G779" s="322"/>
      <c r="H779" s="322"/>
      <c r="I779" s="322"/>
      <c r="J779" s="387"/>
      <c r="K779" s="388"/>
      <c r="L779" s="323"/>
      <c r="M779" s="323"/>
      <c r="N779" s="323"/>
      <c r="O779" s="323"/>
      <c r="P779" s="323"/>
      <c r="Q779" s="323"/>
      <c r="R779" s="323"/>
      <c r="S779" s="323"/>
      <c r="T779" s="323"/>
      <c r="U779" s="323"/>
      <c r="V779" s="323"/>
    </row>
    <row r="780">
      <c r="A780" s="323"/>
      <c r="B780" s="323"/>
      <c r="C780" s="322"/>
      <c r="D780" s="322"/>
      <c r="E780" s="323"/>
      <c r="F780" s="322"/>
      <c r="G780" s="322"/>
      <c r="H780" s="322"/>
      <c r="I780" s="322"/>
      <c r="J780" s="387"/>
      <c r="K780" s="388"/>
      <c r="L780" s="323"/>
      <c r="M780" s="323"/>
      <c r="N780" s="323"/>
      <c r="O780" s="323"/>
      <c r="P780" s="323"/>
      <c r="Q780" s="323"/>
      <c r="R780" s="323"/>
      <c r="S780" s="323"/>
      <c r="T780" s="323"/>
      <c r="U780" s="323"/>
      <c r="V780" s="323"/>
    </row>
    <row r="781">
      <c r="A781" s="323"/>
      <c r="B781" s="323"/>
      <c r="C781" s="322"/>
      <c r="D781" s="322"/>
      <c r="E781" s="323"/>
      <c r="F781" s="322"/>
      <c r="G781" s="322"/>
      <c r="H781" s="322"/>
      <c r="I781" s="322"/>
      <c r="J781" s="387"/>
      <c r="K781" s="388"/>
      <c r="L781" s="323"/>
      <c r="M781" s="323"/>
      <c r="N781" s="323"/>
      <c r="O781" s="323"/>
      <c r="P781" s="323"/>
      <c r="Q781" s="323"/>
      <c r="R781" s="323"/>
      <c r="S781" s="323"/>
      <c r="T781" s="323"/>
      <c r="U781" s="323"/>
      <c r="V781" s="323"/>
    </row>
    <row r="782">
      <c r="A782" s="323"/>
      <c r="B782" s="323"/>
      <c r="C782" s="322"/>
      <c r="D782" s="322"/>
      <c r="E782" s="323"/>
      <c r="F782" s="322"/>
      <c r="G782" s="322"/>
      <c r="H782" s="322"/>
      <c r="I782" s="322"/>
      <c r="J782" s="387"/>
      <c r="K782" s="388"/>
      <c r="L782" s="323"/>
      <c r="M782" s="323"/>
      <c r="N782" s="323"/>
      <c r="O782" s="323"/>
      <c r="P782" s="323"/>
      <c r="Q782" s="323"/>
      <c r="R782" s="323"/>
      <c r="S782" s="323"/>
      <c r="T782" s="323"/>
      <c r="U782" s="323"/>
      <c r="V782" s="323"/>
    </row>
    <row r="783">
      <c r="A783" s="323"/>
      <c r="B783" s="323"/>
      <c r="C783" s="322"/>
      <c r="D783" s="322"/>
      <c r="E783" s="323"/>
      <c r="F783" s="322"/>
      <c r="G783" s="322"/>
      <c r="H783" s="322"/>
      <c r="I783" s="322"/>
      <c r="J783" s="387"/>
      <c r="K783" s="388"/>
      <c r="L783" s="323"/>
      <c r="M783" s="323"/>
      <c r="N783" s="323"/>
      <c r="O783" s="323"/>
      <c r="P783" s="323"/>
      <c r="Q783" s="323"/>
      <c r="R783" s="323"/>
      <c r="S783" s="323"/>
      <c r="T783" s="323"/>
      <c r="U783" s="323"/>
      <c r="V783" s="323"/>
    </row>
    <row r="784">
      <c r="A784" s="323"/>
      <c r="B784" s="323"/>
      <c r="C784" s="322"/>
      <c r="D784" s="322"/>
      <c r="E784" s="323"/>
      <c r="F784" s="322"/>
      <c r="G784" s="322"/>
      <c r="H784" s="322"/>
      <c r="I784" s="322"/>
      <c r="J784" s="387"/>
      <c r="K784" s="388"/>
      <c r="L784" s="323"/>
      <c r="M784" s="323"/>
      <c r="N784" s="323"/>
      <c r="O784" s="323"/>
      <c r="P784" s="323"/>
      <c r="Q784" s="323"/>
      <c r="R784" s="323"/>
      <c r="S784" s="323"/>
      <c r="T784" s="323"/>
      <c r="U784" s="323"/>
      <c r="V784" s="323"/>
    </row>
    <row r="785">
      <c r="A785" s="323"/>
      <c r="B785" s="323"/>
      <c r="C785" s="322"/>
      <c r="D785" s="322"/>
      <c r="E785" s="323"/>
      <c r="F785" s="322"/>
      <c r="G785" s="322"/>
      <c r="H785" s="322"/>
      <c r="I785" s="322"/>
      <c r="J785" s="387"/>
      <c r="K785" s="388"/>
      <c r="L785" s="323"/>
      <c r="M785" s="323"/>
      <c r="N785" s="323"/>
      <c r="O785" s="323"/>
      <c r="P785" s="323"/>
      <c r="Q785" s="323"/>
      <c r="R785" s="323"/>
      <c r="S785" s="323"/>
      <c r="T785" s="323"/>
      <c r="U785" s="323"/>
      <c r="V785" s="323"/>
    </row>
    <row r="786">
      <c r="A786" s="323"/>
      <c r="B786" s="323"/>
      <c r="C786" s="322"/>
      <c r="D786" s="322"/>
      <c r="E786" s="323"/>
      <c r="F786" s="322"/>
      <c r="G786" s="322"/>
      <c r="H786" s="322"/>
      <c r="I786" s="322"/>
      <c r="J786" s="387"/>
      <c r="K786" s="388"/>
      <c r="L786" s="323"/>
      <c r="M786" s="323"/>
      <c r="N786" s="323"/>
      <c r="O786" s="323"/>
      <c r="P786" s="323"/>
      <c r="Q786" s="323"/>
      <c r="R786" s="323"/>
      <c r="S786" s="323"/>
      <c r="T786" s="323"/>
      <c r="U786" s="323"/>
      <c r="V786" s="323"/>
    </row>
    <row r="787">
      <c r="A787" s="323"/>
      <c r="B787" s="323"/>
      <c r="C787" s="322"/>
      <c r="D787" s="322"/>
      <c r="E787" s="323"/>
      <c r="F787" s="322"/>
      <c r="G787" s="322"/>
      <c r="H787" s="322"/>
      <c r="I787" s="322"/>
      <c r="J787" s="387"/>
      <c r="K787" s="388"/>
      <c r="L787" s="323"/>
      <c r="M787" s="323"/>
      <c r="N787" s="323"/>
      <c r="O787" s="323"/>
      <c r="P787" s="323"/>
      <c r="Q787" s="323"/>
      <c r="R787" s="323"/>
      <c r="S787" s="323"/>
      <c r="T787" s="323"/>
      <c r="U787" s="323"/>
      <c r="V787" s="323"/>
    </row>
    <row r="788">
      <c r="A788" s="323"/>
      <c r="B788" s="323"/>
      <c r="C788" s="322"/>
      <c r="D788" s="322"/>
      <c r="E788" s="323"/>
      <c r="F788" s="322"/>
      <c r="G788" s="322"/>
      <c r="H788" s="322"/>
      <c r="I788" s="322"/>
      <c r="J788" s="387"/>
      <c r="K788" s="388"/>
      <c r="L788" s="323"/>
      <c r="M788" s="323"/>
      <c r="N788" s="323"/>
      <c r="O788" s="323"/>
      <c r="P788" s="323"/>
      <c r="Q788" s="323"/>
      <c r="R788" s="323"/>
      <c r="S788" s="323"/>
      <c r="T788" s="323"/>
      <c r="U788" s="323"/>
      <c r="V788" s="323"/>
    </row>
    <row r="789">
      <c r="A789" s="323"/>
      <c r="B789" s="323"/>
      <c r="C789" s="322"/>
      <c r="D789" s="322"/>
      <c r="E789" s="323"/>
      <c r="F789" s="322"/>
      <c r="G789" s="322"/>
      <c r="H789" s="322"/>
      <c r="I789" s="322"/>
      <c r="J789" s="387"/>
      <c r="K789" s="388"/>
      <c r="L789" s="323"/>
      <c r="M789" s="323"/>
      <c r="N789" s="323"/>
      <c r="O789" s="323"/>
      <c r="P789" s="323"/>
      <c r="Q789" s="323"/>
      <c r="R789" s="323"/>
      <c r="S789" s="323"/>
      <c r="T789" s="323"/>
      <c r="U789" s="323"/>
      <c r="V789" s="323"/>
    </row>
    <row r="790">
      <c r="A790" s="323"/>
      <c r="B790" s="323"/>
      <c r="C790" s="322"/>
      <c r="D790" s="322"/>
      <c r="E790" s="323"/>
      <c r="F790" s="322"/>
      <c r="G790" s="322"/>
      <c r="H790" s="322"/>
      <c r="I790" s="322"/>
      <c r="J790" s="387"/>
      <c r="K790" s="388"/>
      <c r="L790" s="323"/>
      <c r="M790" s="323"/>
      <c r="N790" s="323"/>
      <c r="O790" s="323"/>
      <c r="P790" s="323"/>
      <c r="Q790" s="323"/>
      <c r="R790" s="323"/>
      <c r="S790" s="323"/>
      <c r="T790" s="323"/>
      <c r="U790" s="323"/>
      <c r="V790" s="323"/>
    </row>
    <row r="791">
      <c r="A791" s="323"/>
      <c r="B791" s="323"/>
      <c r="C791" s="322"/>
      <c r="D791" s="322"/>
      <c r="E791" s="323"/>
      <c r="F791" s="322"/>
      <c r="G791" s="322"/>
      <c r="H791" s="322"/>
      <c r="I791" s="322"/>
      <c r="J791" s="387"/>
      <c r="K791" s="388"/>
      <c r="L791" s="323"/>
      <c r="M791" s="323"/>
      <c r="N791" s="323"/>
      <c r="O791" s="323"/>
      <c r="P791" s="323"/>
      <c r="Q791" s="323"/>
      <c r="R791" s="323"/>
      <c r="S791" s="323"/>
      <c r="T791" s="323"/>
      <c r="U791" s="323"/>
      <c r="V791" s="323"/>
    </row>
    <row r="792">
      <c r="A792" s="323"/>
      <c r="B792" s="323"/>
      <c r="C792" s="322"/>
      <c r="D792" s="322"/>
      <c r="E792" s="323"/>
      <c r="F792" s="322"/>
      <c r="G792" s="322"/>
      <c r="H792" s="322"/>
      <c r="I792" s="322"/>
      <c r="J792" s="387"/>
      <c r="K792" s="388"/>
      <c r="L792" s="323"/>
      <c r="M792" s="323"/>
      <c r="N792" s="323"/>
      <c r="O792" s="323"/>
      <c r="P792" s="323"/>
      <c r="Q792" s="323"/>
      <c r="R792" s="323"/>
      <c r="S792" s="323"/>
      <c r="T792" s="323"/>
      <c r="U792" s="323"/>
      <c r="V792" s="323"/>
    </row>
    <row r="793">
      <c r="A793" s="323"/>
      <c r="B793" s="323"/>
      <c r="C793" s="322"/>
      <c r="D793" s="322"/>
      <c r="E793" s="323"/>
      <c r="F793" s="322"/>
      <c r="G793" s="322"/>
      <c r="H793" s="322"/>
      <c r="I793" s="322"/>
      <c r="J793" s="387"/>
      <c r="K793" s="388"/>
      <c r="L793" s="323"/>
      <c r="M793" s="323"/>
      <c r="N793" s="323"/>
      <c r="O793" s="323"/>
      <c r="P793" s="323"/>
      <c r="Q793" s="323"/>
      <c r="R793" s="323"/>
      <c r="S793" s="323"/>
      <c r="T793" s="323"/>
      <c r="U793" s="323"/>
      <c r="V793" s="323"/>
    </row>
    <row r="794">
      <c r="A794" s="323"/>
      <c r="B794" s="323"/>
      <c r="C794" s="322"/>
      <c r="D794" s="322"/>
      <c r="E794" s="323"/>
      <c r="F794" s="322"/>
      <c r="G794" s="322"/>
      <c r="H794" s="322"/>
      <c r="I794" s="322"/>
      <c r="J794" s="387"/>
      <c r="K794" s="388"/>
      <c r="L794" s="323"/>
      <c r="M794" s="323"/>
      <c r="N794" s="323"/>
      <c r="O794" s="323"/>
      <c r="P794" s="323"/>
      <c r="Q794" s="323"/>
      <c r="R794" s="323"/>
      <c r="S794" s="323"/>
      <c r="T794" s="323"/>
      <c r="U794" s="323"/>
      <c r="V794" s="323"/>
    </row>
    <row r="795">
      <c r="A795" s="323"/>
      <c r="B795" s="323"/>
      <c r="C795" s="322"/>
      <c r="D795" s="322"/>
      <c r="E795" s="323"/>
      <c r="F795" s="322"/>
      <c r="G795" s="322"/>
      <c r="H795" s="322"/>
      <c r="I795" s="322"/>
      <c r="J795" s="387"/>
      <c r="K795" s="388"/>
      <c r="L795" s="323"/>
      <c r="M795" s="323"/>
      <c r="N795" s="323"/>
      <c r="O795" s="323"/>
      <c r="P795" s="323"/>
      <c r="Q795" s="323"/>
      <c r="R795" s="323"/>
      <c r="S795" s="323"/>
      <c r="T795" s="323"/>
      <c r="U795" s="323"/>
      <c r="V795" s="323"/>
    </row>
    <row r="796">
      <c r="A796" s="323"/>
      <c r="B796" s="323"/>
      <c r="C796" s="322"/>
      <c r="D796" s="322"/>
      <c r="E796" s="323"/>
      <c r="F796" s="322"/>
      <c r="G796" s="322"/>
      <c r="H796" s="322"/>
      <c r="I796" s="322"/>
      <c r="J796" s="387"/>
      <c r="K796" s="388"/>
      <c r="L796" s="323"/>
      <c r="M796" s="323"/>
      <c r="N796" s="323"/>
      <c r="O796" s="323"/>
      <c r="P796" s="323"/>
      <c r="Q796" s="323"/>
      <c r="R796" s="323"/>
      <c r="S796" s="323"/>
      <c r="T796" s="323"/>
      <c r="U796" s="323"/>
      <c r="V796" s="323"/>
    </row>
    <row r="797">
      <c r="A797" s="323"/>
      <c r="B797" s="323"/>
      <c r="C797" s="322"/>
      <c r="D797" s="322"/>
      <c r="E797" s="323"/>
      <c r="F797" s="322"/>
      <c r="G797" s="322"/>
      <c r="H797" s="322"/>
      <c r="I797" s="322"/>
      <c r="J797" s="387"/>
      <c r="K797" s="388"/>
      <c r="L797" s="323"/>
      <c r="M797" s="323"/>
      <c r="N797" s="323"/>
      <c r="O797" s="323"/>
      <c r="P797" s="323"/>
      <c r="Q797" s="323"/>
      <c r="R797" s="323"/>
      <c r="S797" s="323"/>
      <c r="T797" s="323"/>
      <c r="U797" s="323"/>
      <c r="V797" s="323"/>
    </row>
    <row r="798">
      <c r="A798" s="323"/>
      <c r="B798" s="323"/>
      <c r="C798" s="322"/>
      <c r="D798" s="322"/>
      <c r="E798" s="323"/>
      <c r="F798" s="322"/>
      <c r="G798" s="322"/>
      <c r="H798" s="322"/>
      <c r="I798" s="322"/>
      <c r="J798" s="387"/>
      <c r="K798" s="388"/>
      <c r="L798" s="323"/>
      <c r="M798" s="323"/>
      <c r="N798" s="323"/>
      <c r="O798" s="323"/>
      <c r="P798" s="323"/>
      <c r="Q798" s="323"/>
      <c r="R798" s="323"/>
      <c r="S798" s="323"/>
      <c r="T798" s="323"/>
      <c r="U798" s="323"/>
      <c r="V798" s="323"/>
    </row>
    <row r="799">
      <c r="A799" s="323"/>
      <c r="B799" s="323"/>
      <c r="C799" s="322"/>
      <c r="D799" s="322"/>
      <c r="E799" s="323"/>
      <c r="F799" s="322"/>
      <c r="G799" s="322"/>
      <c r="H799" s="322"/>
      <c r="I799" s="322"/>
      <c r="J799" s="387"/>
      <c r="K799" s="388"/>
      <c r="L799" s="323"/>
      <c r="M799" s="323"/>
      <c r="N799" s="323"/>
      <c r="O799" s="323"/>
      <c r="P799" s="323"/>
      <c r="Q799" s="323"/>
      <c r="R799" s="323"/>
      <c r="S799" s="323"/>
      <c r="T799" s="323"/>
      <c r="U799" s="323"/>
      <c r="V799" s="323"/>
    </row>
    <row r="800">
      <c r="A800" s="323"/>
      <c r="B800" s="323"/>
      <c r="C800" s="322"/>
      <c r="D800" s="322"/>
      <c r="E800" s="323"/>
      <c r="F800" s="322"/>
      <c r="G800" s="322"/>
      <c r="H800" s="322"/>
      <c r="I800" s="322"/>
      <c r="J800" s="387"/>
      <c r="K800" s="388"/>
      <c r="L800" s="323"/>
      <c r="M800" s="323"/>
      <c r="N800" s="323"/>
      <c r="O800" s="323"/>
      <c r="P800" s="323"/>
      <c r="Q800" s="323"/>
      <c r="R800" s="323"/>
      <c r="S800" s="323"/>
      <c r="T800" s="323"/>
      <c r="U800" s="323"/>
      <c r="V800" s="323"/>
    </row>
    <row r="801">
      <c r="A801" s="323"/>
      <c r="B801" s="323"/>
      <c r="C801" s="322"/>
      <c r="D801" s="322"/>
      <c r="E801" s="323"/>
      <c r="F801" s="322"/>
      <c r="G801" s="322"/>
      <c r="H801" s="322"/>
      <c r="I801" s="322"/>
      <c r="J801" s="387"/>
      <c r="K801" s="388"/>
      <c r="L801" s="323"/>
      <c r="M801" s="323"/>
      <c r="N801" s="323"/>
      <c r="O801" s="323"/>
      <c r="P801" s="323"/>
      <c r="Q801" s="323"/>
      <c r="R801" s="323"/>
      <c r="S801" s="323"/>
      <c r="T801" s="323"/>
      <c r="U801" s="323"/>
      <c r="V801" s="323"/>
    </row>
    <row r="802">
      <c r="A802" s="323"/>
      <c r="B802" s="323"/>
      <c r="C802" s="322"/>
      <c r="D802" s="322"/>
      <c r="E802" s="323"/>
      <c r="F802" s="322"/>
      <c r="G802" s="322"/>
      <c r="H802" s="322"/>
      <c r="I802" s="322"/>
      <c r="J802" s="387"/>
      <c r="K802" s="388"/>
      <c r="L802" s="323"/>
      <c r="M802" s="323"/>
      <c r="N802" s="323"/>
      <c r="O802" s="323"/>
      <c r="P802" s="323"/>
      <c r="Q802" s="323"/>
      <c r="R802" s="323"/>
      <c r="S802" s="323"/>
      <c r="T802" s="323"/>
      <c r="U802" s="323"/>
      <c r="V802" s="323"/>
    </row>
    <row r="803">
      <c r="A803" s="323"/>
      <c r="B803" s="323"/>
      <c r="C803" s="322"/>
      <c r="D803" s="322"/>
      <c r="E803" s="323"/>
      <c r="F803" s="322"/>
      <c r="G803" s="322"/>
      <c r="H803" s="322"/>
      <c r="I803" s="322"/>
      <c r="J803" s="387"/>
      <c r="K803" s="388"/>
      <c r="L803" s="323"/>
      <c r="M803" s="323"/>
      <c r="N803" s="323"/>
      <c r="O803" s="323"/>
      <c r="P803" s="323"/>
      <c r="Q803" s="323"/>
      <c r="R803" s="323"/>
      <c r="S803" s="323"/>
      <c r="T803" s="323"/>
      <c r="U803" s="323"/>
      <c r="V803" s="323"/>
    </row>
    <row r="804">
      <c r="A804" s="323"/>
      <c r="B804" s="323"/>
      <c r="C804" s="322"/>
      <c r="D804" s="322"/>
      <c r="E804" s="323"/>
      <c r="F804" s="322"/>
      <c r="G804" s="322"/>
      <c r="H804" s="322"/>
      <c r="I804" s="322"/>
      <c r="J804" s="387"/>
      <c r="K804" s="388"/>
      <c r="L804" s="323"/>
      <c r="M804" s="323"/>
      <c r="N804" s="323"/>
      <c r="O804" s="323"/>
      <c r="P804" s="323"/>
      <c r="Q804" s="323"/>
      <c r="R804" s="323"/>
      <c r="S804" s="323"/>
      <c r="T804" s="323"/>
      <c r="U804" s="323"/>
      <c r="V804" s="323"/>
    </row>
    <row r="805">
      <c r="A805" s="323"/>
      <c r="B805" s="323"/>
      <c r="C805" s="322"/>
      <c r="D805" s="322"/>
      <c r="E805" s="323"/>
      <c r="F805" s="322"/>
      <c r="G805" s="322"/>
      <c r="H805" s="322"/>
      <c r="I805" s="322"/>
      <c r="J805" s="387"/>
      <c r="K805" s="388"/>
      <c r="L805" s="323"/>
      <c r="M805" s="323"/>
      <c r="N805" s="323"/>
      <c r="O805" s="323"/>
      <c r="P805" s="323"/>
      <c r="Q805" s="323"/>
      <c r="R805" s="323"/>
      <c r="S805" s="323"/>
      <c r="T805" s="323"/>
      <c r="U805" s="323"/>
      <c r="V805" s="323"/>
    </row>
    <row r="806">
      <c r="A806" s="323"/>
      <c r="B806" s="323"/>
      <c r="C806" s="322"/>
      <c r="D806" s="322"/>
      <c r="E806" s="323"/>
      <c r="F806" s="322"/>
      <c r="G806" s="322"/>
      <c r="H806" s="322"/>
      <c r="I806" s="322"/>
      <c r="J806" s="387"/>
      <c r="K806" s="388"/>
      <c r="L806" s="323"/>
      <c r="M806" s="323"/>
      <c r="N806" s="323"/>
      <c r="O806" s="323"/>
      <c r="P806" s="323"/>
      <c r="Q806" s="323"/>
      <c r="R806" s="323"/>
      <c r="S806" s="323"/>
      <c r="T806" s="323"/>
      <c r="U806" s="323"/>
      <c r="V806" s="323"/>
    </row>
    <row r="807">
      <c r="A807" s="323"/>
      <c r="B807" s="323"/>
      <c r="C807" s="322"/>
      <c r="D807" s="322"/>
      <c r="E807" s="323"/>
      <c r="F807" s="322"/>
      <c r="G807" s="322"/>
      <c r="H807" s="322"/>
      <c r="I807" s="322"/>
      <c r="J807" s="387"/>
      <c r="K807" s="388"/>
      <c r="L807" s="323"/>
      <c r="M807" s="323"/>
      <c r="N807" s="323"/>
      <c r="O807" s="323"/>
      <c r="P807" s="323"/>
      <c r="Q807" s="323"/>
      <c r="R807" s="323"/>
      <c r="S807" s="323"/>
      <c r="T807" s="323"/>
      <c r="U807" s="323"/>
      <c r="V807" s="323"/>
    </row>
    <row r="808">
      <c r="A808" s="323"/>
      <c r="B808" s="323"/>
      <c r="C808" s="322"/>
      <c r="D808" s="322"/>
      <c r="E808" s="323"/>
      <c r="F808" s="322"/>
      <c r="G808" s="322"/>
      <c r="H808" s="322"/>
      <c r="I808" s="322"/>
      <c r="J808" s="387"/>
      <c r="K808" s="388"/>
      <c r="L808" s="323"/>
      <c r="M808" s="323"/>
      <c r="N808" s="323"/>
      <c r="O808" s="323"/>
      <c r="P808" s="323"/>
      <c r="Q808" s="323"/>
      <c r="R808" s="323"/>
      <c r="S808" s="323"/>
      <c r="T808" s="323"/>
      <c r="U808" s="323"/>
      <c r="V808" s="323"/>
    </row>
    <row r="809">
      <c r="A809" s="323"/>
      <c r="B809" s="323"/>
      <c r="C809" s="322"/>
      <c r="D809" s="322"/>
      <c r="E809" s="323"/>
      <c r="F809" s="322"/>
      <c r="G809" s="322"/>
      <c r="H809" s="322"/>
      <c r="I809" s="322"/>
      <c r="J809" s="387"/>
      <c r="K809" s="388"/>
      <c r="L809" s="323"/>
      <c r="M809" s="323"/>
      <c r="N809" s="323"/>
      <c r="O809" s="323"/>
      <c r="P809" s="323"/>
      <c r="Q809" s="323"/>
      <c r="R809" s="323"/>
      <c r="S809" s="323"/>
      <c r="T809" s="323"/>
      <c r="U809" s="323"/>
      <c r="V809" s="323"/>
    </row>
    <row r="810">
      <c r="A810" s="323"/>
      <c r="B810" s="323"/>
      <c r="C810" s="322"/>
      <c r="D810" s="322"/>
      <c r="E810" s="323"/>
      <c r="F810" s="322"/>
      <c r="G810" s="322"/>
      <c r="H810" s="322"/>
      <c r="I810" s="322"/>
      <c r="J810" s="387"/>
      <c r="K810" s="388"/>
      <c r="L810" s="323"/>
      <c r="M810" s="323"/>
      <c r="N810" s="323"/>
      <c r="O810" s="323"/>
      <c r="P810" s="323"/>
      <c r="Q810" s="323"/>
      <c r="R810" s="323"/>
      <c r="S810" s="323"/>
      <c r="T810" s="323"/>
      <c r="U810" s="323"/>
      <c r="V810" s="323"/>
    </row>
    <row r="811">
      <c r="A811" s="323"/>
      <c r="B811" s="323"/>
      <c r="C811" s="322"/>
      <c r="D811" s="322"/>
      <c r="E811" s="323"/>
      <c r="F811" s="322"/>
      <c r="G811" s="322"/>
      <c r="H811" s="322"/>
      <c r="I811" s="322"/>
      <c r="J811" s="387"/>
      <c r="K811" s="388"/>
      <c r="L811" s="323"/>
      <c r="M811" s="323"/>
      <c r="N811" s="323"/>
      <c r="O811" s="323"/>
      <c r="P811" s="323"/>
      <c r="Q811" s="323"/>
      <c r="R811" s="323"/>
      <c r="S811" s="323"/>
      <c r="T811" s="323"/>
      <c r="U811" s="323"/>
      <c r="V811" s="323"/>
    </row>
    <row r="812">
      <c r="A812" s="323"/>
      <c r="B812" s="323"/>
      <c r="C812" s="322"/>
      <c r="D812" s="322"/>
      <c r="E812" s="323"/>
      <c r="F812" s="322"/>
      <c r="G812" s="322"/>
      <c r="H812" s="322"/>
      <c r="I812" s="322"/>
      <c r="J812" s="387"/>
      <c r="K812" s="388"/>
      <c r="L812" s="323"/>
      <c r="M812" s="323"/>
      <c r="N812" s="323"/>
      <c r="O812" s="323"/>
      <c r="P812" s="323"/>
      <c r="Q812" s="323"/>
      <c r="R812" s="323"/>
      <c r="S812" s="323"/>
      <c r="T812" s="323"/>
      <c r="U812" s="323"/>
      <c r="V812" s="323"/>
    </row>
    <row r="813">
      <c r="A813" s="323"/>
      <c r="B813" s="323"/>
      <c r="C813" s="322"/>
      <c r="D813" s="322"/>
      <c r="E813" s="323"/>
      <c r="F813" s="322"/>
      <c r="G813" s="322"/>
      <c r="H813" s="322"/>
      <c r="I813" s="322"/>
      <c r="J813" s="387"/>
      <c r="K813" s="388"/>
      <c r="L813" s="323"/>
      <c r="M813" s="323"/>
      <c r="N813" s="323"/>
      <c r="O813" s="323"/>
      <c r="P813" s="323"/>
      <c r="Q813" s="323"/>
      <c r="R813" s="323"/>
      <c r="S813" s="323"/>
      <c r="T813" s="323"/>
      <c r="U813" s="323"/>
      <c r="V813" s="323"/>
    </row>
    <row r="814">
      <c r="A814" s="323"/>
      <c r="B814" s="323"/>
      <c r="C814" s="322"/>
      <c r="D814" s="322"/>
      <c r="E814" s="323"/>
      <c r="F814" s="322"/>
      <c r="G814" s="322"/>
      <c r="H814" s="322"/>
      <c r="I814" s="322"/>
      <c r="J814" s="387"/>
      <c r="K814" s="388"/>
      <c r="L814" s="323"/>
      <c r="M814" s="323"/>
      <c r="N814" s="323"/>
      <c r="O814" s="323"/>
      <c r="P814" s="323"/>
      <c r="Q814" s="323"/>
      <c r="R814" s="323"/>
      <c r="S814" s="323"/>
      <c r="T814" s="323"/>
      <c r="U814" s="323"/>
      <c r="V814" s="323"/>
    </row>
    <row r="815">
      <c r="A815" s="323"/>
      <c r="B815" s="323"/>
      <c r="C815" s="322"/>
      <c r="D815" s="322"/>
      <c r="E815" s="323"/>
      <c r="F815" s="322"/>
      <c r="G815" s="322"/>
      <c r="H815" s="322"/>
      <c r="I815" s="322"/>
      <c r="J815" s="387"/>
      <c r="K815" s="388"/>
      <c r="L815" s="323"/>
      <c r="M815" s="323"/>
      <c r="N815" s="323"/>
      <c r="O815" s="323"/>
      <c r="P815" s="323"/>
      <c r="Q815" s="323"/>
      <c r="R815" s="323"/>
      <c r="S815" s="323"/>
      <c r="T815" s="323"/>
      <c r="U815" s="323"/>
      <c r="V815" s="323"/>
    </row>
    <row r="816">
      <c r="A816" s="323"/>
      <c r="B816" s="323"/>
      <c r="C816" s="322"/>
      <c r="D816" s="322"/>
      <c r="E816" s="323"/>
      <c r="F816" s="322"/>
      <c r="G816" s="322"/>
      <c r="H816" s="322"/>
      <c r="I816" s="322"/>
      <c r="J816" s="387"/>
      <c r="K816" s="388"/>
      <c r="L816" s="323"/>
      <c r="M816" s="323"/>
      <c r="N816" s="323"/>
      <c r="O816" s="323"/>
      <c r="P816" s="323"/>
      <c r="Q816" s="323"/>
      <c r="R816" s="323"/>
      <c r="S816" s="323"/>
      <c r="T816" s="323"/>
      <c r="U816" s="323"/>
      <c r="V816" s="323"/>
    </row>
    <row r="817">
      <c r="A817" s="323"/>
      <c r="B817" s="323"/>
      <c r="C817" s="322"/>
      <c r="D817" s="322"/>
      <c r="E817" s="323"/>
      <c r="F817" s="322"/>
      <c r="G817" s="322"/>
      <c r="H817" s="322"/>
      <c r="I817" s="322"/>
      <c r="J817" s="387"/>
      <c r="K817" s="388"/>
      <c r="L817" s="323"/>
      <c r="M817" s="323"/>
      <c r="N817" s="323"/>
      <c r="O817" s="323"/>
      <c r="P817" s="323"/>
      <c r="Q817" s="323"/>
      <c r="R817" s="323"/>
      <c r="S817" s="323"/>
      <c r="T817" s="323"/>
      <c r="U817" s="323"/>
      <c r="V817" s="323"/>
    </row>
    <row r="818">
      <c r="A818" s="323"/>
      <c r="B818" s="323"/>
      <c r="C818" s="322"/>
      <c r="D818" s="322"/>
      <c r="E818" s="323"/>
      <c r="F818" s="322"/>
      <c r="G818" s="322"/>
      <c r="H818" s="322"/>
      <c r="I818" s="322"/>
      <c r="J818" s="387"/>
      <c r="K818" s="388"/>
      <c r="L818" s="323"/>
      <c r="M818" s="323"/>
      <c r="N818" s="323"/>
      <c r="O818" s="323"/>
      <c r="P818" s="323"/>
      <c r="Q818" s="323"/>
      <c r="R818" s="323"/>
      <c r="S818" s="323"/>
      <c r="T818" s="323"/>
      <c r="U818" s="323"/>
      <c r="V818" s="323"/>
    </row>
    <row r="819">
      <c r="A819" s="323"/>
      <c r="B819" s="323"/>
      <c r="C819" s="322"/>
      <c r="D819" s="322"/>
      <c r="E819" s="323"/>
      <c r="F819" s="322"/>
      <c r="G819" s="322"/>
      <c r="H819" s="322"/>
      <c r="I819" s="322"/>
      <c r="J819" s="387"/>
      <c r="K819" s="388"/>
      <c r="L819" s="323"/>
      <c r="M819" s="323"/>
      <c r="N819" s="323"/>
      <c r="O819" s="323"/>
      <c r="P819" s="323"/>
      <c r="Q819" s="323"/>
      <c r="R819" s="323"/>
      <c r="S819" s="323"/>
      <c r="T819" s="323"/>
      <c r="U819" s="323"/>
      <c r="V819" s="323"/>
    </row>
    <row r="820">
      <c r="A820" s="323"/>
      <c r="B820" s="323"/>
      <c r="C820" s="322"/>
      <c r="D820" s="322"/>
      <c r="E820" s="323"/>
      <c r="F820" s="322"/>
      <c r="G820" s="322"/>
      <c r="H820" s="322"/>
      <c r="I820" s="322"/>
      <c r="J820" s="387"/>
      <c r="K820" s="388"/>
      <c r="L820" s="323"/>
      <c r="M820" s="323"/>
      <c r="N820" s="323"/>
      <c r="O820" s="323"/>
      <c r="P820" s="323"/>
      <c r="Q820" s="323"/>
      <c r="R820" s="323"/>
      <c r="S820" s="323"/>
      <c r="T820" s="323"/>
      <c r="U820" s="323"/>
      <c r="V820" s="323"/>
    </row>
    <row r="821">
      <c r="A821" s="323"/>
      <c r="B821" s="323"/>
      <c r="C821" s="322"/>
      <c r="D821" s="322"/>
      <c r="E821" s="323"/>
      <c r="F821" s="322"/>
      <c r="G821" s="322"/>
      <c r="H821" s="322"/>
      <c r="I821" s="322"/>
      <c r="J821" s="387"/>
      <c r="K821" s="388"/>
      <c r="L821" s="323"/>
      <c r="M821" s="323"/>
      <c r="N821" s="323"/>
      <c r="O821" s="323"/>
      <c r="P821" s="323"/>
      <c r="Q821" s="323"/>
      <c r="R821" s="323"/>
      <c r="S821" s="323"/>
      <c r="T821" s="323"/>
      <c r="U821" s="323"/>
      <c r="V821" s="323"/>
    </row>
    <row r="822">
      <c r="A822" s="323"/>
      <c r="B822" s="323"/>
      <c r="C822" s="322"/>
      <c r="D822" s="322"/>
      <c r="E822" s="323"/>
      <c r="F822" s="322"/>
      <c r="G822" s="322"/>
      <c r="H822" s="322"/>
      <c r="I822" s="322"/>
      <c r="J822" s="387"/>
      <c r="K822" s="388"/>
      <c r="L822" s="323"/>
      <c r="M822" s="323"/>
      <c r="N822" s="323"/>
      <c r="O822" s="323"/>
      <c r="P822" s="323"/>
      <c r="Q822" s="323"/>
      <c r="R822" s="323"/>
      <c r="S822" s="323"/>
      <c r="T822" s="323"/>
      <c r="U822" s="323"/>
      <c r="V822" s="323"/>
    </row>
    <row r="823">
      <c r="A823" s="323"/>
      <c r="B823" s="323"/>
      <c r="C823" s="322"/>
      <c r="D823" s="322"/>
      <c r="E823" s="323"/>
      <c r="F823" s="322"/>
      <c r="G823" s="322"/>
      <c r="H823" s="322"/>
      <c r="I823" s="322"/>
      <c r="J823" s="387"/>
      <c r="K823" s="388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</row>
    <row r="824">
      <c r="A824" s="323"/>
      <c r="B824" s="323"/>
      <c r="C824" s="322"/>
      <c r="D824" s="322"/>
      <c r="E824" s="323"/>
      <c r="F824" s="322"/>
      <c r="G824" s="322"/>
      <c r="H824" s="322"/>
      <c r="I824" s="322"/>
      <c r="J824" s="387"/>
      <c r="K824" s="388"/>
      <c r="L824" s="323"/>
      <c r="M824" s="323"/>
      <c r="N824" s="323"/>
      <c r="O824" s="323"/>
      <c r="P824" s="323"/>
      <c r="Q824" s="323"/>
      <c r="R824" s="323"/>
      <c r="S824" s="323"/>
      <c r="T824" s="323"/>
      <c r="U824" s="323"/>
      <c r="V824" s="323"/>
    </row>
    <row r="825">
      <c r="A825" s="323"/>
      <c r="B825" s="323"/>
      <c r="C825" s="322"/>
      <c r="D825" s="322"/>
      <c r="E825" s="323"/>
      <c r="F825" s="322"/>
      <c r="G825" s="322"/>
      <c r="H825" s="322"/>
      <c r="I825" s="322"/>
      <c r="J825" s="387"/>
      <c r="K825" s="388"/>
      <c r="L825" s="323"/>
      <c r="M825" s="323"/>
      <c r="N825" s="323"/>
      <c r="O825" s="323"/>
      <c r="P825" s="323"/>
      <c r="Q825" s="323"/>
      <c r="R825" s="323"/>
      <c r="S825" s="323"/>
      <c r="T825" s="323"/>
      <c r="U825" s="323"/>
      <c r="V825" s="323"/>
    </row>
    <row r="826">
      <c r="A826" s="323"/>
      <c r="B826" s="323"/>
      <c r="C826" s="322"/>
      <c r="D826" s="322"/>
      <c r="E826" s="323"/>
      <c r="F826" s="322"/>
      <c r="G826" s="322"/>
      <c r="H826" s="322"/>
      <c r="I826" s="322"/>
      <c r="J826" s="387"/>
      <c r="K826" s="388"/>
      <c r="L826" s="323"/>
      <c r="M826" s="323"/>
      <c r="N826" s="323"/>
      <c r="O826" s="323"/>
      <c r="P826" s="323"/>
      <c r="Q826" s="323"/>
      <c r="R826" s="323"/>
      <c r="S826" s="323"/>
      <c r="T826" s="323"/>
      <c r="U826" s="323"/>
      <c r="V826" s="323"/>
    </row>
    <row r="827">
      <c r="A827" s="323"/>
      <c r="B827" s="323"/>
      <c r="C827" s="322"/>
      <c r="D827" s="322"/>
      <c r="E827" s="323"/>
      <c r="F827" s="322"/>
      <c r="G827" s="322"/>
      <c r="H827" s="322"/>
      <c r="I827" s="322"/>
      <c r="J827" s="387"/>
      <c r="K827" s="388"/>
      <c r="L827" s="323"/>
      <c r="M827" s="323"/>
      <c r="N827" s="323"/>
      <c r="O827" s="323"/>
      <c r="P827" s="323"/>
      <c r="Q827" s="323"/>
      <c r="R827" s="323"/>
      <c r="S827" s="323"/>
      <c r="T827" s="323"/>
      <c r="U827" s="323"/>
      <c r="V827" s="323"/>
    </row>
    <row r="828">
      <c r="A828" s="323"/>
      <c r="B828" s="323"/>
      <c r="C828" s="322"/>
      <c r="D828" s="322"/>
      <c r="E828" s="323"/>
      <c r="F828" s="322"/>
      <c r="G828" s="322"/>
      <c r="H828" s="322"/>
      <c r="I828" s="322"/>
      <c r="J828" s="387"/>
      <c r="K828" s="388"/>
      <c r="L828" s="323"/>
      <c r="M828" s="323"/>
      <c r="N828" s="323"/>
      <c r="O828" s="323"/>
      <c r="P828" s="323"/>
      <c r="Q828" s="323"/>
      <c r="R828" s="323"/>
      <c r="S828" s="323"/>
      <c r="T828" s="323"/>
      <c r="U828" s="323"/>
      <c r="V828" s="323"/>
    </row>
    <row r="829">
      <c r="A829" s="323"/>
      <c r="B829" s="323"/>
      <c r="C829" s="322"/>
      <c r="D829" s="322"/>
      <c r="E829" s="323"/>
      <c r="F829" s="322"/>
      <c r="G829" s="322"/>
      <c r="H829" s="322"/>
      <c r="I829" s="322"/>
      <c r="J829" s="387"/>
      <c r="K829" s="388"/>
      <c r="L829" s="323"/>
      <c r="M829" s="323"/>
      <c r="N829" s="323"/>
      <c r="O829" s="323"/>
      <c r="P829" s="323"/>
      <c r="Q829" s="323"/>
      <c r="R829" s="323"/>
      <c r="S829" s="323"/>
      <c r="T829" s="323"/>
      <c r="U829" s="323"/>
      <c r="V829" s="323"/>
    </row>
    <row r="830">
      <c r="A830" s="323"/>
      <c r="B830" s="323"/>
      <c r="C830" s="322"/>
      <c r="D830" s="322"/>
      <c r="E830" s="323"/>
      <c r="F830" s="322"/>
      <c r="G830" s="322"/>
      <c r="H830" s="322"/>
      <c r="I830" s="322"/>
      <c r="J830" s="387"/>
      <c r="K830" s="388"/>
      <c r="L830" s="323"/>
      <c r="M830" s="323"/>
      <c r="N830" s="323"/>
      <c r="O830" s="323"/>
      <c r="P830" s="323"/>
      <c r="Q830" s="323"/>
      <c r="R830" s="323"/>
      <c r="S830" s="323"/>
      <c r="T830" s="323"/>
      <c r="U830" s="323"/>
      <c r="V830" s="323"/>
    </row>
    <row r="831">
      <c r="A831" s="323"/>
      <c r="B831" s="323"/>
      <c r="C831" s="322"/>
      <c r="D831" s="322"/>
      <c r="E831" s="323"/>
      <c r="F831" s="322"/>
      <c r="G831" s="322"/>
      <c r="H831" s="322"/>
      <c r="I831" s="322"/>
      <c r="J831" s="387"/>
      <c r="K831" s="388"/>
      <c r="L831" s="323"/>
      <c r="M831" s="323"/>
      <c r="N831" s="323"/>
      <c r="O831" s="323"/>
      <c r="P831" s="323"/>
      <c r="Q831" s="323"/>
      <c r="R831" s="323"/>
      <c r="S831" s="323"/>
      <c r="T831" s="323"/>
      <c r="U831" s="323"/>
      <c r="V831" s="323"/>
    </row>
    <row r="832">
      <c r="A832" s="323"/>
      <c r="B832" s="323"/>
      <c r="C832" s="322"/>
      <c r="D832" s="322"/>
      <c r="E832" s="323"/>
      <c r="F832" s="322"/>
      <c r="G832" s="322"/>
      <c r="H832" s="322"/>
      <c r="I832" s="322"/>
      <c r="J832" s="387"/>
      <c r="K832" s="388"/>
      <c r="L832" s="323"/>
      <c r="M832" s="323"/>
      <c r="N832" s="323"/>
      <c r="O832" s="323"/>
      <c r="P832" s="323"/>
      <c r="Q832" s="323"/>
      <c r="R832" s="323"/>
      <c r="S832" s="323"/>
      <c r="T832" s="323"/>
      <c r="U832" s="323"/>
      <c r="V832" s="323"/>
    </row>
    <row r="833">
      <c r="A833" s="323"/>
      <c r="B833" s="323"/>
      <c r="C833" s="322"/>
      <c r="D833" s="322"/>
      <c r="E833" s="323"/>
      <c r="F833" s="322"/>
      <c r="G833" s="322"/>
      <c r="H833" s="322"/>
      <c r="I833" s="322"/>
      <c r="J833" s="387"/>
      <c r="K833" s="388"/>
      <c r="L833" s="323"/>
      <c r="M833" s="323"/>
      <c r="N833" s="323"/>
      <c r="O833" s="323"/>
      <c r="P833" s="323"/>
      <c r="Q833" s="323"/>
      <c r="R833" s="323"/>
      <c r="S833" s="323"/>
      <c r="T833" s="323"/>
      <c r="U833" s="323"/>
      <c r="V833" s="323"/>
    </row>
    <row r="834">
      <c r="A834" s="323"/>
      <c r="B834" s="323"/>
      <c r="C834" s="322"/>
      <c r="D834" s="322"/>
      <c r="E834" s="323"/>
      <c r="F834" s="322"/>
      <c r="G834" s="322"/>
      <c r="H834" s="322"/>
      <c r="I834" s="322"/>
      <c r="J834" s="387"/>
      <c r="K834" s="388"/>
      <c r="L834" s="323"/>
      <c r="M834" s="323"/>
      <c r="N834" s="323"/>
      <c r="O834" s="323"/>
      <c r="P834" s="323"/>
      <c r="Q834" s="323"/>
      <c r="R834" s="323"/>
      <c r="S834" s="323"/>
      <c r="T834" s="323"/>
      <c r="U834" s="323"/>
      <c r="V834" s="323"/>
    </row>
    <row r="835">
      <c r="A835" s="323"/>
      <c r="B835" s="323"/>
      <c r="C835" s="322"/>
      <c r="D835" s="322"/>
      <c r="E835" s="323"/>
      <c r="F835" s="322"/>
      <c r="G835" s="322"/>
      <c r="H835" s="322"/>
      <c r="I835" s="322"/>
      <c r="J835" s="387"/>
      <c r="K835" s="388"/>
      <c r="L835" s="323"/>
      <c r="M835" s="323"/>
      <c r="N835" s="323"/>
      <c r="O835" s="323"/>
      <c r="P835" s="323"/>
      <c r="Q835" s="323"/>
      <c r="R835" s="323"/>
      <c r="S835" s="323"/>
      <c r="T835" s="323"/>
      <c r="U835" s="323"/>
      <c r="V835" s="323"/>
    </row>
    <row r="836">
      <c r="A836" s="323"/>
      <c r="B836" s="323"/>
      <c r="C836" s="322"/>
      <c r="D836" s="322"/>
      <c r="E836" s="323"/>
      <c r="F836" s="322"/>
      <c r="G836" s="322"/>
      <c r="H836" s="322"/>
      <c r="I836" s="322"/>
      <c r="J836" s="387"/>
      <c r="K836" s="388"/>
      <c r="L836" s="323"/>
      <c r="M836" s="323"/>
      <c r="N836" s="323"/>
      <c r="O836" s="323"/>
      <c r="P836" s="323"/>
      <c r="Q836" s="323"/>
      <c r="R836" s="323"/>
      <c r="S836" s="323"/>
      <c r="T836" s="323"/>
      <c r="U836" s="323"/>
      <c r="V836" s="323"/>
    </row>
    <row r="837">
      <c r="A837" s="323"/>
      <c r="B837" s="323"/>
      <c r="C837" s="322"/>
      <c r="D837" s="322"/>
      <c r="E837" s="323"/>
      <c r="F837" s="322"/>
      <c r="G837" s="322"/>
      <c r="H837" s="322"/>
      <c r="I837" s="322"/>
      <c r="J837" s="387"/>
      <c r="K837" s="388"/>
      <c r="L837" s="323"/>
      <c r="M837" s="323"/>
      <c r="N837" s="323"/>
      <c r="O837" s="323"/>
      <c r="P837" s="323"/>
      <c r="Q837" s="323"/>
      <c r="R837" s="323"/>
      <c r="S837" s="323"/>
      <c r="T837" s="323"/>
      <c r="U837" s="323"/>
      <c r="V837" s="323"/>
    </row>
    <row r="838">
      <c r="A838" s="323"/>
      <c r="B838" s="323"/>
      <c r="C838" s="322"/>
      <c r="D838" s="322"/>
      <c r="E838" s="323"/>
      <c r="F838" s="322"/>
      <c r="G838" s="322"/>
      <c r="H838" s="322"/>
      <c r="I838" s="322"/>
      <c r="J838" s="387"/>
      <c r="K838" s="388"/>
      <c r="L838" s="323"/>
      <c r="M838" s="323"/>
      <c r="N838" s="323"/>
      <c r="O838" s="323"/>
      <c r="P838" s="323"/>
      <c r="Q838" s="323"/>
      <c r="R838" s="323"/>
      <c r="S838" s="323"/>
      <c r="T838" s="323"/>
      <c r="U838" s="323"/>
      <c r="V838" s="323"/>
    </row>
    <row r="839">
      <c r="A839" s="323"/>
      <c r="B839" s="323"/>
      <c r="C839" s="322"/>
      <c r="D839" s="322"/>
      <c r="E839" s="323"/>
      <c r="F839" s="322"/>
      <c r="G839" s="322"/>
      <c r="H839" s="322"/>
      <c r="I839" s="322"/>
      <c r="J839" s="387"/>
      <c r="K839" s="388"/>
      <c r="L839" s="323"/>
      <c r="M839" s="323"/>
      <c r="N839" s="323"/>
      <c r="O839" s="323"/>
      <c r="P839" s="323"/>
      <c r="Q839" s="323"/>
      <c r="R839" s="323"/>
      <c r="S839" s="323"/>
      <c r="T839" s="323"/>
      <c r="U839" s="323"/>
      <c r="V839" s="323"/>
    </row>
    <row r="840">
      <c r="A840" s="323"/>
      <c r="B840" s="323"/>
      <c r="C840" s="322"/>
      <c r="D840" s="322"/>
      <c r="E840" s="323"/>
      <c r="F840" s="322"/>
      <c r="G840" s="322"/>
      <c r="H840" s="322"/>
      <c r="I840" s="322"/>
      <c r="J840" s="387"/>
      <c r="K840" s="388"/>
      <c r="L840" s="323"/>
      <c r="M840" s="323"/>
      <c r="N840" s="323"/>
      <c r="O840" s="323"/>
      <c r="P840" s="323"/>
      <c r="Q840" s="323"/>
      <c r="R840" s="323"/>
      <c r="S840" s="323"/>
      <c r="T840" s="323"/>
      <c r="U840" s="323"/>
      <c r="V840" s="323"/>
    </row>
    <row r="841">
      <c r="A841" s="323"/>
      <c r="B841" s="323"/>
      <c r="C841" s="322"/>
      <c r="D841" s="322"/>
      <c r="E841" s="323"/>
      <c r="F841" s="322"/>
      <c r="G841" s="322"/>
      <c r="H841" s="322"/>
      <c r="I841" s="322"/>
      <c r="J841" s="387"/>
      <c r="K841" s="388"/>
      <c r="L841" s="323"/>
      <c r="M841" s="323"/>
      <c r="N841" s="323"/>
      <c r="O841" s="323"/>
      <c r="P841" s="323"/>
      <c r="Q841" s="323"/>
      <c r="R841" s="323"/>
      <c r="S841" s="323"/>
      <c r="T841" s="323"/>
      <c r="U841" s="323"/>
      <c r="V841" s="323"/>
    </row>
    <row r="842">
      <c r="A842" s="323"/>
      <c r="B842" s="323"/>
      <c r="C842" s="322"/>
      <c r="D842" s="322"/>
      <c r="E842" s="323"/>
      <c r="F842" s="322"/>
      <c r="G842" s="322"/>
      <c r="H842" s="322"/>
      <c r="I842" s="322"/>
      <c r="J842" s="387"/>
      <c r="K842" s="388"/>
      <c r="L842" s="323"/>
      <c r="M842" s="323"/>
      <c r="N842" s="323"/>
      <c r="O842" s="323"/>
      <c r="P842" s="323"/>
      <c r="Q842" s="323"/>
      <c r="R842" s="323"/>
      <c r="S842" s="323"/>
      <c r="T842" s="323"/>
      <c r="U842" s="323"/>
      <c r="V842" s="323"/>
    </row>
    <row r="843">
      <c r="A843" s="323"/>
      <c r="B843" s="323"/>
      <c r="C843" s="322"/>
      <c r="D843" s="322"/>
      <c r="E843" s="323"/>
      <c r="F843" s="322"/>
      <c r="G843" s="322"/>
      <c r="H843" s="322"/>
      <c r="I843" s="322"/>
      <c r="J843" s="387"/>
      <c r="K843" s="388"/>
      <c r="L843" s="323"/>
      <c r="M843" s="323"/>
      <c r="N843" s="323"/>
      <c r="O843" s="323"/>
      <c r="P843" s="323"/>
      <c r="Q843" s="323"/>
      <c r="R843" s="323"/>
      <c r="S843" s="323"/>
      <c r="T843" s="323"/>
      <c r="U843" s="323"/>
      <c r="V843" s="323"/>
    </row>
    <row r="844">
      <c r="A844" s="323"/>
      <c r="B844" s="323"/>
      <c r="C844" s="322"/>
      <c r="D844" s="322"/>
      <c r="E844" s="323"/>
      <c r="F844" s="322"/>
      <c r="G844" s="322"/>
      <c r="H844" s="322"/>
      <c r="I844" s="322"/>
      <c r="J844" s="387"/>
      <c r="K844" s="388"/>
      <c r="L844" s="323"/>
      <c r="M844" s="323"/>
      <c r="N844" s="323"/>
      <c r="O844" s="323"/>
      <c r="P844" s="323"/>
      <c r="Q844" s="323"/>
      <c r="R844" s="323"/>
      <c r="S844" s="323"/>
      <c r="T844" s="323"/>
      <c r="U844" s="323"/>
      <c r="V844" s="323"/>
    </row>
    <row r="845">
      <c r="A845" s="323"/>
      <c r="B845" s="323"/>
      <c r="C845" s="322"/>
      <c r="D845" s="322"/>
      <c r="E845" s="323"/>
      <c r="F845" s="322"/>
      <c r="G845" s="322"/>
      <c r="H845" s="322"/>
      <c r="I845" s="322"/>
      <c r="J845" s="387"/>
      <c r="K845" s="388"/>
      <c r="L845" s="323"/>
      <c r="M845" s="323"/>
      <c r="N845" s="323"/>
      <c r="O845" s="323"/>
      <c r="P845" s="323"/>
      <c r="Q845" s="323"/>
      <c r="R845" s="323"/>
      <c r="S845" s="323"/>
      <c r="T845" s="323"/>
      <c r="U845" s="323"/>
      <c r="V845" s="323"/>
    </row>
    <row r="846">
      <c r="A846" s="323"/>
      <c r="B846" s="323"/>
      <c r="C846" s="322"/>
      <c r="D846" s="322"/>
      <c r="E846" s="323"/>
      <c r="F846" s="322"/>
      <c r="G846" s="322"/>
      <c r="H846" s="322"/>
      <c r="I846" s="322"/>
      <c r="J846" s="387"/>
      <c r="K846" s="388"/>
      <c r="L846" s="323"/>
      <c r="M846" s="323"/>
      <c r="N846" s="323"/>
      <c r="O846" s="323"/>
      <c r="P846" s="323"/>
      <c r="Q846" s="323"/>
      <c r="R846" s="323"/>
      <c r="S846" s="323"/>
      <c r="T846" s="323"/>
      <c r="U846" s="323"/>
      <c r="V846" s="323"/>
    </row>
    <row r="847">
      <c r="A847" s="323"/>
      <c r="B847" s="323"/>
      <c r="C847" s="322"/>
      <c r="D847" s="322"/>
      <c r="E847" s="323"/>
      <c r="F847" s="322"/>
      <c r="G847" s="322"/>
      <c r="H847" s="322"/>
      <c r="I847" s="322"/>
      <c r="J847" s="387"/>
      <c r="K847" s="388"/>
      <c r="L847" s="323"/>
      <c r="M847" s="323"/>
      <c r="N847" s="323"/>
      <c r="O847" s="323"/>
      <c r="P847" s="323"/>
      <c r="Q847" s="323"/>
      <c r="R847" s="323"/>
      <c r="S847" s="323"/>
      <c r="T847" s="323"/>
      <c r="U847" s="323"/>
      <c r="V847" s="323"/>
    </row>
    <row r="848">
      <c r="A848" s="323"/>
      <c r="B848" s="323"/>
      <c r="C848" s="322"/>
      <c r="D848" s="322"/>
      <c r="E848" s="323"/>
      <c r="F848" s="322"/>
      <c r="G848" s="322"/>
      <c r="H848" s="322"/>
      <c r="I848" s="322"/>
      <c r="J848" s="387"/>
      <c r="K848" s="388"/>
      <c r="L848" s="323"/>
      <c r="M848" s="323"/>
      <c r="N848" s="323"/>
      <c r="O848" s="323"/>
      <c r="P848" s="323"/>
      <c r="Q848" s="323"/>
      <c r="R848" s="323"/>
      <c r="S848" s="323"/>
      <c r="T848" s="323"/>
      <c r="U848" s="323"/>
      <c r="V848" s="323"/>
    </row>
    <row r="849">
      <c r="A849" s="323"/>
      <c r="B849" s="323"/>
      <c r="C849" s="322"/>
      <c r="D849" s="322"/>
      <c r="E849" s="323"/>
      <c r="F849" s="322"/>
      <c r="G849" s="322"/>
      <c r="H849" s="322"/>
      <c r="I849" s="322"/>
      <c r="J849" s="387"/>
      <c r="K849" s="388"/>
      <c r="L849" s="323"/>
      <c r="M849" s="323"/>
      <c r="N849" s="323"/>
      <c r="O849" s="323"/>
      <c r="P849" s="323"/>
      <c r="Q849" s="323"/>
      <c r="R849" s="323"/>
      <c r="S849" s="323"/>
      <c r="T849" s="323"/>
      <c r="U849" s="323"/>
      <c r="V849" s="323"/>
    </row>
    <row r="850">
      <c r="A850" s="323"/>
      <c r="B850" s="323"/>
      <c r="C850" s="322"/>
      <c r="D850" s="322"/>
      <c r="E850" s="323"/>
      <c r="F850" s="322"/>
      <c r="G850" s="322"/>
      <c r="H850" s="322"/>
      <c r="I850" s="322"/>
      <c r="J850" s="387"/>
      <c r="K850" s="388"/>
      <c r="L850" s="323"/>
      <c r="M850" s="323"/>
      <c r="N850" s="323"/>
      <c r="O850" s="323"/>
      <c r="P850" s="323"/>
      <c r="Q850" s="323"/>
      <c r="R850" s="323"/>
      <c r="S850" s="323"/>
      <c r="T850" s="323"/>
      <c r="U850" s="323"/>
      <c r="V850" s="323"/>
    </row>
    <row r="851">
      <c r="A851" s="323"/>
      <c r="B851" s="323"/>
      <c r="C851" s="322"/>
      <c r="D851" s="322"/>
      <c r="E851" s="323"/>
      <c r="F851" s="322"/>
      <c r="G851" s="322"/>
      <c r="H851" s="322"/>
      <c r="I851" s="322"/>
      <c r="J851" s="387"/>
      <c r="K851" s="388"/>
      <c r="L851" s="323"/>
      <c r="M851" s="323"/>
      <c r="N851" s="323"/>
      <c r="O851" s="323"/>
      <c r="P851" s="323"/>
      <c r="Q851" s="323"/>
      <c r="R851" s="323"/>
      <c r="S851" s="323"/>
      <c r="T851" s="323"/>
      <c r="U851" s="323"/>
      <c r="V851" s="323"/>
    </row>
    <row r="852">
      <c r="A852" s="323"/>
      <c r="B852" s="323"/>
      <c r="C852" s="322"/>
      <c r="D852" s="322"/>
      <c r="E852" s="323"/>
      <c r="F852" s="322"/>
      <c r="G852" s="322"/>
      <c r="H852" s="322"/>
      <c r="I852" s="322"/>
      <c r="J852" s="387"/>
      <c r="K852" s="388"/>
      <c r="L852" s="323"/>
      <c r="M852" s="323"/>
      <c r="N852" s="323"/>
      <c r="O852" s="323"/>
      <c r="P852" s="323"/>
      <c r="Q852" s="323"/>
      <c r="R852" s="323"/>
      <c r="S852" s="323"/>
      <c r="T852" s="323"/>
      <c r="U852" s="323"/>
      <c r="V852" s="323"/>
    </row>
    <row r="853">
      <c r="A853" s="323"/>
      <c r="B853" s="323"/>
      <c r="C853" s="322"/>
      <c r="D853" s="322"/>
      <c r="E853" s="323"/>
      <c r="F853" s="322"/>
      <c r="G853" s="322"/>
      <c r="H853" s="322"/>
      <c r="I853" s="322"/>
      <c r="J853" s="387"/>
      <c r="K853" s="388"/>
      <c r="L853" s="323"/>
      <c r="M853" s="323"/>
      <c r="N853" s="323"/>
      <c r="O853" s="323"/>
      <c r="P853" s="323"/>
      <c r="Q853" s="323"/>
      <c r="R853" s="323"/>
      <c r="S853" s="323"/>
      <c r="T853" s="323"/>
      <c r="U853" s="323"/>
      <c r="V853" s="323"/>
    </row>
    <row r="854">
      <c r="A854" s="323"/>
      <c r="B854" s="323"/>
      <c r="C854" s="322"/>
      <c r="D854" s="322"/>
      <c r="E854" s="323"/>
      <c r="F854" s="322"/>
      <c r="G854" s="322"/>
      <c r="H854" s="322"/>
      <c r="I854" s="322"/>
      <c r="J854" s="387"/>
      <c r="K854" s="388"/>
      <c r="L854" s="323"/>
      <c r="M854" s="323"/>
      <c r="N854" s="323"/>
      <c r="O854" s="323"/>
      <c r="P854" s="323"/>
      <c r="Q854" s="323"/>
      <c r="R854" s="323"/>
      <c r="S854" s="323"/>
      <c r="T854" s="323"/>
      <c r="U854" s="323"/>
      <c r="V854" s="323"/>
    </row>
    <row r="855">
      <c r="A855" s="323"/>
      <c r="B855" s="323"/>
      <c r="C855" s="322"/>
      <c r="D855" s="322"/>
      <c r="E855" s="323"/>
      <c r="F855" s="322"/>
      <c r="G855" s="322"/>
      <c r="H855" s="322"/>
      <c r="I855" s="322"/>
      <c r="J855" s="387"/>
      <c r="K855" s="388"/>
      <c r="L855" s="323"/>
      <c r="M855" s="323"/>
      <c r="N855" s="323"/>
      <c r="O855" s="323"/>
      <c r="P855" s="323"/>
      <c r="Q855" s="323"/>
      <c r="R855" s="323"/>
      <c r="S855" s="323"/>
      <c r="T855" s="323"/>
      <c r="U855" s="323"/>
      <c r="V855" s="323"/>
    </row>
    <row r="856">
      <c r="A856" s="323"/>
      <c r="B856" s="323"/>
      <c r="C856" s="322"/>
      <c r="D856" s="322"/>
      <c r="E856" s="323"/>
      <c r="F856" s="322"/>
      <c r="G856" s="322"/>
      <c r="H856" s="322"/>
      <c r="I856" s="322"/>
      <c r="J856" s="387"/>
      <c r="K856" s="388"/>
      <c r="L856" s="323"/>
      <c r="M856" s="323"/>
      <c r="N856" s="323"/>
      <c r="O856" s="323"/>
      <c r="P856" s="323"/>
      <c r="Q856" s="323"/>
      <c r="R856" s="323"/>
      <c r="S856" s="323"/>
      <c r="T856" s="323"/>
      <c r="U856" s="323"/>
      <c r="V856" s="323"/>
    </row>
    <row r="857">
      <c r="A857" s="323"/>
      <c r="B857" s="323"/>
      <c r="C857" s="322"/>
      <c r="D857" s="322"/>
      <c r="E857" s="323"/>
      <c r="F857" s="322"/>
      <c r="G857" s="322"/>
      <c r="H857" s="322"/>
      <c r="I857" s="322"/>
      <c r="J857" s="387"/>
      <c r="K857" s="388"/>
      <c r="L857" s="323"/>
      <c r="M857" s="323"/>
      <c r="N857" s="323"/>
      <c r="O857" s="323"/>
      <c r="P857" s="323"/>
      <c r="Q857" s="323"/>
      <c r="R857" s="323"/>
      <c r="S857" s="323"/>
      <c r="T857" s="323"/>
      <c r="U857" s="323"/>
      <c r="V857" s="323"/>
    </row>
    <row r="858">
      <c r="A858" s="323"/>
      <c r="B858" s="323"/>
      <c r="C858" s="322"/>
      <c r="D858" s="322"/>
      <c r="E858" s="323"/>
      <c r="F858" s="322"/>
      <c r="G858" s="322"/>
      <c r="H858" s="322"/>
      <c r="I858" s="322"/>
      <c r="J858" s="387"/>
      <c r="K858" s="388"/>
      <c r="L858" s="323"/>
      <c r="M858" s="323"/>
      <c r="N858" s="323"/>
      <c r="O858" s="323"/>
      <c r="P858" s="323"/>
      <c r="Q858" s="323"/>
      <c r="R858" s="323"/>
      <c r="S858" s="323"/>
      <c r="T858" s="323"/>
      <c r="U858" s="323"/>
      <c r="V858" s="323"/>
    </row>
    <row r="859">
      <c r="A859" s="323"/>
      <c r="B859" s="323"/>
      <c r="C859" s="322"/>
      <c r="D859" s="322"/>
      <c r="E859" s="323"/>
      <c r="F859" s="322"/>
      <c r="G859" s="322"/>
      <c r="H859" s="322"/>
      <c r="I859" s="322"/>
      <c r="J859" s="387"/>
      <c r="K859" s="388"/>
      <c r="L859" s="323"/>
      <c r="M859" s="323"/>
      <c r="N859" s="323"/>
      <c r="O859" s="323"/>
      <c r="P859" s="323"/>
      <c r="Q859" s="323"/>
      <c r="R859" s="323"/>
      <c r="S859" s="323"/>
      <c r="T859" s="323"/>
      <c r="U859" s="323"/>
      <c r="V859" s="323"/>
    </row>
    <row r="860">
      <c r="A860" s="323"/>
      <c r="B860" s="323"/>
      <c r="C860" s="322"/>
      <c r="D860" s="322"/>
      <c r="E860" s="323"/>
      <c r="F860" s="322"/>
      <c r="G860" s="322"/>
      <c r="H860" s="322"/>
      <c r="I860" s="322"/>
      <c r="J860" s="387"/>
      <c r="K860" s="388"/>
      <c r="L860" s="323"/>
      <c r="M860" s="323"/>
      <c r="N860" s="323"/>
      <c r="O860" s="323"/>
      <c r="P860" s="323"/>
      <c r="Q860" s="323"/>
      <c r="R860" s="323"/>
      <c r="S860" s="323"/>
      <c r="T860" s="323"/>
      <c r="U860" s="323"/>
      <c r="V860" s="323"/>
    </row>
    <row r="861">
      <c r="A861" s="323"/>
      <c r="B861" s="323"/>
      <c r="C861" s="322"/>
      <c r="D861" s="322"/>
      <c r="E861" s="323"/>
      <c r="F861" s="322"/>
      <c r="G861" s="322"/>
      <c r="H861" s="322"/>
      <c r="I861" s="322"/>
      <c r="J861" s="387"/>
      <c r="K861" s="388"/>
      <c r="L861" s="323"/>
      <c r="M861" s="323"/>
      <c r="N861" s="323"/>
      <c r="O861" s="323"/>
      <c r="P861" s="323"/>
      <c r="Q861" s="323"/>
      <c r="R861" s="323"/>
      <c r="S861" s="323"/>
      <c r="T861" s="323"/>
      <c r="U861" s="323"/>
      <c r="V861" s="323"/>
    </row>
    <row r="862">
      <c r="A862" s="323"/>
      <c r="B862" s="323"/>
      <c r="C862" s="322"/>
      <c r="D862" s="322"/>
      <c r="E862" s="323"/>
      <c r="F862" s="322"/>
      <c r="G862" s="322"/>
      <c r="H862" s="322"/>
      <c r="I862" s="322"/>
      <c r="J862" s="387"/>
      <c r="K862" s="388"/>
      <c r="L862" s="323"/>
      <c r="M862" s="323"/>
      <c r="N862" s="323"/>
      <c r="O862" s="323"/>
      <c r="P862" s="323"/>
      <c r="Q862" s="323"/>
      <c r="R862" s="323"/>
      <c r="S862" s="323"/>
      <c r="T862" s="323"/>
      <c r="U862" s="323"/>
      <c r="V862" s="323"/>
    </row>
    <row r="863">
      <c r="A863" s="323"/>
      <c r="B863" s="323"/>
      <c r="C863" s="322"/>
      <c r="D863" s="322"/>
      <c r="E863" s="323"/>
      <c r="F863" s="322"/>
      <c r="G863" s="322"/>
      <c r="H863" s="322"/>
      <c r="I863" s="322"/>
      <c r="J863" s="387"/>
      <c r="K863" s="388"/>
      <c r="L863" s="323"/>
      <c r="M863" s="323"/>
      <c r="N863" s="323"/>
      <c r="O863" s="323"/>
      <c r="P863" s="323"/>
      <c r="Q863" s="323"/>
      <c r="R863" s="323"/>
      <c r="S863" s="323"/>
      <c r="T863" s="323"/>
      <c r="U863" s="323"/>
      <c r="V863" s="323"/>
    </row>
    <row r="864">
      <c r="A864" s="323"/>
      <c r="B864" s="323"/>
      <c r="C864" s="322"/>
      <c r="D864" s="322"/>
      <c r="E864" s="323"/>
      <c r="F864" s="322"/>
      <c r="G864" s="322"/>
      <c r="H864" s="322"/>
      <c r="I864" s="322"/>
      <c r="J864" s="387"/>
      <c r="K864" s="388"/>
      <c r="L864" s="323"/>
      <c r="M864" s="323"/>
      <c r="N864" s="323"/>
      <c r="O864" s="323"/>
      <c r="P864" s="323"/>
      <c r="Q864" s="323"/>
      <c r="R864" s="323"/>
      <c r="S864" s="323"/>
      <c r="T864" s="323"/>
      <c r="U864" s="323"/>
      <c r="V864" s="323"/>
    </row>
    <row r="865">
      <c r="A865" s="323"/>
      <c r="B865" s="323"/>
      <c r="C865" s="322"/>
      <c r="D865" s="322"/>
      <c r="E865" s="323"/>
      <c r="F865" s="322"/>
      <c r="G865" s="322"/>
      <c r="H865" s="322"/>
      <c r="I865" s="322"/>
      <c r="J865" s="387"/>
      <c r="K865" s="388"/>
      <c r="L865" s="323"/>
      <c r="M865" s="323"/>
      <c r="N865" s="323"/>
      <c r="O865" s="323"/>
      <c r="P865" s="323"/>
      <c r="Q865" s="323"/>
      <c r="R865" s="323"/>
      <c r="S865" s="323"/>
      <c r="T865" s="323"/>
      <c r="U865" s="323"/>
      <c r="V865" s="323"/>
    </row>
    <row r="866">
      <c r="A866" s="323"/>
      <c r="B866" s="323"/>
      <c r="C866" s="322"/>
      <c r="D866" s="322"/>
      <c r="E866" s="323"/>
      <c r="F866" s="322"/>
      <c r="G866" s="322"/>
      <c r="H866" s="322"/>
      <c r="I866" s="322"/>
      <c r="J866" s="387"/>
      <c r="K866" s="388"/>
      <c r="L866" s="323"/>
      <c r="M866" s="323"/>
      <c r="N866" s="323"/>
      <c r="O866" s="323"/>
      <c r="P866" s="323"/>
      <c r="Q866" s="323"/>
      <c r="R866" s="323"/>
      <c r="S866" s="323"/>
      <c r="T866" s="323"/>
      <c r="U866" s="323"/>
      <c r="V866" s="323"/>
    </row>
    <row r="867">
      <c r="A867" s="323"/>
      <c r="B867" s="323"/>
      <c r="C867" s="322"/>
      <c r="D867" s="322"/>
      <c r="E867" s="323"/>
      <c r="F867" s="322"/>
      <c r="G867" s="322"/>
      <c r="H867" s="322"/>
      <c r="I867" s="322"/>
      <c r="J867" s="387"/>
      <c r="K867" s="388"/>
      <c r="L867" s="323"/>
      <c r="M867" s="323"/>
      <c r="N867" s="323"/>
      <c r="O867" s="323"/>
      <c r="P867" s="323"/>
      <c r="Q867" s="323"/>
      <c r="R867" s="323"/>
      <c r="S867" s="323"/>
      <c r="T867" s="323"/>
      <c r="U867" s="323"/>
      <c r="V867" s="323"/>
    </row>
    <row r="868">
      <c r="A868" s="323"/>
      <c r="B868" s="323"/>
      <c r="C868" s="322"/>
      <c r="D868" s="322"/>
      <c r="E868" s="323"/>
      <c r="F868" s="322"/>
      <c r="G868" s="322"/>
      <c r="H868" s="322"/>
      <c r="I868" s="322"/>
      <c r="J868" s="387"/>
      <c r="K868" s="388"/>
      <c r="L868" s="323"/>
      <c r="M868" s="323"/>
      <c r="N868" s="323"/>
      <c r="O868" s="323"/>
      <c r="P868" s="323"/>
      <c r="Q868" s="323"/>
      <c r="R868" s="323"/>
      <c r="S868" s="323"/>
      <c r="T868" s="323"/>
      <c r="U868" s="323"/>
      <c r="V868" s="323"/>
    </row>
    <row r="869">
      <c r="A869" s="323"/>
      <c r="B869" s="323"/>
      <c r="C869" s="322"/>
      <c r="D869" s="322"/>
      <c r="E869" s="323"/>
      <c r="F869" s="322"/>
      <c r="G869" s="322"/>
      <c r="H869" s="322"/>
      <c r="I869" s="322"/>
      <c r="J869" s="387"/>
      <c r="K869" s="388"/>
      <c r="L869" s="323"/>
      <c r="M869" s="323"/>
      <c r="N869" s="323"/>
      <c r="O869" s="323"/>
      <c r="P869" s="323"/>
      <c r="Q869" s="323"/>
      <c r="R869" s="323"/>
      <c r="S869" s="323"/>
      <c r="T869" s="323"/>
      <c r="U869" s="323"/>
      <c r="V869" s="323"/>
    </row>
    <row r="870">
      <c r="A870" s="323"/>
      <c r="B870" s="323"/>
      <c r="C870" s="322"/>
      <c r="D870" s="322"/>
      <c r="E870" s="323"/>
      <c r="F870" s="322"/>
      <c r="G870" s="322"/>
      <c r="H870" s="322"/>
      <c r="I870" s="322"/>
      <c r="J870" s="387"/>
      <c r="K870" s="388"/>
      <c r="L870" s="323"/>
      <c r="M870" s="323"/>
      <c r="N870" s="323"/>
      <c r="O870" s="323"/>
      <c r="P870" s="323"/>
      <c r="Q870" s="323"/>
      <c r="R870" s="323"/>
      <c r="S870" s="323"/>
      <c r="T870" s="323"/>
      <c r="U870" s="323"/>
      <c r="V870" s="323"/>
    </row>
    <row r="871">
      <c r="A871" s="323"/>
      <c r="B871" s="323"/>
      <c r="C871" s="322"/>
      <c r="D871" s="322"/>
      <c r="E871" s="323"/>
      <c r="F871" s="322"/>
      <c r="G871" s="322"/>
      <c r="H871" s="322"/>
      <c r="I871" s="322"/>
      <c r="J871" s="387"/>
      <c r="K871" s="388"/>
      <c r="L871" s="323"/>
      <c r="M871" s="323"/>
      <c r="N871" s="323"/>
      <c r="O871" s="323"/>
      <c r="P871" s="323"/>
      <c r="Q871" s="323"/>
      <c r="R871" s="323"/>
      <c r="S871" s="323"/>
      <c r="T871" s="323"/>
      <c r="U871" s="323"/>
      <c r="V871" s="323"/>
    </row>
    <row r="872">
      <c r="A872" s="323"/>
      <c r="B872" s="323"/>
      <c r="C872" s="322"/>
      <c r="D872" s="322"/>
      <c r="E872" s="323"/>
      <c r="F872" s="322"/>
      <c r="G872" s="322"/>
      <c r="H872" s="322"/>
      <c r="I872" s="322"/>
      <c r="J872" s="387"/>
      <c r="K872" s="388"/>
      <c r="L872" s="323"/>
      <c r="M872" s="323"/>
      <c r="N872" s="323"/>
      <c r="O872" s="323"/>
      <c r="P872" s="323"/>
      <c r="Q872" s="323"/>
      <c r="R872" s="323"/>
      <c r="S872" s="323"/>
      <c r="T872" s="323"/>
      <c r="U872" s="323"/>
      <c r="V872" s="323"/>
    </row>
    <row r="873">
      <c r="A873" s="323"/>
      <c r="B873" s="323"/>
      <c r="C873" s="322"/>
      <c r="D873" s="322"/>
      <c r="E873" s="323"/>
      <c r="F873" s="322"/>
      <c r="G873" s="322"/>
      <c r="H873" s="322"/>
      <c r="I873" s="322"/>
      <c r="J873" s="387"/>
      <c r="K873" s="388"/>
      <c r="L873" s="323"/>
      <c r="M873" s="323"/>
      <c r="N873" s="323"/>
      <c r="O873" s="323"/>
      <c r="P873" s="323"/>
      <c r="Q873" s="323"/>
      <c r="R873" s="323"/>
      <c r="S873" s="323"/>
      <c r="T873" s="323"/>
      <c r="U873" s="323"/>
      <c r="V873" s="323"/>
    </row>
    <row r="874">
      <c r="A874" s="323"/>
      <c r="B874" s="323"/>
      <c r="C874" s="322"/>
      <c r="D874" s="322"/>
      <c r="E874" s="323"/>
      <c r="F874" s="322"/>
      <c r="G874" s="322"/>
      <c r="H874" s="322"/>
      <c r="I874" s="322"/>
      <c r="J874" s="387"/>
      <c r="K874" s="388"/>
      <c r="L874" s="323"/>
      <c r="M874" s="323"/>
      <c r="N874" s="323"/>
      <c r="O874" s="323"/>
      <c r="P874" s="323"/>
      <c r="Q874" s="323"/>
      <c r="R874" s="323"/>
      <c r="S874" s="323"/>
      <c r="T874" s="323"/>
      <c r="U874" s="323"/>
      <c r="V874" s="323"/>
    </row>
    <row r="875">
      <c r="A875" s="323"/>
      <c r="B875" s="323"/>
      <c r="C875" s="322"/>
      <c r="D875" s="322"/>
      <c r="E875" s="323"/>
      <c r="F875" s="322"/>
      <c r="G875" s="322"/>
      <c r="H875" s="322"/>
      <c r="I875" s="322"/>
      <c r="J875" s="387"/>
      <c r="K875" s="388"/>
      <c r="L875" s="323"/>
      <c r="M875" s="323"/>
      <c r="N875" s="323"/>
      <c r="O875" s="323"/>
      <c r="P875" s="323"/>
      <c r="Q875" s="323"/>
      <c r="R875" s="323"/>
      <c r="S875" s="323"/>
      <c r="T875" s="323"/>
      <c r="U875" s="323"/>
      <c r="V875" s="323"/>
    </row>
    <row r="876">
      <c r="A876" s="323"/>
      <c r="B876" s="323"/>
      <c r="C876" s="322"/>
      <c r="D876" s="322"/>
      <c r="E876" s="323"/>
      <c r="F876" s="322"/>
      <c r="G876" s="322"/>
      <c r="H876" s="322"/>
      <c r="I876" s="322"/>
      <c r="J876" s="387"/>
      <c r="K876" s="388"/>
      <c r="L876" s="323"/>
      <c r="M876" s="323"/>
      <c r="N876" s="323"/>
      <c r="O876" s="323"/>
      <c r="P876" s="323"/>
      <c r="Q876" s="323"/>
      <c r="R876" s="323"/>
      <c r="S876" s="323"/>
      <c r="T876" s="323"/>
      <c r="U876" s="323"/>
      <c r="V876" s="323"/>
    </row>
    <row r="877">
      <c r="A877" s="323"/>
      <c r="B877" s="323"/>
      <c r="C877" s="322"/>
      <c r="D877" s="322"/>
      <c r="E877" s="323"/>
      <c r="F877" s="322"/>
      <c r="G877" s="322"/>
      <c r="H877" s="322"/>
      <c r="I877" s="322"/>
      <c r="J877" s="387"/>
      <c r="K877" s="388"/>
      <c r="L877" s="323"/>
      <c r="M877" s="323"/>
      <c r="N877" s="323"/>
      <c r="O877" s="323"/>
      <c r="P877" s="323"/>
      <c r="Q877" s="323"/>
      <c r="R877" s="323"/>
      <c r="S877" s="323"/>
      <c r="T877" s="323"/>
      <c r="U877" s="323"/>
      <c r="V877" s="323"/>
    </row>
    <row r="878">
      <c r="A878" s="323"/>
      <c r="B878" s="323"/>
      <c r="C878" s="322"/>
      <c r="D878" s="322"/>
      <c r="E878" s="323"/>
      <c r="F878" s="322"/>
      <c r="G878" s="322"/>
      <c r="H878" s="322"/>
      <c r="I878" s="322"/>
      <c r="J878" s="387"/>
      <c r="K878" s="388"/>
      <c r="L878" s="323"/>
      <c r="M878" s="323"/>
      <c r="N878" s="323"/>
      <c r="O878" s="323"/>
      <c r="P878" s="323"/>
      <c r="Q878" s="323"/>
      <c r="R878" s="323"/>
      <c r="S878" s="323"/>
      <c r="T878" s="323"/>
      <c r="U878" s="323"/>
      <c r="V878" s="323"/>
    </row>
    <row r="879">
      <c r="A879" s="323"/>
      <c r="B879" s="323"/>
      <c r="C879" s="322"/>
      <c r="D879" s="322"/>
      <c r="E879" s="323"/>
      <c r="F879" s="322"/>
      <c r="G879" s="322"/>
      <c r="H879" s="322"/>
      <c r="I879" s="322"/>
      <c r="J879" s="387"/>
      <c r="K879" s="388"/>
      <c r="L879" s="323"/>
      <c r="M879" s="323"/>
      <c r="N879" s="323"/>
      <c r="O879" s="323"/>
      <c r="P879" s="323"/>
      <c r="Q879" s="323"/>
      <c r="R879" s="323"/>
      <c r="S879" s="323"/>
      <c r="T879" s="323"/>
      <c r="U879" s="323"/>
      <c r="V879" s="323"/>
    </row>
    <row r="880">
      <c r="A880" s="323"/>
      <c r="B880" s="323"/>
      <c r="C880" s="322"/>
      <c r="D880" s="322"/>
      <c r="E880" s="323"/>
      <c r="F880" s="322"/>
      <c r="G880" s="322"/>
      <c r="H880" s="322"/>
      <c r="I880" s="322"/>
      <c r="J880" s="387"/>
      <c r="K880" s="388"/>
      <c r="L880" s="323"/>
      <c r="M880" s="323"/>
      <c r="N880" s="323"/>
      <c r="O880" s="323"/>
      <c r="P880" s="323"/>
      <c r="Q880" s="323"/>
      <c r="R880" s="323"/>
      <c r="S880" s="323"/>
      <c r="T880" s="323"/>
      <c r="U880" s="323"/>
      <c r="V880" s="323"/>
    </row>
    <row r="881">
      <c r="A881" s="323"/>
      <c r="B881" s="323"/>
      <c r="C881" s="322"/>
      <c r="D881" s="322"/>
      <c r="E881" s="323"/>
      <c r="F881" s="322"/>
      <c r="G881" s="322"/>
      <c r="H881" s="322"/>
      <c r="I881" s="322"/>
      <c r="J881" s="387"/>
      <c r="K881" s="388"/>
      <c r="L881" s="323"/>
      <c r="M881" s="323"/>
      <c r="N881" s="323"/>
      <c r="O881" s="323"/>
      <c r="P881" s="323"/>
      <c r="Q881" s="323"/>
      <c r="R881" s="323"/>
      <c r="S881" s="323"/>
      <c r="T881" s="323"/>
      <c r="U881" s="323"/>
      <c r="V881" s="323"/>
    </row>
    <row r="882">
      <c r="A882" s="323"/>
      <c r="B882" s="323"/>
      <c r="C882" s="322"/>
      <c r="D882" s="322"/>
      <c r="E882" s="323"/>
      <c r="F882" s="322"/>
      <c r="G882" s="322"/>
      <c r="H882" s="322"/>
      <c r="I882" s="322"/>
      <c r="J882" s="387"/>
      <c r="K882" s="388"/>
      <c r="L882" s="323"/>
      <c r="M882" s="323"/>
      <c r="N882" s="323"/>
      <c r="O882" s="323"/>
      <c r="P882" s="323"/>
      <c r="Q882" s="323"/>
      <c r="R882" s="323"/>
      <c r="S882" s="323"/>
      <c r="T882" s="323"/>
      <c r="U882" s="323"/>
      <c r="V882" s="323"/>
    </row>
    <row r="883">
      <c r="A883" s="323"/>
      <c r="B883" s="323"/>
      <c r="C883" s="322"/>
      <c r="D883" s="322"/>
      <c r="E883" s="323"/>
      <c r="F883" s="322"/>
      <c r="G883" s="322"/>
      <c r="H883" s="322"/>
      <c r="I883" s="322"/>
      <c r="J883" s="387"/>
      <c r="K883" s="388"/>
      <c r="L883" s="323"/>
      <c r="M883" s="323"/>
      <c r="N883" s="323"/>
      <c r="O883" s="323"/>
      <c r="P883" s="323"/>
      <c r="Q883" s="323"/>
      <c r="R883" s="323"/>
      <c r="S883" s="323"/>
      <c r="T883" s="323"/>
      <c r="U883" s="323"/>
      <c r="V883" s="323"/>
    </row>
    <row r="884">
      <c r="A884" s="323"/>
      <c r="B884" s="323"/>
      <c r="C884" s="322"/>
      <c r="D884" s="322"/>
      <c r="E884" s="323"/>
      <c r="F884" s="322"/>
      <c r="G884" s="322"/>
      <c r="H884" s="322"/>
      <c r="I884" s="322"/>
      <c r="J884" s="387"/>
      <c r="K884" s="388"/>
      <c r="L884" s="323"/>
      <c r="M884" s="323"/>
      <c r="N884" s="323"/>
      <c r="O884" s="323"/>
      <c r="P884" s="323"/>
      <c r="Q884" s="323"/>
      <c r="R884" s="323"/>
      <c r="S884" s="323"/>
      <c r="T884" s="323"/>
      <c r="U884" s="323"/>
      <c r="V884" s="323"/>
    </row>
    <row r="885">
      <c r="A885" s="323"/>
      <c r="B885" s="323"/>
      <c r="C885" s="322"/>
      <c r="D885" s="322"/>
      <c r="E885" s="323"/>
      <c r="F885" s="322"/>
      <c r="G885" s="322"/>
      <c r="H885" s="322"/>
      <c r="I885" s="322"/>
      <c r="J885" s="387"/>
      <c r="K885" s="388"/>
      <c r="L885" s="323"/>
      <c r="M885" s="323"/>
      <c r="N885" s="323"/>
      <c r="O885" s="323"/>
      <c r="P885" s="323"/>
      <c r="Q885" s="323"/>
      <c r="R885" s="323"/>
      <c r="S885" s="323"/>
      <c r="T885" s="323"/>
      <c r="U885" s="323"/>
      <c r="V885" s="323"/>
    </row>
    <row r="886">
      <c r="A886" s="323"/>
      <c r="B886" s="323"/>
      <c r="C886" s="322"/>
      <c r="D886" s="322"/>
      <c r="E886" s="323"/>
      <c r="F886" s="322"/>
      <c r="G886" s="322"/>
      <c r="H886" s="322"/>
      <c r="I886" s="322"/>
      <c r="J886" s="387"/>
      <c r="K886" s="388"/>
      <c r="L886" s="323"/>
      <c r="M886" s="323"/>
      <c r="N886" s="323"/>
      <c r="O886" s="323"/>
      <c r="P886" s="323"/>
      <c r="Q886" s="323"/>
      <c r="R886" s="323"/>
      <c r="S886" s="323"/>
      <c r="T886" s="323"/>
      <c r="U886" s="323"/>
      <c r="V886" s="323"/>
    </row>
    <row r="887">
      <c r="A887" s="323"/>
      <c r="B887" s="323"/>
      <c r="C887" s="322"/>
      <c r="D887" s="322"/>
      <c r="E887" s="323"/>
      <c r="F887" s="322"/>
      <c r="G887" s="322"/>
      <c r="H887" s="322"/>
      <c r="I887" s="322"/>
      <c r="J887" s="387"/>
      <c r="K887" s="388"/>
      <c r="L887" s="323"/>
      <c r="M887" s="323"/>
      <c r="N887" s="323"/>
      <c r="O887" s="323"/>
      <c r="P887" s="323"/>
      <c r="Q887" s="323"/>
      <c r="R887" s="323"/>
      <c r="S887" s="323"/>
      <c r="T887" s="323"/>
      <c r="U887" s="323"/>
      <c r="V887" s="323"/>
    </row>
    <row r="888">
      <c r="A888" s="323"/>
      <c r="B888" s="323"/>
      <c r="C888" s="322"/>
      <c r="D888" s="322"/>
      <c r="E888" s="323"/>
      <c r="F888" s="322"/>
      <c r="G888" s="322"/>
      <c r="H888" s="322"/>
      <c r="I888" s="322"/>
      <c r="J888" s="387"/>
      <c r="K888" s="388"/>
      <c r="L888" s="323"/>
      <c r="M888" s="323"/>
      <c r="N888" s="323"/>
      <c r="O888" s="323"/>
      <c r="P888" s="323"/>
      <c r="Q888" s="323"/>
      <c r="R888" s="323"/>
      <c r="S888" s="323"/>
      <c r="T888" s="323"/>
      <c r="U888" s="323"/>
      <c r="V888" s="323"/>
    </row>
    <row r="889">
      <c r="A889" s="323"/>
      <c r="B889" s="323"/>
      <c r="C889" s="322"/>
      <c r="D889" s="322"/>
      <c r="E889" s="323"/>
      <c r="F889" s="322"/>
      <c r="G889" s="322"/>
      <c r="H889" s="322"/>
      <c r="I889" s="322"/>
      <c r="J889" s="387"/>
      <c r="K889" s="388"/>
      <c r="L889" s="323"/>
      <c r="M889" s="323"/>
      <c r="N889" s="323"/>
      <c r="O889" s="323"/>
      <c r="P889" s="323"/>
      <c r="Q889" s="323"/>
      <c r="R889" s="323"/>
      <c r="S889" s="323"/>
      <c r="T889" s="323"/>
      <c r="U889" s="323"/>
      <c r="V889" s="323"/>
    </row>
    <row r="890">
      <c r="A890" s="323"/>
      <c r="B890" s="323"/>
      <c r="C890" s="322"/>
      <c r="D890" s="322"/>
      <c r="E890" s="323"/>
      <c r="F890" s="322"/>
      <c r="G890" s="322"/>
      <c r="H890" s="322"/>
      <c r="I890" s="322"/>
      <c r="J890" s="387"/>
      <c r="K890" s="388"/>
      <c r="L890" s="323"/>
      <c r="M890" s="323"/>
      <c r="N890" s="323"/>
      <c r="O890" s="323"/>
      <c r="P890" s="323"/>
      <c r="Q890" s="323"/>
      <c r="R890" s="323"/>
      <c r="S890" s="323"/>
      <c r="T890" s="323"/>
      <c r="U890" s="323"/>
      <c r="V890" s="323"/>
    </row>
    <row r="891">
      <c r="A891" s="323"/>
      <c r="B891" s="323"/>
      <c r="C891" s="322"/>
      <c r="D891" s="322"/>
      <c r="E891" s="323"/>
      <c r="F891" s="322"/>
      <c r="G891" s="322"/>
      <c r="H891" s="322"/>
      <c r="I891" s="322"/>
      <c r="J891" s="387"/>
      <c r="K891" s="388"/>
      <c r="L891" s="323"/>
      <c r="M891" s="323"/>
      <c r="N891" s="323"/>
      <c r="O891" s="323"/>
      <c r="P891" s="323"/>
      <c r="Q891" s="323"/>
      <c r="R891" s="323"/>
      <c r="S891" s="323"/>
      <c r="T891" s="323"/>
      <c r="U891" s="323"/>
      <c r="V891" s="323"/>
    </row>
    <row r="892">
      <c r="A892" s="323"/>
      <c r="B892" s="323"/>
      <c r="C892" s="322"/>
      <c r="D892" s="322"/>
      <c r="E892" s="323"/>
      <c r="F892" s="322"/>
      <c r="G892" s="322"/>
      <c r="H892" s="322"/>
      <c r="I892" s="322"/>
      <c r="J892" s="387"/>
      <c r="K892" s="388"/>
      <c r="L892" s="323"/>
      <c r="M892" s="323"/>
      <c r="N892" s="323"/>
      <c r="O892" s="323"/>
      <c r="P892" s="323"/>
      <c r="Q892" s="323"/>
      <c r="R892" s="323"/>
      <c r="S892" s="323"/>
      <c r="T892" s="323"/>
      <c r="U892" s="323"/>
      <c r="V892" s="323"/>
    </row>
    <row r="893">
      <c r="A893" s="323"/>
      <c r="B893" s="323"/>
      <c r="C893" s="322"/>
      <c r="D893" s="322"/>
      <c r="E893" s="323"/>
      <c r="F893" s="322"/>
      <c r="G893" s="322"/>
      <c r="H893" s="322"/>
      <c r="I893" s="322"/>
      <c r="J893" s="387"/>
      <c r="K893" s="388"/>
      <c r="L893" s="323"/>
      <c r="M893" s="323"/>
      <c r="N893" s="323"/>
      <c r="O893" s="323"/>
      <c r="P893" s="323"/>
      <c r="Q893" s="323"/>
      <c r="R893" s="323"/>
      <c r="S893" s="323"/>
      <c r="T893" s="323"/>
      <c r="U893" s="323"/>
      <c r="V893" s="323"/>
    </row>
    <row r="894">
      <c r="A894" s="323"/>
      <c r="B894" s="323"/>
      <c r="C894" s="322"/>
      <c r="D894" s="322"/>
      <c r="E894" s="323"/>
      <c r="F894" s="322"/>
      <c r="G894" s="322"/>
      <c r="H894" s="322"/>
      <c r="I894" s="322"/>
      <c r="J894" s="387"/>
      <c r="K894" s="388"/>
      <c r="L894" s="323"/>
      <c r="M894" s="323"/>
      <c r="N894" s="323"/>
      <c r="O894" s="323"/>
      <c r="P894" s="323"/>
      <c r="Q894" s="323"/>
      <c r="R894" s="323"/>
      <c r="S894" s="323"/>
      <c r="T894" s="323"/>
      <c r="U894" s="323"/>
      <c r="V894" s="323"/>
    </row>
    <row r="895">
      <c r="A895" s="323"/>
      <c r="B895" s="323"/>
      <c r="C895" s="322"/>
      <c r="D895" s="322"/>
      <c r="E895" s="323"/>
      <c r="F895" s="322"/>
      <c r="G895" s="322"/>
      <c r="H895" s="322"/>
      <c r="I895" s="322"/>
      <c r="J895" s="387"/>
      <c r="K895" s="388"/>
      <c r="L895" s="323"/>
      <c r="M895" s="323"/>
      <c r="N895" s="323"/>
      <c r="O895" s="323"/>
      <c r="P895" s="323"/>
      <c r="Q895" s="323"/>
      <c r="R895" s="323"/>
      <c r="S895" s="323"/>
      <c r="T895" s="323"/>
      <c r="U895" s="323"/>
      <c r="V895" s="323"/>
    </row>
    <row r="896">
      <c r="A896" s="323"/>
      <c r="B896" s="323"/>
      <c r="C896" s="322"/>
      <c r="D896" s="322"/>
      <c r="E896" s="323"/>
      <c r="F896" s="322"/>
      <c r="G896" s="322"/>
      <c r="H896" s="322"/>
      <c r="I896" s="322"/>
      <c r="J896" s="387"/>
      <c r="K896" s="388"/>
      <c r="L896" s="323"/>
      <c r="M896" s="323"/>
      <c r="N896" s="323"/>
      <c r="O896" s="323"/>
      <c r="P896" s="323"/>
      <c r="Q896" s="323"/>
      <c r="R896" s="323"/>
      <c r="S896" s="323"/>
      <c r="T896" s="323"/>
      <c r="U896" s="323"/>
      <c r="V896" s="323"/>
    </row>
    <row r="897">
      <c r="A897" s="323"/>
      <c r="B897" s="323"/>
      <c r="C897" s="322"/>
      <c r="D897" s="322"/>
      <c r="E897" s="323"/>
      <c r="F897" s="322"/>
      <c r="G897" s="322"/>
      <c r="H897" s="322"/>
      <c r="I897" s="322"/>
      <c r="J897" s="387"/>
      <c r="K897" s="388"/>
      <c r="L897" s="323"/>
      <c r="M897" s="323"/>
      <c r="N897" s="323"/>
      <c r="O897" s="323"/>
      <c r="P897" s="323"/>
      <c r="Q897" s="323"/>
      <c r="R897" s="323"/>
      <c r="S897" s="323"/>
      <c r="T897" s="323"/>
      <c r="U897" s="323"/>
      <c r="V897" s="323"/>
    </row>
    <row r="898">
      <c r="A898" s="323"/>
      <c r="B898" s="323"/>
      <c r="C898" s="322"/>
      <c r="D898" s="322"/>
      <c r="E898" s="323"/>
      <c r="F898" s="322"/>
      <c r="G898" s="322"/>
      <c r="H898" s="322"/>
      <c r="I898" s="322"/>
      <c r="J898" s="387"/>
      <c r="K898" s="388"/>
      <c r="L898" s="323"/>
      <c r="M898" s="323"/>
      <c r="N898" s="323"/>
      <c r="O898" s="323"/>
      <c r="P898" s="323"/>
      <c r="Q898" s="323"/>
      <c r="R898" s="323"/>
      <c r="S898" s="323"/>
      <c r="T898" s="323"/>
      <c r="U898" s="323"/>
      <c r="V898" s="323"/>
    </row>
    <row r="899">
      <c r="A899" s="323"/>
      <c r="B899" s="323"/>
      <c r="C899" s="322"/>
      <c r="D899" s="322"/>
      <c r="E899" s="323"/>
      <c r="F899" s="322"/>
      <c r="G899" s="322"/>
      <c r="H899" s="322"/>
      <c r="I899" s="322"/>
      <c r="J899" s="387"/>
      <c r="K899" s="388"/>
      <c r="L899" s="323"/>
      <c r="M899" s="323"/>
      <c r="N899" s="323"/>
      <c r="O899" s="323"/>
      <c r="P899" s="323"/>
      <c r="Q899" s="323"/>
      <c r="R899" s="323"/>
      <c r="S899" s="323"/>
      <c r="T899" s="323"/>
      <c r="U899" s="323"/>
      <c r="V899" s="323"/>
    </row>
    <row r="900">
      <c r="A900" s="323"/>
      <c r="B900" s="323"/>
      <c r="C900" s="322"/>
      <c r="D900" s="322"/>
      <c r="E900" s="323"/>
      <c r="F900" s="322"/>
      <c r="G900" s="322"/>
      <c r="H900" s="322"/>
      <c r="I900" s="322"/>
      <c r="J900" s="387"/>
      <c r="K900" s="388"/>
      <c r="L900" s="323"/>
      <c r="M900" s="323"/>
      <c r="N900" s="323"/>
      <c r="O900" s="323"/>
      <c r="P900" s="323"/>
      <c r="Q900" s="323"/>
      <c r="R900" s="323"/>
      <c r="S900" s="323"/>
      <c r="T900" s="323"/>
      <c r="U900" s="323"/>
      <c r="V900" s="323"/>
    </row>
    <row r="901">
      <c r="A901" s="323"/>
      <c r="B901" s="323"/>
      <c r="C901" s="322"/>
      <c r="D901" s="322"/>
      <c r="E901" s="323"/>
      <c r="F901" s="322"/>
      <c r="G901" s="322"/>
      <c r="H901" s="322"/>
      <c r="I901" s="322"/>
      <c r="J901" s="387"/>
      <c r="K901" s="388"/>
      <c r="L901" s="323"/>
      <c r="M901" s="323"/>
      <c r="N901" s="323"/>
      <c r="O901" s="323"/>
      <c r="P901" s="323"/>
      <c r="Q901" s="323"/>
      <c r="R901" s="323"/>
      <c r="S901" s="323"/>
      <c r="T901" s="323"/>
      <c r="U901" s="323"/>
      <c r="V901" s="323"/>
    </row>
    <row r="902">
      <c r="A902" s="323"/>
      <c r="B902" s="323"/>
      <c r="C902" s="322"/>
      <c r="D902" s="322"/>
      <c r="E902" s="323"/>
      <c r="F902" s="322"/>
      <c r="G902" s="322"/>
      <c r="H902" s="322"/>
      <c r="I902" s="322"/>
      <c r="J902" s="387"/>
      <c r="K902" s="388"/>
      <c r="L902" s="323"/>
      <c r="M902" s="323"/>
      <c r="N902" s="323"/>
      <c r="O902" s="323"/>
      <c r="P902" s="323"/>
      <c r="Q902" s="323"/>
      <c r="R902" s="323"/>
      <c r="S902" s="323"/>
      <c r="T902" s="323"/>
      <c r="U902" s="323"/>
      <c r="V902" s="323"/>
    </row>
    <row r="903">
      <c r="A903" s="323"/>
      <c r="B903" s="323"/>
      <c r="C903" s="322"/>
      <c r="D903" s="322"/>
      <c r="E903" s="323"/>
      <c r="F903" s="322"/>
      <c r="G903" s="322"/>
      <c r="H903" s="322"/>
      <c r="I903" s="322"/>
      <c r="J903" s="387"/>
      <c r="K903" s="388"/>
      <c r="L903" s="323"/>
      <c r="M903" s="323"/>
      <c r="N903" s="323"/>
      <c r="O903" s="323"/>
      <c r="P903" s="323"/>
      <c r="Q903" s="323"/>
      <c r="R903" s="323"/>
      <c r="S903" s="323"/>
      <c r="T903" s="323"/>
      <c r="U903" s="323"/>
      <c r="V903" s="323"/>
    </row>
    <row r="904">
      <c r="A904" s="323"/>
      <c r="B904" s="323"/>
      <c r="C904" s="322"/>
      <c r="D904" s="322"/>
      <c r="E904" s="323"/>
      <c r="F904" s="322"/>
      <c r="G904" s="322"/>
      <c r="H904" s="322"/>
      <c r="I904" s="322"/>
      <c r="J904" s="387"/>
      <c r="K904" s="388"/>
      <c r="L904" s="323"/>
      <c r="M904" s="323"/>
      <c r="N904" s="323"/>
      <c r="O904" s="323"/>
      <c r="P904" s="323"/>
      <c r="Q904" s="323"/>
      <c r="R904" s="323"/>
      <c r="S904" s="323"/>
      <c r="T904" s="323"/>
      <c r="U904" s="323"/>
      <c r="V904" s="323"/>
    </row>
    <row r="905">
      <c r="A905" s="323"/>
      <c r="B905" s="323"/>
      <c r="C905" s="322"/>
      <c r="D905" s="322"/>
      <c r="E905" s="323"/>
      <c r="F905" s="322"/>
      <c r="G905" s="322"/>
      <c r="H905" s="322"/>
      <c r="I905" s="322"/>
      <c r="J905" s="387"/>
      <c r="K905" s="388"/>
      <c r="L905" s="323"/>
      <c r="M905" s="323"/>
      <c r="N905" s="323"/>
      <c r="O905" s="323"/>
      <c r="P905" s="323"/>
      <c r="Q905" s="323"/>
      <c r="R905" s="323"/>
      <c r="S905" s="323"/>
      <c r="T905" s="323"/>
      <c r="U905" s="323"/>
      <c r="V905" s="323"/>
    </row>
    <row r="906">
      <c r="A906" s="323"/>
      <c r="B906" s="323"/>
      <c r="C906" s="322"/>
      <c r="D906" s="322"/>
      <c r="E906" s="323"/>
      <c r="F906" s="322"/>
      <c r="G906" s="322"/>
      <c r="H906" s="322"/>
      <c r="I906" s="322"/>
      <c r="J906" s="387"/>
      <c r="K906" s="388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323"/>
    </row>
    <row r="907">
      <c r="A907" s="323"/>
      <c r="B907" s="323"/>
      <c r="C907" s="322"/>
      <c r="D907" s="322"/>
      <c r="E907" s="323"/>
      <c r="F907" s="322"/>
      <c r="G907" s="322"/>
      <c r="H907" s="322"/>
      <c r="I907" s="322"/>
      <c r="J907" s="387"/>
      <c r="K907" s="388"/>
      <c r="L907" s="323"/>
      <c r="M907" s="323"/>
      <c r="N907" s="323"/>
      <c r="O907" s="323"/>
      <c r="P907" s="323"/>
      <c r="Q907" s="323"/>
      <c r="R907" s="323"/>
      <c r="S907" s="323"/>
      <c r="T907" s="323"/>
      <c r="U907" s="323"/>
      <c r="V907" s="323"/>
    </row>
    <row r="908">
      <c r="A908" s="323"/>
      <c r="B908" s="323"/>
      <c r="C908" s="322"/>
      <c r="D908" s="322"/>
      <c r="E908" s="323"/>
      <c r="F908" s="322"/>
      <c r="G908" s="322"/>
      <c r="H908" s="322"/>
      <c r="I908" s="322"/>
      <c r="J908" s="387"/>
      <c r="K908" s="388"/>
      <c r="L908" s="323"/>
      <c r="M908" s="323"/>
      <c r="N908" s="323"/>
      <c r="O908" s="323"/>
      <c r="P908" s="323"/>
      <c r="Q908" s="323"/>
      <c r="R908" s="323"/>
      <c r="S908" s="323"/>
      <c r="T908" s="323"/>
      <c r="U908" s="323"/>
      <c r="V908" s="323"/>
    </row>
    <row r="909">
      <c r="A909" s="323"/>
      <c r="B909" s="323"/>
      <c r="C909" s="322"/>
      <c r="D909" s="322"/>
      <c r="E909" s="323"/>
      <c r="F909" s="322"/>
      <c r="G909" s="322"/>
      <c r="H909" s="322"/>
      <c r="I909" s="322"/>
      <c r="J909" s="387"/>
      <c r="K909" s="388"/>
      <c r="L909" s="323"/>
      <c r="M909" s="323"/>
      <c r="N909" s="323"/>
      <c r="O909" s="323"/>
      <c r="P909" s="323"/>
      <c r="Q909" s="323"/>
      <c r="R909" s="323"/>
      <c r="S909" s="323"/>
      <c r="T909" s="323"/>
      <c r="U909" s="323"/>
      <c r="V909" s="323"/>
    </row>
    <row r="910">
      <c r="A910" s="323"/>
      <c r="B910" s="323"/>
      <c r="C910" s="322"/>
      <c r="D910" s="322"/>
      <c r="E910" s="323"/>
      <c r="F910" s="322"/>
      <c r="G910" s="322"/>
      <c r="H910" s="322"/>
      <c r="I910" s="322"/>
      <c r="J910" s="387"/>
      <c r="K910" s="388"/>
      <c r="L910" s="323"/>
      <c r="M910" s="323"/>
      <c r="N910" s="323"/>
      <c r="O910" s="323"/>
      <c r="P910" s="323"/>
      <c r="Q910" s="323"/>
      <c r="R910" s="323"/>
      <c r="S910" s="323"/>
      <c r="T910" s="323"/>
      <c r="U910" s="323"/>
      <c r="V910" s="323"/>
    </row>
    <row r="911">
      <c r="A911" s="323"/>
      <c r="B911" s="323"/>
      <c r="C911" s="322"/>
      <c r="D911" s="322"/>
      <c r="E911" s="323"/>
      <c r="F911" s="322"/>
      <c r="G911" s="322"/>
      <c r="H911" s="322"/>
      <c r="I911" s="322"/>
      <c r="J911" s="387"/>
      <c r="K911" s="388"/>
      <c r="L911" s="323"/>
      <c r="M911" s="323"/>
      <c r="N911" s="323"/>
      <c r="O911" s="323"/>
      <c r="P911" s="323"/>
      <c r="Q911" s="323"/>
      <c r="R911" s="323"/>
      <c r="S911" s="323"/>
      <c r="T911" s="323"/>
      <c r="U911" s="323"/>
      <c r="V911" s="323"/>
    </row>
    <row r="912">
      <c r="A912" s="323"/>
      <c r="B912" s="323"/>
      <c r="C912" s="322"/>
      <c r="D912" s="322"/>
      <c r="E912" s="323"/>
      <c r="F912" s="322"/>
      <c r="G912" s="322"/>
      <c r="H912" s="322"/>
      <c r="I912" s="322"/>
      <c r="J912" s="387"/>
      <c r="K912" s="388"/>
      <c r="L912" s="323"/>
      <c r="M912" s="323"/>
      <c r="N912" s="323"/>
      <c r="O912" s="323"/>
      <c r="P912" s="323"/>
      <c r="Q912" s="323"/>
      <c r="R912" s="323"/>
      <c r="S912" s="323"/>
      <c r="T912" s="323"/>
      <c r="U912" s="323"/>
      <c r="V912" s="323"/>
    </row>
    <row r="913">
      <c r="A913" s="323"/>
      <c r="B913" s="323"/>
      <c r="C913" s="322"/>
      <c r="D913" s="322"/>
      <c r="E913" s="323"/>
      <c r="F913" s="322"/>
      <c r="G913" s="322"/>
      <c r="H913" s="322"/>
      <c r="I913" s="322"/>
      <c r="J913" s="387"/>
      <c r="K913" s="388"/>
      <c r="L913" s="323"/>
      <c r="M913" s="323"/>
      <c r="N913" s="323"/>
      <c r="O913" s="323"/>
      <c r="P913" s="323"/>
      <c r="Q913" s="323"/>
      <c r="R913" s="323"/>
      <c r="S913" s="323"/>
      <c r="T913" s="323"/>
      <c r="U913" s="323"/>
      <c r="V913" s="323"/>
    </row>
    <row r="914">
      <c r="A914" s="323"/>
      <c r="B914" s="323"/>
      <c r="C914" s="322"/>
      <c r="D914" s="322"/>
      <c r="E914" s="323"/>
      <c r="F914" s="322"/>
      <c r="G914" s="322"/>
      <c r="H914" s="322"/>
      <c r="I914" s="322"/>
      <c r="J914" s="387"/>
      <c r="K914" s="388"/>
      <c r="L914" s="323"/>
      <c r="M914" s="323"/>
      <c r="N914" s="323"/>
      <c r="O914" s="323"/>
      <c r="P914" s="323"/>
      <c r="Q914" s="323"/>
      <c r="R914" s="323"/>
      <c r="S914" s="323"/>
      <c r="T914" s="323"/>
      <c r="U914" s="323"/>
      <c r="V914" s="323"/>
    </row>
    <row r="915">
      <c r="A915" s="323"/>
      <c r="B915" s="323"/>
      <c r="C915" s="322"/>
      <c r="D915" s="322"/>
      <c r="E915" s="323"/>
      <c r="F915" s="322"/>
      <c r="G915" s="322"/>
      <c r="H915" s="322"/>
      <c r="I915" s="322"/>
      <c r="J915" s="387"/>
      <c r="K915" s="388"/>
      <c r="L915" s="323"/>
      <c r="M915" s="323"/>
      <c r="N915" s="323"/>
      <c r="O915" s="323"/>
      <c r="P915" s="323"/>
      <c r="Q915" s="323"/>
      <c r="R915" s="323"/>
      <c r="S915" s="323"/>
      <c r="T915" s="323"/>
      <c r="U915" s="323"/>
      <c r="V915" s="323"/>
    </row>
    <row r="916">
      <c r="A916" s="323"/>
      <c r="B916" s="323"/>
      <c r="C916" s="322"/>
      <c r="D916" s="322"/>
      <c r="E916" s="323"/>
      <c r="F916" s="322"/>
      <c r="G916" s="322"/>
      <c r="H916" s="322"/>
      <c r="I916" s="322"/>
      <c r="J916" s="387"/>
      <c r="K916" s="388"/>
      <c r="L916" s="323"/>
      <c r="M916" s="323"/>
      <c r="N916" s="323"/>
      <c r="O916" s="323"/>
      <c r="P916" s="323"/>
      <c r="Q916" s="323"/>
      <c r="R916" s="323"/>
      <c r="S916" s="323"/>
      <c r="T916" s="323"/>
      <c r="U916" s="323"/>
      <c r="V916" s="323"/>
    </row>
    <row r="917">
      <c r="A917" s="323"/>
      <c r="B917" s="323"/>
      <c r="C917" s="322"/>
      <c r="D917" s="322"/>
      <c r="E917" s="323"/>
      <c r="F917" s="322"/>
      <c r="G917" s="322"/>
      <c r="H917" s="322"/>
      <c r="I917" s="322"/>
      <c r="J917" s="387"/>
      <c r="K917" s="388"/>
      <c r="L917" s="323"/>
      <c r="M917" s="323"/>
      <c r="N917" s="323"/>
      <c r="O917" s="323"/>
      <c r="P917" s="323"/>
      <c r="Q917" s="323"/>
      <c r="R917" s="323"/>
      <c r="S917" s="323"/>
      <c r="T917" s="323"/>
      <c r="U917" s="323"/>
      <c r="V917" s="323"/>
    </row>
    <row r="918">
      <c r="A918" s="323"/>
      <c r="B918" s="323"/>
      <c r="C918" s="322"/>
      <c r="D918" s="322"/>
      <c r="E918" s="323"/>
      <c r="F918" s="322"/>
      <c r="G918" s="322"/>
      <c r="H918" s="322"/>
      <c r="I918" s="322"/>
      <c r="J918" s="387"/>
      <c r="K918" s="388"/>
      <c r="L918" s="323"/>
      <c r="M918" s="323"/>
      <c r="N918" s="323"/>
      <c r="O918" s="323"/>
      <c r="P918" s="323"/>
      <c r="Q918" s="323"/>
      <c r="R918" s="323"/>
      <c r="S918" s="323"/>
      <c r="T918" s="323"/>
      <c r="U918" s="323"/>
      <c r="V918" s="323"/>
    </row>
    <row r="919">
      <c r="A919" s="323"/>
      <c r="B919" s="323"/>
      <c r="C919" s="322"/>
      <c r="D919" s="322"/>
      <c r="E919" s="323"/>
      <c r="F919" s="322"/>
      <c r="G919" s="322"/>
      <c r="H919" s="322"/>
      <c r="I919" s="322"/>
      <c r="J919" s="387"/>
      <c r="K919" s="388"/>
      <c r="L919" s="323"/>
      <c r="M919" s="323"/>
      <c r="N919" s="323"/>
      <c r="O919" s="323"/>
      <c r="P919" s="323"/>
      <c r="Q919" s="323"/>
      <c r="R919" s="323"/>
      <c r="S919" s="323"/>
      <c r="T919" s="323"/>
      <c r="U919" s="323"/>
      <c r="V919" s="323"/>
    </row>
    <row r="920">
      <c r="A920" s="323"/>
      <c r="B920" s="323"/>
      <c r="C920" s="322"/>
      <c r="D920" s="322"/>
      <c r="E920" s="323"/>
      <c r="F920" s="322"/>
      <c r="G920" s="322"/>
      <c r="H920" s="322"/>
      <c r="I920" s="322"/>
      <c r="J920" s="387"/>
      <c r="K920" s="388"/>
      <c r="L920" s="323"/>
      <c r="M920" s="323"/>
      <c r="N920" s="323"/>
      <c r="O920" s="323"/>
      <c r="P920" s="323"/>
      <c r="Q920" s="323"/>
      <c r="R920" s="323"/>
      <c r="S920" s="323"/>
      <c r="T920" s="323"/>
      <c r="U920" s="323"/>
      <c r="V920" s="323"/>
    </row>
    <row r="921">
      <c r="A921" s="323"/>
      <c r="B921" s="323"/>
      <c r="C921" s="322"/>
      <c r="D921" s="322"/>
      <c r="E921" s="323"/>
      <c r="F921" s="322"/>
      <c r="G921" s="322"/>
      <c r="H921" s="322"/>
      <c r="I921" s="322"/>
      <c r="J921" s="387"/>
      <c r="K921" s="388"/>
      <c r="L921" s="323"/>
      <c r="M921" s="323"/>
      <c r="N921" s="323"/>
      <c r="O921" s="323"/>
      <c r="P921" s="323"/>
      <c r="Q921" s="323"/>
      <c r="R921" s="323"/>
      <c r="S921" s="323"/>
      <c r="T921" s="323"/>
      <c r="U921" s="323"/>
      <c r="V921" s="323"/>
    </row>
    <row r="922">
      <c r="A922" s="323"/>
      <c r="B922" s="323"/>
      <c r="C922" s="322"/>
      <c r="D922" s="322"/>
      <c r="E922" s="323"/>
      <c r="F922" s="322"/>
      <c r="G922" s="322"/>
      <c r="H922" s="322"/>
      <c r="I922" s="322"/>
      <c r="J922" s="387"/>
      <c r="K922" s="388"/>
      <c r="L922" s="323"/>
      <c r="M922" s="323"/>
      <c r="N922" s="323"/>
      <c r="O922" s="323"/>
      <c r="P922" s="323"/>
      <c r="Q922" s="323"/>
      <c r="R922" s="323"/>
      <c r="S922" s="323"/>
      <c r="T922" s="323"/>
      <c r="U922" s="323"/>
      <c r="V922" s="323"/>
    </row>
    <row r="923">
      <c r="A923" s="323"/>
      <c r="B923" s="323"/>
      <c r="C923" s="322"/>
      <c r="D923" s="322"/>
      <c r="E923" s="323"/>
      <c r="F923" s="322"/>
      <c r="G923" s="322"/>
      <c r="H923" s="322"/>
      <c r="I923" s="322"/>
      <c r="J923" s="387"/>
      <c r="K923" s="388"/>
      <c r="L923" s="323"/>
      <c r="M923" s="323"/>
      <c r="N923" s="323"/>
      <c r="O923" s="323"/>
      <c r="P923" s="323"/>
      <c r="Q923" s="323"/>
      <c r="R923" s="323"/>
      <c r="S923" s="323"/>
      <c r="T923" s="323"/>
      <c r="U923" s="323"/>
      <c r="V923" s="323"/>
    </row>
    <row r="924">
      <c r="A924" s="323"/>
      <c r="B924" s="323"/>
      <c r="C924" s="322"/>
      <c r="D924" s="322"/>
      <c r="E924" s="323"/>
      <c r="F924" s="322"/>
      <c r="G924" s="322"/>
      <c r="H924" s="322"/>
      <c r="I924" s="322"/>
      <c r="J924" s="387"/>
      <c r="K924" s="388"/>
      <c r="L924" s="323"/>
      <c r="M924" s="323"/>
      <c r="N924" s="323"/>
      <c r="O924" s="323"/>
      <c r="P924" s="323"/>
      <c r="Q924" s="323"/>
      <c r="R924" s="323"/>
      <c r="S924" s="323"/>
      <c r="T924" s="323"/>
      <c r="U924" s="323"/>
      <c r="V924" s="323"/>
    </row>
    <row r="925">
      <c r="A925" s="323"/>
      <c r="B925" s="323"/>
      <c r="C925" s="322"/>
      <c r="D925" s="322"/>
      <c r="E925" s="323"/>
      <c r="F925" s="322"/>
      <c r="G925" s="322"/>
      <c r="H925" s="322"/>
      <c r="I925" s="322"/>
      <c r="J925" s="387"/>
      <c r="K925" s="388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</row>
    <row r="926">
      <c r="A926" s="323"/>
      <c r="B926" s="323"/>
      <c r="C926" s="322"/>
      <c r="D926" s="322"/>
      <c r="E926" s="323"/>
      <c r="F926" s="322"/>
      <c r="G926" s="322"/>
      <c r="H926" s="322"/>
      <c r="I926" s="322"/>
      <c r="J926" s="387"/>
      <c r="K926" s="388"/>
      <c r="L926" s="323"/>
      <c r="M926" s="323"/>
      <c r="N926" s="323"/>
      <c r="O926" s="323"/>
      <c r="P926" s="323"/>
      <c r="Q926" s="323"/>
      <c r="R926" s="323"/>
      <c r="S926" s="323"/>
      <c r="T926" s="323"/>
      <c r="U926" s="323"/>
      <c r="V926" s="323"/>
    </row>
    <row r="927">
      <c r="A927" s="323"/>
      <c r="B927" s="323"/>
      <c r="C927" s="322"/>
      <c r="D927" s="322"/>
      <c r="E927" s="323"/>
      <c r="F927" s="322"/>
      <c r="G927" s="322"/>
      <c r="H927" s="322"/>
      <c r="I927" s="322"/>
      <c r="J927" s="387"/>
      <c r="K927" s="388"/>
      <c r="L927" s="323"/>
      <c r="M927" s="323"/>
      <c r="N927" s="323"/>
      <c r="O927" s="323"/>
      <c r="P927" s="323"/>
      <c r="Q927" s="323"/>
      <c r="R927" s="323"/>
      <c r="S927" s="323"/>
      <c r="T927" s="323"/>
      <c r="U927" s="323"/>
      <c r="V927" s="323"/>
    </row>
    <row r="928">
      <c r="A928" s="323"/>
      <c r="B928" s="323"/>
      <c r="C928" s="322"/>
      <c r="D928" s="322"/>
      <c r="E928" s="323"/>
      <c r="F928" s="322"/>
      <c r="G928" s="322"/>
      <c r="H928" s="322"/>
      <c r="I928" s="322"/>
      <c r="J928" s="387"/>
      <c r="K928" s="388"/>
      <c r="L928" s="323"/>
      <c r="M928" s="323"/>
      <c r="N928" s="323"/>
      <c r="O928" s="323"/>
      <c r="P928" s="323"/>
      <c r="Q928" s="323"/>
      <c r="R928" s="323"/>
      <c r="S928" s="323"/>
      <c r="T928" s="323"/>
      <c r="U928" s="323"/>
      <c r="V928" s="323"/>
    </row>
    <row r="929">
      <c r="A929" s="323"/>
      <c r="B929" s="323"/>
      <c r="C929" s="322"/>
      <c r="D929" s="322"/>
      <c r="E929" s="323"/>
      <c r="F929" s="322"/>
      <c r="G929" s="322"/>
      <c r="H929" s="322"/>
      <c r="I929" s="322"/>
      <c r="J929" s="387"/>
      <c r="K929" s="388"/>
      <c r="L929" s="323"/>
      <c r="M929" s="323"/>
      <c r="N929" s="323"/>
      <c r="O929" s="323"/>
      <c r="P929" s="323"/>
      <c r="Q929" s="323"/>
      <c r="R929" s="323"/>
      <c r="S929" s="323"/>
      <c r="T929" s="323"/>
      <c r="U929" s="323"/>
      <c r="V929" s="323"/>
    </row>
    <row r="930">
      <c r="A930" s="323"/>
      <c r="B930" s="323"/>
      <c r="C930" s="322"/>
      <c r="D930" s="322"/>
      <c r="E930" s="323"/>
      <c r="F930" s="322"/>
      <c r="G930" s="322"/>
      <c r="H930" s="322"/>
      <c r="I930" s="322"/>
      <c r="J930" s="387"/>
      <c r="K930" s="388"/>
      <c r="L930" s="323"/>
      <c r="M930" s="323"/>
      <c r="N930" s="323"/>
      <c r="O930" s="323"/>
      <c r="P930" s="323"/>
      <c r="Q930" s="323"/>
      <c r="R930" s="323"/>
      <c r="S930" s="323"/>
      <c r="T930" s="323"/>
      <c r="U930" s="323"/>
      <c r="V930" s="323"/>
    </row>
    <row r="931">
      <c r="A931" s="323"/>
      <c r="B931" s="323"/>
      <c r="C931" s="322"/>
      <c r="D931" s="322"/>
      <c r="E931" s="323"/>
      <c r="F931" s="322"/>
      <c r="G931" s="322"/>
      <c r="H931" s="322"/>
      <c r="I931" s="322"/>
      <c r="J931" s="387"/>
      <c r="K931" s="388"/>
      <c r="L931" s="323"/>
      <c r="M931" s="323"/>
      <c r="N931" s="323"/>
      <c r="O931" s="323"/>
      <c r="P931" s="323"/>
      <c r="Q931" s="323"/>
      <c r="R931" s="323"/>
      <c r="S931" s="323"/>
      <c r="T931" s="323"/>
      <c r="U931" s="323"/>
      <c r="V931" s="323"/>
    </row>
    <row r="932">
      <c r="A932" s="323"/>
      <c r="B932" s="323"/>
      <c r="C932" s="322"/>
      <c r="D932" s="322"/>
      <c r="E932" s="323"/>
      <c r="F932" s="322"/>
      <c r="G932" s="322"/>
      <c r="H932" s="322"/>
      <c r="I932" s="322"/>
      <c r="J932" s="387"/>
      <c r="K932" s="388"/>
      <c r="L932" s="323"/>
      <c r="M932" s="323"/>
      <c r="N932" s="323"/>
      <c r="O932" s="323"/>
      <c r="P932" s="323"/>
      <c r="Q932" s="323"/>
      <c r="R932" s="323"/>
      <c r="S932" s="323"/>
      <c r="T932" s="323"/>
      <c r="U932" s="323"/>
      <c r="V932" s="323"/>
    </row>
    <row r="933">
      <c r="A933" s="323"/>
      <c r="B933" s="323"/>
      <c r="C933" s="322"/>
      <c r="D933" s="322"/>
      <c r="E933" s="323"/>
      <c r="F933" s="322"/>
      <c r="G933" s="322"/>
      <c r="H933" s="322"/>
      <c r="I933" s="322"/>
      <c r="J933" s="387"/>
      <c r="K933" s="388"/>
      <c r="L933" s="323"/>
      <c r="M933" s="323"/>
      <c r="N933" s="323"/>
      <c r="O933" s="323"/>
      <c r="P933" s="323"/>
      <c r="Q933" s="323"/>
      <c r="R933" s="323"/>
      <c r="S933" s="323"/>
      <c r="T933" s="323"/>
      <c r="U933" s="323"/>
      <c r="V933" s="323"/>
    </row>
    <row r="934">
      <c r="A934" s="323"/>
      <c r="B934" s="323"/>
      <c r="C934" s="322"/>
      <c r="D934" s="322"/>
      <c r="E934" s="323"/>
      <c r="F934" s="322"/>
      <c r="G934" s="322"/>
      <c r="H934" s="322"/>
      <c r="I934" s="322"/>
      <c r="J934" s="387"/>
      <c r="K934" s="388"/>
      <c r="L934" s="323"/>
      <c r="M934" s="323"/>
      <c r="N934" s="323"/>
      <c r="O934" s="323"/>
      <c r="P934" s="323"/>
      <c r="Q934" s="323"/>
      <c r="R934" s="323"/>
      <c r="S934" s="323"/>
      <c r="T934" s="323"/>
      <c r="U934" s="323"/>
      <c r="V934" s="323"/>
    </row>
    <row r="935">
      <c r="A935" s="323"/>
      <c r="B935" s="323"/>
      <c r="C935" s="322"/>
      <c r="D935" s="322"/>
      <c r="E935" s="323"/>
      <c r="F935" s="322"/>
      <c r="G935" s="322"/>
      <c r="H935" s="322"/>
      <c r="I935" s="322"/>
      <c r="J935" s="387"/>
      <c r="K935" s="388"/>
      <c r="L935" s="323"/>
      <c r="M935" s="323"/>
      <c r="N935" s="323"/>
      <c r="O935" s="323"/>
      <c r="P935" s="323"/>
      <c r="Q935" s="323"/>
      <c r="R935" s="323"/>
      <c r="S935" s="323"/>
      <c r="T935" s="323"/>
      <c r="U935" s="323"/>
      <c r="V935" s="323"/>
    </row>
    <row r="936">
      <c r="A936" s="323"/>
      <c r="B936" s="323"/>
      <c r="C936" s="322"/>
      <c r="D936" s="322"/>
      <c r="E936" s="323"/>
      <c r="F936" s="322"/>
      <c r="G936" s="322"/>
      <c r="H936" s="322"/>
      <c r="I936" s="322"/>
      <c r="J936" s="387"/>
      <c r="K936" s="388"/>
      <c r="L936" s="323"/>
      <c r="M936" s="323"/>
      <c r="N936" s="323"/>
      <c r="O936" s="323"/>
      <c r="P936" s="323"/>
      <c r="Q936" s="323"/>
      <c r="R936" s="323"/>
      <c r="S936" s="323"/>
      <c r="T936" s="323"/>
      <c r="U936" s="323"/>
      <c r="V936" s="323"/>
    </row>
    <row r="937">
      <c r="A937" s="323"/>
      <c r="B937" s="323"/>
      <c r="C937" s="322"/>
      <c r="D937" s="322"/>
      <c r="E937" s="323"/>
      <c r="F937" s="322"/>
      <c r="G937" s="322"/>
      <c r="H937" s="322"/>
      <c r="I937" s="322"/>
      <c r="J937" s="387"/>
      <c r="K937" s="388"/>
      <c r="L937" s="323"/>
      <c r="M937" s="323"/>
      <c r="N937" s="323"/>
      <c r="O937" s="323"/>
      <c r="P937" s="323"/>
      <c r="Q937" s="323"/>
      <c r="R937" s="323"/>
      <c r="S937" s="323"/>
      <c r="T937" s="323"/>
      <c r="U937" s="323"/>
      <c r="V937" s="323"/>
    </row>
    <row r="938">
      <c r="A938" s="323"/>
      <c r="B938" s="323"/>
      <c r="C938" s="322"/>
      <c r="D938" s="322"/>
      <c r="E938" s="323"/>
      <c r="F938" s="322"/>
      <c r="G938" s="322"/>
      <c r="H938" s="322"/>
      <c r="I938" s="322"/>
      <c r="J938" s="387"/>
      <c r="K938" s="388"/>
      <c r="L938" s="323"/>
      <c r="M938" s="323"/>
      <c r="N938" s="323"/>
      <c r="O938" s="323"/>
      <c r="P938" s="323"/>
      <c r="Q938" s="323"/>
      <c r="R938" s="323"/>
      <c r="S938" s="323"/>
      <c r="T938" s="323"/>
      <c r="U938" s="323"/>
      <c r="V938" s="323"/>
    </row>
    <row r="939">
      <c r="A939" s="323"/>
      <c r="B939" s="323"/>
      <c r="C939" s="322"/>
      <c r="D939" s="322"/>
      <c r="E939" s="323"/>
      <c r="F939" s="322"/>
      <c r="G939" s="322"/>
      <c r="H939" s="322"/>
      <c r="I939" s="322"/>
      <c r="J939" s="387"/>
      <c r="K939" s="388"/>
      <c r="L939" s="323"/>
      <c r="M939" s="323"/>
      <c r="N939" s="323"/>
      <c r="O939" s="323"/>
      <c r="P939" s="323"/>
      <c r="Q939" s="323"/>
      <c r="R939" s="323"/>
      <c r="S939" s="323"/>
      <c r="T939" s="323"/>
      <c r="U939" s="323"/>
      <c r="V939" s="323"/>
    </row>
    <row r="940">
      <c r="A940" s="323"/>
      <c r="B940" s="323"/>
      <c r="C940" s="322"/>
      <c r="D940" s="322"/>
      <c r="E940" s="323"/>
      <c r="F940" s="322"/>
      <c r="G940" s="322"/>
      <c r="H940" s="322"/>
      <c r="I940" s="322"/>
      <c r="J940" s="387"/>
      <c r="K940" s="388"/>
      <c r="L940" s="323"/>
      <c r="M940" s="323"/>
      <c r="N940" s="323"/>
      <c r="O940" s="323"/>
      <c r="P940" s="323"/>
      <c r="Q940" s="323"/>
      <c r="R940" s="323"/>
      <c r="S940" s="323"/>
      <c r="T940" s="323"/>
      <c r="U940" s="323"/>
      <c r="V940" s="323"/>
    </row>
    <row r="941">
      <c r="A941" s="323"/>
      <c r="B941" s="323"/>
      <c r="C941" s="322"/>
      <c r="D941" s="322"/>
      <c r="E941" s="323"/>
      <c r="F941" s="322"/>
      <c r="G941" s="322"/>
      <c r="H941" s="322"/>
      <c r="I941" s="322"/>
      <c r="J941" s="387"/>
      <c r="K941" s="388"/>
      <c r="L941" s="323"/>
      <c r="M941" s="323"/>
      <c r="N941" s="323"/>
      <c r="O941" s="323"/>
      <c r="P941" s="323"/>
      <c r="Q941" s="323"/>
      <c r="R941" s="323"/>
      <c r="S941" s="323"/>
      <c r="T941" s="323"/>
      <c r="U941" s="323"/>
      <c r="V941" s="323"/>
    </row>
    <row r="942">
      <c r="A942" s="323"/>
      <c r="B942" s="323"/>
      <c r="C942" s="322"/>
      <c r="D942" s="322"/>
      <c r="E942" s="323"/>
      <c r="F942" s="322"/>
      <c r="G942" s="322"/>
      <c r="H942" s="322"/>
      <c r="I942" s="322"/>
      <c r="J942" s="387"/>
      <c r="K942" s="388"/>
      <c r="L942" s="323"/>
      <c r="M942" s="323"/>
      <c r="N942" s="323"/>
      <c r="O942" s="323"/>
      <c r="P942" s="323"/>
      <c r="Q942" s="323"/>
      <c r="R942" s="323"/>
      <c r="S942" s="323"/>
      <c r="T942" s="323"/>
      <c r="U942" s="323"/>
      <c r="V942" s="323"/>
    </row>
    <row r="943">
      <c r="A943" s="323"/>
      <c r="B943" s="323"/>
      <c r="C943" s="322"/>
      <c r="D943" s="322"/>
      <c r="E943" s="323"/>
      <c r="F943" s="322"/>
      <c r="G943" s="322"/>
      <c r="H943" s="322"/>
      <c r="I943" s="322"/>
      <c r="J943" s="387"/>
      <c r="K943" s="388"/>
      <c r="L943" s="323"/>
      <c r="M943" s="323"/>
      <c r="N943" s="323"/>
      <c r="O943" s="323"/>
      <c r="P943" s="323"/>
      <c r="Q943" s="323"/>
      <c r="R943" s="323"/>
      <c r="S943" s="323"/>
      <c r="T943" s="323"/>
      <c r="U943" s="323"/>
      <c r="V943" s="323"/>
    </row>
    <row r="944">
      <c r="A944" s="323"/>
      <c r="B944" s="323"/>
      <c r="C944" s="322"/>
      <c r="D944" s="322"/>
      <c r="E944" s="323"/>
      <c r="F944" s="322"/>
      <c r="G944" s="322"/>
      <c r="H944" s="322"/>
      <c r="I944" s="322"/>
      <c r="J944" s="387"/>
      <c r="K944" s="388"/>
      <c r="L944" s="323"/>
      <c r="M944" s="323"/>
      <c r="N944" s="323"/>
      <c r="O944" s="323"/>
      <c r="P944" s="323"/>
      <c r="Q944" s="323"/>
      <c r="R944" s="323"/>
      <c r="S944" s="323"/>
      <c r="T944" s="323"/>
      <c r="U944" s="323"/>
      <c r="V944" s="323"/>
    </row>
    <row r="945">
      <c r="A945" s="323"/>
      <c r="B945" s="323"/>
      <c r="C945" s="322"/>
      <c r="D945" s="322"/>
      <c r="E945" s="323"/>
      <c r="F945" s="322"/>
      <c r="G945" s="322"/>
      <c r="H945" s="322"/>
      <c r="I945" s="322"/>
      <c r="J945" s="387"/>
      <c r="K945" s="388"/>
      <c r="L945" s="323"/>
      <c r="M945" s="323"/>
      <c r="N945" s="323"/>
      <c r="O945" s="323"/>
      <c r="P945" s="323"/>
      <c r="Q945" s="323"/>
      <c r="R945" s="323"/>
      <c r="S945" s="323"/>
      <c r="T945" s="323"/>
      <c r="U945" s="323"/>
      <c r="V945" s="323"/>
    </row>
    <row r="946">
      <c r="A946" s="323"/>
      <c r="B946" s="323"/>
      <c r="C946" s="322"/>
      <c r="D946" s="322"/>
      <c r="E946" s="323"/>
      <c r="F946" s="322"/>
      <c r="G946" s="322"/>
      <c r="H946" s="322"/>
      <c r="I946" s="322"/>
      <c r="J946" s="387"/>
      <c r="K946" s="388"/>
      <c r="L946" s="323"/>
      <c r="M946" s="323"/>
      <c r="N946" s="323"/>
      <c r="O946" s="323"/>
      <c r="P946" s="323"/>
      <c r="Q946" s="323"/>
      <c r="R946" s="323"/>
      <c r="S946" s="323"/>
      <c r="T946" s="323"/>
      <c r="U946" s="323"/>
      <c r="V946" s="323"/>
    </row>
    <row r="947">
      <c r="A947" s="323"/>
      <c r="B947" s="323"/>
      <c r="C947" s="322"/>
      <c r="D947" s="322"/>
      <c r="E947" s="323"/>
      <c r="F947" s="322"/>
      <c r="G947" s="322"/>
      <c r="H947" s="322"/>
      <c r="I947" s="322"/>
      <c r="J947" s="387"/>
      <c r="K947" s="388"/>
      <c r="L947" s="323"/>
      <c r="M947" s="323"/>
      <c r="N947" s="323"/>
      <c r="O947" s="323"/>
      <c r="P947" s="323"/>
      <c r="Q947" s="323"/>
      <c r="R947" s="323"/>
      <c r="S947" s="323"/>
      <c r="T947" s="323"/>
      <c r="U947" s="323"/>
      <c r="V947" s="323"/>
    </row>
    <row r="948">
      <c r="A948" s="323"/>
      <c r="B948" s="323"/>
      <c r="C948" s="322"/>
      <c r="D948" s="322"/>
      <c r="E948" s="323"/>
      <c r="F948" s="322"/>
      <c r="G948" s="322"/>
      <c r="H948" s="322"/>
      <c r="I948" s="322"/>
      <c r="J948" s="387"/>
      <c r="K948" s="388"/>
      <c r="L948" s="323"/>
      <c r="M948" s="323"/>
      <c r="N948" s="323"/>
      <c r="O948" s="323"/>
      <c r="P948" s="323"/>
      <c r="Q948" s="323"/>
      <c r="R948" s="323"/>
      <c r="S948" s="323"/>
      <c r="T948" s="323"/>
      <c r="U948" s="323"/>
      <c r="V948" s="323"/>
    </row>
    <row r="949">
      <c r="A949" s="323"/>
      <c r="B949" s="323"/>
      <c r="C949" s="322"/>
      <c r="D949" s="322"/>
      <c r="E949" s="323"/>
      <c r="F949" s="322"/>
      <c r="G949" s="322"/>
      <c r="H949" s="322"/>
      <c r="I949" s="322"/>
      <c r="J949" s="387"/>
      <c r="K949" s="388"/>
      <c r="L949" s="323"/>
      <c r="M949" s="323"/>
      <c r="N949" s="323"/>
      <c r="O949" s="323"/>
      <c r="P949" s="323"/>
      <c r="Q949" s="323"/>
      <c r="R949" s="323"/>
      <c r="S949" s="323"/>
      <c r="T949" s="323"/>
      <c r="U949" s="323"/>
      <c r="V949" s="323"/>
    </row>
    <row r="950">
      <c r="A950" s="323"/>
      <c r="B950" s="323"/>
      <c r="C950" s="322"/>
      <c r="D950" s="322"/>
      <c r="E950" s="323"/>
      <c r="F950" s="322"/>
      <c r="G950" s="322"/>
      <c r="H950" s="322"/>
      <c r="I950" s="322"/>
      <c r="J950" s="387"/>
      <c r="K950" s="388"/>
      <c r="L950" s="323"/>
      <c r="M950" s="323"/>
      <c r="N950" s="323"/>
      <c r="O950" s="323"/>
      <c r="P950" s="323"/>
      <c r="Q950" s="323"/>
      <c r="R950" s="323"/>
      <c r="S950" s="323"/>
      <c r="T950" s="323"/>
      <c r="U950" s="323"/>
      <c r="V950" s="323"/>
    </row>
    <row r="951">
      <c r="A951" s="323"/>
      <c r="B951" s="323"/>
      <c r="C951" s="322"/>
      <c r="D951" s="322"/>
      <c r="E951" s="323"/>
      <c r="F951" s="322"/>
      <c r="G951" s="322"/>
      <c r="H951" s="322"/>
      <c r="I951" s="322"/>
      <c r="J951" s="387"/>
      <c r="K951" s="388"/>
      <c r="L951" s="323"/>
      <c r="M951" s="323"/>
      <c r="N951" s="323"/>
      <c r="O951" s="323"/>
      <c r="P951" s="323"/>
      <c r="Q951" s="323"/>
      <c r="R951" s="323"/>
      <c r="S951" s="323"/>
      <c r="T951" s="323"/>
      <c r="U951" s="323"/>
      <c r="V951" s="323"/>
    </row>
    <row r="952">
      <c r="A952" s="323"/>
      <c r="B952" s="323"/>
      <c r="C952" s="322"/>
      <c r="D952" s="322"/>
      <c r="E952" s="323"/>
      <c r="F952" s="322"/>
      <c r="G952" s="322"/>
      <c r="H952" s="322"/>
      <c r="I952" s="322"/>
      <c r="J952" s="387"/>
      <c r="K952" s="388"/>
      <c r="L952" s="323"/>
      <c r="M952" s="323"/>
      <c r="N952" s="323"/>
      <c r="O952" s="323"/>
      <c r="P952" s="323"/>
      <c r="Q952" s="323"/>
      <c r="R952" s="323"/>
      <c r="S952" s="323"/>
      <c r="T952" s="323"/>
      <c r="U952" s="323"/>
      <c r="V952" s="323"/>
    </row>
    <row r="953">
      <c r="A953" s="323"/>
      <c r="B953" s="323"/>
      <c r="C953" s="322"/>
      <c r="D953" s="322"/>
      <c r="E953" s="323"/>
      <c r="F953" s="322"/>
      <c r="G953" s="322"/>
      <c r="H953" s="322"/>
      <c r="I953" s="322"/>
      <c r="J953" s="387"/>
      <c r="K953" s="388"/>
      <c r="L953" s="323"/>
      <c r="M953" s="323"/>
      <c r="N953" s="323"/>
      <c r="O953" s="323"/>
      <c r="P953" s="323"/>
      <c r="Q953" s="323"/>
      <c r="R953" s="323"/>
      <c r="S953" s="323"/>
      <c r="T953" s="323"/>
      <c r="U953" s="323"/>
      <c r="V953" s="323"/>
    </row>
    <row r="954">
      <c r="A954" s="323"/>
      <c r="B954" s="323"/>
      <c r="C954" s="322"/>
      <c r="D954" s="322"/>
      <c r="E954" s="323"/>
      <c r="F954" s="322"/>
      <c r="G954" s="322"/>
      <c r="H954" s="322"/>
      <c r="I954" s="322"/>
      <c r="J954" s="387"/>
      <c r="K954" s="388"/>
      <c r="L954" s="323"/>
      <c r="M954" s="323"/>
      <c r="N954" s="323"/>
      <c r="O954" s="323"/>
      <c r="P954" s="323"/>
      <c r="Q954" s="323"/>
      <c r="R954" s="323"/>
      <c r="S954" s="323"/>
      <c r="T954" s="323"/>
      <c r="U954" s="323"/>
      <c r="V954" s="323"/>
    </row>
    <row r="955">
      <c r="A955" s="323"/>
      <c r="B955" s="323"/>
      <c r="C955" s="322"/>
      <c r="D955" s="322"/>
      <c r="E955" s="323"/>
      <c r="F955" s="322"/>
      <c r="G955" s="322"/>
      <c r="H955" s="322"/>
      <c r="I955" s="322"/>
      <c r="J955" s="387"/>
      <c r="K955" s="388"/>
      <c r="L955" s="323"/>
      <c r="M955" s="323"/>
      <c r="N955" s="323"/>
      <c r="O955" s="323"/>
      <c r="P955" s="323"/>
      <c r="Q955" s="323"/>
      <c r="R955" s="323"/>
      <c r="S955" s="323"/>
      <c r="T955" s="323"/>
      <c r="U955" s="323"/>
      <c r="V955" s="323"/>
    </row>
    <row r="956">
      <c r="A956" s="323"/>
      <c r="B956" s="323"/>
      <c r="C956" s="322"/>
      <c r="D956" s="322"/>
      <c r="E956" s="323"/>
      <c r="F956" s="322"/>
      <c r="G956" s="322"/>
      <c r="H956" s="322"/>
      <c r="I956" s="322"/>
      <c r="J956" s="387"/>
      <c r="K956" s="388"/>
      <c r="L956" s="323"/>
      <c r="M956" s="323"/>
      <c r="N956" s="323"/>
      <c r="O956" s="323"/>
      <c r="P956" s="323"/>
      <c r="Q956" s="323"/>
      <c r="R956" s="323"/>
      <c r="S956" s="323"/>
      <c r="T956" s="323"/>
      <c r="U956" s="323"/>
      <c r="V956" s="323"/>
    </row>
    <row r="957">
      <c r="A957" s="323"/>
      <c r="B957" s="323"/>
      <c r="C957" s="322"/>
      <c r="D957" s="322"/>
      <c r="E957" s="323"/>
      <c r="F957" s="322"/>
      <c r="G957" s="322"/>
      <c r="H957" s="322"/>
      <c r="I957" s="322"/>
      <c r="J957" s="387"/>
      <c r="K957" s="388"/>
      <c r="L957" s="323"/>
      <c r="M957" s="323"/>
      <c r="N957" s="323"/>
      <c r="O957" s="323"/>
      <c r="P957" s="323"/>
      <c r="Q957" s="323"/>
      <c r="R957" s="323"/>
      <c r="S957" s="323"/>
      <c r="T957" s="323"/>
      <c r="U957" s="323"/>
      <c r="V957" s="323"/>
    </row>
    <row r="958">
      <c r="A958" s="323"/>
      <c r="B958" s="323"/>
      <c r="C958" s="322"/>
      <c r="D958" s="322"/>
      <c r="E958" s="323"/>
      <c r="F958" s="322"/>
      <c r="G958" s="322"/>
      <c r="H958" s="322"/>
      <c r="I958" s="322"/>
      <c r="J958" s="387"/>
      <c r="K958" s="388"/>
      <c r="L958" s="323"/>
      <c r="M958" s="323"/>
      <c r="N958" s="323"/>
      <c r="O958" s="323"/>
      <c r="P958" s="323"/>
      <c r="Q958" s="323"/>
      <c r="R958" s="323"/>
      <c r="S958" s="323"/>
      <c r="T958" s="323"/>
      <c r="U958" s="323"/>
      <c r="V958" s="323"/>
    </row>
    <row r="959">
      <c r="A959" s="323"/>
      <c r="B959" s="323"/>
      <c r="C959" s="322"/>
      <c r="D959" s="322"/>
      <c r="E959" s="323"/>
      <c r="F959" s="322"/>
      <c r="G959" s="322"/>
      <c r="H959" s="322"/>
      <c r="I959" s="322"/>
      <c r="J959" s="387"/>
      <c r="K959" s="388"/>
      <c r="L959" s="323"/>
      <c r="M959" s="323"/>
      <c r="N959" s="323"/>
      <c r="O959" s="323"/>
      <c r="P959" s="323"/>
      <c r="Q959" s="323"/>
      <c r="R959" s="323"/>
      <c r="S959" s="323"/>
      <c r="T959" s="323"/>
      <c r="U959" s="323"/>
      <c r="V959" s="323"/>
    </row>
    <row r="960">
      <c r="A960" s="323"/>
      <c r="B960" s="323"/>
      <c r="C960" s="322"/>
      <c r="D960" s="322"/>
      <c r="E960" s="323"/>
      <c r="F960" s="322"/>
      <c r="G960" s="322"/>
      <c r="H960" s="322"/>
      <c r="I960" s="322"/>
      <c r="J960" s="387"/>
      <c r="K960" s="388"/>
      <c r="L960" s="323"/>
      <c r="M960" s="323"/>
      <c r="N960" s="323"/>
      <c r="O960" s="323"/>
      <c r="P960" s="323"/>
      <c r="Q960" s="323"/>
      <c r="R960" s="323"/>
      <c r="S960" s="323"/>
      <c r="T960" s="323"/>
      <c r="U960" s="323"/>
      <c r="V960" s="323"/>
    </row>
    <row r="961">
      <c r="A961" s="323"/>
      <c r="B961" s="323"/>
      <c r="C961" s="322"/>
      <c r="D961" s="322"/>
      <c r="E961" s="323"/>
      <c r="F961" s="322"/>
      <c r="G961" s="322"/>
      <c r="H961" s="322"/>
      <c r="I961" s="322"/>
      <c r="J961" s="387"/>
      <c r="K961" s="388"/>
      <c r="L961" s="323"/>
      <c r="M961" s="323"/>
      <c r="N961" s="323"/>
      <c r="O961" s="323"/>
      <c r="P961" s="323"/>
      <c r="Q961" s="323"/>
      <c r="R961" s="323"/>
      <c r="S961" s="323"/>
      <c r="T961" s="323"/>
      <c r="U961" s="323"/>
      <c r="V961" s="323"/>
    </row>
    <row r="962">
      <c r="A962" s="323"/>
      <c r="B962" s="323"/>
      <c r="C962" s="322"/>
      <c r="D962" s="322"/>
      <c r="E962" s="323"/>
      <c r="F962" s="322"/>
      <c r="G962" s="322"/>
      <c r="H962" s="322"/>
      <c r="I962" s="322"/>
      <c r="J962" s="387"/>
      <c r="K962" s="388"/>
      <c r="L962" s="323"/>
      <c r="M962" s="323"/>
      <c r="N962" s="323"/>
      <c r="O962" s="323"/>
      <c r="P962" s="323"/>
      <c r="Q962" s="323"/>
      <c r="R962" s="323"/>
      <c r="S962" s="323"/>
      <c r="T962" s="323"/>
      <c r="U962" s="323"/>
      <c r="V962" s="323"/>
    </row>
    <row r="963">
      <c r="A963" s="323"/>
      <c r="B963" s="323"/>
      <c r="C963" s="322"/>
      <c r="D963" s="322"/>
      <c r="E963" s="323"/>
      <c r="F963" s="322"/>
      <c r="G963" s="322"/>
      <c r="H963" s="322"/>
      <c r="I963" s="322"/>
      <c r="J963" s="387"/>
      <c r="K963" s="388"/>
      <c r="L963" s="323"/>
      <c r="M963" s="323"/>
      <c r="N963" s="323"/>
      <c r="O963" s="323"/>
      <c r="P963" s="323"/>
      <c r="Q963" s="323"/>
      <c r="R963" s="323"/>
      <c r="S963" s="323"/>
      <c r="T963" s="323"/>
      <c r="U963" s="323"/>
      <c r="V963" s="323"/>
    </row>
    <row r="964">
      <c r="A964" s="323"/>
      <c r="B964" s="323"/>
      <c r="C964" s="322"/>
      <c r="D964" s="322"/>
      <c r="E964" s="323"/>
      <c r="F964" s="322"/>
      <c r="G964" s="322"/>
      <c r="H964" s="322"/>
      <c r="I964" s="322"/>
      <c r="J964" s="387"/>
      <c r="K964" s="388"/>
      <c r="L964" s="323"/>
      <c r="M964" s="323"/>
      <c r="N964" s="323"/>
      <c r="O964" s="323"/>
      <c r="P964" s="323"/>
      <c r="Q964" s="323"/>
      <c r="R964" s="323"/>
      <c r="S964" s="323"/>
      <c r="T964" s="323"/>
      <c r="U964" s="323"/>
      <c r="V964" s="323"/>
    </row>
    <row r="965">
      <c r="A965" s="323"/>
      <c r="B965" s="323"/>
      <c r="C965" s="322"/>
      <c r="D965" s="322"/>
      <c r="E965" s="323"/>
      <c r="F965" s="322"/>
      <c r="G965" s="322"/>
      <c r="H965" s="322"/>
      <c r="I965" s="322"/>
      <c r="J965" s="387"/>
      <c r="K965" s="388"/>
      <c r="L965" s="323"/>
      <c r="M965" s="323"/>
      <c r="N965" s="323"/>
      <c r="O965" s="323"/>
      <c r="P965" s="323"/>
      <c r="Q965" s="323"/>
      <c r="R965" s="323"/>
      <c r="S965" s="323"/>
      <c r="T965" s="323"/>
      <c r="U965" s="323"/>
      <c r="V965" s="323"/>
    </row>
    <row r="966">
      <c r="A966" s="323"/>
      <c r="B966" s="323"/>
      <c r="C966" s="322"/>
      <c r="D966" s="322"/>
      <c r="E966" s="323"/>
      <c r="F966" s="322"/>
      <c r="G966" s="322"/>
      <c r="H966" s="322"/>
      <c r="I966" s="322"/>
      <c r="J966" s="387"/>
      <c r="K966" s="388"/>
      <c r="L966" s="323"/>
      <c r="M966" s="323"/>
      <c r="N966" s="323"/>
      <c r="O966" s="323"/>
      <c r="P966" s="323"/>
      <c r="Q966" s="323"/>
      <c r="R966" s="323"/>
      <c r="S966" s="323"/>
      <c r="T966" s="323"/>
      <c r="U966" s="323"/>
      <c r="V966" s="323"/>
    </row>
    <row r="967">
      <c r="A967" s="323"/>
      <c r="B967" s="323"/>
      <c r="C967" s="322"/>
      <c r="D967" s="322"/>
      <c r="E967" s="323"/>
      <c r="F967" s="322"/>
      <c r="G967" s="322"/>
      <c r="H967" s="322"/>
      <c r="I967" s="322"/>
      <c r="J967" s="387"/>
      <c r="K967" s="388"/>
      <c r="L967" s="323"/>
      <c r="M967" s="323"/>
      <c r="N967" s="323"/>
      <c r="O967" s="323"/>
      <c r="P967" s="323"/>
      <c r="Q967" s="323"/>
      <c r="R967" s="323"/>
      <c r="S967" s="323"/>
      <c r="T967" s="323"/>
      <c r="U967" s="323"/>
      <c r="V967" s="323"/>
    </row>
  </sheetData>
  <autoFilter ref="$A$1:$N$263">
    <filterColumn colId="13">
      <filters>
        <filter val="Acompanhar"/>
        <filter val="Aguarda Demonst. Crédito"/>
      </filters>
    </filterColumn>
    <filterColumn colId="1">
      <filters>
        <filter val="DIARIA DE DESCARGA"/>
        <filter val="DIÁRIA DE DESCARGA"/>
      </filters>
    </filterColumn>
    <filterColumn colId="8">
      <filters>
        <filter val="EFW3B74"/>
        <filter val="RLJ5B74"/>
        <filter val="EUX8A96"/>
        <filter val="MIZ9F60"/>
        <filter val="NUF0C80"/>
        <filter val="ATI8J32"/>
        <filter val="ACN3I64"/>
        <filter val="NZU2538"/>
        <filter val="MLN3A76"/>
        <filter val="GVQ2B17"/>
        <filter val="MEK4B39"/>
        <filter val="BAN2A60"/>
        <filter val="ETU2H73"/>
        <filter val="ATX0A70"/>
        <filter val="MEA5F57"/>
        <filter val="HZE2F70"/>
        <filter val="NJQ6C66"/>
        <filter val="ASO5I06"/>
        <filter val="AWD1B98"/>
        <filter val="QJK5J00"/>
        <filter val="AGG7742"/>
        <filter val="APN2H58"/>
        <filter val="MFY4I74"/>
        <filter val="MGF4H86"/>
        <filter val="MFI7B86"/>
        <filter val="MFI1G76"/>
        <filter val="ALO5I04"/>
        <filter val="ALP7B30"/>
        <filter val="BCP9H00"/>
        <filter val="ABZ5A09"/>
        <filter val="ASP6I28"/>
        <filter val="MLL6E83"/>
        <filter val="AEW3F21"/>
        <filter val="EVO2A67"/>
        <filter val="GHC4E75"/>
        <filter val="HQG6D12"/>
        <filter val="MKK1H34"/>
        <filter val="ATJ1E14"/>
        <filter val="PEJ0C51"/>
        <filter val="BAX3J70"/>
        <filter val="DBC8790"/>
        <filter val="IPK4C72"/>
        <filter val="AYZ5B53"/>
        <filter val="MBP5D79"/>
        <filter val="CVN3A01"/>
        <filter val="JLQ7H51"/>
        <filter val="DVS9D71"/>
        <filter val="ATQ3B32"/>
        <filter val="JZU1A40"/>
        <filter val="ILI8C72"/>
        <filter val="CUE4E05"/>
        <filter val="AMP9049"/>
        <filter val="IQW4G94"/>
        <filter val="BAP2G10"/>
        <filter val="AXS2A52"/>
        <filter val="IEU5D15"/>
        <filter val="GBN9E05"/>
        <filter val="BCJ0C22"/>
        <filter val="ATF7H89"/>
        <filter val="ATD0G84"/>
        <filter val="ALC0D80"/>
        <filter val="AZP0H53"/>
        <filter val="IUQ0B97"/>
        <filter val="AYZ6C77"/>
        <filter val="DTE2491"/>
        <filter val="ACS4B05"/>
        <filter val="MIS0H20"/>
        <filter val="AYY5D91"/>
        <filter val="CPJ2F67"/>
      </filters>
    </filterColumn>
  </autoFilter>
  <conditionalFormatting sqref="A326">
    <cfRule type="notContainsBlanks" dxfId="2" priority="1">
      <formula>LEN(TRIM(A326))&gt;0</formula>
    </cfRule>
  </conditionalFormatting>
  <conditionalFormatting sqref="A326">
    <cfRule type="notContainsBlanks" dxfId="2" priority="2">
      <formula>LEN(TRIM(A326))&gt;0</formula>
    </cfRule>
  </conditionalFormatting>
  <conditionalFormatting sqref="D340:D349">
    <cfRule type="expression" dxfId="0" priority="3">
      <formula>COUNTIF(D:D,D340)&gt;1</formula>
    </cfRule>
  </conditionalFormatting>
  <conditionalFormatting sqref="D340:D349">
    <cfRule type="cellIs" dxfId="1" priority="4" operator="greaterThan">
      <formula>100000000</formula>
    </cfRule>
  </conditionalFormatting>
  <dataValidations>
    <dataValidation type="list" allowBlank="1" showErrorMessage="1" sqref="N2:N349">
      <formula1>"Acompanhar,Finalizado,Enviar p/ Emissão ,Anexar Comprov.,Cobrar Validação HNK,Aguarda Demonst. Crédito"</formula1>
    </dataValidation>
    <dataValidation type="list" allowBlank="1" showErrorMessage="1" sqref="B45:B46 B48:B56 B65">
      <formula1>"AVARIA,DESCARTE PALLET,DEV. ATIVOS  - PALLET,DIARIA DE DESCARGA,DIÁRIA DE DESCARGA,FALTA DE AGENDA,FALTA DE VASILHAME,PERDA DE AGENDA,RET. VAZIO,TAXA DE DESCARGA"</formula1>
    </dataValidation>
    <dataValidation type="list" allowBlank="1" showErrorMessage="1" sqref="B2:B44 B47 B57:B64 B66:B349">
      <formula1>"AVARIA,DESCARTE PALLET,DEV. ATIVOS  - PALLET,DIARIA DE DESCARGA,DIÁRIA DE DESCARGA,FALTA DE AGENDA,FALTA DE VASILHAME,PERDA DE AGENDA,RET. VAZIO,TAXA DE DESCARGA,AGENDA FUTURA,PEDAGIO,FALTA DE AGENDA,DIVERGENCIA DE PREÇO,DEV. ATIVOS VASILHAME,VEICULO COM "&amp;"DEFEITO,ADERNAMENTO,RETRABALHO,CUSTOS ESTADIAS INTERNO HNK,AGENDA QUEIMADA,DIVERGENCIA DE PEDIDO,EXCESSO DE VEICULOS NO CLIENTE,PERDA DE AGENDA - TRANSPORTADOR,SINISTRO"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9.75"/>
    <col customWidth="1" min="3" max="3" width="9.63"/>
    <col customWidth="1" min="4" max="4" width="2.75"/>
    <col customWidth="1" min="5" max="5" width="5.75"/>
    <col customWidth="1" min="6" max="6" width="4.75"/>
    <col customWidth="1" min="7" max="7" width="6.13"/>
    <col customWidth="1" min="8" max="8" width="43.38"/>
    <col customWidth="1" min="9" max="9" width="15.13"/>
    <col customWidth="1" min="10" max="10" width="11.25"/>
    <col customWidth="1" min="11" max="11" width="16.75"/>
    <col customWidth="1" min="12" max="12" width="8.88"/>
    <col customWidth="1" min="13" max="13" width="13.13"/>
    <col customWidth="1" min="14" max="15" width="8.75"/>
    <col customWidth="1" min="16" max="16" width="9.13"/>
    <col customWidth="1" min="17" max="17" width="3.0"/>
    <col customWidth="1" min="18" max="18" width="7.88"/>
    <col customWidth="1" min="19" max="19" width="22.63"/>
    <col customWidth="1" min="20" max="20" width="11.0"/>
    <col customWidth="1" min="21" max="21" width="13.5"/>
    <col customWidth="1" min="22" max="22" width="9.25"/>
    <col customWidth="1" min="23" max="23" width="9.88"/>
    <col customWidth="1" min="24" max="24" width="13.5"/>
    <col customWidth="1" min="25" max="25" width="8.88"/>
    <col customWidth="1" min="26" max="26" width="8.0"/>
    <col customWidth="1" min="27" max="27" width="9.88"/>
    <col customWidth="1" min="28" max="28" width="8.0"/>
    <col customWidth="1" min="29" max="29" width="5.88"/>
    <col customWidth="1" min="30" max="30" width="4.5"/>
    <col customWidth="1" min="31" max="31" width="9.5"/>
    <col customWidth="1" min="32" max="32" width="12.63"/>
    <col customWidth="1" min="33" max="33" width="10.25"/>
    <col customWidth="1" min="34" max="34" width="6.88"/>
    <col customWidth="1" min="35" max="35" width="11.38"/>
    <col customWidth="1" min="36" max="36" width="8.0"/>
    <col customWidth="1" min="37" max="37" width="7.63"/>
    <col customWidth="1" min="38" max="38" width="7.25"/>
    <col customWidth="1" min="39" max="39" width="5.75"/>
    <col customWidth="1" min="40" max="42" width="12.63"/>
  </cols>
  <sheetData>
    <row r="1" ht="40.5" customHeight="1">
      <c r="A1" s="389" t="s">
        <v>0</v>
      </c>
      <c r="B1" s="390" t="s">
        <v>1</v>
      </c>
      <c r="C1" s="390" t="s">
        <v>2</v>
      </c>
      <c r="D1" s="390" t="s">
        <v>3</v>
      </c>
      <c r="E1" s="390" t="s">
        <v>4</v>
      </c>
      <c r="F1" s="390" t="s">
        <v>5</v>
      </c>
      <c r="G1" s="390" t="s">
        <v>6</v>
      </c>
      <c r="H1" s="390" t="s">
        <v>7</v>
      </c>
      <c r="I1" s="390" t="s">
        <v>8</v>
      </c>
      <c r="J1" s="390" t="s">
        <v>9</v>
      </c>
      <c r="K1" s="390" t="s">
        <v>10</v>
      </c>
      <c r="L1" s="390" t="s">
        <v>11</v>
      </c>
      <c r="M1" s="390" t="s">
        <v>2867</v>
      </c>
      <c r="N1" s="391" t="s">
        <v>13</v>
      </c>
      <c r="O1" s="392" t="s">
        <v>14</v>
      </c>
      <c r="P1" s="6" t="s">
        <v>15</v>
      </c>
      <c r="Q1" s="390" t="s">
        <v>16</v>
      </c>
      <c r="R1" s="390" t="s">
        <v>17</v>
      </c>
      <c r="S1" s="390" t="s">
        <v>18</v>
      </c>
      <c r="T1" s="390" t="s">
        <v>19</v>
      </c>
      <c r="U1" s="390" t="s">
        <v>20</v>
      </c>
      <c r="V1" s="390" t="s">
        <v>21</v>
      </c>
      <c r="W1" s="390" t="s">
        <v>22</v>
      </c>
      <c r="X1" s="390" t="s">
        <v>23</v>
      </c>
      <c r="Y1" s="390" t="s">
        <v>24</v>
      </c>
      <c r="Z1" s="390" t="s">
        <v>25</v>
      </c>
      <c r="AA1" s="390" t="s">
        <v>22</v>
      </c>
      <c r="AB1" s="390" t="s">
        <v>2868</v>
      </c>
      <c r="AC1" s="390" t="s">
        <v>27</v>
      </c>
      <c r="AD1" s="393" t="s">
        <v>28</v>
      </c>
      <c r="AE1" s="390" t="s">
        <v>2869</v>
      </c>
      <c r="AF1" s="394"/>
      <c r="AG1" s="390" t="s">
        <v>2870</v>
      </c>
      <c r="AH1" s="390" t="s">
        <v>2871</v>
      </c>
      <c r="AI1" s="390" t="s">
        <v>2872</v>
      </c>
      <c r="AJ1" s="390" t="s">
        <v>2873</v>
      </c>
      <c r="AK1" s="390" t="s">
        <v>2874</v>
      </c>
      <c r="AL1" s="390" t="s">
        <v>2875</v>
      </c>
      <c r="AM1" s="390" t="s">
        <v>2876</v>
      </c>
      <c r="AN1" s="395"/>
      <c r="AO1" s="395"/>
      <c r="AP1" s="395"/>
    </row>
    <row r="2" hidden="1">
      <c r="A2" s="396">
        <v>1.0921648E7</v>
      </c>
      <c r="B2" s="397"/>
      <c r="C2" s="398">
        <v>45302.0</v>
      </c>
      <c r="D2" s="397">
        <v>26.0</v>
      </c>
      <c r="E2" s="399">
        <v>31.625</v>
      </c>
      <c r="F2" s="397" t="s">
        <v>31</v>
      </c>
      <c r="G2" s="400" t="s">
        <v>74</v>
      </c>
      <c r="H2" s="397" t="s">
        <v>304</v>
      </c>
      <c r="I2" s="399" t="s">
        <v>305</v>
      </c>
      <c r="J2" s="399" t="s">
        <v>35</v>
      </c>
      <c r="K2" s="399" t="s">
        <v>306</v>
      </c>
      <c r="L2" s="28" t="s">
        <v>94</v>
      </c>
      <c r="M2" s="401" t="s">
        <v>52</v>
      </c>
      <c r="N2" s="402">
        <v>6500.0</v>
      </c>
      <c r="O2" s="73">
        <f t="shared" ref="O2:O4" si="1">IFERROR(P2/N2,0)</f>
        <v>0.6538461538</v>
      </c>
      <c r="P2" s="39">
        <v>4250.0</v>
      </c>
      <c r="Q2" s="401" t="s">
        <v>52</v>
      </c>
      <c r="R2" s="401" t="s">
        <v>52</v>
      </c>
      <c r="S2" s="403" t="s">
        <v>165</v>
      </c>
      <c r="T2" s="404"/>
      <c r="U2" s="404"/>
      <c r="V2" s="404"/>
      <c r="W2" s="404"/>
      <c r="X2" s="404"/>
      <c r="Y2" s="404"/>
      <c r="Z2" s="404"/>
      <c r="AA2" s="404"/>
      <c r="AB2" s="404"/>
      <c r="AC2" s="404"/>
      <c r="AD2" s="404"/>
      <c r="AE2" s="404"/>
      <c r="AF2" s="404"/>
      <c r="AG2" s="404"/>
      <c r="AH2" s="404"/>
      <c r="AI2" s="404"/>
      <c r="AJ2" s="404"/>
      <c r="AK2" s="405"/>
      <c r="AL2" s="404"/>
      <c r="AM2" s="404"/>
      <c r="AN2" s="395"/>
      <c r="AO2" s="395"/>
      <c r="AP2" s="395"/>
    </row>
    <row r="3" hidden="1">
      <c r="A3" s="396">
        <v>1.0921637E7</v>
      </c>
      <c r="B3" s="397"/>
      <c r="C3" s="398">
        <v>45302.0</v>
      </c>
      <c r="D3" s="397">
        <v>26.0</v>
      </c>
      <c r="E3" s="399">
        <v>31.625</v>
      </c>
      <c r="F3" s="397" t="s">
        <v>31</v>
      </c>
      <c r="G3" s="400" t="s">
        <v>74</v>
      </c>
      <c r="H3" s="397" t="s">
        <v>304</v>
      </c>
      <c r="I3" s="399" t="s">
        <v>305</v>
      </c>
      <c r="J3" s="399" t="s">
        <v>35</v>
      </c>
      <c r="K3" s="399" t="s">
        <v>306</v>
      </c>
      <c r="L3" s="28" t="s">
        <v>94</v>
      </c>
      <c r="M3" s="401" t="s">
        <v>52</v>
      </c>
      <c r="N3" s="402">
        <v>6500.0</v>
      </c>
      <c r="O3" s="73">
        <f t="shared" si="1"/>
        <v>0.6538461538</v>
      </c>
      <c r="P3" s="39">
        <v>4250.0</v>
      </c>
      <c r="Q3" s="401" t="s">
        <v>52</v>
      </c>
      <c r="R3" s="401" t="s">
        <v>52</v>
      </c>
      <c r="S3" s="403" t="s">
        <v>165</v>
      </c>
      <c r="T3" s="404"/>
      <c r="U3" s="404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4"/>
      <c r="AJ3" s="404"/>
      <c r="AK3" s="405"/>
      <c r="AL3" s="404"/>
      <c r="AM3" s="404"/>
      <c r="AN3" s="395"/>
      <c r="AO3" s="395"/>
      <c r="AP3" s="395"/>
    </row>
    <row r="4" hidden="1">
      <c r="A4" s="396">
        <v>1.0914015E7</v>
      </c>
      <c r="B4" s="397"/>
      <c r="C4" s="398">
        <v>45333.0</v>
      </c>
      <c r="D4" s="397">
        <v>26.0</v>
      </c>
      <c r="E4" s="399">
        <v>31.922</v>
      </c>
      <c r="F4" s="397" t="s">
        <v>31</v>
      </c>
      <c r="G4" s="400" t="s">
        <v>44</v>
      </c>
      <c r="H4" s="397" t="s">
        <v>268</v>
      </c>
      <c r="I4" s="401" t="s">
        <v>397</v>
      </c>
      <c r="J4" s="397" t="s">
        <v>35</v>
      </c>
      <c r="K4" s="397" t="s">
        <v>270</v>
      </c>
      <c r="L4" s="28" t="s">
        <v>94</v>
      </c>
      <c r="M4" s="397" t="s">
        <v>52</v>
      </c>
      <c r="N4" s="402">
        <v>6200.0</v>
      </c>
      <c r="O4" s="73">
        <f t="shared" si="1"/>
        <v>0.8064516129</v>
      </c>
      <c r="P4" s="39">
        <v>5000.0</v>
      </c>
      <c r="Q4" s="406"/>
      <c r="R4" s="401" t="s">
        <v>52</v>
      </c>
      <c r="S4" s="403" t="s">
        <v>165</v>
      </c>
      <c r="T4" s="404"/>
      <c r="U4" s="404"/>
      <c r="V4" s="404"/>
      <c r="W4" s="404"/>
      <c r="X4" s="404"/>
      <c r="Y4" s="404"/>
      <c r="Z4" s="404"/>
      <c r="AA4" s="404"/>
      <c r="AB4" s="404"/>
      <c r="AC4" s="404"/>
      <c r="AD4" s="404"/>
      <c r="AE4" s="404"/>
      <c r="AF4" s="404"/>
      <c r="AG4" s="404"/>
      <c r="AH4" s="404"/>
      <c r="AI4" s="404"/>
      <c r="AJ4" s="404"/>
      <c r="AK4" s="405"/>
      <c r="AL4" s="404"/>
      <c r="AM4" s="404"/>
      <c r="AN4" s="395"/>
      <c r="AO4" s="395"/>
      <c r="AP4" s="395"/>
    </row>
    <row r="5" ht="15.75" hidden="1" customHeight="1">
      <c r="A5" s="407">
        <v>1.0932681E7</v>
      </c>
      <c r="B5" s="115"/>
      <c r="C5" s="99">
        <v>45454.0</v>
      </c>
      <c r="D5" s="84">
        <v>26.0</v>
      </c>
      <c r="E5" s="93">
        <v>31.922</v>
      </c>
      <c r="F5" s="84" t="s">
        <v>31</v>
      </c>
      <c r="G5" s="85" t="s">
        <v>44</v>
      </c>
      <c r="H5" s="12" t="s">
        <v>268</v>
      </c>
      <c r="I5" s="29" t="s">
        <v>397</v>
      </c>
      <c r="J5" s="12" t="s">
        <v>35</v>
      </c>
      <c r="K5" s="12" t="s">
        <v>270</v>
      </c>
      <c r="L5" s="28" t="s">
        <v>94</v>
      </c>
      <c r="M5" s="84" t="s">
        <v>52</v>
      </c>
      <c r="N5" s="402">
        <v>6200.0</v>
      </c>
      <c r="O5" s="17">
        <f t="shared" ref="O5:O6" si="2">IFERROR(P5/N5,0)</f>
        <v>0.685483871</v>
      </c>
      <c r="P5" s="89">
        <v>4250.0</v>
      </c>
      <c r="Q5" s="84" t="s">
        <v>52</v>
      </c>
      <c r="R5" s="84" t="s">
        <v>52</v>
      </c>
      <c r="S5" s="85" t="s">
        <v>165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5"/>
      <c r="AL5" s="12"/>
      <c r="AM5" s="12"/>
      <c r="AN5" s="22"/>
      <c r="AO5" s="22"/>
      <c r="AP5" s="22"/>
    </row>
    <row r="6" ht="15.75" hidden="1" customHeight="1">
      <c r="A6" s="103">
        <v>1.093268E7</v>
      </c>
      <c r="B6" s="84"/>
      <c r="C6" s="99">
        <v>45454.0</v>
      </c>
      <c r="D6" s="84">
        <v>26.0</v>
      </c>
      <c r="E6" s="93">
        <v>31.922</v>
      </c>
      <c r="F6" s="84" t="s">
        <v>31</v>
      </c>
      <c r="G6" s="85" t="s">
        <v>44</v>
      </c>
      <c r="H6" s="12" t="s">
        <v>268</v>
      </c>
      <c r="I6" s="29" t="s">
        <v>397</v>
      </c>
      <c r="J6" s="12" t="s">
        <v>35</v>
      </c>
      <c r="K6" s="12" t="s">
        <v>270</v>
      </c>
      <c r="L6" s="28" t="s">
        <v>94</v>
      </c>
      <c r="M6" s="84" t="s">
        <v>52</v>
      </c>
      <c r="N6" s="402">
        <v>6200.0</v>
      </c>
      <c r="O6" s="17">
        <f t="shared" si="2"/>
        <v>0.685483871</v>
      </c>
      <c r="P6" s="89">
        <v>4250.0</v>
      </c>
      <c r="Q6" s="84" t="s">
        <v>52</v>
      </c>
      <c r="R6" s="84" t="s">
        <v>52</v>
      </c>
      <c r="S6" s="85" t="s">
        <v>165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5"/>
      <c r="AL6" s="12"/>
      <c r="AM6" s="12"/>
      <c r="AN6" s="22"/>
      <c r="AO6" s="22"/>
      <c r="AP6" s="22"/>
    </row>
    <row r="7" ht="15.75" hidden="1" customHeight="1">
      <c r="A7" s="104">
        <v>1.0932679E7</v>
      </c>
      <c r="B7" s="84">
        <v>1.001530134E9</v>
      </c>
      <c r="C7" s="99">
        <v>45484.0</v>
      </c>
      <c r="D7" s="94">
        <v>26.0</v>
      </c>
      <c r="E7" s="26">
        <v>31.922</v>
      </c>
      <c r="F7" s="12" t="s">
        <v>31</v>
      </c>
      <c r="G7" s="100" t="s">
        <v>44</v>
      </c>
      <c r="H7" s="12" t="s">
        <v>268</v>
      </c>
      <c r="I7" s="39" t="s">
        <v>397</v>
      </c>
      <c r="J7" s="12" t="s">
        <v>35</v>
      </c>
      <c r="K7" s="12" t="s">
        <v>270</v>
      </c>
      <c r="L7" s="28" t="s">
        <v>94</v>
      </c>
      <c r="M7" s="84" t="s">
        <v>52</v>
      </c>
      <c r="N7" s="402">
        <v>6200.0</v>
      </c>
      <c r="O7" s="73">
        <f t="shared" ref="O7:O9" si="3">IFERROR(P7/N7,0)</f>
        <v>0.685483871</v>
      </c>
      <c r="P7" s="39">
        <v>4250.0</v>
      </c>
      <c r="Q7" s="84" t="s">
        <v>52</v>
      </c>
      <c r="R7" s="84" t="s">
        <v>52</v>
      </c>
      <c r="S7" s="85" t="s">
        <v>165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5"/>
      <c r="AL7" s="12"/>
      <c r="AM7" s="12"/>
      <c r="AN7" s="22"/>
      <c r="AO7" s="22"/>
      <c r="AP7" s="22"/>
    </row>
    <row r="8" ht="15.75" hidden="1" customHeight="1">
      <c r="A8" s="103">
        <v>1.0928688E7</v>
      </c>
      <c r="B8" s="84">
        <v>1.001527663E9</v>
      </c>
      <c r="C8" s="99">
        <v>45484.0</v>
      </c>
      <c r="D8" s="84">
        <v>26.0</v>
      </c>
      <c r="E8" s="93">
        <v>31.625</v>
      </c>
      <c r="F8" s="12" t="s">
        <v>31</v>
      </c>
      <c r="G8" s="29" t="s">
        <v>74</v>
      </c>
      <c r="H8" s="29" t="s">
        <v>447</v>
      </c>
      <c r="I8" s="28" t="s">
        <v>448</v>
      </c>
      <c r="J8" s="25" t="s">
        <v>35</v>
      </c>
      <c r="K8" s="12" t="s">
        <v>332</v>
      </c>
      <c r="L8" s="28" t="s">
        <v>188</v>
      </c>
      <c r="M8" s="85" t="s">
        <v>52</v>
      </c>
      <c r="N8" s="173">
        <v>2600.0</v>
      </c>
      <c r="O8" s="73">
        <f t="shared" si="3"/>
        <v>0.6538461538</v>
      </c>
      <c r="P8" s="89">
        <v>1700.0</v>
      </c>
      <c r="Q8" s="84" t="s">
        <v>52</v>
      </c>
      <c r="R8" s="84" t="s">
        <v>52</v>
      </c>
      <c r="S8" s="85" t="s">
        <v>165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5"/>
      <c r="AL8" s="12"/>
      <c r="AM8" s="12"/>
      <c r="AN8" s="22"/>
      <c r="AO8" s="22"/>
      <c r="AP8" s="22"/>
    </row>
    <row r="9" ht="15.75" hidden="1" customHeight="1">
      <c r="A9" s="104">
        <v>1.0932123E7</v>
      </c>
      <c r="B9" s="84">
        <v>1.001529896E9</v>
      </c>
      <c r="C9" s="99">
        <v>45515.0</v>
      </c>
      <c r="D9" s="94">
        <v>26.0</v>
      </c>
      <c r="E9" s="108">
        <v>31.625</v>
      </c>
      <c r="F9" s="12" t="s">
        <v>31</v>
      </c>
      <c r="G9" s="100" t="s">
        <v>74</v>
      </c>
      <c r="H9" s="29" t="s">
        <v>447</v>
      </c>
      <c r="I9" s="28" t="s">
        <v>448</v>
      </c>
      <c r="J9" s="25" t="s">
        <v>35</v>
      </c>
      <c r="K9" s="12" t="s">
        <v>332</v>
      </c>
      <c r="L9" s="28" t="s">
        <v>188</v>
      </c>
      <c r="M9" s="85" t="s">
        <v>52</v>
      </c>
      <c r="N9" s="402">
        <v>2600.0</v>
      </c>
      <c r="O9" s="73">
        <f t="shared" si="3"/>
        <v>0.6538461538</v>
      </c>
      <c r="P9" s="39">
        <v>1700.0</v>
      </c>
      <c r="Q9" s="85" t="s">
        <v>52</v>
      </c>
      <c r="R9" s="85" t="s">
        <v>52</v>
      </c>
      <c r="S9" s="85" t="s">
        <v>165</v>
      </c>
      <c r="T9" s="12"/>
      <c r="U9" s="12"/>
      <c r="V9" s="12"/>
      <c r="W9" s="12"/>
      <c r="X9" s="113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5"/>
      <c r="AL9" s="12"/>
      <c r="AM9" s="12"/>
      <c r="AN9" s="22"/>
      <c r="AO9" s="22"/>
      <c r="AP9" s="22"/>
    </row>
    <row r="10" ht="15.75" hidden="1" customHeight="1">
      <c r="A10" s="103">
        <v>1.0937185E7</v>
      </c>
      <c r="B10" s="84"/>
      <c r="C10" s="408">
        <v>45607.0</v>
      </c>
      <c r="D10" s="84">
        <v>26.0</v>
      </c>
      <c r="E10" s="93">
        <v>31.922</v>
      </c>
      <c r="F10" s="12" t="s">
        <v>31</v>
      </c>
      <c r="G10" s="29" t="s">
        <v>74</v>
      </c>
      <c r="H10" s="12" t="s">
        <v>318</v>
      </c>
      <c r="I10" s="85" t="s">
        <v>468</v>
      </c>
      <c r="J10" s="12" t="s">
        <v>35</v>
      </c>
      <c r="K10" s="12" t="s">
        <v>320</v>
      </c>
      <c r="L10" s="28" t="s">
        <v>94</v>
      </c>
      <c r="M10" s="85" t="s">
        <v>52</v>
      </c>
      <c r="N10" s="173">
        <v>6700.0</v>
      </c>
      <c r="O10" s="73">
        <f t="shared" ref="O10:O11" si="4">IFERROR(P10/N10,0)</f>
        <v>0.671641791</v>
      </c>
      <c r="P10" s="89">
        <v>4500.0</v>
      </c>
      <c r="Q10" s="84" t="s">
        <v>52</v>
      </c>
      <c r="R10" s="84" t="s">
        <v>52</v>
      </c>
      <c r="S10" s="85" t="s">
        <v>165</v>
      </c>
      <c r="T10" s="12"/>
      <c r="U10" s="12"/>
      <c r="V10" s="12"/>
      <c r="W10" s="12"/>
      <c r="X10" s="12"/>
      <c r="Y10" s="9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5"/>
      <c r="AL10" s="12"/>
      <c r="AM10" s="12"/>
      <c r="AN10" s="22"/>
      <c r="AO10" s="22"/>
      <c r="AP10" s="22"/>
    </row>
    <row r="11" ht="15.75" hidden="1" customHeight="1">
      <c r="A11" s="103">
        <v>1.0939809E7</v>
      </c>
      <c r="B11" s="84">
        <v>1.001539018E9</v>
      </c>
      <c r="C11" s="408">
        <v>45637.0</v>
      </c>
      <c r="D11" s="84">
        <v>26.0</v>
      </c>
      <c r="E11" s="93">
        <v>31.922</v>
      </c>
      <c r="F11" s="12" t="s">
        <v>31</v>
      </c>
      <c r="G11" s="29" t="s">
        <v>74</v>
      </c>
      <c r="H11" s="12" t="s">
        <v>318</v>
      </c>
      <c r="I11" s="85" t="s">
        <v>468</v>
      </c>
      <c r="J11" s="12" t="s">
        <v>35</v>
      </c>
      <c r="K11" s="12" t="s">
        <v>320</v>
      </c>
      <c r="L11" s="28" t="s">
        <v>94</v>
      </c>
      <c r="M11" s="85" t="s">
        <v>52</v>
      </c>
      <c r="N11" s="173">
        <v>6700.0</v>
      </c>
      <c r="O11" s="73">
        <f t="shared" si="4"/>
        <v>0.671641791</v>
      </c>
      <c r="P11" s="89">
        <v>4500.0</v>
      </c>
      <c r="Q11" s="84" t="s">
        <v>52</v>
      </c>
      <c r="R11" s="84" t="s">
        <v>52</v>
      </c>
      <c r="S11" s="85" t="s">
        <v>392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5"/>
      <c r="AL11" s="12"/>
      <c r="AM11" s="12"/>
      <c r="AN11" s="22"/>
      <c r="AO11" s="22"/>
      <c r="AP11" s="22"/>
    </row>
    <row r="12" ht="15.75" hidden="1" customHeight="1">
      <c r="A12" s="103">
        <v>1.0944408E7</v>
      </c>
      <c r="B12" s="84">
        <v>1.00154342E9</v>
      </c>
      <c r="C12" s="84" t="s">
        <v>2536</v>
      </c>
      <c r="D12" s="84">
        <v>26.0</v>
      </c>
      <c r="E12" s="93">
        <v>31.625</v>
      </c>
      <c r="F12" s="12" t="s">
        <v>31</v>
      </c>
      <c r="G12" s="29" t="s">
        <v>74</v>
      </c>
      <c r="H12" s="29" t="s">
        <v>447</v>
      </c>
      <c r="I12" s="28" t="s">
        <v>448</v>
      </c>
      <c r="J12" s="25" t="s">
        <v>35</v>
      </c>
      <c r="K12" s="12" t="s">
        <v>332</v>
      </c>
      <c r="L12" s="28" t="s">
        <v>188</v>
      </c>
      <c r="M12" s="85" t="s">
        <v>52</v>
      </c>
      <c r="N12" s="173">
        <v>2600.0</v>
      </c>
      <c r="O12" s="73">
        <f>IFERROR(P12/N12,0)</f>
        <v>0</v>
      </c>
      <c r="P12" s="85" t="s">
        <v>52</v>
      </c>
      <c r="Q12" s="85" t="s">
        <v>52</v>
      </c>
      <c r="R12" s="85" t="s">
        <v>52</v>
      </c>
      <c r="S12" s="85" t="s">
        <v>165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5"/>
      <c r="AL12" s="12"/>
      <c r="AM12" s="12"/>
      <c r="AN12" s="22"/>
      <c r="AO12" s="22"/>
      <c r="AP12" s="22"/>
    </row>
    <row r="13" ht="15.75" hidden="1" customHeight="1">
      <c r="A13" s="103">
        <v>1.0936279E7</v>
      </c>
      <c r="B13" s="84">
        <v>1.001534062E9</v>
      </c>
      <c r="C13" s="84" t="s">
        <v>2536</v>
      </c>
      <c r="D13" s="12">
        <v>26.0</v>
      </c>
      <c r="E13" s="26">
        <v>31625.0</v>
      </c>
      <c r="F13" s="12" t="s">
        <v>31</v>
      </c>
      <c r="G13" s="29" t="s">
        <v>74</v>
      </c>
      <c r="H13" s="12" t="s">
        <v>318</v>
      </c>
      <c r="I13" s="85" t="s">
        <v>468</v>
      </c>
      <c r="J13" s="12" t="s">
        <v>35</v>
      </c>
      <c r="K13" s="12" t="s">
        <v>320</v>
      </c>
      <c r="L13" s="28" t="s">
        <v>94</v>
      </c>
      <c r="M13" s="85" t="s">
        <v>52</v>
      </c>
      <c r="N13" s="173">
        <v>6700.0</v>
      </c>
      <c r="O13" s="73">
        <f>IFERROR(P13/N13,0)</f>
        <v>0</v>
      </c>
      <c r="P13" s="85" t="s">
        <v>52</v>
      </c>
      <c r="Q13" s="85" t="s">
        <v>52</v>
      </c>
      <c r="R13" s="85" t="s">
        <v>52</v>
      </c>
      <c r="S13" s="85" t="s">
        <v>165</v>
      </c>
      <c r="T13" s="12"/>
      <c r="U13" s="12"/>
      <c r="V13" s="12"/>
      <c r="W13" s="12"/>
      <c r="X13" s="84" t="s">
        <v>2877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5"/>
      <c r="AL13" s="12"/>
      <c r="AM13" s="12"/>
      <c r="AN13" s="22"/>
      <c r="AO13" s="22"/>
      <c r="AP13" s="22"/>
    </row>
    <row r="14" ht="15.75" hidden="1" customHeight="1">
      <c r="A14" s="103">
        <v>1.0954666E7</v>
      </c>
      <c r="B14" s="84">
        <v>1.001553098E9</v>
      </c>
      <c r="C14" s="84" t="s">
        <v>2878</v>
      </c>
      <c r="D14" s="84">
        <v>26.0</v>
      </c>
      <c r="E14" s="91" t="s">
        <v>2879</v>
      </c>
      <c r="F14" s="12" t="s">
        <v>31</v>
      </c>
      <c r="G14" s="85" t="s">
        <v>74</v>
      </c>
      <c r="H14" s="84" t="s">
        <v>506</v>
      </c>
      <c r="I14" s="85" t="s">
        <v>2880</v>
      </c>
      <c r="J14" s="25" t="s">
        <v>35</v>
      </c>
      <c r="K14" s="84" t="s">
        <v>507</v>
      </c>
      <c r="L14" s="95" t="s">
        <v>114</v>
      </c>
      <c r="M14" s="85" t="s">
        <v>52</v>
      </c>
      <c r="N14" s="173">
        <v>5317.0</v>
      </c>
      <c r="O14" s="73">
        <f t="shared" ref="O14:O15" si="5">IFERROR(P14/N14,0)</f>
        <v>0</v>
      </c>
      <c r="P14" s="85" t="s">
        <v>52</v>
      </c>
      <c r="Q14" s="85" t="s">
        <v>52</v>
      </c>
      <c r="R14" s="85" t="s">
        <v>52</v>
      </c>
      <c r="S14" s="85" t="s">
        <v>392</v>
      </c>
      <c r="T14" s="12"/>
      <c r="U14" s="12"/>
      <c r="V14" s="12"/>
      <c r="W14" s="12"/>
      <c r="X14" s="84" t="s">
        <v>2881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5"/>
      <c r="AL14" s="12"/>
      <c r="AM14" s="12"/>
      <c r="AN14" s="22"/>
      <c r="AO14" s="22"/>
      <c r="AP14" s="22"/>
    </row>
    <row r="15" ht="15.75" hidden="1" customHeight="1">
      <c r="A15" s="103">
        <v>1.095719E7</v>
      </c>
      <c r="B15" s="84">
        <v>1.001555346E9</v>
      </c>
      <c r="C15" s="84" t="s">
        <v>2878</v>
      </c>
      <c r="D15" s="84">
        <v>26.0</v>
      </c>
      <c r="E15" s="93">
        <v>31.922</v>
      </c>
      <c r="F15" s="12" t="s">
        <v>31</v>
      </c>
      <c r="G15" s="85" t="s">
        <v>44</v>
      </c>
      <c r="H15" s="12" t="s">
        <v>268</v>
      </c>
      <c r="I15" s="29" t="s">
        <v>397</v>
      </c>
      <c r="J15" s="12" t="s">
        <v>35</v>
      </c>
      <c r="K15" s="12" t="s">
        <v>270</v>
      </c>
      <c r="L15" s="28" t="s">
        <v>94</v>
      </c>
      <c r="M15" s="85" t="s">
        <v>52</v>
      </c>
      <c r="N15" s="173">
        <v>6200.0</v>
      </c>
      <c r="O15" s="73">
        <f t="shared" si="5"/>
        <v>0</v>
      </c>
      <c r="P15" s="85" t="s">
        <v>52</v>
      </c>
      <c r="Q15" s="85" t="s">
        <v>52</v>
      </c>
      <c r="R15" s="85" t="s">
        <v>52</v>
      </c>
      <c r="S15" s="85" t="s">
        <v>392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5"/>
      <c r="AL15" s="12"/>
      <c r="AM15" s="12"/>
      <c r="AN15" s="22"/>
      <c r="AO15" s="22"/>
      <c r="AP15" s="22"/>
    </row>
    <row r="16" ht="15.75" hidden="1" customHeight="1">
      <c r="A16" s="103">
        <v>1.0959222E7</v>
      </c>
      <c r="B16" s="84">
        <v>1.001558003E9</v>
      </c>
      <c r="C16" s="84" t="s">
        <v>2878</v>
      </c>
      <c r="D16" s="84">
        <v>26.0</v>
      </c>
      <c r="E16" s="91">
        <v>30847.0</v>
      </c>
      <c r="F16" s="38" t="s">
        <v>43</v>
      </c>
      <c r="G16" s="29" t="s">
        <v>32</v>
      </c>
      <c r="H16" s="12" t="s">
        <v>265</v>
      </c>
      <c r="I16" s="28" t="s">
        <v>266</v>
      </c>
      <c r="J16" s="25" t="s">
        <v>35</v>
      </c>
      <c r="K16" s="12" t="s">
        <v>267</v>
      </c>
      <c r="L16" s="28" t="s">
        <v>114</v>
      </c>
      <c r="M16" s="85" t="s">
        <v>52</v>
      </c>
      <c r="N16" s="173">
        <v>5460.0</v>
      </c>
      <c r="O16" s="17">
        <f t="shared" ref="O16:O17" si="6">IFERROR(P16/N16,0)</f>
        <v>0</v>
      </c>
      <c r="P16" s="85" t="s">
        <v>52</v>
      </c>
      <c r="Q16" s="85" t="s">
        <v>52</v>
      </c>
      <c r="R16" s="85" t="s">
        <v>52</v>
      </c>
      <c r="S16" s="85" t="s">
        <v>392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5"/>
      <c r="AL16" s="12"/>
      <c r="AM16" s="12"/>
      <c r="AN16" s="22"/>
      <c r="AO16" s="22"/>
      <c r="AP16" s="22"/>
    </row>
    <row r="17" ht="15.75" hidden="1" customHeight="1">
      <c r="A17" s="103">
        <v>1.0959223E7</v>
      </c>
      <c r="B17" s="84">
        <v>1.001558001E9</v>
      </c>
      <c r="C17" s="84" t="s">
        <v>2878</v>
      </c>
      <c r="D17" s="84" t="s">
        <v>52</v>
      </c>
      <c r="E17" s="110" t="s">
        <v>52</v>
      </c>
      <c r="F17" s="38" t="s">
        <v>43</v>
      </c>
      <c r="G17" s="29" t="s">
        <v>32</v>
      </c>
      <c r="H17" s="12" t="s">
        <v>2882</v>
      </c>
      <c r="I17" s="28" t="s">
        <v>266</v>
      </c>
      <c r="J17" s="12" t="s">
        <v>267</v>
      </c>
      <c r="K17" s="25" t="s">
        <v>35</v>
      </c>
      <c r="L17" s="28" t="s">
        <v>43</v>
      </c>
      <c r="M17" s="85" t="s">
        <v>52</v>
      </c>
      <c r="N17" s="173">
        <v>4360.0</v>
      </c>
      <c r="O17" s="17">
        <f t="shared" si="6"/>
        <v>0</v>
      </c>
      <c r="P17" s="85" t="s">
        <v>52</v>
      </c>
      <c r="Q17" s="85" t="s">
        <v>52</v>
      </c>
      <c r="R17" s="85" t="s">
        <v>52</v>
      </c>
      <c r="S17" s="85" t="s">
        <v>392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5"/>
      <c r="AL17" s="12"/>
      <c r="AM17" s="12"/>
      <c r="AN17" s="22"/>
      <c r="AO17" s="22"/>
      <c r="AP17" s="22"/>
    </row>
    <row r="18" ht="15.75" hidden="1" customHeight="1">
      <c r="A18" s="103">
        <v>1.0961708E7</v>
      </c>
      <c r="B18" s="84">
        <v>1.001559552E9</v>
      </c>
      <c r="C18" s="84" t="s">
        <v>2883</v>
      </c>
      <c r="D18" s="84">
        <v>26.0</v>
      </c>
      <c r="E18" s="93">
        <v>31.625</v>
      </c>
      <c r="F18" s="12" t="s">
        <v>31</v>
      </c>
      <c r="G18" s="85" t="s">
        <v>44</v>
      </c>
      <c r="H18" s="12" t="s">
        <v>268</v>
      </c>
      <c r="I18" s="29" t="s">
        <v>397</v>
      </c>
      <c r="J18" s="12" t="s">
        <v>35</v>
      </c>
      <c r="K18" s="12" t="s">
        <v>270</v>
      </c>
      <c r="L18" s="28" t="s">
        <v>94</v>
      </c>
      <c r="M18" s="85" t="s">
        <v>52</v>
      </c>
      <c r="N18" s="173">
        <v>6200.0</v>
      </c>
      <c r="O18" s="73">
        <f t="shared" ref="O18:O33" si="7">IFERROR(P18/N18,0)</f>
        <v>0</v>
      </c>
      <c r="P18" s="85" t="s">
        <v>52</v>
      </c>
      <c r="Q18" s="85" t="s">
        <v>52</v>
      </c>
      <c r="R18" s="85" t="s">
        <v>52</v>
      </c>
      <c r="S18" s="85" t="s">
        <v>392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5"/>
      <c r="AL18" s="12"/>
      <c r="AM18" s="12"/>
      <c r="AN18" s="22"/>
      <c r="AO18" s="22"/>
      <c r="AP18" s="22"/>
    </row>
    <row r="19" ht="15.75" hidden="1" customHeight="1">
      <c r="A19" s="103">
        <v>1.0957533E7</v>
      </c>
      <c r="B19" s="84">
        <v>1.00155568E9</v>
      </c>
      <c r="C19" s="84" t="s">
        <v>2883</v>
      </c>
      <c r="D19" s="84">
        <v>26.0</v>
      </c>
      <c r="E19" s="93">
        <v>31.922</v>
      </c>
      <c r="F19" s="12" t="s">
        <v>31</v>
      </c>
      <c r="G19" s="85" t="s">
        <v>44</v>
      </c>
      <c r="H19" s="12" t="s">
        <v>268</v>
      </c>
      <c r="I19" s="29" t="s">
        <v>397</v>
      </c>
      <c r="J19" s="12" t="s">
        <v>35</v>
      </c>
      <c r="K19" s="12" t="s">
        <v>270</v>
      </c>
      <c r="L19" s="28" t="s">
        <v>94</v>
      </c>
      <c r="M19" s="85" t="s">
        <v>52</v>
      </c>
      <c r="N19" s="173">
        <v>6200.0</v>
      </c>
      <c r="O19" s="73">
        <f t="shared" si="7"/>
        <v>0</v>
      </c>
      <c r="P19" s="85" t="s">
        <v>52</v>
      </c>
      <c r="Q19" s="85" t="s">
        <v>52</v>
      </c>
      <c r="R19" s="85" t="s">
        <v>52</v>
      </c>
      <c r="S19" s="85" t="s">
        <v>392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5"/>
      <c r="AL19" s="12"/>
      <c r="AM19" s="12"/>
      <c r="AN19" s="22"/>
      <c r="AO19" s="22"/>
      <c r="AP19" s="22"/>
    </row>
    <row r="20" ht="15.75" hidden="1" customHeight="1">
      <c r="A20" s="103">
        <v>1.0974235E7</v>
      </c>
      <c r="B20" s="84">
        <v>1.001574088E9</v>
      </c>
      <c r="C20" s="84" t="s">
        <v>585</v>
      </c>
      <c r="D20" s="84">
        <v>26.0</v>
      </c>
      <c r="E20" s="93">
        <v>29.747</v>
      </c>
      <c r="F20" s="38" t="s">
        <v>43</v>
      </c>
      <c r="G20" s="29" t="s">
        <v>32</v>
      </c>
      <c r="H20" s="12" t="s">
        <v>265</v>
      </c>
      <c r="I20" s="28" t="s">
        <v>266</v>
      </c>
      <c r="J20" s="25" t="s">
        <v>35</v>
      </c>
      <c r="K20" s="12" t="s">
        <v>267</v>
      </c>
      <c r="L20" s="28" t="s">
        <v>114</v>
      </c>
      <c r="M20" s="85" t="s">
        <v>2884</v>
      </c>
      <c r="N20" s="173">
        <v>5460.0</v>
      </c>
      <c r="O20" s="73">
        <f t="shared" si="7"/>
        <v>0</v>
      </c>
      <c r="P20" s="89"/>
      <c r="Q20" s="12"/>
      <c r="R20" s="12"/>
      <c r="S20" s="85" t="s">
        <v>165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5"/>
      <c r="AL20" s="12"/>
      <c r="AM20" s="12"/>
      <c r="AN20" s="22"/>
      <c r="AO20" s="22"/>
      <c r="AP20" s="22"/>
    </row>
    <row r="21" ht="15.75" hidden="1" customHeight="1">
      <c r="A21" s="103">
        <v>1.097424E7</v>
      </c>
      <c r="B21" s="84">
        <v>1.001574091E9</v>
      </c>
      <c r="C21" s="84" t="s">
        <v>585</v>
      </c>
      <c r="D21" s="84" t="s">
        <v>52</v>
      </c>
      <c r="E21" s="93" t="s">
        <v>52</v>
      </c>
      <c r="F21" s="38" t="s">
        <v>43</v>
      </c>
      <c r="G21" s="29" t="s">
        <v>32</v>
      </c>
      <c r="H21" s="12" t="s">
        <v>2885</v>
      </c>
      <c r="I21" s="28" t="s">
        <v>266</v>
      </c>
      <c r="J21" s="12" t="s">
        <v>267</v>
      </c>
      <c r="K21" s="25" t="s">
        <v>35</v>
      </c>
      <c r="L21" s="28" t="s">
        <v>43</v>
      </c>
      <c r="M21" s="85" t="s">
        <v>2884</v>
      </c>
      <c r="N21" s="173">
        <v>4360.0</v>
      </c>
      <c r="O21" s="73">
        <f t="shared" si="7"/>
        <v>0</v>
      </c>
      <c r="P21" s="39"/>
      <c r="Q21" s="12"/>
      <c r="R21" s="12"/>
      <c r="S21" s="85" t="s">
        <v>165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5"/>
      <c r="AL21" s="12"/>
      <c r="AM21" s="12"/>
      <c r="AN21" s="22"/>
      <c r="AO21" s="22"/>
      <c r="AP21" s="22"/>
    </row>
    <row r="22" hidden="1">
      <c r="A22" s="103">
        <v>1.0995377E7</v>
      </c>
      <c r="B22" s="84">
        <v>1.001596036E9</v>
      </c>
      <c r="C22" s="84" t="s">
        <v>611</v>
      </c>
      <c r="D22" s="84">
        <v>26.0</v>
      </c>
      <c r="E22" s="93">
        <v>31.526</v>
      </c>
      <c r="F22" s="9" t="s">
        <v>43</v>
      </c>
      <c r="G22" s="12" t="s">
        <v>44</v>
      </c>
      <c r="H22" s="12" t="s">
        <v>45</v>
      </c>
      <c r="I22" s="12" t="s">
        <v>46</v>
      </c>
      <c r="J22" s="14" t="s">
        <v>35</v>
      </c>
      <c r="K22" s="14" t="s">
        <v>47</v>
      </c>
      <c r="L22" s="15" t="s">
        <v>48</v>
      </c>
      <c r="M22" s="85"/>
      <c r="N22" s="173">
        <v>2402.4</v>
      </c>
      <c r="O22" s="73">
        <f t="shared" si="7"/>
        <v>0</v>
      </c>
      <c r="P22" s="89"/>
      <c r="Q22" s="12"/>
      <c r="R22" s="12"/>
      <c r="S22" s="85" t="s">
        <v>165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5"/>
      <c r="AL22" s="12"/>
      <c r="AM22" s="12"/>
      <c r="AN22" s="215"/>
      <c r="AO22" s="215"/>
      <c r="AP22" s="215"/>
    </row>
    <row r="23" hidden="1">
      <c r="A23" s="103">
        <v>1.0995398E7</v>
      </c>
      <c r="B23" s="84">
        <v>1.00159609E9</v>
      </c>
      <c r="C23" s="84" t="s">
        <v>611</v>
      </c>
      <c r="D23" s="84" t="s">
        <v>52</v>
      </c>
      <c r="E23" s="93" t="s">
        <v>52</v>
      </c>
      <c r="F23" s="9" t="s">
        <v>43</v>
      </c>
      <c r="G23" s="12" t="s">
        <v>44</v>
      </c>
      <c r="H23" s="84" t="s">
        <v>2886</v>
      </c>
      <c r="I23" s="12" t="s">
        <v>46</v>
      </c>
      <c r="J23" s="14" t="s">
        <v>47</v>
      </c>
      <c r="K23" s="14" t="s">
        <v>35</v>
      </c>
      <c r="L23" s="15" t="s">
        <v>48</v>
      </c>
      <c r="M23" s="89"/>
      <c r="N23" s="173">
        <v>1601.6</v>
      </c>
      <c r="O23" s="73">
        <f t="shared" si="7"/>
        <v>0</v>
      </c>
      <c r="P23" s="39"/>
      <c r="Q23" s="12"/>
      <c r="R23" s="12"/>
      <c r="S23" s="85" t="s">
        <v>165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5"/>
      <c r="AL23" s="12"/>
      <c r="AM23" s="12"/>
      <c r="AN23" s="215"/>
      <c r="AO23" s="215"/>
      <c r="AP23" s="215"/>
    </row>
    <row r="24" ht="15.75" hidden="1" customHeight="1">
      <c r="A24" s="103">
        <v>1.0989507E7</v>
      </c>
      <c r="B24" s="84">
        <v>1.001592302E9</v>
      </c>
      <c r="C24" s="84" t="s">
        <v>625</v>
      </c>
      <c r="D24" s="84">
        <v>26.0</v>
      </c>
      <c r="E24" s="93">
        <v>33.139</v>
      </c>
      <c r="F24" s="12" t="s">
        <v>31</v>
      </c>
      <c r="G24" s="84" t="s">
        <v>74</v>
      </c>
      <c r="H24" s="84" t="s">
        <v>526</v>
      </c>
      <c r="I24" s="85" t="s">
        <v>527</v>
      </c>
      <c r="J24" s="12" t="s">
        <v>35</v>
      </c>
      <c r="K24" s="12" t="s">
        <v>528</v>
      </c>
      <c r="L24" s="98" t="s">
        <v>114</v>
      </c>
      <c r="M24" s="134" t="s">
        <v>481</v>
      </c>
      <c r="N24" s="173">
        <v>5625.0</v>
      </c>
      <c r="O24" s="73">
        <f t="shared" si="7"/>
        <v>0</v>
      </c>
      <c r="P24" s="39"/>
      <c r="Q24" s="84" t="s">
        <v>39</v>
      </c>
      <c r="R24" s="409">
        <v>5427243.0</v>
      </c>
      <c r="S24" s="85" t="s">
        <v>392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22"/>
      <c r="AH24" s="22"/>
      <c r="AI24" s="22"/>
      <c r="AJ24" s="215"/>
      <c r="AK24" s="215"/>
      <c r="AL24" s="215"/>
      <c r="AM24" s="215"/>
      <c r="AN24" s="215"/>
      <c r="AO24" s="215"/>
      <c r="AP24" s="215"/>
    </row>
    <row r="25" ht="15.75" hidden="1" customHeight="1">
      <c r="A25" s="103">
        <v>1.0983846E7</v>
      </c>
      <c r="B25" s="84">
        <v>1.001584894E9</v>
      </c>
      <c r="C25" s="84" t="s">
        <v>629</v>
      </c>
      <c r="D25" s="84">
        <v>26.0</v>
      </c>
      <c r="E25" s="93">
        <v>31.489</v>
      </c>
      <c r="F25" s="84" t="s">
        <v>31</v>
      </c>
      <c r="G25" s="85" t="s">
        <v>74</v>
      </c>
      <c r="H25" s="84" t="s">
        <v>612</v>
      </c>
      <c r="I25" s="29"/>
      <c r="J25" s="84" t="s">
        <v>35</v>
      </c>
      <c r="K25" s="84" t="s">
        <v>614</v>
      </c>
      <c r="L25" s="95" t="s">
        <v>94</v>
      </c>
      <c r="M25" s="132"/>
      <c r="N25" s="173">
        <v>5163.0</v>
      </c>
      <c r="O25" s="73">
        <f t="shared" si="7"/>
        <v>0</v>
      </c>
      <c r="P25" s="39"/>
      <c r="Q25" s="240"/>
      <c r="R25" s="12"/>
      <c r="S25" s="85" t="s">
        <v>392</v>
      </c>
      <c r="T25" s="12"/>
      <c r="U25" s="12"/>
      <c r="V25" s="12"/>
      <c r="W25" s="12"/>
      <c r="X25" s="84" t="s">
        <v>2887</v>
      </c>
      <c r="Y25" s="12"/>
      <c r="Z25" s="12"/>
      <c r="AA25" s="12"/>
      <c r="AB25" s="12"/>
      <c r="AC25" s="12"/>
      <c r="AD25" s="12"/>
      <c r="AE25" s="12"/>
      <c r="AF25" s="12"/>
      <c r="AG25" s="22"/>
      <c r="AH25" s="22"/>
      <c r="AI25" s="22"/>
      <c r="AJ25" s="215"/>
      <c r="AK25" s="215"/>
      <c r="AL25" s="215"/>
      <c r="AM25" s="215"/>
      <c r="AN25" s="215"/>
      <c r="AO25" s="215"/>
      <c r="AP25" s="215"/>
    </row>
    <row r="26" ht="15.75" hidden="1" customHeight="1">
      <c r="A26" s="103">
        <v>1.0994933E7</v>
      </c>
      <c r="B26" s="84">
        <v>1.00159625E9</v>
      </c>
      <c r="C26" s="84" t="s">
        <v>629</v>
      </c>
      <c r="D26" s="84">
        <v>22.0</v>
      </c>
      <c r="E26" s="93">
        <v>26.759</v>
      </c>
      <c r="F26" s="29" t="s">
        <v>31</v>
      </c>
      <c r="G26" s="25" t="s">
        <v>74</v>
      </c>
      <c r="H26" s="25" t="s">
        <v>337</v>
      </c>
      <c r="I26" s="25" t="s">
        <v>338</v>
      </c>
      <c r="J26" s="25" t="s">
        <v>35</v>
      </c>
      <c r="K26" s="25" t="s">
        <v>339</v>
      </c>
      <c r="L26" s="28" t="s">
        <v>340</v>
      </c>
      <c r="M26" s="64"/>
      <c r="N26" s="402">
        <v>29800.0</v>
      </c>
      <c r="O26" s="73">
        <f t="shared" si="7"/>
        <v>0</v>
      </c>
      <c r="P26" s="89"/>
      <c r="Q26" s="12"/>
      <c r="R26" s="12"/>
      <c r="S26" s="85" t="s">
        <v>392</v>
      </c>
      <c r="T26" s="12"/>
      <c r="U26" s="12"/>
      <c r="V26" s="12"/>
      <c r="W26" s="12"/>
      <c r="X26" s="112">
        <v>45485.25</v>
      </c>
      <c r="Y26" s="12"/>
      <c r="Z26" s="12"/>
      <c r="AA26" s="12"/>
      <c r="AB26" s="12"/>
      <c r="AC26" s="12"/>
      <c r="AD26" s="12"/>
      <c r="AE26" s="12"/>
      <c r="AF26" s="12"/>
      <c r="AG26" s="22"/>
      <c r="AH26" s="22"/>
      <c r="AI26" s="22"/>
      <c r="AJ26" s="215"/>
      <c r="AK26" s="215"/>
      <c r="AL26" s="215"/>
      <c r="AM26" s="215"/>
      <c r="AN26" s="215"/>
      <c r="AO26" s="215"/>
      <c r="AP26" s="215"/>
    </row>
    <row r="27" ht="15.75" hidden="1" customHeight="1">
      <c r="A27" s="103">
        <v>1.0989528E7</v>
      </c>
      <c r="B27" s="84">
        <v>1.001592301E9</v>
      </c>
      <c r="C27" s="84" t="s">
        <v>611</v>
      </c>
      <c r="D27" s="84">
        <v>26.0</v>
      </c>
      <c r="E27" s="93">
        <v>33.139</v>
      </c>
      <c r="F27" s="12" t="s">
        <v>31</v>
      </c>
      <c r="G27" s="84" t="s">
        <v>74</v>
      </c>
      <c r="H27" s="84" t="s">
        <v>526</v>
      </c>
      <c r="I27" s="85" t="s">
        <v>527</v>
      </c>
      <c r="J27" s="12" t="s">
        <v>35</v>
      </c>
      <c r="K27" s="12" t="s">
        <v>528</v>
      </c>
      <c r="L27" s="98" t="s">
        <v>114</v>
      </c>
      <c r="M27" s="132" t="s">
        <v>643</v>
      </c>
      <c r="N27" s="173">
        <v>5625.0</v>
      </c>
      <c r="O27" s="73">
        <f t="shared" si="7"/>
        <v>0</v>
      </c>
      <c r="P27" s="89"/>
      <c r="Q27" s="84" t="s">
        <v>39</v>
      </c>
      <c r="R27" s="84">
        <v>1470837.0</v>
      </c>
      <c r="S27" s="85" t="s">
        <v>392</v>
      </c>
      <c r="T27" s="90">
        <v>5941448.0</v>
      </c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22"/>
      <c r="AH27" s="22"/>
      <c r="AI27" s="22"/>
      <c r="AJ27" s="215"/>
      <c r="AK27" s="215"/>
      <c r="AL27" s="215"/>
      <c r="AM27" s="215"/>
      <c r="AN27" s="215"/>
      <c r="AO27" s="215"/>
      <c r="AP27" s="215"/>
    </row>
    <row r="28" ht="15.75" hidden="1" customHeight="1">
      <c r="A28" s="103">
        <v>1.0994935E7</v>
      </c>
      <c r="B28" s="84">
        <v>1.001596212E9</v>
      </c>
      <c r="C28" s="84" t="s">
        <v>636</v>
      </c>
      <c r="D28" s="84">
        <v>26.0</v>
      </c>
      <c r="E28" s="93">
        <v>31.625</v>
      </c>
      <c r="F28" s="29" t="s">
        <v>31</v>
      </c>
      <c r="G28" s="25" t="s">
        <v>74</v>
      </c>
      <c r="H28" s="25" t="s">
        <v>337</v>
      </c>
      <c r="I28" s="25" t="s">
        <v>338</v>
      </c>
      <c r="J28" s="25" t="s">
        <v>35</v>
      </c>
      <c r="K28" s="25" t="s">
        <v>339</v>
      </c>
      <c r="L28" s="28" t="s">
        <v>340</v>
      </c>
      <c r="M28" s="146"/>
      <c r="N28" s="402">
        <v>29800.0</v>
      </c>
      <c r="O28" s="73">
        <f t="shared" si="7"/>
        <v>0</v>
      </c>
      <c r="P28" s="39"/>
      <c r="Q28" s="12"/>
      <c r="R28" s="84"/>
      <c r="S28" s="85" t="s">
        <v>392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22"/>
      <c r="AI28" s="22"/>
      <c r="AJ28" s="22"/>
      <c r="AK28" s="215"/>
      <c r="AL28" s="215"/>
      <c r="AM28" s="215"/>
      <c r="AN28" s="215"/>
      <c r="AO28" s="215"/>
      <c r="AP28" s="215"/>
    </row>
    <row r="29" ht="15.75" hidden="1" customHeight="1">
      <c r="A29" s="103">
        <v>1.0994146E7</v>
      </c>
      <c r="B29" s="84">
        <v>1.001594356E9</v>
      </c>
      <c r="C29" s="84" t="s">
        <v>641</v>
      </c>
      <c r="D29" s="84">
        <v>26.0</v>
      </c>
      <c r="E29" s="93">
        <v>30.961</v>
      </c>
      <c r="F29" s="25" t="s">
        <v>31</v>
      </c>
      <c r="G29" s="25" t="s">
        <v>74</v>
      </c>
      <c r="H29" s="25" t="s">
        <v>409</v>
      </c>
      <c r="I29" s="28" t="s">
        <v>410</v>
      </c>
      <c r="J29" s="25" t="s">
        <v>35</v>
      </c>
      <c r="K29" s="25" t="s">
        <v>320</v>
      </c>
      <c r="L29" s="28" t="s">
        <v>94</v>
      </c>
      <c r="M29" s="410"/>
      <c r="N29" s="402">
        <v>6700.0</v>
      </c>
      <c r="O29" s="73">
        <f t="shared" si="7"/>
        <v>0</v>
      </c>
      <c r="P29" s="39"/>
      <c r="Q29" s="12"/>
      <c r="R29" s="12"/>
      <c r="S29" s="85" t="s">
        <v>392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22"/>
      <c r="AI29" s="22"/>
      <c r="AJ29" s="22"/>
      <c r="AK29" s="215"/>
      <c r="AL29" s="215"/>
      <c r="AM29" s="215"/>
      <c r="AN29" s="215"/>
      <c r="AO29" s="215"/>
      <c r="AP29" s="215"/>
    </row>
    <row r="30" ht="15.75" hidden="1" customHeight="1">
      <c r="A30" s="103">
        <v>1.099762E7</v>
      </c>
      <c r="B30" s="84">
        <v>1.001598407E9</v>
      </c>
      <c r="C30" s="99">
        <v>45334.0</v>
      </c>
      <c r="D30" s="84">
        <v>26.0</v>
      </c>
      <c r="E30" s="93">
        <v>30.961</v>
      </c>
      <c r="F30" s="25" t="s">
        <v>31</v>
      </c>
      <c r="G30" s="25" t="s">
        <v>74</v>
      </c>
      <c r="H30" s="25" t="s">
        <v>409</v>
      </c>
      <c r="I30" s="28" t="s">
        <v>410</v>
      </c>
      <c r="J30" s="25" t="s">
        <v>35</v>
      </c>
      <c r="K30" s="25" t="s">
        <v>320</v>
      </c>
      <c r="L30" s="28" t="s">
        <v>94</v>
      </c>
      <c r="M30" s="410"/>
      <c r="N30" s="402">
        <v>6700.0</v>
      </c>
      <c r="O30" s="73">
        <f t="shared" si="7"/>
        <v>0</v>
      </c>
      <c r="P30" s="39"/>
      <c r="Q30" s="12"/>
      <c r="R30" s="12"/>
      <c r="S30" s="85" t="s">
        <v>392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22"/>
      <c r="AI30" s="22"/>
      <c r="AJ30" s="22"/>
      <c r="AK30" s="215"/>
      <c r="AL30" s="215"/>
      <c r="AM30" s="215"/>
      <c r="AN30" s="215"/>
      <c r="AO30" s="215"/>
      <c r="AP30" s="215"/>
    </row>
    <row r="31" ht="15.75" hidden="1" customHeight="1">
      <c r="A31" s="103">
        <v>1.1002562E7</v>
      </c>
      <c r="B31" s="84">
        <v>1.00160521E9</v>
      </c>
      <c r="C31" s="99">
        <v>45334.0</v>
      </c>
      <c r="D31" s="84">
        <v>26.0</v>
      </c>
      <c r="E31" s="93">
        <v>31.625</v>
      </c>
      <c r="F31" s="84" t="s">
        <v>31</v>
      </c>
      <c r="G31" s="85" t="s">
        <v>44</v>
      </c>
      <c r="H31" s="12" t="s">
        <v>268</v>
      </c>
      <c r="I31" s="29" t="s">
        <v>397</v>
      </c>
      <c r="J31" s="12" t="s">
        <v>35</v>
      </c>
      <c r="K31" s="12" t="s">
        <v>270</v>
      </c>
      <c r="L31" s="28" t="s">
        <v>94</v>
      </c>
      <c r="M31" s="128"/>
      <c r="N31" s="173">
        <v>6200.0</v>
      </c>
      <c r="O31" s="73">
        <f t="shared" si="7"/>
        <v>0</v>
      </c>
      <c r="P31" s="39"/>
      <c r="Q31" s="12"/>
      <c r="R31" s="12"/>
      <c r="S31" s="85" t="s">
        <v>392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22"/>
      <c r="AI31" s="22"/>
      <c r="AJ31" s="22"/>
      <c r="AK31" s="215"/>
      <c r="AL31" s="215"/>
      <c r="AM31" s="215"/>
      <c r="AN31" s="215"/>
      <c r="AO31" s="215"/>
      <c r="AP31" s="215"/>
    </row>
    <row r="32" ht="15.75" hidden="1" customHeight="1">
      <c r="A32" s="126">
        <v>1.1025248E7</v>
      </c>
      <c r="B32" s="411">
        <v>1.001624039E9</v>
      </c>
      <c r="C32" s="412">
        <v>45485.0</v>
      </c>
      <c r="D32" s="84">
        <v>26.0</v>
      </c>
      <c r="E32" s="93">
        <v>31.625</v>
      </c>
      <c r="F32" s="84" t="s">
        <v>31</v>
      </c>
      <c r="G32" s="85" t="s">
        <v>44</v>
      </c>
      <c r="H32" s="12" t="s">
        <v>268</v>
      </c>
      <c r="I32" s="29" t="s">
        <v>397</v>
      </c>
      <c r="J32" s="12" t="s">
        <v>35</v>
      </c>
      <c r="K32" s="12" t="s">
        <v>270</v>
      </c>
      <c r="L32" s="413" t="s">
        <v>94</v>
      </c>
      <c r="M32" s="64"/>
      <c r="N32" s="414">
        <v>6200.0</v>
      </c>
      <c r="O32" s="73">
        <f t="shared" si="7"/>
        <v>0</v>
      </c>
      <c r="P32" s="39"/>
      <c r="Q32" s="12"/>
      <c r="R32" s="12"/>
      <c r="S32" s="85" t="s">
        <v>392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22"/>
      <c r="AI32" s="22"/>
      <c r="AJ32" s="22"/>
    </row>
    <row r="33" ht="15.75" hidden="1" customHeight="1">
      <c r="A33" s="415">
        <v>1.1026795E7</v>
      </c>
      <c r="B33" s="84">
        <v>1.001626393E9</v>
      </c>
      <c r="C33" s="99">
        <v>45547.0</v>
      </c>
      <c r="D33" s="84">
        <v>26.0</v>
      </c>
      <c r="E33" s="93">
        <v>31.922</v>
      </c>
      <c r="F33" s="84" t="s">
        <v>31</v>
      </c>
      <c r="G33" s="85" t="s">
        <v>44</v>
      </c>
      <c r="H33" s="12" t="s">
        <v>268</v>
      </c>
      <c r="I33" s="29" t="s">
        <v>397</v>
      </c>
      <c r="J33" s="12" t="s">
        <v>35</v>
      </c>
      <c r="K33" s="12" t="s">
        <v>270</v>
      </c>
      <c r="L33" s="413" t="s">
        <v>94</v>
      </c>
      <c r="M33" s="416"/>
      <c r="N33" s="414">
        <v>6200.0</v>
      </c>
      <c r="O33" s="73">
        <f t="shared" si="7"/>
        <v>0</v>
      </c>
      <c r="P33" s="39"/>
      <c r="Q33" s="12"/>
      <c r="R33" s="416">
        <v>5435890.0</v>
      </c>
      <c r="S33" s="85" t="s">
        <v>392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22"/>
      <c r="AI33" s="22"/>
      <c r="AJ33" s="22"/>
      <c r="AK33" s="215"/>
      <c r="AL33" s="215"/>
      <c r="AM33" s="215"/>
      <c r="AN33" s="215"/>
      <c r="AO33" s="215"/>
      <c r="AP33" s="215"/>
    </row>
    <row r="34" ht="15.75" hidden="1" customHeight="1">
      <c r="A34" s="103">
        <v>1.107771E7</v>
      </c>
      <c r="B34" s="84">
        <v>1.001681482E9</v>
      </c>
      <c r="C34" s="84" t="s">
        <v>778</v>
      </c>
      <c r="D34" s="84">
        <v>26.0</v>
      </c>
      <c r="E34" s="93">
        <v>32.597</v>
      </c>
      <c r="F34" s="38" t="s">
        <v>31</v>
      </c>
      <c r="G34" s="29" t="s">
        <v>32</v>
      </c>
      <c r="H34" s="29" t="s">
        <v>124</v>
      </c>
      <c r="I34" s="29" t="s">
        <v>125</v>
      </c>
      <c r="J34" s="25" t="s">
        <v>35</v>
      </c>
      <c r="K34" s="39" t="s">
        <v>126</v>
      </c>
      <c r="L34" s="417" t="s">
        <v>114</v>
      </c>
      <c r="M34" s="29"/>
      <c r="N34" s="173">
        <v>6161.0</v>
      </c>
      <c r="O34" s="131">
        <v>0.0</v>
      </c>
      <c r="P34" s="39"/>
      <c r="Q34" s="12"/>
      <c r="R34" s="12"/>
      <c r="S34" s="85" t="s">
        <v>165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22"/>
      <c r="AI34" s="22"/>
      <c r="AJ34" s="22"/>
      <c r="AK34" s="215"/>
      <c r="AL34" s="215"/>
      <c r="AM34" s="215"/>
      <c r="AN34" s="215"/>
      <c r="AO34" s="215"/>
      <c r="AP34" s="215"/>
    </row>
    <row r="35" ht="15.75" hidden="1" customHeight="1">
      <c r="A35" s="103">
        <v>1.1081506E7</v>
      </c>
      <c r="B35" s="84">
        <v>1.001681769E9</v>
      </c>
      <c r="C35" s="84" t="s">
        <v>778</v>
      </c>
      <c r="D35" s="84">
        <v>26.0</v>
      </c>
      <c r="E35" s="93">
        <v>33.431</v>
      </c>
      <c r="F35" s="136" t="s">
        <v>31</v>
      </c>
      <c r="G35" s="85" t="s">
        <v>32</v>
      </c>
      <c r="H35" s="12" t="s">
        <v>45</v>
      </c>
      <c r="I35" s="12" t="s">
        <v>46</v>
      </c>
      <c r="J35" s="14" t="s">
        <v>35</v>
      </c>
      <c r="K35" s="14" t="s">
        <v>47</v>
      </c>
      <c r="L35" s="418" t="s">
        <v>48</v>
      </c>
      <c r="M35" s="128"/>
      <c r="N35" s="173">
        <v>2696.0</v>
      </c>
      <c r="O35" s="73">
        <f t="shared" ref="O35:O39" si="8">IFERROR(P35/N35,0)</f>
        <v>0.1513353116</v>
      </c>
      <c r="P35" s="89">
        <v>408.0</v>
      </c>
      <c r="Q35" s="84" t="s">
        <v>39</v>
      </c>
      <c r="R35" s="128">
        <v>5444677.0</v>
      </c>
      <c r="S35" s="85" t="s">
        <v>392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22"/>
      <c r="AI35" s="22"/>
      <c r="AJ35" s="22"/>
      <c r="AK35" s="215"/>
      <c r="AL35" s="215"/>
      <c r="AM35" s="215"/>
      <c r="AN35" s="215"/>
      <c r="AO35" s="215"/>
      <c r="AP35" s="215"/>
    </row>
    <row r="36" ht="15.75" hidden="1" customHeight="1">
      <c r="A36" s="103">
        <v>1.1081521E7</v>
      </c>
      <c r="B36" s="115">
        <v>1.001681808E9</v>
      </c>
      <c r="C36" s="84" t="s">
        <v>778</v>
      </c>
      <c r="D36" s="84">
        <v>26.0</v>
      </c>
      <c r="E36" s="93">
        <v>33.431</v>
      </c>
      <c r="F36" s="136" t="s">
        <v>31</v>
      </c>
      <c r="G36" s="85" t="s">
        <v>32</v>
      </c>
      <c r="H36" s="12" t="s">
        <v>45</v>
      </c>
      <c r="I36" s="12" t="s">
        <v>46</v>
      </c>
      <c r="J36" s="14" t="s">
        <v>35</v>
      </c>
      <c r="K36" s="14" t="s">
        <v>47</v>
      </c>
      <c r="L36" s="418" t="s">
        <v>48</v>
      </c>
      <c r="M36" s="128"/>
      <c r="N36" s="173">
        <v>2696.0</v>
      </c>
      <c r="O36" s="73">
        <f t="shared" si="8"/>
        <v>0.1513353116</v>
      </c>
      <c r="P36" s="89">
        <v>408.0</v>
      </c>
      <c r="Q36" s="84" t="s">
        <v>39</v>
      </c>
      <c r="R36" s="128">
        <v>5444678.0</v>
      </c>
      <c r="S36" s="85" t="s">
        <v>392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22"/>
      <c r="AI36" s="22"/>
      <c r="AJ36" s="22"/>
      <c r="AK36" s="215"/>
      <c r="AL36" s="215"/>
      <c r="AM36" s="215"/>
      <c r="AN36" s="215"/>
      <c r="AO36" s="215"/>
      <c r="AP36" s="215"/>
    </row>
    <row r="37" ht="15.75" hidden="1" customHeight="1">
      <c r="A37" s="103">
        <v>1.1085535E7</v>
      </c>
      <c r="B37" s="115">
        <v>1.00168367E9</v>
      </c>
      <c r="C37" s="84" t="s">
        <v>778</v>
      </c>
      <c r="D37" s="84">
        <v>26.0</v>
      </c>
      <c r="E37" s="93">
        <v>32.504</v>
      </c>
      <c r="F37" s="84" t="s">
        <v>31</v>
      </c>
      <c r="G37" s="85" t="s">
        <v>74</v>
      </c>
      <c r="H37" s="84" t="s">
        <v>612</v>
      </c>
      <c r="I37" s="25" t="s">
        <v>613</v>
      </c>
      <c r="J37" s="84" t="s">
        <v>35</v>
      </c>
      <c r="K37" s="84" t="s">
        <v>614</v>
      </c>
      <c r="L37" s="417" t="s">
        <v>114</v>
      </c>
      <c r="M37" s="416"/>
      <c r="N37" s="173">
        <v>5317.0</v>
      </c>
      <c r="O37" s="73">
        <f t="shared" si="8"/>
        <v>0</v>
      </c>
      <c r="P37" s="39"/>
      <c r="Q37" s="12"/>
      <c r="R37" s="29"/>
      <c r="S37" s="85" t="s">
        <v>392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22"/>
      <c r="AI37" s="22"/>
      <c r="AJ37" s="22"/>
      <c r="AK37" s="215"/>
      <c r="AL37" s="215"/>
      <c r="AM37" s="215"/>
      <c r="AN37" s="215"/>
      <c r="AO37" s="215"/>
      <c r="AP37" s="215"/>
    </row>
    <row r="38" ht="15.75" customHeight="1">
      <c r="A38" s="103">
        <v>1.1113011E7</v>
      </c>
      <c r="B38" s="84">
        <v>1.001708005E9</v>
      </c>
      <c r="C38" s="99">
        <v>45839.0</v>
      </c>
      <c r="D38" s="84">
        <v>26.0</v>
      </c>
      <c r="E38" s="93">
        <v>29.208</v>
      </c>
      <c r="F38" s="9" t="s">
        <v>43</v>
      </c>
      <c r="G38" s="29" t="s">
        <v>44</v>
      </c>
      <c r="H38" s="12" t="s">
        <v>45</v>
      </c>
      <c r="I38" s="12" t="s">
        <v>46</v>
      </c>
      <c r="J38" s="14" t="s">
        <v>35</v>
      </c>
      <c r="K38" s="14" t="s">
        <v>47</v>
      </c>
      <c r="L38" s="418" t="s">
        <v>48</v>
      </c>
      <c r="M38" s="85" t="s">
        <v>685</v>
      </c>
      <c r="N38" s="173">
        <v>2402.4</v>
      </c>
      <c r="O38" s="73">
        <f t="shared" si="8"/>
        <v>0</v>
      </c>
      <c r="P38" s="39"/>
      <c r="Q38" s="12"/>
      <c r="R38" s="12"/>
      <c r="S38" s="85" t="s">
        <v>165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22"/>
      <c r="AI38" s="22"/>
      <c r="AJ38" s="22"/>
      <c r="AK38" s="215"/>
      <c r="AL38" s="215"/>
      <c r="AM38" s="215"/>
      <c r="AN38" s="215"/>
      <c r="AO38" s="215"/>
      <c r="AP38" s="215"/>
    </row>
    <row r="39">
      <c r="A39" s="103">
        <v>1.1115252E7</v>
      </c>
      <c r="B39" s="84">
        <v>1.001709813E9</v>
      </c>
      <c r="C39" s="99">
        <v>45536.0</v>
      </c>
      <c r="D39" s="84">
        <v>26.0</v>
      </c>
      <c r="E39" s="93">
        <v>30.02</v>
      </c>
      <c r="F39" s="38" t="s">
        <v>43</v>
      </c>
      <c r="G39" s="85" t="s">
        <v>44</v>
      </c>
      <c r="H39" s="12" t="s">
        <v>268</v>
      </c>
      <c r="I39" s="29" t="s">
        <v>397</v>
      </c>
      <c r="J39" s="12" t="s">
        <v>35</v>
      </c>
      <c r="K39" s="12" t="s">
        <v>270</v>
      </c>
      <c r="L39" s="413" t="s">
        <v>94</v>
      </c>
      <c r="M39" s="85"/>
      <c r="N39" s="173">
        <v>5460.0</v>
      </c>
      <c r="O39" s="73">
        <f t="shared" si="8"/>
        <v>0</v>
      </c>
      <c r="P39" s="39"/>
      <c r="Q39" s="12"/>
      <c r="R39" s="215"/>
      <c r="S39" s="85" t="s">
        <v>165</v>
      </c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</row>
    <row r="40">
      <c r="A40" s="103">
        <v>1.1115253E7</v>
      </c>
      <c r="B40" s="84">
        <v>1.001709777E9</v>
      </c>
      <c r="C40" s="99">
        <v>45536.0</v>
      </c>
      <c r="D40" s="84">
        <v>3.0</v>
      </c>
      <c r="E40" s="93">
        <v>4.819</v>
      </c>
      <c r="F40" s="38" t="s">
        <v>43</v>
      </c>
      <c r="G40" s="29" t="s">
        <v>44</v>
      </c>
      <c r="H40" s="12" t="s">
        <v>2888</v>
      </c>
      <c r="I40" s="29" t="s">
        <v>269</v>
      </c>
      <c r="J40" s="25" t="s">
        <v>270</v>
      </c>
      <c r="K40" s="25" t="s">
        <v>35</v>
      </c>
      <c r="L40" s="413" t="s">
        <v>188</v>
      </c>
      <c r="M40" s="85"/>
      <c r="N40" s="174">
        <v>3640.0</v>
      </c>
      <c r="O40" s="73">
        <f>IFERROR(RETIRADAS!P39/RETIRADAS!N39,0)</f>
        <v>0</v>
      </c>
      <c r="P40" s="39"/>
      <c r="Q40" s="12"/>
      <c r="R40" s="215"/>
      <c r="S40" s="85" t="s">
        <v>165</v>
      </c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</row>
    <row r="41" ht="15.75" customHeight="1">
      <c r="A41" s="103">
        <v>1.1126361E7</v>
      </c>
      <c r="B41" s="84">
        <v>1.001723407E9</v>
      </c>
      <c r="C41" s="84" t="s">
        <v>887</v>
      </c>
      <c r="D41" s="84">
        <v>26.0</v>
      </c>
      <c r="E41" s="93">
        <v>31.625</v>
      </c>
      <c r="F41" s="12" t="s">
        <v>31</v>
      </c>
      <c r="G41" s="85" t="s">
        <v>44</v>
      </c>
      <c r="H41" s="12" t="s">
        <v>268</v>
      </c>
      <c r="I41" s="29" t="s">
        <v>397</v>
      </c>
      <c r="J41" s="12" t="s">
        <v>35</v>
      </c>
      <c r="K41" s="12" t="s">
        <v>270</v>
      </c>
      <c r="L41" s="28" t="s">
        <v>94</v>
      </c>
      <c r="M41" s="29"/>
      <c r="N41" s="173">
        <v>6200.0</v>
      </c>
      <c r="O41" s="73">
        <f t="shared" ref="O41:O42" si="9">IFERROR(P41/N41,0)</f>
        <v>0</v>
      </c>
      <c r="P41" s="39"/>
      <c r="Q41" s="12"/>
      <c r="R41" s="12"/>
      <c r="S41" s="85" t="s">
        <v>165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22"/>
      <c r="AI41" s="22"/>
      <c r="AJ41" s="22"/>
      <c r="AK41" s="215"/>
      <c r="AL41" s="215"/>
      <c r="AM41" s="215"/>
      <c r="AN41" s="215"/>
      <c r="AO41" s="215"/>
      <c r="AP41" s="215"/>
    </row>
    <row r="42" ht="15.75" customHeight="1">
      <c r="A42" s="103">
        <v>1.112636E7</v>
      </c>
      <c r="B42" s="84">
        <v>1.001723381E9</v>
      </c>
      <c r="C42" s="84" t="s">
        <v>887</v>
      </c>
      <c r="D42" s="84">
        <v>26.0</v>
      </c>
      <c r="E42" s="93">
        <v>31.625</v>
      </c>
      <c r="F42" s="12" t="s">
        <v>31</v>
      </c>
      <c r="G42" s="85" t="s">
        <v>44</v>
      </c>
      <c r="H42" s="12" t="s">
        <v>268</v>
      </c>
      <c r="I42" s="29" t="s">
        <v>397</v>
      </c>
      <c r="J42" s="12" t="s">
        <v>35</v>
      </c>
      <c r="K42" s="12" t="s">
        <v>270</v>
      </c>
      <c r="L42" s="28" t="s">
        <v>94</v>
      </c>
      <c r="M42" s="29"/>
      <c r="N42" s="173">
        <v>6200.0</v>
      </c>
      <c r="O42" s="73">
        <f t="shared" si="9"/>
        <v>0</v>
      </c>
      <c r="P42" s="39"/>
      <c r="Q42" s="12"/>
      <c r="R42" s="12"/>
      <c r="S42" s="85" t="s">
        <v>165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22"/>
      <c r="AI42" s="22"/>
      <c r="AJ42" s="22"/>
      <c r="AK42" s="215"/>
      <c r="AL42" s="215"/>
      <c r="AM42" s="215"/>
      <c r="AN42" s="215"/>
      <c r="AO42" s="215"/>
      <c r="AP42" s="215"/>
    </row>
    <row r="43" ht="15.75" customHeight="1">
      <c r="A43" s="103">
        <v>1.1137474E7</v>
      </c>
      <c r="B43" s="84">
        <v>1.001734778E9</v>
      </c>
      <c r="C43" s="84" t="s">
        <v>2889</v>
      </c>
      <c r="D43" s="84">
        <v>26.0</v>
      </c>
      <c r="E43" s="93">
        <v>31.533</v>
      </c>
      <c r="F43" s="137" t="s">
        <v>31</v>
      </c>
      <c r="G43" s="106" t="s">
        <v>32</v>
      </c>
      <c r="H43" s="143" t="s">
        <v>265</v>
      </c>
      <c r="I43" s="139" t="s">
        <v>266</v>
      </c>
      <c r="J43" s="137" t="s">
        <v>35</v>
      </c>
      <c r="K43" s="137" t="s">
        <v>267</v>
      </c>
      <c r="L43" s="140" t="s">
        <v>94</v>
      </c>
      <c r="M43" s="85"/>
      <c r="N43" s="419">
        <v>6200.0</v>
      </c>
      <c r="O43" s="73">
        <f t="shared" ref="O43:O44" si="10">IFERROR(P42/N42,0)</f>
        <v>0</v>
      </c>
      <c r="P43" s="39"/>
      <c r="Q43" s="12"/>
      <c r="R43" s="12"/>
      <c r="S43" s="85" t="s">
        <v>165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22"/>
      <c r="AI43" s="22"/>
      <c r="AJ43" s="22"/>
      <c r="AK43" s="22"/>
      <c r="AL43" s="22"/>
      <c r="AM43" s="22"/>
      <c r="AN43" s="22"/>
      <c r="AO43" s="22"/>
      <c r="AP43" s="22"/>
    </row>
    <row r="44" ht="15.75" customHeight="1">
      <c r="A44" s="103">
        <v>1.1137703E7</v>
      </c>
      <c r="B44" s="84">
        <v>1.001734682E9</v>
      </c>
      <c r="C44" s="84" t="s">
        <v>894</v>
      </c>
      <c r="D44" s="84">
        <v>20.0</v>
      </c>
      <c r="E44" s="93">
        <v>25.601</v>
      </c>
      <c r="F44" s="12" t="s">
        <v>31</v>
      </c>
      <c r="G44" s="29" t="s">
        <v>74</v>
      </c>
      <c r="H44" s="84" t="s">
        <v>2890</v>
      </c>
      <c r="I44" s="29"/>
      <c r="J44" s="137" t="s">
        <v>35</v>
      </c>
      <c r="K44" s="84" t="s">
        <v>332</v>
      </c>
      <c r="L44" s="95" t="s">
        <v>188</v>
      </c>
      <c r="M44" s="29"/>
      <c r="N44" s="173">
        <v>2600.0</v>
      </c>
      <c r="O44" s="73">
        <f t="shared" si="10"/>
        <v>0</v>
      </c>
      <c r="P44" s="39"/>
      <c r="Q44" s="12"/>
      <c r="R44" s="12"/>
      <c r="S44" s="85" t="s">
        <v>165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22"/>
      <c r="AI44" s="22"/>
      <c r="AJ44" s="22"/>
      <c r="AK44" s="22"/>
      <c r="AL44" s="22"/>
      <c r="AM44" s="22"/>
      <c r="AN44" s="22"/>
      <c r="AO44" s="22"/>
      <c r="AP44" s="22"/>
    </row>
    <row r="45" ht="15.75" customHeight="1">
      <c r="A45" s="103">
        <v>1.1137704E7</v>
      </c>
      <c r="B45" s="84">
        <v>1.001734692E9</v>
      </c>
      <c r="C45" s="84" t="s">
        <v>894</v>
      </c>
      <c r="D45" s="84">
        <v>20.0</v>
      </c>
      <c r="E45" s="93">
        <v>25.045</v>
      </c>
      <c r="F45" s="12" t="s">
        <v>31</v>
      </c>
      <c r="G45" s="29" t="s">
        <v>74</v>
      </c>
      <c r="H45" s="84" t="s">
        <v>2890</v>
      </c>
      <c r="I45" s="29"/>
      <c r="J45" s="137" t="s">
        <v>35</v>
      </c>
      <c r="K45" s="84" t="s">
        <v>332</v>
      </c>
      <c r="L45" s="95" t="s">
        <v>188</v>
      </c>
      <c r="M45" s="29"/>
      <c r="N45" s="173">
        <v>2000.0</v>
      </c>
      <c r="O45" s="73">
        <f>IFERROR(#REF!/#REF!,0)</f>
        <v>0</v>
      </c>
      <c r="P45" s="39"/>
      <c r="Q45" s="12"/>
      <c r="R45" s="12"/>
      <c r="S45" s="85" t="s">
        <v>165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22"/>
      <c r="AI45" s="22"/>
      <c r="AJ45" s="22"/>
      <c r="AK45" s="22"/>
      <c r="AL45" s="22"/>
      <c r="AM45" s="22"/>
      <c r="AN45" s="22"/>
      <c r="AO45" s="22"/>
      <c r="AP45" s="22"/>
    </row>
    <row r="46" ht="15.75" customHeight="1">
      <c r="A46" s="103">
        <v>1.1126511E7</v>
      </c>
      <c r="B46" s="84">
        <v>1.001723246E9</v>
      </c>
      <c r="C46" s="84" t="s">
        <v>2891</v>
      </c>
      <c r="D46" s="84">
        <v>26.0</v>
      </c>
      <c r="E46" s="93">
        <v>32.553</v>
      </c>
      <c r="F46" s="38" t="s">
        <v>43</v>
      </c>
      <c r="G46" s="97" t="s">
        <v>44</v>
      </c>
      <c r="H46" s="12" t="s">
        <v>268</v>
      </c>
      <c r="I46" s="29" t="s">
        <v>397</v>
      </c>
      <c r="J46" s="12" t="s">
        <v>35</v>
      </c>
      <c r="K46" s="12" t="s">
        <v>270</v>
      </c>
      <c r="L46" s="28" t="s">
        <v>94</v>
      </c>
      <c r="M46" s="128"/>
      <c r="N46" s="402">
        <v>5460.0</v>
      </c>
      <c r="O46" s="73">
        <f>IFERROR(P46/N46,0)</f>
        <v>0</v>
      </c>
      <c r="P46" s="39"/>
      <c r="Q46" s="12"/>
      <c r="R46" s="12"/>
      <c r="S46" s="420" t="s">
        <v>1942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22"/>
      <c r="AI46" s="22"/>
      <c r="AJ46" s="22"/>
      <c r="AK46" s="215"/>
      <c r="AL46" s="215"/>
      <c r="AM46" s="215"/>
      <c r="AN46" s="215"/>
      <c r="AO46" s="215"/>
      <c r="AP46" s="215"/>
    </row>
    <row r="47" ht="15.75" customHeight="1">
      <c r="A47" s="103">
        <v>1.1126512E7</v>
      </c>
      <c r="B47" s="84">
        <v>1.001723245E9</v>
      </c>
      <c r="C47" s="84" t="s">
        <v>2891</v>
      </c>
      <c r="D47" s="84">
        <v>3.0</v>
      </c>
      <c r="E47" s="93">
        <v>15.911</v>
      </c>
      <c r="F47" s="38" t="s">
        <v>43</v>
      </c>
      <c r="G47" s="97" t="s">
        <v>44</v>
      </c>
      <c r="H47" s="12" t="s">
        <v>2892</v>
      </c>
      <c r="I47" s="29" t="s">
        <v>269</v>
      </c>
      <c r="J47" s="25" t="s">
        <v>270</v>
      </c>
      <c r="K47" s="25" t="s">
        <v>35</v>
      </c>
      <c r="L47" s="28" t="s">
        <v>188</v>
      </c>
      <c r="M47" s="85"/>
      <c r="N47" s="421">
        <v>3640.0</v>
      </c>
      <c r="O47" s="73">
        <f>IFERROR(P46/N46,0)</f>
        <v>0</v>
      </c>
      <c r="P47" s="39"/>
      <c r="Q47" s="12"/>
      <c r="R47" s="12"/>
      <c r="S47" s="420" t="s">
        <v>1942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22"/>
      <c r="AI47" s="22"/>
      <c r="AJ47" s="22"/>
      <c r="AK47" s="215"/>
      <c r="AL47" s="215"/>
      <c r="AM47" s="215"/>
      <c r="AN47" s="215"/>
      <c r="AO47" s="215"/>
      <c r="AP47" s="215"/>
    </row>
    <row r="48">
      <c r="A48" s="330">
        <v>1.1144632E7</v>
      </c>
      <c r="B48" s="226">
        <v>1.00174274E9</v>
      </c>
      <c r="C48" s="226" t="s">
        <v>2893</v>
      </c>
      <c r="D48" s="226">
        <v>26.0</v>
      </c>
      <c r="E48" s="229">
        <v>31.625</v>
      </c>
      <c r="F48" s="226" t="s">
        <v>31</v>
      </c>
      <c r="G48" s="228" t="s">
        <v>32</v>
      </c>
      <c r="H48" s="226" t="s">
        <v>265</v>
      </c>
      <c r="I48" s="171" t="s">
        <v>266</v>
      </c>
      <c r="J48" s="229" t="s">
        <v>35</v>
      </c>
      <c r="K48" s="226" t="s">
        <v>267</v>
      </c>
      <c r="L48" s="171" t="s">
        <v>114</v>
      </c>
      <c r="M48" s="422"/>
      <c r="N48" s="172">
        <v>6200.0</v>
      </c>
      <c r="O48" s="423"/>
      <c r="P48" s="424"/>
      <c r="Q48" s="425"/>
      <c r="R48" s="425"/>
      <c r="S48" s="85" t="s">
        <v>165</v>
      </c>
      <c r="T48" s="425"/>
      <c r="U48" s="425"/>
      <c r="V48" s="425"/>
      <c r="W48" s="425"/>
      <c r="X48" s="425"/>
      <c r="Y48" s="425"/>
      <c r="Z48" s="425"/>
      <c r="AA48" s="425"/>
      <c r="AB48" s="425"/>
      <c r="AC48" s="425"/>
      <c r="AD48" s="425"/>
      <c r="AE48" s="425"/>
      <c r="AF48" s="425"/>
      <c r="AG48" s="425"/>
      <c r="AH48" s="426"/>
      <c r="AI48" s="426"/>
      <c r="AJ48" s="426"/>
      <c r="AK48" s="426"/>
      <c r="AL48" s="426"/>
      <c r="AM48" s="426"/>
      <c r="AN48" s="426"/>
      <c r="AO48" s="426"/>
      <c r="AP48" s="426"/>
    </row>
    <row r="49" ht="15.75" customHeight="1">
      <c r="A49" s="103">
        <v>1.1144761E7</v>
      </c>
      <c r="B49" s="84">
        <v>1.001742575E9</v>
      </c>
      <c r="C49" s="84" t="s">
        <v>2893</v>
      </c>
      <c r="D49" s="84">
        <v>26.0</v>
      </c>
      <c r="E49" s="93">
        <v>31.347</v>
      </c>
      <c r="F49" s="38" t="s">
        <v>43</v>
      </c>
      <c r="G49" s="97" t="s">
        <v>44</v>
      </c>
      <c r="H49" s="12" t="s">
        <v>268</v>
      </c>
      <c r="I49" s="29" t="s">
        <v>397</v>
      </c>
      <c r="J49" s="12" t="s">
        <v>35</v>
      </c>
      <c r="K49" s="12" t="s">
        <v>270</v>
      </c>
      <c r="L49" s="28" t="s">
        <v>94</v>
      </c>
      <c r="M49" s="85"/>
      <c r="N49" s="402">
        <v>5460.0</v>
      </c>
      <c r="O49" s="73">
        <f t="shared" ref="O49:O76" si="11">IFERROR(P49/N49,0)</f>
        <v>0</v>
      </c>
      <c r="P49" s="39"/>
      <c r="Q49" s="12"/>
      <c r="R49" s="12"/>
      <c r="S49" s="85" t="s">
        <v>165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22"/>
      <c r="AI49" s="22"/>
      <c r="AJ49" s="22"/>
      <c r="AK49" s="22"/>
      <c r="AL49" s="22"/>
      <c r="AM49" s="22"/>
      <c r="AN49" s="22"/>
      <c r="AO49" s="22"/>
      <c r="AP49" s="22"/>
    </row>
    <row r="50" ht="15.75" customHeight="1">
      <c r="A50" s="103">
        <v>1.1144762E7</v>
      </c>
      <c r="B50" s="84">
        <v>1.001742433E9</v>
      </c>
      <c r="C50" s="84" t="s">
        <v>2893</v>
      </c>
      <c r="D50" s="84">
        <v>1.0</v>
      </c>
      <c r="E50" s="93">
        <v>111.0</v>
      </c>
      <c r="F50" s="38" t="s">
        <v>43</v>
      </c>
      <c r="G50" s="97" t="s">
        <v>44</v>
      </c>
      <c r="H50" s="12" t="s">
        <v>2894</v>
      </c>
      <c r="I50" s="29" t="s">
        <v>269</v>
      </c>
      <c r="J50" s="25" t="s">
        <v>270</v>
      </c>
      <c r="K50" s="25" t="s">
        <v>35</v>
      </c>
      <c r="L50" s="28" t="s">
        <v>188</v>
      </c>
      <c r="M50" s="85"/>
      <c r="N50" s="421">
        <v>3640.0</v>
      </c>
      <c r="O50" s="73">
        <f t="shared" si="11"/>
        <v>0</v>
      </c>
      <c r="P50" s="39"/>
      <c r="Q50" s="12"/>
      <c r="R50" s="12"/>
      <c r="S50" s="85" t="s">
        <v>165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22"/>
      <c r="AI50" s="22"/>
      <c r="AJ50" s="22"/>
      <c r="AK50" s="22"/>
      <c r="AL50" s="22"/>
      <c r="AM50" s="22"/>
      <c r="AN50" s="22"/>
      <c r="AO50" s="22"/>
      <c r="AP50" s="22"/>
    </row>
    <row r="51" ht="15.75" customHeight="1">
      <c r="A51" s="103">
        <v>1.1147499E7</v>
      </c>
      <c r="B51" s="84">
        <v>1.001744954E9</v>
      </c>
      <c r="C51" s="84" t="s">
        <v>2330</v>
      </c>
      <c r="D51" s="84">
        <v>26.0</v>
      </c>
      <c r="E51" s="93">
        <v>33.139</v>
      </c>
      <c r="F51" s="12" t="s">
        <v>31</v>
      </c>
      <c r="G51" s="85" t="s">
        <v>44</v>
      </c>
      <c r="H51" s="12" t="s">
        <v>45</v>
      </c>
      <c r="I51" s="12" t="s">
        <v>46</v>
      </c>
      <c r="J51" s="14" t="s">
        <v>35</v>
      </c>
      <c r="K51" s="14" t="s">
        <v>47</v>
      </c>
      <c r="L51" s="15" t="s">
        <v>48</v>
      </c>
      <c r="M51" s="29"/>
      <c r="N51" s="173">
        <v>2696.0</v>
      </c>
      <c r="O51" s="73">
        <f t="shared" si="11"/>
        <v>0</v>
      </c>
      <c r="P51" s="39"/>
      <c r="Q51" s="12"/>
      <c r="R51" s="12"/>
      <c r="S51" s="85" t="s">
        <v>165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22"/>
      <c r="AI51" s="22"/>
      <c r="AJ51" s="22"/>
      <c r="AK51" s="22"/>
      <c r="AL51" s="22"/>
      <c r="AM51" s="22"/>
      <c r="AN51" s="22"/>
      <c r="AO51" s="22"/>
      <c r="AP51" s="22"/>
    </row>
    <row r="52" ht="15.75" customHeight="1">
      <c r="A52" s="103">
        <v>1.1148686E7</v>
      </c>
      <c r="B52" s="84">
        <v>1.001746715E9</v>
      </c>
      <c r="C52" s="84" t="s">
        <v>2893</v>
      </c>
      <c r="D52" s="84">
        <v>26.0</v>
      </c>
      <c r="E52" s="93">
        <v>33.43</v>
      </c>
      <c r="F52" s="85" t="s">
        <v>2895</v>
      </c>
      <c r="G52" s="29" t="s">
        <v>74</v>
      </c>
      <c r="H52" s="84" t="s">
        <v>506</v>
      </c>
      <c r="I52" s="85" t="s">
        <v>2880</v>
      </c>
      <c r="J52" s="159" t="s">
        <v>35</v>
      </c>
      <c r="K52" s="159" t="s">
        <v>507</v>
      </c>
      <c r="L52" s="28" t="s">
        <v>94</v>
      </c>
      <c r="M52" s="29"/>
      <c r="N52" s="173">
        <v>5317.0</v>
      </c>
      <c r="O52" s="73">
        <f t="shared" si="11"/>
        <v>0</v>
      </c>
      <c r="P52" s="39"/>
      <c r="Q52" s="12"/>
      <c r="R52" s="12"/>
      <c r="S52" s="85" t="s">
        <v>1942</v>
      </c>
      <c r="T52" s="12"/>
      <c r="U52" s="12"/>
      <c r="V52" s="12"/>
      <c r="W52" s="12"/>
      <c r="X52" s="84" t="s">
        <v>2896</v>
      </c>
      <c r="Y52" s="12"/>
      <c r="Z52" s="12"/>
      <c r="AA52" s="12"/>
      <c r="AB52" s="12"/>
      <c r="AC52" s="12"/>
      <c r="AD52" s="12"/>
      <c r="AE52" s="12"/>
      <c r="AF52" s="12"/>
      <c r="AG52" s="12"/>
      <c r="AH52" s="22"/>
      <c r="AI52" s="22"/>
      <c r="AJ52" s="22"/>
      <c r="AK52" s="22"/>
      <c r="AL52" s="22"/>
      <c r="AM52" s="22"/>
      <c r="AN52" s="22"/>
      <c r="AO52" s="22"/>
      <c r="AP52" s="22"/>
    </row>
    <row r="53" ht="15.75" customHeight="1">
      <c r="A53" s="103">
        <v>1.1151226E7</v>
      </c>
      <c r="B53" s="84">
        <v>1.001750071E9</v>
      </c>
      <c r="C53" s="84" t="s">
        <v>2330</v>
      </c>
      <c r="D53" s="84">
        <v>26.0</v>
      </c>
      <c r="E53" s="93">
        <v>31.648</v>
      </c>
      <c r="F53" s="12" t="s">
        <v>31</v>
      </c>
      <c r="G53" s="85" t="s">
        <v>32</v>
      </c>
      <c r="H53" s="226" t="s">
        <v>265</v>
      </c>
      <c r="I53" s="171" t="s">
        <v>266</v>
      </c>
      <c r="J53" s="229" t="s">
        <v>35</v>
      </c>
      <c r="K53" s="226" t="s">
        <v>267</v>
      </c>
      <c r="L53" s="171" t="s">
        <v>114</v>
      </c>
      <c r="M53" s="422"/>
      <c r="N53" s="172">
        <v>6200.0</v>
      </c>
      <c r="O53" s="73">
        <f t="shared" si="11"/>
        <v>0</v>
      </c>
      <c r="P53" s="39"/>
      <c r="Q53" s="12"/>
      <c r="R53" s="12"/>
      <c r="S53" s="85" t="s">
        <v>165</v>
      </c>
      <c r="T53" s="12"/>
      <c r="U53" s="12"/>
      <c r="V53" s="12"/>
      <c r="W53" s="12"/>
      <c r="X53" s="84"/>
      <c r="Y53" s="12"/>
      <c r="Z53" s="12"/>
      <c r="AA53" s="12"/>
      <c r="AB53" s="12"/>
      <c r="AC53" s="12"/>
      <c r="AD53" s="12"/>
      <c r="AE53" s="12"/>
      <c r="AF53" s="12"/>
      <c r="AG53" s="12"/>
      <c r="AH53" s="22"/>
      <c r="AI53" s="22"/>
      <c r="AJ53" s="22"/>
      <c r="AK53" s="22"/>
      <c r="AL53" s="22"/>
      <c r="AM53" s="22"/>
      <c r="AN53" s="22"/>
      <c r="AO53" s="22"/>
      <c r="AP53" s="22"/>
    </row>
    <row r="54" ht="15.75" customHeight="1">
      <c r="A54" s="103">
        <v>1.114737E7</v>
      </c>
      <c r="B54" s="84">
        <v>1.00174493E9</v>
      </c>
      <c r="C54" s="84" t="s">
        <v>902</v>
      </c>
      <c r="D54" s="84">
        <v>26.0</v>
      </c>
      <c r="E54" s="93">
        <v>31.625</v>
      </c>
      <c r="F54" s="12" t="s">
        <v>31</v>
      </c>
      <c r="G54" s="29" t="s">
        <v>74</v>
      </c>
      <c r="H54" s="12" t="s">
        <v>304</v>
      </c>
      <c r="I54" s="85" t="s">
        <v>305</v>
      </c>
      <c r="J54" s="12" t="s">
        <v>35</v>
      </c>
      <c r="K54" s="12" t="s">
        <v>306</v>
      </c>
      <c r="L54" s="28" t="s">
        <v>94</v>
      </c>
      <c r="M54" s="161" t="s">
        <v>874</v>
      </c>
      <c r="N54" s="173">
        <v>6500.0</v>
      </c>
      <c r="O54" s="73">
        <f t="shared" si="11"/>
        <v>0</v>
      </c>
      <c r="P54" s="39"/>
      <c r="Q54" s="12"/>
      <c r="R54" s="12"/>
      <c r="S54" s="85" t="s">
        <v>165</v>
      </c>
      <c r="T54" s="12"/>
      <c r="U54" s="12"/>
      <c r="V54" s="12"/>
      <c r="W54" s="12"/>
      <c r="X54" s="84" t="s">
        <v>2897</v>
      </c>
      <c r="Y54" s="12"/>
      <c r="Z54" s="12"/>
      <c r="AA54" s="12"/>
      <c r="AB54" s="12"/>
      <c r="AC54" s="12"/>
      <c r="AD54" s="12"/>
      <c r="AE54" s="12"/>
      <c r="AF54" s="12"/>
      <c r="AG54" s="22"/>
      <c r="AH54" s="22"/>
      <c r="AI54" s="22"/>
      <c r="AJ54" s="22"/>
      <c r="AK54" s="22"/>
      <c r="AL54" s="22"/>
      <c r="AM54" s="22"/>
      <c r="AN54" s="22"/>
      <c r="AO54" s="22"/>
      <c r="AP54" s="215"/>
    </row>
    <row r="55" ht="15.75" customHeight="1">
      <c r="A55" s="103">
        <v>1.1157908E7</v>
      </c>
      <c r="B55" s="84">
        <v>1.001755158E9</v>
      </c>
      <c r="C55" s="84" t="s">
        <v>961</v>
      </c>
      <c r="D55" s="84">
        <v>26.0</v>
      </c>
      <c r="E55" s="93">
        <v>31.625</v>
      </c>
      <c r="F55" s="12" t="s">
        <v>31</v>
      </c>
      <c r="G55" s="85" t="s">
        <v>44</v>
      </c>
      <c r="H55" s="12" t="s">
        <v>268</v>
      </c>
      <c r="I55" s="29" t="s">
        <v>397</v>
      </c>
      <c r="J55" s="12" t="s">
        <v>35</v>
      </c>
      <c r="K55" s="12" t="s">
        <v>270</v>
      </c>
      <c r="L55" s="28" t="s">
        <v>94</v>
      </c>
      <c r="M55" s="29"/>
      <c r="N55" s="173">
        <v>6200.0</v>
      </c>
      <c r="O55" s="73">
        <f t="shared" si="11"/>
        <v>0</v>
      </c>
      <c r="P55" s="39"/>
      <c r="Q55" s="12"/>
      <c r="R55" s="12"/>
      <c r="S55" s="85" t="s">
        <v>165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22"/>
      <c r="AH55" s="22"/>
      <c r="AI55" s="22"/>
      <c r="AJ55" s="22"/>
      <c r="AK55" s="22"/>
      <c r="AL55" s="22"/>
      <c r="AM55" s="22"/>
      <c r="AN55" s="22"/>
      <c r="AO55" s="22"/>
      <c r="AP55" s="215"/>
    </row>
    <row r="56" ht="15.75" customHeight="1">
      <c r="A56" s="103">
        <v>1.1157896E7</v>
      </c>
      <c r="B56" s="84">
        <v>1.00175519E9</v>
      </c>
      <c r="C56" s="84" t="s">
        <v>961</v>
      </c>
      <c r="D56" s="84">
        <v>26.0</v>
      </c>
      <c r="E56" s="93">
        <v>31.625</v>
      </c>
      <c r="F56" s="12" t="s">
        <v>31</v>
      </c>
      <c r="G56" s="85" t="s">
        <v>44</v>
      </c>
      <c r="H56" s="12" t="s">
        <v>268</v>
      </c>
      <c r="I56" s="29" t="s">
        <v>397</v>
      </c>
      <c r="J56" s="12" t="s">
        <v>35</v>
      </c>
      <c r="K56" s="12" t="s">
        <v>270</v>
      </c>
      <c r="L56" s="28" t="s">
        <v>94</v>
      </c>
      <c r="M56" s="29"/>
      <c r="N56" s="173">
        <v>6200.0</v>
      </c>
      <c r="O56" s="73">
        <f t="shared" si="11"/>
        <v>0</v>
      </c>
      <c r="P56" s="39"/>
      <c r="Q56" s="12"/>
      <c r="R56" s="12"/>
      <c r="S56" s="85" t="s">
        <v>165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22"/>
      <c r="AH56" s="22"/>
      <c r="AI56" s="22"/>
      <c r="AJ56" s="22"/>
      <c r="AK56" s="22"/>
      <c r="AL56" s="22"/>
      <c r="AM56" s="22"/>
      <c r="AN56" s="22"/>
      <c r="AO56" s="22"/>
      <c r="AP56" s="215"/>
    </row>
    <row r="57" ht="15.75" customHeight="1">
      <c r="A57" s="103">
        <v>1.116151E7</v>
      </c>
      <c r="B57" s="84">
        <v>1.001758746E9</v>
      </c>
      <c r="C57" s="84" t="s">
        <v>922</v>
      </c>
      <c r="D57" s="84">
        <v>26.0</v>
      </c>
      <c r="E57" s="93">
        <v>31.625</v>
      </c>
      <c r="F57" s="12" t="s">
        <v>31</v>
      </c>
      <c r="G57" s="29" t="s">
        <v>32</v>
      </c>
      <c r="H57" s="12" t="s">
        <v>265</v>
      </c>
      <c r="I57" s="28" t="s">
        <v>266</v>
      </c>
      <c r="J57" s="25" t="s">
        <v>35</v>
      </c>
      <c r="K57" s="12" t="s">
        <v>267</v>
      </c>
      <c r="L57" s="28" t="s">
        <v>114</v>
      </c>
      <c r="M57" s="29"/>
      <c r="N57" s="173">
        <v>6200.0</v>
      </c>
      <c r="O57" s="73">
        <f t="shared" si="11"/>
        <v>0</v>
      </c>
      <c r="P57" s="39"/>
      <c r="Q57" s="12"/>
      <c r="R57" s="12"/>
      <c r="S57" s="85" t="s">
        <v>165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22"/>
      <c r="AH57" s="22"/>
      <c r="AI57" s="22"/>
      <c r="AJ57" s="22"/>
      <c r="AK57" s="22"/>
      <c r="AL57" s="22"/>
      <c r="AM57" s="22"/>
      <c r="AN57" s="22"/>
      <c r="AO57" s="22"/>
      <c r="AP57" s="215"/>
    </row>
    <row r="58" ht="15.75" customHeight="1">
      <c r="A58" s="103">
        <v>1.116642E7</v>
      </c>
      <c r="B58" s="84">
        <v>1.001763859E9</v>
      </c>
      <c r="C58" s="84" t="s">
        <v>975</v>
      </c>
      <c r="D58" s="84">
        <v>26.0</v>
      </c>
      <c r="E58" s="93">
        <v>31.625</v>
      </c>
      <c r="F58" s="12" t="s">
        <v>31</v>
      </c>
      <c r="G58" s="29" t="s">
        <v>32</v>
      </c>
      <c r="H58" s="12" t="s">
        <v>265</v>
      </c>
      <c r="I58" s="28" t="s">
        <v>266</v>
      </c>
      <c r="J58" s="25" t="s">
        <v>35</v>
      </c>
      <c r="K58" s="12" t="s">
        <v>267</v>
      </c>
      <c r="L58" s="28" t="s">
        <v>114</v>
      </c>
      <c r="M58" s="29"/>
      <c r="N58" s="173">
        <v>6200.0</v>
      </c>
      <c r="O58" s="73">
        <f t="shared" si="11"/>
        <v>0</v>
      </c>
      <c r="P58" s="39"/>
      <c r="Q58" s="12"/>
      <c r="R58" s="12"/>
      <c r="S58" s="85" t="s">
        <v>165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22"/>
      <c r="AH58" s="22"/>
      <c r="AI58" s="22"/>
      <c r="AJ58" s="22"/>
      <c r="AK58" s="22"/>
      <c r="AL58" s="22"/>
      <c r="AM58" s="22"/>
      <c r="AN58" s="22"/>
      <c r="AO58" s="22"/>
      <c r="AP58" s="215"/>
    </row>
    <row r="59" ht="15.75" customHeight="1">
      <c r="A59" s="103">
        <v>1.1170683E7</v>
      </c>
      <c r="B59" s="84">
        <v>1.001768551E9</v>
      </c>
      <c r="C59" s="84" t="s">
        <v>933</v>
      </c>
      <c r="D59" s="84">
        <v>26.0</v>
      </c>
      <c r="E59" s="93">
        <v>31.625</v>
      </c>
      <c r="F59" s="12" t="s">
        <v>31</v>
      </c>
      <c r="G59" s="85" t="s">
        <v>44</v>
      </c>
      <c r="H59" s="12" t="s">
        <v>268</v>
      </c>
      <c r="I59" s="29" t="s">
        <v>397</v>
      </c>
      <c r="J59" s="12" t="s">
        <v>35</v>
      </c>
      <c r="K59" s="12" t="s">
        <v>270</v>
      </c>
      <c r="L59" s="28" t="s">
        <v>94</v>
      </c>
      <c r="M59" s="29"/>
      <c r="N59" s="173">
        <v>6200.0</v>
      </c>
      <c r="O59" s="73">
        <f t="shared" si="11"/>
        <v>0</v>
      </c>
      <c r="P59" s="39"/>
      <c r="Q59" s="12"/>
      <c r="R59" s="12"/>
      <c r="S59" s="85" t="s">
        <v>165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22"/>
      <c r="AH59" s="22"/>
      <c r="AI59" s="22"/>
      <c r="AJ59" s="22"/>
      <c r="AK59" s="22"/>
      <c r="AL59" s="22"/>
      <c r="AM59" s="22"/>
      <c r="AN59" s="22"/>
      <c r="AO59" s="22"/>
      <c r="AP59" s="215"/>
    </row>
    <row r="60" ht="15.75" customHeight="1">
      <c r="A60" s="103">
        <v>1.1170704E7</v>
      </c>
      <c r="B60" s="84">
        <v>1.001768475E9</v>
      </c>
      <c r="C60" s="84" t="s">
        <v>922</v>
      </c>
      <c r="D60" s="84">
        <v>26.0</v>
      </c>
      <c r="E60" s="93">
        <v>31.625</v>
      </c>
      <c r="F60" s="12" t="s">
        <v>31</v>
      </c>
      <c r="G60" s="85" t="s">
        <v>44</v>
      </c>
      <c r="H60" s="12" t="s">
        <v>268</v>
      </c>
      <c r="I60" s="29" t="s">
        <v>397</v>
      </c>
      <c r="J60" s="12" t="s">
        <v>35</v>
      </c>
      <c r="K60" s="12" t="s">
        <v>270</v>
      </c>
      <c r="L60" s="28" t="s">
        <v>94</v>
      </c>
      <c r="M60" s="29"/>
      <c r="N60" s="173">
        <v>6200.0</v>
      </c>
      <c r="O60" s="73">
        <f t="shared" si="11"/>
        <v>0</v>
      </c>
      <c r="P60" s="39"/>
      <c r="Q60" s="12"/>
      <c r="R60" s="12"/>
      <c r="S60" s="85" t="s">
        <v>165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22"/>
      <c r="AH60" s="22"/>
      <c r="AI60" s="22"/>
      <c r="AJ60" s="22"/>
      <c r="AK60" s="22"/>
      <c r="AL60" s="22"/>
      <c r="AM60" s="22"/>
      <c r="AN60" s="22"/>
      <c r="AO60" s="22"/>
      <c r="AP60" s="215"/>
    </row>
    <row r="61" ht="15.75" customHeight="1">
      <c r="A61" s="103">
        <v>1.1171053E7</v>
      </c>
      <c r="B61" s="115">
        <v>1.001768504E9</v>
      </c>
      <c r="C61" s="84" t="s">
        <v>922</v>
      </c>
      <c r="D61" s="84">
        <v>26.0</v>
      </c>
      <c r="E61" s="93">
        <v>31.625</v>
      </c>
      <c r="F61" s="137" t="s">
        <v>31</v>
      </c>
      <c r="G61" s="85" t="s">
        <v>44</v>
      </c>
      <c r="H61" s="12" t="s">
        <v>45</v>
      </c>
      <c r="I61" s="12" t="s">
        <v>46</v>
      </c>
      <c r="J61" s="14" t="s">
        <v>35</v>
      </c>
      <c r="K61" s="14" t="s">
        <v>47</v>
      </c>
      <c r="L61" s="15" t="s">
        <v>48</v>
      </c>
      <c r="M61" s="128" t="s">
        <v>435</v>
      </c>
      <c r="N61" s="173">
        <v>2696.0</v>
      </c>
      <c r="O61" s="73">
        <f t="shared" si="11"/>
        <v>0</v>
      </c>
      <c r="P61" s="89"/>
      <c r="Q61" s="12"/>
      <c r="R61" s="12"/>
      <c r="S61" s="85" t="s">
        <v>165</v>
      </c>
      <c r="T61" s="12"/>
      <c r="U61" s="12"/>
      <c r="V61" s="12"/>
      <c r="W61" s="12"/>
      <c r="X61" s="84"/>
      <c r="Y61" s="12"/>
      <c r="Z61" s="12"/>
      <c r="AA61" s="12"/>
      <c r="AB61" s="12"/>
      <c r="AC61" s="12"/>
      <c r="AD61" s="12"/>
      <c r="AE61" s="12"/>
      <c r="AF61" s="12"/>
      <c r="AG61" s="22"/>
      <c r="AH61" s="22"/>
      <c r="AI61" s="22"/>
      <c r="AJ61" s="22"/>
      <c r="AK61" s="22"/>
      <c r="AL61" s="22"/>
      <c r="AM61" s="22"/>
      <c r="AN61" s="22"/>
      <c r="AO61" s="22"/>
      <c r="AP61" s="215"/>
    </row>
    <row r="62" ht="15.75" customHeight="1">
      <c r="A62" s="103">
        <v>1.1171052E7</v>
      </c>
      <c r="B62" s="427">
        <v>1.00176851E9</v>
      </c>
      <c r="C62" s="84" t="s">
        <v>975</v>
      </c>
      <c r="D62" s="84">
        <v>26.0</v>
      </c>
      <c r="E62" s="93">
        <v>31.625</v>
      </c>
      <c r="F62" s="137" t="s">
        <v>31</v>
      </c>
      <c r="G62" s="85" t="s">
        <v>44</v>
      </c>
      <c r="H62" s="12" t="s">
        <v>45</v>
      </c>
      <c r="I62" s="12" t="s">
        <v>46</v>
      </c>
      <c r="J62" s="14" t="s">
        <v>35</v>
      </c>
      <c r="K62" s="14" t="s">
        <v>47</v>
      </c>
      <c r="L62" s="15" t="s">
        <v>48</v>
      </c>
      <c r="M62" s="29"/>
      <c r="N62" s="173">
        <v>2696.0</v>
      </c>
      <c r="O62" s="73">
        <f t="shared" si="11"/>
        <v>0</v>
      </c>
      <c r="P62" s="39"/>
      <c r="Q62" s="12"/>
      <c r="R62" s="12"/>
      <c r="S62" s="85" t="s">
        <v>165</v>
      </c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22"/>
      <c r="AH62" s="22"/>
      <c r="AI62" s="22"/>
      <c r="AJ62" s="22"/>
      <c r="AK62" s="22"/>
      <c r="AL62" s="22"/>
      <c r="AM62" s="22"/>
      <c r="AN62" s="22"/>
      <c r="AO62" s="22"/>
      <c r="AP62" s="215"/>
    </row>
    <row r="63" ht="15.75" customHeight="1">
      <c r="A63" s="103">
        <v>1.1178683E7</v>
      </c>
      <c r="B63" s="84">
        <v>1.001774084E9</v>
      </c>
      <c r="C63" s="99">
        <v>45659.0</v>
      </c>
      <c r="D63" s="84">
        <v>26.0</v>
      </c>
      <c r="E63" s="93">
        <v>34.933</v>
      </c>
      <c r="F63" s="12" t="s">
        <v>31</v>
      </c>
      <c r="G63" s="29" t="s">
        <v>74</v>
      </c>
      <c r="H63" s="84" t="s">
        <v>2898</v>
      </c>
      <c r="I63" s="85" t="s">
        <v>2899</v>
      </c>
      <c r="J63" s="84" t="s">
        <v>925</v>
      </c>
      <c r="K63" s="84" t="s">
        <v>2900</v>
      </c>
      <c r="L63" s="95" t="s">
        <v>78</v>
      </c>
      <c r="M63" s="29"/>
      <c r="N63" s="173">
        <v>3143.0</v>
      </c>
      <c r="O63" s="73">
        <f t="shared" si="11"/>
        <v>0</v>
      </c>
      <c r="P63" s="39"/>
      <c r="Q63" s="12"/>
      <c r="R63" s="12"/>
      <c r="S63" s="85" t="s">
        <v>165</v>
      </c>
      <c r="T63" s="12"/>
      <c r="U63" s="12"/>
      <c r="V63" s="12"/>
      <c r="W63" s="12"/>
      <c r="X63" s="147">
        <v>45718.208333333336</v>
      </c>
      <c r="Y63" s="12"/>
      <c r="Z63" s="12"/>
      <c r="AA63" s="12"/>
      <c r="AB63" s="12"/>
      <c r="AC63" s="12"/>
      <c r="AD63" s="12"/>
      <c r="AE63" s="12"/>
      <c r="AF63" s="12"/>
      <c r="AG63" s="22"/>
      <c r="AH63" s="22"/>
      <c r="AI63" s="22"/>
      <c r="AJ63" s="22"/>
      <c r="AK63" s="22"/>
      <c r="AL63" s="22"/>
      <c r="AM63" s="22"/>
      <c r="AN63" s="22"/>
      <c r="AO63" s="22"/>
      <c r="AP63" s="215"/>
    </row>
    <row r="64" ht="15.75" customHeight="1">
      <c r="A64" s="103">
        <v>1.1182763E7</v>
      </c>
      <c r="B64" s="84">
        <v>1.001780024E9</v>
      </c>
      <c r="C64" s="99">
        <v>45659.0</v>
      </c>
      <c r="D64" s="84">
        <v>26.0</v>
      </c>
      <c r="E64" s="93">
        <v>25.337</v>
      </c>
      <c r="F64" s="12" t="s">
        <v>31</v>
      </c>
      <c r="G64" s="85" t="s">
        <v>74</v>
      </c>
      <c r="H64" s="12" t="s">
        <v>304</v>
      </c>
      <c r="I64" s="85" t="s">
        <v>305</v>
      </c>
      <c r="J64" s="12" t="s">
        <v>35</v>
      </c>
      <c r="K64" s="12" t="s">
        <v>306</v>
      </c>
      <c r="L64" s="28" t="s">
        <v>94</v>
      </c>
      <c r="M64" s="29"/>
      <c r="N64" s="173">
        <v>6500.0</v>
      </c>
      <c r="O64" s="73">
        <f t="shared" si="11"/>
        <v>0</v>
      </c>
      <c r="P64" s="89"/>
      <c r="Q64" s="84"/>
      <c r="R64" s="12"/>
      <c r="S64" s="85" t="s">
        <v>165</v>
      </c>
      <c r="T64" s="12"/>
      <c r="U64" s="12"/>
      <c r="V64" s="12"/>
      <c r="W64" s="12"/>
      <c r="X64" s="147">
        <v>45718.0</v>
      </c>
      <c r="Y64" s="12"/>
      <c r="Z64" s="12"/>
      <c r="AA64" s="12"/>
      <c r="AB64" s="12"/>
      <c r="AC64" s="12"/>
      <c r="AD64" s="12"/>
      <c r="AE64" s="12"/>
      <c r="AF64" s="12"/>
      <c r="AG64" s="22"/>
      <c r="AH64" s="22"/>
      <c r="AI64" s="22"/>
      <c r="AJ64" s="22"/>
      <c r="AK64" s="22"/>
      <c r="AL64" s="22"/>
      <c r="AM64" s="22"/>
      <c r="AN64" s="22"/>
      <c r="AO64" s="22"/>
      <c r="AP64" s="215"/>
    </row>
    <row r="65" ht="15.75" customHeight="1">
      <c r="A65" s="103">
        <v>1.1176141E7</v>
      </c>
      <c r="B65" s="84">
        <v>1.001772508E9</v>
      </c>
      <c r="C65" s="99">
        <v>45659.0</v>
      </c>
      <c r="D65" s="84">
        <v>26.0</v>
      </c>
      <c r="E65" s="93">
        <v>34.933</v>
      </c>
      <c r="F65" s="12" t="s">
        <v>31</v>
      </c>
      <c r="G65" s="29" t="s">
        <v>74</v>
      </c>
      <c r="H65" s="84" t="s">
        <v>1465</v>
      </c>
      <c r="I65" s="85" t="s">
        <v>1466</v>
      </c>
      <c r="J65" s="84" t="s">
        <v>925</v>
      </c>
      <c r="K65" s="84" t="s">
        <v>1467</v>
      </c>
      <c r="L65" s="95" t="s">
        <v>78</v>
      </c>
      <c r="M65" s="428" t="s">
        <v>955</v>
      </c>
      <c r="N65" s="173">
        <v>3423.0</v>
      </c>
      <c r="O65" s="73">
        <f t="shared" si="11"/>
        <v>0</v>
      </c>
      <c r="P65" s="89"/>
      <c r="Q65" s="12"/>
      <c r="R65" s="12"/>
      <c r="S65" s="85" t="s">
        <v>165</v>
      </c>
      <c r="T65" s="12"/>
      <c r="U65" s="12"/>
      <c r="V65" s="12"/>
      <c r="W65" s="12"/>
      <c r="X65" s="147">
        <v>45718.291666666664</v>
      </c>
      <c r="Y65" s="12"/>
      <c r="Z65" s="12"/>
      <c r="AA65" s="12"/>
      <c r="AB65" s="12"/>
      <c r="AC65" s="12"/>
      <c r="AD65" s="12"/>
      <c r="AE65" s="12"/>
      <c r="AF65" s="12"/>
      <c r="AG65" s="22"/>
      <c r="AH65" s="22"/>
      <c r="AI65" s="22"/>
      <c r="AJ65" s="22"/>
      <c r="AK65" s="22"/>
      <c r="AL65" s="22"/>
      <c r="AM65" s="22"/>
      <c r="AN65" s="22"/>
      <c r="AO65" s="22"/>
      <c r="AP65" s="215"/>
    </row>
    <row r="66" ht="15.75" customHeight="1">
      <c r="A66" s="103">
        <v>1.1172545E7</v>
      </c>
      <c r="B66" s="84">
        <v>1.001768999E9</v>
      </c>
      <c r="C66" s="84" t="s">
        <v>980</v>
      </c>
      <c r="D66" s="84">
        <v>26.0</v>
      </c>
      <c r="E66" s="93">
        <v>31.922</v>
      </c>
      <c r="F66" s="12" t="s">
        <v>31</v>
      </c>
      <c r="G66" s="29" t="s">
        <v>74</v>
      </c>
      <c r="H66" s="12" t="s">
        <v>304</v>
      </c>
      <c r="I66" s="85" t="s">
        <v>305</v>
      </c>
      <c r="J66" s="12" t="s">
        <v>35</v>
      </c>
      <c r="K66" s="12" t="s">
        <v>306</v>
      </c>
      <c r="L66" s="28" t="s">
        <v>94</v>
      </c>
      <c r="M66" s="428" t="s">
        <v>974</v>
      </c>
      <c r="N66" s="173">
        <v>6500.0</v>
      </c>
      <c r="O66" s="73">
        <f t="shared" si="11"/>
        <v>0</v>
      </c>
      <c r="P66" s="89"/>
      <c r="Q66" s="84" t="s">
        <v>39</v>
      </c>
      <c r="R66" s="12"/>
      <c r="S66" s="85" t="s">
        <v>165</v>
      </c>
      <c r="T66" s="12"/>
      <c r="U66" s="12"/>
      <c r="V66" s="12"/>
      <c r="W66" s="12"/>
      <c r="X66" s="147">
        <v>45690.083333333336</v>
      </c>
      <c r="Y66" s="12"/>
      <c r="Z66" s="12"/>
      <c r="AA66" s="12"/>
      <c r="AB66" s="12"/>
      <c r="AC66" s="12"/>
      <c r="AD66" s="12"/>
      <c r="AE66" s="12"/>
      <c r="AF66" s="12"/>
      <c r="AG66" s="22"/>
      <c r="AH66" s="22"/>
      <c r="AI66" s="22"/>
      <c r="AJ66" s="22"/>
      <c r="AK66" s="22"/>
      <c r="AL66" s="22"/>
      <c r="AM66" s="22"/>
      <c r="AN66" s="22"/>
      <c r="AO66" s="22"/>
      <c r="AP66" s="215"/>
    </row>
    <row r="67" ht="15.75" customHeight="1">
      <c r="A67" s="103">
        <v>1.1195843E7</v>
      </c>
      <c r="B67" s="84">
        <v>1.001792103E9</v>
      </c>
      <c r="C67" s="99">
        <v>45932.0</v>
      </c>
      <c r="D67" s="84">
        <v>26.0</v>
      </c>
      <c r="E67" s="93">
        <v>31.922</v>
      </c>
      <c r="F67" s="85" t="s">
        <v>31</v>
      </c>
      <c r="G67" s="85" t="s">
        <v>44</v>
      </c>
      <c r="H67" s="84" t="s">
        <v>268</v>
      </c>
      <c r="I67" s="85" t="s">
        <v>655</v>
      </c>
      <c r="J67" s="84" t="s">
        <v>35</v>
      </c>
      <c r="K67" s="84" t="s">
        <v>270</v>
      </c>
      <c r="L67" s="95" t="s">
        <v>94</v>
      </c>
      <c r="M67" s="29"/>
      <c r="N67" s="173">
        <v>6200.0</v>
      </c>
      <c r="O67" s="73">
        <f t="shared" si="11"/>
        <v>0</v>
      </c>
      <c r="P67" s="39"/>
      <c r="Q67" s="12"/>
      <c r="R67" s="12"/>
      <c r="S67" s="85" t="s">
        <v>165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22"/>
      <c r="AH67" s="22"/>
      <c r="AI67" s="22"/>
      <c r="AJ67" s="22"/>
      <c r="AK67" s="22"/>
      <c r="AL67" s="22"/>
      <c r="AM67" s="22"/>
      <c r="AN67" s="22"/>
      <c r="AO67" s="22"/>
      <c r="AP67" s="215"/>
    </row>
    <row r="68" ht="15.75" customHeight="1">
      <c r="A68" s="103">
        <v>1.1196058E7</v>
      </c>
      <c r="B68" s="429">
        <v>1.001792139E9</v>
      </c>
      <c r="C68" s="99">
        <v>45932.0</v>
      </c>
      <c r="D68" s="84">
        <v>26.0</v>
      </c>
      <c r="E68" s="93">
        <v>31.922</v>
      </c>
      <c r="F68" s="85" t="s">
        <v>31</v>
      </c>
      <c r="G68" s="85" t="s">
        <v>44</v>
      </c>
      <c r="H68" s="84" t="s">
        <v>268</v>
      </c>
      <c r="I68" s="85" t="s">
        <v>655</v>
      </c>
      <c r="J68" s="84" t="s">
        <v>35</v>
      </c>
      <c r="K68" s="84" t="s">
        <v>270</v>
      </c>
      <c r="L68" s="95" t="s">
        <v>94</v>
      </c>
      <c r="M68" s="29"/>
      <c r="N68" s="173">
        <v>6200.0</v>
      </c>
      <c r="O68" s="73">
        <f t="shared" si="11"/>
        <v>0</v>
      </c>
      <c r="P68" s="39"/>
      <c r="Q68" s="12"/>
      <c r="R68" s="12"/>
      <c r="S68" s="85" t="s">
        <v>165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22"/>
      <c r="AH68" s="22"/>
      <c r="AI68" s="22"/>
      <c r="AJ68" s="22"/>
      <c r="AK68" s="22"/>
      <c r="AL68" s="22"/>
      <c r="AM68" s="22"/>
      <c r="AN68" s="22"/>
      <c r="AO68" s="22"/>
      <c r="AP68" s="215"/>
    </row>
    <row r="69" ht="15.75" customHeight="1">
      <c r="A69" s="129">
        <v>1.1196059E7</v>
      </c>
      <c r="B69" s="429">
        <v>1.001792244E9</v>
      </c>
      <c r="C69" s="99">
        <v>45932.0</v>
      </c>
      <c r="D69" s="84">
        <v>26.0</v>
      </c>
      <c r="E69" s="93">
        <v>33.43</v>
      </c>
      <c r="F69" s="85" t="s">
        <v>31</v>
      </c>
      <c r="G69" s="85" t="s">
        <v>44</v>
      </c>
      <c r="H69" s="84" t="s">
        <v>268</v>
      </c>
      <c r="I69" s="85" t="s">
        <v>655</v>
      </c>
      <c r="J69" s="84" t="s">
        <v>35</v>
      </c>
      <c r="K69" s="84" t="s">
        <v>270</v>
      </c>
      <c r="L69" s="95" t="s">
        <v>94</v>
      </c>
      <c r="M69" s="29"/>
      <c r="N69" s="173">
        <v>6677.0</v>
      </c>
      <c r="O69" s="73">
        <f t="shared" si="11"/>
        <v>0</v>
      </c>
      <c r="P69" s="39"/>
      <c r="Q69" s="12"/>
      <c r="R69" s="12"/>
      <c r="S69" s="85" t="s">
        <v>165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22"/>
      <c r="AH69" s="22"/>
      <c r="AI69" s="22"/>
      <c r="AJ69" s="22"/>
      <c r="AK69" s="22"/>
      <c r="AL69" s="22"/>
      <c r="AM69" s="22"/>
      <c r="AN69" s="22"/>
      <c r="AO69" s="22"/>
      <c r="AP69" s="215"/>
    </row>
    <row r="70" ht="15.75" customHeight="1">
      <c r="A70" s="103">
        <v>1.1201206E7</v>
      </c>
      <c r="B70" s="103">
        <v>1.001798095E9</v>
      </c>
      <c r="C70" s="84" t="s">
        <v>1028</v>
      </c>
      <c r="D70" s="84">
        <v>26.0</v>
      </c>
      <c r="E70" s="84">
        <v>33.43</v>
      </c>
      <c r="F70" s="12" t="s">
        <v>31</v>
      </c>
      <c r="G70" s="84" t="s">
        <v>44</v>
      </c>
      <c r="H70" s="12" t="s">
        <v>45</v>
      </c>
      <c r="I70" s="12" t="s">
        <v>46</v>
      </c>
      <c r="J70" s="14" t="s">
        <v>35</v>
      </c>
      <c r="K70" s="14" t="s">
        <v>47</v>
      </c>
      <c r="L70" s="98" t="s">
        <v>188</v>
      </c>
      <c r="M70" s="12"/>
      <c r="N70" s="174">
        <v>2696.0</v>
      </c>
      <c r="O70" s="73">
        <f t="shared" si="11"/>
        <v>0</v>
      </c>
      <c r="P70" s="15"/>
      <c r="Q70" s="12"/>
      <c r="R70" s="12"/>
      <c r="S70" s="84" t="s">
        <v>165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22"/>
      <c r="AH70" s="22"/>
      <c r="AI70" s="22"/>
      <c r="AJ70" s="22"/>
      <c r="AK70" s="22"/>
      <c r="AL70" s="22"/>
      <c r="AM70" s="22"/>
      <c r="AN70" s="22"/>
      <c r="AO70" s="22"/>
      <c r="AP70" s="215"/>
    </row>
    <row r="71" ht="15.75" customHeight="1">
      <c r="A71" s="430">
        <v>1.1204061E7</v>
      </c>
      <c r="B71" s="103">
        <v>1.001801727E9</v>
      </c>
      <c r="C71" s="84" t="s">
        <v>1028</v>
      </c>
      <c r="D71" s="84">
        <v>26.0</v>
      </c>
      <c r="E71" s="84">
        <v>31.625</v>
      </c>
      <c r="F71" s="84" t="s">
        <v>31</v>
      </c>
      <c r="G71" s="84" t="s">
        <v>44</v>
      </c>
      <c r="H71" s="84" t="s">
        <v>268</v>
      </c>
      <c r="I71" s="84" t="s">
        <v>397</v>
      </c>
      <c r="J71" s="84" t="s">
        <v>35</v>
      </c>
      <c r="K71" s="12" t="s">
        <v>270</v>
      </c>
      <c r="L71" s="98" t="s">
        <v>94</v>
      </c>
      <c r="M71" s="12"/>
      <c r="N71" s="173">
        <v>6200.0</v>
      </c>
      <c r="O71" s="73">
        <f t="shared" si="11"/>
        <v>0</v>
      </c>
      <c r="P71" s="15"/>
      <c r="Q71" s="12"/>
      <c r="R71" s="12"/>
      <c r="S71" s="84" t="s">
        <v>165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22"/>
      <c r="AH71" s="22"/>
      <c r="AI71" s="22"/>
      <c r="AJ71" s="22"/>
      <c r="AK71" s="22"/>
      <c r="AL71" s="22"/>
      <c r="AM71" s="22"/>
      <c r="AN71" s="22"/>
      <c r="AO71" s="22"/>
      <c r="AP71" s="215"/>
    </row>
    <row r="72" ht="15.75" customHeight="1">
      <c r="A72" s="430">
        <v>1.120406E7</v>
      </c>
      <c r="B72" s="103">
        <v>1.001801725E9</v>
      </c>
      <c r="C72" s="84" t="s">
        <v>1028</v>
      </c>
      <c r="D72" s="84">
        <v>26.0</v>
      </c>
      <c r="E72" s="84">
        <v>31.625</v>
      </c>
      <c r="F72" s="84" t="s">
        <v>31</v>
      </c>
      <c r="G72" s="84" t="s">
        <v>44</v>
      </c>
      <c r="H72" s="84" t="s">
        <v>268</v>
      </c>
      <c r="I72" s="431" t="s">
        <v>397</v>
      </c>
      <c r="J72" s="84" t="s">
        <v>35</v>
      </c>
      <c r="K72" s="84" t="s">
        <v>270</v>
      </c>
      <c r="L72" s="98" t="s">
        <v>94</v>
      </c>
      <c r="M72" s="12"/>
      <c r="N72" s="174">
        <v>6200.0</v>
      </c>
      <c r="O72" s="73">
        <f t="shared" si="11"/>
        <v>0</v>
      </c>
      <c r="P72" s="15"/>
      <c r="Q72" s="12"/>
      <c r="R72" s="12"/>
      <c r="S72" s="84" t="s">
        <v>165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22"/>
      <c r="AH72" s="22"/>
      <c r="AI72" s="22"/>
      <c r="AJ72" s="22"/>
      <c r="AK72" s="22"/>
      <c r="AL72" s="22"/>
      <c r="AM72" s="22"/>
      <c r="AN72" s="22"/>
      <c r="AO72" s="22"/>
      <c r="AP72" s="215"/>
    </row>
    <row r="73" ht="15.75" customHeight="1">
      <c r="A73" s="114">
        <v>1.1212915E7</v>
      </c>
      <c r="B73" s="103">
        <v>1.001809908E9</v>
      </c>
      <c r="C73" s="84" t="s">
        <v>2901</v>
      </c>
      <c r="D73" s="84">
        <v>26.0</v>
      </c>
      <c r="E73" s="93">
        <v>31.625</v>
      </c>
      <c r="F73" s="12" t="s">
        <v>31</v>
      </c>
      <c r="G73" s="85" t="s">
        <v>44</v>
      </c>
      <c r="H73" s="12" t="s">
        <v>268</v>
      </c>
      <c r="I73" s="29" t="s">
        <v>397</v>
      </c>
      <c r="J73" s="12" t="s">
        <v>35</v>
      </c>
      <c r="K73" s="12" t="s">
        <v>270</v>
      </c>
      <c r="L73" s="28" t="s">
        <v>94</v>
      </c>
      <c r="M73" s="12"/>
      <c r="N73" s="174">
        <v>6200.0</v>
      </c>
      <c r="O73" s="73">
        <f t="shared" si="11"/>
        <v>0</v>
      </c>
      <c r="P73" s="15"/>
      <c r="Q73" s="12"/>
      <c r="R73" s="12"/>
      <c r="S73" s="84" t="s">
        <v>165</v>
      </c>
      <c r="T73" s="12"/>
      <c r="U73" s="12"/>
      <c r="V73" s="12"/>
      <c r="W73" s="12"/>
      <c r="X73" s="84"/>
      <c r="Y73" s="12"/>
      <c r="Z73" s="12"/>
      <c r="AA73" s="12"/>
      <c r="AB73" s="12"/>
      <c r="AC73" s="12"/>
      <c r="AD73" s="12"/>
      <c r="AE73" s="12"/>
      <c r="AF73" s="12"/>
      <c r="AG73" s="22"/>
      <c r="AH73" s="22"/>
      <c r="AI73" s="22"/>
      <c r="AJ73" s="22"/>
      <c r="AK73" s="22"/>
      <c r="AL73" s="22"/>
      <c r="AM73" s="22"/>
      <c r="AN73" s="22"/>
      <c r="AO73" s="22"/>
      <c r="AP73" s="215"/>
    </row>
    <row r="74" ht="15.75" customHeight="1">
      <c r="A74" s="124">
        <v>1.1213545E7</v>
      </c>
      <c r="B74" s="84">
        <v>1.001809978E9</v>
      </c>
      <c r="C74" s="84" t="s">
        <v>2901</v>
      </c>
      <c r="D74" s="84">
        <v>26.0</v>
      </c>
      <c r="E74" s="93">
        <v>31.625</v>
      </c>
      <c r="F74" s="12" t="s">
        <v>31</v>
      </c>
      <c r="G74" s="85" t="s">
        <v>44</v>
      </c>
      <c r="H74" s="12" t="s">
        <v>268</v>
      </c>
      <c r="I74" s="29" t="s">
        <v>397</v>
      </c>
      <c r="J74" s="12" t="s">
        <v>35</v>
      </c>
      <c r="K74" s="12" t="s">
        <v>270</v>
      </c>
      <c r="L74" s="28" t="s">
        <v>94</v>
      </c>
      <c r="M74" s="12"/>
      <c r="N74" s="174">
        <v>6200.0</v>
      </c>
      <c r="O74" s="73">
        <f t="shared" si="11"/>
        <v>0</v>
      </c>
      <c r="P74" s="15"/>
      <c r="Q74" s="12"/>
      <c r="R74" s="12"/>
      <c r="S74" s="84" t="s">
        <v>165</v>
      </c>
      <c r="T74" s="12"/>
      <c r="U74" s="12"/>
      <c r="V74" s="12"/>
      <c r="W74" s="12"/>
      <c r="X74" s="84" t="s">
        <v>127</v>
      </c>
      <c r="Y74" s="12"/>
      <c r="Z74" s="12"/>
      <c r="AA74" s="12"/>
      <c r="AB74" s="12"/>
      <c r="AC74" s="12"/>
      <c r="AD74" s="12"/>
      <c r="AE74" s="12"/>
      <c r="AF74" s="12"/>
      <c r="AG74" s="22"/>
      <c r="AH74" s="22"/>
      <c r="AI74" s="22"/>
      <c r="AJ74" s="22"/>
      <c r="AK74" s="22"/>
      <c r="AL74" s="22"/>
      <c r="AM74" s="22"/>
      <c r="AN74" s="22"/>
      <c r="AO74" s="22"/>
      <c r="AP74" s="215"/>
    </row>
    <row r="75" ht="15.75" customHeight="1">
      <c r="A75" s="124">
        <v>1.1217494E7</v>
      </c>
      <c r="B75" s="84">
        <v>1.001814292E9</v>
      </c>
      <c r="C75" s="84" t="s">
        <v>2901</v>
      </c>
      <c r="D75" s="84">
        <v>26.0</v>
      </c>
      <c r="E75" s="93">
        <v>31.625</v>
      </c>
      <c r="F75" s="12" t="s">
        <v>31</v>
      </c>
      <c r="G75" s="85" t="s">
        <v>44</v>
      </c>
      <c r="H75" s="12" t="s">
        <v>268</v>
      </c>
      <c r="I75" s="29" t="s">
        <v>397</v>
      </c>
      <c r="J75" s="12" t="s">
        <v>35</v>
      </c>
      <c r="K75" s="12" t="s">
        <v>270</v>
      </c>
      <c r="L75" s="28" t="s">
        <v>94</v>
      </c>
      <c r="M75" s="12"/>
      <c r="N75" s="174">
        <v>6200.0</v>
      </c>
      <c r="O75" s="73">
        <f t="shared" si="11"/>
        <v>0</v>
      </c>
      <c r="P75" s="15"/>
      <c r="Q75" s="12"/>
      <c r="R75" s="12"/>
      <c r="S75" s="84" t="s">
        <v>165</v>
      </c>
      <c r="T75" s="12"/>
      <c r="U75" s="12"/>
      <c r="V75" s="12"/>
      <c r="W75" s="12"/>
      <c r="X75" s="84" t="s">
        <v>127</v>
      </c>
      <c r="Y75" s="12"/>
      <c r="Z75" s="12"/>
      <c r="AA75" s="12"/>
      <c r="AB75" s="12"/>
      <c r="AC75" s="12"/>
      <c r="AD75" s="12"/>
      <c r="AE75" s="12"/>
      <c r="AF75" s="12"/>
      <c r="AG75" s="22"/>
      <c r="AH75" s="22"/>
      <c r="AI75" s="22"/>
      <c r="AJ75" s="22"/>
      <c r="AK75" s="22"/>
      <c r="AL75" s="22"/>
      <c r="AM75" s="22"/>
      <c r="AN75" s="22"/>
      <c r="AO75" s="22"/>
      <c r="AP75" s="215"/>
    </row>
    <row r="76" ht="15.75" customHeight="1">
      <c r="A76" s="124">
        <v>1.1210652E7</v>
      </c>
      <c r="B76" s="84">
        <v>1.001806804E9</v>
      </c>
      <c r="C76" s="84" t="s">
        <v>2902</v>
      </c>
      <c r="D76" s="84">
        <v>20.0</v>
      </c>
      <c r="E76" s="84">
        <v>25.716</v>
      </c>
      <c r="F76" s="12" t="s">
        <v>31</v>
      </c>
      <c r="G76" s="85" t="s">
        <v>74</v>
      </c>
      <c r="H76" s="84" t="s">
        <v>426</v>
      </c>
      <c r="I76" s="85" t="s">
        <v>427</v>
      </c>
      <c r="J76" s="12" t="s">
        <v>35</v>
      </c>
      <c r="K76" s="84" t="s">
        <v>424</v>
      </c>
      <c r="L76" s="95" t="s">
        <v>188</v>
      </c>
      <c r="M76" s="12"/>
      <c r="N76" s="174">
        <v>2900.0</v>
      </c>
      <c r="O76" s="73">
        <f t="shared" si="11"/>
        <v>0</v>
      </c>
      <c r="P76" s="15"/>
      <c r="Q76" s="12"/>
      <c r="R76" s="12"/>
      <c r="S76" s="84" t="s">
        <v>165</v>
      </c>
      <c r="T76" s="12"/>
      <c r="U76" s="12"/>
      <c r="V76" s="12"/>
      <c r="W76" s="12"/>
      <c r="X76" s="84" t="s">
        <v>2903</v>
      </c>
      <c r="Y76" s="12"/>
      <c r="Z76" s="12"/>
      <c r="AA76" s="12"/>
      <c r="AB76" s="12"/>
      <c r="AC76" s="12"/>
      <c r="AD76" s="12"/>
      <c r="AE76" s="12"/>
      <c r="AF76" s="12"/>
      <c r="AG76" s="22"/>
      <c r="AH76" s="22"/>
      <c r="AI76" s="22"/>
      <c r="AJ76" s="22"/>
      <c r="AK76" s="22"/>
      <c r="AL76" s="22"/>
      <c r="AM76" s="22"/>
      <c r="AN76" s="22"/>
      <c r="AO76" s="22"/>
      <c r="AP76" s="215"/>
    </row>
    <row r="77" ht="15.75" customHeight="1">
      <c r="A77" s="126">
        <v>1.1217359E7</v>
      </c>
      <c r="B77" s="432">
        <v>1.001814308E9</v>
      </c>
      <c r="C77" s="84" t="s">
        <v>1044</v>
      </c>
      <c r="D77" s="84">
        <v>26.0</v>
      </c>
      <c r="E77" s="84">
        <v>31.625</v>
      </c>
      <c r="F77" s="12" t="s">
        <v>31</v>
      </c>
      <c r="G77" s="84" t="s">
        <v>44</v>
      </c>
      <c r="H77" s="12" t="s">
        <v>268</v>
      </c>
      <c r="I77" s="29" t="s">
        <v>397</v>
      </c>
      <c r="J77" s="12" t="s">
        <v>35</v>
      </c>
      <c r="K77" s="12" t="s">
        <v>270</v>
      </c>
      <c r="L77" s="28" t="s">
        <v>94</v>
      </c>
      <c r="M77" s="12"/>
      <c r="N77" s="174">
        <v>6200.0</v>
      </c>
      <c r="O77" s="84" t="s">
        <v>2904</v>
      </c>
      <c r="P77" s="15"/>
      <c r="Q77" s="12"/>
      <c r="R77" s="12"/>
      <c r="S77" s="84" t="s">
        <v>165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22"/>
      <c r="AH77" s="22"/>
      <c r="AI77" s="22"/>
      <c r="AJ77" s="22"/>
      <c r="AK77" s="22"/>
      <c r="AL77" s="22"/>
      <c r="AM77" s="22"/>
      <c r="AN77" s="22"/>
      <c r="AO77" s="22"/>
      <c r="AP77" s="215"/>
    </row>
    <row r="78" ht="15.75" customHeight="1">
      <c r="A78" s="126">
        <v>1.1217358E7</v>
      </c>
      <c r="B78" s="432">
        <v>1.001814235E9</v>
      </c>
      <c r="C78" s="84" t="s">
        <v>2902</v>
      </c>
      <c r="D78" s="84">
        <v>26.0</v>
      </c>
      <c r="E78" s="84">
        <v>31.625</v>
      </c>
      <c r="F78" s="12" t="s">
        <v>31</v>
      </c>
      <c r="G78" s="84" t="s">
        <v>44</v>
      </c>
      <c r="H78" s="12" t="s">
        <v>268</v>
      </c>
      <c r="I78" s="29" t="s">
        <v>397</v>
      </c>
      <c r="J78" s="12" t="s">
        <v>35</v>
      </c>
      <c r="K78" s="12" t="s">
        <v>270</v>
      </c>
      <c r="L78" s="28" t="s">
        <v>94</v>
      </c>
      <c r="M78" s="12"/>
      <c r="N78" s="174">
        <v>6200.0</v>
      </c>
      <c r="O78" s="84" t="s">
        <v>2904</v>
      </c>
      <c r="P78" s="15"/>
      <c r="Q78" s="12"/>
      <c r="R78" s="12"/>
      <c r="S78" s="84" t="s">
        <v>165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22"/>
      <c r="AH78" s="22"/>
      <c r="AI78" s="22"/>
      <c r="AJ78" s="22"/>
      <c r="AK78" s="22"/>
      <c r="AL78" s="22"/>
      <c r="AM78" s="22"/>
      <c r="AN78" s="22"/>
      <c r="AO78" s="22"/>
      <c r="AP78" s="215"/>
    </row>
    <row r="79" ht="15.75" customHeight="1">
      <c r="A79" s="126">
        <v>1.121736E7</v>
      </c>
      <c r="B79" s="84">
        <v>1.001814286E9</v>
      </c>
      <c r="C79" s="84" t="s">
        <v>1044</v>
      </c>
      <c r="D79" s="84">
        <v>26.0</v>
      </c>
      <c r="E79" s="84">
        <v>31.625</v>
      </c>
      <c r="F79" s="12" t="s">
        <v>31</v>
      </c>
      <c r="G79" s="84" t="s">
        <v>44</v>
      </c>
      <c r="H79" s="12" t="s">
        <v>268</v>
      </c>
      <c r="I79" s="29" t="s">
        <v>397</v>
      </c>
      <c r="J79" s="12" t="s">
        <v>35</v>
      </c>
      <c r="K79" s="12" t="s">
        <v>270</v>
      </c>
      <c r="L79" s="28" t="s">
        <v>94</v>
      </c>
      <c r="M79" s="12"/>
      <c r="N79" s="174">
        <v>6200.0</v>
      </c>
      <c r="O79" s="84" t="s">
        <v>2904</v>
      </c>
      <c r="P79" s="15"/>
      <c r="Q79" s="12"/>
      <c r="R79" s="12"/>
      <c r="S79" s="84" t="s">
        <v>165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22"/>
      <c r="AH79" s="22"/>
      <c r="AI79" s="22"/>
      <c r="AJ79" s="22"/>
      <c r="AK79" s="22"/>
      <c r="AL79" s="22"/>
      <c r="AM79" s="22"/>
      <c r="AN79" s="22"/>
      <c r="AO79" s="22"/>
      <c r="AP79" s="215"/>
    </row>
    <row r="80" ht="15.75" customHeight="1">
      <c r="A80" s="103">
        <v>1.1219364E7</v>
      </c>
      <c r="B80" s="84">
        <v>1.001817565E9</v>
      </c>
      <c r="C80" s="84" t="s">
        <v>1044</v>
      </c>
      <c r="D80" s="84">
        <v>26.0</v>
      </c>
      <c r="E80" s="84">
        <v>31.625</v>
      </c>
      <c r="F80" s="12" t="s">
        <v>31</v>
      </c>
      <c r="G80" s="84" t="s">
        <v>44</v>
      </c>
      <c r="H80" s="12" t="s">
        <v>268</v>
      </c>
      <c r="I80" s="29" t="s">
        <v>397</v>
      </c>
      <c r="J80" s="12" t="s">
        <v>35</v>
      </c>
      <c r="K80" s="12" t="s">
        <v>270</v>
      </c>
      <c r="L80" s="28" t="s">
        <v>94</v>
      </c>
      <c r="M80" s="12"/>
      <c r="N80" s="174">
        <v>6200.0</v>
      </c>
      <c r="O80" s="84" t="s">
        <v>2904</v>
      </c>
      <c r="P80" s="15"/>
      <c r="Q80" s="12"/>
      <c r="R80" s="12"/>
      <c r="S80" s="84" t="s">
        <v>165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22"/>
      <c r="AH80" s="22"/>
      <c r="AI80" s="22"/>
      <c r="AJ80" s="22"/>
      <c r="AK80" s="22"/>
      <c r="AL80" s="22"/>
      <c r="AM80" s="22"/>
      <c r="AN80" s="22"/>
      <c r="AO80" s="22"/>
      <c r="AP80" s="215"/>
    </row>
    <row r="81">
      <c r="A81" s="124">
        <v>1.1224839E7</v>
      </c>
      <c r="B81" s="92">
        <v>1.001822471E9</v>
      </c>
      <c r="C81" s="150" t="s">
        <v>1034</v>
      </c>
      <c r="D81" s="84">
        <v>26.0</v>
      </c>
      <c r="E81" s="93">
        <v>31.625</v>
      </c>
      <c r="F81" s="12" t="s">
        <v>31</v>
      </c>
      <c r="G81" s="29" t="s">
        <v>32</v>
      </c>
      <c r="H81" s="29" t="s">
        <v>111</v>
      </c>
      <c r="I81" s="25" t="s">
        <v>112</v>
      </c>
      <c r="J81" s="25" t="s">
        <v>35</v>
      </c>
      <c r="K81" s="29" t="s">
        <v>113</v>
      </c>
      <c r="L81" s="25" t="s">
        <v>114</v>
      </c>
      <c r="M81" s="12"/>
      <c r="N81" s="173">
        <v>5323.0</v>
      </c>
      <c r="O81" s="73">
        <f t="shared" ref="O81:O119" si="12">IFERROR(P81/N81,0)</f>
        <v>0</v>
      </c>
      <c r="P81" s="154"/>
      <c r="Q81" s="154"/>
      <c r="R81" s="154"/>
      <c r="S81" s="84" t="s">
        <v>165</v>
      </c>
      <c r="T81" s="154"/>
      <c r="U81" s="154"/>
      <c r="V81" s="154"/>
      <c r="W81" s="154"/>
      <c r="X81" s="84" t="s">
        <v>127</v>
      </c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215"/>
    </row>
    <row r="82" ht="15.75" customHeight="1">
      <c r="A82" s="126">
        <v>1.1225308E7</v>
      </c>
      <c r="B82" s="103">
        <v>1.001821913E9</v>
      </c>
      <c r="C82" s="84" t="s">
        <v>1034</v>
      </c>
      <c r="D82" s="84">
        <v>26.0</v>
      </c>
      <c r="E82" s="84">
        <v>33.43</v>
      </c>
      <c r="F82" s="12" t="s">
        <v>31</v>
      </c>
      <c r="G82" s="84" t="s">
        <v>44</v>
      </c>
      <c r="H82" s="12" t="s">
        <v>45</v>
      </c>
      <c r="I82" s="12" t="s">
        <v>46</v>
      </c>
      <c r="J82" s="14" t="s">
        <v>35</v>
      </c>
      <c r="K82" s="14" t="s">
        <v>47</v>
      </c>
      <c r="L82" s="98" t="s">
        <v>188</v>
      </c>
      <c r="M82" s="12"/>
      <c r="N82" s="174">
        <v>2696.0</v>
      </c>
      <c r="O82" s="73">
        <f t="shared" si="12"/>
        <v>0</v>
      </c>
      <c r="P82" s="15"/>
      <c r="Q82" s="12"/>
      <c r="R82" s="12"/>
      <c r="S82" s="84" t="s">
        <v>165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22"/>
      <c r="AH82" s="22"/>
      <c r="AI82" s="22"/>
      <c r="AJ82" s="22"/>
      <c r="AK82" s="22"/>
      <c r="AL82" s="22"/>
      <c r="AM82" s="22"/>
      <c r="AN82" s="22"/>
      <c r="AO82" s="22"/>
      <c r="AP82" s="215"/>
    </row>
    <row r="83" ht="15.75" customHeight="1">
      <c r="A83" s="126">
        <v>1.1225309E7</v>
      </c>
      <c r="B83" s="103">
        <v>1.001821915E9</v>
      </c>
      <c r="C83" s="84" t="s">
        <v>1034</v>
      </c>
      <c r="D83" s="84">
        <v>26.0</v>
      </c>
      <c r="E83" s="84">
        <v>33.43</v>
      </c>
      <c r="F83" s="12" t="s">
        <v>31</v>
      </c>
      <c r="G83" s="84" t="s">
        <v>44</v>
      </c>
      <c r="H83" s="12" t="s">
        <v>45</v>
      </c>
      <c r="I83" s="12" t="s">
        <v>46</v>
      </c>
      <c r="J83" s="14" t="s">
        <v>35</v>
      </c>
      <c r="K83" s="14" t="s">
        <v>47</v>
      </c>
      <c r="L83" s="98" t="s">
        <v>188</v>
      </c>
      <c r="M83" s="12"/>
      <c r="N83" s="174">
        <v>2696.0</v>
      </c>
      <c r="O83" s="73">
        <f t="shared" si="12"/>
        <v>0</v>
      </c>
      <c r="P83" s="15"/>
      <c r="Q83" s="12"/>
      <c r="R83" s="12"/>
      <c r="S83" s="84" t="s">
        <v>165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22"/>
      <c r="AH83" s="22"/>
      <c r="AI83" s="22"/>
      <c r="AJ83" s="22"/>
      <c r="AK83" s="22"/>
      <c r="AL83" s="22"/>
      <c r="AM83" s="22"/>
      <c r="AN83" s="22"/>
      <c r="AO83" s="22"/>
      <c r="AP83" s="215"/>
    </row>
    <row r="84" ht="15.75" customHeight="1">
      <c r="A84" s="103">
        <v>1.1229448E7</v>
      </c>
      <c r="B84" s="84">
        <v>1.00182585E9</v>
      </c>
      <c r="C84" s="84" t="s">
        <v>1102</v>
      </c>
      <c r="D84" s="84">
        <v>26.0</v>
      </c>
      <c r="E84" s="93">
        <v>31.625</v>
      </c>
      <c r="F84" s="12" t="s">
        <v>31</v>
      </c>
      <c r="G84" s="29" t="s">
        <v>32</v>
      </c>
      <c r="H84" s="12" t="s">
        <v>265</v>
      </c>
      <c r="I84" s="28" t="s">
        <v>266</v>
      </c>
      <c r="J84" s="25" t="s">
        <v>35</v>
      </c>
      <c r="K84" s="12" t="s">
        <v>267</v>
      </c>
      <c r="L84" s="95" t="s">
        <v>94</v>
      </c>
      <c r="M84" s="12"/>
      <c r="N84" s="173">
        <v>6200.0</v>
      </c>
      <c r="O84" s="73">
        <f t="shared" si="12"/>
        <v>0</v>
      </c>
      <c r="P84" s="15"/>
      <c r="Q84" s="12"/>
      <c r="R84" s="12"/>
      <c r="S84" s="84" t="s">
        <v>165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22"/>
      <c r="AH84" s="22"/>
      <c r="AI84" s="22"/>
      <c r="AJ84" s="22"/>
      <c r="AK84" s="22"/>
      <c r="AL84" s="22"/>
      <c r="AM84" s="22"/>
      <c r="AN84" s="22"/>
      <c r="AO84" s="22"/>
      <c r="AP84" s="215"/>
    </row>
    <row r="85" ht="15.75" customHeight="1">
      <c r="A85" s="103">
        <v>1.1229537E7</v>
      </c>
      <c r="B85" s="84">
        <v>1.001825874E9</v>
      </c>
      <c r="C85" s="84" t="s">
        <v>1102</v>
      </c>
      <c r="D85" s="84">
        <v>26.0</v>
      </c>
      <c r="E85" s="84">
        <v>31.922</v>
      </c>
      <c r="F85" s="12" t="s">
        <v>31</v>
      </c>
      <c r="G85" s="29" t="s">
        <v>32</v>
      </c>
      <c r="H85" s="12" t="s">
        <v>265</v>
      </c>
      <c r="I85" s="28" t="s">
        <v>266</v>
      </c>
      <c r="J85" s="25" t="s">
        <v>35</v>
      </c>
      <c r="K85" s="12" t="s">
        <v>267</v>
      </c>
      <c r="L85" s="95" t="s">
        <v>94</v>
      </c>
      <c r="M85" s="12"/>
      <c r="N85" s="173">
        <v>6200.0</v>
      </c>
      <c r="O85" s="73">
        <f t="shared" si="12"/>
        <v>0</v>
      </c>
      <c r="P85" s="15"/>
      <c r="Q85" s="12"/>
      <c r="R85" s="12"/>
      <c r="S85" s="84" t="s">
        <v>165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22"/>
      <c r="AH85" s="22"/>
      <c r="AI85" s="22"/>
      <c r="AJ85" s="22"/>
      <c r="AK85" s="22"/>
      <c r="AL85" s="22"/>
      <c r="AM85" s="22"/>
      <c r="AN85" s="22"/>
      <c r="AO85" s="22"/>
      <c r="AP85" s="215"/>
    </row>
    <row r="86" ht="15.75" customHeight="1">
      <c r="A86" s="103">
        <v>1.1229645E7</v>
      </c>
      <c r="B86" s="84">
        <v>1.001825849E9</v>
      </c>
      <c r="C86" s="84" t="s">
        <v>1102</v>
      </c>
      <c r="D86" s="84">
        <v>26.0</v>
      </c>
      <c r="E86" s="93">
        <v>31.625</v>
      </c>
      <c r="F86" s="12" t="s">
        <v>31</v>
      </c>
      <c r="G86" s="29" t="s">
        <v>32</v>
      </c>
      <c r="H86" s="12" t="s">
        <v>265</v>
      </c>
      <c r="I86" s="28" t="s">
        <v>266</v>
      </c>
      <c r="J86" s="25" t="s">
        <v>35</v>
      </c>
      <c r="K86" s="12" t="s">
        <v>267</v>
      </c>
      <c r="L86" s="95" t="s">
        <v>94</v>
      </c>
      <c r="M86" s="12"/>
      <c r="N86" s="173">
        <v>6200.0</v>
      </c>
      <c r="O86" s="73">
        <f t="shared" si="12"/>
        <v>0</v>
      </c>
      <c r="P86" s="15"/>
      <c r="Q86" s="12"/>
      <c r="R86" s="12"/>
      <c r="S86" s="84" t="s">
        <v>165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22"/>
      <c r="AH86" s="22"/>
      <c r="AI86" s="22"/>
      <c r="AJ86" s="22"/>
      <c r="AK86" s="22"/>
      <c r="AL86" s="22"/>
      <c r="AM86" s="22"/>
      <c r="AN86" s="22"/>
      <c r="AO86" s="22"/>
      <c r="AP86" s="215"/>
    </row>
    <row r="87" ht="15.75" customHeight="1">
      <c r="A87" s="103">
        <v>1.1251332E7</v>
      </c>
      <c r="B87" s="84">
        <v>1.001850099E9</v>
      </c>
      <c r="C87" s="84" t="s">
        <v>1175</v>
      </c>
      <c r="D87" s="84">
        <v>26.0</v>
      </c>
      <c r="E87" s="84">
        <v>30.737</v>
      </c>
      <c r="F87" s="103" t="s">
        <v>43</v>
      </c>
      <c r="G87" s="85" t="s">
        <v>32</v>
      </c>
      <c r="H87" s="84" t="s">
        <v>992</v>
      </c>
      <c r="I87" s="85" t="s">
        <v>993</v>
      </c>
      <c r="J87" s="84" t="s">
        <v>925</v>
      </c>
      <c r="K87" s="84" t="s">
        <v>994</v>
      </c>
      <c r="L87" s="95" t="s">
        <v>59</v>
      </c>
      <c r="M87" s="12"/>
      <c r="N87" s="133">
        <v>5281.0</v>
      </c>
      <c r="O87" s="73">
        <f t="shared" si="12"/>
        <v>0</v>
      </c>
      <c r="P87" s="15"/>
      <c r="Q87" s="12"/>
      <c r="R87" s="12"/>
      <c r="S87" s="84" t="s">
        <v>165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22"/>
      <c r="AH87" s="22"/>
      <c r="AI87" s="22"/>
      <c r="AJ87" s="22"/>
      <c r="AK87" s="22"/>
      <c r="AL87" s="22"/>
      <c r="AM87" s="22"/>
      <c r="AN87" s="22"/>
      <c r="AO87" s="22"/>
      <c r="AP87" s="215"/>
    </row>
    <row r="88" ht="15.75" customHeight="1">
      <c r="A88" s="103">
        <v>1.1251334E7</v>
      </c>
      <c r="B88" s="84">
        <v>1.001850108E9</v>
      </c>
      <c r="C88" s="84" t="s">
        <v>1175</v>
      </c>
      <c r="D88" s="84">
        <v>8.0</v>
      </c>
      <c r="E88" s="84">
        <v>7.222</v>
      </c>
      <c r="F88" s="103" t="s">
        <v>43</v>
      </c>
      <c r="G88" s="85" t="s">
        <v>32</v>
      </c>
      <c r="H88" s="84" t="s">
        <v>2905</v>
      </c>
      <c r="I88" s="85" t="s">
        <v>993</v>
      </c>
      <c r="J88" s="84" t="s">
        <v>994</v>
      </c>
      <c r="K88" s="84" t="s">
        <v>925</v>
      </c>
      <c r="L88" s="95" t="s">
        <v>78</v>
      </c>
      <c r="M88" s="12"/>
      <c r="N88" s="133">
        <v>3520.0</v>
      </c>
      <c r="O88" s="73">
        <f t="shared" si="12"/>
        <v>0</v>
      </c>
      <c r="P88" s="15"/>
      <c r="Q88" s="12"/>
      <c r="R88" s="12"/>
      <c r="S88" s="84" t="s">
        <v>165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22"/>
      <c r="AH88" s="22"/>
      <c r="AI88" s="22"/>
      <c r="AJ88" s="22"/>
      <c r="AK88" s="22"/>
      <c r="AL88" s="22"/>
      <c r="AM88" s="22"/>
      <c r="AN88" s="22"/>
      <c r="AO88" s="22"/>
      <c r="AP88" s="215"/>
    </row>
    <row r="89" ht="15.75" customHeight="1">
      <c r="A89" s="103">
        <v>1.1241681E7</v>
      </c>
      <c r="B89" s="84">
        <v>1.001837352E9</v>
      </c>
      <c r="C89" s="84" t="s">
        <v>1163</v>
      </c>
      <c r="D89" s="84">
        <v>26.0</v>
      </c>
      <c r="E89" s="84">
        <v>33.43</v>
      </c>
      <c r="F89" s="29" t="s">
        <v>31</v>
      </c>
      <c r="G89" s="84" t="s">
        <v>32</v>
      </c>
      <c r="H89" s="12" t="s">
        <v>265</v>
      </c>
      <c r="I89" s="28" t="s">
        <v>266</v>
      </c>
      <c r="J89" s="25" t="s">
        <v>35</v>
      </c>
      <c r="K89" s="12" t="s">
        <v>267</v>
      </c>
      <c r="L89" s="28" t="s">
        <v>114</v>
      </c>
      <c r="M89" s="12"/>
      <c r="N89" s="88">
        <v>6677.0</v>
      </c>
      <c r="O89" s="73">
        <f t="shared" si="12"/>
        <v>0</v>
      </c>
      <c r="P89" s="98" t="s">
        <v>2906</v>
      </c>
      <c r="Q89" s="84"/>
      <c r="R89" s="12"/>
      <c r="S89" s="84" t="s">
        <v>1942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22"/>
      <c r="AH89" s="22"/>
      <c r="AI89" s="22"/>
      <c r="AJ89" s="22"/>
      <c r="AK89" s="22"/>
      <c r="AL89" s="22"/>
      <c r="AM89" s="22"/>
      <c r="AN89" s="22"/>
      <c r="AO89" s="22"/>
      <c r="AP89" s="215"/>
    </row>
    <row r="90" ht="15.75" customHeight="1">
      <c r="A90" s="103">
        <v>1.125123E7</v>
      </c>
      <c r="B90" s="84">
        <v>1.001849695E9</v>
      </c>
      <c r="C90" s="99">
        <v>45719.0</v>
      </c>
      <c r="D90" s="84">
        <v>26.0</v>
      </c>
      <c r="E90" s="84">
        <v>27.033</v>
      </c>
      <c r="F90" s="103" t="s">
        <v>43</v>
      </c>
      <c r="G90" s="85" t="s">
        <v>44</v>
      </c>
      <c r="H90" s="12" t="s">
        <v>45</v>
      </c>
      <c r="I90" s="12" t="s">
        <v>46</v>
      </c>
      <c r="J90" s="14" t="s">
        <v>35</v>
      </c>
      <c r="K90" s="14" t="s">
        <v>47</v>
      </c>
      <c r="L90" s="95" t="s">
        <v>110</v>
      </c>
      <c r="M90" s="85"/>
      <c r="N90" s="88">
        <v>2402.0</v>
      </c>
      <c r="O90" s="73">
        <f t="shared" si="12"/>
        <v>0</v>
      </c>
      <c r="P90" s="15"/>
      <c r="Q90" s="12"/>
      <c r="R90" s="12"/>
      <c r="S90" s="84" t="s">
        <v>165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22"/>
      <c r="AH90" s="22"/>
      <c r="AI90" s="22"/>
      <c r="AJ90" s="22"/>
      <c r="AK90" s="22"/>
      <c r="AL90" s="22"/>
      <c r="AM90" s="22"/>
      <c r="AN90" s="22"/>
      <c r="AO90" s="22"/>
      <c r="AP90" s="215"/>
    </row>
    <row r="91" ht="15.75" customHeight="1">
      <c r="A91" s="103">
        <v>1.1251231E7</v>
      </c>
      <c r="B91" s="84">
        <v>1.001849855E9</v>
      </c>
      <c r="C91" s="99">
        <v>45719.0</v>
      </c>
      <c r="D91" s="84">
        <v>1.0</v>
      </c>
      <c r="E91" s="84">
        <v>962.0</v>
      </c>
      <c r="F91" s="103" t="s">
        <v>43</v>
      </c>
      <c r="G91" s="85" t="s">
        <v>44</v>
      </c>
      <c r="H91" s="103" t="s">
        <v>2907</v>
      </c>
      <c r="I91" s="12" t="s">
        <v>46</v>
      </c>
      <c r="J91" s="84" t="s">
        <v>47</v>
      </c>
      <c r="K91" s="84" t="s">
        <v>35</v>
      </c>
      <c r="L91" s="98" t="s">
        <v>110</v>
      </c>
      <c r="M91" s="85"/>
      <c r="N91" s="133">
        <v>1601.0</v>
      </c>
      <c r="O91" s="73">
        <f t="shared" si="12"/>
        <v>0</v>
      </c>
      <c r="P91" s="15"/>
      <c r="Q91" s="12"/>
      <c r="R91" s="12"/>
      <c r="S91" s="84" t="s">
        <v>165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22"/>
      <c r="AH91" s="22"/>
      <c r="AI91" s="22"/>
      <c r="AJ91" s="22"/>
      <c r="AK91" s="22"/>
      <c r="AL91" s="22"/>
      <c r="AM91" s="22"/>
      <c r="AN91" s="22"/>
      <c r="AO91" s="22"/>
      <c r="AP91" s="215"/>
    </row>
    <row r="92" ht="15.75" customHeight="1">
      <c r="A92" s="103">
        <v>1.12593E7</v>
      </c>
      <c r="B92" s="84">
        <v>1.001859046E9</v>
      </c>
      <c r="C92" s="99">
        <v>45811.0</v>
      </c>
      <c r="D92" s="84">
        <v>26.0</v>
      </c>
      <c r="E92" s="84">
        <v>30.714</v>
      </c>
      <c r="F92" s="103" t="s">
        <v>43</v>
      </c>
      <c r="G92" s="85" t="s">
        <v>44</v>
      </c>
      <c r="H92" s="12" t="s">
        <v>45</v>
      </c>
      <c r="I92" s="12" t="s">
        <v>46</v>
      </c>
      <c r="J92" s="14" t="s">
        <v>35</v>
      </c>
      <c r="K92" s="14" t="s">
        <v>47</v>
      </c>
      <c r="L92" s="95" t="s">
        <v>110</v>
      </c>
      <c r="M92" s="85"/>
      <c r="N92" s="88">
        <v>2402.0</v>
      </c>
      <c r="O92" s="73">
        <f t="shared" si="12"/>
        <v>0</v>
      </c>
      <c r="P92" s="15"/>
      <c r="Q92" s="12"/>
      <c r="R92" s="12"/>
      <c r="S92" s="84" t="s">
        <v>165</v>
      </c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22"/>
      <c r="AH92" s="22"/>
      <c r="AI92" s="22"/>
      <c r="AJ92" s="22"/>
      <c r="AK92" s="22"/>
      <c r="AL92" s="22"/>
      <c r="AM92" s="22"/>
      <c r="AN92" s="22"/>
      <c r="AO92" s="22"/>
      <c r="AP92" s="215"/>
    </row>
    <row r="93" ht="15.75" customHeight="1">
      <c r="A93" s="103">
        <v>1.1259301E7</v>
      </c>
      <c r="B93" s="84">
        <v>1.001858993E9</v>
      </c>
      <c r="C93" s="99">
        <v>45811.0</v>
      </c>
      <c r="D93" s="84">
        <v>1.0</v>
      </c>
      <c r="E93" s="84">
        <v>962.0</v>
      </c>
      <c r="F93" s="103" t="s">
        <v>43</v>
      </c>
      <c r="G93" s="85" t="s">
        <v>44</v>
      </c>
      <c r="H93" s="103" t="s">
        <v>2908</v>
      </c>
      <c r="I93" s="12" t="s">
        <v>46</v>
      </c>
      <c r="J93" s="84" t="s">
        <v>47</v>
      </c>
      <c r="K93" s="84" t="s">
        <v>35</v>
      </c>
      <c r="L93" s="98" t="s">
        <v>110</v>
      </c>
      <c r="M93" s="85"/>
      <c r="N93" s="133">
        <v>1601.0</v>
      </c>
      <c r="O93" s="73">
        <f t="shared" si="12"/>
        <v>0</v>
      </c>
      <c r="P93" s="15"/>
      <c r="Q93" s="12"/>
      <c r="R93" s="12"/>
      <c r="S93" s="84" t="s">
        <v>165</v>
      </c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22"/>
      <c r="AH93" s="22"/>
      <c r="AI93" s="22"/>
      <c r="AJ93" s="22"/>
      <c r="AK93" s="22"/>
      <c r="AL93" s="22"/>
      <c r="AM93" s="22"/>
      <c r="AN93" s="22"/>
      <c r="AO93" s="22"/>
      <c r="AP93" s="215"/>
    </row>
    <row r="94" ht="15.75" customHeight="1">
      <c r="A94" s="103">
        <v>1.1254669E7</v>
      </c>
      <c r="B94" s="84">
        <v>1.001854597E9</v>
      </c>
      <c r="C94" s="84" t="s">
        <v>1175</v>
      </c>
      <c r="D94" s="84">
        <v>26.0</v>
      </c>
      <c r="E94" s="84">
        <v>31.625</v>
      </c>
      <c r="F94" s="29" t="s">
        <v>31</v>
      </c>
      <c r="G94" s="85" t="s">
        <v>74</v>
      </c>
      <c r="H94" s="12" t="s">
        <v>304</v>
      </c>
      <c r="I94" s="85" t="s">
        <v>305</v>
      </c>
      <c r="J94" s="12" t="s">
        <v>35</v>
      </c>
      <c r="K94" s="12" t="s">
        <v>306</v>
      </c>
      <c r="L94" s="28" t="s">
        <v>94</v>
      </c>
      <c r="M94" s="12"/>
      <c r="N94" s="133">
        <v>6500.0</v>
      </c>
      <c r="O94" s="73">
        <f t="shared" si="12"/>
        <v>0</v>
      </c>
      <c r="P94" s="15"/>
      <c r="Q94" s="12"/>
      <c r="R94" s="12"/>
      <c r="S94" s="84" t="s">
        <v>1942</v>
      </c>
      <c r="T94" s="12"/>
      <c r="U94" s="12"/>
      <c r="V94" s="12"/>
      <c r="W94" s="12"/>
      <c r="X94" s="112">
        <v>45660.333333333336</v>
      </c>
      <c r="Y94" s="12"/>
      <c r="Z94" s="12"/>
      <c r="AA94" s="12"/>
      <c r="AB94" s="12"/>
      <c r="AC94" s="12"/>
      <c r="AD94" s="12"/>
      <c r="AE94" s="12"/>
      <c r="AF94" s="12"/>
      <c r="AG94" s="22"/>
      <c r="AH94" s="22"/>
      <c r="AI94" s="22"/>
      <c r="AJ94" s="22"/>
      <c r="AK94" s="22"/>
      <c r="AL94" s="22"/>
      <c r="AM94" s="22"/>
      <c r="AN94" s="22"/>
      <c r="AO94" s="22"/>
      <c r="AP94" s="215"/>
    </row>
    <row r="95" ht="15.75" customHeight="1">
      <c r="A95" s="103">
        <v>1.1256144E7</v>
      </c>
      <c r="B95" s="103">
        <v>1.001854959E9</v>
      </c>
      <c r="C95" s="84" t="s">
        <v>922</v>
      </c>
      <c r="D95" s="84">
        <v>26.0</v>
      </c>
      <c r="E95" s="84">
        <v>31.625</v>
      </c>
      <c r="F95" s="12" t="s">
        <v>31</v>
      </c>
      <c r="G95" s="29" t="s">
        <v>74</v>
      </c>
      <c r="H95" s="12" t="s">
        <v>300</v>
      </c>
      <c r="I95" s="25" t="s">
        <v>301</v>
      </c>
      <c r="J95" s="25" t="s">
        <v>35</v>
      </c>
      <c r="K95" s="25" t="s">
        <v>302</v>
      </c>
      <c r="L95" s="25" t="s">
        <v>59</v>
      </c>
      <c r="M95" s="433"/>
      <c r="N95" s="88">
        <v>5200.0</v>
      </c>
      <c r="O95" s="73">
        <f t="shared" si="12"/>
        <v>0.6778846154</v>
      </c>
      <c r="P95" s="98">
        <v>3525.0</v>
      </c>
      <c r="Q95" s="84" t="s">
        <v>39</v>
      </c>
      <c r="R95" s="84"/>
      <c r="S95" s="84" t="s">
        <v>2909</v>
      </c>
      <c r="T95" s="12"/>
      <c r="U95" s="12"/>
      <c r="V95" s="12"/>
      <c r="W95" s="12"/>
      <c r="X95" s="99">
        <v>45719.0</v>
      </c>
      <c r="Y95" s="12"/>
      <c r="Z95" s="12"/>
      <c r="AA95" s="12"/>
      <c r="AB95" s="12"/>
      <c r="AC95" s="12"/>
      <c r="AD95" s="12"/>
      <c r="AE95" s="12"/>
      <c r="AF95" s="12"/>
      <c r="AG95" s="22"/>
      <c r="AH95" s="22"/>
      <c r="AI95" s="22"/>
      <c r="AJ95" s="22"/>
      <c r="AK95" s="22"/>
      <c r="AL95" s="22"/>
      <c r="AM95" s="22"/>
      <c r="AN95" s="22"/>
      <c r="AO95" s="22"/>
      <c r="AP95" s="215"/>
    </row>
    <row r="96" ht="15.75" customHeight="1">
      <c r="A96" s="103">
        <v>1.1256143E7</v>
      </c>
      <c r="B96" s="103">
        <v>1.001855103E9</v>
      </c>
      <c r="C96" s="84" t="s">
        <v>922</v>
      </c>
      <c r="D96" s="84">
        <v>26.0</v>
      </c>
      <c r="E96" s="84">
        <v>31.625</v>
      </c>
      <c r="F96" s="12" t="s">
        <v>31</v>
      </c>
      <c r="G96" s="29" t="s">
        <v>74</v>
      </c>
      <c r="H96" s="12" t="s">
        <v>300</v>
      </c>
      <c r="I96" s="25" t="s">
        <v>301</v>
      </c>
      <c r="J96" s="25" t="s">
        <v>35</v>
      </c>
      <c r="K96" s="25" t="s">
        <v>302</v>
      </c>
      <c r="L96" s="25" t="s">
        <v>59</v>
      </c>
      <c r="M96" s="85"/>
      <c r="N96" s="88">
        <v>5200.0</v>
      </c>
      <c r="O96" s="73">
        <f t="shared" si="12"/>
        <v>0</v>
      </c>
      <c r="P96" s="15"/>
      <c r="Q96" s="12"/>
      <c r="R96" s="12"/>
      <c r="S96" s="12"/>
      <c r="T96" s="12"/>
      <c r="U96" s="12"/>
      <c r="V96" s="12"/>
      <c r="W96" s="12"/>
      <c r="X96" s="99">
        <v>45719.0</v>
      </c>
      <c r="Y96" s="12"/>
      <c r="Z96" s="12"/>
      <c r="AA96" s="12"/>
      <c r="AB96" s="12"/>
      <c r="AC96" s="12"/>
      <c r="AD96" s="12"/>
      <c r="AE96" s="12"/>
      <c r="AF96" s="12"/>
      <c r="AG96" s="22"/>
      <c r="AH96" s="22"/>
      <c r="AI96" s="22"/>
      <c r="AJ96" s="22"/>
      <c r="AK96" s="22"/>
      <c r="AL96" s="22"/>
      <c r="AM96" s="22"/>
      <c r="AN96" s="22"/>
      <c r="AO96" s="22"/>
      <c r="AP96" s="215"/>
    </row>
    <row r="97" ht="15.75" customHeight="1">
      <c r="A97" s="103">
        <v>1.1258783E7</v>
      </c>
      <c r="B97" s="84">
        <v>1.001859225E9</v>
      </c>
      <c r="C97" s="99">
        <v>45841.0</v>
      </c>
      <c r="D97" s="84">
        <v>26.0</v>
      </c>
      <c r="E97" s="84">
        <v>32.111</v>
      </c>
      <c r="F97" s="29" t="s">
        <v>31</v>
      </c>
      <c r="G97" s="85" t="s">
        <v>74</v>
      </c>
      <c r="H97" s="12" t="s">
        <v>426</v>
      </c>
      <c r="I97" s="29" t="s">
        <v>427</v>
      </c>
      <c r="J97" s="25" t="s">
        <v>35</v>
      </c>
      <c r="K97" s="25" t="s">
        <v>428</v>
      </c>
      <c r="L97" s="28" t="s">
        <v>188</v>
      </c>
      <c r="M97" s="12"/>
      <c r="N97" s="133">
        <v>3124.0</v>
      </c>
      <c r="O97" s="73">
        <f t="shared" si="12"/>
        <v>0</v>
      </c>
      <c r="P97" s="15"/>
      <c r="Q97" s="12"/>
      <c r="R97" s="12"/>
      <c r="S97" s="84" t="s">
        <v>165</v>
      </c>
      <c r="T97" s="12"/>
      <c r="U97" s="12"/>
      <c r="V97" s="12"/>
      <c r="W97" s="12"/>
      <c r="X97" s="112">
        <v>45933.291666666664</v>
      </c>
      <c r="Y97" s="12"/>
      <c r="Z97" s="12"/>
      <c r="AA97" s="12"/>
      <c r="AB97" s="12"/>
      <c r="AC97" s="12"/>
      <c r="AD97" s="12"/>
      <c r="AE97" s="12"/>
      <c r="AF97" s="12"/>
      <c r="AG97" s="22"/>
      <c r="AH97" s="22"/>
      <c r="AI97" s="22"/>
      <c r="AJ97" s="22"/>
      <c r="AK97" s="22"/>
      <c r="AL97" s="22"/>
      <c r="AM97" s="22"/>
      <c r="AN97" s="22"/>
      <c r="AO97" s="22"/>
      <c r="AP97" s="215"/>
    </row>
    <row r="98" ht="15.75" customHeight="1">
      <c r="A98" s="103">
        <v>1.1259048E7</v>
      </c>
      <c r="B98" s="84">
        <v>1.001859254E9</v>
      </c>
      <c r="C98" s="99">
        <v>45841.0</v>
      </c>
      <c r="D98" s="84">
        <v>24.0</v>
      </c>
      <c r="E98" s="84">
        <v>28.304</v>
      </c>
      <c r="F98" s="29" t="s">
        <v>31</v>
      </c>
      <c r="G98" s="85" t="s">
        <v>74</v>
      </c>
      <c r="H98" s="12" t="s">
        <v>426</v>
      </c>
      <c r="I98" s="29" t="s">
        <v>427</v>
      </c>
      <c r="J98" s="25" t="s">
        <v>35</v>
      </c>
      <c r="K98" s="25" t="s">
        <v>428</v>
      </c>
      <c r="L98" s="28" t="s">
        <v>188</v>
      </c>
      <c r="M98" s="12"/>
      <c r="N98" s="133">
        <v>2900.0</v>
      </c>
      <c r="O98" s="73">
        <f t="shared" si="12"/>
        <v>0</v>
      </c>
      <c r="P98" s="15"/>
      <c r="Q98" s="12"/>
      <c r="R98" s="12"/>
      <c r="S98" s="84" t="s">
        <v>165</v>
      </c>
      <c r="T98" s="12"/>
      <c r="U98" s="12"/>
      <c r="V98" s="12"/>
      <c r="W98" s="12"/>
      <c r="X98" s="112">
        <v>45933.291666666664</v>
      </c>
      <c r="Y98" s="12"/>
      <c r="Z98" s="12"/>
      <c r="AA98" s="12"/>
      <c r="AB98" s="12"/>
      <c r="AC98" s="12"/>
      <c r="AD98" s="12"/>
      <c r="AE98" s="12"/>
      <c r="AF98" s="12"/>
      <c r="AG98" s="22"/>
      <c r="AH98" s="22"/>
      <c r="AI98" s="22"/>
      <c r="AJ98" s="22"/>
      <c r="AK98" s="22"/>
      <c r="AL98" s="22"/>
      <c r="AM98" s="22"/>
      <c r="AN98" s="22"/>
      <c r="AO98" s="22"/>
      <c r="AP98" s="215"/>
    </row>
    <row r="99" ht="15.75" customHeight="1">
      <c r="A99" s="103">
        <v>1.1273459E7</v>
      </c>
      <c r="B99" s="84">
        <v>1.001876712E9</v>
      </c>
      <c r="C99" s="99">
        <v>45872.0</v>
      </c>
      <c r="D99" s="84">
        <v>26.0</v>
      </c>
      <c r="E99" s="84">
        <v>32.553</v>
      </c>
      <c r="F99" s="103" t="s">
        <v>43</v>
      </c>
      <c r="G99" s="85" t="s">
        <v>44</v>
      </c>
      <c r="H99" s="84" t="s">
        <v>268</v>
      </c>
      <c r="I99" s="29" t="s">
        <v>397</v>
      </c>
      <c r="J99" s="84" t="s">
        <v>35</v>
      </c>
      <c r="K99" s="84" t="s">
        <v>270</v>
      </c>
      <c r="L99" s="95" t="s">
        <v>94</v>
      </c>
      <c r="M99" s="12"/>
      <c r="N99" s="133">
        <v>5880.0</v>
      </c>
      <c r="O99" s="73">
        <f t="shared" si="12"/>
        <v>0</v>
      </c>
      <c r="P99" s="15"/>
      <c r="Q99" s="12"/>
      <c r="R99" s="12"/>
      <c r="S99" s="84" t="s">
        <v>165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22"/>
      <c r="AH99" s="22"/>
      <c r="AI99" s="22"/>
      <c r="AJ99" s="22"/>
      <c r="AK99" s="22"/>
      <c r="AL99" s="22"/>
      <c r="AM99" s="22"/>
      <c r="AN99" s="22"/>
      <c r="AO99" s="22"/>
      <c r="AP99" s="215"/>
    </row>
    <row r="100" ht="15.75" customHeight="1">
      <c r="A100" s="103">
        <v>1.1273461E7</v>
      </c>
      <c r="B100" s="84">
        <v>1.001876669E9</v>
      </c>
      <c r="C100" s="99">
        <v>45872.0</v>
      </c>
      <c r="D100" s="84">
        <v>14.0</v>
      </c>
      <c r="E100" s="84">
        <v>15.911</v>
      </c>
      <c r="F100" s="103" t="s">
        <v>43</v>
      </c>
      <c r="G100" s="85" t="s">
        <v>44</v>
      </c>
      <c r="H100" s="12" t="s">
        <v>2910</v>
      </c>
      <c r="I100" s="29" t="s">
        <v>269</v>
      </c>
      <c r="J100" s="25" t="s">
        <v>270</v>
      </c>
      <c r="K100" s="25" t="s">
        <v>35</v>
      </c>
      <c r="L100" s="28" t="s">
        <v>188</v>
      </c>
      <c r="M100" s="12"/>
      <c r="N100" s="133">
        <v>3920.0</v>
      </c>
      <c r="O100" s="73">
        <f t="shared" si="12"/>
        <v>0</v>
      </c>
      <c r="P100" s="15"/>
      <c r="Q100" s="12"/>
      <c r="R100" s="12"/>
      <c r="S100" s="84" t="s">
        <v>165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15"/>
    </row>
    <row r="101" ht="15.75" customHeight="1">
      <c r="A101" s="103">
        <v>1.1273458E7</v>
      </c>
      <c r="B101" s="84">
        <v>1.00187684E9</v>
      </c>
      <c r="C101" s="99">
        <v>45872.0</v>
      </c>
      <c r="D101" s="84">
        <v>26.0</v>
      </c>
      <c r="E101" s="84">
        <v>32.553</v>
      </c>
      <c r="F101" s="103" t="s">
        <v>43</v>
      </c>
      <c r="G101" s="85" t="s">
        <v>44</v>
      </c>
      <c r="H101" s="84" t="s">
        <v>268</v>
      </c>
      <c r="I101" s="29" t="s">
        <v>397</v>
      </c>
      <c r="J101" s="84" t="s">
        <v>35</v>
      </c>
      <c r="K101" s="84" t="s">
        <v>270</v>
      </c>
      <c r="L101" s="95" t="s">
        <v>94</v>
      </c>
      <c r="M101" s="12"/>
      <c r="N101" s="133">
        <v>5880.0</v>
      </c>
      <c r="O101" s="73">
        <f t="shared" si="12"/>
        <v>0</v>
      </c>
      <c r="P101" s="15"/>
      <c r="Q101" s="12"/>
      <c r="R101" s="12"/>
      <c r="S101" s="84" t="s">
        <v>165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15"/>
    </row>
    <row r="102" ht="15.75" customHeight="1">
      <c r="A102" s="103">
        <v>1.127346E7</v>
      </c>
      <c r="B102" s="84">
        <v>1.001876619E9</v>
      </c>
      <c r="C102" s="99">
        <v>45872.0</v>
      </c>
      <c r="D102" s="84">
        <v>14.0</v>
      </c>
      <c r="E102" s="84">
        <v>15.911</v>
      </c>
      <c r="F102" s="103" t="s">
        <v>43</v>
      </c>
      <c r="G102" s="85" t="s">
        <v>44</v>
      </c>
      <c r="H102" s="12" t="s">
        <v>2911</v>
      </c>
      <c r="I102" s="29" t="s">
        <v>269</v>
      </c>
      <c r="J102" s="25" t="s">
        <v>270</v>
      </c>
      <c r="K102" s="25" t="s">
        <v>35</v>
      </c>
      <c r="L102" s="28" t="s">
        <v>188</v>
      </c>
      <c r="M102" s="12"/>
      <c r="N102" s="133">
        <v>3920.0</v>
      </c>
      <c r="O102" s="73">
        <f t="shared" si="12"/>
        <v>0</v>
      </c>
      <c r="P102" s="15"/>
      <c r="Q102" s="12"/>
      <c r="R102" s="12"/>
      <c r="S102" s="84" t="s">
        <v>165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15"/>
    </row>
    <row r="103" ht="15.75" customHeight="1">
      <c r="A103" s="103">
        <v>1.1273862E7</v>
      </c>
      <c r="B103" s="84">
        <v>1.001876603E9</v>
      </c>
      <c r="C103" s="99">
        <v>45964.0</v>
      </c>
      <c r="D103" s="84">
        <v>26.0</v>
      </c>
      <c r="E103" s="84">
        <v>32.553</v>
      </c>
      <c r="F103" s="103" t="s">
        <v>43</v>
      </c>
      <c r="G103" s="85" t="s">
        <v>44</v>
      </c>
      <c r="H103" s="84" t="s">
        <v>268</v>
      </c>
      <c r="I103" s="29" t="s">
        <v>397</v>
      </c>
      <c r="J103" s="84" t="s">
        <v>35</v>
      </c>
      <c r="K103" s="84" t="s">
        <v>270</v>
      </c>
      <c r="L103" s="95" t="s">
        <v>94</v>
      </c>
      <c r="M103" s="12"/>
      <c r="N103" s="133">
        <v>5880.0</v>
      </c>
      <c r="O103" s="73">
        <f t="shared" si="12"/>
        <v>0</v>
      </c>
      <c r="P103" s="15"/>
      <c r="Q103" s="12"/>
      <c r="R103" s="12"/>
      <c r="S103" s="84" t="s">
        <v>165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15"/>
    </row>
    <row r="104" ht="15.75" customHeight="1">
      <c r="A104" s="103">
        <v>1.1273872E7</v>
      </c>
      <c r="B104" s="84">
        <v>1.001876797E9</v>
      </c>
      <c r="C104" s="99">
        <v>45964.0</v>
      </c>
      <c r="D104" s="84">
        <v>14.0</v>
      </c>
      <c r="E104" s="84">
        <v>15.911</v>
      </c>
      <c r="F104" s="103" t="s">
        <v>43</v>
      </c>
      <c r="G104" s="85" t="s">
        <v>44</v>
      </c>
      <c r="H104" s="12" t="s">
        <v>2912</v>
      </c>
      <c r="I104" s="29" t="s">
        <v>269</v>
      </c>
      <c r="J104" s="25" t="s">
        <v>270</v>
      </c>
      <c r="K104" s="25" t="s">
        <v>35</v>
      </c>
      <c r="L104" s="28" t="s">
        <v>188</v>
      </c>
      <c r="M104" s="12"/>
      <c r="N104" s="133">
        <v>3920.0</v>
      </c>
      <c r="O104" s="73">
        <f t="shared" si="12"/>
        <v>0</v>
      </c>
      <c r="P104" s="15"/>
      <c r="Q104" s="12"/>
      <c r="R104" s="12"/>
      <c r="S104" s="84" t="s">
        <v>165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15"/>
    </row>
    <row r="105" ht="15.75" customHeight="1">
      <c r="A105" s="103">
        <v>1.1273857E7</v>
      </c>
      <c r="B105" s="84">
        <v>1.001876809E9</v>
      </c>
      <c r="C105" s="99">
        <v>45964.0</v>
      </c>
      <c r="D105" s="84">
        <v>26.0</v>
      </c>
      <c r="E105" s="84">
        <v>32.553</v>
      </c>
      <c r="F105" s="103" t="s">
        <v>43</v>
      </c>
      <c r="G105" s="85" t="s">
        <v>44</v>
      </c>
      <c r="H105" s="84" t="s">
        <v>268</v>
      </c>
      <c r="I105" s="29" t="s">
        <v>397</v>
      </c>
      <c r="J105" s="84" t="s">
        <v>35</v>
      </c>
      <c r="K105" s="84" t="s">
        <v>270</v>
      </c>
      <c r="L105" s="95" t="s">
        <v>94</v>
      </c>
      <c r="M105" s="12"/>
      <c r="N105" s="133">
        <v>5880.0</v>
      </c>
      <c r="O105" s="73">
        <f t="shared" si="12"/>
        <v>0</v>
      </c>
      <c r="P105" s="15"/>
      <c r="Q105" s="12"/>
      <c r="R105" s="12"/>
      <c r="S105" s="84" t="s">
        <v>165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15"/>
    </row>
    <row r="106" ht="15.75" customHeight="1">
      <c r="A106" s="103">
        <v>1.1273871E7</v>
      </c>
      <c r="B106" s="84">
        <v>1.001876738E9</v>
      </c>
      <c r="C106" s="99">
        <v>45964.0</v>
      </c>
      <c r="D106" s="84">
        <v>14.0</v>
      </c>
      <c r="E106" s="84">
        <v>15.911</v>
      </c>
      <c r="F106" s="103" t="s">
        <v>43</v>
      </c>
      <c r="G106" s="85" t="s">
        <v>44</v>
      </c>
      <c r="H106" s="12" t="s">
        <v>2913</v>
      </c>
      <c r="I106" s="29" t="s">
        <v>269</v>
      </c>
      <c r="J106" s="25" t="s">
        <v>270</v>
      </c>
      <c r="K106" s="25" t="s">
        <v>35</v>
      </c>
      <c r="L106" s="28" t="s">
        <v>188</v>
      </c>
      <c r="M106" s="12"/>
      <c r="N106" s="133">
        <v>3920.0</v>
      </c>
      <c r="O106" s="73">
        <f t="shared" si="12"/>
        <v>0</v>
      </c>
      <c r="P106" s="15"/>
      <c r="Q106" s="12"/>
      <c r="R106" s="12"/>
      <c r="S106" s="84" t="s">
        <v>165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15"/>
    </row>
    <row r="107" ht="15.75" customHeight="1">
      <c r="A107" s="103">
        <v>1.127381E7</v>
      </c>
      <c r="B107" s="84">
        <v>1.001876751E9</v>
      </c>
      <c r="C107" s="99">
        <v>45994.0</v>
      </c>
      <c r="D107" s="84">
        <v>26.0</v>
      </c>
      <c r="E107" s="84">
        <v>32.553</v>
      </c>
      <c r="F107" s="103" t="s">
        <v>43</v>
      </c>
      <c r="G107" s="85" t="s">
        <v>44</v>
      </c>
      <c r="H107" s="84" t="s">
        <v>268</v>
      </c>
      <c r="I107" s="29" t="s">
        <v>397</v>
      </c>
      <c r="J107" s="84" t="s">
        <v>35</v>
      </c>
      <c r="K107" s="84" t="s">
        <v>270</v>
      </c>
      <c r="L107" s="95" t="s">
        <v>94</v>
      </c>
      <c r="M107" s="12"/>
      <c r="N107" s="133">
        <v>5880.0</v>
      </c>
      <c r="O107" s="73">
        <f t="shared" si="12"/>
        <v>0</v>
      </c>
      <c r="P107" s="15"/>
      <c r="Q107" s="12"/>
      <c r="R107" s="12"/>
      <c r="S107" s="84" t="s">
        <v>165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15"/>
    </row>
    <row r="108" ht="15.75" customHeight="1">
      <c r="A108" s="103">
        <v>1.1273813E7</v>
      </c>
      <c r="B108" s="84">
        <v>1.001876548E9</v>
      </c>
      <c r="C108" s="99">
        <v>45994.0</v>
      </c>
      <c r="D108" s="84">
        <v>14.0</v>
      </c>
      <c r="E108" s="84">
        <v>15.911</v>
      </c>
      <c r="F108" s="103" t="s">
        <v>43</v>
      </c>
      <c r="G108" s="85" t="s">
        <v>44</v>
      </c>
      <c r="H108" s="12" t="s">
        <v>2914</v>
      </c>
      <c r="I108" s="29" t="s">
        <v>269</v>
      </c>
      <c r="J108" s="25" t="s">
        <v>270</v>
      </c>
      <c r="K108" s="25" t="s">
        <v>35</v>
      </c>
      <c r="L108" s="28" t="s">
        <v>188</v>
      </c>
      <c r="M108" s="12"/>
      <c r="N108" s="133">
        <v>3920.0</v>
      </c>
      <c r="O108" s="73">
        <f t="shared" si="12"/>
        <v>0</v>
      </c>
      <c r="P108" s="15"/>
      <c r="Q108" s="12"/>
      <c r="R108" s="12"/>
      <c r="S108" s="84" t="s">
        <v>165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15"/>
    </row>
    <row r="109" ht="15.75" customHeight="1">
      <c r="A109" s="103">
        <v>1.1273811E7</v>
      </c>
      <c r="B109" s="84">
        <v>1.001876638E9</v>
      </c>
      <c r="C109" s="99">
        <v>45994.0</v>
      </c>
      <c r="D109" s="84">
        <v>26.0</v>
      </c>
      <c r="E109" s="84">
        <v>32.553</v>
      </c>
      <c r="F109" s="103" t="s">
        <v>43</v>
      </c>
      <c r="G109" s="85" t="s">
        <v>44</v>
      </c>
      <c r="H109" s="84" t="s">
        <v>268</v>
      </c>
      <c r="I109" s="29" t="s">
        <v>397</v>
      </c>
      <c r="J109" s="84" t="s">
        <v>35</v>
      </c>
      <c r="K109" s="84" t="s">
        <v>270</v>
      </c>
      <c r="L109" s="95" t="s">
        <v>94</v>
      </c>
      <c r="M109" s="12"/>
      <c r="N109" s="133">
        <v>5880.0</v>
      </c>
      <c r="O109" s="73">
        <f t="shared" si="12"/>
        <v>0</v>
      </c>
      <c r="P109" s="15"/>
      <c r="Q109" s="12"/>
      <c r="R109" s="12"/>
      <c r="S109" s="84" t="s">
        <v>165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15"/>
    </row>
    <row r="110" ht="15.75" customHeight="1">
      <c r="A110" s="103">
        <v>1.1273812E7</v>
      </c>
      <c r="B110" s="84">
        <v>1.001876585E9</v>
      </c>
      <c r="C110" s="99">
        <v>45994.0</v>
      </c>
      <c r="D110" s="84">
        <v>14.0</v>
      </c>
      <c r="E110" s="84">
        <v>15.911</v>
      </c>
      <c r="F110" s="103" t="s">
        <v>43</v>
      </c>
      <c r="G110" s="85" t="s">
        <v>44</v>
      </c>
      <c r="H110" s="12" t="s">
        <v>2915</v>
      </c>
      <c r="I110" s="29" t="s">
        <v>269</v>
      </c>
      <c r="J110" s="25" t="s">
        <v>270</v>
      </c>
      <c r="K110" s="25" t="s">
        <v>35</v>
      </c>
      <c r="L110" s="28" t="s">
        <v>188</v>
      </c>
      <c r="M110" s="12"/>
      <c r="N110" s="133">
        <v>3920.0</v>
      </c>
      <c r="O110" s="73">
        <f t="shared" si="12"/>
        <v>0</v>
      </c>
      <c r="P110" s="15"/>
      <c r="Q110" s="12"/>
      <c r="R110" s="12"/>
      <c r="S110" s="84" t="s">
        <v>165</v>
      </c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15"/>
    </row>
    <row r="111" ht="15.75" customHeight="1">
      <c r="A111" s="103">
        <v>1.1274233E7</v>
      </c>
      <c r="B111" s="84">
        <v>1.001877631E9</v>
      </c>
      <c r="C111" s="99">
        <v>45841.0</v>
      </c>
      <c r="D111" s="84">
        <v>26.0</v>
      </c>
      <c r="E111" s="84">
        <v>31.625</v>
      </c>
      <c r="F111" s="29" t="s">
        <v>31</v>
      </c>
      <c r="G111" s="84" t="s">
        <v>32</v>
      </c>
      <c r="H111" s="12" t="s">
        <v>265</v>
      </c>
      <c r="I111" s="28" t="s">
        <v>266</v>
      </c>
      <c r="J111" s="25" t="s">
        <v>35</v>
      </c>
      <c r="K111" s="12" t="s">
        <v>267</v>
      </c>
      <c r="L111" s="28" t="s">
        <v>114</v>
      </c>
      <c r="M111" s="409" t="s">
        <v>1187</v>
      </c>
      <c r="N111" s="133">
        <v>6200.0</v>
      </c>
      <c r="O111" s="73">
        <f t="shared" si="12"/>
        <v>0.7479032258</v>
      </c>
      <c r="P111" s="98">
        <v>4637.0</v>
      </c>
      <c r="Q111" s="84" t="s">
        <v>39</v>
      </c>
      <c r="R111" s="84">
        <v>1542649.0</v>
      </c>
      <c r="S111" s="84" t="s">
        <v>1942</v>
      </c>
      <c r="T111" s="90">
        <v>6356319.0</v>
      </c>
      <c r="U111" s="112">
        <v>45841.76527777778</v>
      </c>
      <c r="V111" s="12"/>
      <c r="W111" s="12"/>
      <c r="X111" s="84" t="s">
        <v>127</v>
      </c>
      <c r="Y111" s="12"/>
      <c r="Z111" s="12"/>
      <c r="AA111" s="12"/>
      <c r="AB111" s="12"/>
      <c r="AC111" s="12"/>
      <c r="AD111" s="12"/>
      <c r="AE111" s="12"/>
      <c r="AF111" s="1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15"/>
    </row>
    <row r="112" ht="15.75" customHeight="1">
      <c r="A112" s="103">
        <v>1.1272921E7</v>
      </c>
      <c r="B112" s="84">
        <v>1.001876371E9</v>
      </c>
      <c r="C112" s="99">
        <v>45933.0</v>
      </c>
      <c r="D112" s="84">
        <v>26.0</v>
      </c>
      <c r="E112" s="84">
        <v>31.625</v>
      </c>
      <c r="F112" s="12" t="s">
        <v>31</v>
      </c>
      <c r="G112" s="85" t="s">
        <v>74</v>
      </c>
      <c r="H112" s="12" t="s">
        <v>304</v>
      </c>
      <c r="I112" s="85" t="s">
        <v>305</v>
      </c>
      <c r="J112" s="12" t="s">
        <v>35</v>
      </c>
      <c r="K112" s="12" t="s">
        <v>306</v>
      </c>
      <c r="L112" s="28" t="s">
        <v>94</v>
      </c>
      <c r="M112" s="84"/>
      <c r="N112" s="133">
        <v>6500.0</v>
      </c>
      <c r="O112" s="73">
        <f t="shared" si="12"/>
        <v>0</v>
      </c>
      <c r="P112" s="98"/>
      <c r="Q112" s="12"/>
      <c r="R112" s="12"/>
      <c r="S112" s="84" t="s">
        <v>1942</v>
      </c>
      <c r="T112" s="12"/>
      <c r="U112" s="12"/>
      <c r="V112" s="12"/>
      <c r="W112" s="12"/>
      <c r="X112" s="112">
        <v>45994.041666666664</v>
      </c>
      <c r="Y112" s="12"/>
      <c r="Z112" s="12"/>
      <c r="AA112" s="12"/>
      <c r="AB112" s="12"/>
      <c r="AC112" s="12"/>
      <c r="AD112" s="12"/>
      <c r="AE112" s="12"/>
      <c r="AF112" s="1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15"/>
    </row>
    <row r="113" ht="15.75" customHeight="1">
      <c r="A113" s="103">
        <v>1.1273113E7</v>
      </c>
      <c r="B113" s="84">
        <v>1.001876364E9</v>
      </c>
      <c r="C113" s="99">
        <v>45933.0</v>
      </c>
      <c r="D113" s="84">
        <v>26.0</v>
      </c>
      <c r="E113" s="84">
        <v>31.625</v>
      </c>
      <c r="F113" s="12" t="s">
        <v>31</v>
      </c>
      <c r="G113" s="85" t="s">
        <v>74</v>
      </c>
      <c r="H113" s="12" t="s">
        <v>304</v>
      </c>
      <c r="I113" s="85" t="s">
        <v>305</v>
      </c>
      <c r="J113" s="12" t="s">
        <v>35</v>
      </c>
      <c r="K113" s="12" t="s">
        <v>306</v>
      </c>
      <c r="L113" s="28" t="s">
        <v>94</v>
      </c>
      <c r="M113" s="84"/>
      <c r="N113" s="133">
        <v>6500.0</v>
      </c>
      <c r="O113" s="73">
        <f t="shared" si="12"/>
        <v>0</v>
      </c>
      <c r="P113" s="15"/>
      <c r="Q113" s="12"/>
      <c r="R113" s="12"/>
      <c r="S113" s="84" t="s">
        <v>1942</v>
      </c>
      <c r="T113" s="12"/>
      <c r="U113" s="12"/>
      <c r="V113" s="12"/>
      <c r="W113" s="12"/>
      <c r="X113" s="112">
        <v>45994.208333333336</v>
      </c>
      <c r="Y113" s="12"/>
      <c r="Z113" s="12"/>
      <c r="AA113" s="12"/>
      <c r="AB113" s="12"/>
      <c r="AC113" s="12"/>
      <c r="AD113" s="12"/>
      <c r="AE113" s="12"/>
      <c r="AF113" s="1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15"/>
    </row>
    <row r="114" ht="15.75" customHeight="1">
      <c r="A114" s="103">
        <v>1.1292395E7</v>
      </c>
      <c r="B114" s="84">
        <v>1.001897186E9</v>
      </c>
      <c r="C114" s="84" t="s">
        <v>1269</v>
      </c>
      <c r="D114" s="84">
        <v>26.0</v>
      </c>
      <c r="E114" s="84">
        <v>32.553</v>
      </c>
      <c r="F114" s="38" t="s">
        <v>43</v>
      </c>
      <c r="G114" s="29" t="s">
        <v>32</v>
      </c>
      <c r="H114" s="29" t="s">
        <v>111</v>
      </c>
      <c r="I114" s="25" t="s">
        <v>112</v>
      </c>
      <c r="J114" s="25" t="s">
        <v>35</v>
      </c>
      <c r="K114" s="29" t="s">
        <v>113</v>
      </c>
      <c r="L114" s="25" t="s">
        <v>114</v>
      </c>
      <c r="M114" s="84"/>
      <c r="N114" s="133">
        <v>5448.0</v>
      </c>
      <c r="O114" s="73">
        <f t="shared" si="12"/>
        <v>0</v>
      </c>
      <c r="P114" s="98"/>
      <c r="Q114" s="12"/>
      <c r="R114" s="12"/>
      <c r="S114" s="84" t="s">
        <v>165</v>
      </c>
      <c r="T114" s="12"/>
      <c r="U114" s="12"/>
      <c r="V114" s="12"/>
      <c r="W114" s="12"/>
      <c r="X114" s="84" t="s">
        <v>127</v>
      </c>
      <c r="Y114" s="12"/>
      <c r="Z114" s="12"/>
      <c r="AA114" s="12"/>
      <c r="AB114" s="12"/>
      <c r="AC114" s="12"/>
      <c r="AD114" s="12"/>
      <c r="AE114" s="12"/>
      <c r="AF114" s="1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15"/>
    </row>
    <row r="115" ht="15.75" customHeight="1">
      <c r="A115" s="103">
        <v>1.1292396E7</v>
      </c>
      <c r="B115" s="84">
        <v>1.001897202E9</v>
      </c>
      <c r="C115" s="84" t="s">
        <v>1269</v>
      </c>
      <c r="D115" s="84">
        <v>14.0</v>
      </c>
      <c r="E115" s="84">
        <v>15.911</v>
      </c>
      <c r="F115" s="38" t="s">
        <v>43</v>
      </c>
      <c r="G115" s="29" t="s">
        <v>32</v>
      </c>
      <c r="H115" s="29" t="s">
        <v>2916</v>
      </c>
      <c r="I115" s="25" t="s">
        <v>112</v>
      </c>
      <c r="J115" s="25" t="s">
        <v>113</v>
      </c>
      <c r="K115" s="29" t="s">
        <v>35</v>
      </c>
      <c r="L115" s="25" t="s">
        <v>43</v>
      </c>
      <c r="M115" s="84"/>
      <c r="N115" s="133">
        <v>3632.0</v>
      </c>
      <c r="O115" s="73">
        <f t="shared" si="12"/>
        <v>0</v>
      </c>
      <c r="P115" s="98"/>
      <c r="Q115" s="12"/>
      <c r="R115" s="12"/>
      <c r="S115" s="84" t="s">
        <v>165</v>
      </c>
      <c r="T115" s="12"/>
      <c r="U115" s="84"/>
      <c r="V115" s="12"/>
      <c r="W115" s="12"/>
      <c r="X115" s="84" t="s">
        <v>127</v>
      </c>
      <c r="Y115" s="12"/>
      <c r="Z115" s="12"/>
      <c r="AA115" s="12"/>
      <c r="AB115" s="12"/>
      <c r="AC115" s="12"/>
      <c r="AD115" s="12"/>
      <c r="AE115" s="12"/>
      <c r="AF115" s="1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15"/>
    </row>
    <row r="116" ht="15.75" customHeight="1">
      <c r="A116" s="103">
        <v>1.1300632E7</v>
      </c>
      <c r="B116" s="84">
        <v>1.001907862E9</v>
      </c>
      <c r="C116" s="84" t="s">
        <v>1269</v>
      </c>
      <c r="D116" s="84">
        <v>26.0</v>
      </c>
      <c r="E116" s="26">
        <v>31625.0</v>
      </c>
      <c r="F116" s="12" t="s">
        <v>31</v>
      </c>
      <c r="G116" s="85" t="s">
        <v>74</v>
      </c>
      <c r="H116" s="84" t="s">
        <v>506</v>
      </c>
      <c r="I116" s="85" t="s">
        <v>1997</v>
      </c>
      <c r="J116" s="25" t="s">
        <v>35</v>
      </c>
      <c r="K116" s="84" t="s">
        <v>507</v>
      </c>
      <c r="L116" s="15"/>
      <c r="M116" s="12"/>
      <c r="N116" s="133">
        <v>5317.0</v>
      </c>
      <c r="O116" s="73">
        <f t="shared" si="12"/>
        <v>0</v>
      </c>
      <c r="P116" s="98"/>
      <c r="Q116" s="12"/>
      <c r="R116" s="12"/>
      <c r="S116" s="84" t="s">
        <v>165</v>
      </c>
      <c r="T116" s="12"/>
      <c r="U116" s="12"/>
      <c r="V116" s="12"/>
      <c r="W116" s="12"/>
      <c r="X116" s="84" t="s">
        <v>2917</v>
      </c>
      <c r="Y116" s="12"/>
      <c r="Z116" s="12"/>
      <c r="AA116" s="12"/>
      <c r="AB116" s="12"/>
      <c r="AC116" s="12"/>
      <c r="AD116" s="12"/>
      <c r="AE116" s="12"/>
      <c r="AF116" s="1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15"/>
    </row>
    <row r="117" ht="15.75" customHeight="1">
      <c r="A117" s="103">
        <v>1.1304756E7</v>
      </c>
      <c r="B117" s="84">
        <v>1.001910536E9</v>
      </c>
      <c r="C117" s="84" t="s">
        <v>2918</v>
      </c>
      <c r="D117" s="84">
        <v>26.0</v>
      </c>
      <c r="E117" s="84">
        <v>32.553</v>
      </c>
      <c r="F117" s="38" t="s">
        <v>43</v>
      </c>
      <c r="G117" s="29" t="s">
        <v>32</v>
      </c>
      <c r="H117" s="29" t="s">
        <v>111</v>
      </c>
      <c r="I117" s="25" t="s">
        <v>112</v>
      </c>
      <c r="J117" s="25" t="s">
        <v>35</v>
      </c>
      <c r="K117" s="29" t="s">
        <v>113</v>
      </c>
      <c r="L117" s="25" t="s">
        <v>114</v>
      </c>
      <c r="M117" s="84"/>
      <c r="N117" s="133">
        <v>5448.0</v>
      </c>
      <c r="O117" s="73">
        <f t="shared" si="12"/>
        <v>0</v>
      </c>
      <c r="P117" s="15"/>
      <c r="Q117" s="12"/>
      <c r="R117" s="12"/>
      <c r="S117" s="84" t="s">
        <v>165</v>
      </c>
      <c r="T117" s="12"/>
      <c r="U117" s="12"/>
      <c r="V117" s="12"/>
      <c r="W117" s="12"/>
      <c r="X117" s="84" t="s">
        <v>127</v>
      </c>
      <c r="Y117" s="12"/>
      <c r="Z117" s="12"/>
      <c r="AA117" s="12"/>
      <c r="AB117" s="12"/>
      <c r="AC117" s="12"/>
      <c r="AD117" s="12"/>
      <c r="AE117" s="12"/>
      <c r="AF117" s="1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15"/>
    </row>
    <row r="118" ht="15.75" customHeight="1">
      <c r="A118" s="103">
        <v>1.1304757E7</v>
      </c>
      <c r="B118" s="84">
        <v>1.001910649E9</v>
      </c>
      <c r="C118" s="84" t="s">
        <v>2918</v>
      </c>
      <c r="D118" s="84">
        <v>14.0</v>
      </c>
      <c r="E118" s="84">
        <v>15.511</v>
      </c>
      <c r="F118" s="38" t="s">
        <v>43</v>
      </c>
      <c r="G118" s="29" t="s">
        <v>32</v>
      </c>
      <c r="H118" s="85" t="s">
        <v>2919</v>
      </c>
      <c r="I118" s="25" t="s">
        <v>112</v>
      </c>
      <c r="J118" s="25" t="s">
        <v>113</v>
      </c>
      <c r="K118" s="29" t="s">
        <v>35</v>
      </c>
      <c r="L118" s="25" t="s">
        <v>43</v>
      </c>
      <c r="M118" s="84"/>
      <c r="N118" s="133">
        <v>3632.0</v>
      </c>
      <c r="O118" s="73">
        <f t="shared" si="12"/>
        <v>0</v>
      </c>
      <c r="P118" s="98"/>
      <c r="Q118" s="12"/>
      <c r="R118" s="12"/>
      <c r="S118" s="84" t="s">
        <v>165</v>
      </c>
      <c r="T118" s="12"/>
      <c r="U118" s="12"/>
      <c r="V118" s="12"/>
      <c r="W118" s="12"/>
      <c r="X118" s="84" t="s">
        <v>127</v>
      </c>
      <c r="Y118" s="12"/>
      <c r="Z118" s="12"/>
      <c r="AA118" s="12"/>
      <c r="AB118" s="12"/>
      <c r="AC118" s="12"/>
      <c r="AD118" s="12"/>
      <c r="AE118" s="12"/>
      <c r="AF118" s="1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15"/>
    </row>
    <row r="119" ht="15.75" customHeight="1">
      <c r="A119" s="103">
        <v>1.1304754E7</v>
      </c>
      <c r="B119" s="84">
        <v>1.001910653E9</v>
      </c>
      <c r="C119" s="84" t="s">
        <v>2918</v>
      </c>
      <c r="D119" s="84">
        <v>26.0</v>
      </c>
      <c r="E119" s="84">
        <v>32.0</v>
      </c>
      <c r="F119" s="85" t="s">
        <v>43</v>
      </c>
      <c r="G119" s="84" t="s">
        <v>32</v>
      </c>
      <c r="H119" s="29" t="s">
        <v>124</v>
      </c>
      <c r="I119" s="29" t="s">
        <v>125</v>
      </c>
      <c r="J119" s="25" t="s">
        <v>35</v>
      </c>
      <c r="K119" s="39" t="s">
        <v>126</v>
      </c>
      <c r="L119" s="28" t="s">
        <v>114</v>
      </c>
      <c r="M119" s="88"/>
      <c r="N119" s="133">
        <v>5972.4</v>
      </c>
      <c r="O119" s="73">
        <f t="shared" si="12"/>
        <v>0</v>
      </c>
      <c r="P119" s="15"/>
      <c r="Q119" s="12"/>
      <c r="R119" s="12"/>
      <c r="S119" s="84" t="s">
        <v>165</v>
      </c>
      <c r="T119" s="12"/>
      <c r="U119" s="12"/>
      <c r="V119" s="12"/>
      <c r="W119" s="12"/>
      <c r="X119" s="84" t="s">
        <v>127</v>
      </c>
      <c r="Y119" s="12"/>
      <c r="Z119" s="12"/>
      <c r="AA119" s="12"/>
      <c r="AB119" s="12"/>
      <c r="AC119" s="12"/>
      <c r="AD119" s="12"/>
      <c r="AE119" s="12"/>
      <c r="AF119" s="1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15"/>
    </row>
    <row r="120" ht="15.75" customHeight="1">
      <c r="A120" s="103">
        <v>1.1304755E7</v>
      </c>
      <c r="B120" s="84">
        <v>1.001910653E9</v>
      </c>
      <c r="C120" s="84" t="s">
        <v>2918</v>
      </c>
      <c r="D120" s="84">
        <v>14.0</v>
      </c>
      <c r="E120" s="84">
        <v>15.911</v>
      </c>
      <c r="F120" s="103" t="s">
        <v>43</v>
      </c>
      <c r="G120" s="84" t="s">
        <v>32</v>
      </c>
      <c r="H120" s="84" t="s">
        <v>2920</v>
      </c>
      <c r="I120" s="84" t="s">
        <v>125</v>
      </c>
      <c r="J120" s="25" t="s">
        <v>35</v>
      </c>
      <c r="K120" s="39" t="s">
        <v>126</v>
      </c>
      <c r="L120" s="98" t="s">
        <v>114</v>
      </c>
      <c r="M120" s="12"/>
      <c r="N120" s="133">
        <v>3981.6</v>
      </c>
      <c r="O120" s="84" t="s">
        <v>2904</v>
      </c>
      <c r="P120" s="15"/>
      <c r="Q120" s="12"/>
      <c r="R120" s="12"/>
      <c r="S120" s="84" t="s">
        <v>165</v>
      </c>
      <c r="T120" s="12"/>
      <c r="U120" s="12"/>
      <c r="V120" s="12"/>
      <c r="W120" s="12"/>
      <c r="X120" s="84" t="s">
        <v>127</v>
      </c>
      <c r="Y120" s="12"/>
      <c r="Z120" s="12"/>
      <c r="AA120" s="12"/>
      <c r="AB120" s="12"/>
      <c r="AC120" s="12"/>
      <c r="AD120" s="12"/>
      <c r="AE120" s="12"/>
      <c r="AF120" s="1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15"/>
    </row>
    <row r="121" ht="15.75" customHeight="1">
      <c r="A121" s="103">
        <v>1.1304915E7</v>
      </c>
      <c r="B121" s="84">
        <v>1.001910237E9</v>
      </c>
      <c r="C121" s="84" t="s">
        <v>1331</v>
      </c>
      <c r="D121" s="84">
        <v>28.0</v>
      </c>
      <c r="E121" s="84">
        <v>34.058</v>
      </c>
      <c r="F121" s="29" t="s">
        <v>31</v>
      </c>
      <c r="G121" s="84" t="s">
        <v>32</v>
      </c>
      <c r="H121" s="29" t="s">
        <v>124</v>
      </c>
      <c r="I121" s="29" t="s">
        <v>125</v>
      </c>
      <c r="J121" s="25" t="s">
        <v>35</v>
      </c>
      <c r="K121" s="39" t="s">
        <v>126</v>
      </c>
      <c r="L121" s="98" t="s">
        <v>114</v>
      </c>
      <c r="M121" s="12"/>
      <c r="N121" s="133">
        <v>5782.0</v>
      </c>
      <c r="O121" s="73">
        <f t="shared" ref="O121:O139" si="13">IFERROR(P121/N121,0)</f>
        <v>0</v>
      </c>
      <c r="P121" s="15"/>
      <c r="Q121" s="12"/>
      <c r="R121" s="12"/>
      <c r="S121" s="84" t="s">
        <v>165</v>
      </c>
      <c r="T121" s="12"/>
      <c r="U121" s="12"/>
      <c r="V121" s="12"/>
      <c r="W121" s="12"/>
      <c r="X121" s="84" t="s">
        <v>127</v>
      </c>
      <c r="Y121" s="12"/>
      <c r="Z121" s="12"/>
      <c r="AA121" s="12"/>
      <c r="AB121" s="12"/>
      <c r="AC121" s="12"/>
      <c r="AD121" s="12"/>
      <c r="AE121" s="12"/>
      <c r="AF121" s="1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15"/>
    </row>
    <row r="122" ht="15.75" customHeight="1">
      <c r="A122" s="103">
        <v>1.1305845E7</v>
      </c>
      <c r="B122" s="84">
        <v>1.001912699E9</v>
      </c>
      <c r="C122" s="84" t="s">
        <v>1331</v>
      </c>
      <c r="D122" s="84">
        <v>28.0</v>
      </c>
      <c r="E122" s="84">
        <v>32.753</v>
      </c>
      <c r="F122" s="29" t="s">
        <v>31</v>
      </c>
      <c r="G122" s="85" t="s">
        <v>44</v>
      </c>
      <c r="H122" s="84" t="s">
        <v>2921</v>
      </c>
      <c r="I122" s="39" t="s">
        <v>137</v>
      </c>
      <c r="J122" s="84" t="s">
        <v>35</v>
      </c>
      <c r="K122" s="84" t="s">
        <v>138</v>
      </c>
      <c r="L122" s="98" t="s">
        <v>94</v>
      </c>
      <c r="M122" s="12"/>
      <c r="N122" s="133">
        <v>5760.0</v>
      </c>
      <c r="O122" s="73">
        <f t="shared" si="13"/>
        <v>0</v>
      </c>
      <c r="P122" s="15"/>
      <c r="Q122" s="12"/>
      <c r="R122" s="12"/>
      <c r="S122" s="84" t="s">
        <v>165</v>
      </c>
      <c r="T122" s="12"/>
      <c r="U122" s="12"/>
      <c r="V122" s="12"/>
      <c r="W122" s="12"/>
      <c r="X122" s="84" t="s">
        <v>127</v>
      </c>
      <c r="Y122" s="12"/>
      <c r="Z122" s="12"/>
      <c r="AA122" s="12"/>
      <c r="AB122" s="12"/>
      <c r="AC122" s="12"/>
      <c r="AD122" s="12"/>
      <c r="AE122" s="12"/>
      <c r="AF122" s="1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15"/>
    </row>
    <row r="123" ht="15.75" customHeight="1">
      <c r="A123" s="103">
        <v>1.1308983E7</v>
      </c>
      <c r="B123" s="84">
        <v>1.001916887E9</v>
      </c>
      <c r="C123" s="84" t="s">
        <v>1337</v>
      </c>
      <c r="D123" s="84">
        <v>26.0</v>
      </c>
      <c r="E123" s="84">
        <v>31.489</v>
      </c>
      <c r="F123" s="12" t="s">
        <v>31</v>
      </c>
      <c r="G123" s="29" t="s">
        <v>44</v>
      </c>
      <c r="H123" s="29" t="s">
        <v>104</v>
      </c>
      <c r="I123" s="29" t="s">
        <v>105</v>
      </c>
      <c r="J123" s="25" t="s">
        <v>35</v>
      </c>
      <c r="K123" s="39" t="s">
        <v>106</v>
      </c>
      <c r="L123" s="28" t="s">
        <v>59</v>
      </c>
      <c r="M123" s="12"/>
      <c r="N123" s="133">
        <v>5337.0</v>
      </c>
      <c r="O123" s="73">
        <f t="shared" si="13"/>
        <v>0</v>
      </c>
      <c r="P123" s="15"/>
      <c r="Q123" s="12"/>
      <c r="R123" s="12"/>
      <c r="S123" s="84" t="s">
        <v>165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15"/>
    </row>
    <row r="124" ht="15.75" customHeight="1">
      <c r="A124" s="103">
        <v>1.1292005E7</v>
      </c>
      <c r="B124" s="84">
        <v>1.001897018E9</v>
      </c>
      <c r="C124" s="84" t="s">
        <v>1291</v>
      </c>
      <c r="D124" s="84">
        <v>26.0</v>
      </c>
      <c r="E124" s="84">
        <v>31.625</v>
      </c>
      <c r="F124" s="12" t="s">
        <v>31</v>
      </c>
      <c r="G124" s="85" t="s">
        <v>44</v>
      </c>
      <c r="H124" s="84" t="s">
        <v>268</v>
      </c>
      <c r="I124" s="29" t="s">
        <v>397</v>
      </c>
      <c r="J124" s="84" t="s">
        <v>35</v>
      </c>
      <c r="K124" s="84" t="s">
        <v>270</v>
      </c>
      <c r="L124" s="95" t="s">
        <v>94</v>
      </c>
      <c r="M124" s="238" t="s">
        <v>1017</v>
      </c>
      <c r="N124" s="133">
        <v>6410.0</v>
      </c>
      <c r="O124" s="73">
        <f t="shared" si="13"/>
        <v>0.6630265211</v>
      </c>
      <c r="P124" s="98">
        <v>4250.0</v>
      </c>
      <c r="Q124" s="84" t="s">
        <v>39</v>
      </c>
      <c r="R124" s="12"/>
      <c r="S124" s="84" t="s">
        <v>165</v>
      </c>
      <c r="T124" s="9"/>
      <c r="U124" s="12"/>
      <c r="V124" s="12"/>
      <c r="W124" s="12"/>
      <c r="X124" s="84" t="s">
        <v>127</v>
      </c>
      <c r="Y124" s="12"/>
      <c r="Z124" s="12"/>
      <c r="AA124" s="12"/>
      <c r="AB124" s="12"/>
      <c r="AC124" s="12"/>
      <c r="AD124" s="12"/>
      <c r="AE124" s="12"/>
      <c r="AF124" s="1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15"/>
    </row>
    <row r="125" ht="15.75" customHeight="1">
      <c r="A125" s="103">
        <v>1.1308742E7</v>
      </c>
      <c r="B125" s="84">
        <v>1.001915965E9</v>
      </c>
      <c r="C125" s="84" t="s">
        <v>1291</v>
      </c>
      <c r="D125" s="84">
        <v>27.0</v>
      </c>
      <c r="E125" s="84">
        <v>31.647</v>
      </c>
      <c r="F125" s="38" t="s">
        <v>43</v>
      </c>
      <c r="G125" s="29" t="s">
        <v>32</v>
      </c>
      <c r="H125" s="84" t="s">
        <v>1408</v>
      </c>
      <c r="I125" s="85" t="s">
        <v>1409</v>
      </c>
      <c r="J125" s="93" t="s">
        <v>35</v>
      </c>
      <c r="K125" s="93" t="s">
        <v>1410</v>
      </c>
      <c r="L125" s="95" t="s">
        <v>114</v>
      </c>
      <c r="M125" s="238" t="s">
        <v>1149</v>
      </c>
      <c r="N125" s="133">
        <v>7195.0</v>
      </c>
      <c r="O125" s="73">
        <f t="shared" si="13"/>
        <v>0</v>
      </c>
      <c r="P125" s="98"/>
      <c r="Q125" s="84" t="s">
        <v>39</v>
      </c>
      <c r="R125" s="12"/>
      <c r="S125" s="84" t="s">
        <v>165</v>
      </c>
      <c r="T125" s="12"/>
      <c r="U125" s="12"/>
      <c r="V125" s="12"/>
      <c r="W125" s="12"/>
      <c r="X125" s="84" t="s">
        <v>127</v>
      </c>
      <c r="Y125" s="12"/>
      <c r="Z125" s="12"/>
      <c r="AA125" s="12"/>
      <c r="AB125" s="12"/>
      <c r="AC125" s="12"/>
      <c r="AD125" s="12"/>
      <c r="AE125" s="12"/>
      <c r="AF125" s="1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15"/>
    </row>
    <row r="126" ht="15.75" customHeight="1">
      <c r="A126" s="103">
        <v>1.1308743E7</v>
      </c>
      <c r="B126" s="84">
        <v>1.001915964E9</v>
      </c>
      <c r="C126" s="84" t="s">
        <v>1291</v>
      </c>
      <c r="D126" s="84">
        <v>3.0</v>
      </c>
      <c r="E126" s="84">
        <v>74.04</v>
      </c>
      <c r="F126" s="38" t="s">
        <v>43</v>
      </c>
      <c r="G126" s="29" t="s">
        <v>32</v>
      </c>
      <c r="H126" s="84" t="s">
        <v>2922</v>
      </c>
      <c r="I126" s="85" t="s">
        <v>1232</v>
      </c>
      <c r="J126" s="93" t="s">
        <v>1410</v>
      </c>
      <c r="K126" s="93" t="s">
        <v>35</v>
      </c>
      <c r="L126" s="95" t="s">
        <v>43</v>
      </c>
      <c r="M126" s="84" t="s">
        <v>1517</v>
      </c>
      <c r="N126" s="133">
        <v>4796.0</v>
      </c>
      <c r="O126" s="73">
        <f t="shared" si="13"/>
        <v>0</v>
      </c>
      <c r="P126" s="98"/>
      <c r="Q126" s="12"/>
      <c r="R126" s="12"/>
      <c r="S126" s="84" t="s">
        <v>165</v>
      </c>
      <c r="T126" s="12"/>
      <c r="U126" s="12"/>
      <c r="V126" s="12"/>
      <c r="W126" s="12"/>
      <c r="X126" s="84" t="s">
        <v>127</v>
      </c>
      <c r="Y126" s="12"/>
      <c r="Z126" s="12"/>
      <c r="AA126" s="12"/>
      <c r="AB126" s="12"/>
      <c r="AC126" s="12"/>
      <c r="AD126" s="12"/>
      <c r="AE126" s="12"/>
      <c r="AF126" s="1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15"/>
    </row>
    <row r="127" ht="15.75" customHeight="1">
      <c r="A127" s="103">
        <v>1.1319084E7</v>
      </c>
      <c r="B127" s="84">
        <v>1.001928484E9</v>
      </c>
      <c r="C127" s="84" t="s">
        <v>2923</v>
      </c>
      <c r="D127" s="84">
        <v>28.0</v>
      </c>
      <c r="E127" s="84">
        <v>34.058</v>
      </c>
      <c r="F127" s="29" t="s">
        <v>31</v>
      </c>
      <c r="G127" s="29" t="s">
        <v>32</v>
      </c>
      <c r="H127" s="29" t="s">
        <v>111</v>
      </c>
      <c r="I127" s="25" t="s">
        <v>112</v>
      </c>
      <c r="J127" s="25" t="s">
        <v>35</v>
      </c>
      <c r="K127" s="29" t="s">
        <v>113</v>
      </c>
      <c r="L127" s="25" t="s">
        <v>114</v>
      </c>
      <c r="M127" s="12"/>
      <c r="N127" s="133">
        <v>5323.0</v>
      </c>
      <c r="O127" s="73">
        <f t="shared" si="13"/>
        <v>0</v>
      </c>
      <c r="P127" s="15"/>
      <c r="Q127" s="12"/>
      <c r="R127" s="12"/>
      <c r="S127" s="84" t="s">
        <v>165</v>
      </c>
      <c r="T127" s="12"/>
      <c r="U127" s="12"/>
      <c r="V127" s="12"/>
      <c r="W127" s="12"/>
      <c r="X127" s="84" t="s">
        <v>127</v>
      </c>
      <c r="Y127" s="12"/>
      <c r="Z127" s="12"/>
      <c r="AA127" s="12"/>
      <c r="AB127" s="12"/>
      <c r="AC127" s="12"/>
      <c r="AD127" s="12"/>
      <c r="AE127" s="12"/>
      <c r="AF127" s="1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15"/>
    </row>
    <row r="128" ht="15.75" customHeight="1">
      <c r="A128" s="103">
        <v>1.1319449E7</v>
      </c>
      <c r="B128" s="84">
        <v>1.001928491E9</v>
      </c>
      <c r="C128" s="84" t="s">
        <v>2923</v>
      </c>
      <c r="D128" s="84">
        <v>28.0</v>
      </c>
      <c r="E128" s="84">
        <v>34.058</v>
      </c>
      <c r="F128" s="29" t="s">
        <v>31</v>
      </c>
      <c r="G128" s="84" t="s">
        <v>32</v>
      </c>
      <c r="H128" s="29" t="s">
        <v>124</v>
      </c>
      <c r="I128" s="29" t="s">
        <v>125</v>
      </c>
      <c r="J128" s="25" t="s">
        <v>35</v>
      </c>
      <c r="K128" s="39" t="s">
        <v>126</v>
      </c>
      <c r="L128" s="28" t="s">
        <v>114</v>
      </c>
      <c r="M128" s="88"/>
      <c r="N128" s="133">
        <v>5782.0</v>
      </c>
      <c r="O128" s="73">
        <f t="shared" si="13"/>
        <v>0</v>
      </c>
      <c r="P128" s="15"/>
      <c r="Q128" s="12"/>
      <c r="R128" s="12"/>
      <c r="S128" s="84" t="s">
        <v>165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15"/>
    </row>
    <row r="129" ht="15.75" customHeight="1">
      <c r="A129" s="103">
        <v>1.1315795E7</v>
      </c>
      <c r="B129" s="84">
        <v>1.001923948E9</v>
      </c>
      <c r="C129" s="84" t="s">
        <v>1337</v>
      </c>
      <c r="D129" s="84">
        <v>28.0</v>
      </c>
      <c r="E129" s="84">
        <v>34.058</v>
      </c>
      <c r="F129" s="29" t="s">
        <v>31</v>
      </c>
      <c r="G129" s="84" t="s">
        <v>32</v>
      </c>
      <c r="H129" s="29" t="s">
        <v>124</v>
      </c>
      <c r="I129" s="29" t="s">
        <v>125</v>
      </c>
      <c r="J129" s="25" t="s">
        <v>35</v>
      </c>
      <c r="K129" s="39" t="s">
        <v>126</v>
      </c>
      <c r="L129" s="28" t="s">
        <v>114</v>
      </c>
      <c r="M129" s="88" t="s">
        <v>1017</v>
      </c>
      <c r="N129" s="133">
        <v>5782.0</v>
      </c>
      <c r="O129" s="73">
        <f t="shared" si="13"/>
        <v>0</v>
      </c>
      <c r="P129" s="15"/>
      <c r="Q129" s="12"/>
      <c r="R129" s="12"/>
      <c r="S129" s="84" t="s">
        <v>165</v>
      </c>
      <c r="T129" s="12"/>
      <c r="U129" s="12"/>
      <c r="V129" s="12"/>
      <c r="W129" s="12"/>
      <c r="X129" s="84" t="s">
        <v>127</v>
      </c>
      <c r="Y129" s="12"/>
      <c r="Z129" s="12"/>
      <c r="AA129" s="12"/>
      <c r="AB129" s="12"/>
      <c r="AC129" s="12"/>
      <c r="AD129" s="12"/>
      <c r="AE129" s="12"/>
      <c r="AF129" s="1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15"/>
    </row>
    <row r="130" ht="15.75" customHeight="1">
      <c r="A130" s="103">
        <v>1.1319085E7</v>
      </c>
      <c r="B130" s="84">
        <v>1.001928292E9</v>
      </c>
      <c r="C130" s="84" t="s">
        <v>2923</v>
      </c>
      <c r="D130" s="84">
        <v>26.0</v>
      </c>
      <c r="E130" s="84">
        <v>31.625</v>
      </c>
      <c r="F130" s="12" t="s">
        <v>31</v>
      </c>
      <c r="G130" s="85" t="s">
        <v>44</v>
      </c>
      <c r="H130" s="84" t="s">
        <v>268</v>
      </c>
      <c r="I130" s="29" t="s">
        <v>397</v>
      </c>
      <c r="J130" s="84" t="s">
        <v>35</v>
      </c>
      <c r="K130" s="84" t="s">
        <v>270</v>
      </c>
      <c r="L130" s="95" t="s">
        <v>94</v>
      </c>
      <c r="M130" s="84" t="s">
        <v>1286</v>
      </c>
      <c r="N130" s="133">
        <v>6410.0</v>
      </c>
      <c r="O130" s="73">
        <f t="shared" si="13"/>
        <v>0.6630265211</v>
      </c>
      <c r="P130" s="98">
        <v>4250.0</v>
      </c>
      <c r="Q130" s="84" t="s">
        <v>39</v>
      </c>
      <c r="R130" s="12"/>
      <c r="S130" s="84" t="s">
        <v>165</v>
      </c>
      <c r="T130" s="12"/>
      <c r="U130" s="12"/>
      <c r="V130" s="12"/>
      <c r="W130" s="12"/>
      <c r="X130" s="84" t="s">
        <v>127</v>
      </c>
      <c r="Y130" s="12"/>
      <c r="Z130" s="12"/>
      <c r="AA130" s="12"/>
      <c r="AB130" s="12"/>
      <c r="AC130" s="12"/>
      <c r="AD130" s="12"/>
      <c r="AE130" s="12"/>
      <c r="AF130" s="1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15"/>
    </row>
    <row r="131" ht="15.75" customHeight="1">
      <c r="A131" s="103">
        <v>1.1327534E7</v>
      </c>
      <c r="B131" s="84">
        <v>1.001937395E9</v>
      </c>
      <c r="C131" s="84" t="s">
        <v>2923</v>
      </c>
      <c r="D131" s="84">
        <v>26.0</v>
      </c>
      <c r="E131" s="84">
        <v>30.96</v>
      </c>
      <c r="F131" s="12" t="s">
        <v>31</v>
      </c>
      <c r="G131" s="85" t="s">
        <v>74</v>
      </c>
      <c r="H131" s="84" t="s">
        <v>1508</v>
      </c>
      <c r="I131" s="89" t="s">
        <v>186</v>
      </c>
      <c r="J131" s="84" t="s">
        <v>35</v>
      </c>
      <c r="K131" s="84" t="s">
        <v>187</v>
      </c>
      <c r="L131" s="95" t="s">
        <v>108</v>
      </c>
      <c r="M131" s="84" t="s">
        <v>1017</v>
      </c>
      <c r="N131" s="133">
        <v>4362.0</v>
      </c>
      <c r="O131" s="73">
        <f t="shared" si="13"/>
        <v>0</v>
      </c>
      <c r="P131" s="15"/>
      <c r="Q131" s="84" t="s">
        <v>39</v>
      </c>
      <c r="R131" s="12"/>
      <c r="S131" s="84" t="s">
        <v>165</v>
      </c>
      <c r="T131" s="12"/>
      <c r="U131" s="12"/>
      <c r="V131" s="12"/>
      <c r="W131" s="12"/>
      <c r="X131" s="84" t="s">
        <v>2924</v>
      </c>
      <c r="Y131" s="12"/>
      <c r="Z131" s="12"/>
      <c r="AA131" s="12"/>
      <c r="AB131" s="12"/>
      <c r="AC131" s="12"/>
      <c r="AD131" s="12"/>
      <c r="AE131" s="12"/>
      <c r="AF131" s="1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15"/>
    </row>
    <row r="132" ht="15.75" customHeight="1">
      <c r="A132" s="103">
        <v>1.1327402E7</v>
      </c>
      <c r="B132" s="84">
        <v>1.001937364E9</v>
      </c>
      <c r="C132" s="84" t="s">
        <v>2692</v>
      </c>
      <c r="D132" s="84">
        <v>26.0</v>
      </c>
      <c r="E132" s="84">
        <v>30.663</v>
      </c>
      <c r="F132" s="12" t="s">
        <v>31</v>
      </c>
      <c r="G132" s="85" t="s">
        <v>74</v>
      </c>
      <c r="H132" s="84" t="s">
        <v>1508</v>
      </c>
      <c r="I132" s="89" t="s">
        <v>186</v>
      </c>
      <c r="J132" s="84" t="s">
        <v>35</v>
      </c>
      <c r="K132" s="84" t="s">
        <v>187</v>
      </c>
      <c r="L132" s="95" t="s">
        <v>108</v>
      </c>
      <c r="M132" s="12"/>
      <c r="N132" s="133">
        <v>4362.0</v>
      </c>
      <c r="O132" s="73">
        <f t="shared" si="13"/>
        <v>0</v>
      </c>
      <c r="P132" s="15"/>
      <c r="Q132" s="12"/>
      <c r="R132" s="12"/>
      <c r="S132" s="84" t="s">
        <v>165</v>
      </c>
      <c r="T132" s="12"/>
      <c r="U132" s="12"/>
      <c r="V132" s="12"/>
      <c r="W132" s="12"/>
      <c r="X132" s="84"/>
      <c r="Y132" s="12"/>
      <c r="Z132" s="12"/>
      <c r="AA132" s="12"/>
      <c r="AB132" s="12"/>
      <c r="AC132" s="12"/>
      <c r="AD132" s="12"/>
      <c r="AE132" s="12"/>
      <c r="AF132" s="1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15"/>
    </row>
    <row r="133" ht="15.0" customHeight="1">
      <c r="A133" s="103">
        <v>1.1322742E7</v>
      </c>
      <c r="B133" s="84">
        <v>1.001930967E9</v>
      </c>
      <c r="C133" s="84" t="s">
        <v>2925</v>
      </c>
      <c r="D133" s="84">
        <v>26.0</v>
      </c>
      <c r="E133" s="84">
        <v>31.625</v>
      </c>
      <c r="F133" s="29" t="s">
        <v>31</v>
      </c>
      <c r="G133" s="29" t="s">
        <v>32</v>
      </c>
      <c r="H133" s="84" t="s">
        <v>1408</v>
      </c>
      <c r="I133" s="85" t="s">
        <v>1409</v>
      </c>
      <c r="J133" s="93" t="s">
        <v>35</v>
      </c>
      <c r="K133" s="93" t="s">
        <v>1410</v>
      </c>
      <c r="L133" s="95" t="s">
        <v>114</v>
      </c>
      <c r="M133" s="84" t="s">
        <v>1149</v>
      </c>
      <c r="N133" s="133">
        <v>6920.0</v>
      </c>
      <c r="O133" s="73">
        <f t="shared" si="13"/>
        <v>0.6141618497</v>
      </c>
      <c r="P133" s="98">
        <v>4250.0</v>
      </c>
      <c r="Q133" s="84" t="s">
        <v>39</v>
      </c>
      <c r="R133" s="12"/>
      <c r="S133" s="84" t="s">
        <v>165</v>
      </c>
      <c r="T133" s="12"/>
      <c r="U133" s="12"/>
      <c r="V133" s="12"/>
      <c r="W133" s="12"/>
      <c r="X133" s="84" t="s">
        <v>127</v>
      </c>
      <c r="Y133" s="12"/>
      <c r="Z133" s="12"/>
      <c r="AA133" s="12"/>
      <c r="AB133" s="12"/>
      <c r="AC133" s="12"/>
      <c r="AD133" s="12"/>
      <c r="AE133" s="12"/>
      <c r="AF133" s="1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15"/>
    </row>
    <row r="134" ht="15.75" customHeight="1">
      <c r="A134" s="191">
        <v>1.1322485E7</v>
      </c>
      <c r="B134" s="192">
        <v>1.001931004E9</v>
      </c>
      <c r="C134" s="192" t="s">
        <v>2925</v>
      </c>
      <c r="D134" s="192">
        <v>26.0</v>
      </c>
      <c r="E134" s="192">
        <v>33.43</v>
      </c>
      <c r="F134" s="194" t="s">
        <v>31</v>
      </c>
      <c r="G134" s="208" t="s">
        <v>32</v>
      </c>
      <c r="H134" s="169" t="s">
        <v>265</v>
      </c>
      <c r="I134" s="171" t="s">
        <v>266</v>
      </c>
      <c r="J134" s="170" t="s">
        <v>35</v>
      </c>
      <c r="K134" s="169" t="s">
        <v>267</v>
      </c>
      <c r="L134" s="171" t="s">
        <v>114</v>
      </c>
      <c r="M134" s="169" t="s">
        <v>1187</v>
      </c>
      <c r="N134" s="196">
        <v>6527.0</v>
      </c>
      <c r="O134" s="187">
        <f t="shared" si="13"/>
        <v>0.6511414126</v>
      </c>
      <c r="P134" s="209">
        <v>4250.0</v>
      </c>
      <c r="Q134" s="169" t="s">
        <v>39</v>
      </c>
      <c r="R134" s="198"/>
      <c r="S134" s="84" t="s">
        <v>165</v>
      </c>
      <c r="T134" s="198"/>
      <c r="U134" s="198"/>
      <c r="V134" s="198"/>
      <c r="W134" s="198"/>
      <c r="X134" s="169" t="s">
        <v>127</v>
      </c>
      <c r="Y134" s="198"/>
      <c r="Z134" s="198"/>
      <c r="AA134" s="198"/>
      <c r="AB134" s="198"/>
      <c r="AC134" s="198"/>
      <c r="AD134" s="198"/>
      <c r="AE134" s="198"/>
      <c r="AF134" s="198"/>
      <c r="AG134" s="199"/>
      <c r="AH134" s="199"/>
      <c r="AI134" s="199"/>
      <c r="AJ134" s="199"/>
      <c r="AK134" s="199"/>
      <c r="AL134" s="199"/>
      <c r="AM134" s="199"/>
      <c r="AN134" s="199"/>
      <c r="AO134" s="199"/>
      <c r="AP134" s="215"/>
    </row>
    <row r="135" ht="15.75" customHeight="1">
      <c r="A135" s="103">
        <v>1.1322486E7</v>
      </c>
      <c r="B135" s="84">
        <v>1.001930985E9</v>
      </c>
      <c r="C135" s="84" t="s">
        <v>2925</v>
      </c>
      <c r="D135" s="84">
        <v>26.0</v>
      </c>
      <c r="E135" s="84">
        <v>33.43</v>
      </c>
      <c r="F135" s="29" t="s">
        <v>31</v>
      </c>
      <c r="G135" s="84" t="s">
        <v>32</v>
      </c>
      <c r="H135" s="12" t="s">
        <v>265</v>
      </c>
      <c r="I135" s="28" t="s">
        <v>266</v>
      </c>
      <c r="J135" s="25" t="s">
        <v>35</v>
      </c>
      <c r="K135" s="12" t="s">
        <v>267</v>
      </c>
      <c r="L135" s="28" t="s">
        <v>114</v>
      </c>
      <c r="M135" s="434" t="s">
        <v>1286</v>
      </c>
      <c r="N135" s="133">
        <v>6527.0</v>
      </c>
      <c r="O135" s="73">
        <f t="shared" si="13"/>
        <v>0.6511414126</v>
      </c>
      <c r="P135" s="98">
        <v>4250.0</v>
      </c>
      <c r="Q135" s="84" t="s">
        <v>39</v>
      </c>
      <c r="R135" s="12"/>
      <c r="S135" s="84" t="s">
        <v>165</v>
      </c>
      <c r="T135" s="12"/>
      <c r="U135" s="12"/>
      <c r="V135" s="12"/>
      <c r="W135" s="12"/>
      <c r="X135" s="84" t="s">
        <v>127</v>
      </c>
      <c r="Y135" s="12"/>
      <c r="Z135" s="12"/>
      <c r="AA135" s="12"/>
      <c r="AB135" s="12"/>
      <c r="AC135" s="12"/>
      <c r="AD135" s="12"/>
      <c r="AE135" s="12"/>
      <c r="AF135" s="1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15"/>
    </row>
    <row r="136" ht="15.75" customHeight="1">
      <c r="A136" s="191">
        <v>1.1327855E7</v>
      </c>
      <c r="B136" s="192">
        <v>1.001937205E9</v>
      </c>
      <c r="C136" s="192" t="s">
        <v>2692</v>
      </c>
      <c r="D136" s="192">
        <v>26.0</v>
      </c>
      <c r="E136" s="192">
        <v>33.274</v>
      </c>
      <c r="F136" s="169" t="s">
        <v>31</v>
      </c>
      <c r="G136" s="201" t="s">
        <v>32</v>
      </c>
      <c r="H136" s="169" t="s">
        <v>487</v>
      </c>
      <c r="I136" s="200" t="s">
        <v>488</v>
      </c>
      <c r="J136" s="169" t="s">
        <v>35</v>
      </c>
      <c r="K136" s="169" t="s">
        <v>2926</v>
      </c>
      <c r="L136" s="171" t="s">
        <v>114</v>
      </c>
      <c r="M136" s="169" t="s">
        <v>1095</v>
      </c>
      <c r="N136" s="196">
        <v>4854.0</v>
      </c>
      <c r="O136" s="187">
        <f t="shared" si="13"/>
        <v>0.6180469716</v>
      </c>
      <c r="P136" s="209">
        <v>3000.0</v>
      </c>
      <c r="Q136" s="198"/>
      <c r="R136" s="198"/>
      <c r="S136" s="84" t="s">
        <v>165</v>
      </c>
      <c r="T136" s="198"/>
      <c r="U136" s="198"/>
      <c r="V136" s="198"/>
      <c r="W136" s="198"/>
      <c r="X136" s="169" t="s">
        <v>127</v>
      </c>
      <c r="Y136" s="198"/>
      <c r="Z136" s="198"/>
      <c r="AA136" s="198"/>
      <c r="AB136" s="198"/>
      <c r="AC136" s="198"/>
      <c r="AD136" s="198"/>
      <c r="AE136" s="198"/>
      <c r="AF136" s="198"/>
      <c r="AG136" s="199"/>
      <c r="AH136" s="199"/>
      <c r="AI136" s="199"/>
      <c r="AJ136" s="199"/>
      <c r="AK136" s="199"/>
      <c r="AL136" s="199"/>
      <c r="AM136" s="199"/>
      <c r="AN136" s="199"/>
      <c r="AO136" s="199"/>
      <c r="AP136" s="215"/>
    </row>
    <row r="137" ht="15.75" customHeight="1">
      <c r="A137" s="103">
        <v>1.1340903E7</v>
      </c>
      <c r="B137" s="84">
        <v>1.001953666E9</v>
      </c>
      <c r="C137" s="435">
        <v>45748.0</v>
      </c>
      <c r="D137" s="84">
        <v>26.0</v>
      </c>
      <c r="E137" s="84">
        <v>30.663</v>
      </c>
      <c r="F137" s="84" t="s">
        <v>31</v>
      </c>
      <c r="G137" s="85" t="s">
        <v>74</v>
      </c>
      <c r="H137" s="84" t="s">
        <v>2927</v>
      </c>
      <c r="I137" s="85" t="s">
        <v>613</v>
      </c>
      <c r="J137" s="84" t="s">
        <v>35</v>
      </c>
      <c r="K137" s="84" t="s">
        <v>614</v>
      </c>
      <c r="L137" s="95" t="s">
        <v>94</v>
      </c>
      <c r="M137" s="85"/>
      <c r="N137" s="88">
        <v>5163.0</v>
      </c>
      <c r="O137" s="73">
        <f t="shared" si="13"/>
        <v>0</v>
      </c>
      <c r="P137" s="15"/>
      <c r="Q137" s="12"/>
      <c r="R137" s="12"/>
      <c r="S137" s="84" t="s">
        <v>165</v>
      </c>
      <c r="T137" s="12"/>
      <c r="U137" s="12"/>
      <c r="V137" s="12"/>
      <c r="W137" s="12"/>
      <c r="X137" s="112">
        <v>45692.083333333336</v>
      </c>
      <c r="Y137" s="12"/>
      <c r="Z137" s="12"/>
      <c r="AA137" s="12"/>
      <c r="AB137" s="12"/>
      <c r="AC137" s="12"/>
      <c r="AD137" s="12"/>
      <c r="AE137" s="12"/>
      <c r="AF137" s="1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15"/>
    </row>
    <row r="138" ht="15.75" customHeight="1">
      <c r="A138" s="103">
        <v>1.133366E7</v>
      </c>
      <c r="B138" s="84">
        <v>1.001943671E9</v>
      </c>
      <c r="C138" s="435">
        <v>45749.0</v>
      </c>
      <c r="D138" s="84">
        <v>26.0</v>
      </c>
      <c r="E138" s="84">
        <v>32.33</v>
      </c>
      <c r="F138" s="103" t="s">
        <v>43</v>
      </c>
      <c r="G138" s="93" t="s">
        <v>32</v>
      </c>
      <c r="H138" s="29" t="s">
        <v>104</v>
      </c>
      <c r="I138" s="29" t="s">
        <v>105</v>
      </c>
      <c r="J138" s="25" t="s">
        <v>35</v>
      </c>
      <c r="K138" s="39" t="s">
        <v>106</v>
      </c>
      <c r="L138" s="95" t="s">
        <v>59</v>
      </c>
      <c r="M138" s="12"/>
      <c r="N138" s="133">
        <v>4574.0</v>
      </c>
      <c r="O138" s="73">
        <f t="shared" si="13"/>
        <v>0</v>
      </c>
      <c r="P138" s="98"/>
      <c r="Q138" s="12"/>
      <c r="R138" s="12"/>
      <c r="S138" s="84" t="s">
        <v>165</v>
      </c>
      <c r="T138" s="12"/>
      <c r="U138" s="12"/>
      <c r="V138" s="12"/>
      <c r="W138" s="12"/>
      <c r="X138" s="84" t="s">
        <v>127</v>
      </c>
      <c r="Y138" s="12"/>
      <c r="Z138" s="12"/>
      <c r="AA138" s="12"/>
      <c r="AB138" s="12"/>
      <c r="AC138" s="12"/>
      <c r="AD138" s="12"/>
      <c r="AE138" s="12"/>
      <c r="AF138" s="1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15"/>
    </row>
    <row r="139" ht="15.75" customHeight="1">
      <c r="A139" s="103">
        <v>1.1333661E7</v>
      </c>
      <c r="B139" s="84">
        <v>1.001943652E9</v>
      </c>
      <c r="C139" s="435">
        <v>45749.0</v>
      </c>
      <c r="D139" s="84">
        <v>2.0</v>
      </c>
      <c r="E139" s="84">
        <v>304.0</v>
      </c>
      <c r="F139" s="103" t="s">
        <v>43</v>
      </c>
      <c r="G139" s="93" t="s">
        <v>32</v>
      </c>
      <c r="H139" s="85" t="s">
        <v>2928</v>
      </c>
      <c r="I139" s="85" t="s">
        <v>1232</v>
      </c>
      <c r="J139" s="39" t="s">
        <v>106</v>
      </c>
      <c r="K139" s="25" t="s">
        <v>35</v>
      </c>
      <c r="L139" s="95" t="s">
        <v>121</v>
      </c>
      <c r="M139" s="12"/>
      <c r="N139" s="133">
        <v>3049.0</v>
      </c>
      <c r="O139" s="73">
        <f t="shared" si="13"/>
        <v>0</v>
      </c>
      <c r="P139" s="98"/>
      <c r="Q139" s="12"/>
      <c r="R139" s="12"/>
      <c r="S139" s="84" t="s">
        <v>165</v>
      </c>
      <c r="T139" s="12"/>
      <c r="U139" s="12"/>
      <c r="V139" s="12"/>
      <c r="W139" s="12"/>
      <c r="X139" s="84" t="s">
        <v>127</v>
      </c>
      <c r="Y139" s="12"/>
      <c r="Z139" s="12"/>
      <c r="AA139" s="12"/>
      <c r="AB139" s="12"/>
      <c r="AC139" s="12"/>
      <c r="AD139" s="12"/>
      <c r="AE139" s="12"/>
      <c r="AF139" s="1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15"/>
    </row>
    <row r="140" ht="15.75" customHeight="1">
      <c r="A140" s="103"/>
      <c r="B140" s="84">
        <v>1.001955674E9</v>
      </c>
      <c r="C140" s="435">
        <v>45749.0</v>
      </c>
      <c r="D140" s="84">
        <v>2.0</v>
      </c>
      <c r="E140" s="84">
        <v>304.0</v>
      </c>
      <c r="F140" s="103" t="s">
        <v>43</v>
      </c>
      <c r="G140" s="93" t="s">
        <v>32</v>
      </c>
      <c r="H140" s="84"/>
      <c r="I140" s="29"/>
      <c r="J140" s="93"/>
      <c r="K140" s="93"/>
      <c r="L140" s="95"/>
      <c r="M140" s="12"/>
      <c r="N140" s="133"/>
      <c r="O140" s="73"/>
      <c r="P140" s="15"/>
      <c r="Q140" s="12"/>
      <c r="R140" s="12"/>
      <c r="S140" s="84" t="s">
        <v>165</v>
      </c>
      <c r="T140" s="12"/>
      <c r="U140" s="12"/>
      <c r="V140" s="12"/>
      <c r="W140" s="12"/>
      <c r="X140" s="84"/>
      <c r="Y140" s="12"/>
      <c r="Z140" s="12"/>
      <c r="AA140" s="12"/>
      <c r="AB140" s="12"/>
      <c r="AC140" s="12"/>
      <c r="AD140" s="12"/>
      <c r="AE140" s="12"/>
      <c r="AF140" s="1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15"/>
    </row>
    <row r="141" ht="15.75" customHeight="1">
      <c r="A141" s="103">
        <v>1.1344965E7</v>
      </c>
      <c r="B141" s="84">
        <v>1.001957384E9</v>
      </c>
      <c r="C141" s="435">
        <v>45750.0</v>
      </c>
      <c r="D141" s="84">
        <v>26.0</v>
      </c>
      <c r="E141" s="84">
        <v>32.287</v>
      </c>
      <c r="F141" s="103" t="s">
        <v>43</v>
      </c>
      <c r="G141" s="85" t="s">
        <v>44</v>
      </c>
      <c r="H141" s="12" t="s">
        <v>45</v>
      </c>
      <c r="I141" s="12" t="s">
        <v>46</v>
      </c>
      <c r="J141" s="14" t="s">
        <v>35</v>
      </c>
      <c r="K141" s="14" t="s">
        <v>47</v>
      </c>
      <c r="L141" s="15" t="s">
        <v>48</v>
      </c>
      <c r="M141" s="12"/>
      <c r="N141" s="133">
        <v>2335.0</v>
      </c>
      <c r="O141" s="73">
        <f t="shared" ref="O141:O166" si="14">IFERROR(P141/N141,0)</f>
        <v>0</v>
      </c>
      <c r="P141" s="98"/>
      <c r="Q141" s="12"/>
      <c r="R141" s="12"/>
      <c r="S141" s="84" t="s">
        <v>165</v>
      </c>
      <c r="T141" s="12"/>
      <c r="U141" s="12"/>
      <c r="V141" s="12"/>
      <c r="W141" s="12"/>
      <c r="X141" s="112"/>
      <c r="Y141" s="12"/>
      <c r="Z141" s="12"/>
      <c r="AA141" s="12"/>
      <c r="AB141" s="12"/>
      <c r="AC141" s="12"/>
      <c r="AD141" s="12"/>
      <c r="AE141" s="12"/>
      <c r="AF141" s="1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15"/>
    </row>
    <row r="142" ht="15.75" customHeight="1">
      <c r="A142" s="103">
        <v>1.1344966E7</v>
      </c>
      <c r="B142" s="427">
        <v>1.001957312E9</v>
      </c>
      <c r="C142" s="435">
        <v>45750.0</v>
      </c>
      <c r="D142" s="84">
        <v>8.0</v>
      </c>
      <c r="E142" s="84">
        <v>8.177</v>
      </c>
      <c r="F142" s="103" t="s">
        <v>43</v>
      </c>
      <c r="G142" s="85" t="s">
        <v>44</v>
      </c>
      <c r="H142" s="84" t="s">
        <v>2929</v>
      </c>
      <c r="I142" s="12" t="s">
        <v>46</v>
      </c>
      <c r="J142" s="14" t="s">
        <v>47</v>
      </c>
      <c r="K142" s="14" t="s">
        <v>35</v>
      </c>
      <c r="L142" s="15" t="s">
        <v>48</v>
      </c>
      <c r="M142" s="12"/>
      <c r="N142" s="133">
        <v>1557.0</v>
      </c>
      <c r="O142" s="73">
        <f t="shared" si="14"/>
        <v>0</v>
      </c>
      <c r="P142" s="98"/>
      <c r="Q142" s="12"/>
      <c r="R142" s="12"/>
      <c r="S142" s="84" t="s">
        <v>165</v>
      </c>
      <c r="T142" s="12"/>
      <c r="U142" s="12"/>
      <c r="V142" s="12"/>
      <c r="W142" s="12"/>
      <c r="X142" s="112"/>
      <c r="Y142" s="12"/>
      <c r="Z142" s="12"/>
      <c r="AA142" s="12"/>
      <c r="AB142" s="12"/>
      <c r="AC142" s="12"/>
      <c r="AD142" s="12"/>
      <c r="AE142" s="12"/>
      <c r="AF142" s="1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15"/>
    </row>
    <row r="143" ht="15.75" customHeight="1">
      <c r="A143" s="103">
        <v>1.1344231E7</v>
      </c>
      <c r="B143" s="84">
        <v>1.001956714E9</v>
      </c>
      <c r="C143" s="435">
        <v>45752.0</v>
      </c>
      <c r="D143" s="84">
        <v>26.0</v>
      </c>
      <c r="E143" s="84">
        <v>30.663</v>
      </c>
      <c r="F143" s="12" t="s">
        <v>31</v>
      </c>
      <c r="G143" s="85" t="s">
        <v>74</v>
      </c>
      <c r="H143" s="84" t="s">
        <v>1508</v>
      </c>
      <c r="I143" s="89" t="s">
        <v>186</v>
      </c>
      <c r="J143" s="84" t="s">
        <v>35</v>
      </c>
      <c r="K143" s="84" t="s">
        <v>187</v>
      </c>
      <c r="L143" s="95" t="s">
        <v>108</v>
      </c>
      <c r="M143" s="436" t="s">
        <v>1286</v>
      </c>
      <c r="N143" s="133">
        <v>4362.0</v>
      </c>
      <c r="O143" s="73">
        <f t="shared" si="14"/>
        <v>0.5960568547</v>
      </c>
      <c r="P143" s="98">
        <v>2600.0</v>
      </c>
      <c r="Q143" s="84" t="s">
        <v>39</v>
      </c>
      <c r="R143" s="12"/>
      <c r="S143" s="84" t="s">
        <v>165</v>
      </c>
      <c r="T143" s="12"/>
      <c r="U143" s="12"/>
      <c r="V143" s="12"/>
      <c r="W143" s="12"/>
      <c r="X143" s="112">
        <v>45842.25</v>
      </c>
      <c r="Y143" s="12"/>
      <c r="Z143" s="12"/>
      <c r="AA143" s="12"/>
      <c r="AB143" s="12"/>
      <c r="AC143" s="12"/>
      <c r="AD143" s="12"/>
      <c r="AE143" s="12"/>
      <c r="AF143" s="1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15"/>
    </row>
    <row r="144" ht="15.75" customHeight="1">
      <c r="A144" s="103">
        <v>1.1350018E7</v>
      </c>
      <c r="B144" s="84">
        <v>1.001961102E9</v>
      </c>
      <c r="C144" s="99">
        <v>45842.0</v>
      </c>
      <c r="D144" s="84">
        <v>26.0</v>
      </c>
      <c r="E144" s="84">
        <v>32.553</v>
      </c>
      <c r="F144" s="103" t="s">
        <v>43</v>
      </c>
      <c r="G144" s="85" t="s">
        <v>44</v>
      </c>
      <c r="H144" s="12" t="s">
        <v>45</v>
      </c>
      <c r="I144" s="12" t="s">
        <v>46</v>
      </c>
      <c r="J144" s="14" t="s">
        <v>35</v>
      </c>
      <c r="K144" s="14" t="s">
        <v>47</v>
      </c>
      <c r="L144" s="15" t="s">
        <v>48</v>
      </c>
      <c r="M144" s="12"/>
      <c r="N144" s="133">
        <v>2335.0</v>
      </c>
      <c r="O144" s="73">
        <f t="shared" si="14"/>
        <v>0</v>
      </c>
      <c r="P144" s="15"/>
      <c r="Q144" s="12"/>
      <c r="R144" s="12"/>
      <c r="S144" s="84" t="s">
        <v>165</v>
      </c>
      <c r="T144" s="12"/>
      <c r="U144" s="12"/>
      <c r="V144" s="12"/>
      <c r="W144" s="12"/>
      <c r="X144" s="84" t="s">
        <v>127</v>
      </c>
      <c r="Y144" s="12"/>
      <c r="Z144" s="12"/>
      <c r="AA144" s="12"/>
      <c r="AB144" s="12"/>
      <c r="AC144" s="12"/>
      <c r="AD144" s="12"/>
      <c r="AE144" s="12"/>
      <c r="AF144" s="1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15"/>
    </row>
    <row r="145" ht="15.75" customHeight="1">
      <c r="A145" s="103">
        <v>1.1350019E7</v>
      </c>
      <c r="B145" s="84">
        <v>1.001960953E9</v>
      </c>
      <c r="C145" s="99">
        <v>45842.0</v>
      </c>
      <c r="D145" s="84">
        <v>14.0</v>
      </c>
      <c r="E145" s="84">
        <v>15.911</v>
      </c>
      <c r="F145" s="103" t="s">
        <v>43</v>
      </c>
      <c r="G145" s="85" t="s">
        <v>44</v>
      </c>
      <c r="H145" s="84" t="s">
        <v>2930</v>
      </c>
      <c r="I145" s="12" t="s">
        <v>46</v>
      </c>
      <c r="J145" s="14" t="s">
        <v>47</v>
      </c>
      <c r="K145" s="14" t="s">
        <v>35</v>
      </c>
      <c r="L145" s="15" t="s">
        <v>48</v>
      </c>
      <c r="M145" s="12"/>
      <c r="N145" s="133">
        <v>1557.0</v>
      </c>
      <c r="O145" s="73">
        <f t="shared" si="14"/>
        <v>0</v>
      </c>
      <c r="P145" s="15"/>
      <c r="Q145" s="12"/>
      <c r="R145" s="12"/>
      <c r="S145" s="84" t="s">
        <v>165</v>
      </c>
      <c r="T145" s="12"/>
      <c r="U145" s="12"/>
      <c r="V145" s="12"/>
      <c r="W145" s="12"/>
      <c r="X145" s="84" t="s">
        <v>127</v>
      </c>
      <c r="Y145" s="12"/>
      <c r="Z145" s="12"/>
      <c r="AA145" s="12"/>
      <c r="AB145" s="12"/>
      <c r="AC145" s="12"/>
      <c r="AD145" s="12"/>
      <c r="AE145" s="12"/>
      <c r="AF145" s="1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15"/>
    </row>
    <row r="146" ht="15.75" customHeight="1">
      <c r="A146" s="103">
        <v>1.1349502E7</v>
      </c>
      <c r="B146" s="84">
        <v>1.001959547E9</v>
      </c>
      <c r="C146" s="99">
        <v>45842.0</v>
      </c>
      <c r="D146" s="84">
        <v>26.0</v>
      </c>
      <c r="E146" s="84">
        <v>32.14</v>
      </c>
      <c r="F146" s="38" t="s">
        <v>43</v>
      </c>
      <c r="G146" s="29" t="s">
        <v>32</v>
      </c>
      <c r="H146" s="84" t="s">
        <v>1408</v>
      </c>
      <c r="I146" s="85" t="s">
        <v>1409</v>
      </c>
      <c r="J146" s="93" t="s">
        <v>35</v>
      </c>
      <c r="K146" s="93" t="s">
        <v>1410</v>
      </c>
      <c r="L146" s="95" t="s">
        <v>114</v>
      </c>
      <c r="M146" s="84" t="s">
        <v>1286</v>
      </c>
      <c r="N146" s="133">
        <v>7195.0</v>
      </c>
      <c r="O146" s="73">
        <f t="shared" si="14"/>
        <v>0.5559416261</v>
      </c>
      <c r="P146" s="98">
        <v>4000.0</v>
      </c>
      <c r="Q146" s="84" t="s">
        <v>39</v>
      </c>
      <c r="R146" s="12"/>
      <c r="S146" s="84" t="s">
        <v>165</v>
      </c>
      <c r="T146" s="12"/>
      <c r="U146" s="12"/>
      <c r="V146" s="12"/>
      <c r="W146" s="12"/>
      <c r="X146" s="84" t="s">
        <v>127</v>
      </c>
      <c r="Y146" s="12"/>
      <c r="Z146" s="12"/>
      <c r="AA146" s="12"/>
      <c r="AB146" s="12"/>
      <c r="AC146" s="12"/>
      <c r="AD146" s="12"/>
      <c r="AE146" s="12"/>
      <c r="AF146" s="1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15"/>
    </row>
    <row r="147" ht="15.75" customHeight="1">
      <c r="A147" s="103">
        <v>1.1349503E7</v>
      </c>
      <c r="B147" s="84">
        <v>1.001959533E9</v>
      </c>
      <c r="C147" s="99">
        <v>45842.0</v>
      </c>
      <c r="D147" s="84">
        <v>5.0</v>
      </c>
      <c r="E147" s="84">
        <v>259.0</v>
      </c>
      <c r="F147" s="38" t="s">
        <v>43</v>
      </c>
      <c r="G147" s="29" t="s">
        <v>32</v>
      </c>
      <c r="H147" s="84" t="s">
        <v>2931</v>
      </c>
      <c r="I147" s="85" t="s">
        <v>1232</v>
      </c>
      <c r="J147" s="93" t="s">
        <v>1410</v>
      </c>
      <c r="K147" s="93" t="s">
        <v>35</v>
      </c>
      <c r="L147" s="95" t="s">
        <v>43</v>
      </c>
      <c r="M147" s="84" t="s">
        <v>1360</v>
      </c>
      <c r="N147" s="133">
        <v>4796.0</v>
      </c>
      <c r="O147" s="73">
        <f t="shared" si="14"/>
        <v>0.562969141</v>
      </c>
      <c r="P147" s="98">
        <v>2700.0</v>
      </c>
      <c r="Q147" s="12"/>
      <c r="R147" s="12"/>
      <c r="S147" s="84" t="s">
        <v>165</v>
      </c>
      <c r="T147" s="12"/>
      <c r="U147" s="12"/>
      <c r="V147" s="12"/>
      <c r="W147" s="12"/>
      <c r="X147" s="84" t="s">
        <v>127</v>
      </c>
      <c r="Y147" s="12"/>
      <c r="Z147" s="12"/>
      <c r="AA147" s="12"/>
      <c r="AB147" s="12"/>
      <c r="AC147" s="12"/>
      <c r="AD147" s="12"/>
      <c r="AE147" s="12"/>
      <c r="AF147" s="1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15"/>
    </row>
    <row r="148" ht="15.75" customHeight="1">
      <c r="A148" s="103">
        <v>1.1351861E7</v>
      </c>
      <c r="B148" s="84">
        <v>1.001963677E9</v>
      </c>
      <c r="C148" s="435">
        <v>45756.0</v>
      </c>
      <c r="D148" s="84">
        <v>26.0</v>
      </c>
      <c r="E148" s="84">
        <v>32.553</v>
      </c>
      <c r="F148" s="103" t="s">
        <v>43</v>
      </c>
      <c r="G148" s="93" t="s">
        <v>32</v>
      </c>
      <c r="H148" s="29" t="s">
        <v>104</v>
      </c>
      <c r="I148" s="29" t="s">
        <v>105</v>
      </c>
      <c r="J148" s="25" t="s">
        <v>35</v>
      </c>
      <c r="K148" s="39" t="s">
        <v>106</v>
      </c>
      <c r="L148" s="95" t="s">
        <v>59</v>
      </c>
      <c r="M148" s="12"/>
      <c r="N148" s="133">
        <v>4574.0</v>
      </c>
      <c r="O148" s="73">
        <f t="shared" si="14"/>
        <v>0</v>
      </c>
      <c r="P148" s="15"/>
      <c r="Q148" s="12"/>
      <c r="R148" s="12"/>
      <c r="S148" s="84" t="s">
        <v>165</v>
      </c>
      <c r="T148" s="12"/>
      <c r="U148" s="84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15"/>
    </row>
    <row r="149" ht="15.75" customHeight="1">
      <c r="A149" s="103">
        <v>1.1351863E7</v>
      </c>
      <c r="B149" s="84">
        <v>1.001963703E9</v>
      </c>
      <c r="C149" s="435">
        <v>45756.0</v>
      </c>
      <c r="D149" s="84">
        <v>14.0</v>
      </c>
      <c r="E149" s="84">
        <v>15.911</v>
      </c>
      <c r="F149" s="103" t="s">
        <v>43</v>
      </c>
      <c r="G149" s="93" t="s">
        <v>32</v>
      </c>
      <c r="H149" s="85" t="s">
        <v>2932</v>
      </c>
      <c r="I149" s="85" t="s">
        <v>1232</v>
      </c>
      <c r="J149" s="39" t="s">
        <v>106</v>
      </c>
      <c r="K149" s="25" t="s">
        <v>35</v>
      </c>
      <c r="L149" s="95" t="s">
        <v>121</v>
      </c>
      <c r="M149" s="12"/>
      <c r="N149" s="133">
        <v>3049.0</v>
      </c>
      <c r="O149" s="73">
        <f t="shared" si="14"/>
        <v>0</v>
      </c>
      <c r="P149" s="15"/>
      <c r="Q149" s="12"/>
      <c r="R149" s="12"/>
      <c r="S149" s="84" t="s">
        <v>165</v>
      </c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15"/>
    </row>
    <row r="150" ht="15.75" customHeight="1">
      <c r="A150" s="103">
        <v>1.1357504E7</v>
      </c>
      <c r="B150" s="84">
        <v>1.001972772E9</v>
      </c>
      <c r="C150" s="435">
        <v>45756.0</v>
      </c>
      <c r="D150" s="84">
        <v>26.0</v>
      </c>
      <c r="E150" s="84">
        <v>32.553</v>
      </c>
      <c r="F150" s="103" t="s">
        <v>43</v>
      </c>
      <c r="G150" s="85" t="s">
        <v>44</v>
      </c>
      <c r="H150" s="12" t="s">
        <v>45</v>
      </c>
      <c r="I150" s="12" t="s">
        <v>46</v>
      </c>
      <c r="J150" s="14" t="s">
        <v>35</v>
      </c>
      <c r="K150" s="14" t="s">
        <v>47</v>
      </c>
      <c r="L150" s="15" t="s">
        <v>48</v>
      </c>
      <c r="M150" s="12"/>
      <c r="N150" s="133">
        <v>2335.0</v>
      </c>
      <c r="O150" s="73">
        <f t="shared" si="14"/>
        <v>0</v>
      </c>
      <c r="P150" s="15"/>
      <c r="Q150" s="12"/>
      <c r="R150" s="12"/>
      <c r="S150" s="84" t="s">
        <v>165</v>
      </c>
      <c r="T150" s="12"/>
      <c r="U150" s="12"/>
      <c r="V150" s="12"/>
      <c r="W150" s="12"/>
      <c r="X150" s="84" t="s">
        <v>127</v>
      </c>
      <c r="Y150" s="12"/>
      <c r="Z150" s="12"/>
      <c r="AA150" s="12"/>
      <c r="AB150" s="12"/>
      <c r="AC150" s="12"/>
      <c r="AD150" s="12"/>
      <c r="AE150" s="12"/>
      <c r="AF150" s="1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15"/>
    </row>
    <row r="151" ht="15.75" customHeight="1">
      <c r="A151" s="103">
        <v>1.1357505E7</v>
      </c>
      <c r="B151" s="84">
        <v>1.001972813E9</v>
      </c>
      <c r="C151" s="435">
        <v>45756.0</v>
      </c>
      <c r="D151" s="84">
        <v>14.0</v>
      </c>
      <c r="E151" s="84">
        <v>15.911</v>
      </c>
      <c r="F151" s="103" t="s">
        <v>43</v>
      </c>
      <c r="G151" s="85" t="s">
        <v>44</v>
      </c>
      <c r="H151" s="84" t="s">
        <v>2933</v>
      </c>
      <c r="I151" s="12" t="s">
        <v>46</v>
      </c>
      <c r="J151" s="14" t="s">
        <v>47</v>
      </c>
      <c r="K151" s="14" t="s">
        <v>35</v>
      </c>
      <c r="L151" s="15" t="s">
        <v>48</v>
      </c>
      <c r="M151" s="12"/>
      <c r="N151" s="133">
        <v>1557.0</v>
      </c>
      <c r="O151" s="73">
        <f t="shared" si="14"/>
        <v>0</v>
      </c>
      <c r="P151" s="15"/>
      <c r="Q151" s="12"/>
      <c r="R151" s="12"/>
      <c r="S151" s="84" t="s">
        <v>165</v>
      </c>
      <c r="T151" s="12"/>
      <c r="U151" s="12"/>
      <c r="V151" s="12"/>
      <c r="W151" s="12"/>
      <c r="X151" s="84" t="s">
        <v>127</v>
      </c>
      <c r="Y151" s="12"/>
      <c r="Z151" s="12"/>
      <c r="AA151" s="12"/>
      <c r="AB151" s="12"/>
      <c r="AC151" s="12"/>
      <c r="AD151" s="12"/>
      <c r="AE151" s="12"/>
      <c r="AF151" s="1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15"/>
    </row>
    <row r="152" ht="15.75" customHeight="1">
      <c r="A152" s="103">
        <v>1.1357964E7</v>
      </c>
      <c r="B152" s="84">
        <v>1.001972831E9</v>
      </c>
      <c r="C152" s="435">
        <v>45756.0</v>
      </c>
      <c r="D152" s="84">
        <v>26.0</v>
      </c>
      <c r="E152" s="84">
        <v>32.553</v>
      </c>
      <c r="F152" s="103" t="s">
        <v>43</v>
      </c>
      <c r="G152" s="93" t="s">
        <v>32</v>
      </c>
      <c r="H152" s="29" t="s">
        <v>104</v>
      </c>
      <c r="I152" s="29" t="s">
        <v>105</v>
      </c>
      <c r="J152" s="25" t="s">
        <v>35</v>
      </c>
      <c r="K152" s="39" t="s">
        <v>106</v>
      </c>
      <c r="L152" s="95" t="s">
        <v>59</v>
      </c>
      <c r="M152" s="12"/>
      <c r="N152" s="133">
        <v>4574.0</v>
      </c>
      <c r="O152" s="73">
        <f t="shared" si="14"/>
        <v>0</v>
      </c>
      <c r="P152" s="15"/>
      <c r="Q152" s="12"/>
      <c r="R152" s="12"/>
      <c r="S152" s="84" t="s">
        <v>165</v>
      </c>
      <c r="T152" s="12"/>
      <c r="U152" s="12"/>
      <c r="V152" s="12"/>
      <c r="W152" s="12"/>
      <c r="X152" s="84" t="s">
        <v>127</v>
      </c>
      <c r="Y152" s="12"/>
      <c r="Z152" s="12"/>
      <c r="AA152" s="12"/>
      <c r="AB152" s="12"/>
      <c r="AC152" s="12"/>
      <c r="AD152" s="12"/>
      <c r="AE152" s="12"/>
      <c r="AF152" s="1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15"/>
    </row>
    <row r="153" ht="15.75" customHeight="1">
      <c r="A153" s="103">
        <v>1.1357965E7</v>
      </c>
      <c r="B153" s="84">
        <v>1.00197282E9</v>
      </c>
      <c r="C153" s="435">
        <v>45756.0</v>
      </c>
      <c r="D153" s="84">
        <v>27.0</v>
      </c>
      <c r="E153" s="84">
        <v>31.822</v>
      </c>
      <c r="F153" s="103" t="s">
        <v>43</v>
      </c>
      <c r="G153" s="93" t="s">
        <v>32</v>
      </c>
      <c r="H153" s="85" t="s">
        <v>2934</v>
      </c>
      <c r="I153" s="85" t="s">
        <v>1232</v>
      </c>
      <c r="J153" s="39" t="s">
        <v>106</v>
      </c>
      <c r="K153" s="25" t="s">
        <v>35</v>
      </c>
      <c r="L153" s="95" t="s">
        <v>121</v>
      </c>
      <c r="M153" s="12"/>
      <c r="N153" s="133">
        <v>3049.0</v>
      </c>
      <c r="O153" s="73">
        <f t="shared" si="14"/>
        <v>0</v>
      </c>
      <c r="P153" s="15"/>
      <c r="Q153" s="12"/>
      <c r="R153" s="12"/>
      <c r="S153" s="84" t="s">
        <v>165</v>
      </c>
      <c r="T153" s="12"/>
      <c r="U153" s="12"/>
      <c r="V153" s="12"/>
      <c r="W153" s="12"/>
      <c r="X153" s="84" t="s">
        <v>127</v>
      </c>
      <c r="Y153" s="12"/>
      <c r="Z153" s="12"/>
      <c r="AA153" s="12"/>
      <c r="AB153" s="12"/>
      <c r="AC153" s="12"/>
      <c r="AD153" s="12"/>
      <c r="AE153" s="12"/>
      <c r="AF153" s="1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15"/>
    </row>
    <row r="154" ht="15.75" customHeight="1">
      <c r="A154" s="103">
        <v>1.1357503E7</v>
      </c>
      <c r="B154" s="84">
        <v>1.001972734E9</v>
      </c>
      <c r="C154" s="435">
        <v>45757.0</v>
      </c>
      <c r="D154" s="84">
        <v>26.0</v>
      </c>
      <c r="E154" s="84">
        <v>33.139</v>
      </c>
      <c r="F154" s="12" t="s">
        <v>31</v>
      </c>
      <c r="G154" s="84" t="s">
        <v>44</v>
      </c>
      <c r="H154" s="12" t="s">
        <v>45</v>
      </c>
      <c r="I154" s="12" t="s">
        <v>46</v>
      </c>
      <c r="J154" s="14" t="s">
        <v>35</v>
      </c>
      <c r="K154" s="14" t="s">
        <v>47</v>
      </c>
      <c r="L154" s="15" t="s">
        <v>48</v>
      </c>
      <c r="M154" s="12"/>
      <c r="N154" s="133">
        <v>2545.0</v>
      </c>
      <c r="O154" s="73">
        <f t="shared" si="14"/>
        <v>0</v>
      </c>
      <c r="P154" s="15"/>
      <c r="Q154" s="12"/>
      <c r="R154" s="12"/>
      <c r="S154" s="84" t="s">
        <v>165</v>
      </c>
      <c r="T154" s="12"/>
      <c r="U154" s="12"/>
      <c r="V154" s="12"/>
      <c r="W154" s="12"/>
      <c r="X154" s="84" t="s">
        <v>127</v>
      </c>
      <c r="Y154" s="12"/>
      <c r="Z154" s="12"/>
      <c r="AA154" s="12"/>
      <c r="AB154" s="12"/>
      <c r="AC154" s="12"/>
      <c r="AD154" s="12"/>
      <c r="AE154" s="12"/>
      <c r="AF154" s="1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15"/>
    </row>
    <row r="155" ht="15.75" customHeight="1">
      <c r="A155" s="103">
        <v>1.1362277E7</v>
      </c>
      <c r="B155" s="84">
        <v>1.00197855E9</v>
      </c>
      <c r="C155" s="435">
        <v>45757.0</v>
      </c>
      <c r="D155" s="84">
        <v>26.0</v>
      </c>
      <c r="E155" s="84">
        <v>33.139</v>
      </c>
      <c r="F155" s="12" t="s">
        <v>31</v>
      </c>
      <c r="G155" s="84" t="s">
        <v>44</v>
      </c>
      <c r="H155" s="12" t="s">
        <v>45</v>
      </c>
      <c r="I155" s="12" t="s">
        <v>46</v>
      </c>
      <c r="J155" s="14" t="s">
        <v>35</v>
      </c>
      <c r="K155" s="14" t="s">
        <v>47</v>
      </c>
      <c r="L155" s="15" t="s">
        <v>48</v>
      </c>
      <c r="M155" s="12"/>
      <c r="N155" s="133">
        <v>2545.0</v>
      </c>
      <c r="O155" s="73">
        <f t="shared" si="14"/>
        <v>0</v>
      </c>
      <c r="P155" s="15"/>
      <c r="Q155" s="12"/>
      <c r="R155" s="12"/>
      <c r="S155" s="84" t="s">
        <v>165</v>
      </c>
      <c r="T155" s="12"/>
      <c r="U155" s="12"/>
      <c r="V155" s="12"/>
      <c r="W155" s="12"/>
      <c r="X155" s="84" t="s">
        <v>127</v>
      </c>
      <c r="Y155" s="12"/>
      <c r="Z155" s="12"/>
      <c r="AA155" s="12"/>
      <c r="AB155" s="12"/>
      <c r="AC155" s="12"/>
      <c r="AD155" s="12"/>
      <c r="AE155" s="12"/>
      <c r="AF155" s="12"/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 ht="15.75" customHeight="1">
      <c r="A156" s="103">
        <v>1.1365105E7</v>
      </c>
      <c r="B156" s="84">
        <v>1.0019829E9</v>
      </c>
      <c r="C156" s="84" t="s">
        <v>1415</v>
      </c>
      <c r="D156" s="84">
        <v>26.0</v>
      </c>
      <c r="E156" s="84">
        <v>32.553</v>
      </c>
      <c r="F156" s="103" t="s">
        <v>43</v>
      </c>
      <c r="G156" s="85" t="s">
        <v>44</v>
      </c>
      <c r="H156" s="12" t="s">
        <v>45</v>
      </c>
      <c r="I156" s="12" t="s">
        <v>46</v>
      </c>
      <c r="J156" s="14" t="s">
        <v>35</v>
      </c>
      <c r="K156" s="14" t="s">
        <v>47</v>
      </c>
      <c r="L156" s="98" t="s">
        <v>108</v>
      </c>
      <c r="M156" s="12"/>
      <c r="N156" s="133">
        <v>2335.0</v>
      </c>
      <c r="O156" s="73">
        <f t="shared" si="14"/>
        <v>0</v>
      </c>
      <c r="P156" s="15"/>
      <c r="Q156" s="12"/>
      <c r="R156" s="12"/>
      <c r="S156" s="84" t="s">
        <v>165</v>
      </c>
      <c r="T156" s="12"/>
      <c r="U156" s="12"/>
      <c r="V156" s="12"/>
      <c r="W156" s="12"/>
      <c r="X156" s="84" t="s">
        <v>127</v>
      </c>
      <c r="Y156" s="12"/>
      <c r="Z156" s="12"/>
      <c r="AA156" s="12"/>
      <c r="AB156" s="12"/>
      <c r="AC156" s="12"/>
      <c r="AD156" s="12"/>
      <c r="AE156" s="12"/>
      <c r="AF156" s="1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15"/>
    </row>
    <row r="157" ht="15.75" customHeight="1">
      <c r="A157" s="103">
        <v>1.1365107E7</v>
      </c>
      <c r="B157" s="84">
        <v>1.001982854E9</v>
      </c>
      <c r="C157" s="84" t="s">
        <v>1415</v>
      </c>
      <c r="D157" s="84">
        <v>14.0</v>
      </c>
      <c r="E157" s="84">
        <v>15.911</v>
      </c>
      <c r="F157" s="103" t="s">
        <v>43</v>
      </c>
      <c r="G157" s="85" t="s">
        <v>44</v>
      </c>
      <c r="H157" s="84" t="s">
        <v>2935</v>
      </c>
      <c r="I157" s="12" t="s">
        <v>46</v>
      </c>
      <c r="J157" s="14" t="s">
        <v>47</v>
      </c>
      <c r="K157" s="14" t="s">
        <v>35</v>
      </c>
      <c r="L157" s="98" t="s">
        <v>110</v>
      </c>
      <c r="M157" s="12"/>
      <c r="N157" s="133">
        <v>1557.0</v>
      </c>
      <c r="O157" s="73">
        <f t="shared" si="14"/>
        <v>0</v>
      </c>
      <c r="P157" s="15"/>
      <c r="Q157" s="12"/>
      <c r="R157" s="12"/>
      <c r="S157" s="84" t="s">
        <v>165</v>
      </c>
      <c r="T157" s="12"/>
      <c r="U157" s="12"/>
      <c r="V157" s="12"/>
      <c r="W157" s="12"/>
      <c r="X157" s="84" t="s">
        <v>127</v>
      </c>
      <c r="Y157" s="12"/>
      <c r="Z157" s="12"/>
      <c r="AA157" s="12"/>
      <c r="AB157" s="12"/>
      <c r="AC157" s="12"/>
      <c r="AD157" s="12"/>
      <c r="AE157" s="12"/>
      <c r="AF157" s="1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15"/>
    </row>
    <row r="158" ht="15.75" customHeight="1">
      <c r="A158" s="103">
        <v>1.1365104E7</v>
      </c>
      <c r="B158" s="84">
        <v>1.001982831E9</v>
      </c>
      <c r="C158" s="84" t="s">
        <v>1415</v>
      </c>
      <c r="D158" s="84">
        <v>26.0</v>
      </c>
      <c r="E158" s="84">
        <v>32.553</v>
      </c>
      <c r="F158" s="103" t="s">
        <v>43</v>
      </c>
      <c r="G158" s="85" t="s">
        <v>44</v>
      </c>
      <c r="H158" s="12" t="s">
        <v>45</v>
      </c>
      <c r="I158" s="12" t="s">
        <v>46</v>
      </c>
      <c r="J158" s="14" t="s">
        <v>35</v>
      </c>
      <c r="K158" s="14" t="s">
        <v>47</v>
      </c>
      <c r="L158" s="98" t="s">
        <v>108</v>
      </c>
      <c r="M158" s="12"/>
      <c r="N158" s="133">
        <v>2335.0</v>
      </c>
      <c r="O158" s="73">
        <f t="shared" si="14"/>
        <v>0</v>
      </c>
      <c r="P158" s="15"/>
      <c r="Q158" s="12"/>
      <c r="R158" s="12"/>
      <c r="S158" s="84" t="s">
        <v>165</v>
      </c>
      <c r="T158" s="12"/>
      <c r="U158" s="12"/>
      <c r="V158" s="12"/>
      <c r="W158" s="12"/>
      <c r="X158" s="84" t="s">
        <v>127</v>
      </c>
      <c r="Y158" s="12"/>
      <c r="Z158" s="12"/>
      <c r="AA158" s="12"/>
      <c r="AB158" s="12"/>
      <c r="AC158" s="12"/>
      <c r="AD158" s="12"/>
      <c r="AE158" s="12"/>
      <c r="AF158" s="1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15"/>
    </row>
    <row r="159" ht="15.75" customHeight="1">
      <c r="A159" s="103">
        <v>1.1365106E7</v>
      </c>
      <c r="B159" s="84">
        <v>1.001982888E9</v>
      </c>
      <c r="C159" s="84" t="s">
        <v>1415</v>
      </c>
      <c r="D159" s="84">
        <v>14.0</v>
      </c>
      <c r="E159" s="84">
        <v>15.911</v>
      </c>
      <c r="F159" s="103" t="s">
        <v>43</v>
      </c>
      <c r="G159" s="85" t="s">
        <v>44</v>
      </c>
      <c r="H159" s="84" t="s">
        <v>2936</v>
      </c>
      <c r="I159" s="12" t="s">
        <v>46</v>
      </c>
      <c r="J159" s="14" t="s">
        <v>47</v>
      </c>
      <c r="K159" s="14" t="s">
        <v>35</v>
      </c>
      <c r="L159" s="98" t="s">
        <v>110</v>
      </c>
      <c r="M159" s="12"/>
      <c r="N159" s="133">
        <v>1557.0</v>
      </c>
      <c r="O159" s="73">
        <f t="shared" si="14"/>
        <v>0</v>
      </c>
      <c r="P159" s="15"/>
      <c r="Q159" s="12"/>
      <c r="R159" s="12"/>
      <c r="S159" s="84" t="s">
        <v>165</v>
      </c>
      <c r="T159" s="12"/>
      <c r="U159" s="12"/>
      <c r="V159" s="12"/>
      <c r="W159" s="12"/>
      <c r="X159" s="84" t="s">
        <v>127</v>
      </c>
      <c r="Y159" s="12"/>
      <c r="Z159" s="12"/>
      <c r="AA159" s="12"/>
      <c r="AB159" s="12"/>
      <c r="AC159" s="12"/>
      <c r="AD159" s="12"/>
      <c r="AE159" s="12"/>
      <c r="AF159" s="1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15"/>
    </row>
    <row r="160" ht="15.75" customHeight="1">
      <c r="A160" s="103">
        <v>1.1367159E7</v>
      </c>
      <c r="B160" s="84">
        <v>1.001984826E9</v>
      </c>
      <c r="C160" s="99">
        <v>45995.0</v>
      </c>
      <c r="D160" s="84">
        <v>26.0</v>
      </c>
      <c r="E160" s="84">
        <v>32.553</v>
      </c>
      <c r="F160" s="103" t="s">
        <v>43</v>
      </c>
      <c r="G160" s="93" t="s">
        <v>32</v>
      </c>
      <c r="H160" s="84" t="s">
        <v>268</v>
      </c>
      <c r="I160" s="29" t="s">
        <v>397</v>
      </c>
      <c r="J160" s="84" t="s">
        <v>35</v>
      </c>
      <c r="K160" s="84" t="s">
        <v>270</v>
      </c>
      <c r="L160" s="95" t="s">
        <v>94</v>
      </c>
      <c r="M160" s="12"/>
      <c r="N160" s="133">
        <v>5847.0</v>
      </c>
      <c r="O160" s="73">
        <f t="shared" si="14"/>
        <v>0</v>
      </c>
      <c r="P160" s="15"/>
      <c r="Q160" s="12"/>
      <c r="R160" s="12"/>
      <c r="S160" s="84" t="s">
        <v>165</v>
      </c>
      <c r="T160" s="12"/>
      <c r="U160" s="12"/>
      <c r="V160" s="12"/>
      <c r="W160" s="12"/>
      <c r="X160" s="84" t="s">
        <v>127</v>
      </c>
      <c r="Y160" s="12"/>
      <c r="Z160" s="12"/>
      <c r="AA160" s="12"/>
      <c r="AB160" s="12"/>
      <c r="AC160" s="12"/>
      <c r="AD160" s="12"/>
      <c r="AE160" s="12"/>
      <c r="AF160" s="1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15"/>
    </row>
    <row r="161" ht="15.75" customHeight="1">
      <c r="A161" s="103">
        <v>1.136716E7</v>
      </c>
      <c r="B161" s="84">
        <v>1.001985244E9</v>
      </c>
      <c r="C161" s="99">
        <v>45995.0</v>
      </c>
      <c r="D161" s="84">
        <v>14.0</v>
      </c>
      <c r="E161" s="84">
        <v>15.911</v>
      </c>
      <c r="F161" s="103" t="s">
        <v>43</v>
      </c>
      <c r="G161" s="93" t="s">
        <v>32</v>
      </c>
      <c r="H161" s="84" t="s">
        <v>2937</v>
      </c>
      <c r="I161" s="85" t="s">
        <v>1232</v>
      </c>
      <c r="J161" s="25" t="s">
        <v>270</v>
      </c>
      <c r="K161" s="25" t="s">
        <v>35</v>
      </c>
      <c r="L161" s="28" t="s">
        <v>188</v>
      </c>
      <c r="M161" s="12"/>
      <c r="N161" s="133">
        <v>3898.0</v>
      </c>
      <c r="O161" s="73">
        <f t="shared" si="14"/>
        <v>0</v>
      </c>
      <c r="P161" s="15"/>
      <c r="Q161" s="12"/>
      <c r="R161" s="12"/>
      <c r="S161" s="84" t="s">
        <v>165</v>
      </c>
      <c r="T161" s="12"/>
      <c r="U161" s="12"/>
      <c r="V161" s="12"/>
      <c r="W161" s="12"/>
      <c r="X161" s="84" t="s">
        <v>127</v>
      </c>
      <c r="Y161" s="12"/>
      <c r="Z161" s="12"/>
      <c r="AA161" s="12"/>
      <c r="AB161" s="12"/>
      <c r="AC161" s="12"/>
      <c r="AD161" s="12"/>
      <c r="AE161" s="12"/>
      <c r="AF161" s="1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15"/>
    </row>
    <row r="162" ht="15.75" customHeight="1">
      <c r="A162" s="103">
        <v>1.13683E7</v>
      </c>
      <c r="B162" s="103">
        <v>1.001987228E9</v>
      </c>
      <c r="C162" s="84" t="s">
        <v>1387</v>
      </c>
      <c r="D162" s="84">
        <v>26.0</v>
      </c>
      <c r="E162" s="84">
        <v>33.139</v>
      </c>
      <c r="F162" s="12" t="s">
        <v>31</v>
      </c>
      <c r="G162" s="84" t="s">
        <v>44</v>
      </c>
      <c r="H162" s="12" t="s">
        <v>45</v>
      </c>
      <c r="I162" s="12" t="s">
        <v>46</v>
      </c>
      <c r="J162" s="14" t="s">
        <v>35</v>
      </c>
      <c r="K162" s="14" t="s">
        <v>47</v>
      </c>
      <c r="L162" s="15" t="s">
        <v>48</v>
      </c>
      <c r="M162" s="12"/>
      <c r="N162" s="133">
        <v>2545.0</v>
      </c>
      <c r="O162" s="73">
        <f t="shared" si="14"/>
        <v>0</v>
      </c>
      <c r="P162" s="15"/>
      <c r="Q162" s="12"/>
      <c r="R162" s="12"/>
      <c r="S162" s="84" t="s">
        <v>165</v>
      </c>
      <c r="T162" s="12"/>
      <c r="U162" s="12"/>
      <c r="V162" s="12"/>
      <c r="W162" s="12"/>
      <c r="X162" s="84" t="s">
        <v>127</v>
      </c>
      <c r="Y162" s="12"/>
      <c r="Z162" s="12"/>
      <c r="AA162" s="12"/>
      <c r="AB162" s="12"/>
      <c r="AC162" s="12"/>
      <c r="AD162" s="12"/>
      <c r="AE162" s="12"/>
      <c r="AF162" s="1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15"/>
    </row>
    <row r="163" ht="15.75" customHeight="1">
      <c r="A163" s="103">
        <v>1.1368301E7</v>
      </c>
      <c r="B163" s="103">
        <v>1.001987362E9</v>
      </c>
      <c r="C163" s="84" t="s">
        <v>2707</v>
      </c>
      <c r="D163" s="84">
        <v>26.0</v>
      </c>
      <c r="E163" s="84">
        <v>33.139</v>
      </c>
      <c r="F163" s="12" t="s">
        <v>31</v>
      </c>
      <c r="G163" s="84" t="s">
        <v>44</v>
      </c>
      <c r="H163" s="12" t="s">
        <v>45</v>
      </c>
      <c r="I163" s="12" t="s">
        <v>46</v>
      </c>
      <c r="J163" s="14" t="s">
        <v>35</v>
      </c>
      <c r="K163" s="14" t="s">
        <v>47</v>
      </c>
      <c r="L163" s="15" t="s">
        <v>48</v>
      </c>
      <c r="M163" s="12"/>
      <c r="N163" s="133">
        <v>2545.0</v>
      </c>
      <c r="O163" s="73">
        <f t="shared" si="14"/>
        <v>0</v>
      </c>
      <c r="P163" s="15"/>
      <c r="Q163" s="12"/>
      <c r="R163" s="12"/>
      <c r="S163" s="84" t="s">
        <v>165</v>
      </c>
      <c r="T163" s="12"/>
      <c r="U163" s="12"/>
      <c r="V163" s="12"/>
      <c r="W163" s="12"/>
      <c r="X163" s="84" t="s">
        <v>127</v>
      </c>
      <c r="Y163" s="12"/>
      <c r="Z163" s="12"/>
      <c r="AA163" s="12"/>
      <c r="AB163" s="12"/>
      <c r="AC163" s="12"/>
      <c r="AD163" s="12"/>
      <c r="AE163" s="12"/>
      <c r="AF163" s="1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15"/>
    </row>
    <row r="164" ht="15.75" customHeight="1">
      <c r="A164" s="103">
        <v>1.1368302E7</v>
      </c>
      <c r="B164" s="103">
        <v>1.001987352E9</v>
      </c>
      <c r="C164" s="84" t="s">
        <v>2707</v>
      </c>
      <c r="D164" s="84">
        <v>26.0</v>
      </c>
      <c r="E164" s="84">
        <v>33.139</v>
      </c>
      <c r="F164" s="12" t="s">
        <v>31</v>
      </c>
      <c r="G164" s="84" t="s">
        <v>44</v>
      </c>
      <c r="H164" s="12" t="s">
        <v>45</v>
      </c>
      <c r="I164" s="12" t="s">
        <v>46</v>
      </c>
      <c r="J164" s="14" t="s">
        <v>35</v>
      </c>
      <c r="K164" s="14" t="s">
        <v>47</v>
      </c>
      <c r="L164" s="15" t="s">
        <v>48</v>
      </c>
      <c r="M164" s="12"/>
      <c r="N164" s="133">
        <v>2545.0</v>
      </c>
      <c r="O164" s="73">
        <f t="shared" si="14"/>
        <v>0</v>
      </c>
      <c r="P164" s="15"/>
      <c r="Q164" s="12"/>
      <c r="R164" s="12"/>
      <c r="S164" s="84" t="s">
        <v>165</v>
      </c>
      <c r="T164" s="12"/>
      <c r="U164" s="12"/>
      <c r="V164" s="12"/>
      <c r="W164" s="12"/>
      <c r="X164" s="84" t="s">
        <v>127</v>
      </c>
      <c r="Y164" s="12"/>
      <c r="Z164" s="12"/>
      <c r="AA164" s="12"/>
      <c r="AB164" s="12"/>
      <c r="AC164" s="12"/>
      <c r="AD164" s="12"/>
      <c r="AE164" s="12"/>
      <c r="AF164" s="1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15"/>
    </row>
    <row r="165" ht="15.75" customHeight="1">
      <c r="A165" s="103">
        <v>1.1371581E7</v>
      </c>
      <c r="B165" s="84">
        <v>1.00199249E9</v>
      </c>
      <c r="C165" s="84" t="s">
        <v>2938</v>
      </c>
      <c r="D165" s="84">
        <v>26.0</v>
      </c>
      <c r="E165" s="84">
        <v>30.126</v>
      </c>
      <c r="F165" s="38" t="s">
        <v>43</v>
      </c>
      <c r="G165" s="85" t="s">
        <v>44</v>
      </c>
      <c r="H165" s="12" t="s">
        <v>45</v>
      </c>
      <c r="I165" s="12" t="s">
        <v>46</v>
      </c>
      <c r="J165" s="14" t="s">
        <v>35</v>
      </c>
      <c r="K165" s="14" t="s">
        <v>47</v>
      </c>
      <c r="L165" s="98" t="s">
        <v>108</v>
      </c>
      <c r="M165" s="12"/>
      <c r="N165" s="133">
        <v>2335.0</v>
      </c>
      <c r="O165" s="73">
        <f t="shared" si="14"/>
        <v>0</v>
      </c>
      <c r="P165" s="15"/>
      <c r="Q165" s="12"/>
      <c r="R165" s="12"/>
      <c r="S165" s="84" t="s">
        <v>165</v>
      </c>
      <c r="T165" s="12"/>
      <c r="U165" s="12"/>
      <c r="V165" s="12"/>
      <c r="W165" s="12"/>
      <c r="X165" s="84" t="s">
        <v>127</v>
      </c>
      <c r="Y165" s="12"/>
      <c r="Z165" s="12"/>
      <c r="AA165" s="12"/>
      <c r="AB165" s="12"/>
      <c r="AC165" s="12"/>
      <c r="AD165" s="12"/>
      <c r="AE165" s="12"/>
      <c r="AF165" s="1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15"/>
    </row>
    <row r="166" ht="15.75" customHeight="1">
      <c r="A166" s="103">
        <v>1.1371583E7</v>
      </c>
      <c r="B166" s="84">
        <v>1.0019926E9</v>
      </c>
      <c r="C166" s="84" t="s">
        <v>2938</v>
      </c>
      <c r="D166" s="84">
        <v>9.0</v>
      </c>
      <c r="E166" s="84">
        <v>10.346</v>
      </c>
      <c r="F166" s="38" t="s">
        <v>43</v>
      </c>
      <c r="G166" s="85" t="s">
        <v>44</v>
      </c>
      <c r="H166" s="84" t="s">
        <v>2939</v>
      </c>
      <c r="I166" s="12" t="s">
        <v>46</v>
      </c>
      <c r="J166" s="14" t="s">
        <v>47</v>
      </c>
      <c r="K166" s="14" t="s">
        <v>35</v>
      </c>
      <c r="L166" s="98" t="s">
        <v>110</v>
      </c>
      <c r="M166" s="12"/>
      <c r="N166" s="133">
        <v>1557.0</v>
      </c>
      <c r="O166" s="73">
        <f t="shared" si="14"/>
        <v>0</v>
      </c>
      <c r="P166" s="15"/>
      <c r="Q166" s="12"/>
      <c r="R166" s="12"/>
      <c r="S166" s="84" t="s">
        <v>165</v>
      </c>
      <c r="T166" s="12"/>
      <c r="U166" s="84"/>
      <c r="V166" s="12"/>
      <c r="W166" s="12"/>
      <c r="X166" s="84" t="s">
        <v>127</v>
      </c>
      <c r="Y166" s="12"/>
      <c r="Z166" s="12"/>
      <c r="AA166" s="12"/>
      <c r="AB166" s="12"/>
      <c r="AC166" s="12"/>
      <c r="AD166" s="12"/>
      <c r="AE166" s="12"/>
      <c r="AF166" s="1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15"/>
    </row>
    <row r="167" ht="15.0" customHeight="1">
      <c r="A167" s="103">
        <v>1.1381456E7</v>
      </c>
      <c r="B167" s="84">
        <v>1.002006771E9</v>
      </c>
      <c r="C167" s="84" t="s">
        <v>1444</v>
      </c>
      <c r="D167" s="84">
        <v>26.0</v>
      </c>
      <c r="E167" s="84">
        <v>31.873</v>
      </c>
      <c r="F167" s="38" t="s">
        <v>43</v>
      </c>
      <c r="G167" s="85" t="s">
        <v>44</v>
      </c>
      <c r="H167" s="12" t="s">
        <v>45</v>
      </c>
      <c r="I167" s="12" t="s">
        <v>46</v>
      </c>
      <c r="J167" s="14" t="s">
        <v>35</v>
      </c>
      <c r="K167" s="14" t="s">
        <v>47</v>
      </c>
      <c r="L167" s="98" t="s">
        <v>108</v>
      </c>
      <c r="M167" s="12"/>
      <c r="N167" s="133">
        <v>2335.0</v>
      </c>
      <c r="O167" s="73">
        <f t="shared" ref="O167:O168" si="15">IFERROR(Q167/N167,0)</f>
        <v>0</v>
      </c>
      <c r="P167" s="15"/>
      <c r="Q167" s="12"/>
      <c r="R167" s="12"/>
      <c r="S167" s="84" t="s">
        <v>165</v>
      </c>
      <c r="T167" s="12"/>
      <c r="U167" s="12"/>
      <c r="V167" s="12"/>
      <c r="W167" s="12"/>
      <c r="X167" s="84" t="s">
        <v>127</v>
      </c>
      <c r="Y167" s="12"/>
      <c r="Z167" s="12"/>
      <c r="AA167" s="12"/>
      <c r="AB167" s="12"/>
      <c r="AC167" s="12"/>
      <c r="AD167" s="12"/>
      <c r="AE167" s="12"/>
      <c r="AF167" s="1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15"/>
    </row>
    <row r="168" ht="15.75" customHeight="1">
      <c r="A168" s="103">
        <v>1.1381457E7</v>
      </c>
      <c r="B168" s="84">
        <v>1.002006782E9</v>
      </c>
      <c r="C168" s="84" t="s">
        <v>1444</v>
      </c>
      <c r="D168" s="84">
        <v>11.0</v>
      </c>
      <c r="E168" s="84">
        <v>12.35</v>
      </c>
      <c r="F168" s="38" t="s">
        <v>43</v>
      </c>
      <c r="G168" s="85" t="s">
        <v>44</v>
      </c>
      <c r="H168" s="84" t="s">
        <v>2940</v>
      </c>
      <c r="I168" s="12" t="s">
        <v>46</v>
      </c>
      <c r="J168" s="14" t="s">
        <v>47</v>
      </c>
      <c r="K168" s="14" t="s">
        <v>35</v>
      </c>
      <c r="L168" s="98" t="s">
        <v>110</v>
      </c>
      <c r="M168" s="12"/>
      <c r="N168" s="133">
        <v>1557.0</v>
      </c>
      <c r="O168" s="73">
        <f t="shared" si="15"/>
        <v>0</v>
      </c>
      <c r="P168" s="15"/>
      <c r="Q168" s="12"/>
      <c r="R168" s="12"/>
      <c r="S168" s="84" t="s">
        <v>165</v>
      </c>
      <c r="T168" s="12"/>
      <c r="U168" s="12"/>
      <c r="V168" s="12"/>
      <c r="W168" s="12"/>
      <c r="X168" s="84" t="s">
        <v>127</v>
      </c>
      <c r="Y168" s="12"/>
      <c r="Z168" s="12"/>
      <c r="AA168" s="12"/>
      <c r="AB168" s="12"/>
      <c r="AC168" s="12"/>
      <c r="AD168" s="12"/>
      <c r="AE168" s="12"/>
      <c r="AF168" s="1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15"/>
    </row>
    <row r="169" ht="15.75" customHeight="1">
      <c r="A169" s="103">
        <v>1.138554E7</v>
      </c>
      <c r="B169" s="84">
        <v>1.002011916E9</v>
      </c>
      <c r="C169" s="84" t="s">
        <v>2709</v>
      </c>
      <c r="D169" s="84">
        <v>26.0</v>
      </c>
      <c r="E169" s="84">
        <v>25.308</v>
      </c>
      <c r="F169" s="38" t="s">
        <v>43</v>
      </c>
      <c r="G169" s="85" t="s">
        <v>44</v>
      </c>
      <c r="H169" s="12" t="s">
        <v>45</v>
      </c>
      <c r="I169" s="12" t="s">
        <v>46</v>
      </c>
      <c r="J169" s="14" t="s">
        <v>35</v>
      </c>
      <c r="K169" s="14" t="s">
        <v>47</v>
      </c>
      <c r="L169" s="98" t="s">
        <v>108</v>
      </c>
      <c r="M169" s="12"/>
      <c r="N169" s="133">
        <v>2335.0</v>
      </c>
      <c r="O169" s="73">
        <f t="shared" ref="O169:O224" si="16">IFERROR(P169/N169,0)</f>
        <v>0</v>
      </c>
      <c r="P169" s="15"/>
      <c r="Q169" s="12"/>
      <c r="R169" s="12"/>
      <c r="S169" s="84" t="s">
        <v>165</v>
      </c>
      <c r="T169" s="12"/>
      <c r="U169" s="12"/>
      <c r="V169" s="12"/>
      <c r="W169" s="12"/>
      <c r="X169" s="84" t="s">
        <v>127</v>
      </c>
      <c r="Y169" s="12"/>
      <c r="Z169" s="12"/>
      <c r="AA169" s="12"/>
      <c r="AB169" s="12"/>
      <c r="AC169" s="12"/>
      <c r="AD169" s="12"/>
      <c r="AE169" s="12"/>
      <c r="AF169" s="1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15"/>
    </row>
    <row r="170" ht="15.75" customHeight="1">
      <c r="A170" s="103">
        <v>1.1385541E7</v>
      </c>
      <c r="B170" s="84">
        <v>1.00201181E9</v>
      </c>
      <c r="C170" s="84" t="s">
        <v>2709</v>
      </c>
      <c r="D170" s="84">
        <v>8.0</v>
      </c>
      <c r="E170" s="84">
        <v>8.839</v>
      </c>
      <c r="F170" s="38" t="s">
        <v>43</v>
      </c>
      <c r="G170" s="85" t="s">
        <v>44</v>
      </c>
      <c r="H170" s="84" t="s">
        <v>2941</v>
      </c>
      <c r="I170" s="12" t="s">
        <v>46</v>
      </c>
      <c r="J170" s="14" t="s">
        <v>47</v>
      </c>
      <c r="K170" s="14" t="s">
        <v>35</v>
      </c>
      <c r="L170" s="98" t="s">
        <v>110</v>
      </c>
      <c r="M170" s="12"/>
      <c r="N170" s="133">
        <v>1557.0</v>
      </c>
      <c r="O170" s="73">
        <f t="shared" si="16"/>
        <v>0</v>
      </c>
      <c r="P170" s="15"/>
      <c r="Q170" s="12"/>
      <c r="R170" s="12"/>
      <c r="S170" s="84" t="s">
        <v>165</v>
      </c>
      <c r="T170" s="12"/>
      <c r="U170" s="12"/>
      <c r="V170" s="12"/>
      <c r="W170" s="12"/>
      <c r="X170" s="84" t="s">
        <v>127</v>
      </c>
      <c r="Y170" s="12"/>
      <c r="Z170" s="12"/>
      <c r="AA170" s="12"/>
      <c r="AB170" s="12"/>
      <c r="AC170" s="12"/>
      <c r="AD170" s="12"/>
      <c r="AE170" s="12"/>
      <c r="AF170" s="1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15"/>
    </row>
    <row r="171" ht="15.75" customHeight="1">
      <c r="A171" s="103">
        <v>1.1385539E7</v>
      </c>
      <c r="B171" s="84">
        <v>1.002011878E9</v>
      </c>
      <c r="C171" s="84" t="s">
        <v>2709</v>
      </c>
      <c r="D171" s="84">
        <v>26.0</v>
      </c>
      <c r="E171" s="84">
        <v>32.553</v>
      </c>
      <c r="F171" s="103" t="s">
        <v>43</v>
      </c>
      <c r="G171" s="93" t="s">
        <v>32</v>
      </c>
      <c r="H171" s="29" t="s">
        <v>104</v>
      </c>
      <c r="I171" s="29" t="s">
        <v>105</v>
      </c>
      <c r="J171" s="25" t="s">
        <v>35</v>
      </c>
      <c r="K171" s="39" t="s">
        <v>106</v>
      </c>
      <c r="L171" s="95" t="s">
        <v>59</v>
      </c>
      <c r="M171" s="12"/>
      <c r="N171" s="133">
        <v>4574.0</v>
      </c>
      <c r="O171" s="73">
        <f t="shared" si="16"/>
        <v>0</v>
      </c>
      <c r="P171" s="15"/>
      <c r="Q171" s="12"/>
      <c r="R171" s="12"/>
      <c r="S171" s="84" t="s">
        <v>165</v>
      </c>
      <c r="T171" s="12"/>
      <c r="U171" s="12"/>
      <c r="V171" s="12"/>
      <c r="W171" s="12"/>
      <c r="X171" s="84" t="s">
        <v>2942</v>
      </c>
      <c r="Y171" s="12"/>
      <c r="Z171" s="12"/>
      <c r="AA171" s="12"/>
      <c r="AB171" s="12"/>
      <c r="AC171" s="12"/>
      <c r="AD171" s="12"/>
      <c r="AE171" s="12"/>
      <c r="AF171" s="1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15"/>
    </row>
    <row r="172" ht="15.75" customHeight="1">
      <c r="A172" s="103">
        <v>1.1385542E7</v>
      </c>
      <c r="B172" s="84">
        <v>1.002011919E9</v>
      </c>
      <c r="C172" s="84" t="s">
        <v>2709</v>
      </c>
      <c r="D172" s="84">
        <v>14.0</v>
      </c>
      <c r="E172" s="84">
        <v>15.911</v>
      </c>
      <c r="F172" s="103" t="s">
        <v>43</v>
      </c>
      <c r="G172" s="93" t="s">
        <v>32</v>
      </c>
      <c r="H172" s="85" t="s">
        <v>2943</v>
      </c>
      <c r="I172" s="85" t="s">
        <v>1232</v>
      </c>
      <c r="J172" s="39" t="s">
        <v>106</v>
      </c>
      <c r="K172" s="25" t="s">
        <v>35</v>
      </c>
      <c r="L172" s="95" t="s">
        <v>121</v>
      </c>
      <c r="M172" s="12"/>
      <c r="N172" s="133">
        <v>3049.0</v>
      </c>
      <c r="O172" s="73">
        <f t="shared" si="16"/>
        <v>0</v>
      </c>
      <c r="P172" s="15"/>
      <c r="Q172" s="12"/>
      <c r="R172" s="12"/>
      <c r="S172" s="84" t="s">
        <v>165</v>
      </c>
      <c r="T172" s="12"/>
      <c r="U172" s="12"/>
      <c r="V172" s="12"/>
      <c r="W172" s="12"/>
      <c r="X172" s="84" t="s">
        <v>2944</v>
      </c>
      <c r="Y172" s="12"/>
      <c r="Z172" s="12"/>
      <c r="AA172" s="12"/>
      <c r="AB172" s="12"/>
      <c r="AC172" s="12"/>
      <c r="AD172" s="12"/>
      <c r="AE172" s="12"/>
      <c r="AF172" s="1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15"/>
    </row>
    <row r="173" ht="15.75" customHeight="1">
      <c r="A173" s="103">
        <v>1.1373479E7</v>
      </c>
      <c r="B173" s="84">
        <v>1.001994909E9</v>
      </c>
      <c r="C173" s="84" t="s">
        <v>1444</v>
      </c>
      <c r="D173" s="84">
        <v>26.0</v>
      </c>
      <c r="E173" s="84">
        <v>33.43</v>
      </c>
      <c r="F173" s="29" t="s">
        <v>31</v>
      </c>
      <c r="G173" s="84" t="s">
        <v>32</v>
      </c>
      <c r="H173" s="29" t="s">
        <v>124</v>
      </c>
      <c r="I173" s="29" t="s">
        <v>125</v>
      </c>
      <c r="J173" s="25" t="s">
        <v>35</v>
      </c>
      <c r="K173" s="39" t="s">
        <v>126</v>
      </c>
      <c r="L173" s="28" t="s">
        <v>114</v>
      </c>
      <c r="M173" s="12"/>
      <c r="N173" s="133">
        <v>5782.0</v>
      </c>
      <c r="O173" s="73">
        <f t="shared" si="16"/>
        <v>0</v>
      </c>
      <c r="P173" s="15"/>
      <c r="Q173" s="12"/>
      <c r="R173" s="12"/>
      <c r="S173" s="84" t="s">
        <v>165</v>
      </c>
      <c r="T173" s="12"/>
      <c r="U173" s="12"/>
      <c r="V173" s="12"/>
      <c r="W173" s="12"/>
      <c r="X173" s="84" t="s">
        <v>127</v>
      </c>
      <c r="Y173" s="12"/>
      <c r="Z173" s="12"/>
      <c r="AA173" s="12"/>
      <c r="AB173" s="12"/>
      <c r="AC173" s="12"/>
      <c r="AD173" s="12"/>
      <c r="AE173" s="12"/>
      <c r="AF173" s="1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15"/>
    </row>
    <row r="174" ht="15.75" customHeight="1">
      <c r="A174" s="103">
        <v>1.138967E7</v>
      </c>
      <c r="B174" s="84">
        <v>1.002016844E9</v>
      </c>
      <c r="C174" s="84" t="s">
        <v>2945</v>
      </c>
      <c r="D174" s="84">
        <v>26.0</v>
      </c>
      <c r="E174" s="84">
        <v>32.46</v>
      </c>
      <c r="F174" s="29" t="s">
        <v>31</v>
      </c>
      <c r="G174" s="85" t="s">
        <v>44</v>
      </c>
      <c r="H174" s="12" t="s">
        <v>45</v>
      </c>
      <c r="I174" s="12" t="s">
        <v>46</v>
      </c>
      <c r="J174" s="14" t="s">
        <v>35</v>
      </c>
      <c r="K174" s="14" t="s">
        <v>47</v>
      </c>
      <c r="L174" s="98" t="s">
        <v>108</v>
      </c>
      <c r="M174" s="12"/>
      <c r="N174" s="133">
        <v>2545.0</v>
      </c>
      <c r="O174" s="73">
        <f t="shared" si="16"/>
        <v>0</v>
      </c>
      <c r="P174" s="15"/>
      <c r="Q174" s="12"/>
      <c r="R174" s="12"/>
      <c r="S174" s="84" t="s">
        <v>165</v>
      </c>
      <c r="T174" s="12"/>
      <c r="U174" s="12"/>
      <c r="V174" s="12"/>
      <c r="W174" s="12"/>
      <c r="X174" s="84" t="s">
        <v>127</v>
      </c>
      <c r="Y174" s="12"/>
      <c r="Z174" s="12"/>
      <c r="AA174" s="12"/>
      <c r="AB174" s="12"/>
      <c r="AC174" s="12"/>
      <c r="AD174" s="12"/>
      <c r="AE174" s="12"/>
      <c r="AF174" s="1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15"/>
    </row>
    <row r="175" ht="15.75" customHeight="1">
      <c r="A175" s="103">
        <v>1.1389718E7</v>
      </c>
      <c r="B175" s="84">
        <v>1.002016848E9</v>
      </c>
      <c r="C175" s="84" t="s">
        <v>2709</v>
      </c>
      <c r="D175" s="84">
        <v>26.0</v>
      </c>
      <c r="E175" s="84">
        <v>23.339</v>
      </c>
      <c r="F175" s="103" t="s">
        <v>43</v>
      </c>
      <c r="G175" s="93" t="s">
        <v>32</v>
      </c>
      <c r="H175" s="29" t="s">
        <v>104</v>
      </c>
      <c r="I175" s="29" t="s">
        <v>105</v>
      </c>
      <c r="J175" s="25" t="s">
        <v>35</v>
      </c>
      <c r="K175" s="39" t="s">
        <v>106</v>
      </c>
      <c r="L175" s="95" t="s">
        <v>59</v>
      </c>
      <c r="M175" s="12"/>
      <c r="N175" s="133">
        <v>4574.0</v>
      </c>
      <c r="O175" s="73">
        <f t="shared" si="16"/>
        <v>0</v>
      </c>
      <c r="P175" s="15"/>
      <c r="Q175" s="12"/>
      <c r="R175" s="12"/>
      <c r="S175" s="84" t="s">
        <v>165</v>
      </c>
      <c r="T175" s="12"/>
      <c r="U175" s="12"/>
      <c r="V175" s="12"/>
      <c r="W175" s="12"/>
      <c r="X175" s="84" t="s">
        <v>2942</v>
      </c>
      <c r="Y175" s="12"/>
      <c r="Z175" s="12"/>
      <c r="AA175" s="12"/>
      <c r="AB175" s="12"/>
      <c r="AC175" s="12"/>
      <c r="AD175" s="12"/>
      <c r="AE175" s="12"/>
      <c r="AF175" s="1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15"/>
    </row>
    <row r="176" ht="15.75" customHeight="1">
      <c r="A176" s="103">
        <v>1.1389719E7</v>
      </c>
      <c r="B176" s="84">
        <v>1.002016833E9</v>
      </c>
      <c r="C176" s="84" t="s">
        <v>2709</v>
      </c>
      <c r="D176" s="84">
        <v>10.0</v>
      </c>
      <c r="E176" s="84">
        <v>5.803</v>
      </c>
      <c r="F176" s="103" t="s">
        <v>43</v>
      </c>
      <c r="G176" s="93" t="s">
        <v>32</v>
      </c>
      <c r="H176" s="85" t="s">
        <v>2946</v>
      </c>
      <c r="I176" s="85" t="s">
        <v>1232</v>
      </c>
      <c r="J176" s="39" t="s">
        <v>106</v>
      </c>
      <c r="K176" s="25" t="s">
        <v>35</v>
      </c>
      <c r="L176" s="95" t="s">
        <v>121</v>
      </c>
      <c r="M176" s="12"/>
      <c r="N176" s="133">
        <v>3049.0</v>
      </c>
      <c r="O176" s="73">
        <f t="shared" si="16"/>
        <v>0</v>
      </c>
      <c r="P176" s="15"/>
      <c r="Q176" s="12"/>
      <c r="R176" s="12"/>
      <c r="S176" s="84" t="s">
        <v>165</v>
      </c>
      <c r="T176" s="12"/>
      <c r="U176" s="12"/>
      <c r="V176" s="12"/>
      <c r="W176" s="12"/>
      <c r="X176" s="84" t="s">
        <v>2944</v>
      </c>
      <c r="Y176" s="12"/>
      <c r="Z176" s="12"/>
      <c r="AA176" s="12"/>
      <c r="AB176" s="12"/>
      <c r="AC176" s="12"/>
      <c r="AD176" s="12"/>
      <c r="AE176" s="12"/>
      <c r="AF176" s="1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15"/>
    </row>
    <row r="177" ht="15.75" customHeight="1">
      <c r="A177" s="103">
        <v>1.1395483E7</v>
      </c>
      <c r="B177" s="84">
        <v>1.002026203E9</v>
      </c>
      <c r="C177" s="84" t="s">
        <v>1489</v>
      </c>
      <c r="D177" s="84">
        <v>24.0</v>
      </c>
      <c r="E177" s="84">
        <v>29.643</v>
      </c>
      <c r="F177" s="12" t="s">
        <v>31</v>
      </c>
      <c r="G177" s="85" t="s">
        <v>74</v>
      </c>
      <c r="H177" s="84" t="s">
        <v>426</v>
      </c>
      <c r="I177" s="85" t="s">
        <v>427</v>
      </c>
      <c r="J177" s="12" t="s">
        <v>35</v>
      </c>
      <c r="K177" s="84" t="s">
        <v>424</v>
      </c>
      <c r="L177" s="95" t="s">
        <v>188</v>
      </c>
      <c r="M177" s="12"/>
      <c r="N177" s="174">
        <v>2900.0</v>
      </c>
      <c r="O177" s="73">
        <f t="shared" si="16"/>
        <v>0</v>
      </c>
      <c r="P177" s="15"/>
      <c r="Q177" s="12"/>
      <c r="R177" s="12"/>
      <c r="S177" s="84" t="s">
        <v>165</v>
      </c>
      <c r="T177" s="12"/>
      <c r="U177" s="12"/>
      <c r="V177" s="12"/>
      <c r="W177" s="12"/>
      <c r="X177" s="84" t="s">
        <v>1462</v>
      </c>
      <c r="Y177" s="12"/>
      <c r="Z177" s="12"/>
      <c r="AA177" s="12"/>
      <c r="AB177" s="12"/>
      <c r="AC177" s="12"/>
      <c r="AD177" s="12"/>
      <c r="AE177" s="12"/>
      <c r="AF177" s="1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15"/>
    </row>
    <row r="178" ht="15.75" customHeight="1">
      <c r="A178" s="103">
        <v>1.1395653E7</v>
      </c>
      <c r="B178" s="84">
        <v>1.002026588E9</v>
      </c>
      <c r="C178" s="84" t="s">
        <v>1475</v>
      </c>
      <c r="D178" s="84">
        <v>26.0</v>
      </c>
      <c r="E178" s="84">
        <v>33.139</v>
      </c>
      <c r="F178" s="29" t="s">
        <v>31</v>
      </c>
      <c r="G178" s="84" t="s">
        <v>32</v>
      </c>
      <c r="H178" s="29" t="s">
        <v>124</v>
      </c>
      <c r="I178" s="29" t="s">
        <v>125</v>
      </c>
      <c r="J178" s="25" t="s">
        <v>35</v>
      </c>
      <c r="K178" s="39" t="s">
        <v>126</v>
      </c>
      <c r="L178" s="28" t="s">
        <v>114</v>
      </c>
      <c r="M178" s="12"/>
      <c r="N178" s="133">
        <v>5782.0</v>
      </c>
      <c r="O178" s="73">
        <f t="shared" si="16"/>
        <v>0</v>
      </c>
      <c r="P178" s="15"/>
      <c r="Q178" s="12"/>
      <c r="R178" s="12"/>
      <c r="S178" s="84" t="s">
        <v>165</v>
      </c>
      <c r="T178" s="12"/>
      <c r="U178" s="12"/>
      <c r="V178" s="12"/>
      <c r="W178" s="12"/>
      <c r="X178" s="84" t="s">
        <v>127</v>
      </c>
      <c r="Y178" s="12"/>
      <c r="Z178" s="12"/>
      <c r="AA178" s="12"/>
      <c r="AB178" s="12"/>
      <c r="AC178" s="12"/>
      <c r="AD178" s="12"/>
      <c r="AE178" s="12"/>
      <c r="AF178" s="1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15"/>
    </row>
    <row r="179" ht="15.75" customHeight="1">
      <c r="A179" s="103">
        <v>1.1398938E7</v>
      </c>
      <c r="B179" s="84">
        <v>1.002031424E9</v>
      </c>
      <c r="C179" s="84" t="s">
        <v>1484</v>
      </c>
      <c r="D179" s="84">
        <v>26.0</v>
      </c>
      <c r="E179" s="84">
        <v>32.553</v>
      </c>
      <c r="F179" s="103" t="s">
        <v>43</v>
      </c>
      <c r="G179" s="85" t="s">
        <v>44</v>
      </c>
      <c r="H179" s="12" t="s">
        <v>45</v>
      </c>
      <c r="I179" s="12" t="s">
        <v>46</v>
      </c>
      <c r="J179" s="14" t="s">
        <v>35</v>
      </c>
      <c r="K179" s="14" t="s">
        <v>47</v>
      </c>
      <c r="L179" s="98" t="s">
        <v>108</v>
      </c>
      <c r="M179" s="12"/>
      <c r="N179" s="133">
        <v>2335.0</v>
      </c>
      <c r="O179" s="73">
        <f t="shared" si="16"/>
        <v>0</v>
      </c>
      <c r="P179" s="15"/>
      <c r="Q179" s="12"/>
      <c r="R179" s="12"/>
      <c r="S179" s="84" t="s">
        <v>165</v>
      </c>
      <c r="T179" s="12"/>
      <c r="U179" s="12"/>
      <c r="V179" s="12"/>
      <c r="W179" s="12"/>
      <c r="X179" s="84" t="s">
        <v>127</v>
      </c>
      <c r="Y179" s="12"/>
      <c r="Z179" s="12"/>
      <c r="AA179" s="12"/>
      <c r="AB179" s="12"/>
      <c r="AC179" s="12"/>
      <c r="AD179" s="12"/>
      <c r="AE179" s="12"/>
      <c r="AF179" s="1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15"/>
    </row>
    <row r="180" ht="15.75" customHeight="1">
      <c r="A180" s="103">
        <v>1.1398939E7</v>
      </c>
      <c r="B180" s="84">
        <v>1.002031451E9</v>
      </c>
      <c r="C180" s="84" t="s">
        <v>1484</v>
      </c>
      <c r="D180" s="84">
        <v>14.0</v>
      </c>
      <c r="E180" s="84">
        <v>15.911</v>
      </c>
      <c r="F180" s="103" t="s">
        <v>43</v>
      </c>
      <c r="G180" s="85" t="s">
        <v>44</v>
      </c>
      <c r="H180" s="84" t="s">
        <v>2947</v>
      </c>
      <c r="I180" s="12" t="s">
        <v>46</v>
      </c>
      <c r="J180" s="14" t="s">
        <v>47</v>
      </c>
      <c r="K180" s="14" t="s">
        <v>35</v>
      </c>
      <c r="L180" s="98" t="s">
        <v>110</v>
      </c>
      <c r="M180" s="12"/>
      <c r="N180" s="133">
        <v>1557.0</v>
      </c>
      <c r="O180" s="73">
        <f t="shared" si="16"/>
        <v>0</v>
      </c>
      <c r="P180" s="15"/>
      <c r="Q180" s="12"/>
      <c r="R180" s="12"/>
      <c r="S180" s="84" t="s">
        <v>165</v>
      </c>
      <c r="T180" s="12"/>
      <c r="U180" s="12"/>
      <c r="V180" s="12"/>
      <c r="W180" s="12"/>
      <c r="X180" s="84" t="s">
        <v>127</v>
      </c>
      <c r="Y180" s="12"/>
      <c r="Z180" s="12"/>
      <c r="AA180" s="12"/>
      <c r="AB180" s="12"/>
      <c r="AC180" s="12"/>
      <c r="AD180" s="12"/>
      <c r="AE180" s="12"/>
      <c r="AF180" s="1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15"/>
    </row>
    <row r="181" ht="15.75" customHeight="1">
      <c r="A181" s="103">
        <v>1.1402927E7</v>
      </c>
      <c r="B181" s="84">
        <v>1.002036873E9</v>
      </c>
      <c r="C181" s="84" t="s">
        <v>1484</v>
      </c>
      <c r="D181" s="84">
        <v>26.0</v>
      </c>
      <c r="E181" s="84">
        <v>31.625</v>
      </c>
      <c r="F181" s="12" t="s">
        <v>31</v>
      </c>
      <c r="G181" s="93" t="s">
        <v>32</v>
      </c>
      <c r="H181" s="164" t="s">
        <v>104</v>
      </c>
      <c r="I181" s="164" t="s">
        <v>105</v>
      </c>
      <c r="J181" s="164" t="s">
        <v>35</v>
      </c>
      <c r="K181" s="164" t="s">
        <v>106</v>
      </c>
      <c r="L181" s="165" t="s">
        <v>59</v>
      </c>
      <c r="M181" s="12"/>
      <c r="N181" s="133">
        <v>5337.0</v>
      </c>
      <c r="O181" s="73">
        <f t="shared" si="16"/>
        <v>0</v>
      </c>
      <c r="P181" s="15"/>
      <c r="Q181" s="12"/>
      <c r="R181" s="12"/>
      <c r="S181" s="84" t="s">
        <v>165</v>
      </c>
      <c r="T181" s="12"/>
      <c r="U181" s="12"/>
      <c r="V181" s="12"/>
      <c r="W181" s="12"/>
      <c r="X181" s="84" t="s">
        <v>2944</v>
      </c>
      <c r="Y181" s="12"/>
      <c r="Z181" s="12"/>
      <c r="AA181" s="12"/>
      <c r="AB181" s="12"/>
      <c r="AC181" s="12"/>
      <c r="AD181" s="12"/>
      <c r="AE181" s="12"/>
      <c r="AF181" s="1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15"/>
    </row>
    <row r="182" ht="15.75" customHeight="1">
      <c r="A182" s="103">
        <v>1.1394244E7</v>
      </c>
      <c r="B182" s="84">
        <v>1.002023677E9</v>
      </c>
      <c r="C182" s="84" t="s">
        <v>1489</v>
      </c>
      <c r="D182" s="84">
        <v>26.0</v>
      </c>
      <c r="E182" s="84">
        <v>32.468</v>
      </c>
      <c r="F182" s="169" t="s">
        <v>31</v>
      </c>
      <c r="G182" s="29" t="s">
        <v>74</v>
      </c>
      <c r="H182" s="84" t="s">
        <v>506</v>
      </c>
      <c r="I182" s="85" t="s">
        <v>2880</v>
      </c>
      <c r="J182" s="159" t="s">
        <v>35</v>
      </c>
      <c r="K182" s="159" t="s">
        <v>507</v>
      </c>
      <c r="L182" s="28" t="s">
        <v>94</v>
      </c>
      <c r="M182" s="437"/>
      <c r="N182" s="173">
        <v>5317.0</v>
      </c>
      <c r="O182" s="73">
        <f t="shared" si="16"/>
        <v>0</v>
      </c>
      <c r="P182" s="98" t="s">
        <v>2906</v>
      </c>
      <c r="Q182" s="12"/>
      <c r="R182" s="12"/>
      <c r="S182" s="84" t="s">
        <v>1942</v>
      </c>
      <c r="T182" s="12"/>
      <c r="U182" s="12"/>
      <c r="V182" s="12"/>
      <c r="W182" s="12"/>
      <c r="X182" s="84" t="s">
        <v>2948</v>
      </c>
      <c r="Y182" s="12"/>
      <c r="Z182" s="12"/>
      <c r="AA182" s="12"/>
      <c r="AB182" s="12"/>
      <c r="AC182" s="12"/>
      <c r="AD182" s="12"/>
      <c r="AE182" s="12"/>
      <c r="AF182" s="1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15"/>
    </row>
    <row r="183" ht="15.75" customHeight="1">
      <c r="A183" s="103">
        <v>1.140228E7</v>
      </c>
      <c r="B183" s="84">
        <v>1.002036331E9</v>
      </c>
      <c r="C183" s="84" t="s">
        <v>1489</v>
      </c>
      <c r="D183" s="84">
        <v>23.0</v>
      </c>
      <c r="E183" s="84">
        <v>27.039</v>
      </c>
      <c r="F183" s="169" t="s">
        <v>31</v>
      </c>
      <c r="G183" s="29" t="s">
        <v>74</v>
      </c>
      <c r="H183" s="84" t="s">
        <v>1476</v>
      </c>
      <c r="I183" s="85" t="s">
        <v>221</v>
      </c>
      <c r="J183" s="159" t="s">
        <v>35</v>
      </c>
      <c r="K183" s="159" t="s">
        <v>187</v>
      </c>
      <c r="L183" s="95" t="s">
        <v>188</v>
      </c>
      <c r="M183" s="437" t="s">
        <v>1187</v>
      </c>
      <c r="N183" s="173">
        <v>4362.0</v>
      </c>
      <c r="O183" s="73">
        <f t="shared" si="16"/>
        <v>0.6419073819</v>
      </c>
      <c r="P183" s="98">
        <v>2800.0</v>
      </c>
      <c r="Q183" s="84" t="s">
        <v>39</v>
      </c>
      <c r="R183" s="84">
        <v>1578154.0</v>
      </c>
      <c r="S183" s="84" t="s">
        <v>1942</v>
      </c>
      <c r="T183" s="90">
        <v>6584592.0</v>
      </c>
      <c r="U183" s="12"/>
      <c r="V183" s="12"/>
      <c r="W183" s="12"/>
      <c r="X183" s="84" t="s">
        <v>1492</v>
      </c>
      <c r="Y183" s="12"/>
      <c r="Z183" s="12"/>
      <c r="AA183" s="12"/>
      <c r="AB183" s="12"/>
      <c r="AC183" s="12"/>
      <c r="AD183" s="12"/>
      <c r="AE183" s="12"/>
      <c r="AF183" s="1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15"/>
    </row>
    <row r="184" ht="15.75" customHeight="1">
      <c r="A184" s="103">
        <v>1.1399663E7</v>
      </c>
      <c r="B184" s="84">
        <v>1.002031959E9</v>
      </c>
      <c r="C184" s="84" t="s">
        <v>1475</v>
      </c>
      <c r="D184" s="84">
        <v>26.0</v>
      </c>
      <c r="E184" s="84">
        <v>32.177</v>
      </c>
      <c r="F184" s="169" t="s">
        <v>31</v>
      </c>
      <c r="G184" s="29" t="s">
        <v>74</v>
      </c>
      <c r="H184" s="84" t="s">
        <v>506</v>
      </c>
      <c r="I184" s="85" t="s">
        <v>2880</v>
      </c>
      <c r="J184" s="159" t="s">
        <v>35</v>
      </c>
      <c r="K184" s="159" t="s">
        <v>507</v>
      </c>
      <c r="L184" s="28" t="s">
        <v>94</v>
      </c>
      <c r="M184" s="438" t="s">
        <v>704</v>
      </c>
      <c r="N184" s="173">
        <v>5317.0</v>
      </c>
      <c r="O184" s="73">
        <f t="shared" si="16"/>
        <v>0</v>
      </c>
      <c r="P184" s="15"/>
      <c r="Q184" s="12"/>
      <c r="R184" s="12"/>
      <c r="S184" s="84" t="s">
        <v>1942</v>
      </c>
      <c r="T184" s="12"/>
      <c r="U184" s="12"/>
      <c r="V184" s="12"/>
      <c r="W184" s="12"/>
      <c r="X184" s="84" t="s">
        <v>2949</v>
      </c>
      <c r="Y184" s="12"/>
      <c r="Z184" s="12"/>
      <c r="AA184" s="12"/>
      <c r="AB184" s="12"/>
      <c r="AC184" s="12"/>
      <c r="AD184" s="12"/>
      <c r="AE184" s="12"/>
      <c r="AF184" s="1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15"/>
    </row>
    <row r="185" ht="15.75" customHeight="1">
      <c r="A185" s="103">
        <v>1.1414139E7</v>
      </c>
      <c r="B185" s="84">
        <v>1.002051315E9</v>
      </c>
      <c r="C185" s="435">
        <v>45780.0</v>
      </c>
      <c r="D185" s="84">
        <v>26.0</v>
      </c>
      <c r="E185" s="84">
        <v>32.553</v>
      </c>
      <c r="F185" s="103" t="s">
        <v>43</v>
      </c>
      <c r="G185" s="85" t="s">
        <v>44</v>
      </c>
      <c r="H185" s="12" t="s">
        <v>45</v>
      </c>
      <c r="I185" s="12" t="s">
        <v>46</v>
      </c>
      <c r="J185" s="14" t="s">
        <v>35</v>
      </c>
      <c r="K185" s="14" t="s">
        <v>47</v>
      </c>
      <c r="L185" s="98" t="s">
        <v>108</v>
      </c>
      <c r="M185" s="12"/>
      <c r="N185" s="133">
        <v>2335.0</v>
      </c>
      <c r="O185" s="73">
        <f t="shared" si="16"/>
        <v>0</v>
      </c>
      <c r="P185" s="15"/>
      <c r="Q185" s="12"/>
      <c r="R185" s="12"/>
      <c r="S185" s="84" t="s">
        <v>165</v>
      </c>
      <c r="T185" s="12"/>
      <c r="U185" s="12"/>
      <c r="V185" s="12"/>
      <c r="W185" s="12"/>
      <c r="X185" s="84" t="s">
        <v>127</v>
      </c>
      <c r="Y185" s="12"/>
      <c r="Z185" s="12"/>
      <c r="AA185" s="12"/>
      <c r="AB185" s="12"/>
      <c r="AC185" s="12"/>
      <c r="AD185" s="12"/>
      <c r="AE185" s="12"/>
      <c r="AF185" s="1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15"/>
    </row>
    <row r="186" ht="15.75" customHeight="1">
      <c r="A186" s="103">
        <v>1.1414141E7</v>
      </c>
      <c r="B186" s="84">
        <v>1.002051304E9</v>
      </c>
      <c r="C186" s="435">
        <v>45780.0</v>
      </c>
      <c r="D186" s="84">
        <v>14.0</v>
      </c>
      <c r="E186" s="84">
        <v>15.911</v>
      </c>
      <c r="F186" s="103" t="s">
        <v>43</v>
      </c>
      <c r="G186" s="85" t="s">
        <v>44</v>
      </c>
      <c r="H186" s="84" t="s">
        <v>2950</v>
      </c>
      <c r="I186" s="12" t="s">
        <v>46</v>
      </c>
      <c r="J186" s="14" t="s">
        <v>47</v>
      </c>
      <c r="K186" s="14" t="s">
        <v>35</v>
      </c>
      <c r="L186" s="98" t="s">
        <v>110</v>
      </c>
      <c r="M186" s="12"/>
      <c r="N186" s="133">
        <v>1557.0</v>
      </c>
      <c r="O186" s="73">
        <f t="shared" si="16"/>
        <v>0</v>
      </c>
      <c r="P186" s="15"/>
      <c r="Q186" s="12"/>
      <c r="R186" s="12"/>
      <c r="S186" s="84" t="s">
        <v>165</v>
      </c>
      <c r="T186" s="12"/>
      <c r="U186" s="12"/>
      <c r="V186" s="12"/>
      <c r="W186" s="12"/>
      <c r="X186" s="84" t="s">
        <v>127</v>
      </c>
      <c r="Y186" s="12"/>
      <c r="Z186" s="12"/>
      <c r="AA186" s="12"/>
      <c r="AB186" s="12"/>
      <c r="AC186" s="12"/>
      <c r="AD186" s="12"/>
      <c r="AE186" s="12"/>
      <c r="AF186" s="1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15"/>
    </row>
    <row r="187" ht="15.75" customHeight="1">
      <c r="A187" s="103">
        <v>1.141414E7</v>
      </c>
      <c r="B187" s="84">
        <v>1.002051288E9</v>
      </c>
      <c r="C187" s="435">
        <v>45780.0</v>
      </c>
      <c r="D187" s="84">
        <v>26.0</v>
      </c>
      <c r="E187" s="84">
        <v>32.553</v>
      </c>
      <c r="F187" s="103" t="s">
        <v>43</v>
      </c>
      <c r="G187" s="85" t="s">
        <v>44</v>
      </c>
      <c r="H187" s="12" t="s">
        <v>45</v>
      </c>
      <c r="I187" s="12" t="s">
        <v>46</v>
      </c>
      <c r="J187" s="14" t="s">
        <v>35</v>
      </c>
      <c r="K187" s="14" t="s">
        <v>47</v>
      </c>
      <c r="L187" s="98" t="s">
        <v>108</v>
      </c>
      <c r="M187" s="12"/>
      <c r="N187" s="133">
        <v>2335.0</v>
      </c>
      <c r="O187" s="73">
        <f t="shared" si="16"/>
        <v>0</v>
      </c>
      <c r="P187" s="15"/>
      <c r="Q187" s="12"/>
      <c r="R187" s="12"/>
      <c r="S187" s="84" t="s">
        <v>165</v>
      </c>
      <c r="T187" s="12"/>
      <c r="U187" s="12"/>
      <c r="V187" s="12"/>
      <c r="W187" s="12"/>
      <c r="X187" s="84" t="s">
        <v>127</v>
      </c>
      <c r="Y187" s="12"/>
      <c r="Z187" s="12"/>
      <c r="AA187" s="12"/>
      <c r="AB187" s="12"/>
      <c r="AC187" s="12"/>
      <c r="AD187" s="12"/>
      <c r="AE187" s="12"/>
      <c r="AF187" s="1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15"/>
    </row>
    <row r="188" ht="15.75" customHeight="1">
      <c r="A188" s="103">
        <v>1.1414142E7</v>
      </c>
      <c r="B188" s="84">
        <v>1.002051285E9</v>
      </c>
      <c r="C188" s="435">
        <v>45780.0</v>
      </c>
      <c r="D188" s="84">
        <v>14.0</v>
      </c>
      <c r="E188" s="84">
        <v>15.911</v>
      </c>
      <c r="F188" s="103" t="s">
        <v>43</v>
      </c>
      <c r="G188" s="85" t="s">
        <v>44</v>
      </c>
      <c r="H188" s="84" t="s">
        <v>2951</v>
      </c>
      <c r="I188" s="12" t="s">
        <v>46</v>
      </c>
      <c r="J188" s="14" t="s">
        <v>47</v>
      </c>
      <c r="K188" s="14" t="s">
        <v>35</v>
      </c>
      <c r="L188" s="98" t="s">
        <v>110</v>
      </c>
      <c r="M188" s="12"/>
      <c r="N188" s="133">
        <v>1557.0</v>
      </c>
      <c r="O188" s="73">
        <f t="shared" si="16"/>
        <v>0</v>
      </c>
      <c r="P188" s="15"/>
      <c r="Q188" s="12"/>
      <c r="R188" s="12"/>
      <c r="S188" s="84" t="s">
        <v>165</v>
      </c>
      <c r="T188" s="12"/>
      <c r="U188" s="12"/>
      <c r="V188" s="12"/>
      <c r="W188" s="12"/>
      <c r="X188" s="84" t="s">
        <v>127</v>
      </c>
      <c r="Y188" s="12"/>
      <c r="Z188" s="12"/>
      <c r="AA188" s="12"/>
      <c r="AB188" s="12"/>
      <c r="AC188" s="12"/>
      <c r="AD188" s="12"/>
      <c r="AE188" s="12"/>
      <c r="AF188" s="1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15"/>
    </row>
    <row r="189" ht="15.75" customHeight="1">
      <c r="A189" s="103">
        <v>1.1416829E7</v>
      </c>
      <c r="B189" s="84">
        <v>1.0020564E9</v>
      </c>
      <c r="C189" s="99">
        <v>45721.0</v>
      </c>
      <c r="D189" s="84">
        <v>27.0</v>
      </c>
      <c r="E189" s="84">
        <v>33.805</v>
      </c>
      <c r="F189" s="103" t="s">
        <v>43</v>
      </c>
      <c r="G189" s="93" t="s">
        <v>32</v>
      </c>
      <c r="H189" s="29" t="s">
        <v>104</v>
      </c>
      <c r="I189" s="29" t="s">
        <v>105</v>
      </c>
      <c r="J189" s="25" t="s">
        <v>35</v>
      </c>
      <c r="K189" s="39" t="s">
        <v>106</v>
      </c>
      <c r="L189" s="95" t="s">
        <v>59</v>
      </c>
      <c r="M189" s="12"/>
      <c r="N189" s="133">
        <v>4574.0</v>
      </c>
      <c r="O189" s="73">
        <f t="shared" si="16"/>
        <v>0</v>
      </c>
      <c r="P189" s="15"/>
      <c r="Q189" s="12"/>
      <c r="R189" s="12"/>
      <c r="S189" s="84" t="s">
        <v>165</v>
      </c>
      <c r="T189" s="12"/>
      <c r="U189" s="12"/>
      <c r="V189" s="12"/>
      <c r="W189" s="12"/>
      <c r="X189" s="84" t="s">
        <v>2952</v>
      </c>
      <c r="Y189" s="12"/>
      <c r="Z189" s="12"/>
      <c r="AA189" s="12"/>
      <c r="AB189" s="12"/>
      <c r="AC189" s="12"/>
      <c r="AD189" s="12"/>
      <c r="AE189" s="12"/>
      <c r="AF189" s="1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15"/>
    </row>
    <row r="190" ht="15.75" customHeight="1">
      <c r="A190" s="103">
        <v>1.1416831E7</v>
      </c>
      <c r="B190" s="84">
        <v>1.002056202E9</v>
      </c>
      <c r="C190" s="99">
        <v>45721.0</v>
      </c>
      <c r="D190" s="84">
        <v>15.0</v>
      </c>
      <c r="E190" s="84">
        <v>17.135</v>
      </c>
      <c r="F190" s="103" t="s">
        <v>43</v>
      </c>
      <c r="G190" s="93" t="s">
        <v>32</v>
      </c>
      <c r="H190" s="85" t="s">
        <v>2953</v>
      </c>
      <c r="I190" s="85" t="s">
        <v>1232</v>
      </c>
      <c r="J190" s="39" t="s">
        <v>106</v>
      </c>
      <c r="K190" s="25" t="s">
        <v>35</v>
      </c>
      <c r="L190" s="95" t="s">
        <v>121</v>
      </c>
      <c r="M190" s="12"/>
      <c r="N190" s="133">
        <v>3049.0</v>
      </c>
      <c r="O190" s="73">
        <f t="shared" si="16"/>
        <v>0</v>
      </c>
      <c r="P190" s="15"/>
      <c r="Q190" s="12"/>
      <c r="R190" s="12"/>
      <c r="S190" s="84" t="s">
        <v>165</v>
      </c>
      <c r="T190" s="12"/>
      <c r="U190" s="12"/>
      <c r="V190" s="12"/>
      <c r="W190" s="12"/>
      <c r="X190" s="84" t="s">
        <v>2952</v>
      </c>
      <c r="Y190" s="12"/>
      <c r="Z190" s="12"/>
      <c r="AA190" s="12"/>
      <c r="AB190" s="12"/>
      <c r="AC190" s="12"/>
      <c r="AD190" s="12"/>
      <c r="AE190" s="12"/>
      <c r="AF190" s="1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15"/>
    </row>
    <row r="191" ht="15.75" customHeight="1">
      <c r="A191" s="103">
        <v>1.1417749E7</v>
      </c>
      <c r="B191" s="84">
        <v>1.002056628E9</v>
      </c>
      <c r="C191" s="99">
        <v>45721.0</v>
      </c>
      <c r="D191" s="84">
        <v>27.0</v>
      </c>
      <c r="E191" s="84">
        <v>34.893</v>
      </c>
      <c r="F191" s="12" t="s">
        <v>31</v>
      </c>
      <c r="G191" s="85" t="s">
        <v>44</v>
      </c>
      <c r="H191" s="84" t="s">
        <v>1317</v>
      </c>
      <c r="I191" s="39" t="s">
        <v>137</v>
      </c>
      <c r="J191" s="84" t="s">
        <v>35</v>
      </c>
      <c r="K191" s="84" t="s">
        <v>138</v>
      </c>
      <c r="L191" s="98" t="s">
        <v>94</v>
      </c>
      <c r="M191" s="84" t="s">
        <v>1149</v>
      </c>
      <c r="N191" s="133">
        <v>5760.0</v>
      </c>
      <c r="O191" s="73">
        <f t="shared" si="16"/>
        <v>0</v>
      </c>
      <c r="P191" s="15"/>
      <c r="Q191" s="12"/>
      <c r="R191" s="12"/>
      <c r="S191" s="84" t="s">
        <v>165</v>
      </c>
      <c r="T191" s="12"/>
      <c r="U191" s="12"/>
      <c r="V191" s="12"/>
      <c r="W191" s="12"/>
      <c r="X191" s="84" t="s">
        <v>127</v>
      </c>
      <c r="Y191" s="12"/>
      <c r="Z191" s="12"/>
      <c r="AA191" s="12"/>
      <c r="AB191" s="12"/>
      <c r="AC191" s="12"/>
      <c r="AD191" s="12"/>
      <c r="AE191" s="12"/>
      <c r="AF191" s="1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15"/>
    </row>
    <row r="192" ht="15.75" customHeight="1">
      <c r="A192" s="103">
        <v>1.142077E7</v>
      </c>
      <c r="B192" s="84">
        <v>1.002059665E9</v>
      </c>
      <c r="C192" s="435">
        <v>45785.0</v>
      </c>
      <c r="D192" s="84">
        <v>24.0</v>
      </c>
      <c r="E192" s="84">
        <v>27.263</v>
      </c>
      <c r="F192" s="103" t="s">
        <v>43</v>
      </c>
      <c r="G192" s="85" t="s">
        <v>44</v>
      </c>
      <c r="H192" s="12" t="s">
        <v>45</v>
      </c>
      <c r="I192" s="12" t="s">
        <v>46</v>
      </c>
      <c r="J192" s="14" t="s">
        <v>35</v>
      </c>
      <c r="K192" s="14" t="s">
        <v>47</v>
      </c>
      <c r="L192" s="98" t="s">
        <v>108</v>
      </c>
      <c r="M192" s="12"/>
      <c r="N192" s="133">
        <v>2335.0</v>
      </c>
      <c r="O192" s="73">
        <f t="shared" si="16"/>
        <v>0</v>
      </c>
      <c r="P192" s="15"/>
      <c r="Q192" s="12"/>
      <c r="R192" s="12"/>
      <c r="S192" s="84" t="s">
        <v>165</v>
      </c>
      <c r="T192" s="12"/>
      <c r="U192" s="12"/>
      <c r="V192" s="12"/>
      <c r="W192" s="12"/>
      <c r="X192" s="84" t="s">
        <v>127</v>
      </c>
      <c r="Y192" s="12"/>
      <c r="Z192" s="12"/>
      <c r="AA192" s="12"/>
      <c r="AB192" s="12"/>
      <c r="AC192" s="12"/>
      <c r="AD192" s="12"/>
      <c r="AE192" s="12"/>
      <c r="AF192" s="1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15"/>
    </row>
    <row r="193" ht="15.75" customHeight="1">
      <c r="A193" s="103">
        <v>1.1420771E7</v>
      </c>
      <c r="B193" s="84">
        <v>1.002059641E9</v>
      </c>
      <c r="C193" s="435">
        <v>45785.0</v>
      </c>
      <c r="D193" s="84">
        <v>11.0</v>
      </c>
      <c r="E193" s="84">
        <v>925.0</v>
      </c>
      <c r="F193" s="103" t="s">
        <v>43</v>
      </c>
      <c r="G193" s="85" t="s">
        <v>44</v>
      </c>
      <c r="H193" s="84" t="s">
        <v>2954</v>
      </c>
      <c r="I193" s="12" t="s">
        <v>46</v>
      </c>
      <c r="J193" s="14" t="s">
        <v>47</v>
      </c>
      <c r="K193" s="14" t="s">
        <v>35</v>
      </c>
      <c r="L193" s="98" t="s">
        <v>110</v>
      </c>
      <c r="M193" s="12"/>
      <c r="N193" s="133">
        <v>1557.0</v>
      </c>
      <c r="O193" s="73">
        <f t="shared" si="16"/>
        <v>0</v>
      </c>
      <c r="P193" s="15"/>
      <c r="Q193" s="12"/>
      <c r="R193" s="12"/>
      <c r="S193" s="84" t="s">
        <v>165</v>
      </c>
      <c r="T193" s="12"/>
      <c r="U193" s="12"/>
      <c r="V193" s="12"/>
      <c r="W193" s="12"/>
      <c r="X193" s="84" t="s">
        <v>127</v>
      </c>
      <c r="Y193" s="12"/>
      <c r="Z193" s="12"/>
      <c r="AA193" s="12"/>
      <c r="AB193" s="12"/>
      <c r="AC193" s="12"/>
      <c r="AD193" s="12"/>
      <c r="AE193" s="12"/>
      <c r="AF193" s="1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15"/>
    </row>
    <row r="194" ht="15.75" customHeight="1">
      <c r="A194" s="103"/>
      <c r="B194" s="84">
        <v>1.002061274E9</v>
      </c>
      <c r="C194" s="99">
        <v>45813.0</v>
      </c>
      <c r="D194" s="84">
        <v>27.0</v>
      </c>
      <c r="E194" s="84">
        <v>34.587</v>
      </c>
      <c r="F194" s="84" t="s">
        <v>31</v>
      </c>
      <c r="G194" s="85" t="s">
        <v>44</v>
      </c>
      <c r="H194" s="12" t="s">
        <v>45</v>
      </c>
      <c r="I194" s="12" t="s">
        <v>46</v>
      </c>
      <c r="J194" s="14" t="s">
        <v>35</v>
      </c>
      <c r="K194" s="14" t="s">
        <v>47</v>
      </c>
      <c r="L194" s="98" t="s">
        <v>108</v>
      </c>
      <c r="M194" s="12"/>
      <c r="N194" s="133">
        <v>2335.0</v>
      </c>
      <c r="O194" s="73">
        <f t="shared" si="16"/>
        <v>0</v>
      </c>
      <c r="P194" s="15"/>
      <c r="Q194" s="12"/>
      <c r="R194" s="12"/>
      <c r="S194" s="84" t="s">
        <v>165</v>
      </c>
      <c r="T194" s="12"/>
      <c r="U194" s="12"/>
      <c r="V194" s="12"/>
      <c r="W194" s="12"/>
      <c r="X194" s="84" t="s">
        <v>127</v>
      </c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439"/>
    </row>
    <row r="195" ht="15.75" customHeight="1">
      <c r="A195" s="103">
        <v>1.141775E7</v>
      </c>
      <c r="B195" s="84">
        <v>1.002056731E9</v>
      </c>
      <c r="C195" s="99">
        <v>45782.0</v>
      </c>
      <c r="D195" s="84">
        <v>37.0</v>
      </c>
      <c r="E195" s="84">
        <v>34.716</v>
      </c>
      <c r="F195" s="12" t="s">
        <v>31</v>
      </c>
      <c r="G195" s="85" t="s">
        <v>44</v>
      </c>
      <c r="H195" s="84" t="s">
        <v>1317</v>
      </c>
      <c r="I195" s="39" t="s">
        <v>137</v>
      </c>
      <c r="J195" s="84" t="s">
        <v>35</v>
      </c>
      <c r="K195" s="84" t="s">
        <v>138</v>
      </c>
      <c r="L195" s="98" t="s">
        <v>94</v>
      </c>
      <c r="M195" s="440" t="s">
        <v>1149</v>
      </c>
      <c r="N195" s="133">
        <v>5760.0</v>
      </c>
      <c r="O195" s="73">
        <f t="shared" si="16"/>
        <v>0</v>
      </c>
      <c r="P195" s="15"/>
      <c r="Q195" s="12"/>
      <c r="R195" s="12"/>
      <c r="S195" s="84" t="s">
        <v>165</v>
      </c>
      <c r="T195" s="12"/>
      <c r="U195" s="12"/>
      <c r="V195" s="12"/>
      <c r="W195" s="12"/>
      <c r="X195" s="84" t="s">
        <v>127</v>
      </c>
      <c r="Y195" s="12"/>
      <c r="Z195" s="12"/>
      <c r="AA195" s="12"/>
      <c r="AB195" s="12"/>
      <c r="AC195" s="12"/>
      <c r="AD195" s="12"/>
      <c r="AE195" s="12"/>
      <c r="AF195" s="1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15"/>
    </row>
    <row r="196">
      <c r="A196" s="103">
        <v>1.1425204E7</v>
      </c>
      <c r="B196" s="84">
        <v>1.002065862E9</v>
      </c>
      <c r="C196" s="99">
        <v>45935.0</v>
      </c>
      <c r="D196" s="84">
        <v>26.0</v>
      </c>
      <c r="E196" s="84">
        <v>32.89</v>
      </c>
      <c r="F196" s="103" t="s">
        <v>43</v>
      </c>
      <c r="G196" s="85" t="s">
        <v>44</v>
      </c>
      <c r="H196" s="29" t="s">
        <v>104</v>
      </c>
      <c r="I196" s="29" t="s">
        <v>105</v>
      </c>
      <c r="J196" s="25" t="s">
        <v>35</v>
      </c>
      <c r="K196" s="39" t="s">
        <v>106</v>
      </c>
      <c r="L196" s="95" t="s">
        <v>59</v>
      </c>
      <c r="M196" s="12"/>
      <c r="N196" s="133">
        <v>4574.0</v>
      </c>
      <c r="O196" s="73">
        <f t="shared" si="16"/>
        <v>0</v>
      </c>
      <c r="P196" s="252"/>
      <c r="Q196" s="252"/>
      <c r="R196" s="252"/>
      <c r="S196" s="84" t="s">
        <v>165</v>
      </c>
      <c r="T196" s="252"/>
      <c r="U196" s="252"/>
      <c r="V196" s="252"/>
      <c r="W196" s="252"/>
      <c r="X196" s="84" t="s">
        <v>127</v>
      </c>
      <c r="Y196" s="252"/>
      <c r="Z196" s="252"/>
      <c r="AA196" s="252"/>
      <c r="AB196" s="252"/>
      <c r="AC196" s="252"/>
      <c r="AD196" s="252"/>
      <c r="AE196" s="252"/>
      <c r="AF196" s="252"/>
      <c r="AG196" s="252"/>
      <c r="AH196" s="252"/>
      <c r="AI196" s="252"/>
      <c r="AJ196" s="252"/>
      <c r="AK196" s="252"/>
      <c r="AL196" s="252"/>
      <c r="AM196" s="252"/>
      <c r="AN196" s="252"/>
      <c r="AO196" s="252"/>
      <c r="AP196" s="215"/>
    </row>
    <row r="197">
      <c r="A197" s="103">
        <v>1.1425205E7</v>
      </c>
      <c r="B197" s="84">
        <v>1.002065748E9</v>
      </c>
      <c r="C197" s="99">
        <v>45935.0</v>
      </c>
      <c r="D197" s="84">
        <v>9.0</v>
      </c>
      <c r="E197" s="84">
        <v>9.971</v>
      </c>
      <c r="F197" s="103" t="s">
        <v>43</v>
      </c>
      <c r="G197" s="85" t="s">
        <v>44</v>
      </c>
      <c r="H197" s="85" t="s">
        <v>2955</v>
      </c>
      <c r="I197" s="85" t="s">
        <v>1232</v>
      </c>
      <c r="J197" s="39" t="s">
        <v>106</v>
      </c>
      <c r="K197" s="25" t="s">
        <v>35</v>
      </c>
      <c r="L197" s="95" t="s">
        <v>121</v>
      </c>
      <c r="M197" s="12"/>
      <c r="N197" s="133">
        <v>3049.0</v>
      </c>
      <c r="O197" s="73">
        <f t="shared" si="16"/>
        <v>0</v>
      </c>
      <c r="P197" s="252"/>
      <c r="Q197" s="252"/>
      <c r="R197" s="252"/>
      <c r="S197" s="84" t="s">
        <v>165</v>
      </c>
      <c r="T197" s="252"/>
      <c r="U197" s="252"/>
      <c r="V197" s="252"/>
      <c r="W197" s="252"/>
      <c r="X197" s="84" t="s">
        <v>127</v>
      </c>
      <c r="Y197" s="252"/>
      <c r="Z197" s="252"/>
      <c r="AA197" s="252"/>
      <c r="AB197" s="252"/>
      <c r="AC197" s="252"/>
      <c r="AD197" s="252"/>
      <c r="AE197" s="252"/>
      <c r="AF197" s="252"/>
      <c r="AG197" s="252"/>
      <c r="AH197" s="252"/>
      <c r="AI197" s="252"/>
      <c r="AJ197" s="252"/>
      <c r="AK197" s="252"/>
      <c r="AL197" s="252"/>
      <c r="AM197" s="252"/>
      <c r="AN197" s="252"/>
      <c r="AO197" s="252"/>
      <c r="AP197" s="215"/>
    </row>
    <row r="198" ht="15.75" customHeight="1">
      <c r="A198" s="103">
        <v>1.1429396E7</v>
      </c>
      <c r="B198" s="84">
        <v>1.002071327E9</v>
      </c>
      <c r="C198" s="99">
        <v>45874.0</v>
      </c>
      <c r="D198" s="84">
        <v>27.0</v>
      </c>
      <c r="E198" s="84">
        <v>33.805</v>
      </c>
      <c r="F198" s="103" t="s">
        <v>43</v>
      </c>
      <c r="G198" s="85" t="s">
        <v>44</v>
      </c>
      <c r="H198" s="12" t="s">
        <v>45</v>
      </c>
      <c r="I198" s="12" t="s">
        <v>46</v>
      </c>
      <c r="J198" s="14" t="s">
        <v>35</v>
      </c>
      <c r="K198" s="14" t="s">
        <v>47</v>
      </c>
      <c r="L198" s="98" t="s">
        <v>108</v>
      </c>
      <c r="M198" s="12"/>
      <c r="N198" s="133">
        <v>2335.0</v>
      </c>
      <c r="O198" s="73">
        <f t="shared" si="16"/>
        <v>0</v>
      </c>
      <c r="P198" s="15"/>
      <c r="Q198" s="12"/>
      <c r="R198" s="12"/>
      <c r="S198" s="84" t="s">
        <v>165</v>
      </c>
      <c r="T198" s="12"/>
      <c r="U198" s="12"/>
      <c r="V198" s="12"/>
      <c r="W198" s="12"/>
      <c r="X198" s="84" t="s">
        <v>127</v>
      </c>
      <c r="Y198" s="12"/>
      <c r="Z198" s="12"/>
      <c r="AA198" s="12"/>
      <c r="AB198" s="12"/>
      <c r="AC198" s="12"/>
      <c r="AD198" s="12"/>
      <c r="AE198" s="12"/>
      <c r="AF198" s="1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15"/>
    </row>
    <row r="199" ht="15.75" customHeight="1">
      <c r="A199" s="103">
        <v>1.1429402E7</v>
      </c>
      <c r="B199" s="84">
        <v>1.002070795E9</v>
      </c>
      <c r="C199" s="99">
        <v>45874.0</v>
      </c>
      <c r="D199" s="84">
        <v>15.0</v>
      </c>
      <c r="E199" s="84">
        <v>16.523</v>
      </c>
      <c r="F199" s="103" t="s">
        <v>43</v>
      </c>
      <c r="G199" s="85" t="s">
        <v>44</v>
      </c>
      <c r="H199" s="84" t="s">
        <v>2956</v>
      </c>
      <c r="I199" s="85" t="s">
        <v>1232</v>
      </c>
      <c r="J199" s="14" t="s">
        <v>47</v>
      </c>
      <c r="K199" s="14" t="s">
        <v>35</v>
      </c>
      <c r="L199" s="98" t="s">
        <v>110</v>
      </c>
      <c r="M199" s="12"/>
      <c r="N199" s="133">
        <v>1557.0</v>
      </c>
      <c r="O199" s="73">
        <f t="shared" si="16"/>
        <v>0</v>
      </c>
      <c r="P199" s="15"/>
      <c r="Q199" s="12"/>
      <c r="R199" s="12"/>
      <c r="S199" s="84" t="s">
        <v>165</v>
      </c>
      <c r="T199" s="12"/>
      <c r="U199" s="12"/>
      <c r="V199" s="12"/>
      <c r="W199" s="12"/>
      <c r="X199" s="84" t="s">
        <v>127</v>
      </c>
      <c r="Y199" s="12"/>
      <c r="Z199" s="12"/>
      <c r="AA199" s="12"/>
      <c r="AB199" s="12"/>
      <c r="AC199" s="12"/>
      <c r="AD199" s="12"/>
      <c r="AE199" s="12"/>
      <c r="AF199" s="1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15"/>
    </row>
    <row r="200" ht="15.75" customHeight="1">
      <c r="A200" s="103">
        <v>1.1429397E7</v>
      </c>
      <c r="B200" s="84">
        <v>1.002070845E9</v>
      </c>
      <c r="C200" s="99">
        <v>45874.0</v>
      </c>
      <c r="D200" s="84">
        <v>27.0</v>
      </c>
      <c r="E200" s="84">
        <v>33.805</v>
      </c>
      <c r="F200" s="103" t="s">
        <v>43</v>
      </c>
      <c r="G200" s="85" t="s">
        <v>44</v>
      </c>
      <c r="H200" s="12" t="s">
        <v>45</v>
      </c>
      <c r="I200" s="12" t="s">
        <v>46</v>
      </c>
      <c r="J200" s="14" t="s">
        <v>35</v>
      </c>
      <c r="K200" s="14" t="s">
        <v>47</v>
      </c>
      <c r="L200" s="98" t="s">
        <v>108</v>
      </c>
      <c r="M200" s="12"/>
      <c r="N200" s="133">
        <v>2335.0</v>
      </c>
      <c r="O200" s="73">
        <f t="shared" si="16"/>
        <v>0</v>
      </c>
      <c r="P200" s="15"/>
      <c r="Q200" s="12"/>
      <c r="R200" s="12"/>
      <c r="S200" s="84" t="s">
        <v>165</v>
      </c>
      <c r="T200" s="12"/>
      <c r="U200" s="12"/>
      <c r="V200" s="12"/>
      <c r="W200" s="12"/>
      <c r="X200" s="84" t="s">
        <v>127</v>
      </c>
      <c r="Y200" s="12"/>
      <c r="Z200" s="12"/>
      <c r="AA200" s="12"/>
      <c r="AB200" s="12"/>
      <c r="AC200" s="12"/>
      <c r="AD200" s="12"/>
      <c r="AE200" s="12"/>
      <c r="AF200" s="1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15"/>
    </row>
    <row r="201" ht="15.75" customHeight="1">
      <c r="A201" s="103">
        <v>1.1429401E7</v>
      </c>
      <c r="B201" s="84">
        <v>1.002071054E9</v>
      </c>
      <c r="C201" s="99">
        <v>45874.0</v>
      </c>
      <c r="D201" s="84">
        <v>15.0</v>
      </c>
      <c r="E201" s="84">
        <v>16.523</v>
      </c>
      <c r="F201" s="103" t="s">
        <v>43</v>
      </c>
      <c r="G201" s="85" t="s">
        <v>44</v>
      </c>
      <c r="H201" s="84" t="s">
        <v>2957</v>
      </c>
      <c r="I201" s="85" t="s">
        <v>1232</v>
      </c>
      <c r="J201" s="14" t="s">
        <v>47</v>
      </c>
      <c r="K201" s="14" t="s">
        <v>35</v>
      </c>
      <c r="L201" s="98" t="s">
        <v>110</v>
      </c>
      <c r="M201" s="12"/>
      <c r="N201" s="133">
        <v>1557.0</v>
      </c>
      <c r="O201" s="73">
        <f t="shared" si="16"/>
        <v>0</v>
      </c>
      <c r="P201" s="15"/>
      <c r="Q201" s="12"/>
      <c r="R201" s="12"/>
      <c r="S201" s="84" t="s">
        <v>165</v>
      </c>
      <c r="T201" s="12"/>
      <c r="U201" s="12"/>
      <c r="V201" s="12"/>
      <c r="W201" s="12"/>
      <c r="X201" s="84" t="s">
        <v>127</v>
      </c>
      <c r="Y201" s="12"/>
      <c r="Z201" s="12"/>
      <c r="AA201" s="12"/>
      <c r="AB201" s="12"/>
      <c r="AC201" s="12"/>
      <c r="AD201" s="12"/>
      <c r="AE201" s="12"/>
      <c r="AF201" s="1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15"/>
    </row>
    <row r="202" ht="15.75" customHeight="1">
      <c r="A202" s="103">
        <v>1.1433986E7</v>
      </c>
      <c r="B202" s="84">
        <v>1.002077599E9</v>
      </c>
      <c r="C202" s="84" t="s">
        <v>1613</v>
      </c>
      <c r="D202" s="84">
        <v>27.0</v>
      </c>
      <c r="E202" s="84">
        <v>33.805</v>
      </c>
      <c r="F202" s="103" t="s">
        <v>43</v>
      </c>
      <c r="G202" s="85" t="s">
        <v>44</v>
      </c>
      <c r="H202" s="12" t="s">
        <v>45</v>
      </c>
      <c r="I202" s="12" t="s">
        <v>46</v>
      </c>
      <c r="J202" s="14" t="s">
        <v>35</v>
      </c>
      <c r="K202" s="14" t="s">
        <v>47</v>
      </c>
      <c r="L202" s="98" t="s">
        <v>108</v>
      </c>
      <c r="M202" s="12"/>
      <c r="N202" s="133">
        <v>2335.0</v>
      </c>
      <c r="O202" s="73">
        <f t="shared" si="16"/>
        <v>0</v>
      </c>
      <c r="P202" s="15"/>
      <c r="Q202" s="12"/>
      <c r="R202" s="12"/>
      <c r="S202" s="84" t="s">
        <v>165</v>
      </c>
      <c r="T202" s="12"/>
      <c r="U202" s="12"/>
      <c r="V202" s="12"/>
      <c r="W202" s="12"/>
      <c r="X202" s="84" t="s">
        <v>127</v>
      </c>
      <c r="Y202" s="12"/>
      <c r="Z202" s="12"/>
      <c r="AA202" s="12"/>
      <c r="AB202" s="12"/>
      <c r="AC202" s="12"/>
      <c r="AD202" s="12"/>
      <c r="AE202" s="12"/>
      <c r="AF202" s="1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15"/>
    </row>
    <row r="203" ht="15.75" customHeight="1">
      <c r="A203" s="103">
        <v>1.1433992E7</v>
      </c>
      <c r="B203" s="84">
        <v>1.002077586E9</v>
      </c>
      <c r="C203" s="84" t="s">
        <v>1613</v>
      </c>
      <c r="D203" s="84">
        <v>15.0</v>
      </c>
      <c r="E203" s="84">
        <v>16.523</v>
      </c>
      <c r="F203" s="103" t="s">
        <v>43</v>
      </c>
      <c r="G203" s="85" t="s">
        <v>44</v>
      </c>
      <c r="H203" s="84" t="s">
        <v>2958</v>
      </c>
      <c r="I203" s="85" t="s">
        <v>1232</v>
      </c>
      <c r="J203" s="14" t="s">
        <v>47</v>
      </c>
      <c r="K203" s="14" t="s">
        <v>35</v>
      </c>
      <c r="L203" s="98" t="s">
        <v>110</v>
      </c>
      <c r="M203" s="12"/>
      <c r="N203" s="133">
        <v>1557.0</v>
      </c>
      <c r="O203" s="73">
        <f t="shared" si="16"/>
        <v>0</v>
      </c>
      <c r="P203" s="15"/>
      <c r="Q203" s="12"/>
      <c r="R203" s="12"/>
      <c r="S203" s="84" t="s">
        <v>165</v>
      </c>
      <c r="T203" s="12"/>
      <c r="U203" s="12"/>
      <c r="V203" s="12"/>
      <c r="W203" s="12"/>
      <c r="X203" s="84" t="s">
        <v>127</v>
      </c>
      <c r="Y203" s="12"/>
      <c r="Z203" s="12"/>
      <c r="AA203" s="12"/>
      <c r="AB203" s="12"/>
      <c r="AC203" s="12"/>
      <c r="AD203" s="12"/>
      <c r="AE203" s="12"/>
      <c r="AF203" s="1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15"/>
    </row>
    <row r="204" ht="15.75" customHeight="1">
      <c r="A204" s="103">
        <v>1.1433995E7</v>
      </c>
      <c r="B204" s="84">
        <v>1.00207757E9</v>
      </c>
      <c r="C204" s="84" t="s">
        <v>1613</v>
      </c>
      <c r="D204" s="84">
        <v>27.0</v>
      </c>
      <c r="E204" s="84">
        <v>33.805</v>
      </c>
      <c r="F204" s="103" t="s">
        <v>43</v>
      </c>
      <c r="G204" s="85" t="s">
        <v>44</v>
      </c>
      <c r="H204" s="12" t="s">
        <v>45</v>
      </c>
      <c r="I204" s="12" t="s">
        <v>46</v>
      </c>
      <c r="J204" s="14" t="s">
        <v>35</v>
      </c>
      <c r="K204" s="14" t="s">
        <v>47</v>
      </c>
      <c r="L204" s="98" t="s">
        <v>108</v>
      </c>
      <c r="M204" s="12"/>
      <c r="N204" s="133">
        <v>2335.0</v>
      </c>
      <c r="O204" s="73">
        <f t="shared" si="16"/>
        <v>0</v>
      </c>
      <c r="P204" s="15"/>
      <c r="Q204" s="12"/>
      <c r="R204" s="12"/>
      <c r="S204" s="84" t="s">
        <v>165</v>
      </c>
      <c r="T204" s="12"/>
      <c r="U204" s="12"/>
      <c r="V204" s="12"/>
      <c r="W204" s="12"/>
      <c r="X204" s="84" t="s">
        <v>127</v>
      </c>
      <c r="Y204" s="12"/>
      <c r="Z204" s="12"/>
      <c r="AA204" s="12"/>
      <c r="AB204" s="12"/>
      <c r="AC204" s="12"/>
      <c r="AD204" s="12"/>
      <c r="AE204" s="12"/>
      <c r="AF204" s="1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15"/>
    </row>
    <row r="205" ht="15.75" customHeight="1">
      <c r="A205" s="103">
        <v>1.1433989E7</v>
      </c>
      <c r="B205" s="84">
        <v>1.002077538E9</v>
      </c>
      <c r="C205" s="84" t="s">
        <v>1613</v>
      </c>
      <c r="D205" s="84">
        <v>15.0</v>
      </c>
      <c r="E205" s="84">
        <v>16.523</v>
      </c>
      <c r="F205" s="103" t="s">
        <v>43</v>
      </c>
      <c r="G205" s="85" t="s">
        <v>44</v>
      </c>
      <c r="H205" s="84" t="s">
        <v>2959</v>
      </c>
      <c r="I205" s="85" t="s">
        <v>1232</v>
      </c>
      <c r="J205" s="14" t="s">
        <v>47</v>
      </c>
      <c r="K205" s="14" t="s">
        <v>35</v>
      </c>
      <c r="L205" s="98" t="s">
        <v>110</v>
      </c>
      <c r="M205" s="12"/>
      <c r="N205" s="133">
        <v>1557.0</v>
      </c>
      <c r="O205" s="73">
        <f t="shared" si="16"/>
        <v>0</v>
      </c>
      <c r="P205" s="15"/>
      <c r="Q205" s="12"/>
      <c r="R205" s="12"/>
      <c r="S205" s="84" t="s">
        <v>165</v>
      </c>
      <c r="T205" s="12"/>
      <c r="U205" s="12"/>
      <c r="V205" s="12"/>
      <c r="W205" s="12"/>
      <c r="X205" s="84" t="s">
        <v>127</v>
      </c>
      <c r="Y205" s="12"/>
      <c r="Z205" s="12"/>
      <c r="AA205" s="12"/>
      <c r="AB205" s="12"/>
      <c r="AC205" s="12"/>
      <c r="AD205" s="12"/>
      <c r="AE205" s="12"/>
      <c r="AF205" s="1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15"/>
    </row>
    <row r="206" ht="15.75" customHeight="1">
      <c r="A206" s="103">
        <v>1.1433988E7</v>
      </c>
      <c r="B206" s="84">
        <v>1.002077564E9</v>
      </c>
      <c r="C206" s="84" t="s">
        <v>1613</v>
      </c>
      <c r="D206" s="84">
        <v>27.0</v>
      </c>
      <c r="E206" s="84">
        <v>33.805</v>
      </c>
      <c r="F206" s="103" t="s">
        <v>43</v>
      </c>
      <c r="G206" s="85" t="s">
        <v>44</v>
      </c>
      <c r="H206" s="12" t="s">
        <v>45</v>
      </c>
      <c r="I206" s="12" t="s">
        <v>46</v>
      </c>
      <c r="J206" s="14" t="s">
        <v>35</v>
      </c>
      <c r="K206" s="14" t="s">
        <v>47</v>
      </c>
      <c r="L206" s="98" t="s">
        <v>108</v>
      </c>
      <c r="M206" s="12"/>
      <c r="N206" s="133">
        <v>2335.0</v>
      </c>
      <c r="O206" s="73">
        <f t="shared" si="16"/>
        <v>0</v>
      </c>
      <c r="P206" s="15"/>
      <c r="Q206" s="12"/>
      <c r="R206" s="12"/>
      <c r="S206" s="84" t="s">
        <v>165</v>
      </c>
      <c r="T206" s="12"/>
      <c r="U206" s="12"/>
      <c r="V206" s="12"/>
      <c r="W206" s="12"/>
      <c r="X206" s="84" t="s">
        <v>127</v>
      </c>
      <c r="Y206" s="12"/>
      <c r="Z206" s="12"/>
      <c r="AA206" s="12"/>
      <c r="AB206" s="12"/>
      <c r="AC206" s="12"/>
      <c r="AD206" s="12"/>
      <c r="AE206" s="12"/>
      <c r="AF206" s="1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15"/>
    </row>
    <row r="207" ht="15.75" customHeight="1">
      <c r="A207" s="103">
        <v>1.1433991E7</v>
      </c>
      <c r="B207" s="84">
        <v>1.002077592E9</v>
      </c>
      <c r="C207" s="84" t="s">
        <v>1613</v>
      </c>
      <c r="D207" s="84">
        <v>15.0</v>
      </c>
      <c r="E207" s="84">
        <v>16.523</v>
      </c>
      <c r="F207" s="103" t="s">
        <v>43</v>
      </c>
      <c r="G207" s="85" t="s">
        <v>44</v>
      </c>
      <c r="H207" s="84" t="s">
        <v>2960</v>
      </c>
      <c r="I207" s="85" t="s">
        <v>1232</v>
      </c>
      <c r="J207" s="14" t="s">
        <v>47</v>
      </c>
      <c r="K207" s="14" t="s">
        <v>35</v>
      </c>
      <c r="L207" s="98" t="s">
        <v>110</v>
      </c>
      <c r="M207" s="12"/>
      <c r="N207" s="133">
        <v>1557.0</v>
      </c>
      <c r="O207" s="73">
        <f t="shared" si="16"/>
        <v>0</v>
      </c>
      <c r="P207" s="15"/>
      <c r="Q207" s="12"/>
      <c r="R207" s="12"/>
      <c r="S207" s="84" t="s">
        <v>165</v>
      </c>
      <c r="T207" s="12"/>
      <c r="U207" s="12"/>
      <c r="V207" s="12"/>
      <c r="W207" s="12"/>
      <c r="X207" s="84" t="s">
        <v>127</v>
      </c>
      <c r="Y207" s="12"/>
      <c r="Z207" s="12"/>
      <c r="AA207" s="12"/>
      <c r="AB207" s="12"/>
      <c r="AC207" s="12"/>
      <c r="AD207" s="12"/>
      <c r="AE207" s="12"/>
      <c r="AF207" s="1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15"/>
    </row>
    <row r="208" ht="15.75" customHeight="1">
      <c r="A208" s="103">
        <v>1.1433987E7</v>
      </c>
      <c r="B208" s="84">
        <v>1.002077526E9</v>
      </c>
      <c r="C208" s="84" t="s">
        <v>1613</v>
      </c>
      <c r="D208" s="84">
        <v>26.0</v>
      </c>
      <c r="E208" s="84">
        <v>32.38</v>
      </c>
      <c r="F208" s="103" t="s">
        <v>43</v>
      </c>
      <c r="G208" s="85" t="s">
        <v>44</v>
      </c>
      <c r="H208" s="12" t="s">
        <v>45</v>
      </c>
      <c r="I208" s="12" t="s">
        <v>46</v>
      </c>
      <c r="J208" s="14" t="s">
        <v>35</v>
      </c>
      <c r="K208" s="14" t="s">
        <v>47</v>
      </c>
      <c r="L208" s="98" t="s">
        <v>108</v>
      </c>
      <c r="M208" s="12"/>
      <c r="N208" s="133">
        <v>2335.0</v>
      </c>
      <c r="O208" s="73">
        <f t="shared" si="16"/>
        <v>0</v>
      </c>
      <c r="P208" s="15"/>
      <c r="Q208" s="12"/>
      <c r="R208" s="12"/>
      <c r="S208" s="84" t="s">
        <v>165</v>
      </c>
      <c r="T208" s="12"/>
      <c r="U208" s="12"/>
      <c r="V208" s="12"/>
      <c r="W208" s="12"/>
      <c r="X208" s="84" t="s">
        <v>127</v>
      </c>
      <c r="Y208" s="12"/>
      <c r="Z208" s="12"/>
      <c r="AA208" s="12"/>
      <c r="AB208" s="12"/>
      <c r="AC208" s="12"/>
      <c r="AD208" s="12"/>
      <c r="AE208" s="12"/>
      <c r="AF208" s="1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15"/>
    </row>
    <row r="209" ht="15.75" customHeight="1">
      <c r="A209" s="103">
        <v>1.1433997E7</v>
      </c>
      <c r="B209" s="84">
        <v>1.00207752E9</v>
      </c>
      <c r="C209" s="84" t="s">
        <v>1613</v>
      </c>
      <c r="D209" s="84">
        <v>4.0</v>
      </c>
      <c r="E209" s="84">
        <v>185.0</v>
      </c>
      <c r="F209" s="103" t="s">
        <v>43</v>
      </c>
      <c r="G209" s="85" t="s">
        <v>44</v>
      </c>
      <c r="H209" s="84" t="s">
        <v>2961</v>
      </c>
      <c r="I209" s="85" t="s">
        <v>1232</v>
      </c>
      <c r="J209" s="14" t="s">
        <v>47</v>
      </c>
      <c r="K209" s="14" t="s">
        <v>35</v>
      </c>
      <c r="L209" s="98" t="s">
        <v>110</v>
      </c>
      <c r="M209" s="12"/>
      <c r="N209" s="133">
        <v>1557.0</v>
      </c>
      <c r="O209" s="73">
        <f t="shared" si="16"/>
        <v>0</v>
      </c>
      <c r="P209" s="15"/>
      <c r="Q209" s="12"/>
      <c r="R209" s="12"/>
      <c r="S209" s="84" t="s">
        <v>165</v>
      </c>
      <c r="T209" s="12"/>
      <c r="U209" s="12"/>
      <c r="V209" s="12"/>
      <c r="W209" s="12"/>
      <c r="X209" s="84" t="s">
        <v>127</v>
      </c>
      <c r="Y209" s="12"/>
      <c r="Z209" s="12"/>
      <c r="AA209" s="12"/>
      <c r="AB209" s="12"/>
      <c r="AC209" s="12"/>
      <c r="AD209" s="12"/>
      <c r="AE209" s="12"/>
      <c r="AF209" s="1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15"/>
    </row>
    <row r="210" ht="15.75" customHeight="1">
      <c r="A210" s="103">
        <v>1.1429863E7</v>
      </c>
      <c r="B210" s="84">
        <v>1.002071062E9</v>
      </c>
      <c r="C210" s="84" t="s">
        <v>1518</v>
      </c>
      <c r="D210" s="84">
        <v>28.0</v>
      </c>
      <c r="E210" s="84">
        <v>34.378</v>
      </c>
      <c r="F210" s="12" t="s">
        <v>31</v>
      </c>
      <c r="G210" s="85" t="s">
        <v>44</v>
      </c>
      <c r="H210" s="84" t="s">
        <v>268</v>
      </c>
      <c r="I210" s="29" t="s">
        <v>397</v>
      </c>
      <c r="J210" s="84" t="s">
        <v>35</v>
      </c>
      <c r="K210" s="84" t="s">
        <v>270</v>
      </c>
      <c r="L210" s="95" t="s">
        <v>94</v>
      </c>
      <c r="M210" s="12"/>
      <c r="N210" s="133">
        <v>6410.0</v>
      </c>
      <c r="O210" s="73">
        <f t="shared" si="16"/>
        <v>0</v>
      </c>
      <c r="P210" s="15"/>
      <c r="Q210" s="12"/>
      <c r="R210" s="12"/>
      <c r="S210" s="84" t="s">
        <v>165</v>
      </c>
      <c r="T210" s="12"/>
      <c r="U210" s="12"/>
      <c r="V210" s="12"/>
      <c r="W210" s="12"/>
      <c r="X210" s="84" t="s">
        <v>127</v>
      </c>
      <c r="Y210" s="12"/>
      <c r="Z210" s="12"/>
      <c r="AA210" s="12"/>
      <c r="AB210" s="12"/>
      <c r="AC210" s="12"/>
      <c r="AD210" s="12"/>
      <c r="AE210" s="12"/>
      <c r="AF210" s="1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15"/>
    </row>
    <row r="211" ht="15.75" customHeight="1">
      <c r="A211" s="103">
        <v>1.1429861E7</v>
      </c>
      <c r="B211" s="84">
        <v>1.002071274E9</v>
      </c>
      <c r="C211" s="84" t="s">
        <v>1518</v>
      </c>
      <c r="D211" s="84">
        <v>28.0</v>
      </c>
      <c r="E211" s="84">
        <v>34.058</v>
      </c>
      <c r="F211" s="12" t="s">
        <v>31</v>
      </c>
      <c r="G211" s="85" t="s">
        <v>44</v>
      </c>
      <c r="H211" s="84" t="s">
        <v>268</v>
      </c>
      <c r="I211" s="29" t="s">
        <v>397</v>
      </c>
      <c r="J211" s="84" t="s">
        <v>35</v>
      </c>
      <c r="K211" s="84" t="s">
        <v>270</v>
      </c>
      <c r="L211" s="95" t="s">
        <v>94</v>
      </c>
      <c r="M211" s="436" t="s">
        <v>704</v>
      </c>
      <c r="N211" s="133">
        <v>6410.0</v>
      </c>
      <c r="O211" s="73">
        <f t="shared" si="16"/>
        <v>0</v>
      </c>
      <c r="P211" s="98"/>
      <c r="Q211" s="12"/>
      <c r="R211" s="12"/>
      <c r="S211" s="84" t="s">
        <v>165</v>
      </c>
      <c r="T211" s="12"/>
      <c r="U211" s="12"/>
      <c r="V211" s="12"/>
      <c r="W211" s="12"/>
      <c r="X211" s="84" t="s">
        <v>127</v>
      </c>
      <c r="Y211" s="12"/>
      <c r="Z211" s="12"/>
      <c r="AA211" s="12"/>
      <c r="AB211" s="12"/>
      <c r="AC211" s="12"/>
      <c r="AD211" s="12"/>
      <c r="AE211" s="12"/>
      <c r="AF211" s="1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15"/>
    </row>
    <row r="212" ht="15.75" customHeight="1">
      <c r="A212" s="103">
        <v>1.1436177E7</v>
      </c>
      <c r="B212" s="84">
        <v>1.002079591E9</v>
      </c>
      <c r="C212" s="99">
        <v>45996.0</v>
      </c>
      <c r="D212" s="84">
        <v>26.0</v>
      </c>
      <c r="E212" s="84">
        <v>33.43</v>
      </c>
      <c r="F212" s="84" t="s">
        <v>31</v>
      </c>
      <c r="G212" s="85" t="s">
        <v>32</v>
      </c>
      <c r="H212" s="84" t="s">
        <v>1317</v>
      </c>
      <c r="I212" s="39" t="s">
        <v>137</v>
      </c>
      <c r="J212" s="84" t="s">
        <v>35</v>
      </c>
      <c r="K212" s="84" t="s">
        <v>138</v>
      </c>
      <c r="L212" s="95" t="s">
        <v>94</v>
      </c>
      <c r="M212" s="436" t="s">
        <v>1204</v>
      </c>
      <c r="N212" s="133">
        <v>5760.0</v>
      </c>
      <c r="O212" s="73">
        <f t="shared" si="16"/>
        <v>0.625</v>
      </c>
      <c r="P212" s="98">
        <v>3600.0</v>
      </c>
      <c r="Q212" s="12"/>
      <c r="R212" s="12"/>
      <c r="S212" s="84" t="s">
        <v>165</v>
      </c>
      <c r="T212" s="12"/>
      <c r="U212" s="12"/>
      <c r="V212" s="12"/>
      <c r="W212" s="12"/>
      <c r="X212" s="84" t="s">
        <v>127</v>
      </c>
      <c r="Y212" s="12"/>
      <c r="Z212" s="12"/>
      <c r="AA212" s="12"/>
      <c r="AB212" s="12"/>
      <c r="AC212" s="12"/>
      <c r="AD212" s="12"/>
      <c r="AE212" s="12"/>
      <c r="AF212" s="1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15"/>
    </row>
    <row r="213" ht="15.75" customHeight="1">
      <c r="A213" s="103">
        <v>1.1436176E7</v>
      </c>
      <c r="B213" s="84">
        <v>1.002079585E9</v>
      </c>
      <c r="C213" s="99">
        <v>45996.0</v>
      </c>
      <c r="D213" s="84">
        <v>26.0</v>
      </c>
      <c r="E213" s="84">
        <v>33.43</v>
      </c>
      <c r="F213" s="84" t="s">
        <v>31</v>
      </c>
      <c r="G213" s="85" t="s">
        <v>32</v>
      </c>
      <c r="H213" s="84" t="s">
        <v>1317</v>
      </c>
      <c r="I213" s="39" t="s">
        <v>137</v>
      </c>
      <c r="J213" s="84" t="s">
        <v>35</v>
      </c>
      <c r="K213" s="84" t="s">
        <v>138</v>
      </c>
      <c r="L213" s="95" t="s">
        <v>94</v>
      </c>
      <c r="M213" s="436" t="s">
        <v>1286</v>
      </c>
      <c r="N213" s="133">
        <v>5760.0</v>
      </c>
      <c r="O213" s="73">
        <f t="shared" si="16"/>
        <v>0.625</v>
      </c>
      <c r="P213" s="98">
        <v>3600.0</v>
      </c>
      <c r="Q213" s="12"/>
      <c r="R213" s="12"/>
      <c r="S213" s="84" t="s">
        <v>165</v>
      </c>
      <c r="T213" s="12"/>
      <c r="U213" s="12"/>
      <c r="V213" s="12"/>
      <c r="W213" s="12"/>
      <c r="X213" s="84" t="s">
        <v>127</v>
      </c>
      <c r="Y213" s="12"/>
      <c r="Z213" s="12"/>
      <c r="AA213" s="12"/>
      <c r="AB213" s="12"/>
      <c r="AC213" s="12"/>
      <c r="AD213" s="12"/>
      <c r="AE213" s="12"/>
      <c r="AF213" s="1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15"/>
    </row>
    <row r="214" ht="15.75" customHeight="1">
      <c r="A214" s="124">
        <v>1.1441007E7</v>
      </c>
      <c r="B214" s="124">
        <v>1.002086748E9</v>
      </c>
      <c r="C214" s="124" t="s">
        <v>1533</v>
      </c>
      <c r="D214" s="124">
        <v>27.0</v>
      </c>
      <c r="E214" s="124">
        <v>33.805</v>
      </c>
      <c r="F214" s="124" t="s">
        <v>43</v>
      </c>
      <c r="G214" s="441" t="s">
        <v>44</v>
      </c>
      <c r="H214" s="124" t="s">
        <v>268</v>
      </c>
      <c r="I214" s="442" t="s">
        <v>397</v>
      </c>
      <c r="J214" s="124" t="s">
        <v>35</v>
      </c>
      <c r="K214" s="124" t="s">
        <v>270</v>
      </c>
      <c r="L214" s="443" t="s">
        <v>94</v>
      </c>
      <c r="M214" s="124"/>
      <c r="N214" s="444">
        <v>5847.0</v>
      </c>
      <c r="O214" s="445">
        <f t="shared" si="16"/>
        <v>0</v>
      </c>
      <c r="P214" s="446"/>
      <c r="Q214" s="124" t="s">
        <v>39</v>
      </c>
      <c r="R214" s="184"/>
      <c r="S214" s="124" t="s">
        <v>1942</v>
      </c>
      <c r="T214" s="184"/>
      <c r="U214" s="184"/>
      <c r="V214" s="184"/>
      <c r="W214" s="184"/>
      <c r="X214" s="125" t="s">
        <v>127</v>
      </c>
      <c r="Y214" s="184"/>
      <c r="Z214" s="184"/>
      <c r="AA214" s="184"/>
      <c r="AB214" s="184"/>
      <c r="AC214" s="184"/>
      <c r="AD214" s="184"/>
      <c r="AE214" s="184"/>
      <c r="AF214" s="184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215"/>
    </row>
    <row r="215" ht="15.75" customHeight="1">
      <c r="A215" s="124">
        <v>1.1441023E7</v>
      </c>
      <c r="B215" s="124">
        <v>1.002086742E9</v>
      </c>
      <c r="C215" s="124" t="s">
        <v>1533</v>
      </c>
      <c r="D215" s="124">
        <v>15.0</v>
      </c>
      <c r="E215" s="124">
        <v>16.523</v>
      </c>
      <c r="F215" s="124" t="s">
        <v>43</v>
      </c>
      <c r="G215" s="441" t="s">
        <v>44</v>
      </c>
      <c r="H215" s="124" t="s">
        <v>2962</v>
      </c>
      <c r="I215" s="441" t="s">
        <v>1232</v>
      </c>
      <c r="J215" s="124" t="s">
        <v>270</v>
      </c>
      <c r="K215" s="124" t="s">
        <v>35</v>
      </c>
      <c r="L215" s="443" t="s">
        <v>43</v>
      </c>
      <c r="M215" s="124"/>
      <c r="N215" s="444">
        <v>3898.0</v>
      </c>
      <c r="O215" s="445">
        <f t="shared" si="16"/>
        <v>0</v>
      </c>
      <c r="P215" s="446"/>
      <c r="Q215" s="184"/>
      <c r="R215" s="184"/>
      <c r="S215" s="124" t="s">
        <v>1942</v>
      </c>
      <c r="T215" s="184"/>
      <c r="U215" s="184"/>
      <c r="V215" s="184"/>
      <c r="W215" s="184"/>
      <c r="X215" s="125" t="s">
        <v>127</v>
      </c>
      <c r="Y215" s="184"/>
      <c r="Z215" s="184"/>
      <c r="AA215" s="184"/>
      <c r="AB215" s="184"/>
      <c r="AC215" s="184"/>
      <c r="AD215" s="184"/>
      <c r="AE215" s="184"/>
      <c r="AF215" s="184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215"/>
    </row>
    <row r="216" ht="15.75" customHeight="1">
      <c r="A216" s="124">
        <v>1.1445378E7</v>
      </c>
      <c r="B216" s="124">
        <v>1.00209201E9</v>
      </c>
      <c r="C216" s="124" t="s">
        <v>2736</v>
      </c>
      <c r="D216" s="124">
        <v>27.0</v>
      </c>
      <c r="E216" s="124">
        <v>33.805</v>
      </c>
      <c r="F216" s="124" t="s">
        <v>43</v>
      </c>
      <c r="G216" s="441" t="s">
        <v>44</v>
      </c>
      <c r="H216" s="124" t="s">
        <v>268</v>
      </c>
      <c r="I216" s="441" t="s">
        <v>1232</v>
      </c>
      <c r="J216" s="124" t="s">
        <v>270</v>
      </c>
      <c r="K216" s="124" t="s">
        <v>35</v>
      </c>
      <c r="L216" s="443" t="s">
        <v>94</v>
      </c>
      <c r="M216" s="124"/>
      <c r="N216" s="444">
        <v>5847.0</v>
      </c>
      <c r="O216" s="445">
        <f t="shared" si="16"/>
        <v>0</v>
      </c>
      <c r="P216" s="447"/>
      <c r="Q216" s="184"/>
      <c r="R216" s="184"/>
      <c r="S216" s="124" t="s">
        <v>1942</v>
      </c>
      <c r="T216" s="184"/>
      <c r="U216" s="184"/>
      <c r="V216" s="184"/>
      <c r="W216" s="184"/>
      <c r="X216" s="125" t="s">
        <v>127</v>
      </c>
      <c r="Y216" s="184"/>
      <c r="Z216" s="184"/>
      <c r="AA216" s="184"/>
      <c r="AB216" s="184"/>
      <c r="AC216" s="184"/>
      <c r="AD216" s="184"/>
      <c r="AE216" s="184"/>
      <c r="AF216" s="184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215"/>
    </row>
    <row r="217" ht="15.75" customHeight="1">
      <c r="A217" s="124">
        <v>1.144538E7</v>
      </c>
      <c r="B217" s="124">
        <v>1.002091599E9</v>
      </c>
      <c r="C217" s="124" t="s">
        <v>2736</v>
      </c>
      <c r="D217" s="124">
        <v>15.0</v>
      </c>
      <c r="E217" s="124">
        <v>16.523</v>
      </c>
      <c r="F217" s="124" t="s">
        <v>43</v>
      </c>
      <c r="G217" s="441" t="s">
        <v>44</v>
      </c>
      <c r="H217" s="124" t="s">
        <v>2963</v>
      </c>
      <c r="I217" s="448" t="s">
        <v>137</v>
      </c>
      <c r="J217" s="124" t="s">
        <v>35</v>
      </c>
      <c r="K217" s="124" t="s">
        <v>270</v>
      </c>
      <c r="L217" s="443" t="s">
        <v>94</v>
      </c>
      <c r="M217" s="124"/>
      <c r="N217" s="444">
        <v>3898.0</v>
      </c>
      <c r="O217" s="445">
        <f t="shared" si="16"/>
        <v>0</v>
      </c>
      <c r="P217" s="447"/>
      <c r="Q217" s="184"/>
      <c r="R217" s="184"/>
      <c r="S217" s="124" t="s">
        <v>1942</v>
      </c>
      <c r="T217" s="184"/>
      <c r="U217" s="184"/>
      <c r="V217" s="184"/>
      <c r="W217" s="184"/>
      <c r="X217" s="125" t="s">
        <v>127</v>
      </c>
      <c r="Y217" s="184"/>
      <c r="Z217" s="184"/>
      <c r="AA217" s="184"/>
      <c r="AB217" s="184"/>
      <c r="AC217" s="184"/>
      <c r="AD217" s="184"/>
      <c r="AE217" s="184"/>
      <c r="AF217" s="184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215"/>
    </row>
    <row r="218" ht="15.75" customHeight="1">
      <c r="A218" s="124">
        <v>1.1445379E7</v>
      </c>
      <c r="B218" s="124">
        <v>1.002091855E9</v>
      </c>
      <c r="C218" s="124" t="s">
        <v>2736</v>
      </c>
      <c r="D218" s="124">
        <v>27.0</v>
      </c>
      <c r="E218" s="124">
        <v>33.805</v>
      </c>
      <c r="F218" s="124" t="s">
        <v>43</v>
      </c>
      <c r="G218" s="441" t="s">
        <v>44</v>
      </c>
      <c r="H218" s="124" t="s">
        <v>268</v>
      </c>
      <c r="I218" s="441" t="s">
        <v>1232</v>
      </c>
      <c r="J218" s="124" t="s">
        <v>270</v>
      </c>
      <c r="K218" s="124" t="s">
        <v>35</v>
      </c>
      <c r="L218" s="443" t="s">
        <v>94</v>
      </c>
      <c r="M218" s="124"/>
      <c r="N218" s="444">
        <v>5847.0</v>
      </c>
      <c r="O218" s="445">
        <f t="shared" si="16"/>
        <v>0</v>
      </c>
      <c r="P218" s="447"/>
      <c r="Q218" s="184"/>
      <c r="R218" s="184"/>
      <c r="S218" s="124" t="s">
        <v>1942</v>
      </c>
      <c r="T218" s="184"/>
      <c r="U218" s="184"/>
      <c r="V218" s="184"/>
      <c r="W218" s="184"/>
      <c r="X218" s="125" t="s">
        <v>127</v>
      </c>
      <c r="Y218" s="184"/>
      <c r="Z218" s="184"/>
      <c r="AA218" s="184"/>
      <c r="AB218" s="184"/>
      <c r="AC218" s="184"/>
      <c r="AD218" s="184"/>
      <c r="AE218" s="184"/>
      <c r="AF218" s="184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215"/>
    </row>
    <row r="219" ht="15.75" customHeight="1">
      <c r="A219" s="124">
        <v>1.1445381E7</v>
      </c>
      <c r="B219" s="124">
        <v>1.002092E9</v>
      </c>
      <c r="C219" s="124" t="s">
        <v>2736</v>
      </c>
      <c r="D219" s="124">
        <v>15.0</v>
      </c>
      <c r="E219" s="124">
        <v>16.523</v>
      </c>
      <c r="F219" s="124" t="s">
        <v>43</v>
      </c>
      <c r="G219" s="441" t="s">
        <v>44</v>
      </c>
      <c r="H219" s="124" t="s">
        <v>2964</v>
      </c>
      <c r="I219" s="448" t="s">
        <v>137</v>
      </c>
      <c r="J219" s="124" t="s">
        <v>35</v>
      </c>
      <c r="K219" s="124" t="s">
        <v>270</v>
      </c>
      <c r="L219" s="443" t="s">
        <v>94</v>
      </c>
      <c r="M219" s="14"/>
      <c r="N219" s="444">
        <v>3898.0</v>
      </c>
      <c r="O219" s="445">
        <f t="shared" si="16"/>
        <v>0</v>
      </c>
      <c r="P219" s="447"/>
      <c r="Q219" s="184"/>
      <c r="R219" s="184"/>
      <c r="S219" s="124" t="s">
        <v>1942</v>
      </c>
      <c r="T219" s="184"/>
      <c r="U219" s="184"/>
      <c r="V219" s="184"/>
      <c r="W219" s="184"/>
      <c r="X219" s="125" t="s">
        <v>127</v>
      </c>
      <c r="Y219" s="184"/>
      <c r="Z219" s="184"/>
      <c r="AA219" s="184"/>
      <c r="AB219" s="184"/>
      <c r="AC219" s="184"/>
      <c r="AD219" s="184"/>
      <c r="AE219" s="184"/>
      <c r="AF219" s="184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215"/>
    </row>
    <row r="220" ht="15.75" customHeight="1">
      <c r="A220" s="103">
        <v>1.14519E7</v>
      </c>
      <c r="B220" s="84">
        <v>1.002101287E9</v>
      </c>
      <c r="C220" s="84" t="s">
        <v>1550</v>
      </c>
      <c r="D220" s="84">
        <v>26.0</v>
      </c>
      <c r="E220" s="84">
        <v>31.625</v>
      </c>
      <c r="F220" s="12" t="s">
        <v>31</v>
      </c>
      <c r="G220" s="85" t="s">
        <v>44</v>
      </c>
      <c r="H220" s="84" t="s">
        <v>268</v>
      </c>
      <c r="I220" s="29" t="s">
        <v>397</v>
      </c>
      <c r="J220" s="84" t="s">
        <v>35</v>
      </c>
      <c r="K220" s="84" t="s">
        <v>270</v>
      </c>
      <c r="L220" s="95" t="s">
        <v>94</v>
      </c>
      <c r="M220" s="216"/>
      <c r="N220" s="133">
        <v>6410.0</v>
      </c>
      <c r="O220" s="73">
        <f t="shared" si="16"/>
        <v>0.6630265211</v>
      </c>
      <c r="P220" s="98">
        <v>4250.0</v>
      </c>
      <c r="Q220" s="12"/>
      <c r="R220" s="12"/>
      <c r="S220" s="84" t="s">
        <v>165</v>
      </c>
      <c r="T220" s="12"/>
      <c r="U220" s="12"/>
      <c r="V220" s="12"/>
      <c r="W220" s="12"/>
      <c r="X220" s="84" t="s">
        <v>127</v>
      </c>
      <c r="Y220" s="12"/>
      <c r="Z220" s="12"/>
      <c r="AA220" s="12"/>
      <c r="AB220" s="12"/>
      <c r="AC220" s="12"/>
      <c r="AD220" s="12"/>
      <c r="AE220" s="12"/>
      <c r="AF220" s="1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15"/>
    </row>
    <row r="221" ht="15.75" customHeight="1">
      <c r="A221" s="103">
        <v>1.1472775E7</v>
      </c>
      <c r="B221" s="84">
        <v>1.002129118E9</v>
      </c>
      <c r="C221" s="84" t="s">
        <v>2748</v>
      </c>
      <c r="D221" s="84">
        <v>26.0</v>
      </c>
      <c r="E221" s="84">
        <v>32.553</v>
      </c>
      <c r="F221" s="103" t="s">
        <v>43</v>
      </c>
      <c r="G221" s="29" t="s">
        <v>32</v>
      </c>
      <c r="H221" s="12" t="s">
        <v>265</v>
      </c>
      <c r="I221" s="28" t="s">
        <v>266</v>
      </c>
      <c r="J221" s="25" t="s">
        <v>35</v>
      </c>
      <c r="K221" s="12" t="s">
        <v>267</v>
      </c>
      <c r="L221" s="98" t="s">
        <v>114</v>
      </c>
      <c r="M221" s="12"/>
      <c r="N221" s="133">
        <v>5996.0</v>
      </c>
      <c r="O221" s="73">
        <f t="shared" si="16"/>
        <v>0</v>
      </c>
      <c r="P221" s="15"/>
      <c r="Q221" s="12"/>
      <c r="R221" s="12"/>
      <c r="S221" s="84" t="s">
        <v>165</v>
      </c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15"/>
    </row>
    <row r="222" ht="15.75" customHeight="1">
      <c r="A222" s="103">
        <v>1.1472776E7</v>
      </c>
      <c r="B222" s="84">
        <v>1.002129154E9</v>
      </c>
      <c r="C222" s="84" t="s">
        <v>2748</v>
      </c>
      <c r="D222" s="84">
        <v>14.0</v>
      </c>
      <c r="E222" s="84">
        <v>15.911</v>
      </c>
      <c r="F222" s="103" t="s">
        <v>43</v>
      </c>
      <c r="G222" s="29" t="s">
        <v>32</v>
      </c>
      <c r="H222" s="85" t="s">
        <v>2965</v>
      </c>
      <c r="I222" s="85" t="s">
        <v>1232</v>
      </c>
      <c r="J222" s="12" t="s">
        <v>267</v>
      </c>
      <c r="K222" s="25" t="s">
        <v>35</v>
      </c>
      <c r="L222" s="98" t="s">
        <v>188</v>
      </c>
      <c r="M222" s="12"/>
      <c r="N222" s="133">
        <v>3997.0</v>
      </c>
      <c r="O222" s="73">
        <f t="shared" si="16"/>
        <v>0</v>
      </c>
      <c r="P222" s="15"/>
      <c r="Q222" s="12"/>
      <c r="R222" s="12"/>
      <c r="S222" s="84" t="s">
        <v>165</v>
      </c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15"/>
    </row>
    <row r="223" ht="15.75" customHeight="1">
      <c r="A223" s="103">
        <v>1.1475937E7</v>
      </c>
      <c r="B223" s="84">
        <v>1.002133658E9</v>
      </c>
      <c r="C223" s="84" t="s">
        <v>2754</v>
      </c>
      <c r="D223" s="84">
        <v>26.0</v>
      </c>
      <c r="E223" s="84">
        <v>32.553</v>
      </c>
      <c r="F223" s="103" t="s">
        <v>43</v>
      </c>
      <c r="G223" s="93" t="s">
        <v>32</v>
      </c>
      <c r="H223" s="84" t="s">
        <v>487</v>
      </c>
      <c r="I223" s="85" t="s">
        <v>488</v>
      </c>
      <c r="J223" s="12" t="s">
        <v>35</v>
      </c>
      <c r="K223" s="94" t="s">
        <v>2966</v>
      </c>
      <c r="L223" s="95" t="s">
        <v>114</v>
      </c>
      <c r="M223" s="85"/>
      <c r="N223" s="88">
        <v>4900.0</v>
      </c>
      <c r="O223" s="73">
        <f t="shared" si="16"/>
        <v>0</v>
      </c>
      <c r="P223" s="15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15"/>
    </row>
    <row r="224" ht="15.75" customHeight="1">
      <c r="A224" s="103">
        <v>1.1476018E7</v>
      </c>
      <c r="B224" s="84">
        <v>1.002133645E9</v>
      </c>
      <c r="C224" s="84" t="s">
        <v>2754</v>
      </c>
      <c r="D224" s="84">
        <v>14.0</v>
      </c>
      <c r="E224" s="84">
        <v>15.911</v>
      </c>
      <c r="F224" s="103" t="s">
        <v>43</v>
      </c>
      <c r="G224" s="93" t="s">
        <v>32</v>
      </c>
      <c r="H224" s="85" t="s">
        <v>2967</v>
      </c>
      <c r="I224" s="85" t="s">
        <v>488</v>
      </c>
      <c r="J224" s="94" t="s">
        <v>2968</v>
      </c>
      <c r="K224" s="12" t="s">
        <v>35</v>
      </c>
      <c r="L224" s="95" t="s">
        <v>188</v>
      </c>
      <c r="M224" s="85"/>
      <c r="N224" s="88">
        <v>3266.0</v>
      </c>
      <c r="O224" s="73">
        <f t="shared" si="16"/>
        <v>0</v>
      </c>
      <c r="P224" s="15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15"/>
    </row>
    <row r="225" ht="15.75" customHeight="1">
      <c r="A225" s="103">
        <v>1.1484053E7</v>
      </c>
      <c r="B225" s="84">
        <v>1.002145572E9</v>
      </c>
      <c r="C225" s="84" t="s">
        <v>2754</v>
      </c>
      <c r="D225" s="84">
        <v>26.0</v>
      </c>
      <c r="E225" s="84">
        <v>30.871</v>
      </c>
      <c r="F225" s="12" t="s">
        <v>31</v>
      </c>
      <c r="G225" s="84" t="s">
        <v>74</v>
      </c>
      <c r="H225" s="84" t="s">
        <v>526</v>
      </c>
      <c r="I225" s="85" t="s">
        <v>527</v>
      </c>
      <c r="J225" s="12" t="s">
        <v>35</v>
      </c>
      <c r="K225" s="12" t="s">
        <v>528</v>
      </c>
      <c r="L225" s="98" t="s">
        <v>114</v>
      </c>
      <c r="M225" s="84"/>
      <c r="N225" s="133">
        <v>5625.0</v>
      </c>
      <c r="O225" s="73"/>
      <c r="P225" s="98"/>
      <c r="Q225" s="84"/>
      <c r="R225" s="84"/>
      <c r="S225" s="84"/>
      <c r="T225" s="90"/>
      <c r="U225" s="84"/>
      <c r="V225" s="84"/>
      <c r="W225" s="12"/>
      <c r="X225" s="84"/>
      <c r="Y225" s="12"/>
      <c r="Z225" s="12"/>
      <c r="AA225" s="12"/>
      <c r="AB225" s="12"/>
      <c r="AC225" s="12"/>
      <c r="AD225" s="12"/>
      <c r="AE225" s="12"/>
      <c r="AF225" s="1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15"/>
    </row>
    <row r="226" ht="15.75" customHeight="1">
      <c r="A226" s="103">
        <v>1.1486339E7</v>
      </c>
      <c r="B226" s="84">
        <v>1.002148758E9</v>
      </c>
      <c r="C226" s="435">
        <v>45811.0</v>
      </c>
      <c r="D226" s="84">
        <v>28.0</v>
      </c>
      <c r="E226" s="84">
        <v>34.058</v>
      </c>
      <c r="F226" s="12" t="s">
        <v>31</v>
      </c>
      <c r="G226" s="84" t="s">
        <v>44</v>
      </c>
      <c r="H226" s="164" t="s">
        <v>104</v>
      </c>
      <c r="I226" s="164" t="s">
        <v>105</v>
      </c>
      <c r="J226" s="164" t="s">
        <v>35</v>
      </c>
      <c r="K226" s="164" t="s">
        <v>106</v>
      </c>
      <c r="L226" s="165" t="s">
        <v>59</v>
      </c>
      <c r="M226" s="12"/>
      <c r="N226" s="133" t="s">
        <v>2969</v>
      </c>
      <c r="O226" s="73"/>
      <c r="P226" s="15"/>
      <c r="Q226" s="12"/>
      <c r="R226" s="12"/>
      <c r="S226" s="84" t="s">
        <v>165</v>
      </c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15"/>
    </row>
    <row r="227" ht="15.75" customHeight="1">
      <c r="A227" s="103">
        <v>1.1492118E7</v>
      </c>
      <c r="B227" s="84">
        <v>1.002157767E9</v>
      </c>
      <c r="C227" s="435">
        <v>45811.0</v>
      </c>
      <c r="D227" s="84">
        <v>26.0</v>
      </c>
      <c r="E227" s="84">
        <v>30.073</v>
      </c>
      <c r="F227" s="84" t="s">
        <v>43</v>
      </c>
      <c r="G227" s="84" t="s">
        <v>44</v>
      </c>
      <c r="H227" s="29" t="s">
        <v>104</v>
      </c>
      <c r="I227" s="29" t="s">
        <v>105</v>
      </c>
      <c r="J227" s="25" t="s">
        <v>35</v>
      </c>
      <c r="K227" s="39" t="s">
        <v>106</v>
      </c>
      <c r="L227" s="28" t="s">
        <v>59</v>
      </c>
      <c r="M227" s="12"/>
      <c r="N227" s="133" t="s">
        <v>2970</v>
      </c>
      <c r="O227" s="73"/>
      <c r="P227" s="15"/>
      <c r="Q227" s="12"/>
      <c r="R227" s="12"/>
      <c r="S227" s="84" t="s">
        <v>165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15"/>
    </row>
    <row r="228" ht="15.75" customHeight="1">
      <c r="A228" s="103">
        <v>1.1492119E7</v>
      </c>
      <c r="B228" s="84">
        <v>1.002157764E9</v>
      </c>
      <c r="C228" s="435">
        <v>45811.0</v>
      </c>
      <c r="D228" s="84">
        <v>4.0</v>
      </c>
      <c r="E228" s="84">
        <v>4.041</v>
      </c>
      <c r="F228" s="84" t="s">
        <v>43</v>
      </c>
      <c r="G228" s="84" t="s">
        <v>44</v>
      </c>
      <c r="H228" s="84" t="s">
        <v>2971</v>
      </c>
      <c r="I228" s="85" t="s">
        <v>105</v>
      </c>
      <c r="J228" s="84" t="s">
        <v>106</v>
      </c>
      <c r="K228" s="84" t="s">
        <v>35</v>
      </c>
      <c r="L228" s="98" t="s">
        <v>110</v>
      </c>
      <c r="M228" s="12"/>
      <c r="N228" s="133" t="s">
        <v>2972</v>
      </c>
      <c r="O228" s="73"/>
      <c r="P228" s="15"/>
      <c r="Q228" s="12"/>
      <c r="R228" s="12"/>
      <c r="S228" s="84" t="s">
        <v>165</v>
      </c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15"/>
    </row>
    <row r="229" ht="15.75" customHeight="1">
      <c r="A229" s="103">
        <v>1.1500683E7</v>
      </c>
      <c r="B229" s="84">
        <v>1.002169121E9</v>
      </c>
      <c r="C229" s="99">
        <v>45906.0</v>
      </c>
      <c r="D229" s="84">
        <v>26.0</v>
      </c>
      <c r="E229" s="84">
        <v>30.663</v>
      </c>
      <c r="F229" s="29" t="s">
        <v>31</v>
      </c>
      <c r="G229" s="85" t="s">
        <v>74</v>
      </c>
      <c r="H229" s="12" t="s">
        <v>426</v>
      </c>
      <c r="I229" s="29" t="s">
        <v>427</v>
      </c>
      <c r="J229" s="25" t="s">
        <v>35</v>
      </c>
      <c r="K229" s="25" t="s">
        <v>428</v>
      </c>
      <c r="L229" s="28" t="s">
        <v>188</v>
      </c>
      <c r="M229" s="12"/>
      <c r="N229" s="133">
        <v>2900.0</v>
      </c>
      <c r="O229" s="73">
        <f t="shared" ref="O229:O233" si="17">IFERROR(P229/N229,0)</f>
        <v>0</v>
      </c>
      <c r="P229" s="98"/>
      <c r="Q229" s="12"/>
      <c r="R229" s="12"/>
      <c r="S229" s="84" t="s">
        <v>165</v>
      </c>
      <c r="T229" s="12"/>
      <c r="U229" s="12"/>
      <c r="V229" s="12"/>
      <c r="W229" s="12"/>
      <c r="X229" s="112">
        <v>45967.3125</v>
      </c>
      <c r="Y229" s="12"/>
      <c r="Z229" s="12"/>
      <c r="AA229" s="12"/>
      <c r="AB229" s="12"/>
      <c r="AC229" s="12"/>
      <c r="AD229" s="12"/>
      <c r="AE229" s="12"/>
      <c r="AF229" s="1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15"/>
    </row>
    <row r="230" ht="15.75" customHeight="1">
      <c r="A230" s="103">
        <v>1.1500685E7</v>
      </c>
      <c r="B230" s="84">
        <v>1.002169124E9</v>
      </c>
      <c r="C230" s="99">
        <v>45906.0</v>
      </c>
      <c r="D230" s="84">
        <v>26.0</v>
      </c>
      <c r="E230" s="84">
        <v>30.663</v>
      </c>
      <c r="F230" s="29" t="s">
        <v>31</v>
      </c>
      <c r="G230" s="85" t="s">
        <v>74</v>
      </c>
      <c r="H230" s="12" t="s">
        <v>426</v>
      </c>
      <c r="I230" s="29" t="s">
        <v>427</v>
      </c>
      <c r="J230" s="25" t="s">
        <v>35</v>
      </c>
      <c r="K230" s="25" t="s">
        <v>428</v>
      </c>
      <c r="L230" s="28" t="s">
        <v>188</v>
      </c>
      <c r="M230" s="12"/>
      <c r="N230" s="133">
        <v>2900.0</v>
      </c>
      <c r="O230" s="73">
        <f t="shared" si="17"/>
        <v>0</v>
      </c>
      <c r="P230" s="15"/>
      <c r="Q230" s="12"/>
      <c r="R230" s="12"/>
      <c r="S230" s="84" t="s">
        <v>165</v>
      </c>
      <c r="T230" s="12"/>
      <c r="U230" s="12"/>
      <c r="V230" s="12"/>
      <c r="W230" s="12"/>
      <c r="X230" s="112">
        <v>45967.3125</v>
      </c>
      <c r="Y230" s="12"/>
      <c r="Z230" s="12"/>
      <c r="AA230" s="12"/>
      <c r="AB230" s="12"/>
      <c r="AC230" s="12"/>
      <c r="AD230" s="12"/>
      <c r="AE230" s="12"/>
      <c r="AF230" s="1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15"/>
    </row>
    <row r="231" ht="15.75" customHeight="1">
      <c r="A231" s="103">
        <v>1.1512553E7</v>
      </c>
      <c r="B231" s="84">
        <v>1.002187029E9</v>
      </c>
      <c r="C231" s="99">
        <v>45967.0</v>
      </c>
      <c r="D231" s="84">
        <v>28.0</v>
      </c>
      <c r="E231" s="84">
        <v>34.058</v>
      </c>
      <c r="F231" s="12" t="s">
        <v>31</v>
      </c>
      <c r="G231" s="85" t="s">
        <v>32</v>
      </c>
      <c r="H231" s="12" t="s">
        <v>45</v>
      </c>
      <c r="I231" s="12" t="s">
        <v>46</v>
      </c>
      <c r="J231" s="84" t="s">
        <v>35</v>
      </c>
      <c r="K231" s="84" t="s">
        <v>47</v>
      </c>
      <c r="L231" s="95" t="s">
        <v>108</v>
      </c>
      <c r="M231" s="12"/>
      <c r="N231" s="133">
        <v>2545.0</v>
      </c>
      <c r="O231" s="73">
        <f t="shared" si="17"/>
        <v>0</v>
      </c>
      <c r="P231" s="15"/>
      <c r="Q231" s="12"/>
      <c r="R231" s="84"/>
      <c r="S231" s="84" t="s">
        <v>165</v>
      </c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15"/>
    </row>
    <row r="232" ht="15.75" customHeight="1">
      <c r="A232" s="103">
        <v>1.1512554E7</v>
      </c>
      <c r="B232" s="84">
        <v>1.002187061E9</v>
      </c>
      <c r="C232" s="99">
        <v>45967.0</v>
      </c>
      <c r="D232" s="84">
        <v>28.0</v>
      </c>
      <c r="E232" s="84">
        <v>34.058</v>
      </c>
      <c r="F232" s="12" t="s">
        <v>31</v>
      </c>
      <c r="G232" s="85" t="s">
        <v>32</v>
      </c>
      <c r="H232" s="12" t="s">
        <v>45</v>
      </c>
      <c r="I232" s="12" t="s">
        <v>46</v>
      </c>
      <c r="J232" s="84" t="s">
        <v>35</v>
      </c>
      <c r="K232" s="84" t="s">
        <v>47</v>
      </c>
      <c r="L232" s="95" t="s">
        <v>108</v>
      </c>
      <c r="M232" s="12"/>
      <c r="N232" s="133">
        <v>2545.0</v>
      </c>
      <c r="O232" s="73">
        <f t="shared" si="17"/>
        <v>0</v>
      </c>
      <c r="P232" s="15"/>
      <c r="Q232" s="12"/>
      <c r="R232" s="12"/>
      <c r="S232" s="84" t="s">
        <v>165</v>
      </c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15"/>
    </row>
    <row r="233" ht="15.75" customHeight="1">
      <c r="A233" s="103">
        <v>1.1512552E7</v>
      </c>
      <c r="B233" s="84">
        <v>1.002187032E9</v>
      </c>
      <c r="C233" s="99">
        <v>45967.0</v>
      </c>
      <c r="D233" s="84">
        <v>28.0</v>
      </c>
      <c r="E233" s="84">
        <v>34.058</v>
      </c>
      <c r="F233" s="12" t="s">
        <v>31</v>
      </c>
      <c r="G233" s="85" t="s">
        <v>32</v>
      </c>
      <c r="H233" s="12" t="s">
        <v>45</v>
      </c>
      <c r="I233" s="12" t="s">
        <v>46</v>
      </c>
      <c r="J233" s="84" t="s">
        <v>35</v>
      </c>
      <c r="K233" s="84" t="s">
        <v>47</v>
      </c>
      <c r="L233" s="95" t="s">
        <v>108</v>
      </c>
      <c r="M233" s="12"/>
      <c r="N233" s="133">
        <v>2545.0</v>
      </c>
      <c r="O233" s="73">
        <f t="shared" si="17"/>
        <v>0</v>
      </c>
      <c r="P233" s="15"/>
      <c r="Q233" s="12"/>
      <c r="R233" s="12"/>
      <c r="S233" s="84" t="s">
        <v>165</v>
      </c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15"/>
    </row>
    <row r="234" ht="15.75" customHeight="1">
      <c r="A234" s="103">
        <v>1.1522758E7</v>
      </c>
      <c r="B234" s="84">
        <v>1.002191945E9</v>
      </c>
      <c r="C234" s="435">
        <v>45820.0</v>
      </c>
      <c r="D234" s="84">
        <v>26.0</v>
      </c>
      <c r="E234" s="84">
        <v>30.226</v>
      </c>
      <c r="F234" s="12" t="s">
        <v>43</v>
      </c>
      <c r="G234" s="84" t="s">
        <v>32</v>
      </c>
      <c r="H234" s="84" t="s">
        <v>45</v>
      </c>
      <c r="I234" s="12" t="s">
        <v>46</v>
      </c>
      <c r="J234" s="84" t="s">
        <v>35</v>
      </c>
      <c r="K234" s="84" t="s">
        <v>47</v>
      </c>
      <c r="L234" s="98" t="s">
        <v>110</v>
      </c>
      <c r="M234" s="12"/>
      <c r="N234" s="133" t="s">
        <v>2973</v>
      </c>
      <c r="O234" s="73"/>
      <c r="P234" s="15"/>
      <c r="Q234" s="12"/>
      <c r="R234" s="12"/>
      <c r="S234" s="84" t="s">
        <v>165</v>
      </c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15"/>
    </row>
    <row r="235" ht="15.75" customHeight="1">
      <c r="A235" s="103">
        <v>1.1523779E7</v>
      </c>
      <c r="B235" s="84">
        <v>1.00219468E9</v>
      </c>
      <c r="C235" s="435">
        <v>45820.0</v>
      </c>
      <c r="D235" s="84">
        <v>26.0</v>
      </c>
      <c r="E235" s="84">
        <v>30260.0</v>
      </c>
      <c r="F235" s="103" t="s">
        <v>43</v>
      </c>
      <c r="G235" s="85" t="s">
        <v>44</v>
      </c>
      <c r="H235" s="12" t="s">
        <v>45</v>
      </c>
      <c r="I235" s="12" t="s">
        <v>46</v>
      </c>
      <c r="J235" s="14" t="s">
        <v>35</v>
      </c>
      <c r="K235" s="14" t="s">
        <v>47</v>
      </c>
      <c r="L235" s="95" t="s">
        <v>110</v>
      </c>
      <c r="M235" s="12"/>
      <c r="N235" s="133" t="s">
        <v>2973</v>
      </c>
      <c r="O235" s="73"/>
      <c r="P235" s="15"/>
      <c r="Q235" s="12"/>
      <c r="R235" s="12"/>
      <c r="S235" s="84" t="s">
        <v>165</v>
      </c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15"/>
    </row>
    <row r="236" ht="15.75" customHeight="1">
      <c r="A236" s="103">
        <v>1.152378E7</v>
      </c>
      <c r="B236" s="84">
        <v>1.002194696E9</v>
      </c>
      <c r="C236" s="435">
        <v>45820.0</v>
      </c>
      <c r="D236" s="84">
        <v>9.0</v>
      </c>
      <c r="E236" s="84">
        <v>9000.0</v>
      </c>
      <c r="F236" s="103" t="s">
        <v>43</v>
      </c>
      <c r="G236" s="85" t="s">
        <v>44</v>
      </c>
      <c r="H236" s="103" t="s">
        <v>2974</v>
      </c>
      <c r="I236" s="12" t="s">
        <v>46</v>
      </c>
      <c r="J236" s="84" t="s">
        <v>47</v>
      </c>
      <c r="K236" s="84" t="s">
        <v>35</v>
      </c>
      <c r="L236" s="98" t="s">
        <v>110</v>
      </c>
      <c r="M236" s="12"/>
      <c r="N236" s="133" t="s">
        <v>2975</v>
      </c>
      <c r="O236" s="73"/>
      <c r="P236" s="15"/>
      <c r="Q236" s="12"/>
      <c r="R236" s="12"/>
      <c r="S236" s="84" t="s">
        <v>165</v>
      </c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15"/>
    </row>
    <row r="237" ht="15.75" customHeight="1">
      <c r="A237" s="103">
        <v>1.1524062E7</v>
      </c>
      <c r="B237" s="84">
        <v>1.002194753E9</v>
      </c>
      <c r="C237" s="84" t="s">
        <v>2976</v>
      </c>
      <c r="D237" s="84">
        <v>22.0</v>
      </c>
      <c r="E237" s="84">
        <v>26.095</v>
      </c>
      <c r="F237" s="12" t="s">
        <v>31</v>
      </c>
      <c r="G237" s="29" t="s">
        <v>74</v>
      </c>
      <c r="H237" s="12" t="s">
        <v>2977</v>
      </c>
      <c r="I237" s="25" t="s">
        <v>2978</v>
      </c>
      <c r="J237" s="25" t="s">
        <v>35</v>
      </c>
      <c r="K237" s="29" t="s">
        <v>243</v>
      </c>
      <c r="L237" s="25" t="s">
        <v>188</v>
      </c>
      <c r="M237" s="12"/>
      <c r="N237" s="133">
        <v>4362.0</v>
      </c>
      <c r="O237" s="73"/>
      <c r="P237" s="15"/>
      <c r="Q237" s="12"/>
      <c r="R237" s="12"/>
      <c r="S237" s="84" t="s">
        <v>165</v>
      </c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15"/>
    </row>
    <row r="238" ht="15.75" customHeight="1">
      <c r="A238" s="103">
        <v>1.1526331E7</v>
      </c>
      <c r="B238" s="84">
        <v>1.002200707E9</v>
      </c>
      <c r="C238" s="84" t="s">
        <v>2979</v>
      </c>
      <c r="D238" s="84">
        <v>26.0</v>
      </c>
      <c r="E238" s="84">
        <v>32.634</v>
      </c>
      <c r="F238" s="84" t="s">
        <v>43</v>
      </c>
      <c r="G238" s="84" t="s">
        <v>44</v>
      </c>
      <c r="H238" s="29" t="s">
        <v>104</v>
      </c>
      <c r="I238" s="29" t="s">
        <v>105</v>
      </c>
      <c r="J238" s="25" t="s">
        <v>35</v>
      </c>
      <c r="K238" s="39" t="s">
        <v>106</v>
      </c>
      <c r="L238" s="28" t="s">
        <v>59</v>
      </c>
      <c r="M238" s="12"/>
      <c r="N238" s="133" t="s">
        <v>2970</v>
      </c>
      <c r="O238" s="73"/>
      <c r="P238" s="15"/>
      <c r="Q238" s="12"/>
      <c r="R238" s="12"/>
      <c r="S238" s="84" t="s">
        <v>165</v>
      </c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15"/>
    </row>
    <row r="239" ht="15.75" customHeight="1">
      <c r="A239" s="103">
        <v>1.1526332E7</v>
      </c>
      <c r="B239" s="84">
        <v>1.002200625E9</v>
      </c>
      <c r="C239" s="84" t="s">
        <v>2979</v>
      </c>
      <c r="D239" s="84">
        <v>3.0</v>
      </c>
      <c r="E239" s="84">
        <v>74.0</v>
      </c>
      <c r="F239" s="84" t="s">
        <v>43</v>
      </c>
      <c r="G239" s="84" t="s">
        <v>44</v>
      </c>
      <c r="H239" s="84" t="s">
        <v>2980</v>
      </c>
      <c r="I239" s="85" t="s">
        <v>105</v>
      </c>
      <c r="J239" s="84" t="s">
        <v>106</v>
      </c>
      <c r="K239" s="84" t="s">
        <v>35</v>
      </c>
      <c r="L239" s="98" t="s">
        <v>110</v>
      </c>
      <c r="M239" s="12"/>
      <c r="N239" s="133" t="s">
        <v>2972</v>
      </c>
      <c r="O239" s="73"/>
      <c r="P239" s="15"/>
      <c r="Q239" s="12"/>
      <c r="R239" s="12"/>
      <c r="S239" s="84" t="s">
        <v>165</v>
      </c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15"/>
    </row>
    <row r="240" ht="15.75" customHeight="1">
      <c r="A240" s="103">
        <v>1.1533673E7</v>
      </c>
      <c r="B240" s="84">
        <v>1.00221038E9</v>
      </c>
      <c r="C240" s="84" t="s">
        <v>2773</v>
      </c>
      <c r="D240" s="84">
        <v>26.0</v>
      </c>
      <c r="E240" s="84">
        <v>31.845</v>
      </c>
      <c r="F240" s="103" t="s">
        <v>43</v>
      </c>
      <c r="G240" s="84" t="s">
        <v>32</v>
      </c>
      <c r="H240" s="84" t="s">
        <v>1408</v>
      </c>
      <c r="I240" s="85" t="s">
        <v>1409</v>
      </c>
      <c r="J240" s="93" t="s">
        <v>35</v>
      </c>
      <c r="K240" s="93" t="s">
        <v>1410</v>
      </c>
      <c r="L240" s="95" t="s">
        <v>114</v>
      </c>
      <c r="M240" s="84"/>
      <c r="N240" s="133">
        <v>7195.2</v>
      </c>
      <c r="O240" s="73">
        <f t="shared" ref="O240:O247" si="18">IFERROR(P240/N240,0)</f>
        <v>0</v>
      </c>
      <c r="P240" s="15"/>
      <c r="Q240" s="12"/>
      <c r="R240" s="12"/>
      <c r="S240" s="84" t="s">
        <v>165</v>
      </c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15"/>
    </row>
    <row r="241" ht="15.75" customHeight="1">
      <c r="A241" s="103">
        <v>1.1533676E7</v>
      </c>
      <c r="B241" s="84">
        <v>1.002210371E9</v>
      </c>
      <c r="C241" s="84" t="s">
        <v>2773</v>
      </c>
      <c r="D241" s="84">
        <v>14.0</v>
      </c>
      <c r="E241" s="84">
        <v>15.911</v>
      </c>
      <c r="F241" s="103" t="s">
        <v>43</v>
      </c>
      <c r="G241" s="84" t="s">
        <v>32</v>
      </c>
      <c r="H241" s="84" t="s">
        <v>2981</v>
      </c>
      <c r="I241" s="85" t="s">
        <v>1232</v>
      </c>
      <c r="J241" s="93" t="s">
        <v>1410</v>
      </c>
      <c r="K241" s="93" t="s">
        <v>35</v>
      </c>
      <c r="L241" s="95" t="s">
        <v>43</v>
      </c>
      <c r="M241" s="84"/>
      <c r="N241" s="133">
        <v>4796.8</v>
      </c>
      <c r="O241" s="73">
        <f t="shared" si="18"/>
        <v>0</v>
      </c>
      <c r="P241" s="15"/>
      <c r="Q241" s="12"/>
      <c r="R241" s="12"/>
      <c r="S241" s="84" t="s">
        <v>165</v>
      </c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15"/>
    </row>
    <row r="242" ht="15.75" customHeight="1">
      <c r="A242" s="103">
        <v>1.1541027E7</v>
      </c>
      <c r="B242" s="84">
        <v>1.00222187E9</v>
      </c>
      <c r="C242" s="84" t="s">
        <v>2982</v>
      </c>
      <c r="D242" s="84">
        <v>28.0</v>
      </c>
      <c r="E242" s="84">
        <v>34.058</v>
      </c>
      <c r="F242" s="12" t="s">
        <v>31</v>
      </c>
      <c r="G242" s="85" t="s">
        <v>44</v>
      </c>
      <c r="H242" s="12" t="s">
        <v>45</v>
      </c>
      <c r="I242" s="12" t="s">
        <v>46</v>
      </c>
      <c r="J242" s="84" t="s">
        <v>35</v>
      </c>
      <c r="K242" s="84" t="s">
        <v>47</v>
      </c>
      <c r="L242" s="95" t="s">
        <v>108</v>
      </c>
      <c r="M242" s="84"/>
      <c r="N242" s="133">
        <v>2545.0</v>
      </c>
      <c r="O242" s="73">
        <f t="shared" si="18"/>
        <v>0</v>
      </c>
      <c r="P242" s="15"/>
      <c r="Q242" s="12"/>
      <c r="R242" s="12"/>
      <c r="S242" s="84" t="s">
        <v>165</v>
      </c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15"/>
    </row>
    <row r="243" ht="15.75" customHeight="1">
      <c r="A243" s="103">
        <v>1.1541088E7</v>
      </c>
      <c r="B243" s="84">
        <v>1.002221876E9</v>
      </c>
      <c r="C243" s="84" t="s">
        <v>2982</v>
      </c>
      <c r="D243" s="84">
        <v>26.0</v>
      </c>
      <c r="E243" s="84">
        <v>29.571</v>
      </c>
      <c r="F243" s="103" t="s">
        <v>43</v>
      </c>
      <c r="G243" s="85" t="s">
        <v>44</v>
      </c>
      <c r="H243" s="12" t="s">
        <v>45</v>
      </c>
      <c r="I243" s="12" t="s">
        <v>46</v>
      </c>
      <c r="J243" s="14" t="s">
        <v>35</v>
      </c>
      <c r="K243" s="14" t="s">
        <v>47</v>
      </c>
      <c r="L243" s="95" t="s">
        <v>110</v>
      </c>
      <c r="M243" s="84"/>
      <c r="N243" s="133">
        <v>2335.8</v>
      </c>
      <c r="O243" s="73">
        <f t="shared" si="18"/>
        <v>0</v>
      </c>
      <c r="P243" s="15"/>
      <c r="Q243" s="12"/>
      <c r="R243" s="12"/>
      <c r="S243" s="84" t="s">
        <v>165</v>
      </c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15"/>
    </row>
    <row r="244" ht="15.75" customHeight="1">
      <c r="A244" s="103">
        <v>1.1541089E7</v>
      </c>
      <c r="B244" s="84">
        <v>1.002221863E9</v>
      </c>
      <c r="C244" s="84" t="s">
        <v>2982</v>
      </c>
      <c r="D244" s="84">
        <v>14.0</v>
      </c>
      <c r="E244" s="84">
        <v>1.147</v>
      </c>
      <c r="F244" s="103" t="s">
        <v>43</v>
      </c>
      <c r="G244" s="85" t="s">
        <v>44</v>
      </c>
      <c r="H244" s="84" t="s">
        <v>2983</v>
      </c>
      <c r="I244" s="12" t="s">
        <v>46</v>
      </c>
      <c r="J244" s="84" t="s">
        <v>47</v>
      </c>
      <c r="K244" s="84" t="s">
        <v>35</v>
      </c>
      <c r="L244" s="98" t="s">
        <v>110</v>
      </c>
      <c r="M244" s="12"/>
      <c r="N244" s="133">
        <v>1557.2</v>
      </c>
      <c r="O244" s="73">
        <f t="shared" si="18"/>
        <v>0</v>
      </c>
      <c r="P244" s="15"/>
      <c r="Q244" s="12"/>
      <c r="R244" s="12"/>
      <c r="S244" s="84" t="s">
        <v>165</v>
      </c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15"/>
    </row>
    <row r="245" ht="15.75" customHeight="1">
      <c r="A245" s="103">
        <v>1.1549489E7</v>
      </c>
      <c r="B245" s="84">
        <v>1.002239725E9</v>
      </c>
      <c r="C245" s="84" t="s">
        <v>2440</v>
      </c>
      <c r="D245" s="84">
        <v>26.0</v>
      </c>
      <c r="E245" s="13">
        <v>33430.0</v>
      </c>
      <c r="F245" s="12" t="s">
        <v>31</v>
      </c>
      <c r="G245" s="29" t="s">
        <v>32</v>
      </c>
      <c r="H245" s="12" t="s">
        <v>265</v>
      </c>
      <c r="I245" s="28" t="s">
        <v>266</v>
      </c>
      <c r="J245" s="25" t="s">
        <v>35</v>
      </c>
      <c r="K245" s="12" t="s">
        <v>267</v>
      </c>
      <c r="L245" s="28" t="s">
        <v>94</v>
      </c>
      <c r="M245" s="12"/>
      <c r="N245" s="133">
        <v>6547.0</v>
      </c>
      <c r="O245" s="73">
        <f t="shared" si="18"/>
        <v>0</v>
      </c>
      <c r="P245" s="15"/>
      <c r="Q245" s="12"/>
      <c r="R245" s="12"/>
      <c r="S245" s="84" t="s">
        <v>165</v>
      </c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15"/>
    </row>
    <row r="246" ht="15.75" customHeight="1">
      <c r="A246" s="103"/>
      <c r="B246" s="84">
        <v>1.002254906E9</v>
      </c>
      <c r="C246" s="84" t="s">
        <v>1760</v>
      </c>
      <c r="D246" s="84">
        <v>26.0</v>
      </c>
      <c r="E246" s="84">
        <v>32.468</v>
      </c>
      <c r="F246" s="12" t="s">
        <v>31</v>
      </c>
      <c r="G246" s="84" t="s">
        <v>74</v>
      </c>
      <c r="H246" s="84" t="s">
        <v>1476</v>
      </c>
      <c r="I246" s="85" t="s">
        <v>221</v>
      </c>
      <c r="J246" s="84" t="s">
        <v>35</v>
      </c>
      <c r="K246" s="84" t="s">
        <v>187</v>
      </c>
      <c r="L246" s="98" t="s">
        <v>188</v>
      </c>
      <c r="M246" s="12"/>
      <c r="N246" s="133">
        <v>4362.0</v>
      </c>
      <c r="O246" s="73">
        <f t="shared" si="18"/>
        <v>0</v>
      </c>
      <c r="P246" s="15"/>
      <c r="Q246" s="12"/>
      <c r="R246" s="12"/>
      <c r="S246" s="84" t="s">
        <v>165</v>
      </c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15"/>
    </row>
    <row r="247" ht="15.75" customHeight="1">
      <c r="A247" s="103"/>
      <c r="B247" s="84">
        <v>1.00225492E9</v>
      </c>
      <c r="C247" s="84" t="s">
        <v>1760</v>
      </c>
      <c r="D247" s="84">
        <v>26.0</v>
      </c>
      <c r="E247" s="84">
        <v>32.468</v>
      </c>
      <c r="F247" s="12" t="s">
        <v>31</v>
      </c>
      <c r="G247" s="84" t="s">
        <v>74</v>
      </c>
      <c r="H247" s="84" t="s">
        <v>1476</v>
      </c>
      <c r="I247" s="85" t="s">
        <v>221</v>
      </c>
      <c r="J247" s="84" t="s">
        <v>35</v>
      </c>
      <c r="K247" s="84" t="s">
        <v>187</v>
      </c>
      <c r="L247" s="98" t="s">
        <v>188</v>
      </c>
      <c r="M247" s="12"/>
      <c r="N247" s="133">
        <v>4362.0</v>
      </c>
      <c r="O247" s="73">
        <f t="shared" si="18"/>
        <v>0</v>
      </c>
      <c r="P247" s="15"/>
      <c r="Q247" s="12"/>
      <c r="R247" s="12"/>
      <c r="S247" s="84" t="s">
        <v>165</v>
      </c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15"/>
    </row>
    <row r="248" ht="15.75" customHeight="1">
      <c r="A248" s="103"/>
      <c r="B248" s="84">
        <v>1.002261148E9</v>
      </c>
      <c r="C248" s="176" t="s">
        <v>1726</v>
      </c>
      <c r="D248" s="192">
        <v>26.0</v>
      </c>
      <c r="E248" s="192"/>
      <c r="F248" s="192" t="s">
        <v>31</v>
      </c>
      <c r="G248" s="192" t="s">
        <v>74</v>
      </c>
      <c r="H248" s="192" t="s">
        <v>526</v>
      </c>
      <c r="I248" s="194" t="s">
        <v>527</v>
      </c>
      <c r="J248" s="192" t="s">
        <v>35</v>
      </c>
      <c r="K248" s="192" t="s">
        <v>528</v>
      </c>
      <c r="L248" s="209" t="s">
        <v>114</v>
      </c>
      <c r="M248" s="169"/>
      <c r="N248" s="196">
        <v>5625.0</v>
      </c>
      <c r="O248" s="73"/>
      <c r="P248" s="15"/>
      <c r="Q248" s="12"/>
      <c r="R248" s="12"/>
      <c r="S248" s="449" t="s">
        <v>2984</v>
      </c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15"/>
    </row>
    <row r="249" ht="15.75" customHeight="1">
      <c r="A249" s="103"/>
      <c r="B249" s="84">
        <v>1.00225495E9</v>
      </c>
      <c r="C249" s="84" t="s">
        <v>1760</v>
      </c>
      <c r="D249" s="84">
        <v>26.0</v>
      </c>
      <c r="E249" s="84">
        <v>32.037</v>
      </c>
      <c r="F249" s="12" t="s">
        <v>31</v>
      </c>
      <c r="G249" s="84" t="s">
        <v>74</v>
      </c>
      <c r="H249" s="84" t="s">
        <v>1476</v>
      </c>
      <c r="I249" s="85" t="s">
        <v>221</v>
      </c>
      <c r="J249" s="84" t="s">
        <v>35</v>
      </c>
      <c r="K249" s="84" t="s">
        <v>187</v>
      </c>
      <c r="L249" s="98" t="s">
        <v>188</v>
      </c>
      <c r="M249" s="12"/>
      <c r="N249" s="133">
        <v>4362.0</v>
      </c>
      <c r="O249" s="73">
        <f>IFERROR(P249/N249,0)</f>
        <v>0</v>
      </c>
      <c r="P249" s="15"/>
      <c r="Q249" s="12"/>
      <c r="R249" s="12"/>
      <c r="S249" s="449" t="s">
        <v>2984</v>
      </c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15"/>
    </row>
    <row r="250" ht="15.75" customHeight="1">
      <c r="A250" s="103"/>
      <c r="B250" s="84">
        <v>1.00226465E9</v>
      </c>
      <c r="C250" s="176" t="s">
        <v>1760</v>
      </c>
      <c r="D250" s="450">
        <v>26.0</v>
      </c>
      <c r="E250" s="451">
        <v>33430.0</v>
      </c>
      <c r="F250" s="194" t="s">
        <v>31</v>
      </c>
      <c r="G250" s="450" t="s">
        <v>74</v>
      </c>
      <c r="H250" s="163" t="s">
        <v>2898</v>
      </c>
      <c r="I250" s="450"/>
      <c r="J250" s="195" t="s">
        <v>35</v>
      </c>
      <c r="K250" s="243" t="s">
        <v>243</v>
      </c>
      <c r="L250" s="171" t="s">
        <v>188</v>
      </c>
      <c r="M250" s="12"/>
      <c r="N250" s="133">
        <v>4362.0</v>
      </c>
      <c r="O250" s="73"/>
      <c r="P250" s="15"/>
      <c r="Q250" s="12"/>
      <c r="R250" s="12"/>
      <c r="S250" s="449" t="s">
        <v>2984</v>
      </c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15"/>
    </row>
    <row r="251" ht="15.75" customHeight="1">
      <c r="A251" s="103"/>
      <c r="B251" s="84">
        <v>1.002261257E9</v>
      </c>
      <c r="C251" s="84" t="s">
        <v>1787</v>
      </c>
      <c r="D251" s="84">
        <v>26.0</v>
      </c>
      <c r="E251" s="84">
        <v>32.037</v>
      </c>
      <c r="F251" s="12" t="s">
        <v>31</v>
      </c>
      <c r="G251" s="84" t="s">
        <v>74</v>
      </c>
      <c r="H251" s="84" t="s">
        <v>1476</v>
      </c>
      <c r="I251" s="85" t="s">
        <v>221</v>
      </c>
      <c r="J251" s="84" t="s">
        <v>35</v>
      </c>
      <c r="K251" s="84" t="s">
        <v>187</v>
      </c>
      <c r="L251" s="98" t="s">
        <v>188</v>
      </c>
      <c r="M251" s="12"/>
      <c r="N251" s="133">
        <v>4362.0</v>
      </c>
      <c r="O251" s="73"/>
      <c r="P251" s="15"/>
      <c r="Q251" s="12"/>
      <c r="R251" s="12"/>
      <c r="S251" s="449" t="s">
        <v>2984</v>
      </c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15"/>
    </row>
    <row r="252" ht="15.75" customHeight="1">
      <c r="A252" s="103">
        <v>1.156433E7</v>
      </c>
      <c r="B252" s="84">
        <v>1.002268538E9</v>
      </c>
      <c r="C252" s="99">
        <v>45695.0</v>
      </c>
      <c r="D252" s="84">
        <v>26.0</v>
      </c>
      <c r="E252" s="84">
        <v>26.699</v>
      </c>
      <c r="F252" s="12" t="s">
        <v>43</v>
      </c>
      <c r="G252" s="85" t="s">
        <v>44</v>
      </c>
      <c r="H252" s="84" t="s">
        <v>1317</v>
      </c>
      <c r="I252" s="39" t="s">
        <v>137</v>
      </c>
      <c r="J252" s="84" t="s">
        <v>35</v>
      </c>
      <c r="K252" s="84" t="s">
        <v>138</v>
      </c>
      <c r="L252" s="95" t="s">
        <v>114</v>
      </c>
      <c r="M252" s="125"/>
      <c r="N252" s="133">
        <v>5835.0</v>
      </c>
      <c r="O252" s="73"/>
      <c r="P252" s="15"/>
      <c r="Q252" s="12"/>
      <c r="R252" s="12"/>
      <c r="S252" s="449" t="s">
        <v>165</v>
      </c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15"/>
    </row>
    <row r="253" ht="15.75" customHeight="1">
      <c r="A253" s="103">
        <v>1.1564332E7</v>
      </c>
      <c r="B253" s="84">
        <v>1.002268564E9</v>
      </c>
      <c r="C253" s="99">
        <v>45695.0</v>
      </c>
      <c r="D253" s="84">
        <v>17.0</v>
      </c>
      <c r="E253" s="84">
        <v>1.481</v>
      </c>
      <c r="F253" s="12" t="s">
        <v>43</v>
      </c>
      <c r="G253" s="85" t="s">
        <v>44</v>
      </c>
      <c r="H253" s="84" t="s">
        <v>2985</v>
      </c>
      <c r="I253" s="39" t="s">
        <v>137</v>
      </c>
      <c r="J253" s="93" t="s">
        <v>138</v>
      </c>
      <c r="K253" s="25" t="s">
        <v>35</v>
      </c>
      <c r="L253" s="95" t="s">
        <v>43</v>
      </c>
      <c r="M253" s="125"/>
      <c r="N253" s="133">
        <v>3890.0</v>
      </c>
      <c r="O253" s="73"/>
      <c r="P253" s="15"/>
      <c r="Q253" s="12"/>
      <c r="R253" s="12"/>
      <c r="S253" s="449" t="s">
        <v>165</v>
      </c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15"/>
    </row>
    <row r="254" ht="15.75" customHeight="1">
      <c r="A254" s="103"/>
      <c r="B254" s="452">
        <v>4.503741428E9</v>
      </c>
      <c r="C254" s="99">
        <v>45723.0</v>
      </c>
      <c r="D254" s="84">
        <v>28.0</v>
      </c>
      <c r="E254" s="84">
        <v>29.571</v>
      </c>
      <c r="F254" s="103" t="s">
        <v>43</v>
      </c>
      <c r="G254" s="85" t="s">
        <v>44</v>
      </c>
      <c r="H254" s="12" t="s">
        <v>45</v>
      </c>
      <c r="I254" s="12" t="s">
        <v>46</v>
      </c>
      <c r="J254" s="14" t="s">
        <v>35</v>
      </c>
      <c r="K254" s="14" t="s">
        <v>47</v>
      </c>
      <c r="L254" s="95" t="s">
        <v>110</v>
      </c>
      <c r="M254" s="84"/>
      <c r="N254" s="133">
        <v>2335.8</v>
      </c>
      <c r="O254" s="73">
        <f t="shared" ref="O254:O255" si="19">IFERROR(P254/N254,0)</f>
        <v>0</v>
      </c>
      <c r="P254" s="15"/>
      <c r="Q254" s="12"/>
      <c r="R254" s="12"/>
      <c r="S254" s="449" t="s">
        <v>165</v>
      </c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15"/>
    </row>
    <row r="255" ht="15.75" customHeight="1">
      <c r="A255" s="103"/>
      <c r="B255" s="84" t="s">
        <v>2986</v>
      </c>
      <c r="C255" s="99">
        <v>45723.0</v>
      </c>
      <c r="D255" s="84">
        <v>14.0</v>
      </c>
      <c r="E255" s="84">
        <v>1.147</v>
      </c>
      <c r="F255" s="103" t="s">
        <v>43</v>
      </c>
      <c r="G255" s="85" t="s">
        <v>44</v>
      </c>
      <c r="H255" s="84" t="s">
        <v>2987</v>
      </c>
      <c r="I255" s="12" t="s">
        <v>46</v>
      </c>
      <c r="J255" s="84" t="s">
        <v>47</v>
      </c>
      <c r="K255" s="84" t="s">
        <v>35</v>
      </c>
      <c r="L255" s="98" t="s">
        <v>110</v>
      </c>
      <c r="M255" s="12"/>
      <c r="N255" s="133">
        <v>1557.2</v>
      </c>
      <c r="O255" s="73">
        <f t="shared" si="19"/>
        <v>0</v>
      </c>
      <c r="P255" s="15"/>
      <c r="Q255" s="12"/>
      <c r="R255" s="12"/>
      <c r="S255" s="449" t="s">
        <v>165</v>
      </c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15"/>
    </row>
    <row r="256" ht="15.75" customHeight="1">
      <c r="A256" s="103">
        <v>1.1574286E7</v>
      </c>
      <c r="B256" s="84">
        <v>1.002283322E9</v>
      </c>
      <c r="C256" s="99">
        <v>45723.0</v>
      </c>
      <c r="D256" s="84">
        <v>26.0</v>
      </c>
      <c r="E256" s="84">
        <v>31.586</v>
      </c>
      <c r="F256" s="12" t="s">
        <v>31</v>
      </c>
      <c r="G256" s="85" t="s">
        <v>44</v>
      </c>
      <c r="H256" s="84" t="s">
        <v>268</v>
      </c>
      <c r="I256" s="29" t="s">
        <v>397</v>
      </c>
      <c r="J256" s="84" t="s">
        <v>35</v>
      </c>
      <c r="K256" s="84" t="s">
        <v>270</v>
      </c>
      <c r="L256" s="95" t="s">
        <v>94</v>
      </c>
      <c r="M256" s="84"/>
      <c r="N256" s="133">
        <v>6410.0</v>
      </c>
      <c r="O256" s="73"/>
      <c r="P256" s="15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15"/>
    </row>
    <row r="257" ht="15.75" customHeight="1">
      <c r="A257" s="103">
        <v>1.1574285E7</v>
      </c>
      <c r="B257" s="84">
        <v>1.002283321E9</v>
      </c>
      <c r="C257" s="99">
        <v>45723.0</v>
      </c>
      <c r="D257" s="84">
        <v>26.0</v>
      </c>
      <c r="E257" s="84">
        <v>31.582</v>
      </c>
      <c r="F257" s="12" t="s">
        <v>31</v>
      </c>
      <c r="G257" s="85" t="s">
        <v>44</v>
      </c>
      <c r="H257" s="84" t="s">
        <v>268</v>
      </c>
      <c r="I257" s="29" t="s">
        <v>397</v>
      </c>
      <c r="J257" s="84" t="s">
        <v>35</v>
      </c>
      <c r="K257" s="84" t="s">
        <v>270</v>
      </c>
      <c r="L257" s="95" t="s">
        <v>94</v>
      </c>
      <c r="M257" s="84"/>
      <c r="N257" s="133">
        <v>6410.0</v>
      </c>
      <c r="O257" s="73"/>
      <c r="P257" s="15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15"/>
    </row>
    <row r="258" ht="15.75" customHeight="1">
      <c r="A258" s="103">
        <v>1.1574284E7</v>
      </c>
      <c r="B258" s="84">
        <v>1.002283325E9</v>
      </c>
      <c r="C258" s="99">
        <v>45723.0</v>
      </c>
      <c r="D258" s="84">
        <v>28.0</v>
      </c>
      <c r="E258" s="84">
        <v>34.058</v>
      </c>
      <c r="F258" s="12" t="s">
        <v>31</v>
      </c>
      <c r="G258" s="85" t="s">
        <v>44</v>
      </c>
      <c r="H258" s="84" t="s">
        <v>268</v>
      </c>
      <c r="I258" s="29" t="s">
        <v>397</v>
      </c>
      <c r="J258" s="84" t="s">
        <v>35</v>
      </c>
      <c r="K258" s="84" t="s">
        <v>270</v>
      </c>
      <c r="L258" s="95" t="s">
        <v>94</v>
      </c>
      <c r="M258" s="84"/>
      <c r="N258" s="133">
        <v>6410.0</v>
      </c>
      <c r="O258" s="73"/>
      <c r="P258" s="15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15"/>
    </row>
    <row r="259" ht="15.75" customHeight="1">
      <c r="A259" s="103">
        <v>1.158893E7</v>
      </c>
      <c r="B259" s="84">
        <v>1.0023112E9</v>
      </c>
      <c r="C259" s="435" t="s">
        <v>1810</v>
      </c>
      <c r="D259" s="84">
        <v>27.0</v>
      </c>
      <c r="E259" s="84">
        <v>34.716</v>
      </c>
      <c r="F259" s="84" t="s">
        <v>31</v>
      </c>
      <c r="G259" s="85" t="s">
        <v>44</v>
      </c>
      <c r="H259" s="84" t="s">
        <v>45</v>
      </c>
      <c r="I259" s="39" t="s">
        <v>46</v>
      </c>
      <c r="J259" s="84" t="s">
        <v>35</v>
      </c>
      <c r="K259" s="84" t="s">
        <v>47</v>
      </c>
      <c r="L259" s="95" t="s">
        <v>108</v>
      </c>
      <c r="M259" s="12"/>
      <c r="N259" s="133">
        <v>2545.0</v>
      </c>
      <c r="O259" s="73"/>
      <c r="P259" s="15"/>
      <c r="Q259" s="12"/>
      <c r="R259" s="12"/>
      <c r="S259" s="449" t="s">
        <v>165</v>
      </c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15"/>
    </row>
    <row r="260" ht="15.75" customHeight="1">
      <c r="A260" s="103">
        <v>1.1588932E7</v>
      </c>
      <c r="B260" s="84">
        <v>1.00231123E9</v>
      </c>
      <c r="C260" s="435" t="s">
        <v>1810</v>
      </c>
      <c r="D260" s="84">
        <v>28.0</v>
      </c>
      <c r="E260" s="84">
        <v>34.058</v>
      </c>
      <c r="F260" s="84" t="s">
        <v>31</v>
      </c>
      <c r="G260" s="85" t="s">
        <v>44</v>
      </c>
      <c r="H260" s="84" t="s">
        <v>45</v>
      </c>
      <c r="I260" s="39" t="s">
        <v>46</v>
      </c>
      <c r="J260" s="84" t="s">
        <v>35</v>
      </c>
      <c r="K260" s="84" t="s">
        <v>47</v>
      </c>
      <c r="L260" s="95" t="s">
        <v>108</v>
      </c>
      <c r="M260" s="12"/>
      <c r="N260" s="133">
        <v>2545.0</v>
      </c>
      <c r="O260" s="73"/>
      <c r="P260" s="15"/>
      <c r="Q260" s="12"/>
      <c r="R260" s="12"/>
      <c r="S260" s="449" t="s">
        <v>165</v>
      </c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15"/>
    </row>
    <row r="261" ht="15.75" customHeight="1">
      <c r="A261" s="103">
        <v>1.1588929E7</v>
      </c>
      <c r="B261" s="84">
        <v>1.002311232E9</v>
      </c>
      <c r="C261" s="435" t="s">
        <v>1810</v>
      </c>
      <c r="D261" s="84">
        <v>26.0</v>
      </c>
      <c r="E261" s="84">
        <v>26.415</v>
      </c>
      <c r="F261" s="84" t="s">
        <v>43</v>
      </c>
      <c r="G261" s="85" t="s">
        <v>44</v>
      </c>
      <c r="H261" s="84" t="s">
        <v>45</v>
      </c>
      <c r="I261" s="39" t="s">
        <v>46</v>
      </c>
      <c r="J261" s="84" t="s">
        <v>35</v>
      </c>
      <c r="K261" s="84" t="s">
        <v>47</v>
      </c>
      <c r="L261" s="95" t="s">
        <v>110</v>
      </c>
      <c r="M261" s="12"/>
      <c r="N261" s="133">
        <v>2335.0</v>
      </c>
      <c r="O261" s="73"/>
      <c r="P261" s="15"/>
      <c r="Q261" s="12"/>
      <c r="R261" s="12"/>
      <c r="S261" s="449" t="s">
        <v>165</v>
      </c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15"/>
    </row>
    <row r="262" ht="15.75" customHeight="1">
      <c r="A262" s="103">
        <v>1.1588931E7</v>
      </c>
      <c r="B262" s="84">
        <v>1.002311207E9</v>
      </c>
      <c r="C262" s="435" t="s">
        <v>1810</v>
      </c>
      <c r="D262" s="84">
        <v>9.0</v>
      </c>
      <c r="E262" s="84">
        <v>1.258</v>
      </c>
      <c r="F262" s="84" t="s">
        <v>43</v>
      </c>
      <c r="G262" s="85" t="s">
        <v>44</v>
      </c>
      <c r="H262" s="84" t="s">
        <v>2988</v>
      </c>
      <c r="I262" s="39" t="s">
        <v>46</v>
      </c>
      <c r="J262" s="84" t="s">
        <v>47</v>
      </c>
      <c r="K262" s="84" t="s">
        <v>35</v>
      </c>
      <c r="L262" s="95" t="s">
        <v>110</v>
      </c>
      <c r="M262" s="12"/>
      <c r="N262" s="133">
        <v>1557.0</v>
      </c>
      <c r="O262" s="73"/>
      <c r="P262" s="15"/>
      <c r="Q262" s="12"/>
      <c r="R262" s="12"/>
      <c r="S262" s="449" t="s">
        <v>165</v>
      </c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15"/>
    </row>
    <row r="263" ht="15.75" customHeight="1">
      <c r="A263" s="103">
        <v>1.1588927E7</v>
      </c>
      <c r="B263" s="84">
        <v>1.002311195E9</v>
      </c>
      <c r="C263" s="435" t="s">
        <v>2989</v>
      </c>
      <c r="D263" s="84">
        <v>28.0</v>
      </c>
      <c r="E263" s="84">
        <v>34.058</v>
      </c>
      <c r="F263" s="84" t="s">
        <v>31</v>
      </c>
      <c r="G263" s="85" t="s">
        <v>44</v>
      </c>
      <c r="H263" s="84" t="s">
        <v>45</v>
      </c>
      <c r="I263" s="39" t="s">
        <v>46</v>
      </c>
      <c r="J263" s="84" t="s">
        <v>35</v>
      </c>
      <c r="K263" s="84" t="s">
        <v>47</v>
      </c>
      <c r="L263" s="95" t="s">
        <v>108</v>
      </c>
      <c r="M263" s="12"/>
      <c r="N263" s="133">
        <v>2545.0</v>
      </c>
      <c r="O263" s="73"/>
      <c r="P263" s="15"/>
      <c r="Q263" s="12"/>
      <c r="R263" s="12"/>
      <c r="S263" s="449" t="s">
        <v>165</v>
      </c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15"/>
    </row>
    <row r="264" ht="15.75" customHeight="1">
      <c r="A264" s="103">
        <v>1.1588928E7</v>
      </c>
      <c r="B264" s="84">
        <v>1.002311213E9</v>
      </c>
      <c r="C264" s="435" t="s">
        <v>2989</v>
      </c>
      <c r="D264" s="84">
        <v>28.0</v>
      </c>
      <c r="E264" s="84">
        <v>34.058</v>
      </c>
      <c r="F264" s="84" t="s">
        <v>31</v>
      </c>
      <c r="G264" s="85" t="s">
        <v>44</v>
      </c>
      <c r="H264" s="84" t="s">
        <v>45</v>
      </c>
      <c r="I264" s="39" t="s">
        <v>46</v>
      </c>
      <c r="J264" s="84" t="s">
        <v>35</v>
      </c>
      <c r="K264" s="84" t="s">
        <v>47</v>
      </c>
      <c r="L264" s="95" t="s">
        <v>108</v>
      </c>
      <c r="M264" s="84" t="s">
        <v>45</v>
      </c>
      <c r="N264" s="133">
        <v>2545.0</v>
      </c>
      <c r="O264" s="73"/>
      <c r="P264" s="15"/>
      <c r="Q264" s="12"/>
      <c r="R264" s="12"/>
      <c r="S264" s="449" t="s">
        <v>165</v>
      </c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15"/>
    </row>
    <row r="265" ht="15.75" customHeight="1">
      <c r="A265" s="103"/>
      <c r="B265" s="84">
        <v>1.002326994E9</v>
      </c>
      <c r="C265" s="435" t="s">
        <v>2989</v>
      </c>
      <c r="D265" s="84">
        <v>27.0</v>
      </c>
      <c r="E265" s="84">
        <v>33070.0</v>
      </c>
      <c r="F265" s="84" t="s">
        <v>43</v>
      </c>
      <c r="G265" s="84" t="s">
        <v>44</v>
      </c>
      <c r="H265" s="84" t="s">
        <v>45</v>
      </c>
      <c r="I265" s="39" t="s">
        <v>2990</v>
      </c>
      <c r="J265" s="84" t="s">
        <v>35</v>
      </c>
      <c r="K265" s="84" t="s">
        <v>47</v>
      </c>
      <c r="L265" s="95" t="s">
        <v>108</v>
      </c>
      <c r="M265" s="12"/>
      <c r="N265" s="133"/>
      <c r="O265" s="73"/>
      <c r="P265" s="15"/>
      <c r="Q265" s="12"/>
      <c r="R265" s="12"/>
      <c r="S265" s="449" t="s">
        <v>2984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15"/>
    </row>
    <row r="266" ht="15.75" customHeight="1">
      <c r="A266" s="103"/>
      <c r="B266" s="84">
        <v>1.002326981E9</v>
      </c>
      <c r="C266" s="435" t="s">
        <v>2989</v>
      </c>
      <c r="D266" s="84">
        <v>27.0</v>
      </c>
      <c r="E266" s="84">
        <v>33070.0</v>
      </c>
      <c r="F266" s="84" t="s">
        <v>2991</v>
      </c>
      <c r="G266" s="84" t="s">
        <v>44</v>
      </c>
      <c r="H266" s="84" t="s">
        <v>45</v>
      </c>
      <c r="I266" s="39" t="s">
        <v>2992</v>
      </c>
      <c r="J266" s="84" t="s">
        <v>35</v>
      </c>
      <c r="K266" s="84" t="s">
        <v>47</v>
      </c>
      <c r="L266" s="95" t="s">
        <v>108</v>
      </c>
      <c r="M266" s="12"/>
      <c r="N266" s="133"/>
      <c r="O266" s="73"/>
      <c r="P266" s="15"/>
      <c r="Q266" s="12"/>
      <c r="R266" s="12"/>
      <c r="S266" s="449" t="s">
        <v>2984</v>
      </c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15"/>
    </row>
    <row r="267" ht="15.75" customHeight="1">
      <c r="A267" s="103"/>
      <c r="B267" s="84">
        <v>1.002326974E9</v>
      </c>
      <c r="C267" s="435" t="s">
        <v>2989</v>
      </c>
      <c r="D267" s="84">
        <v>27.0</v>
      </c>
      <c r="E267" s="84">
        <v>33070.0</v>
      </c>
      <c r="F267" s="84" t="s">
        <v>2993</v>
      </c>
      <c r="G267" s="84" t="s">
        <v>44</v>
      </c>
      <c r="H267" s="84" t="s">
        <v>45</v>
      </c>
      <c r="I267" s="39" t="s">
        <v>2994</v>
      </c>
      <c r="J267" s="84" t="s">
        <v>35</v>
      </c>
      <c r="K267" s="84" t="s">
        <v>47</v>
      </c>
      <c r="L267" s="95" t="s">
        <v>108</v>
      </c>
      <c r="M267" s="12"/>
      <c r="N267" s="133"/>
      <c r="O267" s="73"/>
      <c r="P267" s="15"/>
      <c r="Q267" s="12"/>
      <c r="R267" s="12"/>
      <c r="S267" s="449" t="s">
        <v>2984</v>
      </c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15"/>
    </row>
    <row r="268" ht="15.75" customHeight="1">
      <c r="A268" s="103">
        <v>1.159312E7</v>
      </c>
      <c r="B268" s="84">
        <v>1.002320862E9</v>
      </c>
      <c r="C268" s="84" t="s">
        <v>1810</v>
      </c>
      <c r="D268" s="84">
        <v>26.0</v>
      </c>
      <c r="E268" s="84">
        <v>32.468</v>
      </c>
      <c r="F268" s="169" t="s">
        <v>31</v>
      </c>
      <c r="G268" s="208" t="s">
        <v>74</v>
      </c>
      <c r="H268" s="169" t="s">
        <v>1711</v>
      </c>
      <c r="I268" s="169" t="s">
        <v>1712</v>
      </c>
      <c r="J268" s="169" t="s">
        <v>35</v>
      </c>
      <c r="K268" s="169" t="s">
        <v>187</v>
      </c>
      <c r="L268" s="209" t="s">
        <v>188</v>
      </c>
      <c r="M268" s="192"/>
      <c r="N268" s="133">
        <v>4362.0</v>
      </c>
      <c r="O268" s="73"/>
      <c r="P268" s="15"/>
      <c r="Q268" s="12"/>
      <c r="R268" s="12"/>
      <c r="S268" s="449" t="s">
        <v>165</v>
      </c>
      <c r="T268" s="12"/>
      <c r="U268" s="12"/>
      <c r="V268" s="12"/>
      <c r="W268" s="12"/>
      <c r="X268" s="84" t="s">
        <v>2995</v>
      </c>
      <c r="Y268" s="12"/>
      <c r="Z268" s="12"/>
      <c r="AA268" s="12"/>
      <c r="AB268" s="12"/>
      <c r="AC268" s="12"/>
      <c r="AD268" s="12"/>
      <c r="AE268" s="12"/>
      <c r="AF268" s="1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15"/>
    </row>
    <row r="269" ht="15.75" customHeight="1">
      <c r="A269" s="103">
        <v>1.1593654E7</v>
      </c>
      <c r="B269" s="84">
        <v>1.002323898E9</v>
      </c>
      <c r="C269" s="84" t="s">
        <v>2996</v>
      </c>
      <c r="D269" s="84">
        <v>26.0</v>
      </c>
      <c r="E269" s="84">
        <v>30.368</v>
      </c>
      <c r="F269" s="38" t="s">
        <v>43</v>
      </c>
      <c r="G269" s="168" t="s">
        <v>44</v>
      </c>
      <c r="H269" s="29" t="s">
        <v>104</v>
      </c>
      <c r="I269" s="29" t="s">
        <v>105</v>
      </c>
      <c r="J269" s="25" t="s">
        <v>35</v>
      </c>
      <c r="K269" s="39" t="s">
        <v>106</v>
      </c>
      <c r="L269" s="28" t="s">
        <v>59</v>
      </c>
      <c r="M269" s="12"/>
      <c r="N269" s="133">
        <v>4574.0</v>
      </c>
      <c r="O269" s="73"/>
      <c r="P269" s="15"/>
      <c r="Q269" s="12"/>
      <c r="R269" s="12"/>
      <c r="S269" s="449" t="s">
        <v>165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15"/>
    </row>
    <row r="270" ht="15.75" customHeight="1">
      <c r="A270" s="103">
        <v>1.1593655E7</v>
      </c>
      <c r="B270" s="84">
        <v>1.002323883E9</v>
      </c>
      <c r="C270" s="84" t="s">
        <v>2996</v>
      </c>
      <c r="D270" s="84">
        <v>17.0</v>
      </c>
      <c r="E270" s="84">
        <v>9.845</v>
      </c>
      <c r="F270" s="38" t="s">
        <v>43</v>
      </c>
      <c r="G270" s="168" t="s">
        <v>44</v>
      </c>
      <c r="H270" s="29" t="s">
        <v>2997</v>
      </c>
      <c r="I270" s="29" t="s">
        <v>117</v>
      </c>
      <c r="J270" s="25" t="s">
        <v>106</v>
      </c>
      <c r="K270" s="39" t="s">
        <v>35</v>
      </c>
      <c r="L270" s="28" t="s">
        <v>121</v>
      </c>
      <c r="M270" s="12"/>
      <c r="N270" s="133">
        <v>3049.0</v>
      </c>
      <c r="O270" s="73"/>
      <c r="P270" s="15"/>
      <c r="Q270" s="12"/>
      <c r="R270" s="12"/>
      <c r="S270" s="449" t="s">
        <v>165</v>
      </c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15"/>
    </row>
    <row r="271" ht="15.75" customHeight="1">
      <c r="A271" s="191">
        <v>1.1602011E7</v>
      </c>
      <c r="B271" s="192">
        <v>1.002338753E9</v>
      </c>
      <c r="C271" s="176" t="s">
        <v>2998</v>
      </c>
      <c r="D271" s="176">
        <v>26.0</v>
      </c>
      <c r="E271" s="176">
        <v>31.547</v>
      </c>
      <c r="F271" s="169" t="s">
        <v>43</v>
      </c>
      <c r="G271" s="168" t="s">
        <v>32</v>
      </c>
      <c r="H271" s="169" t="s">
        <v>265</v>
      </c>
      <c r="I271" s="200" t="s">
        <v>266</v>
      </c>
      <c r="J271" s="169" t="s">
        <v>35</v>
      </c>
      <c r="K271" s="169" t="s">
        <v>267</v>
      </c>
      <c r="L271" s="171" t="s">
        <v>114</v>
      </c>
      <c r="M271" s="453"/>
      <c r="N271" s="210">
        <v>5996.0</v>
      </c>
      <c r="O271" s="73"/>
      <c r="P271" s="15"/>
      <c r="Q271" s="12"/>
      <c r="R271" s="12"/>
      <c r="S271" s="449" t="s">
        <v>165</v>
      </c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15"/>
    </row>
    <row r="272" ht="15.75" customHeight="1">
      <c r="A272" s="191">
        <v>1.1602013E7</v>
      </c>
      <c r="B272" s="192">
        <v>1.002338778E9</v>
      </c>
      <c r="C272" s="176" t="s">
        <v>2998</v>
      </c>
      <c r="D272" s="176">
        <v>16.0</v>
      </c>
      <c r="E272" s="176">
        <v>14.26</v>
      </c>
      <c r="F272" s="169" t="s">
        <v>43</v>
      </c>
      <c r="G272" s="168" t="s">
        <v>32</v>
      </c>
      <c r="H272" s="176" t="s">
        <v>2999</v>
      </c>
      <c r="I272" s="200" t="s">
        <v>266</v>
      </c>
      <c r="J272" s="169" t="s">
        <v>267</v>
      </c>
      <c r="K272" s="169" t="s">
        <v>35</v>
      </c>
      <c r="L272" s="171" t="s">
        <v>43</v>
      </c>
      <c r="M272" s="453"/>
      <c r="N272" s="210">
        <v>3997.0</v>
      </c>
      <c r="O272" s="73"/>
      <c r="P272" s="15"/>
      <c r="Q272" s="12"/>
      <c r="R272" s="12"/>
      <c r="S272" s="449" t="s">
        <v>165</v>
      </c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15"/>
    </row>
    <row r="273" ht="15.75" customHeight="1">
      <c r="A273" s="191">
        <v>1.1605074E7</v>
      </c>
      <c r="B273" s="84">
        <v>1.002344042E9</v>
      </c>
      <c r="C273" s="84" t="s">
        <v>3000</v>
      </c>
      <c r="D273" s="84">
        <v>26.0</v>
      </c>
      <c r="E273" s="84">
        <v>31.165</v>
      </c>
      <c r="F273" s="169" t="s">
        <v>43</v>
      </c>
      <c r="G273" s="168" t="s">
        <v>32</v>
      </c>
      <c r="H273" s="169" t="s">
        <v>265</v>
      </c>
      <c r="I273" s="200" t="s">
        <v>266</v>
      </c>
      <c r="J273" s="169" t="s">
        <v>35</v>
      </c>
      <c r="K273" s="169" t="s">
        <v>267</v>
      </c>
      <c r="L273" s="171" t="s">
        <v>114</v>
      </c>
      <c r="M273" s="453"/>
      <c r="N273" s="210">
        <v>5996.0</v>
      </c>
      <c r="O273" s="73"/>
      <c r="P273" s="15"/>
      <c r="Q273" s="12"/>
      <c r="R273" s="12"/>
      <c r="S273" s="449" t="s">
        <v>165</v>
      </c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15"/>
    </row>
    <row r="274" ht="15.75" customHeight="1">
      <c r="A274" s="103">
        <v>1.1605075E7</v>
      </c>
      <c r="B274" s="84">
        <v>1.00234403E9</v>
      </c>
      <c r="C274" s="84" t="s">
        <v>3000</v>
      </c>
      <c r="D274" s="84">
        <v>17.0</v>
      </c>
      <c r="E274" s="84">
        <v>13.722</v>
      </c>
      <c r="F274" s="169" t="s">
        <v>43</v>
      </c>
      <c r="G274" s="168" t="s">
        <v>32</v>
      </c>
      <c r="H274" s="176" t="s">
        <v>3001</v>
      </c>
      <c r="I274" s="200" t="s">
        <v>266</v>
      </c>
      <c r="J274" s="169" t="s">
        <v>267</v>
      </c>
      <c r="K274" s="169" t="s">
        <v>35</v>
      </c>
      <c r="L274" s="171" t="s">
        <v>43</v>
      </c>
      <c r="M274" s="453"/>
      <c r="N274" s="210">
        <v>3997.0</v>
      </c>
      <c r="O274" s="73"/>
      <c r="P274" s="15"/>
      <c r="Q274" s="12"/>
      <c r="R274" s="12"/>
      <c r="S274" s="449" t="s">
        <v>165</v>
      </c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15"/>
    </row>
    <row r="275" ht="15.75" customHeight="1">
      <c r="A275" s="191">
        <v>1.1625658E7</v>
      </c>
      <c r="B275" s="84">
        <v>9.000028018E9</v>
      </c>
      <c r="C275" s="84" t="s">
        <v>1834</v>
      </c>
      <c r="D275" s="84">
        <v>26.0</v>
      </c>
      <c r="E275" s="84">
        <v>32.222</v>
      </c>
      <c r="F275" s="29" t="s">
        <v>31</v>
      </c>
      <c r="G275" s="85" t="s">
        <v>74</v>
      </c>
      <c r="H275" s="84" t="s">
        <v>1508</v>
      </c>
      <c r="I275" s="89" t="s">
        <v>186</v>
      </c>
      <c r="J275" s="84" t="s">
        <v>35</v>
      </c>
      <c r="K275" s="84" t="s">
        <v>187</v>
      </c>
      <c r="L275" s="95" t="s">
        <v>188</v>
      </c>
      <c r="M275" s="453"/>
      <c r="N275" s="210">
        <v>4362.0</v>
      </c>
      <c r="O275" s="73"/>
      <c r="P275" s="15"/>
      <c r="Q275" s="12"/>
      <c r="R275" s="12"/>
      <c r="S275" s="449" t="s">
        <v>165</v>
      </c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15"/>
    </row>
    <row r="276" ht="15.75" customHeight="1">
      <c r="A276" s="103">
        <v>1.1633019E7</v>
      </c>
      <c r="B276" s="84">
        <v>9.000039674E9</v>
      </c>
      <c r="C276" s="435">
        <v>45871.0</v>
      </c>
      <c r="D276" s="12">
        <v>20.0</v>
      </c>
      <c r="E276" s="26">
        <v>24327.0</v>
      </c>
      <c r="F276" s="29" t="s">
        <v>31</v>
      </c>
      <c r="G276" s="85" t="s">
        <v>74</v>
      </c>
      <c r="H276" s="12" t="s">
        <v>426</v>
      </c>
      <c r="I276" s="29" t="s">
        <v>427</v>
      </c>
      <c r="J276" s="25" t="s">
        <v>35</v>
      </c>
      <c r="K276" s="25" t="s">
        <v>428</v>
      </c>
      <c r="L276" s="28" t="s">
        <v>188</v>
      </c>
      <c r="M276" s="85"/>
      <c r="N276" s="40">
        <v>2231.0</v>
      </c>
      <c r="O276" s="73">
        <f>IFERROR(P276/N276,0)</f>
        <v>0</v>
      </c>
      <c r="P276" s="15"/>
      <c r="Q276" s="12"/>
      <c r="R276" s="12"/>
      <c r="S276" s="449" t="s">
        <v>165</v>
      </c>
      <c r="T276" s="12"/>
      <c r="U276" s="12"/>
      <c r="V276" s="12"/>
      <c r="W276" s="12"/>
      <c r="X276" s="147">
        <v>45755.25</v>
      </c>
      <c r="Y276" s="12"/>
      <c r="Z276" s="12"/>
      <c r="AA276" s="12"/>
      <c r="AB276" s="12"/>
      <c r="AC276" s="12"/>
      <c r="AD276" s="12"/>
      <c r="AE276" s="12"/>
      <c r="AF276" s="1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15"/>
    </row>
    <row r="277" ht="15.75" customHeight="1">
      <c r="A277" s="103"/>
      <c r="B277" s="84">
        <v>9.000061218E9</v>
      </c>
      <c r="C277" s="99">
        <v>45816.0</v>
      </c>
      <c r="D277" s="176">
        <v>28.0</v>
      </c>
      <c r="E277" s="192">
        <v>28.565</v>
      </c>
      <c r="F277" s="169" t="s">
        <v>43</v>
      </c>
      <c r="G277" s="168" t="s">
        <v>44</v>
      </c>
      <c r="H277" s="169" t="s">
        <v>45</v>
      </c>
      <c r="I277" s="200" t="s">
        <v>46</v>
      </c>
      <c r="J277" s="169" t="s">
        <v>35</v>
      </c>
      <c r="K277" s="169" t="s">
        <v>47</v>
      </c>
      <c r="L277" s="171" t="s">
        <v>110</v>
      </c>
      <c r="M277" s="84"/>
      <c r="N277" s="196">
        <v>2335.0</v>
      </c>
      <c r="O277" s="73"/>
      <c r="P277" s="15"/>
      <c r="Q277" s="12"/>
      <c r="R277" s="12"/>
      <c r="S277" s="449" t="s">
        <v>165</v>
      </c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15"/>
    </row>
    <row r="278" ht="15.75" customHeight="1">
      <c r="A278" s="103"/>
      <c r="B278" s="84"/>
      <c r="C278" s="99">
        <v>45816.0</v>
      </c>
      <c r="D278" s="192">
        <v>14.0</v>
      </c>
      <c r="E278" s="192">
        <v>1.036</v>
      </c>
      <c r="F278" s="169" t="s">
        <v>43</v>
      </c>
      <c r="G278" s="168" t="s">
        <v>44</v>
      </c>
      <c r="H278" s="169" t="s">
        <v>3002</v>
      </c>
      <c r="I278" s="85" t="s">
        <v>1232</v>
      </c>
      <c r="J278" s="169" t="s">
        <v>47</v>
      </c>
      <c r="K278" s="169" t="s">
        <v>35</v>
      </c>
      <c r="L278" s="171" t="s">
        <v>110</v>
      </c>
      <c r="M278" s="84"/>
      <c r="N278" s="196">
        <v>1557.0</v>
      </c>
      <c r="O278" s="73"/>
      <c r="P278" s="15"/>
      <c r="Q278" s="12"/>
      <c r="R278" s="12"/>
      <c r="S278" s="449" t="s">
        <v>165</v>
      </c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15"/>
    </row>
    <row r="279" ht="15.75" customHeight="1">
      <c r="A279" s="103"/>
      <c r="B279" s="84">
        <v>9.000061205E9</v>
      </c>
      <c r="C279" s="99">
        <v>45816.0</v>
      </c>
      <c r="D279" s="176">
        <v>28.0</v>
      </c>
      <c r="E279" s="192">
        <v>28.565</v>
      </c>
      <c r="F279" s="169" t="s">
        <v>43</v>
      </c>
      <c r="G279" s="168" t="s">
        <v>44</v>
      </c>
      <c r="H279" s="169" t="s">
        <v>45</v>
      </c>
      <c r="I279" s="200" t="s">
        <v>46</v>
      </c>
      <c r="J279" s="169" t="s">
        <v>35</v>
      </c>
      <c r="K279" s="169" t="s">
        <v>47</v>
      </c>
      <c r="L279" s="171" t="s">
        <v>110</v>
      </c>
      <c r="M279" s="84"/>
      <c r="N279" s="196">
        <v>2335.0</v>
      </c>
      <c r="O279" s="73"/>
      <c r="P279" s="15"/>
      <c r="Q279" s="12"/>
      <c r="R279" s="12"/>
      <c r="S279" s="449" t="s">
        <v>165</v>
      </c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15"/>
    </row>
    <row r="280" ht="15.75" customHeight="1">
      <c r="A280" s="103"/>
      <c r="B280" s="84"/>
      <c r="C280" s="99">
        <v>45816.0</v>
      </c>
      <c r="D280" s="192">
        <v>14.0</v>
      </c>
      <c r="E280" s="192">
        <v>1.036</v>
      </c>
      <c r="F280" s="169" t="s">
        <v>43</v>
      </c>
      <c r="G280" s="168" t="s">
        <v>44</v>
      </c>
      <c r="H280" s="169" t="s">
        <v>3003</v>
      </c>
      <c r="I280" s="85" t="s">
        <v>1232</v>
      </c>
      <c r="J280" s="169" t="s">
        <v>47</v>
      </c>
      <c r="K280" s="169" t="s">
        <v>35</v>
      </c>
      <c r="L280" s="171" t="s">
        <v>110</v>
      </c>
      <c r="M280" s="84"/>
      <c r="N280" s="196">
        <v>1557.0</v>
      </c>
      <c r="O280" s="73"/>
      <c r="P280" s="15"/>
      <c r="Q280" s="12"/>
      <c r="R280" s="12"/>
      <c r="S280" s="449" t="s">
        <v>165</v>
      </c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15"/>
    </row>
    <row r="281" ht="15.75" customHeight="1">
      <c r="A281" s="103"/>
      <c r="B281" s="84">
        <v>9.000061158E9</v>
      </c>
      <c r="C281" s="99">
        <v>45816.0</v>
      </c>
      <c r="D281" s="192">
        <v>26.0</v>
      </c>
      <c r="E281" s="192">
        <v>28.565</v>
      </c>
      <c r="F281" s="169" t="s">
        <v>43</v>
      </c>
      <c r="G281" s="168" t="s">
        <v>44</v>
      </c>
      <c r="H281" s="169" t="s">
        <v>45</v>
      </c>
      <c r="I281" s="200" t="s">
        <v>46</v>
      </c>
      <c r="J281" s="169" t="s">
        <v>35</v>
      </c>
      <c r="K281" s="169" t="s">
        <v>47</v>
      </c>
      <c r="L281" s="171" t="s">
        <v>110</v>
      </c>
      <c r="M281" s="84"/>
      <c r="N281" s="196">
        <v>2335.0</v>
      </c>
      <c r="O281" s="73"/>
      <c r="P281" s="15"/>
      <c r="Q281" s="12"/>
      <c r="R281" s="12"/>
      <c r="S281" s="449" t="s">
        <v>165</v>
      </c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15"/>
    </row>
    <row r="282" ht="15.75" customHeight="1">
      <c r="A282" s="103"/>
      <c r="B282" s="84"/>
      <c r="C282" s="99">
        <v>45816.0</v>
      </c>
      <c r="D282" s="192">
        <v>14.0</v>
      </c>
      <c r="E282" s="192">
        <v>1.036</v>
      </c>
      <c r="F282" s="169" t="s">
        <v>43</v>
      </c>
      <c r="G282" s="168" t="s">
        <v>44</v>
      </c>
      <c r="H282" s="169" t="s">
        <v>3004</v>
      </c>
      <c r="I282" s="85" t="s">
        <v>1232</v>
      </c>
      <c r="J282" s="169" t="s">
        <v>47</v>
      </c>
      <c r="K282" s="169" t="s">
        <v>35</v>
      </c>
      <c r="L282" s="171" t="s">
        <v>110</v>
      </c>
      <c r="M282" s="84"/>
      <c r="N282" s="196">
        <v>1557.0</v>
      </c>
      <c r="O282" s="73"/>
      <c r="P282" s="15"/>
      <c r="Q282" s="12"/>
      <c r="R282" s="12"/>
      <c r="S282" s="449" t="s">
        <v>165</v>
      </c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15"/>
    </row>
    <row r="283" ht="15.75" customHeight="1">
      <c r="A283" s="103"/>
      <c r="B283" s="84">
        <v>9.000061246E9</v>
      </c>
      <c r="C283" s="99">
        <v>45816.0</v>
      </c>
      <c r="D283" s="192">
        <v>26.0</v>
      </c>
      <c r="E283" s="192">
        <v>28.565</v>
      </c>
      <c r="F283" s="169" t="s">
        <v>43</v>
      </c>
      <c r="G283" s="168" t="s">
        <v>44</v>
      </c>
      <c r="H283" s="169" t="s">
        <v>45</v>
      </c>
      <c r="I283" s="200" t="s">
        <v>46</v>
      </c>
      <c r="J283" s="169" t="s">
        <v>35</v>
      </c>
      <c r="K283" s="169" t="s">
        <v>47</v>
      </c>
      <c r="L283" s="171" t="s">
        <v>110</v>
      </c>
      <c r="M283" s="84"/>
      <c r="N283" s="196">
        <v>2335.0</v>
      </c>
      <c r="O283" s="73"/>
      <c r="P283" s="15"/>
      <c r="Q283" s="12"/>
      <c r="R283" s="12"/>
      <c r="S283" s="449" t="s">
        <v>165</v>
      </c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15"/>
    </row>
    <row r="284" ht="15.75" customHeight="1">
      <c r="A284" s="103"/>
      <c r="B284" s="84"/>
      <c r="C284" s="99">
        <v>45816.0</v>
      </c>
      <c r="D284" s="192">
        <v>14.0</v>
      </c>
      <c r="E284" s="192">
        <v>1.036</v>
      </c>
      <c r="F284" s="169" t="s">
        <v>43</v>
      </c>
      <c r="G284" s="168" t="s">
        <v>44</v>
      </c>
      <c r="H284" s="169" t="s">
        <v>3005</v>
      </c>
      <c r="I284" s="85" t="s">
        <v>1232</v>
      </c>
      <c r="J284" s="169" t="s">
        <v>47</v>
      </c>
      <c r="K284" s="169" t="s">
        <v>35</v>
      </c>
      <c r="L284" s="171" t="s">
        <v>110</v>
      </c>
      <c r="M284" s="84"/>
      <c r="N284" s="196">
        <v>1557.0</v>
      </c>
      <c r="O284" s="73"/>
      <c r="P284" s="15"/>
      <c r="Q284" s="12"/>
      <c r="R284" s="12"/>
      <c r="S284" s="449" t="s">
        <v>165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15"/>
    </row>
    <row r="285" ht="15.75" customHeight="1">
      <c r="A285" s="103"/>
      <c r="B285" s="84">
        <v>9.000094463E9</v>
      </c>
      <c r="C285" s="84" t="s">
        <v>3006</v>
      </c>
      <c r="D285" s="84">
        <v>26.0</v>
      </c>
      <c r="E285" s="84">
        <v>34295.0</v>
      </c>
      <c r="F285" s="169" t="s">
        <v>2991</v>
      </c>
      <c r="G285" s="168" t="s">
        <v>44</v>
      </c>
      <c r="H285" s="169" t="s">
        <v>45</v>
      </c>
      <c r="I285" s="200" t="s">
        <v>46</v>
      </c>
      <c r="J285" s="169" t="s">
        <v>35</v>
      </c>
      <c r="K285" s="169" t="s">
        <v>47</v>
      </c>
      <c r="L285" s="171" t="s">
        <v>110</v>
      </c>
      <c r="M285" s="84"/>
      <c r="N285" s="196">
        <v>2335.0</v>
      </c>
      <c r="O285" s="73"/>
      <c r="P285" s="15"/>
      <c r="Q285" s="12"/>
      <c r="R285" s="12"/>
      <c r="S285" s="449" t="s">
        <v>165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15"/>
    </row>
    <row r="286" ht="15.75" customHeight="1">
      <c r="A286" s="103"/>
      <c r="B286" s="84"/>
      <c r="C286" s="84" t="s">
        <v>3006</v>
      </c>
      <c r="D286" s="84">
        <v>26.0</v>
      </c>
      <c r="E286" s="84">
        <v>17135.0</v>
      </c>
      <c r="F286" s="169" t="s">
        <v>2993</v>
      </c>
      <c r="G286" s="168" t="s">
        <v>44</v>
      </c>
      <c r="H286" s="169" t="s">
        <v>3007</v>
      </c>
      <c r="I286" s="85" t="s">
        <v>1232</v>
      </c>
      <c r="J286" s="169" t="s">
        <v>47</v>
      </c>
      <c r="K286" s="169" t="s">
        <v>35</v>
      </c>
      <c r="L286" s="171" t="s">
        <v>110</v>
      </c>
      <c r="M286" s="84"/>
      <c r="N286" s="196">
        <v>1557.0</v>
      </c>
      <c r="O286" s="73"/>
      <c r="P286" s="15"/>
      <c r="Q286" s="12"/>
      <c r="R286" s="12"/>
      <c r="S286" s="449" t="s">
        <v>165</v>
      </c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15"/>
    </row>
    <row r="287" ht="15.75" customHeight="1">
      <c r="A287" s="191">
        <v>1.1665834E7</v>
      </c>
      <c r="B287" s="84">
        <v>9.000094527E9</v>
      </c>
      <c r="C287" s="84" t="s">
        <v>3006</v>
      </c>
      <c r="D287" s="84">
        <v>27.0</v>
      </c>
      <c r="E287" s="84">
        <v>34716.0</v>
      </c>
      <c r="F287" s="84" t="s">
        <v>31</v>
      </c>
      <c r="G287" s="84" t="s">
        <v>44</v>
      </c>
      <c r="H287" s="169" t="s">
        <v>45</v>
      </c>
      <c r="I287" s="200" t="s">
        <v>46</v>
      </c>
      <c r="J287" s="169" t="s">
        <v>35</v>
      </c>
      <c r="K287" s="169" t="s">
        <v>47</v>
      </c>
      <c r="L287" s="98" t="s">
        <v>108</v>
      </c>
      <c r="M287" s="12"/>
      <c r="N287" s="88">
        <v>2545.0</v>
      </c>
      <c r="O287" s="73"/>
      <c r="P287" s="15"/>
      <c r="Q287" s="12"/>
      <c r="R287" s="12"/>
      <c r="S287" s="449" t="s">
        <v>165</v>
      </c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15"/>
    </row>
    <row r="288" ht="15.75" customHeight="1">
      <c r="A288" s="191">
        <v>1.1665832E7</v>
      </c>
      <c r="B288" s="84">
        <v>9.000094494E9</v>
      </c>
      <c r="C288" s="84" t="s">
        <v>3006</v>
      </c>
      <c r="D288" s="84">
        <v>28.0</v>
      </c>
      <c r="E288" s="84">
        <v>34295.0</v>
      </c>
      <c r="F288" s="84" t="s">
        <v>43</v>
      </c>
      <c r="G288" s="84" t="s">
        <v>44</v>
      </c>
      <c r="H288" s="169" t="s">
        <v>45</v>
      </c>
      <c r="I288" s="200" t="s">
        <v>46</v>
      </c>
      <c r="J288" s="169" t="s">
        <v>35</v>
      </c>
      <c r="K288" s="169" t="s">
        <v>47</v>
      </c>
      <c r="L288" s="171" t="s">
        <v>110</v>
      </c>
      <c r="M288" s="12"/>
      <c r="N288" s="88">
        <v>2335.0</v>
      </c>
      <c r="O288" s="73"/>
      <c r="P288" s="15"/>
      <c r="Q288" s="12"/>
      <c r="R288" s="12"/>
      <c r="S288" s="454" t="s">
        <v>165</v>
      </c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15"/>
    </row>
    <row r="289" ht="15.75" customHeight="1">
      <c r="A289" s="191">
        <v>1.1665859E7</v>
      </c>
      <c r="B289" s="84">
        <v>9.000094462E9</v>
      </c>
      <c r="C289" s="84" t="s">
        <v>3006</v>
      </c>
      <c r="D289" s="84">
        <v>15.0</v>
      </c>
      <c r="E289" s="84">
        <v>17135.0</v>
      </c>
      <c r="F289" s="84" t="s">
        <v>43</v>
      </c>
      <c r="G289" s="84" t="s">
        <v>44</v>
      </c>
      <c r="H289" s="169" t="s">
        <v>3008</v>
      </c>
      <c r="I289" s="85" t="s">
        <v>1232</v>
      </c>
      <c r="J289" s="169" t="s">
        <v>47</v>
      </c>
      <c r="K289" s="169" t="s">
        <v>35</v>
      </c>
      <c r="L289" s="171" t="s">
        <v>110</v>
      </c>
      <c r="M289" s="12"/>
      <c r="N289" s="88">
        <v>1557.0</v>
      </c>
      <c r="O289" s="73"/>
      <c r="P289" s="15"/>
      <c r="Q289" s="12"/>
      <c r="R289" s="12"/>
      <c r="S289" s="454" t="s">
        <v>165</v>
      </c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15"/>
    </row>
    <row r="290" ht="15.75" customHeight="1">
      <c r="A290" s="191">
        <v>1.1665833E7</v>
      </c>
      <c r="B290" s="84">
        <v>9.000094496E9</v>
      </c>
      <c r="C290" s="84" t="s">
        <v>3006</v>
      </c>
      <c r="D290" s="84">
        <v>28.0</v>
      </c>
      <c r="E290" s="84">
        <v>34295.0</v>
      </c>
      <c r="F290" s="84" t="s">
        <v>43</v>
      </c>
      <c r="G290" s="84" t="s">
        <v>44</v>
      </c>
      <c r="H290" s="169" t="s">
        <v>45</v>
      </c>
      <c r="I290" s="200" t="s">
        <v>46</v>
      </c>
      <c r="J290" s="169" t="s">
        <v>35</v>
      </c>
      <c r="K290" s="169" t="s">
        <v>47</v>
      </c>
      <c r="L290" s="171" t="s">
        <v>110</v>
      </c>
      <c r="M290" s="12"/>
      <c r="N290" s="88">
        <v>2335.0</v>
      </c>
      <c r="O290" s="73"/>
      <c r="P290" s="15"/>
      <c r="Q290" s="12"/>
      <c r="R290" s="12"/>
      <c r="S290" s="454" t="s">
        <v>165</v>
      </c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15"/>
    </row>
    <row r="291" ht="15.75" customHeight="1">
      <c r="A291" s="191">
        <v>1.166586E7</v>
      </c>
      <c r="B291" s="84">
        <v>9.000094539E9</v>
      </c>
      <c r="C291" s="84" t="s">
        <v>3006</v>
      </c>
      <c r="D291" s="84">
        <v>15.0</v>
      </c>
      <c r="E291" s="84">
        <v>17135.0</v>
      </c>
      <c r="F291" s="84" t="s">
        <v>43</v>
      </c>
      <c r="G291" s="84" t="s">
        <v>44</v>
      </c>
      <c r="H291" s="169" t="s">
        <v>3009</v>
      </c>
      <c r="I291" s="85" t="s">
        <v>1232</v>
      </c>
      <c r="J291" s="169" t="s">
        <v>47</v>
      </c>
      <c r="K291" s="169" t="s">
        <v>35</v>
      </c>
      <c r="L291" s="171" t="s">
        <v>110</v>
      </c>
      <c r="M291" s="12"/>
      <c r="N291" s="88">
        <v>1557.0</v>
      </c>
      <c r="O291" s="73"/>
      <c r="P291" s="15"/>
      <c r="Q291" s="12"/>
      <c r="R291" s="12"/>
      <c r="S291" s="454" t="s">
        <v>165</v>
      </c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15"/>
    </row>
    <row r="292" ht="15.75" customHeight="1">
      <c r="A292" s="191">
        <v>1.1665835E7</v>
      </c>
      <c r="B292" s="84">
        <v>9.000094482E9</v>
      </c>
      <c r="C292" s="84" t="s">
        <v>3006</v>
      </c>
      <c r="D292" s="84">
        <v>28.0</v>
      </c>
      <c r="E292" s="84">
        <v>34295.0</v>
      </c>
      <c r="F292" s="84" t="s">
        <v>43</v>
      </c>
      <c r="G292" s="84" t="s">
        <v>44</v>
      </c>
      <c r="H292" s="169" t="s">
        <v>45</v>
      </c>
      <c r="I292" s="200" t="s">
        <v>46</v>
      </c>
      <c r="J292" s="169" t="s">
        <v>35</v>
      </c>
      <c r="K292" s="169" t="s">
        <v>47</v>
      </c>
      <c r="L292" s="171" t="s">
        <v>110</v>
      </c>
      <c r="M292" s="12"/>
      <c r="N292" s="88">
        <v>2335.0</v>
      </c>
      <c r="O292" s="73"/>
      <c r="P292" s="15"/>
      <c r="Q292" s="12"/>
      <c r="R292" s="12"/>
      <c r="S292" s="454" t="s">
        <v>165</v>
      </c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15"/>
    </row>
    <row r="293" ht="15.75" customHeight="1">
      <c r="A293" s="191">
        <v>1.1665861E7</v>
      </c>
      <c r="B293" s="84">
        <v>9.000094474E9</v>
      </c>
      <c r="C293" s="84" t="s">
        <v>3006</v>
      </c>
      <c r="D293" s="84">
        <v>15.0</v>
      </c>
      <c r="E293" s="84">
        <v>17135.0</v>
      </c>
      <c r="F293" s="84" t="s">
        <v>43</v>
      </c>
      <c r="G293" s="84" t="s">
        <v>44</v>
      </c>
      <c r="H293" s="169" t="s">
        <v>3010</v>
      </c>
      <c r="I293" s="85" t="s">
        <v>1232</v>
      </c>
      <c r="J293" s="169" t="s">
        <v>47</v>
      </c>
      <c r="K293" s="169" t="s">
        <v>35</v>
      </c>
      <c r="L293" s="171" t="s">
        <v>110</v>
      </c>
      <c r="M293" s="12"/>
      <c r="N293" s="88">
        <v>1557.0</v>
      </c>
      <c r="O293" s="73"/>
      <c r="P293" s="15"/>
      <c r="Q293" s="12"/>
      <c r="R293" s="12"/>
      <c r="S293" s="454" t="s">
        <v>165</v>
      </c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15"/>
    </row>
    <row r="294" ht="15.75" customHeight="1">
      <c r="A294" s="191">
        <v>1.1665837E7</v>
      </c>
      <c r="B294" s="84">
        <v>9.000094475E9</v>
      </c>
      <c r="C294" s="84" t="s">
        <v>3006</v>
      </c>
      <c r="D294" s="84">
        <v>28.0</v>
      </c>
      <c r="E294" s="84">
        <v>34295.0</v>
      </c>
      <c r="F294" s="84" t="s">
        <v>43</v>
      </c>
      <c r="G294" s="84" t="s">
        <v>44</v>
      </c>
      <c r="H294" s="169" t="s">
        <v>45</v>
      </c>
      <c r="I294" s="200" t="s">
        <v>46</v>
      </c>
      <c r="J294" s="169" t="s">
        <v>35</v>
      </c>
      <c r="K294" s="169" t="s">
        <v>47</v>
      </c>
      <c r="L294" s="171" t="s">
        <v>110</v>
      </c>
      <c r="M294" s="12"/>
      <c r="N294" s="88">
        <v>2335.0</v>
      </c>
      <c r="O294" s="73"/>
      <c r="P294" s="15"/>
      <c r="Q294" s="12"/>
      <c r="R294" s="12"/>
      <c r="S294" s="454" t="s">
        <v>165</v>
      </c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15"/>
    </row>
    <row r="295" ht="15.75" customHeight="1">
      <c r="A295" s="191">
        <v>1.1665858E7</v>
      </c>
      <c r="B295" s="84">
        <v>9.000094485E9</v>
      </c>
      <c r="C295" s="84" t="s">
        <v>3006</v>
      </c>
      <c r="D295" s="84">
        <v>15.0</v>
      </c>
      <c r="E295" s="84">
        <v>17135.0</v>
      </c>
      <c r="F295" s="84" t="s">
        <v>43</v>
      </c>
      <c r="G295" s="84" t="s">
        <v>44</v>
      </c>
      <c r="H295" s="169" t="s">
        <v>3011</v>
      </c>
      <c r="I295" s="85" t="s">
        <v>1232</v>
      </c>
      <c r="J295" s="169" t="s">
        <v>47</v>
      </c>
      <c r="K295" s="169" t="s">
        <v>35</v>
      </c>
      <c r="L295" s="171" t="s">
        <v>110</v>
      </c>
      <c r="M295" s="12"/>
      <c r="N295" s="88">
        <v>1557.0</v>
      </c>
      <c r="O295" s="73"/>
      <c r="P295" s="15"/>
      <c r="Q295" s="12"/>
      <c r="R295" s="12"/>
      <c r="S295" s="454" t="s">
        <v>165</v>
      </c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15"/>
    </row>
    <row r="296" ht="15.75" customHeight="1">
      <c r="A296" s="191">
        <v>1.1665836E7</v>
      </c>
      <c r="B296" s="84">
        <v>9.000094546E9</v>
      </c>
      <c r="C296" s="84" t="s">
        <v>3006</v>
      </c>
      <c r="D296" s="84">
        <v>27.0</v>
      </c>
      <c r="E296" s="84">
        <v>34716.0</v>
      </c>
      <c r="F296" s="84" t="s">
        <v>31</v>
      </c>
      <c r="G296" s="84" t="s">
        <v>44</v>
      </c>
      <c r="H296" s="169" t="s">
        <v>45</v>
      </c>
      <c r="I296" s="200" t="s">
        <v>46</v>
      </c>
      <c r="J296" s="169" t="s">
        <v>35</v>
      </c>
      <c r="K296" s="169" t="s">
        <v>47</v>
      </c>
      <c r="L296" s="98" t="s">
        <v>108</v>
      </c>
      <c r="M296" s="12"/>
      <c r="N296" s="88">
        <v>2545.0</v>
      </c>
      <c r="O296" s="73"/>
      <c r="P296" s="15"/>
      <c r="Q296" s="12"/>
      <c r="R296" s="12"/>
      <c r="S296" s="454" t="s">
        <v>165</v>
      </c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15"/>
    </row>
    <row r="297" ht="15.75" customHeight="1">
      <c r="A297" s="191">
        <v>1.1677183E7</v>
      </c>
      <c r="B297" s="84">
        <v>9.000110099E9</v>
      </c>
      <c r="C297" s="84">
        <v>1.9082025E7</v>
      </c>
      <c r="D297" s="84">
        <v>26.0</v>
      </c>
      <c r="E297" s="84">
        <v>31792.0</v>
      </c>
      <c r="F297" s="103" t="s">
        <v>43</v>
      </c>
      <c r="G297" s="84" t="s">
        <v>44</v>
      </c>
      <c r="H297" s="169" t="s">
        <v>45</v>
      </c>
      <c r="I297" s="200" t="s">
        <v>46</v>
      </c>
      <c r="J297" s="169" t="s">
        <v>35</v>
      </c>
      <c r="K297" s="169" t="s">
        <v>47</v>
      </c>
      <c r="L297" s="171" t="s">
        <v>110</v>
      </c>
      <c r="M297" s="12"/>
      <c r="N297" s="196">
        <v>2335.0</v>
      </c>
      <c r="O297" s="73"/>
      <c r="P297" s="15"/>
      <c r="Q297" s="12"/>
      <c r="R297" s="12"/>
      <c r="S297" s="454" t="s">
        <v>165</v>
      </c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15"/>
    </row>
    <row r="298" ht="15.75" customHeight="1">
      <c r="A298" s="191">
        <v>1.1677184E7</v>
      </c>
      <c r="B298" s="84">
        <v>9.000109989E9</v>
      </c>
      <c r="C298" s="84">
        <v>1.9082025E7</v>
      </c>
      <c r="D298" s="84">
        <v>2.0</v>
      </c>
      <c r="E298" s="84">
        <v>37.0</v>
      </c>
      <c r="F298" s="103" t="s">
        <v>43</v>
      </c>
      <c r="G298" s="84" t="s">
        <v>44</v>
      </c>
      <c r="H298" s="169" t="s">
        <v>3012</v>
      </c>
      <c r="I298" s="85" t="s">
        <v>1232</v>
      </c>
      <c r="J298" s="169" t="s">
        <v>47</v>
      </c>
      <c r="K298" s="169" t="s">
        <v>35</v>
      </c>
      <c r="L298" s="171" t="s">
        <v>110</v>
      </c>
      <c r="M298" s="12"/>
      <c r="N298" s="196">
        <v>1557.0</v>
      </c>
      <c r="O298" s="73"/>
      <c r="P298" s="15"/>
      <c r="Q298" s="12"/>
      <c r="R298" s="12"/>
      <c r="S298" s="454" t="s">
        <v>165</v>
      </c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15"/>
    </row>
    <row r="299" ht="15.75" customHeight="1">
      <c r="A299" s="103">
        <v>1.1677723E7</v>
      </c>
      <c r="B299" s="84">
        <v>9.000110308E9</v>
      </c>
      <c r="C299" s="84" t="s">
        <v>3013</v>
      </c>
      <c r="D299" s="84">
        <v>26.0</v>
      </c>
      <c r="E299" s="84">
        <v>29.123</v>
      </c>
      <c r="F299" s="103" t="s">
        <v>43</v>
      </c>
      <c r="G299" s="84" t="s">
        <v>32</v>
      </c>
      <c r="H299" s="169" t="s">
        <v>265</v>
      </c>
      <c r="I299" s="29" t="s">
        <v>269</v>
      </c>
      <c r="J299" s="195" t="s">
        <v>35</v>
      </c>
      <c r="K299" s="169" t="s">
        <v>267</v>
      </c>
      <c r="L299" s="165" t="s">
        <v>94</v>
      </c>
      <c r="M299" s="22"/>
      <c r="N299" s="98">
        <v>4500.0</v>
      </c>
      <c r="O299" s="260"/>
      <c r="P299" s="258"/>
      <c r="Q299" s="22"/>
      <c r="R299" s="22"/>
      <c r="S299" s="454" t="s">
        <v>165</v>
      </c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15"/>
    </row>
    <row r="300" ht="15.75" customHeight="1">
      <c r="A300" s="103">
        <v>1.1677724E7</v>
      </c>
      <c r="B300" s="84">
        <v>9.000110306E9</v>
      </c>
      <c r="C300" s="84" t="s">
        <v>3013</v>
      </c>
      <c r="D300" s="84">
        <v>21.0</v>
      </c>
      <c r="E300" s="84">
        <v>7.377</v>
      </c>
      <c r="F300" s="103" t="s">
        <v>43</v>
      </c>
      <c r="G300" s="84" t="s">
        <v>32</v>
      </c>
      <c r="H300" s="176" t="s">
        <v>3014</v>
      </c>
      <c r="I300" s="171" t="s">
        <v>266</v>
      </c>
      <c r="J300" s="169" t="s">
        <v>267</v>
      </c>
      <c r="K300" s="195" t="s">
        <v>35</v>
      </c>
      <c r="L300" s="165" t="s">
        <v>43</v>
      </c>
      <c r="M300" s="22"/>
      <c r="N300" s="98">
        <v>2750.0</v>
      </c>
      <c r="O300" s="260"/>
      <c r="P300" s="258"/>
      <c r="Q300" s="22"/>
      <c r="R300" s="22"/>
      <c r="S300" s="454" t="s">
        <v>165</v>
      </c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15"/>
    </row>
    <row r="301" ht="15.75" customHeight="1">
      <c r="A301" s="103">
        <v>1.1665812E7</v>
      </c>
      <c r="B301" s="84">
        <v>9.000093827E9</v>
      </c>
      <c r="C301" s="84" t="s">
        <v>1847</v>
      </c>
      <c r="D301" s="84">
        <v>1.0</v>
      </c>
      <c r="E301" s="84">
        <v>296.0</v>
      </c>
      <c r="F301" s="103" t="s">
        <v>43</v>
      </c>
      <c r="G301" s="84" t="s">
        <v>44</v>
      </c>
      <c r="H301" s="84" t="s">
        <v>3015</v>
      </c>
      <c r="I301" s="29" t="s">
        <v>397</v>
      </c>
      <c r="J301" s="125" t="s">
        <v>270</v>
      </c>
      <c r="K301" s="125" t="s">
        <v>35</v>
      </c>
      <c r="L301" s="98" t="s">
        <v>43</v>
      </c>
      <c r="M301" s="84"/>
      <c r="N301" s="133" t="s">
        <v>1650</v>
      </c>
      <c r="O301" s="73">
        <f>IFERROR(P301/N301,0)</f>
        <v>0</v>
      </c>
      <c r="P301" s="15"/>
      <c r="Q301" s="12"/>
      <c r="R301" s="12"/>
      <c r="S301" s="454" t="s">
        <v>165</v>
      </c>
      <c r="T301" s="12"/>
      <c r="U301" s="12"/>
      <c r="V301" s="12"/>
      <c r="W301" s="12"/>
      <c r="X301" s="84"/>
      <c r="Y301" s="12"/>
      <c r="Z301" s="12"/>
      <c r="AA301" s="12"/>
      <c r="AB301" s="84"/>
      <c r="AC301" s="1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15"/>
    </row>
    <row r="302" ht="15.75" customHeight="1">
      <c r="A302" s="103">
        <v>1.168691E7</v>
      </c>
      <c r="B302" s="84">
        <v>9.000126755E9</v>
      </c>
      <c r="C302" s="84" t="s">
        <v>2487</v>
      </c>
      <c r="D302" s="84">
        <v>26.0</v>
      </c>
      <c r="E302" s="84">
        <v>33139.0</v>
      </c>
      <c r="F302" s="12" t="s">
        <v>31</v>
      </c>
      <c r="G302" s="84" t="s">
        <v>44</v>
      </c>
      <c r="H302" s="29" t="s">
        <v>104</v>
      </c>
      <c r="I302" s="29" t="s">
        <v>105</v>
      </c>
      <c r="J302" s="25" t="s">
        <v>35</v>
      </c>
      <c r="K302" s="39" t="s">
        <v>106</v>
      </c>
      <c r="L302" s="28" t="s">
        <v>59</v>
      </c>
      <c r="M302" s="12"/>
      <c r="N302" s="210">
        <v>5337.0</v>
      </c>
      <c r="O302" s="260"/>
      <c r="P302" s="258"/>
      <c r="Q302" s="22"/>
      <c r="R302" s="22"/>
      <c r="S302" s="454" t="s">
        <v>165</v>
      </c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15"/>
    </row>
    <row r="303" ht="15.75" customHeight="1">
      <c r="A303" s="103">
        <v>1.1686994E7</v>
      </c>
      <c r="B303" s="84">
        <v>9.000126738E9</v>
      </c>
      <c r="C303" s="84" t="s">
        <v>2487</v>
      </c>
      <c r="D303" s="84">
        <v>26.0</v>
      </c>
      <c r="E303" s="84">
        <v>33139.0</v>
      </c>
      <c r="F303" s="12" t="s">
        <v>31</v>
      </c>
      <c r="G303" s="84" t="s">
        <v>44</v>
      </c>
      <c r="H303" s="29" t="s">
        <v>104</v>
      </c>
      <c r="I303" s="29" t="s">
        <v>105</v>
      </c>
      <c r="J303" s="25" t="s">
        <v>35</v>
      </c>
      <c r="K303" s="39" t="s">
        <v>106</v>
      </c>
      <c r="L303" s="28" t="s">
        <v>59</v>
      </c>
      <c r="M303" s="12"/>
      <c r="N303" s="210">
        <v>5337.0</v>
      </c>
      <c r="O303" s="260"/>
      <c r="P303" s="258"/>
      <c r="Q303" s="22"/>
      <c r="R303" s="22"/>
      <c r="S303" s="454" t="s">
        <v>165</v>
      </c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15"/>
    </row>
    <row r="304" ht="15.75" customHeight="1">
      <c r="A304" s="103">
        <v>1.1686995E7</v>
      </c>
      <c r="B304" s="84">
        <v>9.000126728E9</v>
      </c>
      <c r="C304" s="84" t="s">
        <v>2487</v>
      </c>
      <c r="D304" s="84">
        <v>26.0</v>
      </c>
      <c r="E304" s="84">
        <v>33139.0</v>
      </c>
      <c r="F304" s="12" t="s">
        <v>31</v>
      </c>
      <c r="G304" s="84" t="s">
        <v>44</v>
      </c>
      <c r="H304" s="29" t="s">
        <v>104</v>
      </c>
      <c r="I304" s="29" t="s">
        <v>105</v>
      </c>
      <c r="J304" s="25" t="s">
        <v>35</v>
      </c>
      <c r="K304" s="39" t="s">
        <v>106</v>
      </c>
      <c r="L304" s="28" t="s">
        <v>59</v>
      </c>
      <c r="M304" s="12"/>
      <c r="N304" s="210">
        <v>5337.0</v>
      </c>
      <c r="O304" s="260"/>
      <c r="P304" s="258"/>
      <c r="Q304" s="22"/>
      <c r="R304" s="22"/>
      <c r="S304" s="454" t="s">
        <v>165</v>
      </c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15"/>
    </row>
    <row r="305" ht="15.75" customHeight="1">
      <c r="A305" s="103">
        <v>1.1686996E7</v>
      </c>
      <c r="B305" s="84">
        <v>9.000126737E9</v>
      </c>
      <c r="C305" s="84" t="s">
        <v>2487</v>
      </c>
      <c r="D305" s="84">
        <v>26.0</v>
      </c>
      <c r="E305" s="84">
        <v>33139.0</v>
      </c>
      <c r="F305" s="12" t="s">
        <v>31</v>
      </c>
      <c r="G305" s="84" t="s">
        <v>44</v>
      </c>
      <c r="H305" s="29" t="s">
        <v>104</v>
      </c>
      <c r="I305" s="29" t="s">
        <v>105</v>
      </c>
      <c r="J305" s="25" t="s">
        <v>35</v>
      </c>
      <c r="K305" s="39" t="s">
        <v>106</v>
      </c>
      <c r="L305" s="28" t="s">
        <v>59</v>
      </c>
      <c r="M305" s="12"/>
      <c r="N305" s="210">
        <v>5337.0</v>
      </c>
      <c r="O305" s="260"/>
      <c r="P305" s="258"/>
      <c r="Q305" s="22"/>
      <c r="R305" s="22"/>
      <c r="S305" s="454" t="s">
        <v>165</v>
      </c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15"/>
    </row>
    <row r="306" ht="15.75" customHeight="1">
      <c r="A306" s="103">
        <v>1.1694889E7</v>
      </c>
      <c r="B306" s="84">
        <v>9.000140064E9</v>
      </c>
      <c r="C306" s="84" t="s">
        <v>3016</v>
      </c>
      <c r="D306" s="84">
        <v>26.0</v>
      </c>
      <c r="E306" s="84">
        <v>31250.0</v>
      </c>
      <c r="F306" s="29" t="s">
        <v>31</v>
      </c>
      <c r="G306" s="84" t="s">
        <v>74</v>
      </c>
      <c r="H306" s="84" t="s">
        <v>3017</v>
      </c>
      <c r="I306" s="85" t="s">
        <v>904</v>
      </c>
      <c r="J306" s="12" t="s">
        <v>35</v>
      </c>
      <c r="K306" s="84" t="s">
        <v>905</v>
      </c>
      <c r="L306" s="98" t="s">
        <v>94</v>
      </c>
      <c r="M306" s="12"/>
      <c r="N306" s="133">
        <v>6781.0</v>
      </c>
      <c r="O306" s="73"/>
      <c r="P306" s="15"/>
      <c r="Q306" s="12"/>
      <c r="R306" s="12"/>
      <c r="S306" s="454" t="s">
        <v>165</v>
      </c>
      <c r="T306" s="12"/>
      <c r="U306" s="84" t="s">
        <v>3018</v>
      </c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15"/>
    </row>
    <row r="307" ht="15.75" customHeight="1">
      <c r="A307" s="103">
        <v>1.170684E7</v>
      </c>
      <c r="B307" s="84">
        <v>9.000159965E9</v>
      </c>
      <c r="C307" s="84" t="s">
        <v>1930</v>
      </c>
      <c r="D307" s="84">
        <v>26.0</v>
      </c>
      <c r="E307" s="84">
        <v>32468.0</v>
      </c>
      <c r="F307" s="85" t="s">
        <v>31</v>
      </c>
      <c r="G307" s="84" t="s">
        <v>74</v>
      </c>
      <c r="H307" s="84" t="s">
        <v>1914</v>
      </c>
      <c r="I307" s="84" t="s">
        <v>1915</v>
      </c>
      <c r="J307" s="93" t="s">
        <v>35</v>
      </c>
      <c r="K307" s="84" t="s">
        <v>270</v>
      </c>
      <c r="L307" s="98" t="s">
        <v>94</v>
      </c>
      <c r="M307" s="84"/>
      <c r="N307" s="133">
        <v>6410.0</v>
      </c>
      <c r="O307" s="73">
        <f>IFERROR(P307/#REF!,0)</f>
        <v>0</v>
      </c>
      <c r="P307" s="15"/>
      <c r="Q307" s="12"/>
      <c r="R307" s="12"/>
      <c r="S307" s="454" t="s">
        <v>165</v>
      </c>
      <c r="T307" s="12"/>
      <c r="U307" s="12"/>
      <c r="V307" s="12"/>
      <c r="W307" s="12"/>
      <c r="X307" s="12"/>
      <c r="Y307" s="112">
        <v>45725.208333333336</v>
      </c>
      <c r="Z307" s="1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15"/>
    </row>
    <row r="308" ht="15.75" customHeight="1">
      <c r="A308" s="9">
        <v>1.00774378E8</v>
      </c>
      <c r="B308" s="10"/>
      <c r="C308" s="455">
        <v>45369.0</v>
      </c>
      <c r="D308" s="12">
        <v>26.0</v>
      </c>
      <c r="E308" s="13">
        <v>33139.0</v>
      </c>
      <c r="F308" s="12" t="s">
        <v>31</v>
      </c>
      <c r="G308" s="29" t="s">
        <v>32</v>
      </c>
      <c r="H308" s="12" t="s">
        <v>111</v>
      </c>
      <c r="I308" s="29" t="s">
        <v>112</v>
      </c>
      <c r="J308" s="12" t="s">
        <v>35</v>
      </c>
      <c r="K308" s="12" t="s">
        <v>113</v>
      </c>
      <c r="L308" s="25" t="s">
        <v>114</v>
      </c>
      <c r="M308" s="14"/>
      <c r="N308" s="24">
        <v>4325.0</v>
      </c>
      <c r="O308" s="73">
        <f t="shared" ref="O308:O387" si="20">IFERROR(P308/N308,0)</f>
        <v>0.6936416185</v>
      </c>
      <c r="P308" s="15">
        <v>3000.0</v>
      </c>
      <c r="Q308" s="84" t="s">
        <v>39</v>
      </c>
      <c r="R308" s="12"/>
      <c r="S308" s="12" t="s">
        <v>392</v>
      </c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207" t="s">
        <v>39</v>
      </c>
      <c r="AF308" s="1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15"/>
    </row>
    <row r="309" ht="16.5" customHeight="1">
      <c r="A309" s="9">
        <v>1.00774404E8</v>
      </c>
      <c r="B309" s="10"/>
      <c r="C309" s="455">
        <v>45369.0</v>
      </c>
      <c r="D309" s="12">
        <v>26.0</v>
      </c>
      <c r="E309" s="13">
        <v>33139.0</v>
      </c>
      <c r="F309" s="12" t="s">
        <v>31</v>
      </c>
      <c r="G309" s="29" t="s">
        <v>32</v>
      </c>
      <c r="H309" s="12" t="s">
        <v>111</v>
      </c>
      <c r="I309" s="29" t="s">
        <v>112</v>
      </c>
      <c r="J309" s="25" t="s">
        <v>35</v>
      </c>
      <c r="K309" s="25" t="s">
        <v>113</v>
      </c>
      <c r="L309" s="25" t="s">
        <v>114</v>
      </c>
      <c r="M309" s="14"/>
      <c r="N309" s="24">
        <v>4325.0</v>
      </c>
      <c r="O309" s="73">
        <f t="shared" si="20"/>
        <v>0.6936416185</v>
      </c>
      <c r="P309" s="15">
        <v>3000.0</v>
      </c>
      <c r="Q309" s="84" t="s">
        <v>39</v>
      </c>
      <c r="R309" s="12"/>
      <c r="S309" s="12" t="s">
        <v>392</v>
      </c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207" t="s">
        <v>39</v>
      </c>
      <c r="AF309" s="1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15"/>
    </row>
    <row r="310" ht="15.75" customHeight="1">
      <c r="A310" s="9">
        <v>1.00774435E8</v>
      </c>
      <c r="B310" s="10"/>
      <c r="C310" s="455">
        <v>45369.0</v>
      </c>
      <c r="D310" s="12">
        <v>28.0</v>
      </c>
      <c r="E310" s="13">
        <v>34058.0</v>
      </c>
      <c r="F310" s="12" t="s">
        <v>31</v>
      </c>
      <c r="G310" s="29" t="s">
        <v>32</v>
      </c>
      <c r="H310" s="12" t="s">
        <v>111</v>
      </c>
      <c r="I310" s="29" t="s">
        <v>112</v>
      </c>
      <c r="J310" s="12" t="s">
        <v>35</v>
      </c>
      <c r="K310" s="12" t="s">
        <v>113</v>
      </c>
      <c r="L310" s="25" t="s">
        <v>114</v>
      </c>
      <c r="M310" s="14"/>
      <c r="N310" s="24">
        <v>4325.0</v>
      </c>
      <c r="O310" s="73">
        <f t="shared" si="20"/>
        <v>0.6936416185</v>
      </c>
      <c r="P310" s="15">
        <v>3000.0</v>
      </c>
      <c r="Q310" s="84" t="s">
        <v>39</v>
      </c>
      <c r="R310" s="12"/>
      <c r="S310" s="12" t="s">
        <v>392</v>
      </c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207" t="s">
        <v>39</v>
      </c>
      <c r="AF310" s="1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15"/>
    </row>
    <row r="311" ht="15.75" customHeight="1">
      <c r="A311" s="9">
        <v>1.00068113E9</v>
      </c>
      <c r="B311" s="10"/>
      <c r="C311" s="455">
        <v>45328.0</v>
      </c>
      <c r="D311" s="12">
        <v>26.0</v>
      </c>
      <c r="E311" s="13">
        <v>32553.0</v>
      </c>
      <c r="F311" s="9"/>
      <c r="G311" s="29" t="s">
        <v>32</v>
      </c>
      <c r="H311" s="12" t="s">
        <v>3019</v>
      </c>
      <c r="I311" s="29"/>
      <c r="J311" s="158"/>
      <c r="K311" s="28" t="s">
        <v>3020</v>
      </c>
      <c r="L311" s="28" t="s">
        <v>52</v>
      </c>
      <c r="M311" s="12"/>
      <c r="N311" s="24">
        <v>13200.0</v>
      </c>
      <c r="O311" s="73">
        <f t="shared" si="20"/>
        <v>0</v>
      </c>
      <c r="P311" s="15"/>
      <c r="Q311" s="84" t="s">
        <v>39</v>
      </c>
      <c r="R311" s="56"/>
      <c r="S311" s="456" t="s">
        <v>392</v>
      </c>
      <c r="T311" s="12"/>
      <c r="U311" s="12"/>
      <c r="V311" s="12"/>
      <c r="W311" s="12"/>
      <c r="X311" s="12"/>
      <c r="Y311" s="57"/>
      <c r="Z311" s="57"/>
      <c r="AA311" s="12"/>
      <c r="AB311" s="12"/>
      <c r="AC311" s="12"/>
      <c r="AD311" s="12"/>
      <c r="AE311" s="207" t="s">
        <v>39</v>
      </c>
      <c r="AF311" s="1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15"/>
    </row>
    <row r="312" ht="15.75" customHeight="1">
      <c r="A312" s="9">
        <v>1.000681599E9</v>
      </c>
      <c r="B312" s="10"/>
      <c r="C312" s="455">
        <v>45331.0</v>
      </c>
      <c r="D312" s="12">
        <v>26.0</v>
      </c>
      <c r="E312" s="13">
        <v>33228.0</v>
      </c>
      <c r="F312" s="12"/>
      <c r="G312" s="29" t="s">
        <v>32</v>
      </c>
      <c r="H312" s="12" t="s">
        <v>3021</v>
      </c>
      <c r="I312" s="29"/>
      <c r="J312" s="12"/>
      <c r="K312" s="15" t="s">
        <v>2119</v>
      </c>
      <c r="L312" s="28" t="s">
        <v>52</v>
      </c>
      <c r="M312" s="15"/>
      <c r="N312" s="24">
        <v>10771.65</v>
      </c>
      <c r="O312" s="73">
        <f t="shared" si="20"/>
        <v>0</v>
      </c>
      <c r="P312" s="15"/>
      <c r="Q312" s="84" t="s">
        <v>39</v>
      </c>
      <c r="R312" s="12"/>
      <c r="S312" s="456" t="s">
        <v>392</v>
      </c>
      <c r="T312" s="12"/>
      <c r="U312" s="457"/>
      <c r="V312" s="457"/>
      <c r="W312" s="12"/>
      <c r="X312" s="12"/>
      <c r="Y312" s="57"/>
      <c r="Z312" s="57"/>
      <c r="AA312" s="12"/>
      <c r="AB312" s="12"/>
      <c r="AC312" s="12"/>
      <c r="AD312" s="12"/>
      <c r="AE312" s="207" t="s">
        <v>39</v>
      </c>
      <c r="AF312" s="1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15"/>
    </row>
    <row r="313" ht="15.75" customHeight="1">
      <c r="A313" s="9">
        <v>1.000688821E9</v>
      </c>
      <c r="B313" s="10"/>
      <c r="C313" s="455">
        <v>45332.0</v>
      </c>
      <c r="D313" s="12">
        <v>26.0</v>
      </c>
      <c r="E313" s="13">
        <v>31101.0</v>
      </c>
      <c r="F313" s="12"/>
      <c r="G313" s="29" t="s">
        <v>32</v>
      </c>
      <c r="H313" s="12" t="s">
        <v>3022</v>
      </c>
      <c r="I313" s="29"/>
      <c r="J313" s="12"/>
      <c r="K313" s="15" t="s">
        <v>63</v>
      </c>
      <c r="L313" s="28" t="s">
        <v>52</v>
      </c>
      <c r="M313" s="15"/>
      <c r="N313" s="24">
        <v>3123.11</v>
      </c>
      <c r="O313" s="73">
        <f t="shared" si="20"/>
        <v>0</v>
      </c>
      <c r="P313" s="15"/>
      <c r="Q313" s="84" t="s">
        <v>39</v>
      </c>
      <c r="R313" s="12"/>
      <c r="S313" s="456" t="s">
        <v>392</v>
      </c>
      <c r="T313" s="12"/>
      <c r="U313" s="457"/>
      <c r="V313" s="457"/>
      <c r="W313" s="12"/>
      <c r="X313" s="12"/>
      <c r="Y313" s="12"/>
      <c r="Z313" s="12"/>
      <c r="AA313" s="12"/>
      <c r="AB313" s="12"/>
      <c r="AC313" s="12"/>
      <c r="AD313" s="12"/>
      <c r="AE313" s="207" t="s">
        <v>39</v>
      </c>
      <c r="AF313" s="1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15"/>
    </row>
    <row r="314" ht="15.75" customHeight="1">
      <c r="A314" s="9">
        <v>1.000695931E9</v>
      </c>
      <c r="B314" s="10"/>
      <c r="C314" s="455">
        <v>45334.0</v>
      </c>
      <c r="D314" s="12">
        <v>26.0</v>
      </c>
      <c r="E314" s="13">
        <v>31625.0</v>
      </c>
      <c r="F314" s="12"/>
      <c r="G314" s="29" t="s">
        <v>44</v>
      </c>
      <c r="H314" s="12" t="s">
        <v>45</v>
      </c>
      <c r="I314" s="29"/>
      <c r="J314" s="12"/>
      <c r="K314" s="15" t="s">
        <v>47</v>
      </c>
      <c r="L314" s="28" t="s">
        <v>52</v>
      </c>
      <c r="M314" s="14"/>
      <c r="N314" s="24">
        <v>2173.57</v>
      </c>
      <c r="O314" s="73">
        <f t="shared" si="20"/>
        <v>0</v>
      </c>
      <c r="P314" s="15"/>
      <c r="Q314" s="84" t="s">
        <v>39</v>
      </c>
      <c r="R314" s="12"/>
      <c r="S314" s="458" t="s">
        <v>392</v>
      </c>
      <c r="T314" s="12"/>
      <c r="U314" s="457"/>
      <c r="V314" s="457"/>
      <c r="W314" s="12"/>
      <c r="X314" s="12"/>
      <c r="Y314" s="57"/>
      <c r="Z314" s="57"/>
      <c r="AA314" s="12"/>
      <c r="AB314" s="12"/>
      <c r="AC314" s="12"/>
      <c r="AD314" s="12"/>
      <c r="AE314" s="207" t="s">
        <v>39</v>
      </c>
      <c r="AF314" s="1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15"/>
    </row>
    <row r="315" ht="15.75" customHeight="1">
      <c r="A315" s="9">
        <v>1.000703247E9</v>
      </c>
      <c r="B315" s="10"/>
      <c r="C315" s="455">
        <v>45339.0</v>
      </c>
      <c r="D315" s="12">
        <v>28.0</v>
      </c>
      <c r="E315" s="13">
        <v>34058.0</v>
      </c>
      <c r="F315" s="12"/>
      <c r="G315" s="29" t="s">
        <v>32</v>
      </c>
      <c r="H315" s="12" t="s">
        <v>111</v>
      </c>
      <c r="I315" s="29"/>
      <c r="J315" s="12"/>
      <c r="K315" s="12" t="s">
        <v>113</v>
      </c>
      <c r="L315" s="28" t="s">
        <v>52</v>
      </c>
      <c r="M315" s="14"/>
      <c r="N315" s="24">
        <v>5687.55</v>
      </c>
      <c r="O315" s="73">
        <f t="shared" si="20"/>
        <v>0</v>
      </c>
      <c r="P315" s="15"/>
      <c r="Q315" s="84" t="s">
        <v>39</v>
      </c>
      <c r="R315" s="12"/>
      <c r="S315" s="458" t="s">
        <v>392</v>
      </c>
      <c r="T315" s="12"/>
      <c r="U315" s="457"/>
      <c r="V315" s="457"/>
      <c r="W315" s="12"/>
      <c r="X315" s="12"/>
      <c r="Y315" s="57"/>
      <c r="Z315" s="57"/>
      <c r="AA315" s="12"/>
      <c r="AB315" s="12"/>
      <c r="AC315" s="12"/>
      <c r="AD315" s="12"/>
      <c r="AE315" s="207" t="s">
        <v>39</v>
      </c>
      <c r="AF315" s="1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15"/>
    </row>
    <row r="316" ht="15.75" customHeight="1">
      <c r="A316" s="9">
        <v>1.000703253E9</v>
      </c>
      <c r="B316" s="10"/>
      <c r="C316" s="455">
        <v>45339.0</v>
      </c>
      <c r="D316" s="12">
        <v>28.0</v>
      </c>
      <c r="E316" s="13">
        <v>34058.0</v>
      </c>
      <c r="F316" s="12"/>
      <c r="G316" s="29" t="s">
        <v>32</v>
      </c>
      <c r="H316" s="12" t="s">
        <v>111</v>
      </c>
      <c r="I316" s="29"/>
      <c r="J316" s="12"/>
      <c r="K316" s="12" t="s">
        <v>113</v>
      </c>
      <c r="L316" s="28" t="s">
        <v>52</v>
      </c>
      <c r="M316" s="14"/>
      <c r="N316" s="24">
        <v>5368.79</v>
      </c>
      <c r="O316" s="73">
        <f t="shared" si="20"/>
        <v>0</v>
      </c>
      <c r="P316" s="15"/>
      <c r="Q316" s="84" t="s">
        <v>39</v>
      </c>
      <c r="R316" s="22"/>
      <c r="S316" s="458" t="s">
        <v>392</v>
      </c>
      <c r="T316" s="12"/>
      <c r="U316" s="457"/>
      <c r="V316" s="457"/>
      <c r="W316" s="12"/>
      <c r="X316" s="12"/>
      <c r="Y316" s="57"/>
      <c r="Z316" s="57"/>
      <c r="AA316" s="12"/>
      <c r="AB316" s="12"/>
      <c r="AC316" s="12"/>
      <c r="AD316" s="12"/>
      <c r="AE316" s="207" t="s">
        <v>39</v>
      </c>
      <c r="AF316" s="1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15"/>
    </row>
    <row r="317" ht="15.75" customHeight="1">
      <c r="A317" s="9">
        <v>1.00070632E9</v>
      </c>
      <c r="B317" s="10"/>
      <c r="C317" s="455">
        <v>45341.0</v>
      </c>
      <c r="D317" s="12">
        <v>28.0</v>
      </c>
      <c r="E317" s="13">
        <v>34058.0</v>
      </c>
      <c r="F317" s="12"/>
      <c r="G317" s="29" t="s">
        <v>32</v>
      </c>
      <c r="H317" s="12" t="s">
        <v>124</v>
      </c>
      <c r="I317" s="29"/>
      <c r="J317" s="12"/>
      <c r="K317" s="12" t="s">
        <v>126</v>
      </c>
      <c r="L317" s="28" t="s">
        <v>52</v>
      </c>
      <c r="M317" s="14"/>
      <c r="N317" s="24">
        <v>5909.4</v>
      </c>
      <c r="O317" s="73">
        <f t="shared" si="20"/>
        <v>0</v>
      </c>
      <c r="P317" s="15"/>
      <c r="Q317" s="84" t="s">
        <v>39</v>
      </c>
      <c r="R317" s="12"/>
      <c r="S317" s="458" t="s">
        <v>392</v>
      </c>
      <c r="T317" s="12"/>
      <c r="U317" s="457"/>
      <c r="V317" s="457"/>
      <c r="W317" s="12"/>
      <c r="X317" s="12"/>
      <c r="Y317" s="57"/>
      <c r="Z317" s="57"/>
      <c r="AA317" s="12"/>
      <c r="AB317" s="12"/>
      <c r="AC317" s="12"/>
      <c r="AD317" s="12"/>
      <c r="AE317" s="207" t="s">
        <v>39</v>
      </c>
      <c r="AF317" s="1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15"/>
    </row>
    <row r="318" ht="15.75" customHeight="1">
      <c r="A318" s="9">
        <v>1.000706359E9</v>
      </c>
      <c r="B318" s="10"/>
      <c r="C318" s="455">
        <v>45341.0</v>
      </c>
      <c r="D318" s="12">
        <v>28.0</v>
      </c>
      <c r="E318" s="13">
        <v>34058.0</v>
      </c>
      <c r="F318" s="12"/>
      <c r="G318" s="29" t="s">
        <v>32</v>
      </c>
      <c r="H318" s="12" t="s">
        <v>111</v>
      </c>
      <c r="I318" s="29"/>
      <c r="J318" s="12"/>
      <c r="K318" s="12" t="s">
        <v>113</v>
      </c>
      <c r="L318" s="28" t="s">
        <v>52</v>
      </c>
      <c r="M318" s="14"/>
      <c r="N318" s="24">
        <v>4863.0</v>
      </c>
      <c r="O318" s="73">
        <f t="shared" si="20"/>
        <v>0</v>
      </c>
      <c r="P318" s="15"/>
      <c r="Q318" s="84" t="s">
        <v>39</v>
      </c>
      <c r="R318" s="12"/>
      <c r="S318" s="458" t="s">
        <v>392</v>
      </c>
      <c r="T318" s="12"/>
      <c r="U318" s="457"/>
      <c r="V318" s="457"/>
      <c r="W318" s="12"/>
      <c r="X318" s="12"/>
      <c r="Y318" s="57"/>
      <c r="Z318" s="57"/>
      <c r="AA318" s="12"/>
      <c r="AB318" s="12"/>
      <c r="AC318" s="12"/>
      <c r="AD318" s="12"/>
      <c r="AE318" s="207" t="s">
        <v>39</v>
      </c>
      <c r="AF318" s="1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15"/>
    </row>
    <row r="319" ht="15.75" customHeight="1">
      <c r="A319" s="9">
        <v>1.000715528E9</v>
      </c>
      <c r="B319" s="10"/>
      <c r="C319" s="455">
        <v>45342.0</v>
      </c>
      <c r="D319" s="12">
        <v>26.0</v>
      </c>
      <c r="E319" s="13">
        <v>32789.0</v>
      </c>
      <c r="F319" s="12"/>
      <c r="G319" s="29" t="s">
        <v>32</v>
      </c>
      <c r="H319" s="12" t="s">
        <v>3022</v>
      </c>
      <c r="I319" s="29"/>
      <c r="J319" s="12"/>
      <c r="K319" s="12" t="s">
        <v>63</v>
      </c>
      <c r="L319" s="28" t="s">
        <v>52</v>
      </c>
      <c r="M319" s="14"/>
      <c r="N319" s="24">
        <v>3123.11</v>
      </c>
      <c r="O319" s="73">
        <f t="shared" si="20"/>
        <v>0</v>
      </c>
      <c r="P319" s="15"/>
      <c r="Q319" s="84" t="s">
        <v>39</v>
      </c>
      <c r="R319" s="12"/>
      <c r="S319" s="458" t="s">
        <v>392</v>
      </c>
      <c r="T319" s="12"/>
      <c r="U319" s="457"/>
      <c r="V319" s="457"/>
      <c r="W319" s="12"/>
      <c r="X319" s="12"/>
      <c r="Y319" s="12"/>
      <c r="Z319" s="12"/>
      <c r="AA319" s="12"/>
      <c r="AB319" s="12"/>
      <c r="AC319" s="12"/>
      <c r="AD319" s="12"/>
      <c r="AE319" s="207" t="s">
        <v>39</v>
      </c>
      <c r="AF319" s="1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15"/>
    </row>
    <row r="320" ht="15.75" customHeight="1">
      <c r="A320" s="9">
        <v>1.000715539E9</v>
      </c>
      <c r="B320" s="10"/>
      <c r="C320" s="455">
        <v>45342.0</v>
      </c>
      <c r="D320" s="12">
        <v>26.0</v>
      </c>
      <c r="E320" s="13">
        <v>32553.0</v>
      </c>
      <c r="F320" s="12"/>
      <c r="G320" s="29" t="s">
        <v>32</v>
      </c>
      <c r="H320" s="12" t="s">
        <v>3022</v>
      </c>
      <c r="I320" s="29"/>
      <c r="J320" s="12"/>
      <c r="K320" s="12" t="s">
        <v>63</v>
      </c>
      <c r="L320" s="28" t="s">
        <v>52</v>
      </c>
      <c r="M320" s="14"/>
      <c r="N320" s="24">
        <v>3123.11</v>
      </c>
      <c r="O320" s="73">
        <f t="shared" si="20"/>
        <v>0</v>
      </c>
      <c r="P320" s="15"/>
      <c r="Q320" s="84" t="s">
        <v>39</v>
      </c>
      <c r="R320" s="12"/>
      <c r="S320" s="458" t="s">
        <v>392</v>
      </c>
      <c r="T320" s="12"/>
      <c r="U320" s="457"/>
      <c r="V320" s="457"/>
      <c r="W320" s="12"/>
      <c r="X320" s="12"/>
      <c r="Y320" s="12"/>
      <c r="Z320" s="12"/>
      <c r="AA320" s="12"/>
      <c r="AB320" s="12"/>
      <c r="AC320" s="12"/>
      <c r="AD320" s="12"/>
      <c r="AE320" s="207" t="s">
        <v>39</v>
      </c>
      <c r="AF320" s="1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15"/>
    </row>
    <row r="321" ht="15.75" customHeight="1">
      <c r="A321" s="256">
        <v>1.000719537E9</v>
      </c>
      <c r="B321" s="257"/>
      <c r="C321" s="455">
        <v>45346.0</v>
      </c>
      <c r="D321" s="12">
        <v>28.0</v>
      </c>
      <c r="E321" s="13">
        <v>34058.0</v>
      </c>
      <c r="F321" s="12"/>
      <c r="G321" s="29" t="s">
        <v>32</v>
      </c>
      <c r="H321" s="12" t="s">
        <v>124</v>
      </c>
      <c r="I321" s="29"/>
      <c r="J321" s="14"/>
      <c r="K321" s="12" t="s">
        <v>126</v>
      </c>
      <c r="L321" s="28" t="s">
        <v>52</v>
      </c>
      <c r="M321" s="12"/>
      <c r="N321" s="24">
        <v>5955.31</v>
      </c>
      <c r="O321" s="73">
        <f t="shared" si="20"/>
        <v>0</v>
      </c>
      <c r="P321" s="15"/>
      <c r="Q321" s="84" t="s">
        <v>39</v>
      </c>
      <c r="R321" s="12"/>
      <c r="S321" s="456" t="s">
        <v>392</v>
      </c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207" t="s">
        <v>39</v>
      </c>
      <c r="AF321" s="1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15"/>
    </row>
    <row r="322" ht="15.75" customHeight="1">
      <c r="A322" s="9">
        <v>1.000719543E9</v>
      </c>
      <c r="B322" s="10"/>
      <c r="C322" s="455">
        <v>45346.0</v>
      </c>
      <c r="D322" s="12">
        <v>28.0</v>
      </c>
      <c r="E322" s="13">
        <v>34058.0</v>
      </c>
      <c r="F322" s="12"/>
      <c r="G322" s="29" t="s">
        <v>32</v>
      </c>
      <c r="H322" s="12" t="s">
        <v>111</v>
      </c>
      <c r="I322" s="29"/>
      <c r="J322" s="14"/>
      <c r="K322" s="12" t="s">
        <v>113</v>
      </c>
      <c r="L322" s="28" t="s">
        <v>52</v>
      </c>
      <c r="M322" s="12"/>
      <c r="N322" s="24">
        <v>5368.79</v>
      </c>
      <c r="O322" s="73">
        <f t="shared" si="20"/>
        <v>0</v>
      </c>
      <c r="P322" s="15"/>
      <c r="Q322" s="84" t="s">
        <v>39</v>
      </c>
      <c r="R322" s="22"/>
      <c r="S322" s="456" t="s">
        <v>392</v>
      </c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207" t="s">
        <v>39</v>
      </c>
      <c r="AF322" s="1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15"/>
    </row>
    <row r="323" ht="15.75" customHeight="1">
      <c r="A323" s="9">
        <v>1.000719576E9</v>
      </c>
      <c r="B323" s="10"/>
      <c r="C323" s="455">
        <v>45348.0</v>
      </c>
      <c r="D323" s="12">
        <v>28.0</v>
      </c>
      <c r="E323" s="13">
        <v>34058.0</v>
      </c>
      <c r="F323" s="12"/>
      <c r="G323" s="29" t="s">
        <v>32</v>
      </c>
      <c r="H323" s="12" t="s">
        <v>124</v>
      </c>
      <c r="I323" s="29"/>
      <c r="J323" s="12"/>
      <c r="K323" s="12" t="s">
        <v>126</v>
      </c>
      <c r="L323" s="28" t="s">
        <v>52</v>
      </c>
      <c r="M323" s="12"/>
      <c r="N323" s="24">
        <v>5909.4</v>
      </c>
      <c r="O323" s="73">
        <f t="shared" si="20"/>
        <v>0</v>
      </c>
      <c r="P323" s="15"/>
      <c r="Q323" s="84" t="s">
        <v>39</v>
      </c>
      <c r="R323" s="12"/>
      <c r="S323" s="456" t="s">
        <v>392</v>
      </c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207" t="s">
        <v>39</v>
      </c>
      <c r="AF323" s="1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15"/>
    </row>
    <row r="324" ht="15.75" customHeight="1">
      <c r="A324" s="9">
        <v>1.000719594E9</v>
      </c>
      <c r="B324" s="10"/>
      <c r="C324" s="455">
        <v>45343.0</v>
      </c>
      <c r="D324" s="12">
        <v>26.0</v>
      </c>
      <c r="E324" s="13">
        <v>32597.0</v>
      </c>
      <c r="F324" s="12"/>
      <c r="G324" s="29" t="s">
        <v>32</v>
      </c>
      <c r="H324" s="12" t="s">
        <v>91</v>
      </c>
      <c r="I324" s="29"/>
      <c r="J324" s="12"/>
      <c r="K324" s="14" t="s">
        <v>93</v>
      </c>
      <c r="L324" s="28" t="s">
        <v>52</v>
      </c>
      <c r="M324" s="14"/>
      <c r="N324" s="24">
        <v>5922.6</v>
      </c>
      <c r="O324" s="73">
        <f t="shared" si="20"/>
        <v>0</v>
      </c>
      <c r="P324" s="15"/>
      <c r="Q324" s="84" t="s">
        <v>39</v>
      </c>
      <c r="R324" s="12"/>
      <c r="S324" s="458" t="s">
        <v>392</v>
      </c>
      <c r="T324" s="12"/>
      <c r="U324" s="457"/>
      <c r="V324" s="457"/>
      <c r="W324" s="12"/>
      <c r="X324" s="12"/>
      <c r="Y324" s="57"/>
      <c r="Z324" s="57"/>
      <c r="AA324" s="12"/>
      <c r="AB324" s="12"/>
      <c r="AC324" s="12"/>
      <c r="AD324" s="12"/>
      <c r="AE324" s="207" t="s">
        <v>39</v>
      </c>
      <c r="AF324" s="1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15"/>
    </row>
    <row r="325" ht="16.5" customHeight="1">
      <c r="A325" s="9">
        <v>1.000719597E9</v>
      </c>
      <c r="B325" s="10"/>
      <c r="C325" s="455">
        <v>45346.0</v>
      </c>
      <c r="D325" s="12">
        <v>28.0</v>
      </c>
      <c r="E325" s="13">
        <v>34058.0</v>
      </c>
      <c r="F325" s="12"/>
      <c r="G325" s="29" t="s">
        <v>32</v>
      </c>
      <c r="H325" s="12" t="s">
        <v>111</v>
      </c>
      <c r="I325" s="29"/>
      <c r="J325" s="55"/>
      <c r="K325" s="25" t="s">
        <v>113</v>
      </c>
      <c r="L325" s="28" t="s">
        <v>52</v>
      </c>
      <c r="M325" s="12"/>
      <c r="N325" s="24">
        <v>5368.79</v>
      </c>
      <c r="O325" s="73">
        <f t="shared" si="20"/>
        <v>0</v>
      </c>
      <c r="P325" s="15"/>
      <c r="Q325" s="84" t="s">
        <v>39</v>
      </c>
      <c r="R325" s="12"/>
      <c r="S325" s="456" t="s">
        <v>392</v>
      </c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207" t="s">
        <v>39</v>
      </c>
      <c r="AF325" s="1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15"/>
    </row>
    <row r="326" ht="15.75" customHeight="1">
      <c r="A326" s="9">
        <v>1.000719741E9</v>
      </c>
      <c r="B326" s="10"/>
      <c r="C326" s="455">
        <v>45346.0</v>
      </c>
      <c r="D326" s="12">
        <v>28.0</v>
      </c>
      <c r="E326" s="13">
        <v>34058.0</v>
      </c>
      <c r="F326" s="12"/>
      <c r="G326" s="29" t="s">
        <v>32</v>
      </c>
      <c r="H326" s="12" t="s">
        <v>111</v>
      </c>
      <c r="I326" s="29"/>
      <c r="J326" s="14"/>
      <c r="K326" s="12" t="s">
        <v>113</v>
      </c>
      <c r="L326" s="28" t="s">
        <v>52</v>
      </c>
      <c r="M326" s="12"/>
      <c r="N326" s="24">
        <v>5368.79</v>
      </c>
      <c r="O326" s="73">
        <f t="shared" si="20"/>
        <v>0</v>
      </c>
      <c r="P326" s="15"/>
      <c r="Q326" s="84" t="s">
        <v>39</v>
      </c>
      <c r="R326" s="22"/>
      <c r="S326" s="456" t="s">
        <v>392</v>
      </c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207" t="s">
        <v>39</v>
      </c>
      <c r="AF326" s="1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15"/>
    </row>
    <row r="327" ht="15.75" customHeight="1">
      <c r="A327" s="9">
        <v>1.000719745E9</v>
      </c>
      <c r="B327" s="10"/>
      <c r="C327" s="455">
        <v>45346.0</v>
      </c>
      <c r="D327" s="12">
        <v>28.0</v>
      </c>
      <c r="E327" s="13">
        <v>34058.0</v>
      </c>
      <c r="F327" s="12"/>
      <c r="G327" s="29" t="s">
        <v>32</v>
      </c>
      <c r="H327" s="12" t="s">
        <v>124</v>
      </c>
      <c r="I327" s="29"/>
      <c r="J327" s="14"/>
      <c r="K327" s="12" t="s">
        <v>126</v>
      </c>
      <c r="L327" s="28" t="s">
        <v>52</v>
      </c>
      <c r="M327" s="12"/>
      <c r="N327" s="24">
        <v>5955.31</v>
      </c>
      <c r="O327" s="73">
        <f t="shared" si="20"/>
        <v>0</v>
      </c>
      <c r="P327" s="15"/>
      <c r="Q327" s="84" t="s">
        <v>39</v>
      </c>
      <c r="R327" s="22"/>
      <c r="S327" s="456" t="s">
        <v>392</v>
      </c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207" t="s">
        <v>39</v>
      </c>
      <c r="AF327" s="1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15"/>
    </row>
    <row r="328" ht="15.75" customHeight="1">
      <c r="A328" s="9">
        <v>1.000719767E9</v>
      </c>
      <c r="B328" s="10"/>
      <c r="C328" s="455">
        <v>45348.0</v>
      </c>
      <c r="D328" s="12">
        <v>28.0</v>
      </c>
      <c r="E328" s="13">
        <v>34058.0</v>
      </c>
      <c r="F328" s="12"/>
      <c r="G328" s="29" t="s">
        <v>32</v>
      </c>
      <c r="H328" s="12" t="s">
        <v>124</v>
      </c>
      <c r="I328" s="29"/>
      <c r="J328" s="25"/>
      <c r="K328" s="25" t="s">
        <v>126</v>
      </c>
      <c r="L328" s="28" t="s">
        <v>52</v>
      </c>
      <c r="M328" s="12"/>
      <c r="N328" s="24">
        <v>5955.31</v>
      </c>
      <c r="O328" s="73">
        <f t="shared" si="20"/>
        <v>0</v>
      </c>
      <c r="P328" s="15"/>
      <c r="Q328" s="84" t="s">
        <v>39</v>
      </c>
      <c r="R328" s="22"/>
      <c r="S328" s="456" t="s">
        <v>392</v>
      </c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207" t="s">
        <v>39</v>
      </c>
      <c r="AF328" s="1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15"/>
    </row>
    <row r="329" ht="15.75" customHeight="1">
      <c r="A329" s="9">
        <v>1.000719786E9</v>
      </c>
      <c r="B329" s="10"/>
      <c r="C329" s="455">
        <v>45346.0</v>
      </c>
      <c r="D329" s="12">
        <v>26.0</v>
      </c>
      <c r="E329" s="13">
        <v>33139.0</v>
      </c>
      <c r="F329" s="12"/>
      <c r="G329" s="29" t="s">
        <v>32</v>
      </c>
      <c r="H329" s="12" t="s">
        <v>111</v>
      </c>
      <c r="I329" s="29"/>
      <c r="J329" s="14"/>
      <c r="K329" s="12" t="s">
        <v>113</v>
      </c>
      <c r="L329" s="28" t="s">
        <v>52</v>
      </c>
      <c r="M329" s="12"/>
      <c r="N329" s="24">
        <v>5368.79</v>
      </c>
      <c r="O329" s="73">
        <f t="shared" si="20"/>
        <v>0</v>
      </c>
      <c r="P329" s="15"/>
      <c r="Q329" s="84" t="s">
        <v>39</v>
      </c>
      <c r="R329" s="12"/>
      <c r="S329" s="456" t="s">
        <v>392</v>
      </c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207" t="s">
        <v>39</v>
      </c>
      <c r="AF329" s="1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15"/>
    </row>
    <row r="330" ht="15.75" customHeight="1">
      <c r="A330" s="9">
        <v>1.000719797E9</v>
      </c>
      <c r="B330" s="10"/>
      <c r="C330" s="455">
        <v>45346.0</v>
      </c>
      <c r="D330" s="12">
        <v>28.0</v>
      </c>
      <c r="E330" s="13">
        <v>34058.0</v>
      </c>
      <c r="F330" s="12"/>
      <c r="G330" s="29" t="s">
        <v>32</v>
      </c>
      <c r="H330" s="12" t="s">
        <v>111</v>
      </c>
      <c r="I330" s="29"/>
      <c r="J330" s="55"/>
      <c r="K330" s="25" t="s">
        <v>113</v>
      </c>
      <c r="L330" s="28" t="s">
        <v>52</v>
      </c>
      <c r="M330" s="12"/>
      <c r="N330" s="24">
        <v>5368.79</v>
      </c>
      <c r="O330" s="73">
        <f t="shared" si="20"/>
        <v>0</v>
      </c>
      <c r="P330" s="15"/>
      <c r="Q330" s="84" t="s">
        <v>39</v>
      </c>
      <c r="R330" s="12"/>
      <c r="S330" s="456" t="s">
        <v>392</v>
      </c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207" t="s">
        <v>39</v>
      </c>
      <c r="AF330" s="1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15"/>
    </row>
    <row r="331" ht="15.75" customHeight="1">
      <c r="A331" s="9">
        <v>1.000719816E9</v>
      </c>
      <c r="B331" s="10"/>
      <c r="C331" s="455">
        <v>45348.0</v>
      </c>
      <c r="D331" s="12">
        <v>26.0</v>
      </c>
      <c r="E331" s="13">
        <v>33139.0</v>
      </c>
      <c r="F331" s="12"/>
      <c r="G331" s="29" t="s">
        <v>32</v>
      </c>
      <c r="H331" s="12" t="s">
        <v>111</v>
      </c>
      <c r="I331" s="29"/>
      <c r="J331" s="12"/>
      <c r="K331" s="12" t="s">
        <v>113</v>
      </c>
      <c r="L331" s="28" t="s">
        <v>52</v>
      </c>
      <c r="M331" s="12"/>
      <c r="N331" s="24">
        <v>5687.55</v>
      </c>
      <c r="O331" s="73">
        <f t="shared" si="20"/>
        <v>0</v>
      </c>
      <c r="P331" s="15"/>
      <c r="Q331" s="84" t="s">
        <v>39</v>
      </c>
      <c r="R331" s="22"/>
      <c r="S331" s="456" t="s">
        <v>392</v>
      </c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207" t="s">
        <v>39</v>
      </c>
      <c r="AF331" s="1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15"/>
    </row>
    <row r="332" ht="15.75" customHeight="1">
      <c r="A332" s="9">
        <v>1.000722326E9</v>
      </c>
      <c r="B332" s="10"/>
      <c r="C332" s="455">
        <v>45348.0</v>
      </c>
      <c r="D332" s="12">
        <v>26.0</v>
      </c>
      <c r="E332" s="13">
        <v>33430.0</v>
      </c>
      <c r="F332" s="12"/>
      <c r="G332" s="29" t="s">
        <v>74</v>
      </c>
      <c r="H332" s="12" t="s">
        <v>185</v>
      </c>
      <c r="I332" s="29"/>
      <c r="J332" s="14"/>
      <c r="K332" s="12" t="s">
        <v>187</v>
      </c>
      <c r="L332" s="28" t="s">
        <v>52</v>
      </c>
      <c r="M332" s="12"/>
      <c r="N332" s="24">
        <v>4524.37</v>
      </c>
      <c r="O332" s="73">
        <f t="shared" si="20"/>
        <v>0</v>
      </c>
      <c r="P332" s="15"/>
      <c r="Q332" s="84" t="s">
        <v>39</v>
      </c>
      <c r="R332" s="22"/>
      <c r="S332" s="456" t="s">
        <v>392</v>
      </c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207" t="s">
        <v>39</v>
      </c>
      <c r="AF332" s="1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15"/>
    </row>
    <row r="333" ht="15.75" customHeight="1">
      <c r="A333" s="9">
        <v>1.000722514E9</v>
      </c>
      <c r="B333" s="10"/>
      <c r="C333" s="455">
        <v>45346.0</v>
      </c>
      <c r="D333" s="12">
        <v>26.0</v>
      </c>
      <c r="E333" s="13">
        <v>31527.0</v>
      </c>
      <c r="F333" s="12"/>
      <c r="G333" s="29" t="s">
        <v>32</v>
      </c>
      <c r="H333" s="12" t="s">
        <v>3022</v>
      </c>
      <c r="I333" s="29"/>
      <c r="J333" s="14"/>
      <c r="K333" s="12" t="s">
        <v>63</v>
      </c>
      <c r="L333" s="28" t="s">
        <v>52</v>
      </c>
      <c r="M333" s="12"/>
      <c r="N333" s="24">
        <v>3194.1</v>
      </c>
      <c r="O333" s="73">
        <f t="shared" si="20"/>
        <v>0</v>
      </c>
      <c r="P333" s="15"/>
      <c r="Q333" s="84" t="s">
        <v>39</v>
      </c>
      <c r="R333" s="12"/>
      <c r="S333" s="456" t="s">
        <v>392</v>
      </c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207" t="s">
        <v>39</v>
      </c>
      <c r="AF333" s="1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15"/>
    </row>
    <row r="334" ht="15.75" customHeight="1">
      <c r="A334" s="9">
        <v>1.000722562E9</v>
      </c>
      <c r="B334" s="10"/>
      <c r="C334" s="455">
        <v>45344.0</v>
      </c>
      <c r="D334" s="12">
        <v>28.0</v>
      </c>
      <c r="E334" s="13">
        <v>34058.0</v>
      </c>
      <c r="F334" s="9"/>
      <c r="G334" s="29" t="s">
        <v>32</v>
      </c>
      <c r="H334" s="12" t="s">
        <v>179</v>
      </c>
      <c r="I334" s="29"/>
      <c r="J334" s="14"/>
      <c r="K334" s="12" t="s">
        <v>126</v>
      </c>
      <c r="L334" s="28" t="s">
        <v>52</v>
      </c>
      <c r="M334" s="14"/>
      <c r="N334" s="24">
        <v>5955.31</v>
      </c>
      <c r="O334" s="73">
        <f t="shared" si="20"/>
        <v>0</v>
      </c>
      <c r="P334" s="15"/>
      <c r="Q334" s="84" t="s">
        <v>39</v>
      </c>
      <c r="R334" s="12"/>
      <c r="S334" s="458" t="s">
        <v>392</v>
      </c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207" t="s">
        <v>39</v>
      </c>
      <c r="AF334" s="1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15"/>
    </row>
    <row r="335" ht="15.75" customHeight="1">
      <c r="A335" s="9">
        <v>1.000722584E9</v>
      </c>
      <c r="B335" s="10"/>
      <c r="C335" s="455">
        <v>45344.0</v>
      </c>
      <c r="D335" s="12">
        <v>26.0</v>
      </c>
      <c r="E335" s="13">
        <v>31077.0</v>
      </c>
      <c r="F335" s="9"/>
      <c r="G335" s="29" t="s">
        <v>32</v>
      </c>
      <c r="H335" s="12" t="s">
        <v>91</v>
      </c>
      <c r="I335" s="12"/>
      <c r="J335" s="55"/>
      <c r="K335" s="14" t="s">
        <v>93</v>
      </c>
      <c r="L335" s="15" t="s">
        <v>52</v>
      </c>
      <c r="M335" s="14"/>
      <c r="N335" s="24">
        <v>6500.0</v>
      </c>
      <c r="O335" s="73">
        <f t="shared" si="20"/>
        <v>0</v>
      </c>
      <c r="P335" s="15"/>
      <c r="Q335" s="84" t="s">
        <v>39</v>
      </c>
      <c r="R335" s="12"/>
      <c r="S335" s="458" t="s">
        <v>392</v>
      </c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207" t="s">
        <v>39</v>
      </c>
      <c r="AF335" s="1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15"/>
    </row>
    <row r="336" ht="15.75" customHeight="1">
      <c r="A336" s="9">
        <v>1.000729335E9</v>
      </c>
      <c r="B336" s="10"/>
      <c r="C336" s="455">
        <v>45346.0</v>
      </c>
      <c r="D336" s="12">
        <v>20.0</v>
      </c>
      <c r="E336" s="13">
        <v>25716.0</v>
      </c>
      <c r="F336" s="12"/>
      <c r="G336" s="29" t="s">
        <v>74</v>
      </c>
      <c r="H336" s="12" t="s">
        <v>185</v>
      </c>
      <c r="I336" s="29"/>
      <c r="J336" s="14"/>
      <c r="K336" s="56" t="s">
        <v>187</v>
      </c>
      <c r="L336" s="28" t="s">
        <v>52</v>
      </c>
      <c r="M336" s="12"/>
      <c r="N336" s="24">
        <v>4735.05</v>
      </c>
      <c r="O336" s="73">
        <f t="shared" si="20"/>
        <v>0</v>
      </c>
      <c r="P336" s="15"/>
      <c r="Q336" s="84" t="s">
        <v>39</v>
      </c>
      <c r="R336" s="12"/>
      <c r="S336" s="456" t="s">
        <v>392</v>
      </c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207" t="s">
        <v>39</v>
      </c>
      <c r="AF336" s="1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15"/>
    </row>
    <row r="337" ht="15.75" customHeight="1">
      <c r="A337" s="9">
        <v>1.000729685E9</v>
      </c>
      <c r="B337" s="10"/>
      <c r="C337" s="455">
        <v>45346.0</v>
      </c>
      <c r="D337" s="12">
        <v>26.0</v>
      </c>
      <c r="E337" s="13">
        <v>33139.0</v>
      </c>
      <c r="F337" s="12"/>
      <c r="G337" s="29" t="s">
        <v>32</v>
      </c>
      <c r="H337" s="12" t="s">
        <v>111</v>
      </c>
      <c r="I337" s="12"/>
      <c r="J337" s="14"/>
      <c r="K337" s="12" t="s">
        <v>113</v>
      </c>
      <c r="L337" s="28" t="s">
        <v>52</v>
      </c>
      <c r="M337" s="12"/>
      <c r="N337" s="24">
        <v>4900.0</v>
      </c>
      <c r="O337" s="73">
        <f t="shared" si="20"/>
        <v>0</v>
      </c>
      <c r="P337" s="15"/>
      <c r="Q337" s="84" t="s">
        <v>39</v>
      </c>
      <c r="R337" s="12"/>
      <c r="S337" s="456" t="s">
        <v>392</v>
      </c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207" t="s">
        <v>39</v>
      </c>
      <c r="AF337" s="1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15"/>
    </row>
    <row r="338" ht="15.75" customHeight="1">
      <c r="A338" s="9">
        <v>1.000729696E9</v>
      </c>
      <c r="B338" s="10"/>
      <c r="C338" s="455">
        <v>45346.0</v>
      </c>
      <c r="D338" s="12">
        <v>26.0</v>
      </c>
      <c r="E338" s="13">
        <v>33139.0</v>
      </c>
      <c r="F338" s="12"/>
      <c r="G338" s="29" t="s">
        <v>32</v>
      </c>
      <c r="H338" s="12" t="s">
        <v>111</v>
      </c>
      <c r="I338" s="29"/>
      <c r="J338" s="14"/>
      <c r="K338" s="12" t="s">
        <v>113</v>
      </c>
      <c r="L338" s="28" t="s">
        <v>52</v>
      </c>
      <c r="M338" s="12"/>
      <c r="N338" s="24">
        <v>5687.55</v>
      </c>
      <c r="O338" s="73">
        <f t="shared" si="20"/>
        <v>0</v>
      </c>
      <c r="P338" s="15"/>
      <c r="Q338" s="84" t="s">
        <v>39</v>
      </c>
      <c r="R338" s="12"/>
      <c r="S338" s="456" t="s">
        <v>392</v>
      </c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207" t="s">
        <v>39</v>
      </c>
      <c r="AF338" s="1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15"/>
    </row>
    <row r="339" ht="15.75" customHeight="1">
      <c r="A339" s="9">
        <v>1.000730032E9</v>
      </c>
      <c r="B339" s="10"/>
      <c r="C339" s="455">
        <v>45348.0</v>
      </c>
      <c r="D339" s="12">
        <v>26.0</v>
      </c>
      <c r="E339" s="13">
        <v>33139.0</v>
      </c>
      <c r="F339" s="12"/>
      <c r="G339" s="29" t="s">
        <v>32</v>
      </c>
      <c r="H339" s="12" t="s">
        <v>124</v>
      </c>
      <c r="I339" s="29"/>
      <c r="J339" s="12"/>
      <c r="K339" s="12" t="s">
        <v>126</v>
      </c>
      <c r="L339" s="28" t="s">
        <v>52</v>
      </c>
      <c r="M339" s="12"/>
      <c r="N339" s="24">
        <v>5909.4</v>
      </c>
      <c r="O339" s="73">
        <f t="shared" si="20"/>
        <v>0</v>
      </c>
      <c r="P339" s="15"/>
      <c r="Q339" s="84" t="s">
        <v>39</v>
      </c>
      <c r="R339" s="12"/>
      <c r="S339" s="456" t="s">
        <v>392</v>
      </c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207" t="s">
        <v>39</v>
      </c>
      <c r="AF339" s="1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15"/>
    </row>
    <row r="340" ht="15.75" customHeight="1">
      <c r="A340" s="9">
        <v>1.000730034E9</v>
      </c>
      <c r="B340" s="10"/>
      <c r="C340" s="455">
        <v>45348.0</v>
      </c>
      <c r="D340" s="12">
        <v>26.0</v>
      </c>
      <c r="E340" s="13">
        <v>33139.0</v>
      </c>
      <c r="F340" s="12"/>
      <c r="G340" s="29" t="s">
        <v>32</v>
      </c>
      <c r="H340" s="12" t="s">
        <v>124</v>
      </c>
      <c r="I340" s="12"/>
      <c r="J340" s="55"/>
      <c r="K340" s="12" t="s">
        <v>126</v>
      </c>
      <c r="L340" s="15" t="s">
        <v>52</v>
      </c>
      <c r="M340" s="12"/>
      <c r="N340" s="24">
        <v>5909.4</v>
      </c>
      <c r="O340" s="73">
        <f t="shared" si="20"/>
        <v>0</v>
      </c>
      <c r="P340" s="15"/>
      <c r="Q340" s="84" t="s">
        <v>39</v>
      </c>
      <c r="R340" s="12"/>
      <c r="S340" s="456" t="s">
        <v>392</v>
      </c>
      <c r="T340" s="12"/>
      <c r="U340" s="12"/>
      <c r="V340" s="12"/>
      <c r="W340" s="12"/>
      <c r="X340" s="12"/>
      <c r="Y340" s="12"/>
      <c r="Z340" s="12"/>
      <c r="AA340" s="12"/>
      <c r="AB340" s="459"/>
      <c r="AC340" s="12"/>
      <c r="AD340" s="12"/>
      <c r="AE340" s="207" t="s">
        <v>39</v>
      </c>
      <c r="AF340" s="1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15"/>
    </row>
    <row r="341" ht="15.75" customHeight="1">
      <c r="A341" s="9">
        <v>1.000744019E9</v>
      </c>
      <c r="B341" s="51"/>
      <c r="C341" s="455">
        <v>45353.0</v>
      </c>
      <c r="D341" s="12">
        <v>26.0</v>
      </c>
      <c r="E341" s="13">
        <v>32789.0</v>
      </c>
      <c r="F341" s="12"/>
      <c r="G341" s="29" t="s">
        <v>32</v>
      </c>
      <c r="H341" s="12" t="s">
        <v>3022</v>
      </c>
      <c r="I341" s="29"/>
      <c r="J341" s="12"/>
      <c r="K341" s="12" t="s">
        <v>63</v>
      </c>
      <c r="L341" s="28" t="s">
        <v>52</v>
      </c>
      <c r="M341" s="14"/>
      <c r="N341" s="24">
        <v>3123.11</v>
      </c>
      <c r="O341" s="73">
        <f t="shared" si="20"/>
        <v>0</v>
      </c>
      <c r="P341" s="15"/>
      <c r="Q341" s="84" t="s">
        <v>39</v>
      </c>
      <c r="R341" s="12"/>
      <c r="S341" s="12" t="s">
        <v>392</v>
      </c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207" t="s">
        <v>39</v>
      </c>
      <c r="AF341" s="1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15"/>
    </row>
    <row r="342" ht="15.75" customHeight="1">
      <c r="A342" s="9">
        <v>1.000763321E9</v>
      </c>
      <c r="B342" s="51"/>
      <c r="C342" s="455">
        <v>45359.0</v>
      </c>
      <c r="D342" s="12">
        <v>26.0</v>
      </c>
      <c r="E342" s="13">
        <v>30732.0</v>
      </c>
      <c r="F342" s="12" t="s">
        <v>31</v>
      </c>
      <c r="G342" s="29" t="s">
        <v>32</v>
      </c>
      <c r="H342" s="12" t="s">
        <v>61</v>
      </c>
      <c r="I342" s="29" t="s">
        <v>62</v>
      </c>
      <c r="J342" s="25" t="s">
        <v>35</v>
      </c>
      <c r="K342" s="25" t="s">
        <v>63</v>
      </c>
      <c r="L342" s="28" t="s">
        <v>59</v>
      </c>
      <c r="M342" s="14"/>
      <c r="N342" s="24">
        <v>3123.11</v>
      </c>
      <c r="O342" s="73">
        <f t="shared" si="20"/>
        <v>0</v>
      </c>
      <c r="P342" s="15"/>
      <c r="Q342" s="84" t="s">
        <v>39</v>
      </c>
      <c r="R342" s="12"/>
      <c r="S342" s="12" t="s">
        <v>392</v>
      </c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207" t="s">
        <v>39</v>
      </c>
      <c r="AF342" s="1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15"/>
    </row>
    <row r="343" ht="15.75" customHeight="1">
      <c r="A343" s="9">
        <v>1.000774401E9</v>
      </c>
      <c r="B343" s="10"/>
      <c r="C343" s="455">
        <v>45366.0</v>
      </c>
      <c r="D343" s="12">
        <v>28.0</v>
      </c>
      <c r="E343" s="13">
        <v>34058.0</v>
      </c>
      <c r="F343" s="12" t="s">
        <v>31</v>
      </c>
      <c r="G343" s="12" t="s">
        <v>32</v>
      </c>
      <c r="H343" s="12" t="s">
        <v>124</v>
      </c>
      <c r="I343" s="29" t="s">
        <v>125</v>
      </c>
      <c r="J343" s="12" t="s">
        <v>35</v>
      </c>
      <c r="K343" s="12" t="s">
        <v>126</v>
      </c>
      <c r="L343" s="12" t="s">
        <v>114</v>
      </c>
      <c r="M343" s="14"/>
      <c r="N343" s="24">
        <v>5955.31</v>
      </c>
      <c r="O343" s="73">
        <f t="shared" si="20"/>
        <v>0</v>
      </c>
      <c r="P343" s="15"/>
      <c r="Q343" s="84" t="s">
        <v>39</v>
      </c>
      <c r="R343" s="12"/>
      <c r="S343" s="12" t="s">
        <v>392</v>
      </c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207" t="s">
        <v>39</v>
      </c>
      <c r="AF343" s="1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15"/>
    </row>
    <row r="344" ht="15.75" customHeight="1">
      <c r="A344" s="9">
        <v>1.000774554E9</v>
      </c>
      <c r="B344" s="10"/>
      <c r="C344" s="455">
        <v>45365.0</v>
      </c>
      <c r="D344" s="12">
        <v>28.0</v>
      </c>
      <c r="E344" s="13">
        <v>34058.0</v>
      </c>
      <c r="F344" s="12" t="s">
        <v>31</v>
      </c>
      <c r="G344" s="12" t="s">
        <v>32</v>
      </c>
      <c r="H344" s="12" t="s">
        <v>124</v>
      </c>
      <c r="I344" s="29" t="s">
        <v>125</v>
      </c>
      <c r="J344" s="12" t="s">
        <v>35</v>
      </c>
      <c r="K344" s="12" t="s">
        <v>126</v>
      </c>
      <c r="L344" s="12" t="s">
        <v>114</v>
      </c>
      <c r="M344" s="14"/>
      <c r="N344" s="24">
        <v>5955.31</v>
      </c>
      <c r="O344" s="73">
        <f t="shared" si="20"/>
        <v>0</v>
      </c>
      <c r="P344" s="15"/>
      <c r="Q344" s="84" t="s">
        <v>39</v>
      </c>
      <c r="R344" s="12"/>
      <c r="S344" s="12" t="s">
        <v>392</v>
      </c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207" t="s">
        <v>39</v>
      </c>
      <c r="AF344" s="1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15"/>
    </row>
    <row r="345" ht="15.75" customHeight="1">
      <c r="A345" s="9">
        <v>1.000774593E9</v>
      </c>
      <c r="B345" s="10"/>
      <c r="C345" s="455">
        <v>45365.0</v>
      </c>
      <c r="D345" s="12">
        <v>28.0</v>
      </c>
      <c r="E345" s="13">
        <v>34058.0</v>
      </c>
      <c r="F345" s="12" t="s">
        <v>31</v>
      </c>
      <c r="G345" s="29" t="s">
        <v>32</v>
      </c>
      <c r="H345" s="12" t="s">
        <v>111</v>
      </c>
      <c r="I345" s="29" t="s">
        <v>112</v>
      </c>
      <c r="J345" s="12" t="s">
        <v>35</v>
      </c>
      <c r="K345" s="12" t="s">
        <v>113</v>
      </c>
      <c r="L345" s="25" t="s">
        <v>114</v>
      </c>
      <c r="M345" s="14"/>
      <c r="N345" s="24">
        <v>4900.0</v>
      </c>
      <c r="O345" s="73">
        <f t="shared" si="20"/>
        <v>0</v>
      </c>
      <c r="P345" s="15"/>
      <c r="Q345" s="84" t="s">
        <v>39</v>
      </c>
      <c r="R345" s="12"/>
      <c r="S345" s="12" t="s">
        <v>392</v>
      </c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207" t="s">
        <v>39</v>
      </c>
      <c r="AF345" s="1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15"/>
    </row>
    <row r="346" ht="15.75" customHeight="1">
      <c r="A346" s="9">
        <v>1.000774632E9</v>
      </c>
      <c r="B346" s="10"/>
      <c r="C346" s="455">
        <v>45364.0</v>
      </c>
      <c r="D346" s="12">
        <v>26.0</v>
      </c>
      <c r="E346" s="13">
        <v>32553.0</v>
      </c>
      <c r="F346" s="12" t="s">
        <v>31</v>
      </c>
      <c r="G346" s="12" t="s">
        <v>32</v>
      </c>
      <c r="H346" s="29" t="s">
        <v>61</v>
      </c>
      <c r="I346" s="25" t="s">
        <v>62</v>
      </c>
      <c r="J346" s="12" t="s">
        <v>35</v>
      </c>
      <c r="K346" s="29" t="s">
        <v>63</v>
      </c>
      <c r="L346" s="28" t="s">
        <v>59</v>
      </c>
      <c r="M346" s="14"/>
      <c r="N346" s="24">
        <v>3123.11</v>
      </c>
      <c r="O346" s="73">
        <f t="shared" si="20"/>
        <v>0</v>
      </c>
      <c r="P346" s="15"/>
      <c r="Q346" s="84" t="s">
        <v>39</v>
      </c>
      <c r="R346" s="12"/>
      <c r="S346" s="12" t="s">
        <v>392</v>
      </c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207" t="s">
        <v>39</v>
      </c>
      <c r="AF346" s="1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15"/>
    </row>
    <row r="347" ht="15.75" customHeight="1">
      <c r="A347" s="9">
        <v>1.000774675E9</v>
      </c>
      <c r="B347" s="10"/>
      <c r="C347" s="455">
        <v>45364.0</v>
      </c>
      <c r="D347" s="12">
        <v>26.0</v>
      </c>
      <c r="E347" s="13">
        <v>32553.0</v>
      </c>
      <c r="F347" s="29" t="s">
        <v>31</v>
      </c>
      <c r="G347" s="29" t="s">
        <v>32</v>
      </c>
      <c r="H347" s="29" t="s">
        <v>61</v>
      </c>
      <c r="I347" s="25" t="s">
        <v>62</v>
      </c>
      <c r="J347" s="25" t="s">
        <v>35</v>
      </c>
      <c r="K347" s="29" t="s">
        <v>63</v>
      </c>
      <c r="L347" s="28" t="s">
        <v>59</v>
      </c>
      <c r="M347" s="14"/>
      <c r="N347" s="24">
        <v>3123.11</v>
      </c>
      <c r="O347" s="73">
        <f t="shared" si="20"/>
        <v>0</v>
      </c>
      <c r="P347" s="15"/>
      <c r="Q347" s="84" t="s">
        <v>39</v>
      </c>
      <c r="R347" s="12"/>
      <c r="S347" s="12" t="s">
        <v>392</v>
      </c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207" t="s">
        <v>39</v>
      </c>
      <c r="AF347" s="1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15"/>
    </row>
    <row r="348" ht="15.75" customHeight="1">
      <c r="A348" s="9">
        <v>1.000774771E9</v>
      </c>
      <c r="B348" s="10"/>
      <c r="C348" s="455">
        <v>45364.0</v>
      </c>
      <c r="D348" s="12">
        <v>25.0</v>
      </c>
      <c r="E348" s="13">
        <v>30780.0</v>
      </c>
      <c r="F348" s="12" t="s">
        <v>31</v>
      </c>
      <c r="G348" s="29" t="s">
        <v>32</v>
      </c>
      <c r="H348" s="12" t="s">
        <v>61</v>
      </c>
      <c r="I348" s="25" t="s">
        <v>62</v>
      </c>
      <c r="J348" s="25" t="s">
        <v>35</v>
      </c>
      <c r="K348" s="12" t="s">
        <v>63</v>
      </c>
      <c r="L348" s="28" t="s">
        <v>59</v>
      </c>
      <c r="M348" s="14"/>
      <c r="N348" s="24">
        <v>3237.97</v>
      </c>
      <c r="O348" s="73">
        <f t="shared" si="20"/>
        <v>0</v>
      </c>
      <c r="P348" s="15"/>
      <c r="Q348" s="84" t="s">
        <v>39</v>
      </c>
      <c r="R348" s="12"/>
      <c r="S348" s="12" t="s">
        <v>392</v>
      </c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207" t="s">
        <v>39</v>
      </c>
      <c r="AF348" s="1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15"/>
    </row>
    <row r="349" ht="16.5" customHeight="1">
      <c r="A349" s="9">
        <v>1.000778596E9</v>
      </c>
      <c r="B349" s="10"/>
      <c r="C349" s="455">
        <v>45369.0</v>
      </c>
      <c r="D349" s="12">
        <v>25.0</v>
      </c>
      <c r="E349" s="13">
        <v>30409.0</v>
      </c>
      <c r="F349" s="12" t="s">
        <v>31</v>
      </c>
      <c r="G349" s="29" t="s">
        <v>74</v>
      </c>
      <c r="H349" s="12" t="s">
        <v>190</v>
      </c>
      <c r="I349" s="29" t="s">
        <v>191</v>
      </c>
      <c r="J349" s="12" t="s">
        <v>35</v>
      </c>
      <c r="K349" s="12" t="s">
        <v>138</v>
      </c>
      <c r="L349" s="25" t="s">
        <v>94</v>
      </c>
      <c r="M349" s="14"/>
      <c r="N349" s="24">
        <v>5500.0</v>
      </c>
      <c r="O349" s="73">
        <f t="shared" si="20"/>
        <v>0.5454545455</v>
      </c>
      <c r="P349" s="15">
        <v>3000.0</v>
      </c>
      <c r="Q349" s="84" t="s">
        <v>39</v>
      </c>
      <c r="R349" s="12"/>
      <c r="S349" s="12" t="s">
        <v>392</v>
      </c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207" t="s">
        <v>39</v>
      </c>
      <c r="AF349" s="1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15"/>
    </row>
    <row r="350" ht="15.75" customHeight="1">
      <c r="A350" s="9">
        <v>1.000778636E9</v>
      </c>
      <c r="B350" s="10"/>
      <c r="C350" s="455">
        <v>45367.0</v>
      </c>
      <c r="D350" s="12">
        <v>21.0</v>
      </c>
      <c r="E350" s="13">
        <v>25461.0</v>
      </c>
      <c r="F350" s="12" t="s">
        <v>31</v>
      </c>
      <c r="G350" s="29" t="s">
        <v>74</v>
      </c>
      <c r="H350" s="12" t="s">
        <v>190</v>
      </c>
      <c r="I350" s="25" t="s">
        <v>191</v>
      </c>
      <c r="J350" s="25" t="s">
        <v>35</v>
      </c>
      <c r="K350" s="12" t="s">
        <v>138</v>
      </c>
      <c r="L350" s="25" t="s">
        <v>94</v>
      </c>
      <c r="M350" s="14"/>
      <c r="N350" s="24">
        <v>5500.0</v>
      </c>
      <c r="O350" s="73">
        <f t="shared" si="20"/>
        <v>0</v>
      </c>
      <c r="P350" s="15"/>
      <c r="Q350" s="84" t="s">
        <v>39</v>
      </c>
      <c r="R350" s="12"/>
      <c r="S350" s="12" t="s">
        <v>392</v>
      </c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207" t="s">
        <v>39</v>
      </c>
      <c r="AF350" s="1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15"/>
    </row>
    <row r="351" ht="15.75" customHeight="1">
      <c r="A351" s="9">
        <v>1.00077991E9</v>
      </c>
      <c r="B351" s="10"/>
      <c r="C351" s="455">
        <v>45367.0</v>
      </c>
      <c r="D351" s="12">
        <v>18.0</v>
      </c>
      <c r="E351" s="13">
        <v>23144.0</v>
      </c>
      <c r="F351" s="12" t="s">
        <v>31</v>
      </c>
      <c r="G351" s="29" t="s">
        <v>74</v>
      </c>
      <c r="H351" s="12" t="s">
        <v>1835</v>
      </c>
      <c r="I351" s="25" t="s">
        <v>1836</v>
      </c>
      <c r="J351" s="25" t="s">
        <v>35</v>
      </c>
      <c r="K351" s="12" t="s">
        <v>243</v>
      </c>
      <c r="L351" s="25" t="s">
        <v>188</v>
      </c>
      <c r="M351" s="14"/>
      <c r="N351" s="24">
        <v>4449.61</v>
      </c>
      <c r="O351" s="73">
        <f t="shared" si="20"/>
        <v>0</v>
      </c>
      <c r="P351" s="15"/>
      <c r="Q351" s="84" t="s">
        <v>39</v>
      </c>
      <c r="R351" s="12"/>
      <c r="S351" s="12" t="s">
        <v>392</v>
      </c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207" t="s">
        <v>39</v>
      </c>
      <c r="AF351" s="1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15"/>
    </row>
    <row r="352" ht="15.75" customHeight="1">
      <c r="A352" s="9">
        <v>1.000779916E9</v>
      </c>
      <c r="B352" s="10"/>
      <c r="C352" s="455">
        <v>45367.0</v>
      </c>
      <c r="D352" s="12">
        <v>18.0</v>
      </c>
      <c r="E352" s="13">
        <v>23144.0</v>
      </c>
      <c r="F352" s="12" t="s">
        <v>31</v>
      </c>
      <c r="G352" s="29" t="s">
        <v>74</v>
      </c>
      <c r="H352" s="12" t="s">
        <v>1835</v>
      </c>
      <c r="I352" s="25" t="s">
        <v>1836</v>
      </c>
      <c r="J352" s="25" t="s">
        <v>35</v>
      </c>
      <c r="K352" s="12" t="s">
        <v>243</v>
      </c>
      <c r="L352" s="25" t="s">
        <v>188</v>
      </c>
      <c r="M352" s="14"/>
      <c r="N352" s="24">
        <v>3800.0</v>
      </c>
      <c r="O352" s="73">
        <f t="shared" si="20"/>
        <v>0</v>
      </c>
      <c r="P352" s="15"/>
      <c r="Q352" s="84" t="s">
        <v>39</v>
      </c>
      <c r="R352" s="12"/>
      <c r="S352" s="12" t="s">
        <v>392</v>
      </c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207" t="s">
        <v>39</v>
      </c>
      <c r="AF352" s="1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15"/>
    </row>
    <row r="353" ht="15.75" customHeight="1">
      <c r="A353" s="9">
        <v>1.000781986E9</v>
      </c>
      <c r="B353" s="10"/>
      <c r="C353" s="455">
        <v>45367.0</v>
      </c>
      <c r="D353" s="12">
        <v>20.0</v>
      </c>
      <c r="E353" s="13">
        <v>25113.0</v>
      </c>
      <c r="F353" s="12" t="s">
        <v>31</v>
      </c>
      <c r="G353" s="12" t="s">
        <v>74</v>
      </c>
      <c r="H353" s="12" t="s">
        <v>2977</v>
      </c>
      <c r="I353" s="12" t="s">
        <v>2978</v>
      </c>
      <c r="J353" s="12" t="s">
        <v>35</v>
      </c>
      <c r="K353" s="12" t="s">
        <v>243</v>
      </c>
      <c r="L353" s="12" t="s">
        <v>188</v>
      </c>
      <c r="M353" s="14"/>
      <c r="N353" s="24">
        <v>4449.61</v>
      </c>
      <c r="O353" s="73">
        <f t="shared" si="20"/>
        <v>0</v>
      </c>
      <c r="P353" s="15"/>
      <c r="Q353" s="84" t="s">
        <v>39</v>
      </c>
      <c r="R353" s="12"/>
      <c r="S353" s="12" t="s">
        <v>392</v>
      </c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207" t="s">
        <v>39</v>
      </c>
      <c r="AF353" s="1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15"/>
    </row>
    <row r="354" ht="15.75" customHeight="1">
      <c r="A354" s="9">
        <v>1.000783468E9</v>
      </c>
      <c r="B354" s="10"/>
      <c r="C354" s="455">
        <v>45367.0</v>
      </c>
      <c r="D354" s="12">
        <v>26.0</v>
      </c>
      <c r="E354" s="13">
        <v>31625.0</v>
      </c>
      <c r="F354" s="12" t="s">
        <v>31</v>
      </c>
      <c r="G354" s="29" t="s">
        <v>74</v>
      </c>
      <c r="H354" s="29" t="s">
        <v>91</v>
      </c>
      <c r="I354" s="29" t="s">
        <v>92</v>
      </c>
      <c r="J354" s="55" t="s">
        <v>35</v>
      </c>
      <c r="K354" s="55" t="s">
        <v>93</v>
      </c>
      <c r="L354" s="25" t="s">
        <v>114</v>
      </c>
      <c r="M354" s="14"/>
      <c r="N354" s="24">
        <v>6500.0</v>
      </c>
      <c r="O354" s="73">
        <f t="shared" si="20"/>
        <v>0</v>
      </c>
      <c r="P354" s="15"/>
      <c r="Q354" s="84" t="s">
        <v>39</v>
      </c>
      <c r="R354" s="12"/>
      <c r="S354" s="12" t="s">
        <v>392</v>
      </c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207" t="s">
        <v>39</v>
      </c>
      <c r="AF354" s="1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15"/>
    </row>
    <row r="355" ht="15.75" customHeight="1">
      <c r="A355" s="9">
        <v>1.000785276E9</v>
      </c>
      <c r="B355" s="10"/>
      <c r="C355" s="455">
        <v>45371.0</v>
      </c>
      <c r="D355" s="12">
        <v>28.0</v>
      </c>
      <c r="E355" s="13">
        <v>34080.0</v>
      </c>
      <c r="F355" s="12" t="s">
        <v>31</v>
      </c>
      <c r="G355" s="12" t="s">
        <v>32</v>
      </c>
      <c r="H355" s="12" t="s">
        <v>124</v>
      </c>
      <c r="I355" s="12" t="s">
        <v>125</v>
      </c>
      <c r="J355" s="12" t="s">
        <v>35</v>
      </c>
      <c r="K355" s="12" t="s">
        <v>126</v>
      </c>
      <c r="L355" s="12" t="s">
        <v>114</v>
      </c>
      <c r="M355" s="14"/>
      <c r="N355" s="24">
        <v>5955.31</v>
      </c>
      <c r="O355" s="73">
        <f t="shared" si="20"/>
        <v>0</v>
      </c>
      <c r="P355" s="15"/>
      <c r="Q355" s="84" t="s">
        <v>39</v>
      </c>
      <c r="R355" s="12"/>
      <c r="S355" s="12" t="s">
        <v>392</v>
      </c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207" t="s">
        <v>39</v>
      </c>
      <c r="AF355" s="1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15"/>
    </row>
    <row r="356" ht="15.75" customHeight="1">
      <c r="A356" s="9">
        <v>1.000785344E9</v>
      </c>
      <c r="B356" s="10"/>
      <c r="C356" s="455">
        <v>45371.0</v>
      </c>
      <c r="D356" s="12">
        <v>28.0</v>
      </c>
      <c r="E356" s="13">
        <v>34080.0</v>
      </c>
      <c r="F356" s="12" t="s">
        <v>31</v>
      </c>
      <c r="G356" s="29" t="s">
        <v>32</v>
      </c>
      <c r="H356" s="29" t="s">
        <v>124</v>
      </c>
      <c r="I356" s="29" t="s">
        <v>125</v>
      </c>
      <c r="J356" s="25" t="s">
        <v>35</v>
      </c>
      <c r="K356" s="25" t="s">
        <v>126</v>
      </c>
      <c r="L356" s="25" t="s">
        <v>114</v>
      </c>
      <c r="M356" s="14"/>
      <c r="N356" s="24">
        <v>5955.31</v>
      </c>
      <c r="O356" s="73">
        <f t="shared" si="20"/>
        <v>0</v>
      </c>
      <c r="P356" s="15"/>
      <c r="Q356" s="84" t="s">
        <v>39</v>
      </c>
      <c r="R356" s="12"/>
      <c r="S356" s="12" t="s">
        <v>392</v>
      </c>
      <c r="T356" s="12"/>
      <c r="U356" s="12"/>
      <c r="V356" s="12"/>
      <c r="W356" s="12"/>
      <c r="X356" s="12"/>
      <c r="Y356" s="57"/>
      <c r="Z356" s="57"/>
      <c r="AA356" s="12"/>
      <c r="AB356" s="12"/>
      <c r="AC356" s="12"/>
      <c r="AD356" s="12"/>
      <c r="AE356" s="207" t="s">
        <v>39</v>
      </c>
      <c r="AF356" s="1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15"/>
    </row>
    <row r="357" ht="15.75" customHeight="1">
      <c r="A357" s="9">
        <v>1.000785621E9</v>
      </c>
      <c r="B357" s="10"/>
      <c r="C357" s="455">
        <v>45367.0</v>
      </c>
      <c r="D357" s="12">
        <v>26.0</v>
      </c>
      <c r="E357" s="13">
        <v>32156.0</v>
      </c>
      <c r="F357" s="12" t="s">
        <v>31</v>
      </c>
      <c r="G357" s="29" t="s">
        <v>44</v>
      </c>
      <c r="H357" s="12" t="s">
        <v>136</v>
      </c>
      <c r="I357" s="39" t="s">
        <v>137</v>
      </c>
      <c r="J357" s="25" t="s">
        <v>35</v>
      </c>
      <c r="K357" s="15" t="s">
        <v>138</v>
      </c>
      <c r="L357" s="12" t="s">
        <v>94</v>
      </c>
      <c r="M357" s="14"/>
      <c r="N357" s="24">
        <v>5220.0</v>
      </c>
      <c r="O357" s="73">
        <f t="shared" si="20"/>
        <v>0</v>
      </c>
      <c r="P357" s="15"/>
      <c r="Q357" s="84" t="s">
        <v>39</v>
      </c>
      <c r="R357" s="12"/>
      <c r="S357" s="12" t="s">
        <v>392</v>
      </c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207" t="s">
        <v>39</v>
      </c>
      <c r="AF357" s="1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15"/>
    </row>
    <row r="358" ht="15.75" customHeight="1">
      <c r="A358" s="9">
        <v>1.000787418E9</v>
      </c>
      <c r="B358" s="10"/>
      <c r="C358" s="455">
        <v>45372.0</v>
      </c>
      <c r="D358" s="12">
        <v>28.0</v>
      </c>
      <c r="E358" s="13">
        <v>34058.0</v>
      </c>
      <c r="F358" s="12" t="s">
        <v>31</v>
      </c>
      <c r="G358" s="29" t="s">
        <v>32</v>
      </c>
      <c r="H358" s="12" t="s">
        <v>124</v>
      </c>
      <c r="I358" s="12" t="s">
        <v>125</v>
      </c>
      <c r="J358" s="12" t="s">
        <v>35</v>
      </c>
      <c r="K358" s="12" t="s">
        <v>126</v>
      </c>
      <c r="L358" s="25" t="s">
        <v>114</v>
      </c>
      <c r="M358" s="14"/>
      <c r="N358" s="24">
        <v>5955.31</v>
      </c>
      <c r="O358" s="73">
        <f t="shared" si="20"/>
        <v>0</v>
      </c>
      <c r="P358" s="15"/>
      <c r="Q358" s="84" t="s">
        <v>39</v>
      </c>
      <c r="R358" s="12"/>
      <c r="S358" s="12" t="s">
        <v>392</v>
      </c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207" t="s">
        <v>39</v>
      </c>
      <c r="AF358" s="1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15"/>
    </row>
    <row r="359" ht="15.75" customHeight="1">
      <c r="A359" s="9">
        <v>1.000789444E9</v>
      </c>
      <c r="B359" s="10"/>
      <c r="C359" s="455">
        <v>45372.0</v>
      </c>
      <c r="D359" s="12">
        <v>28.0</v>
      </c>
      <c r="E359" s="13">
        <v>34058.0</v>
      </c>
      <c r="F359" s="12" t="s">
        <v>31</v>
      </c>
      <c r="G359" s="29" t="s">
        <v>32</v>
      </c>
      <c r="H359" s="12" t="s">
        <v>111</v>
      </c>
      <c r="I359" s="12" t="s">
        <v>112</v>
      </c>
      <c r="J359" s="12" t="s">
        <v>35</v>
      </c>
      <c r="K359" s="12" t="s">
        <v>113</v>
      </c>
      <c r="L359" s="25" t="s">
        <v>114</v>
      </c>
      <c r="M359" s="14"/>
      <c r="N359" s="24">
        <v>4863.0</v>
      </c>
      <c r="O359" s="73">
        <f t="shared" si="20"/>
        <v>0</v>
      </c>
      <c r="P359" s="15"/>
      <c r="Q359" s="84" t="s">
        <v>39</v>
      </c>
      <c r="R359" s="12"/>
      <c r="S359" s="12" t="s">
        <v>392</v>
      </c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207" t="s">
        <v>39</v>
      </c>
      <c r="AF359" s="1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15"/>
    </row>
    <row r="360" ht="15.75" customHeight="1">
      <c r="A360" s="9">
        <v>1.000789462E9</v>
      </c>
      <c r="B360" s="10"/>
      <c r="C360" s="455">
        <v>45372.0</v>
      </c>
      <c r="D360" s="12">
        <v>26.0</v>
      </c>
      <c r="E360" s="13">
        <v>33139.0</v>
      </c>
      <c r="F360" s="12" t="s">
        <v>31</v>
      </c>
      <c r="G360" s="29" t="s">
        <v>32</v>
      </c>
      <c r="H360" s="12" t="s">
        <v>111</v>
      </c>
      <c r="I360" s="25" t="s">
        <v>112</v>
      </c>
      <c r="J360" s="25" t="s">
        <v>35</v>
      </c>
      <c r="K360" s="12" t="s">
        <v>113</v>
      </c>
      <c r="L360" s="25" t="s">
        <v>114</v>
      </c>
      <c r="M360" s="14"/>
      <c r="N360" s="24">
        <v>5687.55</v>
      </c>
      <c r="O360" s="73">
        <f t="shared" si="20"/>
        <v>0</v>
      </c>
      <c r="P360" s="15"/>
      <c r="Q360" s="84" t="s">
        <v>39</v>
      </c>
      <c r="R360" s="12"/>
      <c r="S360" s="12" t="s">
        <v>392</v>
      </c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207" t="s">
        <v>39</v>
      </c>
      <c r="AF360" s="1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15"/>
    </row>
    <row r="361" ht="15.75" customHeight="1">
      <c r="A361" s="9">
        <v>1.000793141E9</v>
      </c>
      <c r="B361" s="51"/>
      <c r="C361" s="455">
        <v>45374.0</v>
      </c>
      <c r="D361" s="12">
        <v>28.0</v>
      </c>
      <c r="E361" s="13">
        <v>34058.0</v>
      </c>
      <c r="F361" s="12" t="s">
        <v>31</v>
      </c>
      <c r="G361" s="29" t="s">
        <v>32</v>
      </c>
      <c r="H361" s="12" t="s">
        <v>124</v>
      </c>
      <c r="I361" s="25" t="s">
        <v>125</v>
      </c>
      <c r="J361" s="25" t="s">
        <v>35</v>
      </c>
      <c r="K361" s="12" t="s">
        <v>126</v>
      </c>
      <c r="L361" s="25" t="s">
        <v>114</v>
      </c>
      <c r="M361" s="14"/>
      <c r="N361" s="24">
        <v>5909.4</v>
      </c>
      <c r="O361" s="73">
        <f t="shared" si="20"/>
        <v>0</v>
      </c>
      <c r="P361" s="15"/>
      <c r="Q361" s="84" t="s">
        <v>39</v>
      </c>
      <c r="R361" s="12"/>
      <c r="S361" s="12" t="s">
        <v>392</v>
      </c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207" t="s">
        <v>39</v>
      </c>
      <c r="AF361" s="1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15"/>
    </row>
    <row r="362" ht="15.75" customHeight="1">
      <c r="A362" s="9">
        <v>1.000793166E9</v>
      </c>
      <c r="B362" s="51"/>
      <c r="C362" s="455">
        <v>45374.0</v>
      </c>
      <c r="D362" s="12">
        <v>28.0</v>
      </c>
      <c r="E362" s="13">
        <v>34058.0</v>
      </c>
      <c r="F362" s="12" t="s">
        <v>31</v>
      </c>
      <c r="G362" s="29" t="s">
        <v>32</v>
      </c>
      <c r="H362" s="12" t="s">
        <v>124</v>
      </c>
      <c r="I362" s="25" t="s">
        <v>125</v>
      </c>
      <c r="J362" s="25" t="s">
        <v>35</v>
      </c>
      <c r="K362" s="12" t="s">
        <v>126</v>
      </c>
      <c r="L362" s="25" t="s">
        <v>114</v>
      </c>
      <c r="M362" s="14"/>
      <c r="N362" s="24">
        <v>5909.4</v>
      </c>
      <c r="O362" s="73">
        <f t="shared" si="20"/>
        <v>0</v>
      </c>
      <c r="P362" s="15"/>
      <c r="Q362" s="84" t="s">
        <v>39</v>
      </c>
      <c r="R362" s="12"/>
      <c r="S362" s="12" t="s">
        <v>392</v>
      </c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207" t="s">
        <v>39</v>
      </c>
      <c r="AF362" s="1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15"/>
    </row>
    <row r="363" ht="15.75" customHeight="1">
      <c r="A363" s="9">
        <v>1.000793512E9</v>
      </c>
      <c r="B363" s="51"/>
      <c r="C363" s="455">
        <v>45374.0</v>
      </c>
      <c r="D363" s="12">
        <v>28.0</v>
      </c>
      <c r="E363" s="13">
        <v>34058.0</v>
      </c>
      <c r="F363" s="12" t="s">
        <v>31</v>
      </c>
      <c r="G363" s="29" t="s">
        <v>32</v>
      </c>
      <c r="H363" s="12" t="s">
        <v>111</v>
      </c>
      <c r="I363" s="29" t="s">
        <v>112</v>
      </c>
      <c r="J363" s="25" t="s">
        <v>35</v>
      </c>
      <c r="K363" s="25" t="s">
        <v>113</v>
      </c>
      <c r="L363" s="25" t="s">
        <v>114</v>
      </c>
      <c r="M363" s="14"/>
      <c r="N363" s="24">
        <v>4900.0</v>
      </c>
      <c r="O363" s="73">
        <f t="shared" si="20"/>
        <v>0</v>
      </c>
      <c r="P363" s="15"/>
      <c r="Q363" s="84" t="s">
        <v>39</v>
      </c>
      <c r="R363" s="12"/>
      <c r="S363" s="12" t="s">
        <v>392</v>
      </c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207" t="s">
        <v>39</v>
      </c>
      <c r="AF363" s="1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15"/>
    </row>
    <row r="364" ht="15.75" customHeight="1">
      <c r="A364" s="9">
        <v>1.0007949E9</v>
      </c>
      <c r="B364" s="10"/>
      <c r="C364" s="455">
        <v>45376.0</v>
      </c>
      <c r="D364" s="12">
        <v>28.0</v>
      </c>
      <c r="E364" s="13">
        <v>34058.0</v>
      </c>
      <c r="F364" s="12" t="s">
        <v>31</v>
      </c>
      <c r="G364" s="29" t="s">
        <v>32</v>
      </c>
      <c r="H364" s="12" t="s">
        <v>111</v>
      </c>
      <c r="I364" s="29" t="s">
        <v>112</v>
      </c>
      <c r="J364" s="25" t="s">
        <v>35</v>
      </c>
      <c r="K364" s="25" t="s">
        <v>113</v>
      </c>
      <c r="L364" s="25" t="s">
        <v>114</v>
      </c>
      <c r="M364" s="49"/>
      <c r="N364" s="24">
        <v>5368.79</v>
      </c>
      <c r="O364" s="73">
        <f t="shared" si="20"/>
        <v>0</v>
      </c>
      <c r="P364" s="15"/>
      <c r="Q364" s="84" t="s">
        <v>39</v>
      </c>
      <c r="R364" s="12"/>
      <c r="S364" s="12" t="s">
        <v>392</v>
      </c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207" t="s">
        <v>39</v>
      </c>
      <c r="AF364" s="1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15"/>
    </row>
    <row r="365" ht="15.75" customHeight="1">
      <c r="A365" s="9">
        <v>1.00079499E9</v>
      </c>
      <c r="B365" s="10"/>
      <c r="C365" s="455">
        <v>45376.0</v>
      </c>
      <c r="D365" s="12">
        <v>28.0</v>
      </c>
      <c r="E365" s="13">
        <v>34058.0</v>
      </c>
      <c r="F365" s="12" t="s">
        <v>31</v>
      </c>
      <c r="G365" s="12" t="s">
        <v>32</v>
      </c>
      <c r="H365" s="12" t="s">
        <v>124</v>
      </c>
      <c r="I365" s="29" t="s">
        <v>125</v>
      </c>
      <c r="J365" s="12" t="s">
        <v>35</v>
      </c>
      <c r="K365" s="12" t="s">
        <v>126</v>
      </c>
      <c r="L365" s="12" t="s">
        <v>114</v>
      </c>
      <c r="M365" s="14"/>
      <c r="N365" s="24">
        <v>5955.31</v>
      </c>
      <c r="O365" s="73">
        <f t="shared" si="20"/>
        <v>0</v>
      </c>
      <c r="P365" s="15"/>
      <c r="Q365" s="84" t="s">
        <v>39</v>
      </c>
      <c r="R365" s="12"/>
      <c r="S365" s="12" t="s">
        <v>392</v>
      </c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207" t="s">
        <v>39</v>
      </c>
      <c r="AF365" s="1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15"/>
    </row>
    <row r="366" ht="15.75" customHeight="1">
      <c r="A366" s="9">
        <v>1.000798834E9</v>
      </c>
      <c r="B366" s="51"/>
      <c r="C366" s="455">
        <v>45377.0</v>
      </c>
      <c r="D366" s="12">
        <v>26.0</v>
      </c>
      <c r="E366" s="13">
        <v>33363.0</v>
      </c>
      <c r="F366" s="12" t="s">
        <v>31</v>
      </c>
      <c r="G366" s="12" t="s">
        <v>32</v>
      </c>
      <c r="H366" s="12" t="s">
        <v>111</v>
      </c>
      <c r="I366" s="29" t="s">
        <v>112</v>
      </c>
      <c r="J366" s="12" t="s">
        <v>35</v>
      </c>
      <c r="K366" s="12" t="s">
        <v>113</v>
      </c>
      <c r="L366" s="12" t="s">
        <v>114</v>
      </c>
      <c r="M366" s="14"/>
      <c r="N366" s="24">
        <v>5687.55</v>
      </c>
      <c r="O366" s="73">
        <f t="shared" si="20"/>
        <v>0</v>
      </c>
      <c r="P366" s="15"/>
      <c r="Q366" s="84" t="s">
        <v>39</v>
      </c>
      <c r="R366" s="12"/>
      <c r="S366" s="12" t="s">
        <v>392</v>
      </c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207" t="s">
        <v>39</v>
      </c>
      <c r="AF366" s="1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15"/>
    </row>
    <row r="367" ht="15.75" customHeight="1">
      <c r="A367" s="9">
        <v>1.000798853E9</v>
      </c>
      <c r="B367" s="51"/>
      <c r="C367" s="455">
        <v>45377.0</v>
      </c>
      <c r="D367" s="12">
        <v>26.0</v>
      </c>
      <c r="E367" s="13">
        <v>33430.0</v>
      </c>
      <c r="F367" s="12" t="s">
        <v>31</v>
      </c>
      <c r="G367" s="12" t="s">
        <v>32</v>
      </c>
      <c r="H367" s="12" t="s">
        <v>111</v>
      </c>
      <c r="I367" s="29" t="s">
        <v>112</v>
      </c>
      <c r="J367" s="12" t="s">
        <v>35</v>
      </c>
      <c r="K367" s="12" t="s">
        <v>113</v>
      </c>
      <c r="L367" s="25" t="s">
        <v>114</v>
      </c>
      <c r="M367" s="49"/>
      <c r="N367" s="40">
        <v>5687.55</v>
      </c>
      <c r="O367" s="73">
        <f t="shared" si="20"/>
        <v>0</v>
      </c>
      <c r="P367" s="15"/>
      <c r="Q367" s="84" t="s">
        <v>39</v>
      </c>
      <c r="R367" s="12"/>
      <c r="S367" s="12" t="s">
        <v>392</v>
      </c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207" t="s">
        <v>39</v>
      </c>
      <c r="AF367" s="1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15"/>
    </row>
    <row r="368" ht="15.75" customHeight="1">
      <c r="A368" s="9">
        <v>1.000804891E9</v>
      </c>
      <c r="B368" s="51"/>
      <c r="C368" s="455">
        <v>45375.0</v>
      </c>
      <c r="D368" s="12">
        <v>26.0</v>
      </c>
      <c r="E368" s="13">
        <v>32647.0</v>
      </c>
      <c r="F368" s="12" t="s">
        <v>31</v>
      </c>
      <c r="G368" s="12" t="s">
        <v>32</v>
      </c>
      <c r="H368" s="12" t="s">
        <v>211</v>
      </c>
      <c r="I368" s="12" t="s">
        <v>212</v>
      </c>
      <c r="J368" s="12" t="s">
        <v>35</v>
      </c>
      <c r="K368" s="12" t="s">
        <v>213</v>
      </c>
      <c r="L368" s="15" t="s">
        <v>188</v>
      </c>
      <c r="M368" s="29"/>
      <c r="N368" s="24">
        <v>7792.16</v>
      </c>
      <c r="O368" s="73">
        <f t="shared" si="20"/>
        <v>0</v>
      </c>
      <c r="P368" s="15"/>
      <c r="Q368" s="84" t="s">
        <v>39</v>
      </c>
      <c r="R368" s="12"/>
      <c r="S368" s="12" t="s">
        <v>392</v>
      </c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207" t="s">
        <v>39</v>
      </c>
      <c r="AF368" s="1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15"/>
    </row>
    <row r="369" ht="15.75" customHeight="1">
      <c r="A369" s="9">
        <v>1.000805011E9</v>
      </c>
      <c r="B369" s="51"/>
      <c r="C369" s="455">
        <v>45375.0</v>
      </c>
      <c r="D369" s="12">
        <v>26.0</v>
      </c>
      <c r="E369" s="13">
        <v>32647.0</v>
      </c>
      <c r="F369" s="29" t="s">
        <v>31</v>
      </c>
      <c r="G369" s="12" t="s">
        <v>32</v>
      </c>
      <c r="H369" s="12" t="s">
        <v>241</v>
      </c>
      <c r="I369" s="12" t="s">
        <v>242</v>
      </c>
      <c r="J369" s="12" t="s">
        <v>35</v>
      </c>
      <c r="K369" s="12" t="s">
        <v>243</v>
      </c>
      <c r="L369" s="15" t="s">
        <v>188</v>
      </c>
      <c r="M369" s="29"/>
      <c r="N369" s="24">
        <v>4640.71</v>
      </c>
      <c r="O369" s="73">
        <f t="shared" si="20"/>
        <v>0</v>
      </c>
      <c r="P369" s="15"/>
      <c r="Q369" s="84" t="s">
        <v>39</v>
      </c>
      <c r="R369" s="12"/>
      <c r="S369" s="12" t="s">
        <v>392</v>
      </c>
      <c r="T369" s="12"/>
      <c r="U369" s="12"/>
      <c r="V369" s="12"/>
      <c r="W369" s="12"/>
      <c r="X369" s="12"/>
      <c r="Y369" s="12"/>
      <c r="Z369" s="12"/>
      <c r="AA369" s="12"/>
      <c r="AB369" s="459"/>
      <c r="AC369" s="12"/>
      <c r="AD369" s="12"/>
      <c r="AE369" s="207" t="s">
        <v>39</v>
      </c>
      <c r="AF369" s="1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15"/>
    </row>
    <row r="370" ht="15.75" customHeight="1">
      <c r="A370" s="9">
        <v>1.000805612E9</v>
      </c>
      <c r="B370" s="51"/>
      <c r="C370" s="455">
        <v>45377.0</v>
      </c>
      <c r="D370" s="12">
        <v>26.0</v>
      </c>
      <c r="E370" s="13">
        <v>31625.0</v>
      </c>
      <c r="F370" s="12" t="s">
        <v>31</v>
      </c>
      <c r="G370" s="12" t="s">
        <v>44</v>
      </c>
      <c r="H370" s="12" t="s">
        <v>104</v>
      </c>
      <c r="I370" s="12" t="s">
        <v>105</v>
      </c>
      <c r="J370" s="12" t="s">
        <v>35</v>
      </c>
      <c r="K370" s="12" t="s">
        <v>106</v>
      </c>
      <c r="L370" s="12" t="s">
        <v>59</v>
      </c>
      <c r="M370" s="49"/>
      <c r="N370" s="24">
        <v>4200.0</v>
      </c>
      <c r="O370" s="73">
        <f t="shared" si="20"/>
        <v>0</v>
      </c>
      <c r="P370" s="15"/>
      <c r="Q370" s="84" t="s">
        <v>39</v>
      </c>
      <c r="R370" s="12"/>
      <c r="S370" s="12" t="s">
        <v>392</v>
      </c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207" t="s">
        <v>39</v>
      </c>
      <c r="AF370" s="1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15"/>
    </row>
    <row r="371" ht="15.75" customHeight="1">
      <c r="A371" s="9">
        <v>1.000813475E9</v>
      </c>
      <c r="B371" s="10"/>
      <c r="C371" s="455">
        <v>45381.0</v>
      </c>
      <c r="D371" s="12">
        <v>26.0</v>
      </c>
      <c r="E371" s="13">
        <v>31489.0</v>
      </c>
      <c r="F371" s="12" t="s">
        <v>31</v>
      </c>
      <c r="G371" s="12" t="s">
        <v>74</v>
      </c>
      <c r="H371" s="12" t="s">
        <v>155</v>
      </c>
      <c r="I371" s="12" t="s">
        <v>233</v>
      </c>
      <c r="J371" s="12" t="s">
        <v>35</v>
      </c>
      <c r="K371" s="12" t="s">
        <v>157</v>
      </c>
      <c r="L371" s="12" t="s">
        <v>78</v>
      </c>
      <c r="M371" s="39"/>
      <c r="N371" s="24">
        <v>8980.0</v>
      </c>
      <c r="O371" s="73">
        <f t="shared" si="20"/>
        <v>0</v>
      </c>
      <c r="P371" s="15"/>
      <c r="Q371" s="84" t="s">
        <v>39</v>
      </c>
      <c r="R371" s="12"/>
      <c r="S371" s="12" t="s">
        <v>392</v>
      </c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207" t="s">
        <v>39</v>
      </c>
      <c r="AF371" s="1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15"/>
    </row>
    <row r="372" ht="15.75" customHeight="1">
      <c r="A372" s="9">
        <v>1.000813529E9</v>
      </c>
      <c r="B372" s="10"/>
      <c r="C372" s="455">
        <v>45381.0</v>
      </c>
      <c r="D372" s="12">
        <v>26.0</v>
      </c>
      <c r="E372" s="13">
        <v>31489.0</v>
      </c>
      <c r="F372" s="12" t="s">
        <v>31</v>
      </c>
      <c r="G372" s="29" t="s">
        <v>74</v>
      </c>
      <c r="H372" s="12" t="s">
        <v>155</v>
      </c>
      <c r="I372" s="12" t="s">
        <v>233</v>
      </c>
      <c r="J372" s="12" t="s">
        <v>35</v>
      </c>
      <c r="K372" s="12" t="s">
        <v>157</v>
      </c>
      <c r="L372" s="12" t="s">
        <v>78</v>
      </c>
      <c r="M372" s="39"/>
      <c r="N372" s="24">
        <v>8980.0</v>
      </c>
      <c r="O372" s="73">
        <f t="shared" si="20"/>
        <v>0</v>
      </c>
      <c r="P372" s="15"/>
      <c r="Q372" s="84" t="s">
        <v>39</v>
      </c>
      <c r="R372" s="12"/>
      <c r="S372" s="12" t="s">
        <v>392</v>
      </c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207" t="s">
        <v>39</v>
      </c>
      <c r="AF372" s="1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15"/>
    </row>
    <row r="373" ht="15.75" customHeight="1">
      <c r="A373" s="9">
        <v>1.000814252E9</v>
      </c>
      <c r="B373" s="10"/>
      <c r="C373" s="455">
        <v>45383.0</v>
      </c>
      <c r="D373" s="12">
        <v>26.0</v>
      </c>
      <c r="E373" s="13">
        <v>32053.0</v>
      </c>
      <c r="F373" s="12" t="s">
        <v>31</v>
      </c>
      <c r="G373" s="29" t="s">
        <v>44</v>
      </c>
      <c r="H373" s="12" t="s">
        <v>61</v>
      </c>
      <c r="I373" s="29" t="s">
        <v>62</v>
      </c>
      <c r="J373" s="25" t="s">
        <v>35</v>
      </c>
      <c r="K373" s="25" t="s">
        <v>63</v>
      </c>
      <c r="L373" s="28" t="s">
        <v>59</v>
      </c>
      <c r="M373" s="14"/>
      <c r="N373" s="24">
        <v>3123.11</v>
      </c>
      <c r="O373" s="73">
        <f t="shared" si="20"/>
        <v>0</v>
      </c>
      <c r="P373" s="15"/>
      <c r="Q373" s="84" t="s">
        <v>39</v>
      </c>
      <c r="R373" s="12"/>
      <c r="S373" s="12" t="s">
        <v>392</v>
      </c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207" t="s">
        <v>39</v>
      </c>
      <c r="AF373" s="1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15"/>
    </row>
    <row r="374" ht="15.75" customHeight="1">
      <c r="A374" s="9">
        <v>1.000826952E9</v>
      </c>
      <c r="B374" s="10"/>
      <c r="C374" s="455">
        <v>45385.0</v>
      </c>
      <c r="D374" s="12">
        <v>26.0</v>
      </c>
      <c r="E374" s="13">
        <v>31922.0</v>
      </c>
      <c r="F374" s="12" t="s">
        <v>31</v>
      </c>
      <c r="G374" s="29" t="s">
        <v>44</v>
      </c>
      <c r="H374" s="12" t="s">
        <v>136</v>
      </c>
      <c r="I374" s="39" t="s">
        <v>137</v>
      </c>
      <c r="J374" s="25" t="s">
        <v>35</v>
      </c>
      <c r="K374" s="28" t="s">
        <v>138</v>
      </c>
      <c r="L374" s="25" t="s">
        <v>94</v>
      </c>
      <c r="M374" s="29"/>
      <c r="N374" s="24">
        <v>5500.0</v>
      </c>
      <c r="O374" s="73">
        <f t="shared" si="20"/>
        <v>0.7272727273</v>
      </c>
      <c r="P374" s="15">
        <v>4000.0</v>
      </c>
      <c r="Q374" s="84" t="s">
        <v>39</v>
      </c>
      <c r="R374" s="12"/>
      <c r="S374" s="12" t="s">
        <v>392</v>
      </c>
      <c r="T374" s="12"/>
      <c r="U374" s="12"/>
      <c r="V374" s="12"/>
      <c r="W374" s="12"/>
      <c r="X374" s="12"/>
      <c r="Y374" s="57"/>
      <c r="Z374" s="57"/>
      <c r="AA374" s="12"/>
      <c r="AB374" s="12"/>
      <c r="AC374" s="12"/>
      <c r="AD374" s="12"/>
      <c r="AE374" s="207" t="s">
        <v>39</v>
      </c>
      <c r="AF374" s="1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15"/>
    </row>
    <row r="375" ht="15.75" customHeight="1">
      <c r="A375" s="9">
        <v>1.000826996E9</v>
      </c>
      <c r="B375" s="51"/>
      <c r="C375" s="455">
        <v>45384.0</v>
      </c>
      <c r="D375" s="12">
        <v>26.0</v>
      </c>
      <c r="E375" s="13">
        <v>31625.0</v>
      </c>
      <c r="F375" s="12" t="s">
        <v>31</v>
      </c>
      <c r="G375" s="29" t="s">
        <v>44</v>
      </c>
      <c r="H375" s="12" t="s">
        <v>104</v>
      </c>
      <c r="I375" s="29" t="s">
        <v>105</v>
      </c>
      <c r="J375" s="12" t="s">
        <v>35</v>
      </c>
      <c r="K375" s="12" t="s">
        <v>106</v>
      </c>
      <c r="L375" s="25" t="s">
        <v>59</v>
      </c>
      <c r="M375" s="12"/>
      <c r="N375" s="24">
        <v>6400.0</v>
      </c>
      <c r="O375" s="73">
        <f t="shared" si="20"/>
        <v>0</v>
      </c>
      <c r="P375" s="15"/>
      <c r="Q375" s="84" t="s">
        <v>39</v>
      </c>
      <c r="R375" s="12"/>
      <c r="S375" s="12" t="s">
        <v>392</v>
      </c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207" t="s">
        <v>39</v>
      </c>
      <c r="AF375" s="1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15"/>
    </row>
    <row r="376" ht="15.75" customHeight="1">
      <c r="A376" s="9">
        <v>1.000838835E9</v>
      </c>
      <c r="B376" s="51"/>
      <c r="C376" s="455">
        <v>45388.0</v>
      </c>
      <c r="D376" s="12">
        <v>26.0</v>
      </c>
      <c r="E376" s="13">
        <v>31625.0</v>
      </c>
      <c r="F376" s="12" t="s">
        <v>31</v>
      </c>
      <c r="G376" s="29" t="s">
        <v>44</v>
      </c>
      <c r="H376" s="12" t="s">
        <v>139</v>
      </c>
      <c r="I376" s="29" t="s">
        <v>140</v>
      </c>
      <c r="J376" s="12" t="s">
        <v>35</v>
      </c>
      <c r="K376" s="12" t="s">
        <v>141</v>
      </c>
      <c r="L376" s="28" t="s">
        <v>94</v>
      </c>
      <c r="M376" s="14"/>
      <c r="N376" s="24">
        <v>8182.87</v>
      </c>
      <c r="O376" s="73">
        <f t="shared" si="20"/>
        <v>0.6110325595</v>
      </c>
      <c r="P376" s="15">
        <v>5000.0</v>
      </c>
      <c r="Q376" s="84" t="s">
        <v>39</v>
      </c>
      <c r="R376" s="12"/>
      <c r="S376" s="12" t="s">
        <v>392</v>
      </c>
      <c r="T376" s="12"/>
      <c r="U376" s="12"/>
      <c r="V376" s="12"/>
      <c r="W376" s="12"/>
      <c r="X376" s="12"/>
      <c r="Y376" s="57"/>
      <c r="Z376" s="57"/>
      <c r="AA376" s="12"/>
      <c r="AB376" s="12"/>
      <c r="AC376" s="12"/>
      <c r="AD376" s="12"/>
      <c r="AE376" s="207" t="s">
        <v>39</v>
      </c>
      <c r="AF376" s="1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15"/>
    </row>
    <row r="377" ht="15.75" customHeight="1">
      <c r="A377" s="9">
        <v>1.000838868E9</v>
      </c>
      <c r="B377" s="51"/>
      <c r="C377" s="455">
        <v>45391.0</v>
      </c>
      <c r="D377" s="12">
        <v>26.0</v>
      </c>
      <c r="E377" s="13">
        <v>31625.0</v>
      </c>
      <c r="F377" s="12" t="s">
        <v>31</v>
      </c>
      <c r="G377" s="29" t="s">
        <v>44</v>
      </c>
      <c r="H377" s="12" t="s">
        <v>139</v>
      </c>
      <c r="I377" s="29" t="s">
        <v>140</v>
      </c>
      <c r="J377" s="12" t="s">
        <v>35</v>
      </c>
      <c r="K377" s="12" t="s">
        <v>141</v>
      </c>
      <c r="L377" s="28" t="s">
        <v>94</v>
      </c>
      <c r="M377" s="14"/>
      <c r="N377" s="24">
        <v>7670.97</v>
      </c>
      <c r="O377" s="73">
        <f t="shared" si="20"/>
        <v>0.6518080504</v>
      </c>
      <c r="P377" s="15">
        <v>5000.0</v>
      </c>
      <c r="Q377" s="84" t="s">
        <v>39</v>
      </c>
      <c r="R377" s="12"/>
      <c r="S377" s="12" t="s">
        <v>392</v>
      </c>
      <c r="T377" s="12"/>
      <c r="U377" s="12"/>
      <c r="V377" s="12"/>
      <c r="W377" s="12"/>
      <c r="X377" s="12"/>
      <c r="Y377" s="57"/>
      <c r="Z377" s="57"/>
      <c r="AA377" s="12"/>
      <c r="AB377" s="12"/>
      <c r="AC377" s="12"/>
      <c r="AD377" s="12"/>
      <c r="AE377" s="207" t="s">
        <v>39</v>
      </c>
      <c r="AF377" s="1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15"/>
    </row>
    <row r="378" ht="15.75" customHeight="1">
      <c r="A378" s="9">
        <v>1.000838913E9</v>
      </c>
      <c r="B378" s="10"/>
      <c r="C378" s="455">
        <v>45390.0</v>
      </c>
      <c r="D378" s="12">
        <v>26.0</v>
      </c>
      <c r="E378" s="13">
        <v>31625.0</v>
      </c>
      <c r="F378" s="12" t="s">
        <v>31</v>
      </c>
      <c r="G378" s="29" t="s">
        <v>44</v>
      </c>
      <c r="H378" s="12" t="s">
        <v>139</v>
      </c>
      <c r="I378" s="25" t="s">
        <v>140</v>
      </c>
      <c r="J378" s="25" t="s">
        <v>35</v>
      </c>
      <c r="K378" s="29" t="s">
        <v>141</v>
      </c>
      <c r="L378" s="28" t="s">
        <v>94</v>
      </c>
      <c r="M378" s="14"/>
      <c r="N378" s="40">
        <v>7670.97</v>
      </c>
      <c r="O378" s="73">
        <f t="shared" si="20"/>
        <v>0.6518080504</v>
      </c>
      <c r="P378" s="15">
        <v>5000.0</v>
      </c>
      <c r="Q378" s="84" t="s">
        <v>39</v>
      </c>
      <c r="R378" s="12"/>
      <c r="S378" s="12" t="s">
        <v>392</v>
      </c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207" t="s">
        <v>39</v>
      </c>
      <c r="AF378" s="1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15"/>
    </row>
    <row r="379" ht="15.75" customHeight="1">
      <c r="A379" s="9">
        <v>1.000838967E9</v>
      </c>
      <c r="B379" s="10"/>
      <c r="C379" s="455">
        <v>45390.0</v>
      </c>
      <c r="D379" s="12">
        <v>26.0</v>
      </c>
      <c r="E379" s="13">
        <v>31625.0</v>
      </c>
      <c r="F379" s="12" t="s">
        <v>31</v>
      </c>
      <c r="G379" s="29" t="s">
        <v>44</v>
      </c>
      <c r="H379" s="12" t="s">
        <v>139</v>
      </c>
      <c r="I379" s="25" t="s">
        <v>140</v>
      </c>
      <c r="J379" s="25" t="s">
        <v>35</v>
      </c>
      <c r="K379" s="29" t="s">
        <v>141</v>
      </c>
      <c r="L379" s="28" t="s">
        <v>94</v>
      </c>
      <c r="M379" s="14"/>
      <c r="N379" s="40">
        <v>7670.97</v>
      </c>
      <c r="O379" s="73">
        <f t="shared" si="20"/>
        <v>0.6518080504</v>
      </c>
      <c r="P379" s="15">
        <v>5000.0</v>
      </c>
      <c r="Q379" s="84" t="s">
        <v>39</v>
      </c>
      <c r="R379" s="12"/>
      <c r="S379" s="12" t="s">
        <v>392</v>
      </c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207" t="s">
        <v>39</v>
      </c>
      <c r="AF379" s="1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15"/>
    </row>
    <row r="380" ht="15.75" customHeight="1">
      <c r="A380" s="9">
        <v>1.000838972E9</v>
      </c>
      <c r="B380" s="10"/>
      <c r="C380" s="455">
        <v>45390.0</v>
      </c>
      <c r="D380" s="12">
        <v>26.0</v>
      </c>
      <c r="E380" s="13">
        <v>31625.0</v>
      </c>
      <c r="F380" s="12" t="s">
        <v>31</v>
      </c>
      <c r="G380" s="29" t="s">
        <v>44</v>
      </c>
      <c r="H380" s="12" t="s">
        <v>139</v>
      </c>
      <c r="I380" s="29" t="s">
        <v>140</v>
      </c>
      <c r="J380" s="12" t="s">
        <v>35</v>
      </c>
      <c r="K380" s="12" t="s">
        <v>141</v>
      </c>
      <c r="L380" s="28" t="s">
        <v>94</v>
      </c>
      <c r="M380" s="14"/>
      <c r="N380" s="40">
        <v>7670.97</v>
      </c>
      <c r="O380" s="73">
        <f t="shared" si="20"/>
        <v>0.6518080504</v>
      </c>
      <c r="P380" s="15">
        <v>5000.0</v>
      </c>
      <c r="Q380" s="84" t="s">
        <v>39</v>
      </c>
      <c r="R380" s="12"/>
      <c r="S380" s="12" t="s">
        <v>392</v>
      </c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207" t="s">
        <v>39</v>
      </c>
      <c r="AF380" s="1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15"/>
    </row>
    <row r="381" ht="15.75" customHeight="1">
      <c r="A381" s="9">
        <v>1.000863059E9</v>
      </c>
      <c r="B381" s="10"/>
      <c r="C381" s="455">
        <v>45397.0</v>
      </c>
      <c r="D381" s="12">
        <v>26.0</v>
      </c>
      <c r="E381" s="13">
        <v>32553.0</v>
      </c>
      <c r="F381" s="12" t="s">
        <v>43</v>
      </c>
      <c r="G381" s="29" t="s">
        <v>44</v>
      </c>
      <c r="H381" s="12" t="s">
        <v>45</v>
      </c>
      <c r="I381" s="29" t="s">
        <v>46</v>
      </c>
      <c r="J381" s="12" t="s">
        <v>35</v>
      </c>
      <c r="K381" s="12" t="s">
        <v>47</v>
      </c>
      <c r="L381" s="25" t="s">
        <v>108</v>
      </c>
      <c r="M381" s="14"/>
      <c r="N381" s="40">
        <v>1611.92</v>
      </c>
      <c r="O381" s="73">
        <f t="shared" si="20"/>
        <v>0.9305672738</v>
      </c>
      <c r="P381" s="15">
        <v>1500.0</v>
      </c>
      <c r="Q381" s="84" t="s">
        <v>39</v>
      </c>
      <c r="R381" s="12"/>
      <c r="S381" s="12" t="s">
        <v>392</v>
      </c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207" t="s">
        <v>39</v>
      </c>
      <c r="AF381" s="1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15"/>
    </row>
    <row r="382" ht="15.75" customHeight="1">
      <c r="A382" s="9">
        <v>1.000863064E9</v>
      </c>
      <c r="B382" s="10"/>
      <c r="C382" s="455">
        <v>45397.0</v>
      </c>
      <c r="D382" s="12">
        <v>26.0</v>
      </c>
      <c r="E382" s="13">
        <v>32553.0</v>
      </c>
      <c r="F382" s="12" t="s">
        <v>43</v>
      </c>
      <c r="G382" s="29" t="s">
        <v>44</v>
      </c>
      <c r="H382" s="12" t="s">
        <v>45</v>
      </c>
      <c r="I382" s="29" t="s">
        <v>46</v>
      </c>
      <c r="J382" s="12" t="s">
        <v>35</v>
      </c>
      <c r="K382" s="12" t="s">
        <v>47</v>
      </c>
      <c r="L382" s="25" t="s">
        <v>108</v>
      </c>
      <c r="M382" s="14"/>
      <c r="N382" s="40">
        <v>1611.92</v>
      </c>
      <c r="O382" s="73">
        <f t="shared" si="20"/>
        <v>0.9305672738</v>
      </c>
      <c r="P382" s="15">
        <v>1500.0</v>
      </c>
      <c r="Q382" s="84" t="s">
        <v>39</v>
      </c>
      <c r="R382" s="12"/>
      <c r="S382" s="12" t="s">
        <v>392</v>
      </c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207" t="s">
        <v>39</v>
      </c>
      <c r="AF382" s="1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15"/>
    </row>
    <row r="383" ht="15.75" customHeight="1">
      <c r="A383" s="9">
        <v>1.000863066E9</v>
      </c>
      <c r="B383" s="10"/>
      <c r="C383" s="455">
        <v>45397.0</v>
      </c>
      <c r="D383" s="12">
        <v>26.0</v>
      </c>
      <c r="E383" s="13">
        <v>32553.0</v>
      </c>
      <c r="F383" s="12" t="s">
        <v>43</v>
      </c>
      <c r="G383" s="12" t="s">
        <v>44</v>
      </c>
      <c r="H383" s="12" t="s">
        <v>45</v>
      </c>
      <c r="I383" s="29" t="s">
        <v>46</v>
      </c>
      <c r="J383" s="12" t="s">
        <v>35</v>
      </c>
      <c r="K383" s="12" t="s">
        <v>47</v>
      </c>
      <c r="L383" s="12" t="s">
        <v>108</v>
      </c>
      <c r="M383" s="14"/>
      <c r="N383" s="24">
        <v>1611.92</v>
      </c>
      <c r="O383" s="73">
        <f t="shared" si="20"/>
        <v>0.9305672738</v>
      </c>
      <c r="P383" s="15">
        <v>1500.0</v>
      </c>
      <c r="Q383" s="84" t="s">
        <v>39</v>
      </c>
      <c r="R383" s="12"/>
      <c r="S383" s="12" t="s">
        <v>392</v>
      </c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207" t="s">
        <v>39</v>
      </c>
      <c r="AF383" s="1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15"/>
    </row>
    <row r="384" ht="15.75" customHeight="1">
      <c r="A384" s="9">
        <v>1.000863072E9</v>
      </c>
      <c r="B384" s="10"/>
      <c r="C384" s="455">
        <v>45397.0</v>
      </c>
      <c r="D384" s="12">
        <v>26.0</v>
      </c>
      <c r="E384" s="13">
        <v>32553.0</v>
      </c>
      <c r="F384" s="12" t="s">
        <v>43</v>
      </c>
      <c r="G384" s="29" t="s">
        <v>44</v>
      </c>
      <c r="H384" s="12" t="s">
        <v>45</v>
      </c>
      <c r="I384" s="29" t="s">
        <v>46</v>
      </c>
      <c r="J384" s="12" t="s">
        <v>35</v>
      </c>
      <c r="K384" s="12" t="s">
        <v>47</v>
      </c>
      <c r="L384" s="25" t="s">
        <v>108</v>
      </c>
      <c r="M384" s="14"/>
      <c r="N384" s="40">
        <v>1611.92</v>
      </c>
      <c r="O384" s="73">
        <f t="shared" si="20"/>
        <v>0.9305672738</v>
      </c>
      <c r="P384" s="15">
        <v>1500.0</v>
      </c>
      <c r="Q384" s="84" t="s">
        <v>39</v>
      </c>
      <c r="R384" s="12"/>
      <c r="S384" s="12" t="s">
        <v>392</v>
      </c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207" t="s">
        <v>39</v>
      </c>
      <c r="AF384" s="1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15"/>
    </row>
    <row r="385" ht="15.75" customHeight="1">
      <c r="A385" s="9">
        <v>1.000863076E9</v>
      </c>
      <c r="B385" s="10"/>
      <c r="C385" s="455">
        <v>45397.0</v>
      </c>
      <c r="D385" s="12">
        <v>26.0</v>
      </c>
      <c r="E385" s="13">
        <v>32553.0</v>
      </c>
      <c r="F385" s="12" t="s">
        <v>43</v>
      </c>
      <c r="G385" s="12" t="s">
        <v>44</v>
      </c>
      <c r="H385" s="12" t="s">
        <v>45</v>
      </c>
      <c r="I385" s="29" t="s">
        <v>46</v>
      </c>
      <c r="J385" s="12" t="s">
        <v>35</v>
      </c>
      <c r="K385" s="12" t="s">
        <v>47</v>
      </c>
      <c r="L385" s="12" t="s">
        <v>108</v>
      </c>
      <c r="M385" s="14"/>
      <c r="N385" s="24">
        <v>1611.92</v>
      </c>
      <c r="O385" s="73">
        <f t="shared" si="20"/>
        <v>0.9305672738</v>
      </c>
      <c r="P385" s="15">
        <v>1500.0</v>
      </c>
      <c r="Q385" s="84" t="s">
        <v>39</v>
      </c>
      <c r="R385" s="12"/>
      <c r="S385" s="12" t="s">
        <v>392</v>
      </c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207" t="s">
        <v>39</v>
      </c>
      <c r="AF385" s="1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15"/>
    </row>
    <row r="386" ht="15.75" customHeight="1">
      <c r="A386" s="9">
        <v>1.001210505E9</v>
      </c>
      <c r="B386" s="81"/>
      <c r="C386" s="455">
        <v>45500.0</v>
      </c>
      <c r="D386" s="12"/>
      <c r="E386" s="13"/>
      <c r="F386" s="12" t="s">
        <v>31</v>
      </c>
      <c r="G386" s="12" t="s">
        <v>74</v>
      </c>
      <c r="H386" s="12" t="s">
        <v>262</v>
      </c>
      <c r="I386" s="29" t="s">
        <v>263</v>
      </c>
      <c r="J386" s="25" t="s">
        <v>35</v>
      </c>
      <c r="K386" s="12" t="s">
        <v>264</v>
      </c>
      <c r="L386" s="15" t="s">
        <v>59</v>
      </c>
      <c r="M386" s="12" t="s">
        <v>52</v>
      </c>
      <c r="N386" s="24">
        <v>5008.0</v>
      </c>
      <c r="O386" s="73">
        <f t="shared" si="20"/>
        <v>0.5990415335</v>
      </c>
      <c r="P386" s="15">
        <v>3000.0</v>
      </c>
      <c r="Q386" s="84" t="s">
        <v>39</v>
      </c>
      <c r="R386" s="12" t="s">
        <v>52</v>
      </c>
      <c r="S386" s="12" t="s">
        <v>131</v>
      </c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207" t="s">
        <v>39</v>
      </c>
      <c r="AF386" s="1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15"/>
    </row>
    <row r="387" ht="15.75" customHeight="1">
      <c r="A387" s="9">
        <v>1.001210538E9</v>
      </c>
      <c r="B387" s="81"/>
      <c r="C387" s="455">
        <v>45500.0</v>
      </c>
      <c r="D387" s="12"/>
      <c r="E387" s="13"/>
      <c r="F387" s="12" t="s">
        <v>31</v>
      </c>
      <c r="G387" s="12" t="s">
        <v>74</v>
      </c>
      <c r="H387" s="12" t="s">
        <v>262</v>
      </c>
      <c r="I387" s="29" t="s">
        <v>263</v>
      </c>
      <c r="J387" s="25" t="s">
        <v>35</v>
      </c>
      <c r="K387" s="12" t="s">
        <v>264</v>
      </c>
      <c r="L387" s="15" t="s">
        <v>59</v>
      </c>
      <c r="M387" s="12" t="s">
        <v>52</v>
      </c>
      <c r="N387" s="24">
        <v>5008.0</v>
      </c>
      <c r="O387" s="73">
        <f t="shared" si="20"/>
        <v>0.5990415335</v>
      </c>
      <c r="P387" s="15">
        <v>3000.0</v>
      </c>
      <c r="Q387" s="84" t="s">
        <v>39</v>
      </c>
      <c r="R387" s="12" t="s">
        <v>52</v>
      </c>
      <c r="S387" s="12" t="s">
        <v>131</v>
      </c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207" t="s">
        <v>39</v>
      </c>
      <c r="AF387" s="1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15"/>
    </row>
    <row r="388" ht="15.75" customHeight="1">
      <c r="A388" s="103">
        <v>1.1723353E7</v>
      </c>
      <c r="B388" s="238">
        <v>9.000187216E9</v>
      </c>
      <c r="C388" s="11">
        <v>45910.0</v>
      </c>
      <c r="D388" s="84">
        <v>28.0</v>
      </c>
      <c r="E388" s="84">
        <v>34295.0</v>
      </c>
      <c r="F388" s="12" t="s">
        <v>31</v>
      </c>
      <c r="G388" s="29" t="s">
        <v>44</v>
      </c>
      <c r="H388" s="12" t="s">
        <v>268</v>
      </c>
      <c r="I388" s="12" t="s">
        <v>269</v>
      </c>
      <c r="J388" s="12" t="s">
        <v>35</v>
      </c>
      <c r="K388" s="12" t="s">
        <v>270</v>
      </c>
      <c r="L388" s="15" t="s">
        <v>94</v>
      </c>
      <c r="M388" s="84"/>
      <c r="N388" s="88">
        <v>6410.0</v>
      </c>
      <c r="O388" s="73"/>
      <c r="P388" s="15"/>
      <c r="Q388" s="12"/>
      <c r="R388" s="12"/>
      <c r="S388" s="84" t="s">
        <v>165</v>
      </c>
      <c r="T388" s="12"/>
      <c r="U388" s="112">
        <v>45909.75</v>
      </c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15"/>
    </row>
    <row r="389" ht="15.75" customHeight="1">
      <c r="A389" s="103">
        <v>1.1723356E7</v>
      </c>
      <c r="B389" s="84">
        <v>9.000187262E9</v>
      </c>
      <c r="C389" s="11">
        <v>45910.0</v>
      </c>
      <c r="D389" s="84">
        <v>15.0</v>
      </c>
      <c r="E389" s="84">
        <v>17135.0</v>
      </c>
      <c r="F389" s="152" t="s">
        <v>43</v>
      </c>
      <c r="G389" s="93" t="s">
        <v>44</v>
      </c>
      <c r="H389" s="84" t="s">
        <v>268</v>
      </c>
      <c r="I389" s="29" t="s">
        <v>269</v>
      </c>
      <c r="J389" s="93" t="s">
        <v>35</v>
      </c>
      <c r="K389" s="84" t="s">
        <v>270</v>
      </c>
      <c r="L389" s="98" t="s">
        <v>94</v>
      </c>
      <c r="M389" s="84"/>
      <c r="N389" s="88">
        <v>3898.0</v>
      </c>
      <c r="O389" s="73"/>
      <c r="P389" s="15"/>
      <c r="Q389" s="12"/>
      <c r="R389" s="12"/>
      <c r="S389" s="84" t="s">
        <v>165</v>
      </c>
      <c r="T389" s="12"/>
      <c r="U389" s="1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15"/>
    </row>
    <row r="390" ht="15.75" customHeight="1">
      <c r="A390" s="103">
        <v>1.172792E7</v>
      </c>
      <c r="B390" s="238">
        <v>9.000192997E9</v>
      </c>
      <c r="C390" s="11">
        <v>45910.0</v>
      </c>
      <c r="D390" s="84">
        <v>28.0</v>
      </c>
      <c r="E390" s="84">
        <v>34058.0</v>
      </c>
      <c r="F390" s="12" t="s">
        <v>31</v>
      </c>
      <c r="G390" s="84" t="s">
        <v>44</v>
      </c>
      <c r="H390" s="84" t="s">
        <v>1317</v>
      </c>
      <c r="I390" s="28" t="s">
        <v>137</v>
      </c>
      <c r="J390" s="93" t="s">
        <v>35</v>
      </c>
      <c r="K390" s="84" t="s">
        <v>138</v>
      </c>
      <c r="L390" s="98" t="s">
        <v>114</v>
      </c>
      <c r="M390" s="12"/>
      <c r="N390" s="133">
        <v>5760.0</v>
      </c>
      <c r="O390" s="73"/>
      <c r="P390" s="15"/>
      <c r="Q390" s="12"/>
      <c r="R390" s="12"/>
      <c r="S390" s="84" t="s">
        <v>165</v>
      </c>
      <c r="T390" s="12"/>
      <c r="U390" s="1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15"/>
    </row>
    <row r="391" ht="15.75" customHeight="1">
      <c r="A391" s="103">
        <v>1.1727815E7</v>
      </c>
      <c r="B391" s="84">
        <v>9.000193053E9</v>
      </c>
      <c r="C391" s="11">
        <v>45910.0</v>
      </c>
      <c r="D391" s="84">
        <v>16.0</v>
      </c>
      <c r="E391" s="84">
        <v>6321.0</v>
      </c>
      <c r="F391" s="152" t="s">
        <v>43</v>
      </c>
      <c r="G391" s="84" t="s">
        <v>44</v>
      </c>
      <c r="H391" s="84" t="s">
        <v>1317</v>
      </c>
      <c r="I391" s="28" t="s">
        <v>137</v>
      </c>
      <c r="J391" s="93" t="s">
        <v>35</v>
      </c>
      <c r="K391" s="84" t="s">
        <v>138</v>
      </c>
      <c r="L391" s="98" t="s">
        <v>114</v>
      </c>
      <c r="M391" s="12"/>
      <c r="N391" s="133">
        <v>3890.0</v>
      </c>
      <c r="O391" s="73"/>
      <c r="P391" s="15"/>
      <c r="Q391" s="12"/>
      <c r="R391" s="12"/>
      <c r="S391" s="84" t="s">
        <v>165</v>
      </c>
      <c r="T391" s="12"/>
      <c r="U391" s="1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15"/>
    </row>
    <row r="392" ht="15.75" customHeight="1">
      <c r="A392" s="103">
        <v>1.1727814E7</v>
      </c>
      <c r="B392" s="238">
        <v>9.000193072E9</v>
      </c>
      <c r="C392" s="11">
        <v>45910.0</v>
      </c>
      <c r="D392" s="84">
        <v>26.0</v>
      </c>
      <c r="E392" s="84">
        <v>29248.0</v>
      </c>
      <c r="F392" s="12" t="s">
        <v>31</v>
      </c>
      <c r="G392" s="84" t="s">
        <v>44</v>
      </c>
      <c r="H392" s="84" t="s">
        <v>1317</v>
      </c>
      <c r="I392" s="28" t="s">
        <v>137</v>
      </c>
      <c r="J392" s="93" t="s">
        <v>35</v>
      </c>
      <c r="K392" s="84" t="s">
        <v>138</v>
      </c>
      <c r="L392" s="98" t="s">
        <v>114</v>
      </c>
      <c r="M392" s="12"/>
      <c r="N392" s="133">
        <v>5835.0</v>
      </c>
      <c r="O392" s="73"/>
      <c r="P392" s="15"/>
      <c r="Q392" s="12"/>
      <c r="R392" s="12"/>
      <c r="S392" s="84" t="s">
        <v>165</v>
      </c>
      <c r="T392" s="12"/>
      <c r="U392" s="241">
        <v>45910.625</v>
      </c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15"/>
    </row>
    <row r="393" ht="15.75" customHeight="1">
      <c r="A393" s="103">
        <v>1.1724244E7</v>
      </c>
      <c r="B393" s="238">
        <v>9.000189107E9</v>
      </c>
      <c r="C393" s="11">
        <v>45911.0</v>
      </c>
      <c r="D393" s="84">
        <v>28.0</v>
      </c>
      <c r="E393" s="84">
        <v>34295.0</v>
      </c>
      <c r="F393" s="12" t="s">
        <v>31</v>
      </c>
      <c r="G393" s="84" t="s">
        <v>44</v>
      </c>
      <c r="H393" s="84" t="s">
        <v>268</v>
      </c>
      <c r="I393" s="29" t="s">
        <v>269</v>
      </c>
      <c r="J393" s="93" t="s">
        <v>35</v>
      </c>
      <c r="K393" s="84" t="s">
        <v>270</v>
      </c>
      <c r="L393" s="98" t="s">
        <v>94</v>
      </c>
      <c r="M393" s="12"/>
      <c r="N393" s="133">
        <v>5847.0</v>
      </c>
      <c r="O393" s="73"/>
      <c r="P393" s="15"/>
      <c r="Q393" s="12"/>
      <c r="R393" s="12"/>
      <c r="S393" s="84" t="s">
        <v>165</v>
      </c>
      <c r="T393" s="12"/>
      <c r="U393" s="1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15"/>
    </row>
    <row r="394" ht="15.75" customHeight="1">
      <c r="A394" s="103">
        <v>1.1724246E7</v>
      </c>
      <c r="B394" s="84">
        <v>9.000189204E9</v>
      </c>
      <c r="C394" s="11">
        <v>45911.0</v>
      </c>
      <c r="D394" s="84">
        <v>15.0</v>
      </c>
      <c r="E394" s="84">
        <v>17135.0</v>
      </c>
      <c r="F394" s="152" t="s">
        <v>43</v>
      </c>
      <c r="G394" s="84" t="s">
        <v>44</v>
      </c>
      <c r="H394" s="84" t="s">
        <v>268</v>
      </c>
      <c r="I394" s="29" t="s">
        <v>269</v>
      </c>
      <c r="J394" s="93" t="s">
        <v>35</v>
      </c>
      <c r="K394" s="84" t="s">
        <v>270</v>
      </c>
      <c r="L394" s="98" t="s">
        <v>94</v>
      </c>
      <c r="M394" s="12"/>
      <c r="N394" s="133">
        <v>3898.0</v>
      </c>
      <c r="O394" s="73"/>
      <c r="P394" s="15"/>
      <c r="Q394" s="12"/>
      <c r="R394" s="12"/>
      <c r="S394" s="84" t="s">
        <v>165</v>
      </c>
      <c r="T394" s="12"/>
      <c r="U394" s="1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15"/>
    </row>
    <row r="395" ht="15.75" customHeight="1">
      <c r="A395" s="103">
        <v>1.1727678E7</v>
      </c>
      <c r="B395" s="238">
        <v>9.000193042E9</v>
      </c>
      <c r="C395" s="11">
        <v>45912.0</v>
      </c>
      <c r="D395" s="84">
        <v>27.0</v>
      </c>
      <c r="E395" s="84">
        <v>34716.0</v>
      </c>
      <c r="F395" s="12" t="s">
        <v>31</v>
      </c>
      <c r="G395" s="84" t="s">
        <v>44</v>
      </c>
      <c r="H395" s="84" t="s">
        <v>1317</v>
      </c>
      <c r="I395" s="28" t="s">
        <v>137</v>
      </c>
      <c r="J395" s="93" t="s">
        <v>35</v>
      </c>
      <c r="K395" s="84" t="s">
        <v>138</v>
      </c>
      <c r="L395" s="98" t="s">
        <v>114</v>
      </c>
      <c r="M395" s="12"/>
      <c r="N395" s="133">
        <v>5760.0</v>
      </c>
      <c r="O395" s="73"/>
      <c r="P395" s="15"/>
      <c r="Q395" s="12"/>
      <c r="R395" s="12"/>
      <c r="S395" s="84" t="s">
        <v>165</v>
      </c>
      <c r="T395" s="12"/>
      <c r="U395" s="241">
        <v>45912.75</v>
      </c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15"/>
    </row>
    <row r="396" ht="15.75" customHeight="1">
      <c r="A396" s="103">
        <v>1.1745118E7</v>
      </c>
      <c r="B396" s="238">
        <v>9.000212899E9</v>
      </c>
      <c r="C396" s="11">
        <v>45916.0</v>
      </c>
      <c r="D396" s="84">
        <v>26.0</v>
      </c>
      <c r="E396" s="84">
        <v>33139.0</v>
      </c>
      <c r="F396" s="103" t="s">
        <v>31</v>
      </c>
      <c r="G396" s="84" t="s">
        <v>44</v>
      </c>
      <c r="H396" s="25" t="s">
        <v>104</v>
      </c>
      <c r="I396" s="25" t="s">
        <v>105</v>
      </c>
      <c r="J396" s="12" t="s">
        <v>35</v>
      </c>
      <c r="K396" s="84" t="s">
        <v>106</v>
      </c>
      <c r="L396" s="98" t="s">
        <v>59</v>
      </c>
      <c r="M396" s="12"/>
      <c r="N396" s="133">
        <v>5337.0</v>
      </c>
      <c r="O396" s="260"/>
      <c r="P396" s="258"/>
      <c r="Q396" s="22"/>
      <c r="R396" s="22"/>
      <c r="S396" s="84" t="s">
        <v>165</v>
      </c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15"/>
    </row>
    <row r="397" ht="15.75" customHeight="1">
      <c r="A397" s="103">
        <v>1.1745119E7</v>
      </c>
      <c r="B397" s="238">
        <v>9.000212905E9</v>
      </c>
      <c r="C397" s="11">
        <v>45916.0</v>
      </c>
      <c r="D397" s="84">
        <v>26.0</v>
      </c>
      <c r="E397" s="84">
        <v>33430.0</v>
      </c>
      <c r="F397" s="103" t="s">
        <v>31</v>
      </c>
      <c r="G397" s="84" t="s">
        <v>44</v>
      </c>
      <c r="H397" s="169" t="s">
        <v>45</v>
      </c>
      <c r="I397" s="209" t="s">
        <v>46</v>
      </c>
      <c r="J397" s="12" t="s">
        <v>35</v>
      </c>
      <c r="K397" s="84" t="s">
        <v>47</v>
      </c>
      <c r="L397" s="98" t="s">
        <v>108</v>
      </c>
      <c r="M397" s="12"/>
      <c r="N397" s="133">
        <v>2545.0</v>
      </c>
      <c r="O397" s="260"/>
      <c r="P397" s="258"/>
      <c r="Q397" s="22"/>
      <c r="R397" s="22"/>
      <c r="S397" s="84" t="s">
        <v>165</v>
      </c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15"/>
    </row>
    <row r="398" ht="15.75" customHeight="1">
      <c r="A398" s="103">
        <v>1.174512E7</v>
      </c>
      <c r="B398" s="238">
        <v>9.000212945E9</v>
      </c>
      <c r="C398" s="11">
        <v>45916.0</v>
      </c>
      <c r="D398" s="84">
        <v>26.0</v>
      </c>
      <c r="E398" s="84">
        <v>33430.0</v>
      </c>
      <c r="F398" s="103" t="s">
        <v>31</v>
      </c>
      <c r="G398" s="84" t="s">
        <v>44</v>
      </c>
      <c r="H398" s="169" t="s">
        <v>45</v>
      </c>
      <c r="I398" s="209" t="s">
        <v>46</v>
      </c>
      <c r="J398" s="12" t="s">
        <v>35</v>
      </c>
      <c r="K398" s="84" t="s">
        <v>47</v>
      </c>
      <c r="L398" s="98" t="s">
        <v>108</v>
      </c>
      <c r="M398" s="12"/>
      <c r="N398" s="133">
        <v>2545.0</v>
      </c>
      <c r="O398" s="260"/>
      <c r="P398" s="258"/>
      <c r="Q398" s="22"/>
      <c r="R398" s="22"/>
      <c r="S398" s="84" t="s">
        <v>165</v>
      </c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15"/>
    </row>
    <row r="399" ht="15.75" customHeight="1">
      <c r="A399" s="103">
        <v>1.174503E7</v>
      </c>
      <c r="B399" s="238">
        <v>9.000212252E9</v>
      </c>
      <c r="C399" s="11">
        <v>45916.0</v>
      </c>
      <c r="D399" s="84">
        <v>26.0</v>
      </c>
      <c r="E399" s="84">
        <v>31625.0</v>
      </c>
      <c r="F399" s="12" t="s">
        <v>31</v>
      </c>
      <c r="G399" s="85" t="s">
        <v>32</v>
      </c>
      <c r="H399" s="12" t="s">
        <v>265</v>
      </c>
      <c r="I399" s="39" t="s">
        <v>266</v>
      </c>
      <c r="J399" s="25" t="s">
        <v>35</v>
      </c>
      <c r="K399" s="25" t="s">
        <v>267</v>
      </c>
      <c r="L399" s="98" t="s">
        <v>114</v>
      </c>
      <c r="M399" s="12"/>
      <c r="N399" s="133">
        <v>6527.0</v>
      </c>
      <c r="O399" s="260"/>
      <c r="P399" s="258"/>
      <c r="Q399" s="22"/>
      <c r="R399" s="22"/>
      <c r="S399" s="84" t="s">
        <v>165</v>
      </c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15"/>
    </row>
    <row r="400" ht="15.75" customHeight="1">
      <c r="A400" s="103">
        <v>1.1745029E7</v>
      </c>
      <c r="B400" s="238">
        <v>9.000212267E9</v>
      </c>
      <c r="C400" s="11">
        <v>45918.0</v>
      </c>
      <c r="D400" s="84">
        <v>26.0</v>
      </c>
      <c r="E400" s="84">
        <v>33430.0</v>
      </c>
      <c r="F400" s="12" t="s">
        <v>31</v>
      </c>
      <c r="G400" s="85" t="s">
        <v>32</v>
      </c>
      <c r="H400" s="12" t="s">
        <v>124</v>
      </c>
      <c r="I400" s="25" t="s">
        <v>125</v>
      </c>
      <c r="J400" s="25" t="s">
        <v>35</v>
      </c>
      <c r="K400" s="15" t="s">
        <v>126</v>
      </c>
      <c r="L400" s="28" t="s">
        <v>114</v>
      </c>
      <c r="M400" s="12"/>
      <c r="N400" s="133">
        <v>5782.0</v>
      </c>
      <c r="O400" s="260"/>
      <c r="P400" s="258"/>
      <c r="Q400" s="22"/>
      <c r="R400" s="22"/>
      <c r="S400" s="84" t="s">
        <v>165</v>
      </c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15"/>
    </row>
    <row r="401" ht="15.75" customHeight="1">
      <c r="A401" s="103">
        <v>1.1746148E7</v>
      </c>
      <c r="B401" s="84">
        <v>9.000214476E9</v>
      </c>
      <c r="C401" s="11">
        <v>45917.0</v>
      </c>
      <c r="D401" s="84">
        <v>26.0</v>
      </c>
      <c r="E401" s="84">
        <v>33139.0</v>
      </c>
      <c r="F401" s="12" t="s">
        <v>31</v>
      </c>
      <c r="G401" s="85" t="s">
        <v>44</v>
      </c>
      <c r="H401" s="169" t="s">
        <v>45</v>
      </c>
      <c r="I401" s="209" t="s">
        <v>46</v>
      </c>
      <c r="J401" s="169" t="s">
        <v>35</v>
      </c>
      <c r="K401" s="169" t="s">
        <v>47</v>
      </c>
      <c r="L401" s="98" t="s">
        <v>188</v>
      </c>
      <c r="M401" s="12"/>
      <c r="N401" s="133">
        <v>2545.0</v>
      </c>
      <c r="O401" s="73"/>
      <c r="P401" s="15"/>
      <c r="Q401" s="12"/>
      <c r="R401" s="12"/>
      <c r="S401" s="84" t="s">
        <v>165</v>
      </c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15"/>
    </row>
    <row r="402" ht="15.75" customHeight="1">
      <c r="A402" s="103">
        <v>1.1745865E7</v>
      </c>
      <c r="B402" s="238">
        <v>9.000214303E9</v>
      </c>
      <c r="C402" s="11">
        <v>45917.0</v>
      </c>
      <c r="D402" s="12"/>
      <c r="E402" s="12"/>
      <c r="F402" s="9"/>
      <c r="G402" s="12"/>
      <c r="H402" s="12"/>
      <c r="I402" s="12"/>
      <c r="J402" s="12"/>
      <c r="K402" s="12"/>
      <c r="L402" s="15"/>
      <c r="M402" s="12"/>
      <c r="N402" s="24"/>
      <c r="O402" s="73"/>
      <c r="P402" s="15"/>
      <c r="Q402" s="12"/>
      <c r="R402" s="12"/>
      <c r="S402" s="84" t="s">
        <v>165</v>
      </c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15"/>
    </row>
    <row r="403" ht="15.75" customHeight="1">
      <c r="A403" s="103">
        <v>1.1745863E7</v>
      </c>
      <c r="B403" s="238">
        <v>9.000214447E9</v>
      </c>
      <c r="C403" s="11">
        <v>45917.0</v>
      </c>
      <c r="D403" s="12"/>
      <c r="E403" s="12"/>
      <c r="F403" s="9"/>
      <c r="G403" s="12"/>
      <c r="H403" s="12"/>
      <c r="I403" s="12"/>
      <c r="J403" s="12"/>
      <c r="K403" s="12"/>
      <c r="L403" s="15"/>
      <c r="M403" s="12"/>
      <c r="N403" s="24"/>
      <c r="O403" s="73"/>
      <c r="P403" s="15"/>
      <c r="Q403" s="12"/>
      <c r="R403" s="12"/>
      <c r="S403" s="84" t="s">
        <v>165</v>
      </c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15"/>
    </row>
    <row r="404" ht="15.75" customHeight="1">
      <c r="A404" s="103">
        <v>1.1745862E7</v>
      </c>
      <c r="B404" s="238">
        <v>9.000214484E9</v>
      </c>
      <c r="C404" s="11">
        <v>45917.0</v>
      </c>
      <c r="D404" s="12"/>
      <c r="E404" s="12"/>
      <c r="F404" s="9"/>
      <c r="G404" s="12"/>
      <c r="H404" s="12"/>
      <c r="I404" s="12"/>
      <c r="J404" s="12"/>
      <c r="K404" s="12"/>
      <c r="L404" s="15"/>
      <c r="M404" s="12"/>
      <c r="N404" s="24"/>
      <c r="O404" s="73"/>
      <c r="P404" s="15"/>
      <c r="Q404" s="12"/>
      <c r="R404" s="12"/>
      <c r="S404" s="84" t="s">
        <v>165</v>
      </c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15"/>
    </row>
    <row r="405" ht="15.75" customHeight="1">
      <c r="A405" s="103">
        <v>1.1749547E7</v>
      </c>
      <c r="B405" s="238">
        <v>9.000217715E9</v>
      </c>
      <c r="C405" s="11">
        <v>45920.0</v>
      </c>
      <c r="D405" s="84">
        <v>27.0</v>
      </c>
      <c r="E405" s="84">
        <v>34716.0</v>
      </c>
      <c r="F405" s="84" t="s">
        <v>31</v>
      </c>
      <c r="G405" s="84" t="s">
        <v>32</v>
      </c>
      <c r="H405" s="12" t="s">
        <v>124</v>
      </c>
      <c r="I405" s="25" t="s">
        <v>125</v>
      </c>
      <c r="J405" s="25" t="s">
        <v>35</v>
      </c>
      <c r="K405" s="15" t="s">
        <v>126</v>
      </c>
      <c r="L405" s="28" t="s">
        <v>114</v>
      </c>
      <c r="M405" s="12"/>
      <c r="N405" s="133">
        <v>5782.0</v>
      </c>
      <c r="O405" s="73"/>
      <c r="P405" s="15"/>
      <c r="Q405" s="12"/>
      <c r="R405" s="12"/>
      <c r="S405" s="84" t="s">
        <v>165</v>
      </c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15"/>
    </row>
    <row r="406" ht="15.75" customHeight="1">
      <c r="A406" s="103">
        <v>1.1750037E7</v>
      </c>
      <c r="B406" s="84">
        <v>9.000217746E9</v>
      </c>
      <c r="C406" s="11">
        <v>45919.0</v>
      </c>
      <c r="D406" s="84">
        <v>26.0</v>
      </c>
      <c r="E406" s="84">
        <v>33430.0</v>
      </c>
      <c r="F406" s="103" t="s">
        <v>31</v>
      </c>
      <c r="G406" s="84" t="s">
        <v>32</v>
      </c>
      <c r="H406" s="85" t="s">
        <v>1408</v>
      </c>
      <c r="I406" s="93" t="s">
        <v>1409</v>
      </c>
      <c r="J406" s="93" t="s">
        <v>35</v>
      </c>
      <c r="K406" s="85" t="s">
        <v>1410</v>
      </c>
      <c r="L406" s="95" t="s">
        <v>114</v>
      </c>
      <c r="M406" s="12"/>
      <c r="N406" s="133">
        <v>6920.0</v>
      </c>
      <c r="O406" s="260"/>
      <c r="P406" s="258"/>
      <c r="Q406" s="22"/>
      <c r="R406" s="22"/>
      <c r="S406" s="84" t="s">
        <v>165</v>
      </c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15"/>
    </row>
    <row r="407" ht="15.75" customHeight="1">
      <c r="A407" s="103">
        <v>1.1752861E7</v>
      </c>
      <c r="B407" s="84">
        <v>9.000222859E9</v>
      </c>
      <c r="C407" s="11">
        <v>45918.0</v>
      </c>
      <c r="D407" s="84">
        <v>26.0</v>
      </c>
      <c r="E407" s="84">
        <v>32468.0</v>
      </c>
      <c r="F407" s="84" t="s">
        <v>31</v>
      </c>
      <c r="G407" s="84" t="s">
        <v>74</v>
      </c>
      <c r="H407" s="84" t="s">
        <v>1914</v>
      </c>
      <c r="I407" s="84" t="s">
        <v>3023</v>
      </c>
      <c r="J407" s="84" t="s">
        <v>35</v>
      </c>
      <c r="K407" s="84" t="s">
        <v>138</v>
      </c>
      <c r="L407" s="98" t="s">
        <v>94</v>
      </c>
      <c r="M407" s="12"/>
      <c r="N407" s="133">
        <v>5760.0</v>
      </c>
      <c r="O407" s="260"/>
      <c r="P407" s="258"/>
      <c r="Q407" s="22"/>
      <c r="R407" s="22"/>
      <c r="S407" s="84" t="s">
        <v>165</v>
      </c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15"/>
    </row>
    <row r="408" ht="15.75" customHeight="1">
      <c r="A408" s="103">
        <v>1.1756056E7</v>
      </c>
      <c r="B408" s="238">
        <v>9.000225179E9</v>
      </c>
      <c r="C408" s="11">
        <v>45888.0</v>
      </c>
      <c r="D408" s="84">
        <v>26.0</v>
      </c>
      <c r="E408" s="84">
        <v>33139.0</v>
      </c>
      <c r="F408" s="84" t="s">
        <v>31</v>
      </c>
      <c r="G408" s="85" t="s">
        <v>44</v>
      </c>
      <c r="H408" s="25" t="s">
        <v>104</v>
      </c>
      <c r="I408" s="25" t="s">
        <v>105</v>
      </c>
      <c r="J408" s="12" t="s">
        <v>35</v>
      </c>
      <c r="K408" s="84" t="s">
        <v>106</v>
      </c>
      <c r="L408" s="98" t="s">
        <v>59</v>
      </c>
      <c r="M408" s="12"/>
      <c r="N408" s="133">
        <v>5337.0</v>
      </c>
      <c r="O408" s="260"/>
      <c r="P408" s="258"/>
      <c r="Q408" s="22"/>
      <c r="R408" s="22"/>
      <c r="S408" s="84" t="s">
        <v>165</v>
      </c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15"/>
    </row>
    <row r="409" ht="15.75" customHeight="1">
      <c r="A409" s="103">
        <v>1.1752672E7</v>
      </c>
      <c r="B409" s="238">
        <v>9.000223492E9</v>
      </c>
      <c r="C409" s="11">
        <v>45920.0</v>
      </c>
      <c r="D409" s="84">
        <v>26.0</v>
      </c>
      <c r="E409" s="84">
        <v>30822.0</v>
      </c>
      <c r="F409" s="103" t="s">
        <v>43</v>
      </c>
      <c r="G409" s="85" t="s">
        <v>44</v>
      </c>
      <c r="H409" s="12" t="s">
        <v>45</v>
      </c>
      <c r="I409" s="29" t="s">
        <v>46</v>
      </c>
      <c r="J409" s="14" t="s">
        <v>35</v>
      </c>
      <c r="K409" s="14" t="s">
        <v>47</v>
      </c>
      <c r="L409" s="95" t="s">
        <v>110</v>
      </c>
      <c r="M409" s="12"/>
      <c r="N409" s="133">
        <v>2335.0</v>
      </c>
      <c r="O409" s="260"/>
      <c r="P409" s="258"/>
      <c r="Q409" s="22"/>
      <c r="R409" s="22"/>
      <c r="S409" s="84" t="s">
        <v>165</v>
      </c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15"/>
    </row>
    <row r="410" ht="15.75" customHeight="1">
      <c r="A410" s="103">
        <v>1.1755904E7</v>
      </c>
      <c r="B410" s="238">
        <v>9.000225217E9</v>
      </c>
      <c r="C410" s="11">
        <v>45920.0</v>
      </c>
      <c r="D410" s="84">
        <v>26.0</v>
      </c>
      <c r="E410" s="84">
        <v>33430.0</v>
      </c>
      <c r="F410" s="84" t="s">
        <v>31</v>
      </c>
      <c r="G410" s="85" t="s">
        <v>44</v>
      </c>
      <c r="H410" s="25" t="s">
        <v>104</v>
      </c>
      <c r="I410" s="25" t="s">
        <v>105</v>
      </c>
      <c r="J410" s="12" t="s">
        <v>35</v>
      </c>
      <c r="K410" s="84" t="s">
        <v>106</v>
      </c>
      <c r="L410" s="98" t="s">
        <v>59</v>
      </c>
      <c r="M410" s="12"/>
      <c r="N410" s="133">
        <v>5337.0</v>
      </c>
      <c r="O410" s="260"/>
      <c r="P410" s="258"/>
      <c r="Q410" s="22"/>
      <c r="R410" s="22"/>
      <c r="S410" s="84" t="s">
        <v>165</v>
      </c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15"/>
    </row>
    <row r="411" ht="15.75" customHeight="1">
      <c r="A411" s="103">
        <v>1.1759006E7</v>
      </c>
      <c r="B411" s="238">
        <v>9.000228199E9</v>
      </c>
      <c r="C411" s="11">
        <v>45923.0</v>
      </c>
      <c r="D411" s="84">
        <v>26.0</v>
      </c>
      <c r="E411" s="84">
        <v>31845.0</v>
      </c>
      <c r="F411" s="103" t="s">
        <v>43</v>
      </c>
      <c r="G411" s="85" t="s">
        <v>44</v>
      </c>
      <c r="H411" s="85" t="s">
        <v>1408</v>
      </c>
      <c r="I411" s="93" t="s">
        <v>1409</v>
      </c>
      <c r="J411" s="93" t="s">
        <v>35</v>
      </c>
      <c r="K411" s="85" t="s">
        <v>1410</v>
      </c>
      <c r="L411" s="95" t="s">
        <v>114</v>
      </c>
      <c r="M411" s="12"/>
      <c r="N411" s="133">
        <v>7195.2</v>
      </c>
      <c r="O411" s="73"/>
      <c r="P411" s="15"/>
      <c r="Q411" s="12"/>
      <c r="R411" s="12"/>
      <c r="S411" s="84" t="s">
        <v>165</v>
      </c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15"/>
    </row>
    <row r="412" ht="15.75" customHeight="1">
      <c r="A412" s="103">
        <v>1.1759007E7</v>
      </c>
      <c r="B412" s="84">
        <v>9.00022825E9</v>
      </c>
      <c r="C412" s="11">
        <v>45923.0</v>
      </c>
      <c r="D412" s="84">
        <v>14.0</v>
      </c>
      <c r="E412" s="84">
        <v>15911.0</v>
      </c>
      <c r="F412" s="125" t="s">
        <v>43</v>
      </c>
      <c r="G412" s="148" t="s">
        <v>44</v>
      </c>
      <c r="H412" s="85" t="s">
        <v>3024</v>
      </c>
      <c r="I412" s="93" t="s">
        <v>1409</v>
      </c>
      <c r="J412" s="93" t="s">
        <v>35</v>
      </c>
      <c r="K412" s="85" t="s">
        <v>1410</v>
      </c>
      <c r="L412" s="95" t="s">
        <v>114</v>
      </c>
      <c r="M412" s="12"/>
      <c r="N412" s="133">
        <v>4796.8</v>
      </c>
      <c r="O412" s="73"/>
      <c r="P412" s="15"/>
      <c r="Q412" s="12"/>
      <c r="R412" s="12"/>
      <c r="S412" s="84" t="s">
        <v>165</v>
      </c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15"/>
    </row>
    <row r="413" ht="15.75" customHeight="1">
      <c r="A413" s="103">
        <v>1.1749926E7</v>
      </c>
      <c r="B413" s="84">
        <v>9.000214473E9</v>
      </c>
      <c r="C413" s="11">
        <v>45917.0</v>
      </c>
      <c r="D413" s="84">
        <v>27.0</v>
      </c>
      <c r="E413" s="84">
        <v>34716.0</v>
      </c>
      <c r="F413" s="84" t="s">
        <v>31</v>
      </c>
      <c r="G413" s="85" t="s">
        <v>44</v>
      </c>
      <c r="H413" s="84" t="s">
        <v>1317</v>
      </c>
      <c r="I413" s="39" t="s">
        <v>137</v>
      </c>
      <c r="J413" s="84" t="s">
        <v>35</v>
      </c>
      <c r="K413" s="84" t="s">
        <v>138</v>
      </c>
      <c r="L413" s="98" t="s">
        <v>94</v>
      </c>
      <c r="M413" s="238" t="s">
        <v>1985</v>
      </c>
      <c r="N413" s="133">
        <v>5760.0</v>
      </c>
      <c r="O413" s="73">
        <f>IFERROR(P413/N413,0)</f>
        <v>0</v>
      </c>
      <c r="P413" s="15"/>
      <c r="Q413" s="84" t="s">
        <v>39</v>
      </c>
      <c r="R413" s="12"/>
      <c r="S413" s="84" t="s">
        <v>165</v>
      </c>
      <c r="T413" s="12"/>
      <c r="U413" s="241">
        <v>45917.125</v>
      </c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15"/>
    </row>
    <row r="414" ht="15.75" customHeight="1">
      <c r="A414" s="103">
        <v>1.1753068E7</v>
      </c>
      <c r="B414" s="84">
        <v>9.0002235E9</v>
      </c>
      <c r="C414" s="11">
        <v>45920.0</v>
      </c>
      <c r="D414" s="84">
        <v>28.0</v>
      </c>
      <c r="E414" s="84">
        <v>34378.0</v>
      </c>
      <c r="F414" s="84" t="s">
        <v>31</v>
      </c>
      <c r="G414" s="85" t="s">
        <v>44</v>
      </c>
      <c r="H414" s="84" t="s">
        <v>1317</v>
      </c>
      <c r="I414" s="39" t="s">
        <v>137</v>
      </c>
      <c r="J414" s="84" t="s">
        <v>35</v>
      </c>
      <c r="K414" s="84" t="s">
        <v>138</v>
      </c>
      <c r="L414" s="98" t="s">
        <v>94</v>
      </c>
      <c r="M414" s="12"/>
      <c r="N414" s="133">
        <v>5760.0</v>
      </c>
      <c r="O414" s="73"/>
      <c r="P414" s="15"/>
      <c r="Q414" s="12"/>
      <c r="R414" s="12"/>
      <c r="S414" s="84" t="s">
        <v>165</v>
      </c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15"/>
    </row>
    <row r="415" ht="15.75" customHeight="1">
      <c r="A415" s="103">
        <v>1.1762532E7</v>
      </c>
      <c r="B415" s="238">
        <v>9.000235492E9</v>
      </c>
      <c r="C415" s="11">
        <v>45923.0</v>
      </c>
      <c r="D415" s="84">
        <v>26.0</v>
      </c>
      <c r="E415" s="84">
        <v>31625.0</v>
      </c>
      <c r="F415" s="103" t="s">
        <v>31</v>
      </c>
      <c r="G415" s="84" t="s">
        <v>44</v>
      </c>
      <c r="H415" s="25" t="s">
        <v>104</v>
      </c>
      <c r="I415" s="25" t="s">
        <v>105</v>
      </c>
      <c r="J415" s="12" t="s">
        <v>35</v>
      </c>
      <c r="K415" s="84" t="s">
        <v>106</v>
      </c>
      <c r="L415" s="98" t="s">
        <v>59</v>
      </c>
      <c r="M415" s="12"/>
      <c r="N415" s="133">
        <v>5337.0</v>
      </c>
      <c r="O415" s="73"/>
      <c r="P415" s="15"/>
      <c r="Q415" s="12"/>
      <c r="R415" s="12"/>
      <c r="S415" s="84" t="s">
        <v>1942</v>
      </c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15"/>
    </row>
    <row r="416" ht="15.75" customHeight="1">
      <c r="A416" s="103">
        <v>1.176211E7</v>
      </c>
      <c r="B416" s="238">
        <v>9.000233352E9</v>
      </c>
      <c r="C416" s="11">
        <v>45924.0</v>
      </c>
      <c r="D416" s="84">
        <v>26.0</v>
      </c>
      <c r="E416" s="84">
        <v>31845.0</v>
      </c>
      <c r="F416" s="103" t="s">
        <v>43</v>
      </c>
      <c r="G416" s="84" t="s">
        <v>32</v>
      </c>
      <c r="H416" s="85" t="s">
        <v>1408</v>
      </c>
      <c r="I416" s="93" t="s">
        <v>1409</v>
      </c>
      <c r="J416" s="93" t="s">
        <v>35</v>
      </c>
      <c r="K416" s="85" t="s">
        <v>1410</v>
      </c>
      <c r="L416" s="95" t="s">
        <v>114</v>
      </c>
      <c r="M416" s="12"/>
      <c r="N416" s="133">
        <v>7195.2</v>
      </c>
      <c r="O416" s="73"/>
      <c r="P416" s="15"/>
      <c r="Q416" s="12"/>
      <c r="R416" s="12"/>
      <c r="S416" s="84" t="s">
        <v>1942</v>
      </c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15"/>
    </row>
    <row r="417" ht="15.75" customHeight="1">
      <c r="A417" s="103">
        <v>1.1762111E7</v>
      </c>
      <c r="B417" s="84">
        <v>9.000233369E9</v>
      </c>
      <c r="C417" s="11">
        <v>45924.0</v>
      </c>
      <c r="D417" s="84">
        <v>14.0</v>
      </c>
      <c r="E417" s="84">
        <v>15911.0</v>
      </c>
      <c r="F417" s="125" t="s">
        <v>43</v>
      </c>
      <c r="G417" s="84" t="s">
        <v>32</v>
      </c>
      <c r="H417" s="85" t="s">
        <v>3025</v>
      </c>
      <c r="I417" s="93" t="s">
        <v>1409</v>
      </c>
      <c r="J417" s="93" t="s">
        <v>35</v>
      </c>
      <c r="K417" s="85" t="s">
        <v>1410</v>
      </c>
      <c r="L417" s="95" t="s">
        <v>114</v>
      </c>
      <c r="M417" s="12"/>
      <c r="N417" s="133">
        <v>4795.8</v>
      </c>
      <c r="O417" s="73"/>
      <c r="P417" s="15"/>
      <c r="Q417" s="12"/>
      <c r="R417" s="12"/>
      <c r="S417" s="84" t="s">
        <v>1942</v>
      </c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15"/>
    </row>
    <row r="418" ht="15.75" customHeight="1">
      <c r="A418" s="103">
        <v>1.1763504E7</v>
      </c>
      <c r="B418" s="238">
        <v>9.00023632E9</v>
      </c>
      <c r="C418" s="11">
        <v>45924.0</v>
      </c>
      <c r="D418" s="84">
        <v>28.0</v>
      </c>
      <c r="E418" s="84">
        <v>34058.0</v>
      </c>
      <c r="F418" s="103" t="s">
        <v>31</v>
      </c>
      <c r="G418" s="84" t="s">
        <v>44</v>
      </c>
      <c r="H418" s="169" t="s">
        <v>45</v>
      </c>
      <c r="I418" s="209" t="s">
        <v>46</v>
      </c>
      <c r="J418" s="12" t="s">
        <v>35</v>
      </c>
      <c r="K418" s="84" t="s">
        <v>47</v>
      </c>
      <c r="L418" s="98" t="s">
        <v>108</v>
      </c>
      <c r="M418" s="12"/>
      <c r="N418" s="133">
        <v>2545.0</v>
      </c>
      <c r="O418" s="73"/>
      <c r="P418" s="15"/>
      <c r="Q418" s="12"/>
      <c r="R418" s="12"/>
      <c r="S418" s="84" t="s">
        <v>1942</v>
      </c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15"/>
    </row>
    <row r="419" ht="15.75" customHeight="1">
      <c r="A419" s="103">
        <v>1.1763505E7</v>
      </c>
      <c r="B419" s="238">
        <v>9.000236319E9</v>
      </c>
      <c r="C419" s="11">
        <v>45924.0</v>
      </c>
      <c r="D419" s="84">
        <v>27.0</v>
      </c>
      <c r="E419" s="84">
        <v>34716.0</v>
      </c>
      <c r="F419" s="103" t="s">
        <v>31</v>
      </c>
      <c r="G419" s="84" t="s">
        <v>44</v>
      </c>
      <c r="H419" s="169" t="s">
        <v>45</v>
      </c>
      <c r="I419" s="209" t="s">
        <v>46</v>
      </c>
      <c r="J419" s="12" t="s">
        <v>35</v>
      </c>
      <c r="K419" s="84" t="s">
        <v>47</v>
      </c>
      <c r="L419" s="98" t="s">
        <v>108</v>
      </c>
      <c r="M419" s="12"/>
      <c r="N419" s="133">
        <v>2545.0</v>
      </c>
      <c r="O419" s="73"/>
      <c r="P419" s="15"/>
      <c r="Q419" s="12"/>
      <c r="R419" s="12"/>
      <c r="S419" s="84" t="s">
        <v>1942</v>
      </c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15"/>
    </row>
    <row r="420" ht="15.75" customHeight="1">
      <c r="A420" s="114"/>
      <c r="B420" s="115">
        <v>9.000238882E9</v>
      </c>
      <c r="C420" s="115"/>
      <c r="D420" s="115"/>
      <c r="E420" s="115"/>
      <c r="F420" s="22"/>
      <c r="G420" s="22"/>
      <c r="H420" s="84" t="s">
        <v>1317</v>
      </c>
      <c r="I420" s="258"/>
      <c r="J420" s="22"/>
      <c r="K420" s="22"/>
      <c r="L420" s="460"/>
      <c r="M420" s="22"/>
      <c r="N420" s="461"/>
      <c r="O420" s="260"/>
      <c r="P420" s="258"/>
      <c r="Q420" s="22"/>
      <c r="R420" s="22"/>
      <c r="S420" s="84" t="s">
        <v>1942</v>
      </c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15"/>
    </row>
    <row r="421" ht="15.75" customHeight="1">
      <c r="A421" s="114"/>
      <c r="B421" s="115">
        <v>9.000238879E9</v>
      </c>
      <c r="C421" s="115"/>
      <c r="D421" s="115"/>
      <c r="E421" s="115"/>
      <c r="F421" s="22"/>
      <c r="G421" s="22"/>
      <c r="H421" s="84" t="s">
        <v>1317</v>
      </c>
      <c r="I421" s="258"/>
      <c r="J421" s="22"/>
      <c r="K421" s="22"/>
      <c r="L421" s="460"/>
      <c r="M421" s="22"/>
      <c r="N421" s="461"/>
      <c r="O421" s="260"/>
      <c r="P421" s="258"/>
      <c r="Q421" s="22"/>
      <c r="R421" s="22"/>
      <c r="S421" s="84" t="s">
        <v>1942</v>
      </c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15"/>
    </row>
    <row r="422" ht="15.75" customHeight="1">
      <c r="A422" s="114"/>
      <c r="B422" s="115">
        <v>9.000238876E9</v>
      </c>
      <c r="C422" s="115"/>
      <c r="D422" s="115"/>
      <c r="E422" s="115"/>
      <c r="F422" s="22"/>
      <c r="G422" s="22"/>
      <c r="H422" s="84" t="s">
        <v>1317</v>
      </c>
      <c r="I422" s="258"/>
      <c r="J422" s="22"/>
      <c r="K422" s="22"/>
      <c r="L422" s="460"/>
      <c r="M422" s="22"/>
      <c r="N422" s="461"/>
      <c r="O422" s="260"/>
      <c r="P422" s="258"/>
      <c r="Q422" s="22"/>
      <c r="R422" s="22"/>
      <c r="S422" s="84" t="s">
        <v>1942</v>
      </c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15"/>
    </row>
    <row r="423" ht="15.75" customHeight="1">
      <c r="A423" s="114"/>
      <c r="B423" s="115">
        <v>9.000236414E9</v>
      </c>
      <c r="C423" s="115"/>
      <c r="D423" s="115"/>
      <c r="E423" s="115"/>
      <c r="F423" s="22"/>
      <c r="G423" s="22"/>
      <c r="H423" s="12" t="s">
        <v>45</v>
      </c>
      <c r="I423" s="258"/>
      <c r="J423" s="22"/>
      <c r="K423" s="22"/>
      <c r="L423" s="460"/>
      <c r="M423" s="22"/>
      <c r="N423" s="461"/>
      <c r="O423" s="260"/>
      <c r="P423" s="258"/>
      <c r="Q423" s="22"/>
      <c r="R423" s="22"/>
      <c r="S423" s="84" t="s">
        <v>1942</v>
      </c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15"/>
    </row>
    <row r="424" ht="15.75" customHeight="1">
      <c r="A424" s="114"/>
      <c r="B424" s="115">
        <v>9.000236324E9</v>
      </c>
      <c r="C424" s="115"/>
      <c r="D424" s="115"/>
      <c r="E424" s="115"/>
      <c r="F424" s="22"/>
      <c r="G424" s="22"/>
      <c r="H424" s="12" t="s">
        <v>45</v>
      </c>
      <c r="I424" s="258"/>
      <c r="J424" s="22"/>
      <c r="K424" s="22"/>
      <c r="L424" s="460"/>
      <c r="M424" s="22"/>
      <c r="N424" s="461"/>
      <c r="O424" s="260"/>
      <c r="P424" s="258"/>
      <c r="Q424" s="22"/>
      <c r="R424" s="22"/>
      <c r="S424" s="84" t="s">
        <v>1942</v>
      </c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15"/>
    </row>
    <row r="425" ht="15.75" customHeight="1">
      <c r="A425" s="114"/>
      <c r="B425" s="115">
        <v>9.000236398E9</v>
      </c>
      <c r="C425" s="115"/>
      <c r="D425" s="115"/>
      <c r="E425" s="115"/>
      <c r="F425" s="22"/>
      <c r="G425" s="22"/>
      <c r="H425" s="12" t="s">
        <v>45</v>
      </c>
      <c r="I425" s="258"/>
      <c r="J425" s="22"/>
      <c r="K425" s="22"/>
      <c r="L425" s="460"/>
      <c r="M425" s="22"/>
      <c r="N425" s="461"/>
      <c r="O425" s="260"/>
      <c r="P425" s="258"/>
      <c r="Q425" s="22"/>
      <c r="R425" s="22"/>
      <c r="S425" s="84" t="s">
        <v>1942</v>
      </c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15"/>
    </row>
    <row r="426" ht="15.75" customHeight="1">
      <c r="A426" s="114"/>
      <c r="B426" s="115">
        <v>9.000233067E9</v>
      </c>
      <c r="C426" s="115"/>
      <c r="D426" s="115"/>
      <c r="E426" s="115"/>
      <c r="F426" s="22"/>
      <c r="G426" s="22"/>
      <c r="H426" s="84" t="s">
        <v>2003</v>
      </c>
      <c r="I426" s="209" t="s">
        <v>46</v>
      </c>
      <c r="J426" s="12" t="s">
        <v>35</v>
      </c>
      <c r="K426" s="56" t="s">
        <v>187</v>
      </c>
      <c r="L426" s="460"/>
      <c r="M426" s="22"/>
      <c r="N426" s="461"/>
      <c r="O426" s="260"/>
      <c r="P426" s="258"/>
      <c r="Q426" s="22"/>
      <c r="R426" s="22"/>
      <c r="S426" s="84" t="s">
        <v>1942</v>
      </c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15"/>
    </row>
    <row r="427" ht="15.75" customHeight="1">
      <c r="A427" s="114"/>
      <c r="B427" s="115">
        <v>9.000233129E9</v>
      </c>
      <c r="C427" s="115"/>
      <c r="D427" s="115"/>
      <c r="E427" s="115"/>
      <c r="F427" s="22"/>
      <c r="G427" s="22"/>
      <c r="H427" s="84" t="s">
        <v>1914</v>
      </c>
      <c r="I427" s="84" t="s">
        <v>1915</v>
      </c>
      <c r="J427" s="93" t="s">
        <v>35</v>
      </c>
      <c r="K427" s="84" t="s">
        <v>270</v>
      </c>
      <c r="L427" s="460"/>
      <c r="M427" s="22"/>
      <c r="N427" s="461"/>
      <c r="O427" s="260"/>
      <c r="P427" s="258"/>
      <c r="Q427" s="22"/>
      <c r="R427" s="22"/>
      <c r="S427" s="84" t="s">
        <v>1942</v>
      </c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15"/>
    </row>
    <row r="428" ht="15.75" customHeight="1">
      <c r="A428" s="114"/>
      <c r="B428" s="115">
        <v>9.000228112E9</v>
      </c>
      <c r="C428" s="115"/>
      <c r="D428" s="115"/>
      <c r="E428" s="115"/>
      <c r="F428" s="22"/>
      <c r="G428" s="22"/>
      <c r="H428" s="143" t="s">
        <v>265</v>
      </c>
      <c r="I428" s="258"/>
      <c r="J428" s="22"/>
      <c r="K428" s="22"/>
      <c r="L428" s="460"/>
      <c r="M428" s="22"/>
      <c r="N428" s="461"/>
      <c r="O428" s="260"/>
      <c r="P428" s="258"/>
      <c r="Q428" s="22"/>
      <c r="R428" s="22"/>
      <c r="S428" s="84" t="s">
        <v>1942</v>
      </c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15"/>
    </row>
    <row r="429" ht="15.75" customHeight="1">
      <c r="A429" s="462">
        <v>1.1766309E7</v>
      </c>
      <c r="B429" s="84">
        <v>9.000240956E9</v>
      </c>
      <c r="C429" s="11">
        <v>45924.0</v>
      </c>
      <c r="D429" s="84">
        <v>27.0</v>
      </c>
      <c r="E429" s="84">
        <v>34716.0</v>
      </c>
      <c r="F429" s="84" t="s">
        <v>31</v>
      </c>
      <c r="G429" s="85" t="s">
        <v>44</v>
      </c>
      <c r="H429" s="84" t="s">
        <v>1317</v>
      </c>
      <c r="I429" s="39" t="s">
        <v>137</v>
      </c>
      <c r="J429" s="84" t="s">
        <v>35</v>
      </c>
      <c r="K429" s="84" t="s">
        <v>138</v>
      </c>
      <c r="L429" s="98" t="s">
        <v>94</v>
      </c>
      <c r="M429" s="12"/>
      <c r="N429" s="133">
        <v>5760.0</v>
      </c>
      <c r="O429" s="73"/>
      <c r="P429" s="15"/>
      <c r="Q429" s="12"/>
      <c r="R429" s="12"/>
      <c r="S429" s="84" t="s">
        <v>165</v>
      </c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</row>
    <row r="430" ht="15.75" customHeight="1">
      <c r="A430" s="462">
        <v>1.1766467E7</v>
      </c>
      <c r="B430" s="84">
        <v>9.000241412E9</v>
      </c>
      <c r="C430" s="11">
        <v>45925.0</v>
      </c>
      <c r="D430" s="84">
        <v>28.0</v>
      </c>
      <c r="E430" s="84">
        <v>34295.0</v>
      </c>
      <c r="F430" s="125" t="s">
        <v>43</v>
      </c>
      <c r="G430" s="148" t="s">
        <v>44</v>
      </c>
      <c r="H430" s="169" t="s">
        <v>45</v>
      </c>
      <c r="I430" s="209" t="s">
        <v>46</v>
      </c>
      <c r="J430" s="12" t="s">
        <v>35</v>
      </c>
      <c r="K430" s="84" t="s">
        <v>47</v>
      </c>
      <c r="L430" s="98" t="s">
        <v>108</v>
      </c>
      <c r="M430" s="12"/>
      <c r="N430" s="133">
        <v>2335.8</v>
      </c>
      <c r="O430" s="73"/>
      <c r="P430" s="15"/>
      <c r="Q430" s="12"/>
      <c r="R430" s="12"/>
      <c r="S430" s="84" t="s">
        <v>165</v>
      </c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</row>
    <row r="431" ht="15.75" customHeight="1">
      <c r="A431" s="103">
        <v>1.1766479E7</v>
      </c>
      <c r="B431" s="84">
        <v>9.000241427E9</v>
      </c>
      <c r="C431" s="11">
        <v>45925.0</v>
      </c>
      <c r="D431" s="84">
        <v>15.0</v>
      </c>
      <c r="E431" s="84">
        <v>17135.0</v>
      </c>
      <c r="F431" s="103" t="s">
        <v>43</v>
      </c>
      <c r="G431" s="85" t="s">
        <v>44</v>
      </c>
      <c r="H431" s="169" t="s">
        <v>45</v>
      </c>
      <c r="I431" s="209" t="s">
        <v>46</v>
      </c>
      <c r="J431" s="12" t="s">
        <v>35</v>
      </c>
      <c r="K431" s="84" t="s">
        <v>47</v>
      </c>
      <c r="L431" s="98" t="s">
        <v>108</v>
      </c>
      <c r="M431" s="12"/>
      <c r="N431" s="133">
        <v>1557.2</v>
      </c>
      <c r="O431" s="73"/>
      <c r="P431" s="15"/>
      <c r="Q431" s="12"/>
      <c r="R431" s="12"/>
      <c r="S431" s="84" t="s">
        <v>165</v>
      </c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</row>
    <row r="432" ht="15.75" customHeight="1">
      <c r="A432" s="462">
        <v>1.1766478E7</v>
      </c>
      <c r="B432" s="84">
        <v>9.000241411E9</v>
      </c>
      <c r="C432" s="11">
        <v>45925.0</v>
      </c>
      <c r="D432" s="84">
        <v>28.0</v>
      </c>
      <c r="E432" s="84">
        <v>34295.0</v>
      </c>
      <c r="F432" s="125" t="s">
        <v>43</v>
      </c>
      <c r="G432" s="148" t="s">
        <v>44</v>
      </c>
      <c r="H432" s="169" t="s">
        <v>45</v>
      </c>
      <c r="I432" s="209" t="s">
        <v>46</v>
      </c>
      <c r="J432" s="12" t="s">
        <v>35</v>
      </c>
      <c r="K432" s="84" t="s">
        <v>47</v>
      </c>
      <c r="L432" s="98" t="s">
        <v>108</v>
      </c>
      <c r="M432" s="12"/>
      <c r="N432" s="133">
        <v>2335.8</v>
      </c>
      <c r="O432" s="73"/>
      <c r="P432" s="15"/>
      <c r="Q432" s="12"/>
      <c r="R432" s="12"/>
      <c r="S432" s="84" t="s">
        <v>165</v>
      </c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</row>
    <row r="433" ht="15.75" customHeight="1">
      <c r="A433" s="103">
        <v>1.176648E7</v>
      </c>
      <c r="B433" s="84">
        <v>9.000241413E9</v>
      </c>
      <c r="C433" s="11">
        <v>45925.0</v>
      </c>
      <c r="D433" s="84">
        <v>15.0</v>
      </c>
      <c r="E433" s="84">
        <v>17135.0</v>
      </c>
      <c r="F433" s="103" t="s">
        <v>43</v>
      </c>
      <c r="G433" s="85" t="s">
        <v>44</v>
      </c>
      <c r="H433" s="169" t="s">
        <v>45</v>
      </c>
      <c r="I433" s="209" t="s">
        <v>46</v>
      </c>
      <c r="J433" s="12" t="s">
        <v>35</v>
      </c>
      <c r="K433" s="84" t="s">
        <v>47</v>
      </c>
      <c r="L433" s="98" t="s">
        <v>108</v>
      </c>
      <c r="M433" s="12"/>
      <c r="N433" s="133">
        <v>1557.2</v>
      </c>
      <c r="O433" s="73"/>
      <c r="P433" s="15"/>
      <c r="Q433" s="12"/>
      <c r="R433" s="12"/>
      <c r="S433" s="84" t="s">
        <v>165</v>
      </c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</row>
    <row r="434" ht="15.75" customHeight="1">
      <c r="A434" s="103">
        <v>1.1769306E7</v>
      </c>
      <c r="B434" s="84">
        <v>9.000244336E9</v>
      </c>
      <c r="C434" s="11">
        <v>45927.0</v>
      </c>
      <c r="D434" s="84">
        <v>26.0</v>
      </c>
      <c r="E434" s="84">
        <v>33430.0</v>
      </c>
      <c r="F434" s="84" t="s">
        <v>31</v>
      </c>
      <c r="G434" s="84" t="s">
        <v>32</v>
      </c>
      <c r="H434" s="12" t="s">
        <v>265</v>
      </c>
      <c r="I434" s="39" t="s">
        <v>266</v>
      </c>
      <c r="J434" s="25" t="s">
        <v>35</v>
      </c>
      <c r="K434" s="25" t="s">
        <v>267</v>
      </c>
      <c r="L434" s="95" t="s">
        <v>114</v>
      </c>
      <c r="M434" s="12"/>
      <c r="N434" s="133">
        <v>6527.0</v>
      </c>
      <c r="O434" s="73">
        <f t="shared" ref="O434:O435" si="21">IFERROR(P434/N434,0)</f>
        <v>0</v>
      </c>
      <c r="P434" s="15"/>
      <c r="Q434" s="12"/>
      <c r="R434" s="12"/>
      <c r="S434" s="84" t="s">
        <v>165</v>
      </c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</row>
    <row r="435" ht="15.75" customHeight="1">
      <c r="A435" s="103">
        <v>1.1769305E7</v>
      </c>
      <c r="B435" s="84">
        <v>9.000244363E9</v>
      </c>
      <c r="C435" s="11">
        <v>45927.0</v>
      </c>
      <c r="D435" s="84">
        <v>26.0</v>
      </c>
      <c r="E435" s="84">
        <v>33430.0</v>
      </c>
      <c r="F435" s="84" t="s">
        <v>31</v>
      </c>
      <c r="G435" s="84" t="s">
        <v>32</v>
      </c>
      <c r="H435" s="12" t="s">
        <v>265</v>
      </c>
      <c r="I435" s="39" t="s">
        <v>266</v>
      </c>
      <c r="J435" s="25" t="s">
        <v>35</v>
      </c>
      <c r="K435" s="25" t="s">
        <v>267</v>
      </c>
      <c r="L435" s="95" t="s">
        <v>114</v>
      </c>
      <c r="M435" s="12"/>
      <c r="N435" s="133">
        <v>6527.0</v>
      </c>
      <c r="O435" s="73">
        <f t="shared" si="21"/>
        <v>0</v>
      </c>
      <c r="P435" s="15"/>
      <c r="Q435" s="12"/>
      <c r="R435" s="12"/>
      <c r="S435" s="84" t="s">
        <v>165</v>
      </c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</row>
    <row r="436" ht="15.75" customHeight="1">
      <c r="A436" s="103">
        <v>1.1776578E7</v>
      </c>
      <c r="B436" s="84">
        <v>9.000254356E9</v>
      </c>
      <c r="C436" s="11">
        <v>45926.0</v>
      </c>
      <c r="D436" s="84">
        <v>26.0</v>
      </c>
      <c r="E436" s="84">
        <v>33014.0</v>
      </c>
      <c r="F436" s="84" t="s">
        <v>31</v>
      </c>
      <c r="G436" s="84" t="s">
        <v>44</v>
      </c>
      <c r="H436" s="84" t="s">
        <v>1317</v>
      </c>
      <c r="I436" s="39" t="s">
        <v>137</v>
      </c>
      <c r="J436" s="84" t="s">
        <v>35</v>
      </c>
      <c r="K436" s="84" t="s">
        <v>138</v>
      </c>
      <c r="L436" s="98" t="s">
        <v>94</v>
      </c>
      <c r="M436" s="12"/>
      <c r="N436" s="133">
        <v>5760.0</v>
      </c>
      <c r="O436" s="73"/>
      <c r="P436" s="15"/>
      <c r="Q436" s="12"/>
      <c r="R436" s="12"/>
      <c r="S436" s="84" t="s">
        <v>165</v>
      </c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</row>
    <row r="437" ht="15.75" customHeight="1">
      <c r="A437" s="103">
        <v>1.1777159E7</v>
      </c>
      <c r="B437" s="84">
        <v>9.000256234E9</v>
      </c>
      <c r="C437" s="11">
        <v>45931.0</v>
      </c>
      <c r="D437" s="84">
        <v>27.0</v>
      </c>
      <c r="E437" s="84">
        <v>34716.0</v>
      </c>
      <c r="F437" s="84" t="s">
        <v>31</v>
      </c>
      <c r="G437" s="84" t="s">
        <v>44</v>
      </c>
      <c r="H437" s="84" t="s">
        <v>1317</v>
      </c>
      <c r="I437" s="39" t="s">
        <v>137</v>
      </c>
      <c r="J437" s="84" t="s">
        <v>35</v>
      </c>
      <c r="K437" s="84" t="s">
        <v>138</v>
      </c>
      <c r="L437" s="98" t="s">
        <v>94</v>
      </c>
      <c r="M437" s="12"/>
      <c r="N437" s="133">
        <v>5760.0</v>
      </c>
      <c r="O437" s="73"/>
      <c r="P437" s="15"/>
      <c r="Q437" s="12"/>
      <c r="R437" s="12"/>
      <c r="S437" s="84" t="s">
        <v>165</v>
      </c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</row>
    <row r="438" ht="15.75" customHeight="1">
      <c r="A438" s="103">
        <v>1.1779999E7</v>
      </c>
      <c r="B438" s="84">
        <v>9.000261887E9</v>
      </c>
      <c r="C438" s="11">
        <v>45932.0</v>
      </c>
      <c r="D438" s="84">
        <v>26.0</v>
      </c>
      <c r="E438" s="84">
        <v>33139.0</v>
      </c>
      <c r="F438" s="84" t="s">
        <v>31</v>
      </c>
      <c r="G438" s="84" t="s">
        <v>44</v>
      </c>
      <c r="H438" s="29" t="s">
        <v>104</v>
      </c>
      <c r="I438" s="29" t="s">
        <v>105</v>
      </c>
      <c r="J438" s="25" t="s">
        <v>35</v>
      </c>
      <c r="K438" s="39" t="s">
        <v>106</v>
      </c>
      <c r="L438" s="95" t="s">
        <v>59</v>
      </c>
      <c r="M438" s="12"/>
      <c r="N438" s="133">
        <v>5337.0</v>
      </c>
      <c r="O438" s="73"/>
      <c r="P438" s="15"/>
      <c r="Q438" s="12"/>
      <c r="R438" s="12"/>
      <c r="S438" s="84" t="s">
        <v>165</v>
      </c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</row>
    <row r="439" ht="15.75" customHeight="1">
      <c r="A439" s="103">
        <v>1.1769308E7</v>
      </c>
      <c r="B439" s="84">
        <v>9.000244327E9</v>
      </c>
      <c r="C439" s="11">
        <v>45927.0</v>
      </c>
      <c r="D439" s="84">
        <v>26.0</v>
      </c>
      <c r="E439" s="84">
        <v>33430.0</v>
      </c>
      <c r="F439" s="84" t="s">
        <v>31</v>
      </c>
      <c r="G439" s="84" t="s">
        <v>32</v>
      </c>
      <c r="H439" s="12" t="s">
        <v>265</v>
      </c>
      <c r="I439" s="39" t="s">
        <v>266</v>
      </c>
      <c r="J439" s="25" t="s">
        <v>35</v>
      </c>
      <c r="K439" s="25" t="s">
        <v>267</v>
      </c>
      <c r="L439" s="95" t="s">
        <v>114</v>
      </c>
      <c r="M439" s="12"/>
      <c r="N439" s="133">
        <v>6527.0</v>
      </c>
      <c r="O439" s="73">
        <f>IFERROR(P439/N439,0)</f>
        <v>0</v>
      </c>
      <c r="P439" s="15"/>
      <c r="Q439" s="12"/>
      <c r="R439" s="12"/>
      <c r="S439" s="84" t="s">
        <v>165</v>
      </c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</row>
    <row r="440" ht="15.75" customHeight="1">
      <c r="A440" s="103">
        <v>1.177716E7</v>
      </c>
      <c r="B440" s="84">
        <v>9.000256247E9</v>
      </c>
      <c r="C440" s="11">
        <v>45931.0</v>
      </c>
      <c r="D440" s="84">
        <v>27.0</v>
      </c>
      <c r="E440" s="84">
        <v>34716.0</v>
      </c>
      <c r="F440" s="84" t="s">
        <v>31</v>
      </c>
      <c r="G440" s="84" t="s">
        <v>44</v>
      </c>
      <c r="H440" s="84" t="s">
        <v>1317</v>
      </c>
      <c r="I440" s="39" t="s">
        <v>137</v>
      </c>
      <c r="J440" s="84" t="s">
        <v>35</v>
      </c>
      <c r="K440" s="84" t="s">
        <v>138</v>
      </c>
      <c r="L440" s="98" t="s">
        <v>94</v>
      </c>
      <c r="M440" s="12"/>
      <c r="N440" s="133">
        <v>5760.0</v>
      </c>
      <c r="O440" s="73"/>
      <c r="P440" s="15"/>
      <c r="Q440" s="12"/>
      <c r="R440" s="12"/>
      <c r="S440" s="84" t="s">
        <v>165</v>
      </c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</row>
    <row r="441" ht="15.75" customHeight="1">
      <c r="A441" s="103">
        <v>1.1773858E7</v>
      </c>
      <c r="B441" s="84">
        <v>9.000249067E9</v>
      </c>
      <c r="C441" s="11">
        <v>45929.0</v>
      </c>
      <c r="D441" s="84">
        <v>26.0</v>
      </c>
      <c r="E441" s="84">
        <v>32468.0</v>
      </c>
      <c r="F441" s="84" t="s">
        <v>31</v>
      </c>
      <c r="G441" s="84" t="s">
        <v>74</v>
      </c>
      <c r="H441" s="84" t="s">
        <v>2014</v>
      </c>
      <c r="I441" s="84" t="s">
        <v>2015</v>
      </c>
      <c r="J441" s="25" t="s">
        <v>35</v>
      </c>
      <c r="K441" s="84" t="s">
        <v>270</v>
      </c>
      <c r="L441" s="98" t="s">
        <v>94</v>
      </c>
      <c r="M441" s="12"/>
      <c r="N441" s="133">
        <v>6410.0</v>
      </c>
      <c r="O441" s="73">
        <f t="shared" ref="O441:O443" si="22">IFERROR(P441/N441,0)</f>
        <v>0</v>
      </c>
      <c r="P441" s="15"/>
      <c r="Q441" s="12"/>
      <c r="R441" s="12"/>
      <c r="S441" s="84" t="s">
        <v>165</v>
      </c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</row>
    <row r="442" ht="15.75" customHeight="1">
      <c r="A442" s="103">
        <v>1.177746E7</v>
      </c>
      <c r="B442" s="84">
        <v>9.000256643E9</v>
      </c>
      <c r="C442" s="11">
        <v>45927.0</v>
      </c>
      <c r="D442" s="84">
        <v>27.0</v>
      </c>
      <c r="E442" s="84">
        <v>34716.0</v>
      </c>
      <c r="F442" s="84" t="s">
        <v>31</v>
      </c>
      <c r="G442" s="84" t="s">
        <v>44</v>
      </c>
      <c r="H442" s="12" t="s">
        <v>45</v>
      </c>
      <c r="I442" s="12" t="s">
        <v>46</v>
      </c>
      <c r="J442" s="14" t="s">
        <v>35</v>
      </c>
      <c r="K442" s="14" t="s">
        <v>47</v>
      </c>
      <c r="L442" s="95" t="s">
        <v>108</v>
      </c>
      <c r="M442" s="12"/>
      <c r="N442" s="133">
        <v>2545.0</v>
      </c>
      <c r="O442" s="73">
        <f t="shared" si="22"/>
        <v>0</v>
      </c>
      <c r="P442" s="15"/>
      <c r="Q442" s="12"/>
      <c r="R442" s="12"/>
      <c r="S442" s="84" t="s">
        <v>165</v>
      </c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</row>
    <row r="443" ht="15.75" customHeight="1">
      <c r="A443" s="103">
        <v>1.1786926E7</v>
      </c>
      <c r="B443" s="238">
        <v>9.000270787E9</v>
      </c>
      <c r="C443" s="463">
        <v>45934.0</v>
      </c>
      <c r="D443" s="84">
        <v>28.0</v>
      </c>
      <c r="E443" s="84">
        <v>34058.0</v>
      </c>
      <c r="F443" s="103" t="s">
        <v>31</v>
      </c>
      <c r="G443" s="84" t="s">
        <v>44</v>
      </c>
      <c r="H443" s="169" t="s">
        <v>45</v>
      </c>
      <c r="I443" s="209" t="s">
        <v>46</v>
      </c>
      <c r="J443" s="12" t="s">
        <v>35</v>
      </c>
      <c r="K443" s="14" t="s">
        <v>47</v>
      </c>
      <c r="L443" s="98" t="s">
        <v>108</v>
      </c>
      <c r="M443" s="198"/>
      <c r="N443" s="133">
        <v>2545.0</v>
      </c>
      <c r="O443" s="73">
        <f t="shared" si="22"/>
        <v>0</v>
      </c>
      <c r="P443" s="15"/>
      <c r="Q443" s="12"/>
      <c r="R443" s="12"/>
      <c r="S443" s="84" t="s">
        <v>165</v>
      </c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</row>
    <row r="444" ht="15.75" customHeight="1">
      <c r="A444" s="103">
        <v>1.1786931E7</v>
      </c>
      <c r="B444" s="238">
        <v>9.00027078E9</v>
      </c>
      <c r="C444" s="463">
        <v>45934.0</v>
      </c>
      <c r="D444" s="84">
        <v>28.0</v>
      </c>
      <c r="E444" s="84">
        <v>34058.0</v>
      </c>
      <c r="F444" s="103" t="s">
        <v>31</v>
      </c>
      <c r="G444" s="84" t="s">
        <v>44</v>
      </c>
      <c r="H444" s="169" t="s">
        <v>45</v>
      </c>
      <c r="I444" s="209" t="s">
        <v>46</v>
      </c>
      <c r="J444" s="12" t="s">
        <v>35</v>
      </c>
      <c r="K444" s="14" t="s">
        <v>47</v>
      </c>
      <c r="L444" s="98" t="s">
        <v>108</v>
      </c>
      <c r="M444" s="198"/>
      <c r="N444" s="133">
        <v>2545.0</v>
      </c>
      <c r="O444" s="73"/>
      <c r="P444" s="15"/>
      <c r="Q444" s="12"/>
      <c r="R444" s="12"/>
      <c r="S444" s="84" t="s">
        <v>165</v>
      </c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</row>
    <row r="445" ht="15.75" customHeight="1">
      <c r="A445" s="103">
        <v>1.1787784E7</v>
      </c>
      <c r="B445" s="238">
        <v>9.000272416E9</v>
      </c>
      <c r="C445" s="463">
        <v>45936.0</v>
      </c>
      <c r="D445" s="84">
        <v>28.0</v>
      </c>
      <c r="E445" s="84">
        <v>34058.0</v>
      </c>
      <c r="F445" s="103" t="s">
        <v>31</v>
      </c>
      <c r="G445" s="84" t="s">
        <v>44</v>
      </c>
      <c r="H445" s="25" t="s">
        <v>104</v>
      </c>
      <c r="I445" s="25" t="s">
        <v>105</v>
      </c>
      <c r="J445" s="12" t="s">
        <v>35</v>
      </c>
      <c r="K445" s="84" t="s">
        <v>106</v>
      </c>
      <c r="L445" s="98" t="s">
        <v>59</v>
      </c>
      <c r="M445" s="12"/>
      <c r="N445" s="133">
        <v>5337.0</v>
      </c>
      <c r="O445" s="187"/>
      <c r="P445" s="15"/>
      <c r="Q445" s="12"/>
      <c r="R445" s="12"/>
      <c r="S445" s="84" t="s">
        <v>165</v>
      </c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</row>
    <row r="446" ht="15.75" customHeight="1">
      <c r="A446" s="103">
        <v>1.1787786E7</v>
      </c>
      <c r="B446" s="238">
        <v>9.000272254E9</v>
      </c>
      <c r="C446" s="463">
        <v>45936.0</v>
      </c>
      <c r="D446" s="84">
        <v>27.0</v>
      </c>
      <c r="E446" s="84">
        <v>34716.0</v>
      </c>
      <c r="F446" s="103" t="s">
        <v>31</v>
      </c>
      <c r="G446" s="84" t="s">
        <v>44</v>
      </c>
      <c r="H446" s="25" t="s">
        <v>104</v>
      </c>
      <c r="I446" s="25" t="s">
        <v>105</v>
      </c>
      <c r="J446" s="12" t="s">
        <v>35</v>
      </c>
      <c r="K446" s="84" t="s">
        <v>106</v>
      </c>
      <c r="L446" s="98" t="s">
        <v>59</v>
      </c>
      <c r="M446" s="12"/>
      <c r="N446" s="133">
        <v>5337.0</v>
      </c>
      <c r="O446" s="187"/>
      <c r="P446" s="15"/>
      <c r="Q446" s="12"/>
      <c r="R446" s="12"/>
      <c r="S446" s="84" t="s">
        <v>165</v>
      </c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</row>
    <row r="447" ht="15.75" customHeight="1">
      <c r="A447" s="103">
        <v>1.1797061E7</v>
      </c>
      <c r="B447" s="84">
        <v>9.000285485E9</v>
      </c>
      <c r="C447" s="463">
        <v>45936.0</v>
      </c>
      <c r="D447" s="84">
        <v>26.0</v>
      </c>
      <c r="E447" s="84">
        <v>33430.0</v>
      </c>
      <c r="F447" s="103" t="s">
        <v>31</v>
      </c>
      <c r="G447" s="168" t="s">
        <v>44</v>
      </c>
      <c r="H447" s="169" t="s">
        <v>45</v>
      </c>
      <c r="I447" s="209" t="s">
        <v>46</v>
      </c>
      <c r="J447" s="12" t="s">
        <v>35</v>
      </c>
      <c r="K447" s="14" t="s">
        <v>47</v>
      </c>
      <c r="L447" s="98" t="s">
        <v>110</v>
      </c>
      <c r="M447" s="198"/>
      <c r="N447" s="133">
        <v>2545.0</v>
      </c>
      <c r="O447" s="73">
        <f>IFERROR(P447/N447,0)</f>
        <v>0</v>
      </c>
      <c r="P447" s="15"/>
      <c r="Q447" s="12"/>
      <c r="R447" s="12"/>
      <c r="S447" s="84" t="s">
        <v>165</v>
      </c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</row>
    <row r="448" ht="15.75" customHeight="1">
      <c r="A448" s="103">
        <v>1.1797062E7</v>
      </c>
      <c r="B448" s="84">
        <v>9.000285288E9</v>
      </c>
      <c r="C448" s="463">
        <v>45937.0</v>
      </c>
      <c r="D448" s="84">
        <v>28.0</v>
      </c>
      <c r="E448" s="84">
        <v>34295.0</v>
      </c>
      <c r="F448" s="219" t="s">
        <v>43</v>
      </c>
      <c r="G448" s="168" t="s">
        <v>44</v>
      </c>
      <c r="H448" s="169" t="s">
        <v>45</v>
      </c>
      <c r="I448" s="209" t="s">
        <v>46</v>
      </c>
      <c r="J448" s="12" t="s">
        <v>35</v>
      </c>
      <c r="K448" s="14" t="s">
        <v>47</v>
      </c>
      <c r="L448" s="98" t="s">
        <v>110</v>
      </c>
      <c r="M448" s="198"/>
      <c r="N448" s="133">
        <v>2335.8</v>
      </c>
      <c r="O448" s="73"/>
      <c r="P448" s="15"/>
      <c r="Q448" s="12"/>
      <c r="R448" s="12"/>
      <c r="S448" s="84" t="s">
        <v>165</v>
      </c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</row>
    <row r="449" ht="15.75" customHeight="1">
      <c r="A449" s="103">
        <v>1.1797063E7</v>
      </c>
      <c r="B449" s="84">
        <v>9.000285473E9</v>
      </c>
      <c r="C449" s="463">
        <v>45937.0</v>
      </c>
      <c r="D449" s="84">
        <v>15.0</v>
      </c>
      <c r="E449" s="84">
        <v>17135.0</v>
      </c>
      <c r="F449" s="169" t="s">
        <v>43</v>
      </c>
      <c r="G449" s="168" t="s">
        <v>44</v>
      </c>
      <c r="H449" s="176" t="s">
        <v>3026</v>
      </c>
      <c r="I449" s="209" t="s">
        <v>46</v>
      </c>
      <c r="J449" s="14" t="s">
        <v>47</v>
      </c>
      <c r="K449" s="12" t="s">
        <v>35</v>
      </c>
      <c r="L449" s="95" t="s">
        <v>110</v>
      </c>
      <c r="M449" s="198"/>
      <c r="N449" s="133">
        <v>1557.2</v>
      </c>
      <c r="O449" s="73">
        <f t="shared" ref="O449:O450" si="23">IFERROR(P449/N449,0)</f>
        <v>0</v>
      </c>
      <c r="P449" s="15"/>
      <c r="Q449" s="12"/>
      <c r="R449" s="12"/>
      <c r="S449" s="84" t="s">
        <v>165</v>
      </c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</row>
    <row r="450" ht="15.75" customHeight="1">
      <c r="A450" s="103">
        <v>1.1798344E7</v>
      </c>
      <c r="B450" s="84">
        <v>9.000287431E9</v>
      </c>
      <c r="C450" s="463">
        <v>45936.0</v>
      </c>
      <c r="D450" s="84">
        <v>26.0</v>
      </c>
      <c r="E450" s="84">
        <v>31625.0</v>
      </c>
      <c r="F450" s="103" t="s">
        <v>31</v>
      </c>
      <c r="G450" s="84" t="s">
        <v>44</v>
      </c>
      <c r="H450" s="169" t="s">
        <v>268</v>
      </c>
      <c r="I450" s="194" t="s">
        <v>1958</v>
      </c>
      <c r="J450" s="169" t="s">
        <v>35</v>
      </c>
      <c r="K450" s="169" t="s">
        <v>270</v>
      </c>
      <c r="L450" s="171" t="s">
        <v>94</v>
      </c>
      <c r="M450" s="12"/>
      <c r="N450" s="133">
        <v>6410.0</v>
      </c>
      <c r="O450" s="73">
        <f t="shared" si="23"/>
        <v>0</v>
      </c>
      <c r="P450" s="15"/>
      <c r="Q450" s="12"/>
      <c r="R450" s="12"/>
      <c r="S450" s="84" t="s">
        <v>165</v>
      </c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</row>
    <row r="451" ht="15.75" customHeight="1">
      <c r="A451" s="103">
        <v>1.180626E7</v>
      </c>
      <c r="B451" s="238">
        <v>9.000297052E9</v>
      </c>
      <c r="C451" s="463">
        <v>45939.0</v>
      </c>
      <c r="D451" s="84">
        <v>26.0</v>
      </c>
      <c r="E451" s="84">
        <v>31738.0</v>
      </c>
      <c r="F451" s="103" t="s">
        <v>31</v>
      </c>
      <c r="G451" s="84" t="s">
        <v>44</v>
      </c>
      <c r="H451" s="25" t="s">
        <v>104</v>
      </c>
      <c r="I451" s="25" t="s">
        <v>105</v>
      </c>
      <c r="J451" s="12" t="s">
        <v>35</v>
      </c>
      <c r="K451" s="84" t="s">
        <v>106</v>
      </c>
      <c r="L451" s="98" t="s">
        <v>59</v>
      </c>
      <c r="M451" s="84"/>
      <c r="N451" s="133">
        <v>5337.0</v>
      </c>
      <c r="O451" s="73"/>
      <c r="P451" s="15"/>
      <c r="Q451" s="12"/>
      <c r="R451" s="12"/>
      <c r="S451" s="84" t="s">
        <v>165</v>
      </c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</row>
    <row r="452" ht="15.75" customHeight="1">
      <c r="A452" s="103">
        <v>1.1804086E7</v>
      </c>
      <c r="B452" s="238">
        <v>9.000294928E9</v>
      </c>
      <c r="C452" s="11">
        <v>45940.0</v>
      </c>
      <c r="D452" s="84">
        <v>27.0</v>
      </c>
      <c r="E452" s="84">
        <v>34716.0</v>
      </c>
      <c r="F452" s="103" t="s">
        <v>31</v>
      </c>
      <c r="G452" s="84" t="s">
        <v>32</v>
      </c>
      <c r="H452" s="84" t="s">
        <v>2024</v>
      </c>
      <c r="I452" s="12"/>
      <c r="J452" s="170" t="s">
        <v>35</v>
      </c>
      <c r="K452" s="84" t="s">
        <v>3027</v>
      </c>
      <c r="L452" s="98" t="s">
        <v>188</v>
      </c>
      <c r="M452" s="12"/>
      <c r="N452" s="133">
        <v>5323.0</v>
      </c>
      <c r="O452" s="73"/>
      <c r="P452" s="15"/>
      <c r="Q452" s="12"/>
      <c r="R452" s="12"/>
      <c r="S452" s="84" t="s">
        <v>165</v>
      </c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</row>
    <row r="453" ht="15.75" customHeight="1">
      <c r="A453" s="103">
        <v>1.1806259E7</v>
      </c>
      <c r="B453" s="238">
        <v>9.000296962E9</v>
      </c>
      <c r="C453" s="11">
        <v>45940.0</v>
      </c>
      <c r="D453" s="84">
        <v>27.0</v>
      </c>
      <c r="E453" s="84">
        <v>34414.0</v>
      </c>
      <c r="F453" s="103" t="s">
        <v>31</v>
      </c>
      <c r="G453" s="84" t="s">
        <v>44</v>
      </c>
      <c r="H453" s="25" t="s">
        <v>104</v>
      </c>
      <c r="I453" s="25" t="s">
        <v>105</v>
      </c>
      <c r="J453" s="12" t="s">
        <v>35</v>
      </c>
      <c r="K453" s="84" t="s">
        <v>106</v>
      </c>
      <c r="L453" s="98" t="s">
        <v>59</v>
      </c>
      <c r="M453" s="84"/>
      <c r="N453" s="133">
        <v>5337.0</v>
      </c>
      <c r="O453" s="73"/>
      <c r="P453" s="15"/>
      <c r="Q453" s="12"/>
      <c r="R453" s="12"/>
      <c r="S453" s="84" t="s">
        <v>165</v>
      </c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</row>
    <row r="454" ht="15.75" customHeight="1">
      <c r="A454" s="103">
        <v>1.180409E7</v>
      </c>
      <c r="B454" s="84">
        <v>9.000294987E9</v>
      </c>
      <c r="C454" s="11">
        <v>45941.0</v>
      </c>
      <c r="D454" s="84">
        <v>27.0</v>
      </c>
      <c r="E454" s="84">
        <v>34716.0</v>
      </c>
      <c r="F454" s="103" t="s">
        <v>31</v>
      </c>
      <c r="G454" s="84" t="s">
        <v>32</v>
      </c>
      <c r="H454" s="84" t="s">
        <v>2024</v>
      </c>
      <c r="I454" s="84" t="s">
        <v>125</v>
      </c>
      <c r="J454" s="25" t="s">
        <v>35</v>
      </c>
      <c r="K454" s="84" t="s">
        <v>2025</v>
      </c>
      <c r="L454" s="98" t="s">
        <v>94</v>
      </c>
      <c r="M454" s="12"/>
      <c r="N454" s="24"/>
      <c r="O454" s="73"/>
      <c r="P454" s="15"/>
      <c r="Q454" s="12"/>
      <c r="R454" s="12"/>
      <c r="S454" s="84" t="s">
        <v>165</v>
      </c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</row>
    <row r="455" ht="15.75" customHeight="1">
      <c r="A455" s="191">
        <v>1.1806258E7</v>
      </c>
      <c r="B455" s="464">
        <v>9.00029713E9</v>
      </c>
      <c r="C455" s="465">
        <v>45943.0</v>
      </c>
      <c r="D455" s="192">
        <v>28.0</v>
      </c>
      <c r="E455" s="192">
        <v>34058.0</v>
      </c>
      <c r="F455" s="219" t="s">
        <v>31</v>
      </c>
      <c r="G455" s="208" t="s">
        <v>44</v>
      </c>
      <c r="H455" s="170" t="s">
        <v>104</v>
      </c>
      <c r="I455" s="171" t="s">
        <v>105</v>
      </c>
      <c r="J455" s="169" t="s">
        <v>35</v>
      </c>
      <c r="K455" s="169" t="s">
        <v>106</v>
      </c>
      <c r="L455" s="209" t="s">
        <v>59</v>
      </c>
      <c r="M455" s="198"/>
      <c r="N455" s="196">
        <v>5337.0</v>
      </c>
      <c r="O455" s="187">
        <f t="shared" ref="O455:O460" si="24">IFERROR(P455/N455,0)</f>
        <v>0</v>
      </c>
      <c r="P455" s="466"/>
      <c r="Q455" s="198"/>
      <c r="R455" s="198"/>
      <c r="S455" s="84" t="s">
        <v>165</v>
      </c>
      <c r="T455" s="198"/>
      <c r="U455" s="198"/>
      <c r="V455" s="198"/>
      <c r="W455" s="198"/>
      <c r="X455" s="198"/>
      <c r="Y455" s="198"/>
      <c r="Z455" s="198"/>
      <c r="AA455" s="198"/>
      <c r="AB455" s="198"/>
      <c r="AC455" s="198"/>
      <c r="AD455" s="198"/>
      <c r="AE455" s="198"/>
      <c r="AF455" s="198"/>
      <c r="AG455" s="199"/>
      <c r="AH455" s="199"/>
      <c r="AI455" s="199"/>
      <c r="AJ455" s="199"/>
      <c r="AK455" s="199"/>
      <c r="AL455" s="199"/>
      <c r="AM455" s="199"/>
      <c r="AN455" s="199"/>
      <c r="AO455" s="199"/>
      <c r="AP455" s="426"/>
    </row>
    <row r="456" ht="15.75" customHeight="1">
      <c r="A456" s="191">
        <v>1.1806257E7</v>
      </c>
      <c r="B456" s="464">
        <v>9.000297155E9</v>
      </c>
      <c r="C456" s="465">
        <v>45943.0</v>
      </c>
      <c r="D456" s="192">
        <v>27.0</v>
      </c>
      <c r="E456" s="192">
        <v>34414.0</v>
      </c>
      <c r="F456" s="219" t="s">
        <v>31</v>
      </c>
      <c r="G456" s="208" t="s">
        <v>44</v>
      </c>
      <c r="H456" s="170" t="s">
        <v>104</v>
      </c>
      <c r="I456" s="171" t="s">
        <v>105</v>
      </c>
      <c r="J456" s="169" t="s">
        <v>35</v>
      </c>
      <c r="K456" s="169" t="s">
        <v>106</v>
      </c>
      <c r="L456" s="209" t="s">
        <v>59</v>
      </c>
      <c r="M456" s="198"/>
      <c r="N456" s="196">
        <v>5337.0</v>
      </c>
      <c r="O456" s="187">
        <f t="shared" si="24"/>
        <v>0</v>
      </c>
      <c r="P456" s="466"/>
      <c r="Q456" s="198"/>
      <c r="R456" s="198"/>
      <c r="S456" s="84" t="s">
        <v>165</v>
      </c>
      <c r="T456" s="198"/>
      <c r="U456" s="198"/>
      <c r="V456" s="198"/>
      <c r="W456" s="198"/>
      <c r="X456" s="198"/>
      <c r="Y456" s="198"/>
      <c r="Z456" s="198"/>
      <c r="AA456" s="198"/>
      <c r="AB456" s="198"/>
      <c r="AC456" s="198"/>
      <c r="AD456" s="198"/>
      <c r="AE456" s="198"/>
      <c r="AF456" s="198"/>
      <c r="AG456" s="199"/>
      <c r="AH456" s="199"/>
      <c r="AI456" s="199"/>
      <c r="AJ456" s="199"/>
      <c r="AK456" s="199"/>
      <c r="AL456" s="199"/>
      <c r="AM456" s="199"/>
      <c r="AN456" s="199"/>
      <c r="AO456" s="199"/>
      <c r="AP456" s="426"/>
    </row>
    <row r="457" ht="15.75" customHeight="1">
      <c r="A457" s="191">
        <v>1.1808498E7</v>
      </c>
      <c r="B457" s="464">
        <v>9.000299983E9</v>
      </c>
      <c r="C457" s="465">
        <v>45943.0</v>
      </c>
      <c r="D457" s="192">
        <v>26.0</v>
      </c>
      <c r="E457" s="192">
        <v>32597.0</v>
      </c>
      <c r="F457" s="219" t="s">
        <v>31</v>
      </c>
      <c r="G457" s="208" t="s">
        <v>32</v>
      </c>
      <c r="H457" s="169" t="s">
        <v>2024</v>
      </c>
      <c r="I457" s="466"/>
      <c r="J457" s="170" t="s">
        <v>35</v>
      </c>
      <c r="K457" s="169" t="s">
        <v>3027</v>
      </c>
      <c r="L457" s="209" t="s">
        <v>188</v>
      </c>
      <c r="M457" s="198"/>
      <c r="N457" s="196">
        <v>5323.0</v>
      </c>
      <c r="O457" s="187">
        <f t="shared" si="24"/>
        <v>0</v>
      </c>
      <c r="P457" s="466"/>
      <c r="Q457" s="198"/>
      <c r="R457" s="198"/>
      <c r="S457" s="84" t="s">
        <v>165</v>
      </c>
      <c r="T457" s="198"/>
      <c r="U457" s="198"/>
      <c r="V457" s="198"/>
      <c r="W457" s="198"/>
      <c r="X457" s="198"/>
      <c r="Y457" s="198"/>
      <c r="Z457" s="198"/>
      <c r="AA457" s="198"/>
      <c r="AB457" s="198"/>
      <c r="AC457" s="198"/>
      <c r="AD457" s="198"/>
      <c r="AE457" s="198"/>
      <c r="AF457" s="198"/>
      <c r="AG457" s="199"/>
      <c r="AH457" s="199"/>
      <c r="AI457" s="199"/>
      <c r="AJ457" s="199"/>
      <c r="AK457" s="199"/>
      <c r="AL457" s="199"/>
      <c r="AM457" s="199"/>
      <c r="AN457" s="199"/>
      <c r="AO457" s="199"/>
      <c r="AP457" s="426"/>
    </row>
    <row r="458" ht="15.75" customHeight="1">
      <c r="A458" s="191">
        <v>1.1809823E7</v>
      </c>
      <c r="B458" s="464">
        <v>9.000302641E9</v>
      </c>
      <c r="C458" s="465">
        <v>45945.0</v>
      </c>
      <c r="D458" s="192">
        <v>26.0</v>
      </c>
      <c r="E458" s="192">
        <v>33430.0</v>
      </c>
      <c r="F458" s="219" t="s">
        <v>31</v>
      </c>
      <c r="G458" s="208" t="s">
        <v>44</v>
      </c>
      <c r="H458" s="169" t="s">
        <v>45</v>
      </c>
      <c r="I458" s="209" t="s">
        <v>46</v>
      </c>
      <c r="J458" s="169" t="s">
        <v>35</v>
      </c>
      <c r="K458" s="169" t="s">
        <v>47</v>
      </c>
      <c r="L458" s="209" t="s">
        <v>108</v>
      </c>
      <c r="M458" s="198"/>
      <c r="N458" s="196">
        <v>2545.0</v>
      </c>
      <c r="O458" s="187">
        <f t="shared" si="24"/>
        <v>0</v>
      </c>
      <c r="P458" s="466"/>
      <c r="Q458" s="198"/>
      <c r="R458" s="198"/>
      <c r="S458" s="84" t="s">
        <v>165</v>
      </c>
      <c r="T458" s="198"/>
      <c r="U458" s="198"/>
      <c r="V458" s="198"/>
      <c r="W458" s="198"/>
      <c r="X458" s="198"/>
      <c r="Y458" s="198"/>
      <c r="Z458" s="198"/>
      <c r="AA458" s="198"/>
      <c r="AB458" s="198"/>
      <c r="AC458" s="198"/>
      <c r="AD458" s="198"/>
      <c r="AE458" s="198"/>
      <c r="AF458" s="198"/>
      <c r="AG458" s="199"/>
      <c r="AH458" s="199"/>
      <c r="AI458" s="199"/>
      <c r="AJ458" s="199"/>
      <c r="AK458" s="199"/>
      <c r="AL458" s="199"/>
      <c r="AM458" s="199"/>
      <c r="AN458" s="199"/>
      <c r="AO458" s="199"/>
      <c r="AP458" s="426"/>
    </row>
    <row r="459" ht="15.75" customHeight="1">
      <c r="A459" s="103">
        <v>1.1786927E7</v>
      </c>
      <c r="B459" s="84">
        <v>9.000270905E9</v>
      </c>
      <c r="C459" s="463">
        <v>45939.0</v>
      </c>
      <c r="D459" s="84">
        <v>28.0</v>
      </c>
      <c r="E459" s="84">
        <v>34295.0</v>
      </c>
      <c r="F459" s="219" t="s">
        <v>43</v>
      </c>
      <c r="G459" s="168" t="s">
        <v>44</v>
      </c>
      <c r="H459" s="169" t="s">
        <v>268</v>
      </c>
      <c r="I459" s="194" t="s">
        <v>1958</v>
      </c>
      <c r="J459" s="169" t="s">
        <v>35</v>
      </c>
      <c r="K459" s="169" t="s">
        <v>270</v>
      </c>
      <c r="L459" s="171" t="s">
        <v>94</v>
      </c>
      <c r="M459" s="198"/>
      <c r="N459" s="133">
        <v>5847.0</v>
      </c>
      <c r="O459" s="73">
        <f t="shared" si="24"/>
        <v>0</v>
      </c>
      <c r="P459" s="15"/>
      <c r="Q459" s="12"/>
      <c r="R459" s="12"/>
      <c r="S459" s="84" t="s">
        <v>165</v>
      </c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</row>
    <row r="460" ht="15.75" customHeight="1">
      <c r="A460" s="103">
        <v>1.1786939E7</v>
      </c>
      <c r="B460" s="84">
        <v>9.000270948E9</v>
      </c>
      <c r="C460" s="463">
        <v>45939.0</v>
      </c>
      <c r="D460" s="84">
        <v>15.0</v>
      </c>
      <c r="E460" s="84">
        <v>17135.0</v>
      </c>
      <c r="F460" s="169" t="s">
        <v>43</v>
      </c>
      <c r="G460" s="168" t="s">
        <v>44</v>
      </c>
      <c r="H460" s="169" t="s">
        <v>3028</v>
      </c>
      <c r="I460" s="194" t="s">
        <v>1957</v>
      </c>
      <c r="J460" s="170" t="s">
        <v>270</v>
      </c>
      <c r="K460" s="170" t="s">
        <v>35</v>
      </c>
      <c r="L460" s="171" t="s">
        <v>43</v>
      </c>
      <c r="M460" s="169"/>
      <c r="N460" s="133">
        <v>3898.0</v>
      </c>
      <c r="O460" s="73">
        <f t="shared" si="24"/>
        <v>0</v>
      </c>
      <c r="P460" s="15"/>
      <c r="Q460" s="12"/>
      <c r="R460" s="12"/>
      <c r="S460" s="84" t="s">
        <v>165</v>
      </c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</row>
    <row r="461" ht="15.75" customHeight="1">
      <c r="A461" s="103">
        <v>1.1829077E7</v>
      </c>
      <c r="B461" s="84">
        <v>9.000325865E9</v>
      </c>
      <c r="C461" s="11">
        <v>45948.0</v>
      </c>
      <c r="D461" s="84">
        <v>27.0</v>
      </c>
      <c r="E461" s="84">
        <v>34716.0</v>
      </c>
      <c r="F461" s="103" t="s">
        <v>31</v>
      </c>
      <c r="G461" s="84" t="s">
        <v>32</v>
      </c>
      <c r="H461" s="12" t="s">
        <v>111</v>
      </c>
      <c r="I461" s="25" t="s">
        <v>112</v>
      </c>
      <c r="J461" s="12" t="s">
        <v>35</v>
      </c>
      <c r="K461" s="12" t="s">
        <v>113</v>
      </c>
      <c r="L461" s="25" t="s">
        <v>114</v>
      </c>
      <c r="M461" s="12"/>
      <c r="N461" s="133">
        <v>5323.0</v>
      </c>
      <c r="O461" s="73"/>
      <c r="P461" s="15"/>
      <c r="Q461" s="12"/>
      <c r="R461" s="12"/>
      <c r="S461" s="84" t="s">
        <v>165</v>
      </c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</row>
    <row r="462" ht="15.75" customHeight="1">
      <c r="A462" s="103">
        <v>1.1837582E7</v>
      </c>
      <c r="B462" s="84">
        <v>9.000338589E9</v>
      </c>
      <c r="C462" s="11">
        <v>45953.0</v>
      </c>
      <c r="D462" s="84">
        <v>27.0</v>
      </c>
      <c r="E462" s="84">
        <v>34414.0</v>
      </c>
      <c r="F462" s="103" t="s">
        <v>31</v>
      </c>
      <c r="G462" s="84" t="s">
        <v>44</v>
      </c>
      <c r="H462" s="25" t="s">
        <v>104</v>
      </c>
      <c r="I462" s="25" t="s">
        <v>105</v>
      </c>
      <c r="J462" s="12" t="s">
        <v>35</v>
      </c>
      <c r="K462" s="84" t="s">
        <v>106</v>
      </c>
      <c r="L462" s="98" t="s">
        <v>59</v>
      </c>
      <c r="M462" s="84"/>
      <c r="N462" s="133">
        <v>5337.0</v>
      </c>
      <c r="O462" s="73"/>
      <c r="P462" s="15"/>
      <c r="Q462" s="12"/>
      <c r="R462" s="12"/>
      <c r="S462" s="84" t="s">
        <v>165</v>
      </c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</row>
    <row r="463" ht="15.75" customHeight="1">
      <c r="A463" s="103">
        <v>1.1837583E7</v>
      </c>
      <c r="B463" s="84">
        <v>9.000338559E9</v>
      </c>
      <c r="C463" s="11">
        <v>45953.0</v>
      </c>
      <c r="D463" s="84">
        <v>28.0</v>
      </c>
      <c r="E463" s="84">
        <v>34058.0</v>
      </c>
      <c r="F463" s="103" t="s">
        <v>31</v>
      </c>
      <c r="G463" s="84" t="s">
        <v>44</v>
      </c>
      <c r="H463" s="25" t="s">
        <v>104</v>
      </c>
      <c r="I463" s="25" t="s">
        <v>105</v>
      </c>
      <c r="J463" s="12" t="s">
        <v>35</v>
      </c>
      <c r="K463" s="84" t="s">
        <v>106</v>
      </c>
      <c r="L463" s="98" t="s">
        <v>59</v>
      </c>
      <c r="M463" s="84"/>
      <c r="N463" s="133">
        <v>5337.0</v>
      </c>
      <c r="O463" s="73"/>
      <c r="P463" s="15"/>
      <c r="Q463" s="12"/>
      <c r="R463" s="12"/>
      <c r="S463" s="84" t="s">
        <v>165</v>
      </c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</row>
    <row r="464" ht="15.75" customHeight="1">
      <c r="A464" s="103">
        <v>1.1845312E7</v>
      </c>
      <c r="B464" s="84">
        <v>9.00034696E9</v>
      </c>
      <c r="C464" s="11">
        <v>45955.0</v>
      </c>
      <c r="D464" s="84">
        <v>24.0</v>
      </c>
      <c r="E464" s="84">
        <v>28304.0</v>
      </c>
      <c r="F464" s="103" t="s">
        <v>31</v>
      </c>
      <c r="G464" s="84" t="s">
        <v>74</v>
      </c>
      <c r="H464" s="84" t="s">
        <v>1859</v>
      </c>
      <c r="I464" s="29" t="s">
        <v>427</v>
      </c>
      <c r="J464" s="25" t="s">
        <v>35</v>
      </c>
      <c r="K464" s="93" t="s">
        <v>673</v>
      </c>
      <c r="L464" s="95" t="s">
        <v>108</v>
      </c>
      <c r="M464" s="12"/>
      <c r="N464" s="133">
        <v>2637.0</v>
      </c>
      <c r="O464" s="73"/>
      <c r="P464" s="15"/>
      <c r="Q464" s="12"/>
      <c r="R464" s="12"/>
      <c r="S464" s="84" t="s">
        <v>165</v>
      </c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</row>
    <row r="465" ht="15.75" customHeight="1">
      <c r="A465" s="103">
        <v>1.1844506E7</v>
      </c>
      <c r="B465" s="84">
        <v>9.000347064E9</v>
      </c>
      <c r="C465" s="11">
        <v>45954.0</v>
      </c>
      <c r="D465" s="84">
        <v>28.0</v>
      </c>
      <c r="E465" s="84">
        <v>34058.0</v>
      </c>
      <c r="F465" s="103" t="s">
        <v>31</v>
      </c>
      <c r="G465" s="84" t="s">
        <v>32</v>
      </c>
      <c r="H465" s="12" t="s">
        <v>111</v>
      </c>
      <c r="I465" s="25" t="s">
        <v>112</v>
      </c>
      <c r="J465" s="12" t="s">
        <v>35</v>
      </c>
      <c r="K465" s="12" t="s">
        <v>113</v>
      </c>
      <c r="L465" s="25" t="s">
        <v>114</v>
      </c>
      <c r="M465" s="12"/>
      <c r="N465" s="133">
        <v>5070.0</v>
      </c>
      <c r="O465" s="73"/>
      <c r="P465" s="15"/>
      <c r="Q465" s="12"/>
      <c r="R465" s="12"/>
      <c r="S465" s="84" t="s">
        <v>165</v>
      </c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</row>
    <row r="466" ht="15.75" customHeight="1">
      <c r="A466" s="103">
        <v>1.184896E7</v>
      </c>
      <c r="B466" s="84">
        <v>9.000354761E9</v>
      </c>
      <c r="C466" s="11">
        <v>45954.0</v>
      </c>
      <c r="D466" s="84">
        <v>28.0</v>
      </c>
      <c r="E466" s="84">
        <v>34295.0</v>
      </c>
      <c r="F466" s="169" t="s">
        <v>43</v>
      </c>
      <c r="G466" s="236" t="s">
        <v>44</v>
      </c>
      <c r="H466" s="169" t="s">
        <v>45</v>
      </c>
      <c r="I466" s="209" t="s">
        <v>46</v>
      </c>
      <c r="J466" s="12" t="s">
        <v>35</v>
      </c>
      <c r="K466" s="14" t="s">
        <v>47</v>
      </c>
      <c r="L466" s="98" t="s">
        <v>110</v>
      </c>
      <c r="M466" s="238"/>
      <c r="N466" s="133">
        <v>1854.0</v>
      </c>
      <c r="O466" s="73"/>
      <c r="P466" s="15"/>
      <c r="Q466" s="12"/>
      <c r="R466" s="12"/>
      <c r="S466" s="84" t="s">
        <v>165</v>
      </c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</row>
    <row r="467" ht="15.75" customHeight="1">
      <c r="A467" s="103">
        <v>1.1848961E7</v>
      </c>
      <c r="B467" s="84">
        <v>9.000354676E9</v>
      </c>
      <c r="C467" s="11">
        <v>45954.0</v>
      </c>
      <c r="D467" s="84">
        <v>15.0</v>
      </c>
      <c r="E467" s="84">
        <v>17135.0</v>
      </c>
      <c r="F467" s="169" t="s">
        <v>43</v>
      </c>
      <c r="G467" s="236" t="s">
        <v>44</v>
      </c>
      <c r="H467" s="176" t="s">
        <v>3029</v>
      </c>
      <c r="I467" s="194" t="s">
        <v>1957</v>
      </c>
      <c r="J467" s="14" t="s">
        <v>47</v>
      </c>
      <c r="K467" s="12" t="s">
        <v>35</v>
      </c>
      <c r="L467" s="95" t="s">
        <v>110</v>
      </c>
      <c r="M467" s="238"/>
      <c r="N467" s="133">
        <v>1854.0</v>
      </c>
      <c r="O467" s="73"/>
      <c r="P467" s="15"/>
      <c r="Q467" s="12"/>
      <c r="R467" s="12"/>
      <c r="S467" s="84" t="s">
        <v>165</v>
      </c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</row>
    <row r="468" ht="15.75" customHeight="1">
      <c r="A468" s="103">
        <v>1.1863223E7</v>
      </c>
      <c r="B468" s="84">
        <v>9.000369614E9</v>
      </c>
      <c r="C468" s="11">
        <v>45968.0</v>
      </c>
      <c r="D468" s="84">
        <v>26.0</v>
      </c>
      <c r="E468" s="84">
        <v>31625.0</v>
      </c>
      <c r="F468" s="103" t="s">
        <v>31</v>
      </c>
      <c r="G468" s="84" t="s">
        <v>44</v>
      </c>
      <c r="H468" s="163" t="s">
        <v>104</v>
      </c>
      <c r="I468" s="164" t="s">
        <v>105</v>
      </c>
      <c r="J468" s="164" t="s">
        <v>35</v>
      </c>
      <c r="K468" s="163" t="s">
        <v>106</v>
      </c>
      <c r="L468" s="165" t="s">
        <v>59</v>
      </c>
      <c r="M468" s="12"/>
      <c r="N468" s="133">
        <v>5083.0</v>
      </c>
      <c r="O468" s="73">
        <f>IFERROR(P468/N468,0)</f>
        <v>0</v>
      </c>
      <c r="P468" s="15"/>
      <c r="Q468" s="12"/>
      <c r="R468" s="12"/>
      <c r="S468" s="84" t="s">
        <v>165</v>
      </c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</row>
    <row r="469" ht="15.75" customHeight="1">
      <c r="A469" s="103">
        <v>1.1886578E7</v>
      </c>
      <c r="B469" s="84">
        <v>9.000396273E9</v>
      </c>
      <c r="C469" s="11">
        <v>45968.0</v>
      </c>
      <c r="D469" s="84">
        <v>26.0</v>
      </c>
      <c r="E469" s="84">
        <v>31845.0</v>
      </c>
      <c r="F469" s="219" t="s">
        <v>43</v>
      </c>
      <c r="G469" s="168" t="s">
        <v>44</v>
      </c>
      <c r="H469" s="12" t="s">
        <v>111</v>
      </c>
      <c r="I469" s="25" t="s">
        <v>112</v>
      </c>
      <c r="J469" s="12" t="s">
        <v>35</v>
      </c>
      <c r="K469" s="12" t="s">
        <v>113</v>
      </c>
      <c r="L469" s="25" t="s">
        <v>114</v>
      </c>
      <c r="M469" s="12"/>
      <c r="N469" s="133">
        <v>4540.0</v>
      </c>
      <c r="O469" s="73"/>
      <c r="P469" s="15"/>
      <c r="Q469" s="12"/>
      <c r="R469" s="12"/>
      <c r="S469" s="84" t="s">
        <v>165</v>
      </c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</row>
    <row r="470" ht="15.75" customHeight="1">
      <c r="A470" s="103">
        <v>1.1886579E7</v>
      </c>
      <c r="B470" s="84">
        <v>9.000396279E9</v>
      </c>
      <c r="C470" s="11">
        <v>45968.0</v>
      </c>
      <c r="D470" s="84">
        <v>14.0</v>
      </c>
      <c r="E470" s="84">
        <v>15911.0</v>
      </c>
      <c r="F470" s="169" t="s">
        <v>43</v>
      </c>
      <c r="G470" s="168" t="s">
        <v>44</v>
      </c>
      <c r="H470" s="84" t="s">
        <v>3030</v>
      </c>
      <c r="I470" s="25" t="s">
        <v>112</v>
      </c>
      <c r="J470" s="12" t="s">
        <v>113</v>
      </c>
      <c r="K470" s="12" t="s">
        <v>35</v>
      </c>
      <c r="L470" s="25" t="s">
        <v>114</v>
      </c>
      <c r="M470" s="12"/>
      <c r="N470" s="133">
        <v>4540.0</v>
      </c>
      <c r="O470" s="73"/>
      <c r="P470" s="15"/>
      <c r="Q470" s="12"/>
      <c r="R470" s="12"/>
      <c r="S470" s="84" t="s">
        <v>165</v>
      </c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</row>
    <row r="471" ht="15.75" customHeight="1">
      <c r="A471" s="9">
        <v>1.1865561E7</v>
      </c>
      <c r="B471" s="84">
        <v>9.000374436E9</v>
      </c>
      <c r="C471" s="11">
        <v>45964.0</v>
      </c>
      <c r="D471" s="84">
        <v>26.0</v>
      </c>
      <c r="E471" s="84">
        <v>32455.0</v>
      </c>
      <c r="F471" s="219" t="s">
        <v>43</v>
      </c>
      <c r="G471" s="168" t="s">
        <v>44</v>
      </c>
      <c r="H471" s="169" t="s">
        <v>268</v>
      </c>
      <c r="I471" s="194" t="s">
        <v>1958</v>
      </c>
      <c r="J471" s="169" t="s">
        <v>35</v>
      </c>
      <c r="K471" s="169" t="s">
        <v>270</v>
      </c>
      <c r="L471" s="171" t="s">
        <v>94</v>
      </c>
      <c r="M471" s="216"/>
      <c r="N471" s="133">
        <v>4872.5</v>
      </c>
      <c r="O471" s="73">
        <f t="shared" ref="O471:O476" si="25">IFERROR(P471/N471,0)</f>
        <v>0</v>
      </c>
      <c r="P471" s="15"/>
      <c r="Q471" s="12"/>
      <c r="R471" s="84">
        <v>5625148.0</v>
      </c>
      <c r="S471" s="84" t="s">
        <v>165</v>
      </c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</row>
    <row r="472" ht="15.75" customHeight="1">
      <c r="A472" s="9">
        <v>1.1865562E7</v>
      </c>
      <c r="B472" s="84">
        <v>9.000374489E9</v>
      </c>
      <c r="C472" s="11">
        <v>45964.0</v>
      </c>
      <c r="D472" s="84">
        <v>9.0</v>
      </c>
      <c r="E472" s="84">
        <v>9791.0</v>
      </c>
      <c r="F472" s="169" t="s">
        <v>43</v>
      </c>
      <c r="G472" s="168" t="s">
        <v>44</v>
      </c>
      <c r="H472" s="169" t="s">
        <v>3031</v>
      </c>
      <c r="I472" s="194" t="s">
        <v>1957</v>
      </c>
      <c r="J472" s="170" t="s">
        <v>270</v>
      </c>
      <c r="K472" s="170" t="s">
        <v>35</v>
      </c>
      <c r="L472" s="171" t="s">
        <v>43</v>
      </c>
      <c r="M472" s="216"/>
      <c r="N472" s="133">
        <v>4872.5</v>
      </c>
      <c r="O472" s="73">
        <f t="shared" si="25"/>
        <v>0</v>
      </c>
      <c r="P472" s="15"/>
      <c r="Q472" s="12"/>
      <c r="R472" s="12"/>
      <c r="S472" s="84" t="s">
        <v>165</v>
      </c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</row>
    <row r="473" ht="15.75" customHeight="1">
      <c r="A473" s="103">
        <v>1.1876727E7</v>
      </c>
      <c r="B473" s="84">
        <v>9.000389194E9</v>
      </c>
      <c r="C473" s="11">
        <v>45964.0</v>
      </c>
      <c r="D473" s="84">
        <v>26.0</v>
      </c>
      <c r="E473" s="84">
        <v>32330.0</v>
      </c>
      <c r="F473" s="219" t="s">
        <v>43</v>
      </c>
      <c r="G473" s="85" t="s">
        <v>44</v>
      </c>
      <c r="H473" s="84" t="s">
        <v>1317</v>
      </c>
      <c r="I473" s="39" t="s">
        <v>137</v>
      </c>
      <c r="J473" s="84" t="s">
        <v>35</v>
      </c>
      <c r="K473" s="84" t="s">
        <v>138</v>
      </c>
      <c r="L473" s="98" t="s">
        <v>94</v>
      </c>
      <c r="M473" s="216"/>
      <c r="N473" s="133">
        <v>4863.0</v>
      </c>
      <c r="O473" s="73">
        <f t="shared" si="25"/>
        <v>0</v>
      </c>
      <c r="P473" s="15"/>
      <c r="Q473" s="12"/>
      <c r="R473" s="84">
        <v>5625145.0</v>
      </c>
      <c r="S473" s="84" t="s">
        <v>165</v>
      </c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</row>
    <row r="474" ht="15.75" customHeight="1">
      <c r="A474" s="103">
        <v>1.1876768E7</v>
      </c>
      <c r="B474" s="84">
        <v>9.000389195E9</v>
      </c>
      <c r="C474" s="11">
        <v>45964.0</v>
      </c>
      <c r="D474" s="84">
        <v>1.0</v>
      </c>
      <c r="E474" s="84">
        <v>148.0</v>
      </c>
      <c r="F474" s="169" t="s">
        <v>43</v>
      </c>
      <c r="G474" s="168" t="s">
        <v>44</v>
      </c>
      <c r="H474" s="84" t="s">
        <v>3032</v>
      </c>
      <c r="I474" s="39" t="s">
        <v>137</v>
      </c>
      <c r="J474" s="84" t="s">
        <v>35</v>
      </c>
      <c r="K474" s="84" t="s">
        <v>138</v>
      </c>
      <c r="L474" s="98" t="s">
        <v>94</v>
      </c>
      <c r="M474" s="216"/>
      <c r="N474" s="133">
        <v>4863.0</v>
      </c>
      <c r="O474" s="73">
        <f t="shared" si="25"/>
        <v>0</v>
      </c>
      <c r="P474" s="15"/>
      <c r="Q474" s="12"/>
      <c r="R474" s="12"/>
      <c r="S474" s="84" t="s">
        <v>165</v>
      </c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</row>
    <row r="475" ht="15.75" customHeight="1">
      <c r="A475" s="103">
        <v>1.1869363E7</v>
      </c>
      <c r="B475" s="84">
        <v>9.000379934E9</v>
      </c>
      <c r="C475" s="11">
        <v>45964.0</v>
      </c>
      <c r="D475" s="84">
        <v>26.0</v>
      </c>
      <c r="E475" s="84">
        <v>31798.0</v>
      </c>
      <c r="F475" s="219" t="s">
        <v>43</v>
      </c>
      <c r="G475" s="168" t="s">
        <v>44</v>
      </c>
      <c r="H475" s="143" t="s">
        <v>265</v>
      </c>
      <c r="I475" s="139" t="s">
        <v>266</v>
      </c>
      <c r="J475" s="137" t="s">
        <v>35</v>
      </c>
      <c r="K475" s="137" t="s">
        <v>267</v>
      </c>
      <c r="L475" s="140" t="s">
        <v>94</v>
      </c>
      <c r="M475" s="84"/>
      <c r="N475" s="133">
        <v>4997.0</v>
      </c>
      <c r="O475" s="73">
        <f t="shared" si="25"/>
        <v>0</v>
      </c>
      <c r="P475" s="15"/>
      <c r="Q475" s="12"/>
      <c r="R475" s="12"/>
      <c r="S475" s="84" t="s">
        <v>165</v>
      </c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</row>
    <row r="476" ht="15.75" customHeight="1">
      <c r="A476" s="103">
        <v>1.1869364E7</v>
      </c>
      <c r="B476" s="84">
        <v>9.000379939E9</v>
      </c>
      <c r="C476" s="11">
        <v>45964.0</v>
      </c>
      <c r="D476" s="84">
        <v>11.0</v>
      </c>
      <c r="E476" s="84">
        <v>11627.0</v>
      </c>
      <c r="F476" s="169" t="s">
        <v>43</v>
      </c>
      <c r="G476" s="168" t="s">
        <v>44</v>
      </c>
      <c r="H476" s="137" t="s">
        <v>3033</v>
      </c>
      <c r="I476" s="139" t="s">
        <v>266</v>
      </c>
      <c r="J476" s="137" t="s">
        <v>35</v>
      </c>
      <c r="K476" s="137" t="s">
        <v>267</v>
      </c>
      <c r="L476" s="140" t="s">
        <v>94</v>
      </c>
      <c r="M476" s="84"/>
      <c r="N476" s="133">
        <v>4997.0</v>
      </c>
      <c r="O476" s="73">
        <f t="shared" si="25"/>
        <v>0</v>
      </c>
      <c r="P476" s="15"/>
      <c r="Q476" s="12"/>
      <c r="R476" s="12"/>
      <c r="S476" s="84" t="s">
        <v>165</v>
      </c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</row>
    <row r="477" ht="15.75" customHeight="1">
      <c r="A477" s="103">
        <v>1.1890491E7</v>
      </c>
      <c r="B477" s="84">
        <v>9.000403104E9</v>
      </c>
      <c r="C477" s="11">
        <v>45971.0</v>
      </c>
      <c r="D477" s="84">
        <v>26.0</v>
      </c>
      <c r="E477" s="84">
        <v>31116.0</v>
      </c>
      <c r="F477" s="219" t="s">
        <v>43</v>
      </c>
      <c r="G477" s="236" t="s">
        <v>32</v>
      </c>
      <c r="H477" s="143" t="s">
        <v>265</v>
      </c>
      <c r="I477" s="139" t="s">
        <v>266</v>
      </c>
      <c r="J477" s="137" t="s">
        <v>35</v>
      </c>
      <c r="K477" s="137" t="s">
        <v>267</v>
      </c>
      <c r="L477" s="140" t="s">
        <v>94</v>
      </c>
      <c r="M477" s="12"/>
      <c r="N477" s="133">
        <v>4997.0</v>
      </c>
      <c r="O477" s="73"/>
      <c r="P477" s="15"/>
      <c r="Q477" s="12"/>
      <c r="R477" s="12"/>
      <c r="S477" s="84" t="s">
        <v>165</v>
      </c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</row>
    <row r="478" ht="15.75" customHeight="1">
      <c r="A478" s="103">
        <v>1.1890493E7</v>
      </c>
      <c r="B478" s="84">
        <v>9.00040311E9</v>
      </c>
      <c r="C478" s="11">
        <v>45971.0</v>
      </c>
      <c r="D478" s="84">
        <v>16.0</v>
      </c>
      <c r="E478" s="84">
        <v>14260.0</v>
      </c>
      <c r="F478" s="169" t="s">
        <v>43</v>
      </c>
      <c r="G478" s="236" t="s">
        <v>32</v>
      </c>
      <c r="H478" s="137" t="s">
        <v>3034</v>
      </c>
      <c r="I478" s="139" t="s">
        <v>266</v>
      </c>
      <c r="J478" s="137" t="s">
        <v>35</v>
      </c>
      <c r="K478" s="137" t="s">
        <v>267</v>
      </c>
      <c r="L478" s="140" t="s">
        <v>94</v>
      </c>
      <c r="M478" s="12"/>
      <c r="N478" s="133">
        <v>4997.0</v>
      </c>
      <c r="O478" s="73"/>
      <c r="P478" s="15"/>
      <c r="Q478" s="12"/>
      <c r="R478" s="12"/>
      <c r="S478" s="84" t="s">
        <v>165</v>
      </c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</row>
    <row r="479" ht="15.75" customHeight="1">
      <c r="A479" s="103">
        <v>1.189049E7</v>
      </c>
      <c r="B479" s="84">
        <v>9.000403298E9</v>
      </c>
      <c r="C479" s="11">
        <v>45974.0</v>
      </c>
      <c r="D479" s="84">
        <v>26.0</v>
      </c>
      <c r="E479" s="84">
        <v>31258.0</v>
      </c>
      <c r="F479" s="219" t="s">
        <v>43</v>
      </c>
      <c r="G479" s="84" t="s">
        <v>44</v>
      </c>
      <c r="H479" s="163" t="s">
        <v>104</v>
      </c>
      <c r="I479" s="164" t="s">
        <v>105</v>
      </c>
      <c r="J479" s="164" t="s">
        <v>35</v>
      </c>
      <c r="K479" s="163" t="s">
        <v>106</v>
      </c>
      <c r="L479" s="165" t="s">
        <v>59</v>
      </c>
      <c r="M479" s="12"/>
      <c r="N479" s="133">
        <v>3812.0</v>
      </c>
      <c r="O479" s="73"/>
      <c r="P479" s="15"/>
      <c r="Q479" s="12"/>
      <c r="R479" s="12"/>
      <c r="S479" s="84" t="s">
        <v>165</v>
      </c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</row>
    <row r="480" ht="15.75" customHeight="1">
      <c r="A480" s="103">
        <v>1.1890492E7</v>
      </c>
      <c r="B480" s="84">
        <v>9.000403186E9</v>
      </c>
      <c r="C480" s="11">
        <v>45974.0</v>
      </c>
      <c r="D480" s="84">
        <v>3.0</v>
      </c>
      <c r="E480" s="84">
        <v>185.0</v>
      </c>
      <c r="F480" s="169" t="s">
        <v>43</v>
      </c>
      <c r="G480" s="84" t="s">
        <v>44</v>
      </c>
      <c r="H480" s="163" t="s">
        <v>3035</v>
      </c>
      <c r="I480" s="164" t="s">
        <v>105</v>
      </c>
      <c r="J480" s="164" t="s">
        <v>35</v>
      </c>
      <c r="K480" s="163" t="s">
        <v>106</v>
      </c>
      <c r="L480" s="165" t="s">
        <v>59</v>
      </c>
      <c r="M480" s="12"/>
      <c r="N480" s="133">
        <v>3812.0</v>
      </c>
      <c r="O480" s="73"/>
      <c r="P480" s="15"/>
      <c r="Q480" s="12"/>
      <c r="R480" s="12"/>
      <c r="S480" s="84" t="s">
        <v>165</v>
      </c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</row>
    <row r="481" ht="15.75" customHeight="1">
      <c r="A481" s="103">
        <v>1.189356E7</v>
      </c>
      <c r="B481" s="84">
        <v>9.000405952E9</v>
      </c>
      <c r="C481" s="11">
        <v>45972.0</v>
      </c>
      <c r="D481" s="84">
        <v>26.0</v>
      </c>
      <c r="E481" s="84">
        <v>32468.0</v>
      </c>
      <c r="F481" s="103" t="s">
        <v>31</v>
      </c>
      <c r="G481" s="84" t="s">
        <v>74</v>
      </c>
      <c r="H481" s="84" t="s">
        <v>647</v>
      </c>
      <c r="I481" s="84" t="s">
        <v>3036</v>
      </c>
      <c r="J481" s="169" t="s">
        <v>35</v>
      </c>
      <c r="K481" s="84" t="s">
        <v>2089</v>
      </c>
      <c r="L481" s="98" t="s">
        <v>114</v>
      </c>
      <c r="M481" s="12"/>
      <c r="N481" s="133">
        <v>5625.0</v>
      </c>
      <c r="O481" s="73"/>
      <c r="P481" s="15"/>
      <c r="Q481" s="12"/>
      <c r="R481" s="12"/>
      <c r="S481" s="84" t="s">
        <v>165</v>
      </c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</row>
    <row r="482" ht="15.75" customHeight="1">
      <c r="A482" s="103">
        <v>1.1899037E7</v>
      </c>
      <c r="B482" s="84">
        <v>9.00041141E9</v>
      </c>
      <c r="C482" s="11">
        <v>45973.0</v>
      </c>
      <c r="D482" s="84">
        <v>26.0</v>
      </c>
      <c r="E482" s="84">
        <v>32736.0</v>
      </c>
      <c r="F482" s="103" t="s">
        <v>31</v>
      </c>
      <c r="G482" s="84" t="s">
        <v>32</v>
      </c>
      <c r="H482" s="12" t="s">
        <v>111</v>
      </c>
      <c r="I482" s="25" t="s">
        <v>112</v>
      </c>
      <c r="J482" s="12" t="s">
        <v>35</v>
      </c>
      <c r="K482" s="12" t="s">
        <v>113</v>
      </c>
      <c r="L482" s="25" t="s">
        <v>114</v>
      </c>
      <c r="M482" s="12"/>
      <c r="N482" s="133">
        <v>5323.0</v>
      </c>
      <c r="O482" s="73">
        <f>IFERROR(P482/N482,0)</f>
        <v>0</v>
      </c>
      <c r="P482" s="15"/>
      <c r="Q482" s="12"/>
      <c r="R482" s="12"/>
      <c r="S482" s="84" t="s">
        <v>165</v>
      </c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</row>
    <row r="483" ht="15.75" customHeight="1">
      <c r="A483" s="9"/>
      <c r="B483" s="84">
        <v>9.000417171E9</v>
      </c>
      <c r="C483" s="11">
        <v>45974.0</v>
      </c>
      <c r="D483" s="12"/>
      <c r="E483" s="12"/>
      <c r="F483" s="9"/>
      <c r="G483" s="12"/>
      <c r="H483" s="12"/>
      <c r="I483" s="12"/>
      <c r="J483" s="12"/>
      <c r="K483" s="12"/>
      <c r="L483" s="15"/>
      <c r="M483" s="12"/>
      <c r="N483" s="24"/>
      <c r="O483" s="73"/>
      <c r="P483" s="15"/>
      <c r="Q483" s="12"/>
      <c r="R483" s="12"/>
      <c r="S483" s="84" t="s">
        <v>165</v>
      </c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</row>
    <row r="484" ht="15.75" customHeight="1">
      <c r="A484" s="9"/>
      <c r="B484" s="84">
        <v>9.000417014E9</v>
      </c>
      <c r="C484" s="11">
        <v>45974.0</v>
      </c>
      <c r="D484" s="12"/>
      <c r="E484" s="12"/>
      <c r="F484" s="9"/>
      <c r="G484" s="12"/>
      <c r="H484" s="12"/>
      <c r="I484" s="12"/>
      <c r="J484" s="12"/>
      <c r="K484" s="12"/>
      <c r="L484" s="15"/>
      <c r="M484" s="12"/>
      <c r="N484" s="24"/>
      <c r="O484" s="73"/>
      <c r="P484" s="15"/>
      <c r="Q484" s="12"/>
      <c r="R484" s="12"/>
      <c r="S484" s="84" t="s">
        <v>165</v>
      </c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</row>
    <row r="485" ht="15.75" customHeight="1">
      <c r="A485" s="103">
        <v>1.1916199E7</v>
      </c>
      <c r="B485" s="467">
        <v>9.000434068E9</v>
      </c>
      <c r="C485" s="11">
        <v>45978.0</v>
      </c>
      <c r="D485" s="84">
        <v>26.0</v>
      </c>
      <c r="E485" s="84">
        <v>32468.0</v>
      </c>
      <c r="F485" s="103" t="s">
        <v>31</v>
      </c>
      <c r="G485" s="84" t="s">
        <v>74</v>
      </c>
      <c r="H485" s="84" t="s">
        <v>903</v>
      </c>
      <c r="I485" s="85" t="s">
        <v>904</v>
      </c>
      <c r="J485" s="84" t="s">
        <v>35</v>
      </c>
      <c r="K485" s="84" t="s">
        <v>905</v>
      </c>
      <c r="L485" s="28" t="s">
        <v>94</v>
      </c>
      <c r="M485" s="84"/>
      <c r="N485" s="133">
        <v>7167.0</v>
      </c>
      <c r="O485" s="73"/>
      <c r="P485" s="15"/>
      <c r="Q485" s="12"/>
      <c r="R485" s="12"/>
      <c r="S485" s="84" t="s">
        <v>165</v>
      </c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</row>
    <row r="486" ht="15.75" customHeight="1">
      <c r="A486" s="103">
        <v>1.1915664E7</v>
      </c>
      <c r="B486" s="84">
        <v>9.000434266E9</v>
      </c>
      <c r="C486" s="11">
        <v>45981.0</v>
      </c>
      <c r="D486" s="84">
        <v>23.0</v>
      </c>
      <c r="E486" s="84">
        <v>27033.0</v>
      </c>
      <c r="F486" s="219" t="s">
        <v>43</v>
      </c>
      <c r="G486" s="168" t="s">
        <v>44</v>
      </c>
      <c r="H486" s="169" t="s">
        <v>45</v>
      </c>
      <c r="I486" s="209" t="s">
        <v>46</v>
      </c>
      <c r="J486" s="12" t="s">
        <v>35</v>
      </c>
      <c r="K486" s="14" t="s">
        <v>47</v>
      </c>
      <c r="L486" s="98" t="s">
        <v>110</v>
      </c>
      <c r="M486" s="12"/>
      <c r="N486" s="133">
        <v>1945.5</v>
      </c>
      <c r="O486" s="73"/>
      <c r="P486" s="15"/>
      <c r="Q486" s="12"/>
      <c r="R486" s="12"/>
      <c r="S486" s="84" t="s">
        <v>165</v>
      </c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</row>
    <row r="487" ht="15.75" customHeight="1">
      <c r="A487" s="103">
        <v>1.1915665E7</v>
      </c>
      <c r="B487" s="84">
        <v>9.000434254E9</v>
      </c>
      <c r="C487" s="11">
        <v>45981.0</v>
      </c>
      <c r="D487" s="84">
        <v>2.0</v>
      </c>
      <c r="E487" s="84">
        <v>962.0</v>
      </c>
      <c r="F487" s="169" t="s">
        <v>43</v>
      </c>
      <c r="G487" s="168" t="s">
        <v>44</v>
      </c>
      <c r="H487" s="176" t="s">
        <v>3037</v>
      </c>
      <c r="I487" s="209" t="s">
        <v>46</v>
      </c>
      <c r="J487" s="14" t="s">
        <v>47</v>
      </c>
      <c r="K487" s="12" t="s">
        <v>35</v>
      </c>
      <c r="L487" s="95" t="s">
        <v>110</v>
      </c>
      <c r="M487" s="12"/>
      <c r="N487" s="133">
        <v>1945.5</v>
      </c>
      <c r="O487" s="73"/>
      <c r="P487" s="15"/>
      <c r="Q487" s="12"/>
      <c r="R487" s="12"/>
      <c r="S487" s="84" t="s">
        <v>165</v>
      </c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</row>
    <row r="488" ht="15.75" customHeight="1">
      <c r="A488" s="191">
        <v>1.1926519E7</v>
      </c>
      <c r="B488" s="192">
        <v>9.00044745E9</v>
      </c>
      <c r="C488" s="465">
        <v>45983.0</v>
      </c>
      <c r="D488" s="192">
        <v>27.0</v>
      </c>
      <c r="E488" s="192">
        <v>34716.0</v>
      </c>
      <c r="F488" s="219" t="s">
        <v>31</v>
      </c>
      <c r="G488" s="208" t="s">
        <v>32</v>
      </c>
      <c r="H488" s="169" t="s">
        <v>111</v>
      </c>
      <c r="I488" s="171" t="s">
        <v>112</v>
      </c>
      <c r="J488" s="169" t="s">
        <v>35</v>
      </c>
      <c r="K488" s="169" t="s">
        <v>113</v>
      </c>
      <c r="L488" s="171" t="s">
        <v>114</v>
      </c>
      <c r="M488" s="198"/>
      <c r="N488" s="196">
        <v>5323.0</v>
      </c>
      <c r="O488" s="187">
        <f t="shared" ref="O488:O517" si="26">IFERROR(P488/N488,0)</f>
        <v>0</v>
      </c>
      <c r="P488" s="466"/>
      <c r="Q488" s="198"/>
      <c r="R488" s="198"/>
      <c r="S488" s="84" t="s">
        <v>165</v>
      </c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8"/>
      <c r="AG488" s="199"/>
      <c r="AH488" s="199"/>
      <c r="AI488" s="199"/>
      <c r="AJ488" s="199"/>
      <c r="AK488" s="199"/>
      <c r="AL488" s="199"/>
      <c r="AM488" s="199"/>
      <c r="AN488" s="199"/>
      <c r="AO488" s="199"/>
      <c r="AP488" s="426"/>
    </row>
    <row r="489" ht="15.75" customHeight="1">
      <c r="A489" s="191">
        <v>1.1927361E7</v>
      </c>
      <c r="B489" s="192">
        <v>9.000447979E9</v>
      </c>
      <c r="C489" s="465">
        <v>45983.0</v>
      </c>
      <c r="D489" s="192">
        <v>26.0</v>
      </c>
      <c r="E489" s="192">
        <v>30752.0</v>
      </c>
      <c r="F489" s="169" t="s">
        <v>43</v>
      </c>
      <c r="G489" s="208" t="s">
        <v>44</v>
      </c>
      <c r="H489" s="194" t="s">
        <v>104</v>
      </c>
      <c r="I489" s="171" t="s">
        <v>105</v>
      </c>
      <c r="J489" s="170" t="s">
        <v>35</v>
      </c>
      <c r="K489" s="194" t="s">
        <v>106</v>
      </c>
      <c r="L489" s="171" t="s">
        <v>59</v>
      </c>
      <c r="M489" s="198"/>
      <c r="N489" s="196">
        <v>3812.0</v>
      </c>
      <c r="O489" s="187">
        <f t="shared" si="26"/>
        <v>0</v>
      </c>
      <c r="P489" s="466"/>
      <c r="Q489" s="198"/>
      <c r="R489" s="198"/>
      <c r="S489" s="84" t="s">
        <v>165</v>
      </c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8"/>
      <c r="AG489" s="199"/>
      <c r="AH489" s="199"/>
      <c r="AI489" s="199"/>
      <c r="AJ489" s="199"/>
      <c r="AK489" s="199"/>
      <c r="AL489" s="199"/>
      <c r="AM489" s="199"/>
      <c r="AN489" s="199"/>
      <c r="AO489" s="199"/>
      <c r="AP489" s="426"/>
    </row>
    <row r="490" ht="15.75" customHeight="1">
      <c r="A490" s="191">
        <v>1.192736E7</v>
      </c>
      <c r="B490" s="192">
        <v>9.000448E9</v>
      </c>
      <c r="C490" s="465">
        <v>45983.0</v>
      </c>
      <c r="D490" s="192">
        <v>18.0</v>
      </c>
      <c r="E490" s="192">
        <v>11570.0</v>
      </c>
      <c r="F490" s="169" t="s">
        <v>43</v>
      </c>
      <c r="G490" s="208" t="s">
        <v>44</v>
      </c>
      <c r="H490" s="194" t="s">
        <v>3038</v>
      </c>
      <c r="I490" s="171" t="s">
        <v>105</v>
      </c>
      <c r="J490" s="170" t="s">
        <v>35</v>
      </c>
      <c r="K490" s="194" t="s">
        <v>106</v>
      </c>
      <c r="L490" s="171" t="s">
        <v>59</v>
      </c>
      <c r="M490" s="198"/>
      <c r="N490" s="196">
        <v>3812.0</v>
      </c>
      <c r="O490" s="187">
        <f t="shared" si="26"/>
        <v>0</v>
      </c>
      <c r="P490" s="466"/>
      <c r="Q490" s="198"/>
      <c r="R490" s="198"/>
      <c r="S490" s="84" t="s">
        <v>165</v>
      </c>
      <c r="T490" s="198"/>
      <c r="U490" s="198"/>
      <c r="V490" s="198"/>
      <c r="W490" s="198"/>
      <c r="X490" s="198"/>
      <c r="Y490" s="198"/>
      <c r="Z490" s="198"/>
      <c r="AA490" s="198"/>
      <c r="AB490" s="198"/>
      <c r="AC490" s="198"/>
      <c r="AD490" s="198"/>
      <c r="AE490" s="198"/>
      <c r="AF490" s="198"/>
      <c r="AG490" s="199"/>
      <c r="AH490" s="199"/>
      <c r="AI490" s="199"/>
      <c r="AJ490" s="199"/>
      <c r="AK490" s="199"/>
      <c r="AL490" s="199"/>
      <c r="AM490" s="199"/>
      <c r="AN490" s="199"/>
      <c r="AO490" s="199"/>
      <c r="AP490" s="426"/>
    </row>
    <row r="491" ht="15.75" customHeight="1">
      <c r="A491" s="219">
        <v>1.190311E7</v>
      </c>
      <c r="B491" s="192">
        <v>9.000417004E9</v>
      </c>
      <c r="C491" s="465">
        <v>45975.0</v>
      </c>
      <c r="D491" s="192">
        <v>26.0</v>
      </c>
      <c r="E491" s="192">
        <v>30658.0</v>
      </c>
      <c r="F491" s="169" t="s">
        <v>43</v>
      </c>
      <c r="G491" s="208" t="s">
        <v>44</v>
      </c>
      <c r="H491" s="194" t="s">
        <v>104</v>
      </c>
      <c r="I491" s="171" t="s">
        <v>105</v>
      </c>
      <c r="J491" s="170" t="s">
        <v>35</v>
      </c>
      <c r="K491" s="194" t="s">
        <v>106</v>
      </c>
      <c r="L491" s="171" t="s">
        <v>59</v>
      </c>
      <c r="M491" s="468"/>
      <c r="N491" s="196">
        <v>3812.0</v>
      </c>
      <c r="O491" s="187">
        <f t="shared" si="26"/>
        <v>0</v>
      </c>
      <c r="P491" s="466"/>
      <c r="Q491" s="169" t="s">
        <v>39</v>
      </c>
      <c r="R491" s="198"/>
      <c r="S491" s="469" t="s">
        <v>131</v>
      </c>
      <c r="T491" s="198"/>
      <c r="U491" s="470">
        <v>45974.03125</v>
      </c>
      <c r="V491" s="198"/>
      <c r="W491" s="198"/>
      <c r="X491" s="198"/>
      <c r="Y491" s="198"/>
      <c r="Z491" s="198"/>
      <c r="AA491" s="198"/>
      <c r="AB491" s="169">
        <v>201015.0</v>
      </c>
      <c r="AC491" s="471" t="s">
        <v>3039</v>
      </c>
      <c r="AD491" s="198"/>
      <c r="AE491" s="198"/>
      <c r="AF491" s="198"/>
      <c r="AG491" s="199"/>
      <c r="AH491" s="199"/>
      <c r="AI491" s="199"/>
      <c r="AJ491" s="199"/>
      <c r="AK491" s="199"/>
      <c r="AL491" s="199"/>
      <c r="AM491" s="199"/>
      <c r="AN491" s="199"/>
      <c r="AO491" s="199"/>
      <c r="AP491" s="426"/>
    </row>
    <row r="492" ht="15.75" customHeight="1">
      <c r="A492" s="191">
        <v>1.1903111E7</v>
      </c>
      <c r="B492" s="192">
        <v>9.000417097E9</v>
      </c>
      <c r="C492" s="465">
        <v>45975.0</v>
      </c>
      <c r="D492" s="192">
        <v>1.0</v>
      </c>
      <c r="E492" s="192">
        <v>407.0</v>
      </c>
      <c r="F492" s="169" t="s">
        <v>43</v>
      </c>
      <c r="G492" s="208" t="s">
        <v>44</v>
      </c>
      <c r="H492" s="194" t="s">
        <v>3040</v>
      </c>
      <c r="I492" s="171" t="s">
        <v>105</v>
      </c>
      <c r="J492" s="170" t="s">
        <v>35</v>
      </c>
      <c r="K492" s="194" t="s">
        <v>106</v>
      </c>
      <c r="L492" s="171" t="s">
        <v>59</v>
      </c>
      <c r="M492" s="468"/>
      <c r="N492" s="196">
        <v>3812.0</v>
      </c>
      <c r="O492" s="187">
        <f t="shared" si="26"/>
        <v>0</v>
      </c>
      <c r="P492" s="466"/>
      <c r="Q492" s="198"/>
      <c r="R492" s="198"/>
      <c r="S492" s="469" t="s">
        <v>131</v>
      </c>
      <c r="T492" s="198"/>
      <c r="U492" s="198"/>
      <c r="V492" s="198"/>
      <c r="W492" s="198"/>
      <c r="X492" s="198"/>
      <c r="Y492" s="198"/>
      <c r="Z492" s="198"/>
      <c r="AA492" s="198"/>
      <c r="AB492" s="198"/>
      <c r="AC492" s="198"/>
      <c r="AD492" s="198"/>
      <c r="AE492" s="198"/>
      <c r="AF492" s="198"/>
      <c r="AG492" s="199"/>
      <c r="AH492" s="199"/>
      <c r="AI492" s="199"/>
      <c r="AJ492" s="199"/>
      <c r="AK492" s="199"/>
      <c r="AL492" s="199"/>
      <c r="AM492" s="199"/>
      <c r="AN492" s="199"/>
      <c r="AO492" s="199"/>
      <c r="AP492" s="426"/>
    </row>
    <row r="493" ht="15.75" customHeight="1">
      <c r="A493" s="103">
        <v>1.1937349E7</v>
      </c>
      <c r="B493" s="84">
        <v>9.000461121E9</v>
      </c>
      <c r="C493" s="11">
        <v>45986.0</v>
      </c>
      <c r="D493" s="84">
        <v>19.0</v>
      </c>
      <c r="E493" s="84">
        <v>22750.0</v>
      </c>
      <c r="F493" s="84" t="s">
        <v>31</v>
      </c>
      <c r="G493" s="84" t="s">
        <v>74</v>
      </c>
      <c r="H493" s="84" t="s">
        <v>1986</v>
      </c>
      <c r="I493" s="84" t="s">
        <v>1987</v>
      </c>
      <c r="J493" s="25" t="s">
        <v>35</v>
      </c>
      <c r="K493" s="25" t="s">
        <v>243</v>
      </c>
      <c r="L493" s="25" t="s">
        <v>188</v>
      </c>
      <c r="M493" s="12"/>
      <c r="N493" s="133">
        <v>4362.0</v>
      </c>
      <c r="O493" s="73">
        <f t="shared" si="26"/>
        <v>0</v>
      </c>
      <c r="P493" s="15"/>
      <c r="Q493" s="12"/>
      <c r="R493" s="12"/>
      <c r="S493" s="84" t="s">
        <v>165</v>
      </c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</row>
    <row r="494" ht="15.75" customHeight="1">
      <c r="A494" s="103">
        <v>1.1951674E7</v>
      </c>
      <c r="B494" s="84">
        <v>9.000479489E9</v>
      </c>
      <c r="C494" s="11">
        <v>45988.0</v>
      </c>
      <c r="D494" s="84">
        <v>26.0</v>
      </c>
      <c r="E494" s="84">
        <v>33233.0</v>
      </c>
      <c r="F494" s="103" t="s">
        <v>43</v>
      </c>
      <c r="G494" s="84" t="s">
        <v>44</v>
      </c>
      <c r="H494" s="169" t="s">
        <v>45</v>
      </c>
      <c r="I494" s="209" t="s">
        <v>46</v>
      </c>
      <c r="J494" s="12" t="s">
        <v>35</v>
      </c>
      <c r="K494" s="14" t="s">
        <v>47</v>
      </c>
      <c r="L494" s="98" t="s">
        <v>110</v>
      </c>
      <c r="M494" s="12"/>
      <c r="N494" s="133">
        <v>1946.5</v>
      </c>
      <c r="O494" s="73">
        <f t="shared" si="26"/>
        <v>0</v>
      </c>
      <c r="P494" s="15"/>
      <c r="Q494" s="12"/>
      <c r="R494" s="12"/>
      <c r="S494" s="84" t="s">
        <v>165</v>
      </c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</row>
    <row r="495" ht="15.75" customHeight="1">
      <c r="A495" s="103">
        <v>1.1937672E7</v>
      </c>
      <c r="B495" s="84">
        <v>9.00046151E9</v>
      </c>
      <c r="C495" s="11">
        <v>45988.0</v>
      </c>
      <c r="D495" s="84">
        <v>27.0</v>
      </c>
      <c r="E495" s="84">
        <v>34414.0</v>
      </c>
      <c r="F495" s="103" t="s">
        <v>31</v>
      </c>
      <c r="G495" s="208" t="s">
        <v>44</v>
      </c>
      <c r="H495" s="194" t="s">
        <v>104</v>
      </c>
      <c r="I495" s="171" t="s">
        <v>105</v>
      </c>
      <c r="J495" s="170" t="s">
        <v>35</v>
      </c>
      <c r="K495" s="194" t="s">
        <v>106</v>
      </c>
      <c r="L495" s="171" t="s">
        <v>59</v>
      </c>
      <c r="M495" s="12"/>
      <c r="N495" s="133">
        <v>5337.0</v>
      </c>
      <c r="O495" s="73">
        <f t="shared" si="26"/>
        <v>0</v>
      </c>
      <c r="P495" s="15"/>
      <c r="Q495" s="12"/>
      <c r="R495" s="12"/>
      <c r="S495" s="84" t="s">
        <v>165</v>
      </c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</row>
    <row r="496" ht="15.75" customHeight="1">
      <c r="A496" s="103">
        <v>1.1951675E7</v>
      </c>
      <c r="B496" s="84">
        <v>9.000479424E9</v>
      </c>
      <c r="C496" s="11">
        <v>45990.0</v>
      </c>
      <c r="D496" s="84">
        <v>26.0</v>
      </c>
      <c r="E496" s="84">
        <v>29671.0</v>
      </c>
      <c r="F496" s="103" t="s">
        <v>43</v>
      </c>
      <c r="G496" s="84" t="s">
        <v>44</v>
      </c>
      <c r="H496" s="169" t="s">
        <v>45</v>
      </c>
      <c r="I496" s="209" t="s">
        <v>46</v>
      </c>
      <c r="J496" s="12" t="s">
        <v>35</v>
      </c>
      <c r="K496" s="14" t="s">
        <v>47</v>
      </c>
      <c r="L496" s="98" t="s">
        <v>110</v>
      </c>
      <c r="M496" s="12"/>
      <c r="N496" s="133">
        <v>1946.5</v>
      </c>
      <c r="O496" s="73">
        <f t="shared" si="26"/>
        <v>0</v>
      </c>
      <c r="P496" s="15"/>
      <c r="Q496" s="12"/>
      <c r="R496" s="12"/>
      <c r="S496" s="84" t="s">
        <v>165</v>
      </c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</row>
    <row r="497" ht="15.75" customHeight="1">
      <c r="A497" s="103">
        <v>1.1951676E7</v>
      </c>
      <c r="B497" s="84">
        <v>9.000479433E9</v>
      </c>
      <c r="C497" s="11">
        <v>45990.0</v>
      </c>
      <c r="D497" s="84">
        <v>3.0</v>
      </c>
      <c r="E497" s="84">
        <v>407.0</v>
      </c>
      <c r="F497" s="103" t="s">
        <v>43</v>
      </c>
      <c r="G497" s="84" t="s">
        <v>44</v>
      </c>
      <c r="H497" s="176" t="s">
        <v>3041</v>
      </c>
      <c r="I497" s="194" t="s">
        <v>1957</v>
      </c>
      <c r="J497" s="14" t="s">
        <v>47</v>
      </c>
      <c r="K497" s="12" t="s">
        <v>35</v>
      </c>
      <c r="L497" s="95" t="s">
        <v>110</v>
      </c>
      <c r="M497" s="12"/>
      <c r="N497" s="133">
        <v>1946.5</v>
      </c>
      <c r="O497" s="73">
        <f t="shared" si="26"/>
        <v>0</v>
      </c>
      <c r="P497" s="15"/>
      <c r="Q497" s="12"/>
      <c r="R497" s="12"/>
      <c r="S497" s="84" t="s">
        <v>165</v>
      </c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</row>
    <row r="498" ht="15.75" customHeight="1">
      <c r="A498" s="103">
        <v>1.1940994E7</v>
      </c>
      <c r="B498" s="84">
        <v>9.000464433E9</v>
      </c>
      <c r="C498" s="11">
        <v>45988.0</v>
      </c>
      <c r="D498" s="84">
        <v>26.0</v>
      </c>
      <c r="E498" s="84">
        <v>32736.0</v>
      </c>
      <c r="F498" s="103" t="s">
        <v>31</v>
      </c>
      <c r="G498" s="472" t="s">
        <v>32</v>
      </c>
      <c r="H498" s="84" t="s">
        <v>3042</v>
      </c>
      <c r="I498" s="29" t="s">
        <v>112</v>
      </c>
      <c r="J498" s="170" t="s">
        <v>35</v>
      </c>
      <c r="K498" s="84" t="s">
        <v>3027</v>
      </c>
      <c r="L498" s="98" t="s">
        <v>114</v>
      </c>
      <c r="M498" s="84" t="s">
        <v>2097</v>
      </c>
      <c r="N498" s="133">
        <v>5323.0</v>
      </c>
      <c r="O498" s="73">
        <f t="shared" si="26"/>
        <v>0</v>
      </c>
      <c r="P498" s="15"/>
      <c r="Q498" s="12"/>
      <c r="R498" s="84"/>
      <c r="S498" s="84" t="s">
        <v>165</v>
      </c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</row>
    <row r="499" ht="15.75" customHeight="1">
      <c r="A499" s="191">
        <v>1.1952207E7</v>
      </c>
      <c r="B499" s="192">
        <v>9.000481535E9</v>
      </c>
      <c r="C499" s="465">
        <v>45992.0</v>
      </c>
      <c r="D499" s="192">
        <v>26.0</v>
      </c>
      <c r="E499" s="192">
        <v>27301.0</v>
      </c>
      <c r="F499" s="219" t="s">
        <v>43</v>
      </c>
      <c r="G499" s="208" t="s">
        <v>44</v>
      </c>
      <c r="H499" s="169" t="s">
        <v>1317</v>
      </c>
      <c r="I499" s="200" t="s">
        <v>137</v>
      </c>
      <c r="J499" s="169" t="s">
        <v>35</v>
      </c>
      <c r="K499" s="169" t="s">
        <v>138</v>
      </c>
      <c r="L499" s="209" t="s">
        <v>94</v>
      </c>
      <c r="M499" s="169" t="s">
        <v>2097</v>
      </c>
      <c r="N499" s="196">
        <v>4863.0</v>
      </c>
      <c r="O499" s="187">
        <f t="shared" si="26"/>
        <v>0</v>
      </c>
      <c r="P499" s="466"/>
      <c r="Q499" s="198"/>
      <c r="R499" s="198"/>
      <c r="S499" s="84" t="s">
        <v>165</v>
      </c>
      <c r="T499" s="198"/>
      <c r="U499" s="198"/>
      <c r="V499" s="198"/>
      <c r="W499" s="198"/>
      <c r="X499" s="198"/>
      <c r="Y499" s="198"/>
      <c r="Z499" s="198"/>
      <c r="AA499" s="198"/>
      <c r="AB499" s="198"/>
      <c r="AC499" s="198"/>
      <c r="AD499" s="198"/>
      <c r="AE499" s="198"/>
      <c r="AF499" s="198"/>
      <c r="AG499" s="199"/>
      <c r="AH499" s="199"/>
      <c r="AI499" s="199"/>
      <c r="AJ499" s="199"/>
      <c r="AK499" s="199"/>
      <c r="AL499" s="199"/>
      <c r="AM499" s="199"/>
      <c r="AN499" s="199"/>
      <c r="AO499" s="199"/>
      <c r="AP499" s="426"/>
    </row>
    <row r="500" ht="15.75" customHeight="1">
      <c r="A500" s="191">
        <v>1.1952208E7</v>
      </c>
      <c r="B500" s="192">
        <v>9.000481531E9</v>
      </c>
      <c r="C500" s="465">
        <v>45992.0</v>
      </c>
      <c r="D500" s="192">
        <v>8.0</v>
      </c>
      <c r="E500" s="192">
        <v>1110.0</v>
      </c>
      <c r="F500" s="219" t="s">
        <v>43</v>
      </c>
      <c r="G500" s="208" t="s">
        <v>44</v>
      </c>
      <c r="H500" s="169" t="s">
        <v>3043</v>
      </c>
      <c r="I500" s="200" t="s">
        <v>137</v>
      </c>
      <c r="J500" s="169" t="s">
        <v>35</v>
      </c>
      <c r="K500" s="169" t="s">
        <v>138</v>
      </c>
      <c r="L500" s="209" t="s">
        <v>94</v>
      </c>
      <c r="M500" s="169" t="s">
        <v>2097</v>
      </c>
      <c r="N500" s="196">
        <v>4863.0</v>
      </c>
      <c r="O500" s="187">
        <f t="shared" si="26"/>
        <v>0</v>
      </c>
      <c r="P500" s="466"/>
      <c r="Q500" s="198"/>
      <c r="R500" s="198"/>
      <c r="S500" s="84" t="s">
        <v>165</v>
      </c>
      <c r="T500" s="198"/>
      <c r="U500" s="198"/>
      <c r="V500" s="198"/>
      <c r="W500" s="198"/>
      <c r="X500" s="198"/>
      <c r="Y500" s="198"/>
      <c r="Z500" s="198"/>
      <c r="AA500" s="198"/>
      <c r="AB500" s="198"/>
      <c r="AC500" s="198"/>
      <c r="AD500" s="198"/>
      <c r="AE500" s="198"/>
      <c r="AF500" s="198"/>
      <c r="AG500" s="199"/>
      <c r="AH500" s="199"/>
      <c r="AI500" s="199"/>
      <c r="AJ500" s="199"/>
      <c r="AK500" s="199"/>
      <c r="AL500" s="199"/>
      <c r="AM500" s="199"/>
      <c r="AN500" s="199"/>
      <c r="AO500" s="199"/>
      <c r="AP500" s="426"/>
    </row>
    <row r="501" ht="15.75" customHeight="1">
      <c r="A501" s="103">
        <v>1.1963669E7</v>
      </c>
      <c r="B501" s="84">
        <v>9.000493272E9</v>
      </c>
      <c r="C501" s="11">
        <v>45995.0</v>
      </c>
      <c r="D501" s="84">
        <v>26.0</v>
      </c>
      <c r="E501" s="84">
        <v>32688.0</v>
      </c>
      <c r="F501" s="103" t="s">
        <v>43</v>
      </c>
      <c r="G501" s="84" t="s">
        <v>44</v>
      </c>
      <c r="H501" s="194" t="s">
        <v>104</v>
      </c>
      <c r="I501" s="171" t="s">
        <v>105</v>
      </c>
      <c r="J501" s="170" t="s">
        <v>35</v>
      </c>
      <c r="K501" s="194" t="s">
        <v>106</v>
      </c>
      <c r="L501" s="171" t="s">
        <v>59</v>
      </c>
      <c r="M501" s="12"/>
      <c r="N501" s="133">
        <v>3812.0</v>
      </c>
      <c r="O501" s="73">
        <f t="shared" si="26"/>
        <v>0</v>
      </c>
      <c r="P501" s="15"/>
      <c r="Q501" s="12"/>
      <c r="R501" s="12"/>
      <c r="S501" s="84" t="s">
        <v>165</v>
      </c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</row>
    <row r="502" ht="15.75" customHeight="1">
      <c r="A502" s="191">
        <v>1.1952206E7</v>
      </c>
      <c r="B502" s="464">
        <v>9.000481517E9</v>
      </c>
      <c r="C502" s="465">
        <v>45994.0</v>
      </c>
      <c r="D502" s="192">
        <v>27.0</v>
      </c>
      <c r="E502" s="192">
        <v>34716.0</v>
      </c>
      <c r="F502" s="219" t="s">
        <v>31</v>
      </c>
      <c r="G502" s="208" t="s">
        <v>44</v>
      </c>
      <c r="H502" s="169" t="s">
        <v>1317</v>
      </c>
      <c r="I502" s="200" t="s">
        <v>137</v>
      </c>
      <c r="J502" s="169" t="s">
        <v>35</v>
      </c>
      <c r="K502" s="169" t="s">
        <v>138</v>
      </c>
      <c r="L502" s="209" t="s">
        <v>94</v>
      </c>
      <c r="M502" s="198"/>
      <c r="N502" s="196">
        <v>5760.0</v>
      </c>
      <c r="O502" s="187">
        <f t="shared" si="26"/>
        <v>0</v>
      </c>
      <c r="P502" s="466"/>
      <c r="Q502" s="198"/>
      <c r="R502" s="198"/>
      <c r="S502" s="84" t="s">
        <v>165</v>
      </c>
      <c r="T502" s="198"/>
      <c r="U502" s="198"/>
      <c r="V502" s="198"/>
      <c r="W502" s="198"/>
      <c r="X502" s="198"/>
      <c r="Y502" s="198"/>
      <c r="Z502" s="198"/>
      <c r="AA502" s="198"/>
      <c r="AB502" s="198"/>
      <c r="AC502" s="198"/>
      <c r="AD502" s="198"/>
      <c r="AE502" s="198"/>
      <c r="AF502" s="198"/>
      <c r="AG502" s="199"/>
      <c r="AH502" s="199"/>
      <c r="AI502" s="199"/>
      <c r="AJ502" s="199"/>
      <c r="AK502" s="199"/>
      <c r="AL502" s="199"/>
      <c r="AM502" s="199"/>
      <c r="AN502" s="199"/>
      <c r="AO502" s="199"/>
      <c r="AP502" s="426"/>
    </row>
    <row r="503" ht="15.75" customHeight="1">
      <c r="A503" s="191">
        <v>1.197295E7</v>
      </c>
      <c r="B503" s="464">
        <v>9.000501031E9</v>
      </c>
      <c r="C503" s="465">
        <v>45994.0</v>
      </c>
      <c r="D503" s="192">
        <v>27.0</v>
      </c>
      <c r="E503" s="192">
        <v>34716.0</v>
      </c>
      <c r="F503" s="219" t="s">
        <v>31</v>
      </c>
      <c r="G503" s="208" t="s">
        <v>44</v>
      </c>
      <c r="H503" s="169" t="s">
        <v>1317</v>
      </c>
      <c r="I503" s="200" t="s">
        <v>137</v>
      </c>
      <c r="J503" s="169" t="s">
        <v>35</v>
      </c>
      <c r="K503" s="169" t="s">
        <v>138</v>
      </c>
      <c r="L503" s="209" t="s">
        <v>94</v>
      </c>
      <c r="M503" s="198"/>
      <c r="N503" s="196">
        <v>5760.0</v>
      </c>
      <c r="O503" s="187">
        <f t="shared" si="26"/>
        <v>0</v>
      </c>
      <c r="P503" s="466"/>
      <c r="Q503" s="198"/>
      <c r="R503" s="198"/>
      <c r="S503" s="84" t="s">
        <v>165</v>
      </c>
      <c r="T503" s="198"/>
      <c r="U503" s="198"/>
      <c r="V503" s="198"/>
      <c r="W503" s="198"/>
      <c r="X503" s="198"/>
      <c r="Y503" s="198"/>
      <c r="Z503" s="198"/>
      <c r="AA503" s="198"/>
      <c r="AB503" s="198"/>
      <c r="AC503" s="198"/>
      <c r="AD503" s="198"/>
      <c r="AE503" s="198"/>
      <c r="AF503" s="198"/>
      <c r="AG503" s="199"/>
      <c r="AH503" s="199"/>
      <c r="AI503" s="199"/>
      <c r="AJ503" s="199"/>
      <c r="AK503" s="199"/>
      <c r="AL503" s="199"/>
      <c r="AM503" s="199"/>
      <c r="AN503" s="199"/>
      <c r="AO503" s="199"/>
      <c r="AP503" s="426"/>
    </row>
    <row r="504" ht="15.75" customHeight="1">
      <c r="A504" s="191">
        <v>1.1972949E7</v>
      </c>
      <c r="B504" s="464">
        <v>9.000501002E9</v>
      </c>
      <c r="C504" s="465">
        <v>45997.0</v>
      </c>
      <c r="D504" s="192">
        <v>27.0</v>
      </c>
      <c r="E504" s="192">
        <v>34716.0</v>
      </c>
      <c r="F504" s="219" t="s">
        <v>31</v>
      </c>
      <c r="G504" s="208" t="s">
        <v>44</v>
      </c>
      <c r="H504" s="169" t="s">
        <v>1317</v>
      </c>
      <c r="I504" s="200" t="s">
        <v>137</v>
      </c>
      <c r="J504" s="169" t="s">
        <v>35</v>
      </c>
      <c r="K504" s="169" t="s">
        <v>138</v>
      </c>
      <c r="L504" s="209" t="s">
        <v>94</v>
      </c>
      <c r="M504" s="198"/>
      <c r="N504" s="196">
        <v>5760.0</v>
      </c>
      <c r="O504" s="187">
        <f t="shared" si="26"/>
        <v>0</v>
      </c>
      <c r="P504" s="466"/>
      <c r="Q504" s="198"/>
      <c r="R504" s="198"/>
      <c r="S504" s="84" t="s">
        <v>165</v>
      </c>
      <c r="T504" s="198"/>
      <c r="U504" s="198"/>
      <c r="V504" s="198"/>
      <c r="W504" s="198"/>
      <c r="X504" s="198"/>
      <c r="Y504" s="198"/>
      <c r="Z504" s="198"/>
      <c r="AA504" s="198"/>
      <c r="AB504" s="198"/>
      <c r="AC504" s="198"/>
      <c r="AD504" s="198"/>
      <c r="AE504" s="198"/>
      <c r="AF504" s="198"/>
      <c r="AG504" s="199"/>
      <c r="AH504" s="199"/>
      <c r="AI504" s="199"/>
      <c r="AJ504" s="199"/>
      <c r="AK504" s="199"/>
      <c r="AL504" s="199"/>
      <c r="AM504" s="199"/>
      <c r="AN504" s="199"/>
      <c r="AO504" s="199"/>
      <c r="AP504" s="426"/>
    </row>
    <row r="505" ht="15.75" customHeight="1">
      <c r="A505" s="191">
        <v>1.1972955E7</v>
      </c>
      <c r="B505" s="464">
        <v>9.000501039E9</v>
      </c>
      <c r="C505" s="465">
        <v>45999.0</v>
      </c>
      <c r="D505" s="192">
        <v>28.0</v>
      </c>
      <c r="E505" s="192">
        <v>34378.0</v>
      </c>
      <c r="F505" s="219" t="s">
        <v>31</v>
      </c>
      <c r="G505" s="208" t="s">
        <v>44</v>
      </c>
      <c r="H505" s="169" t="s">
        <v>1317</v>
      </c>
      <c r="I505" s="200" t="s">
        <v>137</v>
      </c>
      <c r="J505" s="169" t="s">
        <v>35</v>
      </c>
      <c r="K505" s="169" t="s">
        <v>138</v>
      </c>
      <c r="L505" s="209" t="s">
        <v>94</v>
      </c>
      <c r="M505" s="198"/>
      <c r="N505" s="196">
        <v>5760.0</v>
      </c>
      <c r="O505" s="187">
        <f t="shared" si="26"/>
        <v>0</v>
      </c>
      <c r="P505" s="466"/>
      <c r="Q505" s="198"/>
      <c r="R505" s="198"/>
      <c r="S505" s="84" t="s">
        <v>165</v>
      </c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  <c r="AF505" s="198"/>
      <c r="AG505" s="199"/>
      <c r="AH505" s="199"/>
      <c r="AI505" s="199"/>
      <c r="AJ505" s="199"/>
      <c r="AK505" s="199"/>
      <c r="AL505" s="199"/>
      <c r="AM505" s="199"/>
      <c r="AN505" s="199"/>
      <c r="AO505" s="199"/>
      <c r="AP505" s="426"/>
    </row>
    <row r="506" ht="15.75" customHeight="1">
      <c r="A506" s="191">
        <v>1.1972952E7</v>
      </c>
      <c r="B506" s="464">
        <v>9.000501008E9</v>
      </c>
      <c r="C506" s="465">
        <v>45999.0</v>
      </c>
      <c r="D506" s="192">
        <v>27.0</v>
      </c>
      <c r="E506" s="192">
        <v>34716.0</v>
      </c>
      <c r="F506" s="219" t="s">
        <v>31</v>
      </c>
      <c r="G506" s="208" t="s">
        <v>44</v>
      </c>
      <c r="H506" s="169" t="s">
        <v>1317</v>
      </c>
      <c r="I506" s="200" t="s">
        <v>137</v>
      </c>
      <c r="J506" s="169" t="s">
        <v>35</v>
      </c>
      <c r="K506" s="169" t="s">
        <v>138</v>
      </c>
      <c r="L506" s="209" t="s">
        <v>94</v>
      </c>
      <c r="M506" s="198"/>
      <c r="N506" s="196">
        <v>5760.0</v>
      </c>
      <c r="O506" s="187">
        <f t="shared" si="26"/>
        <v>0</v>
      </c>
      <c r="P506" s="466"/>
      <c r="Q506" s="198"/>
      <c r="R506" s="198"/>
      <c r="S506" s="84" t="s">
        <v>165</v>
      </c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199"/>
      <c r="AH506" s="199"/>
      <c r="AI506" s="199"/>
      <c r="AJ506" s="199"/>
      <c r="AK506" s="199"/>
      <c r="AL506" s="199"/>
      <c r="AM506" s="199"/>
      <c r="AN506" s="199"/>
      <c r="AO506" s="199"/>
      <c r="AP506" s="426"/>
    </row>
    <row r="507" ht="15.75" customHeight="1">
      <c r="A507" s="191">
        <v>1.1972953E7</v>
      </c>
      <c r="B507" s="464">
        <v>9.000501046E9</v>
      </c>
      <c r="C507" s="465">
        <v>46000.0</v>
      </c>
      <c r="D507" s="192">
        <v>28.0</v>
      </c>
      <c r="E507" s="192">
        <v>34378.0</v>
      </c>
      <c r="F507" s="219" t="s">
        <v>31</v>
      </c>
      <c r="G507" s="208" t="s">
        <v>44</v>
      </c>
      <c r="H507" s="169" t="s">
        <v>1317</v>
      </c>
      <c r="I507" s="200" t="s">
        <v>137</v>
      </c>
      <c r="J507" s="169" t="s">
        <v>35</v>
      </c>
      <c r="K507" s="169" t="s">
        <v>138</v>
      </c>
      <c r="L507" s="209" t="s">
        <v>94</v>
      </c>
      <c r="M507" s="198"/>
      <c r="N507" s="196">
        <v>5760.0</v>
      </c>
      <c r="O507" s="187">
        <f t="shared" si="26"/>
        <v>0</v>
      </c>
      <c r="P507" s="466"/>
      <c r="Q507" s="198"/>
      <c r="R507" s="198"/>
      <c r="S507" s="84" t="s">
        <v>165</v>
      </c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  <c r="AF507" s="198"/>
      <c r="AG507" s="199"/>
      <c r="AH507" s="199"/>
      <c r="AI507" s="199"/>
      <c r="AJ507" s="199"/>
      <c r="AK507" s="199"/>
      <c r="AL507" s="199"/>
      <c r="AM507" s="199"/>
      <c r="AN507" s="199"/>
      <c r="AO507" s="199"/>
      <c r="AP507" s="426"/>
    </row>
    <row r="508" ht="15.75" customHeight="1">
      <c r="A508" s="191">
        <v>1.1972954E7</v>
      </c>
      <c r="B508" s="464">
        <v>9.000501047E9</v>
      </c>
      <c r="C508" s="465">
        <v>46000.0</v>
      </c>
      <c r="D508" s="192">
        <v>27.0</v>
      </c>
      <c r="E508" s="192">
        <v>34716.0</v>
      </c>
      <c r="F508" s="219" t="s">
        <v>31</v>
      </c>
      <c r="G508" s="208" t="s">
        <v>44</v>
      </c>
      <c r="H508" s="169" t="s">
        <v>1317</v>
      </c>
      <c r="I508" s="200" t="s">
        <v>137</v>
      </c>
      <c r="J508" s="169" t="s">
        <v>35</v>
      </c>
      <c r="K508" s="169" t="s">
        <v>138</v>
      </c>
      <c r="L508" s="209" t="s">
        <v>94</v>
      </c>
      <c r="M508" s="198"/>
      <c r="N508" s="196">
        <v>5760.0</v>
      </c>
      <c r="O508" s="187">
        <f t="shared" si="26"/>
        <v>0</v>
      </c>
      <c r="P508" s="466"/>
      <c r="Q508" s="198"/>
      <c r="R508" s="198"/>
      <c r="S508" s="84" t="s">
        <v>165</v>
      </c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  <c r="AF508" s="198"/>
      <c r="AG508" s="199"/>
      <c r="AH508" s="199"/>
      <c r="AI508" s="199"/>
      <c r="AJ508" s="199"/>
      <c r="AK508" s="199"/>
      <c r="AL508" s="199"/>
      <c r="AM508" s="199"/>
      <c r="AN508" s="199"/>
      <c r="AO508" s="199"/>
      <c r="AP508" s="426"/>
    </row>
    <row r="509" ht="15.75" customHeight="1">
      <c r="A509" s="103">
        <v>1.1972951E7</v>
      </c>
      <c r="B509" s="84">
        <v>9.000501037E9</v>
      </c>
      <c r="C509" s="11">
        <v>45997.0</v>
      </c>
      <c r="D509" s="84">
        <v>28.0</v>
      </c>
      <c r="E509" s="84">
        <v>34378.0</v>
      </c>
      <c r="F509" s="103" t="s">
        <v>31</v>
      </c>
      <c r="G509" s="84" t="s">
        <v>44</v>
      </c>
      <c r="H509" s="84" t="s">
        <v>1317</v>
      </c>
      <c r="I509" s="39" t="s">
        <v>137</v>
      </c>
      <c r="J509" s="84" t="s">
        <v>35</v>
      </c>
      <c r="K509" s="84" t="s">
        <v>138</v>
      </c>
      <c r="L509" s="98" t="s">
        <v>94</v>
      </c>
      <c r="M509" s="84"/>
      <c r="N509" s="133">
        <v>5760.0</v>
      </c>
      <c r="O509" s="73">
        <f t="shared" si="26"/>
        <v>0</v>
      </c>
      <c r="P509" s="15"/>
      <c r="Q509" s="12"/>
      <c r="R509" s="12"/>
      <c r="S509" s="84" t="s">
        <v>165</v>
      </c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</row>
    <row r="510" ht="15.75" customHeight="1">
      <c r="A510" s="103">
        <v>1.1973922E7</v>
      </c>
      <c r="B510" s="84">
        <v>9.000503189E9</v>
      </c>
      <c r="C510" s="11">
        <v>45997.0</v>
      </c>
      <c r="D510" s="84">
        <v>28.0</v>
      </c>
      <c r="E510" s="84">
        <v>34058.0</v>
      </c>
      <c r="F510" s="103" t="s">
        <v>31</v>
      </c>
      <c r="G510" s="84" t="s">
        <v>32</v>
      </c>
      <c r="H510" s="169" t="s">
        <v>45</v>
      </c>
      <c r="I510" s="209" t="s">
        <v>46</v>
      </c>
      <c r="J510" s="12" t="s">
        <v>35</v>
      </c>
      <c r="K510" s="14" t="s">
        <v>47</v>
      </c>
      <c r="L510" s="98" t="s">
        <v>108</v>
      </c>
      <c r="M510" s="146"/>
      <c r="N510" s="133">
        <v>2545.0</v>
      </c>
      <c r="O510" s="73">
        <f t="shared" si="26"/>
        <v>0</v>
      </c>
      <c r="P510" s="15"/>
      <c r="Q510" s="12"/>
      <c r="R510" s="12"/>
      <c r="S510" s="84" t="s">
        <v>165</v>
      </c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</row>
    <row r="511" ht="15.75" customHeight="1">
      <c r="A511" s="103">
        <v>1.1979653E7</v>
      </c>
      <c r="B511" s="84">
        <v>9.00051124E9</v>
      </c>
      <c r="C511" s="11">
        <v>46000.0</v>
      </c>
      <c r="D511" s="84">
        <v>27.0</v>
      </c>
      <c r="E511" s="84">
        <v>34716.0</v>
      </c>
      <c r="F511" s="103" t="s">
        <v>31</v>
      </c>
      <c r="G511" s="208" t="s">
        <v>44</v>
      </c>
      <c r="H511" s="194" t="s">
        <v>104</v>
      </c>
      <c r="I511" s="85" t="s">
        <v>2149</v>
      </c>
      <c r="J511" s="170" t="s">
        <v>35</v>
      </c>
      <c r="K511" s="194" t="s">
        <v>106</v>
      </c>
      <c r="L511" s="171" t="s">
        <v>59</v>
      </c>
      <c r="M511" s="84"/>
      <c r="N511" s="133">
        <v>5337.0</v>
      </c>
      <c r="O511" s="73">
        <f t="shared" si="26"/>
        <v>0</v>
      </c>
      <c r="P511" s="15"/>
      <c r="Q511" s="12"/>
      <c r="R511" s="12"/>
      <c r="S511" s="84" t="s">
        <v>1942</v>
      </c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</row>
    <row r="512" ht="15.75" customHeight="1">
      <c r="A512" s="103">
        <v>1.2000322E7</v>
      </c>
      <c r="B512" s="84">
        <v>9.000533426E9</v>
      </c>
      <c r="C512" s="11">
        <v>46002.0</v>
      </c>
      <c r="D512" s="84">
        <v>28.0</v>
      </c>
      <c r="E512" s="84">
        <v>34295.0</v>
      </c>
      <c r="F512" s="103" t="s">
        <v>43</v>
      </c>
      <c r="G512" s="84" t="s">
        <v>44</v>
      </c>
      <c r="H512" s="169" t="s">
        <v>45</v>
      </c>
      <c r="I512" s="209" t="s">
        <v>46</v>
      </c>
      <c r="J512" s="12" t="s">
        <v>35</v>
      </c>
      <c r="K512" s="14" t="s">
        <v>47</v>
      </c>
      <c r="L512" s="98" t="s">
        <v>108</v>
      </c>
      <c r="M512" s="84"/>
      <c r="N512" s="133">
        <v>1946.5</v>
      </c>
      <c r="O512" s="73">
        <f t="shared" si="26"/>
        <v>0</v>
      </c>
      <c r="P512" s="98"/>
      <c r="Q512" s="12"/>
      <c r="R512" s="12"/>
      <c r="S512" s="84" t="s">
        <v>165</v>
      </c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</row>
    <row r="513" ht="15.75" customHeight="1">
      <c r="A513" s="103">
        <v>1.2000324E7</v>
      </c>
      <c r="B513" s="84">
        <v>9.000533385E9</v>
      </c>
      <c r="C513" s="11">
        <v>46002.0</v>
      </c>
      <c r="D513" s="84">
        <v>15.0</v>
      </c>
      <c r="E513" s="84">
        <v>17135.0</v>
      </c>
      <c r="F513" s="103" t="s">
        <v>43</v>
      </c>
      <c r="G513" s="84" t="s">
        <v>44</v>
      </c>
      <c r="H513" s="176" t="s">
        <v>3044</v>
      </c>
      <c r="I513" s="194" t="s">
        <v>1957</v>
      </c>
      <c r="J513" s="14" t="s">
        <v>47</v>
      </c>
      <c r="K513" s="12" t="s">
        <v>35</v>
      </c>
      <c r="L513" s="98" t="s">
        <v>108</v>
      </c>
      <c r="M513" s="84"/>
      <c r="N513" s="133">
        <v>1946.5</v>
      </c>
      <c r="O513" s="73">
        <f t="shared" si="26"/>
        <v>0</v>
      </c>
      <c r="P513" s="15"/>
      <c r="Q513" s="12"/>
      <c r="R513" s="12"/>
      <c r="S513" s="84" t="s">
        <v>165</v>
      </c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</row>
    <row r="514" ht="15.75" customHeight="1">
      <c r="A514" s="103">
        <v>0.0</v>
      </c>
      <c r="B514" s="84">
        <v>9.00052749E9</v>
      </c>
      <c r="C514" s="11">
        <v>46003.0</v>
      </c>
      <c r="D514" s="84">
        <v>0.0</v>
      </c>
      <c r="E514" s="84">
        <v>0.0</v>
      </c>
      <c r="F514" s="103" t="s">
        <v>31</v>
      </c>
      <c r="G514" s="84" t="s">
        <v>74</v>
      </c>
      <c r="H514" s="84" t="s">
        <v>1859</v>
      </c>
      <c r="I514" s="29" t="s">
        <v>427</v>
      </c>
      <c r="J514" s="25" t="s">
        <v>35</v>
      </c>
      <c r="K514" s="93" t="s">
        <v>673</v>
      </c>
      <c r="L514" s="95" t="s">
        <v>108</v>
      </c>
      <c r="M514" s="84"/>
      <c r="N514" s="133">
        <v>2900.0</v>
      </c>
      <c r="O514" s="73">
        <f t="shared" si="26"/>
        <v>0</v>
      </c>
      <c r="P514" s="15"/>
      <c r="Q514" s="12"/>
      <c r="R514" s="12"/>
      <c r="S514" s="84" t="s">
        <v>165</v>
      </c>
      <c r="T514" s="12"/>
      <c r="U514" s="12"/>
      <c r="V514" s="12"/>
      <c r="W514" s="12"/>
      <c r="X514" s="237">
        <v>46006.291666666664</v>
      </c>
      <c r="Y514" s="12"/>
      <c r="Z514" s="12"/>
      <c r="AA514" s="12"/>
      <c r="AB514" s="12"/>
      <c r="AC514" s="12"/>
      <c r="AD514" s="12"/>
      <c r="AE514" s="12"/>
      <c r="AF514" s="1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</row>
    <row r="515" ht="15.75" customHeight="1">
      <c r="A515" s="103">
        <v>1.2010245E7</v>
      </c>
      <c r="B515" s="84">
        <v>9.000545196E9</v>
      </c>
      <c r="C515" s="11">
        <v>46009.0</v>
      </c>
      <c r="D515" s="84">
        <v>27.0</v>
      </c>
      <c r="E515" s="84">
        <v>34716.0</v>
      </c>
      <c r="F515" s="103" t="s">
        <v>31</v>
      </c>
      <c r="G515" s="84" t="s">
        <v>44</v>
      </c>
      <c r="H515" s="194" t="s">
        <v>104</v>
      </c>
      <c r="I515" s="85" t="s">
        <v>2149</v>
      </c>
      <c r="J515" s="170" t="s">
        <v>35</v>
      </c>
      <c r="K515" s="194" t="s">
        <v>106</v>
      </c>
      <c r="L515" s="171" t="s">
        <v>59</v>
      </c>
      <c r="M515" s="12"/>
      <c r="N515" s="133">
        <v>5337.0</v>
      </c>
      <c r="O515" s="73">
        <f t="shared" si="26"/>
        <v>0</v>
      </c>
      <c r="P515" s="15"/>
      <c r="Q515" s="12"/>
      <c r="R515" s="12"/>
      <c r="S515" s="84" t="s">
        <v>165</v>
      </c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</row>
    <row r="516" ht="15.75" customHeight="1">
      <c r="A516" s="103">
        <v>1.201005E7</v>
      </c>
      <c r="B516" s="84">
        <v>9.000544977E9</v>
      </c>
      <c r="C516" s="11">
        <v>46008.0</v>
      </c>
      <c r="D516" s="84">
        <v>27.0</v>
      </c>
      <c r="E516" s="84">
        <v>34716.0</v>
      </c>
      <c r="F516" s="103" t="s">
        <v>31</v>
      </c>
      <c r="G516" s="168" t="s">
        <v>44</v>
      </c>
      <c r="H516" s="12" t="s">
        <v>265</v>
      </c>
      <c r="I516" s="39" t="s">
        <v>266</v>
      </c>
      <c r="J516" s="25" t="s">
        <v>35</v>
      </c>
      <c r="K516" s="25" t="s">
        <v>267</v>
      </c>
      <c r="L516" s="95" t="s">
        <v>114</v>
      </c>
      <c r="M516" s="84"/>
      <c r="N516" s="133">
        <v>6527.0</v>
      </c>
      <c r="O516" s="73">
        <f t="shared" si="26"/>
        <v>0</v>
      </c>
      <c r="P516" s="15"/>
      <c r="Q516" s="12"/>
      <c r="R516" s="12"/>
      <c r="S516" s="84" t="s">
        <v>165</v>
      </c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</row>
    <row r="517" ht="15.75" customHeight="1">
      <c r="A517" s="103">
        <v>1.2007799E7</v>
      </c>
      <c r="B517" s="84">
        <v>9.000542054E9</v>
      </c>
      <c r="C517" s="11">
        <v>46008.0</v>
      </c>
      <c r="D517" s="84">
        <v>26.0</v>
      </c>
      <c r="E517" s="84">
        <v>32711.0</v>
      </c>
      <c r="F517" s="103" t="s">
        <v>31</v>
      </c>
      <c r="G517" s="208" t="s">
        <v>44</v>
      </c>
      <c r="H517" s="194" t="s">
        <v>104</v>
      </c>
      <c r="I517" s="85" t="s">
        <v>2149</v>
      </c>
      <c r="J517" s="170" t="s">
        <v>35</v>
      </c>
      <c r="K517" s="194" t="s">
        <v>106</v>
      </c>
      <c r="L517" s="171" t="s">
        <v>59</v>
      </c>
      <c r="M517" s="12"/>
      <c r="N517" s="133">
        <v>5337.0</v>
      </c>
      <c r="O517" s="73">
        <f t="shared" si="26"/>
        <v>0</v>
      </c>
      <c r="P517" s="15"/>
      <c r="Q517" s="12"/>
      <c r="R517" s="12"/>
      <c r="S517" s="84" t="s">
        <v>165</v>
      </c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</row>
    <row r="518" ht="15.75" customHeight="1">
      <c r="A518" s="103">
        <v>1.2014794E7</v>
      </c>
      <c r="B518" s="84">
        <v>9.000550868E9</v>
      </c>
      <c r="C518" s="11">
        <v>46009.0</v>
      </c>
      <c r="D518" s="84">
        <v>27.0</v>
      </c>
      <c r="E518" s="84">
        <v>34716.0</v>
      </c>
      <c r="F518" s="103" t="s">
        <v>43</v>
      </c>
      <c r="G518" s="84" t="s">
        <v>32</v>
      </c>
      <c r="H518" s="12" t="s">
        <v>265</v>
      </c>
      <c r="I518" s="39" t="s">
        <v>266</v>
      </c>
      <c r="J518" s="25" t="s">
        <v>35</v>
      </c>
      <c r="K518" s="25" t="s">
        <v>267</v>
      </c>
      <c r="L518" s="95" t="s">
        <v>114</v>
      </c>
      <c r="M518" s="84"/>
      <c r="N518" s="133">
        <v>6527.0</v>
      </c>
      <c r="O518" s="73"/>
      <c r="P518" s="15"/>
      <c r="Q518" s="12"/>
      <c r="R518" s="12"/>
      <c r="S518" s="84" t="s">
        <v>165</v>
      </c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</row>
    <row r="519" ht="16.5" customHeight="1">
      <c r="A519" s="103">
        <v>1.2008245E7</v>
      </c>
      <c r="B519" s="84">
        <v>9.00054208E9</v>
      </c>
      <c r="C519" s="11">
        <v>46007.0</v>
      </c>
      <c r="D519" s="84">
        <v>26.0</v>
      </c>
      <c r="E519" s="84">
        <v>30353.0</v>
      </c>
      <c r="F519" s="103" t="s">
        <v>43</v>
      </c>
      <c r="G519" s="84" t="s">
        <v>44</v>
      </c>
      <c r="H519" s="29" t="s">
        <v>104</v>
      </c>
      <c r="I519" s="85" t="s">
        <v>2149</v>
      </c>
      <c r="J519" s="25" t="s">
        <v>35</v>
      </c>
      <c r="K519" s="39" t="s">
        <v>106</v>
      </c>
      <c r="L519" s="95" t="s">
        <v>59</v>
      </c>
      <c r="M519" s="84"/>
      <c r="N519" s="133">
        <v>3812.0</v>
      </c>
      <c r="O519" s="73">
        <f t="shared" ref="O519:O521" si="27">IFERROR(P519/N519,0)</f>
        <v>0.7082896118</v>
      </c>
      <c r="P519" s="98">
        <v>2700.0</v>
      </c>
      <c r="Q519" s="12"/>
      <c r="R519" s="84">
        <v>1750841.0</v>
      </c>
      <c r="S519" s="84" t="s">
        <v>165</v>
      </c>
      <c r="T519" s="90">
        <v>7931346.0</v>
      </c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</row>
    <row r="520" ht="15.75" customHeight="1">
      <c r="A520" s="103">
        <v>1.2008246E7</v>
      </c>
      <c r="B520" s="84">
        <v>9.000542042E9</v>
      </c>
      <c r="C520" s="11">
        <v>46007.0</v>
      </c>
      <c r="D520" s="84">
        <v>12.0</v>
      </c>
      <c r="E520" s="84">
        <v>10161.0</v>
      </c>
      <c r="F520" s="103" t="s">
        <v>43</v>
      </c>
      <c r="G520" s="84" t="s">
        <v>44</v>
      </c>
      <c r="H520" s="85" t="s">
        <v>3045</v>
      </c>
      <c r="I520" s="85" t="s">
        <v>2149</v>
      </c>
      <c r="J520" s="39" t="s">
        <v>106</v>
      </c>
      <c r="K520" s="25" t="s">
        <v>35</v>
      </c>
      <c r="L520" s="95" t="s">
        <v>121</v>
      </c>
      <c r="M520" s="84"/>
      <c r="N520" s="133">
        <v>3812.0</v>
      </c>
      <c r="O520" s="73">
        <f t="shared" si="27"/>
        <v>0</v>
      </c>
      <c r="P520" s="15"/>
      <c r="Q520" s="12"/>
      <c r="R520" s="12"/>
      <c r="S520" s="84" t="s">
        <v>165</v>
      </c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</row>
    <row r="521" ht="15.75" customHeight="1">
      <c r="A521" s="103">
        <v>1.2002736E7</v>
      </c>
      <c r="B521" s="84">
        <v>9.000535277E9</v>
      </c>
      <c r="C521" s="11">
        <v>46007.0</v>
      </c>
      <c r="D521" s="84">
        <v>26.0</v>
      </c>
      <c r="E521" s="84">
        <v>31625.0</v>
      </c>
      <c r="F521" s="103" t="s">
        <v>31</v>
      </c>
      <c r="G521" s="84" t="s">
        <v>44</v>
      </c>
      <c r="H521" s="84" t="s">
        <v>2127</v>
      </c>
      <c r="I521" s="84" t="s">
        <v>2128</v>
      </c>
      <c r="J521" s="238" t="s">
        <v>2082</v>
      </c>
      <c r="K521" s="238" t="s">
        <v>2129</v>
      </c>
      <c r="L521" s="98" t="s">
        <v>94</v>
      </c>
      <c r="M521" s="84"/>
      <c r="N521" s="133">
        <v>6639.0</v>
      </c>
      <c r="O521" s="73">
        <f t="shared" si="27"/>
        <v>0</v>
      </c>
      <c r="P521" s="15"/>
      <c r="Q521" s="12"/>
      <c r="R521" s="12"/>
      <c r="S521" s="84" t="s">
        <v>165</v>
      </c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</row>
    <row r="522" ht="15.75" customHeight="1">
      <c r="A522" s="103">
        <v>1.2029762E7</v>
      </c>
      <c r="B522" s="84">
        <v>9.000569336E9</v>
      </c>
      <c r="C522" s="11">
        <v>46010.0</v>
      </c>
      <c r="D522" s="84">
        <v>26.0</v>
      </c>
      <c r="E522" s="84">
        <v>33098.0</v>
      </c>
      <c r="F522" s="103" t="s">
        <v>31</v>
      </c>
      <c r="G522" s="85" t="s">
        <v>44</v>
      </c>
      <c r="H522" s="84" t="s">
        <v>1317</v>
      </c>
      <c r="I522" s="89" t="s">
        <v>2131</v>
      </c>
      <c r="J522" s="84" t="s">
        <v>35</v>
      </c>
      <c r="K522" s="84" t="s">
        <v>138</v>
      </c>
      <c r="L522" s="98" t="s">
        <v>114</v>
      </c>
      <c r="M522" s="12"/>
      <c r="N522" s="133">
        <v>5760.0</v>
      </c>
      <c r="O522" s="73"/>
      <c r="P522" s="15"/>
      <c r="Q522" s="12"/>
      <c r="R522" s="12"/>
      <c r="S522" s="84" t="s">
        <v>165</v>
      </c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</row>
    <row r="523" ht="15.75" customHeight="1">
      <c r="A523" s="103">
        <v>1.2022493E7</v>
      </c>
      <c r="B523" s="84">
        <v>9.000559768E9</v>
      </c>
      <c r="C523" s="11">
        <v>46009.0</v>
      </c>
      <c r="D523" s="84">
        <v>26.0</v>
      </c>
      <c r="E523" s="84">
        <v>30663.0</v>
      </c>
      <c r="F523" s="103" t="s">
        <v>31</v>
      </c>
      <c r="G523" s="84" t="s">
        <v>32</v>
      </c>
      <c r="H523" s="84" t="s">
        <v>2243</v>
      </c>
      <c r="I523" s="84" t="s">
        <v>3046</v>
      </c>
      <c r="J523" s="238" t="s">
        <v>2082</v>
      </c>
      <c r="K523" s="238" t="s">
        <v>2245</v>
      </c>
      <c r="L523" s="98" t="s">
        <v>2105</v>
      </c>
      <c r="M523" s="12"/>
      <c r="N523" s="133" t="s">
        <v>2558</v>
      </c>
      <c r="O523" s="73">
        <f t="shared" ref="O523:O527" si="28">IFERROR(P523/N523,0)</f>
        <v>0</v>
      </c>
      <c r="P523" s="15"/>
      <c r="Q523" s="12"/>
      <c r="R523" s="12"/>
      <c r="S523" s="84" t="s">
        <v>165</v>
      </c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</row>
    <row r="524" ht="15.75" customHeight="1">
      <c r="A524" s="103">
        <v>1.2021975E7</v>
      </c>
      <c r="B524" s="84">
        <v>9.000559438E9</v>
      </c>
      <c r="C524" s="11">
        <v>46008.0</v>
      </c>
      <c r="D524" s="84">
        <v>26.0</v>
      </c>
      <c r="E524" s="84">
        <v>31625.0</v>
      </c>
      <c r="F524" s="103" t="s">
        <v>31</v>
      </c>
      <c r="G524" s="84" t="s">
        <v>32</v>
      </c>
      <c r="H524" s="84" t="s">
        <v>2121</v>
      </c>
      <c r="I524" s="84" t="s">
        <v>2122</v>
      </c>
      <c r="J524" s="238" t="s">
        <v>2082</v>
      </c>
      <c r="K524" s="238" t="s">
        <v>2123</v>
      </c>
      <c r="L524" s="98" t="s">
        <v>2105</v>
      </c>
      <c r="M524" s="84"/>
      <c r="N524" s="133">
        <v>5972.0</v>
      </c>
      <c r="O524" s="73">
        <f t="shared" si="28"/>
        <v>0</v>
      </c>
      <c r="P524" s="15"/>
      <c r="Q524" s="12"/>
      <c r="R524" s="12"/>
      <c r="S524" s="84" t="s">
        <v>165</v>
      </c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</row>
    <row r="525" ht="15.75" customHeight="1">
      <c r="A525" s="103">
        <v>1.2022083E7</v>
      </c>
      <c r="B525" s="84">
        <v>9.000559626E9</v>
      </c>
      <c r="C525" s="11">
        <v>46011.0</v>
      </c>
      <c r="D525" s="84">
        <v>26.0</v>
      </c>
      <c r="E525" s="84">
        <v>31333.0</v>
      </c>
      <c r="F525" s="103" t="s">
        <v>43</v>
      </c>
      <c r="G525" s="84" t="s">
        <v>44</v>
      </c>
      <c r="H525" s="169" t="s">
        <v>45</v>
      </c>
      <c r="I525" s="209" t="s">
        <v>46</v>
      </c>
      <c r="J525" s="12" t="s">
        <v>35</v>
      </c>
      <c r="K525" s="14" t="s">
        <v>47</v>
      </c>
      <c r="L525" s="98" t="s">
        <v>108</v>
      </c>
      <c r="M525" s="84" t="s">
        <v>1936</v>
      </c>
      <c r="N525" s="133">
        <v>1946.5</v>
      </c>
      <c r="O525" s="73">
        <f t="shared" si="28"/>
        <v>0</v>
      </c>
      <c r="P525" s="15"/>
      <c r="Q525" s="12"/>
      <c r="R525" s="12"/>
      <c r="S525" s="84" t="s">
        <v>165</v>
      </c>
      <c r="T525" s="12"/>
      <c r="U525" s="12"/>
      <c r="V525" s="12"/>
      <c r="W525" s="12"/>
      <c r="X525" s="237">
        <v>46013.40972222222</v>
      </c>
      <c r="Y525" s="12"/>
      <c r="Z525" s="12"/>
      <c r="AA525" s="12"/>
      <c r="AB525" s="12"/>
      <c r="AC525" s="12"/>
      <c r="AD525" s="12"/>
      <c r="AE525" s="12"/>
      <c r="AF525" s="1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</row>
    <row r="526" ht="15.75" customHeight="1">
      <c r="A526" s="103">
        <v>1.2022084E7</v>
      </c>
      <c r="B526" s="84">
        <v>9.000559635E9</v>
      </c>
      <c r="C526" s="11">
        <v>46011.0</v>
      </c>
      <c r="D526" s="84">
        <v>4.0</v>
      </c>
      <c r="E526" s="84">
        <v>185.0</v>
      </c>
      <c r="F526" s="103" t="s">
        <v>43</v>
      </c>
      <c r="G526" s="84" t="s">
        <v>44</v>
      </c>
      <c r="H526" s="176" t="s">
        <v>3047</v>
      </c>
      <c r="I526" s="194" t="s">
        <v>1957</v>
      </c>
      <c r="J526" s="14" t="s">
        <v>47</v>
      </c>
      <c r="K526" s="12" t="s">
        <v>35</v>
      </c>
      <c r="L526" s="98" t="s">
        <v>108</v>
      </c>
      <c r="M526" s="84" t="s">
        <v>1936</v>
      </c>
      <c r="N526" s="133">
        <v>1946.5</v>
      </c>
      <c r="O526" s="73">
        <f t="shared" si="28"/>
        <v>0</v>
      </c>
      <c r="P526" s="15"/>
      <c r="Q526" s="12"/>
      <c r="R526" s="12"/>
      <c r="S526" s="84" t="s">
        <v>165</v>
      </c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</row>
    <row r="527" ht="15.75" customHeight="1">
      <c r="A527" s="103">
        <v>1.2047636E7</v>
      </c>
      <c r="B527" s="84">
        <v>9.000590402E9</v>
      </c>
      <c r="C527" s="11">
        <v>46021.0</v>
      </c>
      <c r="D527" s="84">
        <v>26.0</v>
      </c>
      <c r="E527" s="84">
        <v>32736.0</v>
      </c>
      <c r="F527" s="103" t="s">
        <v>31</v>
      </c>
      <c r="G527" s="208" t="s">
        <v>44</v>
      </c>
      <c r="H527" s="194" t="s">
        <v>104</v>
      </c>
      <c r="I527" s="85" t="s">
        <v>2149</v>
      </c>
      <c r="J527" s="170" t="s">
        <v>35</v>
      </c>
      <c r="K527" s="194" t="s">
        <v>106</v>
      </c>
      <c r="L527" s="171" t="s">
        <v>59</v>
      </c>
      <c r="M527" s="216"/>
      <c r="N527" s="133">
        <v>5337.0</v>
      </c>
      <c r="O527" s="73">
        <f t="shared" si="28"/>
        <v>0</v>
      </c>
      <c r="P527" s="15"/>
      <c r="Q527" s="12"/>
      <c r="R527" s="12"/>
      <c r="S527" s="84" t="s">
        <v>165</v>
      </c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</row>
    <row r="528" ht="15.75" customHeight="1">
      <c r="A528" s="103">
        <v>1.2058987E7</v>
      </c>
      <c r="B528" s="84">
        <v>9.000600355E9</v>
      </c>
      <c r="C528" s="11">
        <v>46022.0</v>
      </c>
      <c r="D528" s="84">
        <v>20.0</v>
      </c>
      <c r="E528" s="84">
        <v>24976.0</v>
      </c>
      <c r="F528" s="103" t="s">
        <v>31</v>
      </c>
      <c r="G528" s="84" t="s">
        <v>74</v>
      </c>
      <c r="H528" s="84" t="s">
        <v>1196</v>
      </c>
      <c r="I528" s="89" t="s">
        <v>186</v>
      </c>
      <c r="J528" s="84" t="s">
        <v>35</v>
      </c>
      <c r="K528" s="84" t="s">
        <v>187</v>
      </c>
      <c r="L528" s="95" t="s">
        <v>188</v>
      </c>
      <c r="M528" s="84"/>
      <c r="N528" s="133">
        <v>4362.0</v>
      </c>
      <c r="O528" s="73"/>
      <c r="P528" s="15"/>
      <c r="Q528" s="12"/>
      <c r="R528" s="12"/>
      <c r="S528" s="84" t="s">
        <v>165</v>
      </c>
      <c r="T528" s="12"/>
      <c r="U528" s="12"/>
      <c r="V528" s="12"/>
      <c r="W528" s="12"/>
      <c r="X528" s="241">
        <v>45659.291666666664</v>
      </c>
      <c r="Y528" s="12"/>
      <c r="Z528" s="12"/>
      <c r="AA528" s="12"/>
      <c r="AB528" s="12"/>
      <c r="AC528" s="12"/>
      <c r="AD528" s="12"/>
      <c r="AE528" s="12"/>
      <c r="AF528" s="1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</row>
    <row r="529" ht="15.75" customHeight="1">
      <c r="A529" s="103">
        <v>1.205871E7</v>
      </c>
      <c r="B529" s="84">
        <v>9.000600747E9</v>
      </c>
      <c r="C529" s="11">
        <v>46027.0</v>
      </c>
      <c r="D529" s="84">
        <v>28.0</v>
      </c>
      <c r="E529" s="84">
        <v>34058.0</v>
      </c>
      <c r="F529" s="103" t="s">
        <v>31</v>
      </c>
      <c r="G529" s="84" t="s">
        <v>44</v>
      </c>
      <c r="H529" s="84" t="s">
        <v>1317</v>
      </c>
      <c r="I529" s="98" t="s">
        <v>2131</v>
      </c>
      <c r="J529" s="84" t="s">
        <v>35</v>
      </c>
      <c r="K529" s="84" t="s">
        <v>138</v>
      </c>
      <c r="L529" s="98" t="s">
        <v>94</v>
      </c>
      <c r="M529" s="84" t="s">
        <v>1974</v>
      </c>
      <c r="N529" s="133">
        <v>5760.0</v>
      </c>
      <c r="O529" s="73">
        <f t="shared" ref="O529:O531" si="29">IFERROR(P529/N529,0)</f>
        <v>0</v>
      </c>
      <c r="P529" s="98"/>
      <c r="Q529" s="12"/>
      <c r="R529" s="12"/>
      <c r="S529" s="84" t="s">
        <v>165</v>
      </c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</row>
    <row r="530" ht="15.75" customHeight="1">
      <c r="A530" s="103">
        <v>1.2072185E7</v>
      </c>
      <c r="B530" s="84">
        <v>9.000610422E9</v>
      </c>
      <c r="C530" s="11">
        <v>46028.0</v>
      </c>
      <c r="D530" s="84">
        <v>28.0</v>
      </c>
      <c r="E530" s="84">
        <v>34378.0</v>
      </c>
      <c r="F530" s="103" t="s">
        <v>31</v>
      </c>
      <c r="G530" s="84" t="s">
        <v>44</v>
      </c>
      <c r="H530" s="84" t="s">
        <v>1317</v>
      </c>
      <c r="I530" s="98" t="s">
        <v>2131</v>
      </c>
      <c r="J530" s="84" t="s">
        <v>35</v>
      </c>
      <c r="K530" s="84" t="s">
        <v>138</v>
      </c>
      <c r="L530" s="98" t="s">
        <v>94</v>
      </c>
      <c r="M530" s="84"/>
      <c r="N530" s="133">
        <v>5760.0</v>
      </c>
      <c r="O530" s="73">
        <f t="shared" si="29"/>
        <v>0</v>
      </c>
      <c r="P530" s="15"/>
      <c r="Q530" s="12"/>
      <c r="R530" s="12"/>
      <c r="S530" s="84" t="s">
        <v>165</v>
      </c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</row>
    <row r="531" ht="15.75" customHeight="1">
      <c r="A531" s="103">
        <v>1.2072186E7</v>
      </c>
      <c r="B531" s="84">
        <v>9.000610351E9</v>
      </c>
      <c r="C531" s="11">
        <v>46028.0</v>
      </c>
      <c r="D531" s="84">
        <v>28.0</v>
      </c>
      <c r="E531" s="84">
        <v>34058.0</v>
      </c>
      <c r="F531" s="103" t="s">
        <v>31</v>
      </c>
      <c r="G531" s="84" t="s">
        <v>44</v>
      </c>
      <c r="H531" s="84" t="s">
        <v>1317</v>
      </c>
      <c r="I531" s="98" t="s">
        <v>2131</v>
      </c>
      <c r="J531" s="84" t="s">
        <v>35</v>
      </c>
      <c r="K531" s="84" t="s">
        <v>138</v>
      </c>
      <c r="L531" s="98" t="s">
        <v>94</v>
      </c>
      <c r="M531" s="84"/>
      <c r="N531" s="133">
        <v>5760.0</v>
      </c>
      <c r="O531" s="73">
        <f t="shared" si="29"/>
        <v>0</v>
      </c>
      <c r="P531" s="98"/>
      <c r="Q531" s="12"/>
      <c r="R531" s="12"/>
      <c r="S531" s="84" t="s">
        <v>165</v>
      </c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</row>
    <row r="532" ht="15.75" customHeight="1">
      <c r="A532" s="114"/>
      <c r="B532" s="84">
        <v>9.00061975E9</v>
      </c>
      <c r="C532" s="11">
        <v>46030.0</v>
      </c>
      <c r="D532" s="115"/>
      <c r="E532" s="115"/>
      <c r="F532" s="22"/>
      <c r="G532" s="22"/>
      <c r="H532" s="22"/>
      <c r="I532" s="258"/>
      <c r="J532" s="22"/>
      <c r="K532" s="22"/>
      <c r="L532" s="460"/>
      <c r="M532" s="22"/>
      <c r="N532" s="461"/>
      <c r="O532" s="260"/>
      <c r="P532" s="258"/>
      <c r="Q532" s="22"/>
      <c r="R532" s="22"/>
      <c r="S532" s="84" t="s">
        <v>165</v>
      </c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15"/>
    </row>
    <row r="533" ht="15.75" customHeight="1">
      <c r="A533" s="114"/>
      <c r="B533" s="84">
        <v>9.00061964E9</v>
      </c>
      <c r="C533" s="11">
        <v>46030.0</v>
      </c>
      <c r="D533" s="115"/>
      <c r="E533" s="115"/>
      <c r="F533" s="22"/>
      <c r="G533" s="22"/>
      <c r="H533" s="22"/>
      <c r="I533" s="258"/>
      <c r="J533" s="22"/>
      <c r="K533" s="22"/>
      <c r="L533" s="460"/>
      <c r="M533" s="22"/>
      <c r="N533" s="461"/>
      <c r="O533" s="260"/>
      <c r="P533" s="258"/>
      <c r="Q533" s="22"/>
      <c r="R533" s="22"/>
      <c r="S533" s="84" t="s">
        <v>165</v>
      </c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15"/>
    </row>
    <row r="534" ht="15.75" customHeight="1">
      <c r="A534" s="114"/>
      <c r="B534" s="84">
        <v>9.000619584E9</v>
      </c>
      <c r="C534" s="11">
        <v>46034.0</v>
      </c>
      <c r="D534" s="115"/>
      <c r="E534" s="115"/>
      <c r="F534" s="22"/>
      <c r="G534" s="22"/>
      <c r="H534" s="22"/>
      <c r="I534" s="258"/>
      <c r="J534" s="22"/>
      <c r="K534" s="22"/>
      <c r="L534" s="460"/>
      <c r="M534" s="22"/>
      <c r="N534" s="461"/>
      <c r="O534" s="260"/>
      <c r="P534" s="258"/>
      <c r="Q534" s="22"/>
      <c r="R534" s="22"/>
      <c r="S534" s="84" t="s">
        <v>165</v>
      </c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15"/>
    </row>
    <row r="535" ht="15.75" customHeight="1">
      <c r="A535" s="114"/>
      <c r="B535" s="84">
        <v>4.503897026E9</v>
      </c>
      <c r="C535" s="11">
        <v>46034.0</v>
      </c>
      <c r="D535" s="115"/>
      <c r="E535" s="115"/>
      <c r="F535" s="22"/>
      <c r="G535" s="22"/>
      <c r="H535" s="22"/>
      <c r="I535" s="258"/>
      <c r="J535" s="22"/>
      <c r="K535" s="22"/>
      <c r="L535" s="460"/>
      <c r="M535" s="22"/>
      <c r="N535" s="461"/>
      <c r="O535" s="260"/>
      <c r="P535" s="258"/>
      <c r="Q535" s="22"/>
      <c r="R535" s="22"/>
      <c r="S535" s="84" t="s">
        <v>165</v>
      </c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15"/>
    </row>
    <row r="536" ht="15.75" customHeight="1">
      <c r="A536" s="114"/>
      <c r="B536" s="84">
        <v>9.000619631E9</v>
      </c>
      <c r="C536" s="11">
        <v>46036.0</v>
      </c>
      <c r="D536" s="115"/>
      <c r="E536" s="115"/>
      <c r="F536" s="22"/>
      <c r="G536" s="22"/>
      <c r="H536" s="22"/>
      <c r="I536" s="258"/>
      <c r="J536" s="22"/>
      <c r="K536" s="22"/>
      <c r="L536" s="460"/>
      <c r="M536" s="22"/>
      <c r="N536" s="461"/>
      <c r="O536" s="260"/>
      <c r="P536" s="258"/>
      <c r="Q536" s="22"/>
      <c r="R536" s="22"/>
      <c r="S536" s="84" t="s">
        <v>165</v>
      </c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15"/>
    </row>
    <row r="537" ht="15.75" customHeight="1">
      <c r="A537" s="114"/>
      <c r="B537" s="84">
        <v>4.503897118E9</v>
      </c>
      <c r="C537" s="11">
        <v>46036.0</v>
      </c>
      <c r="D537" s="115"/>
      <c r="E537" s="115"/>
      <c r="F537" s="22"/>
      <c r="G537" s="22"/>
      <c r="H537" s="22"/>
      <c r="I537" s="258"/>
      <c r="J537" s="22"/>
      <c r="K537" s="22"/>
      <c r="L537" s="460"/>
      <c r="M537" s="22"/>
      <c r="N537" s="461"/>
      <c r="O537" s="260"/>
      <c r="P537" s="258"/>
      <c r="Q537" s="22"/>
      <c r="R537" s="22"/>
      <c r="S537" s="84" t="s">
        <v>165</v>
      </c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15"/>
    </row>
    <row r="538" ht="15.75" customHeight="1">
      <c r="A538" s="103">
        <v>1.2087651E7</v>
      </c>
      <c r="B538" s="84">
        <v>9.000629811E9</v>
      </c>
      <c r="C538" s="11">
        <v>46034.0</v>
      </c>
      <c r="D538" s="84">
        <v>27.0</v>
      </c>
      <c r="E538" s="84">
        <v>34414.0</v>
      </c>
      <c r="F538" s="103" t="s">
        <v>31</v>
      </c>
      <c r="G538" s="84" t="s">
        <v>44</v>
      </c>
      <c r="H538" s="169" t="s">
        <v>45</v>
      </c>
      <c r="I538" s="209" t="s">
        <v>46</v>
      </c>
      <c r="J538" s="12" t="s">
        <v>35</v>
      </c>
      <c r="K538" s="14" t="s">
        <v>47</v>
      </c>
      <c r="L538" s="98" t="s">
        <v>108</v>
      </c>
      <c r="M538" s="84" t="s">
        <v>2178</v>
      </c>
      <c r="N538" s="133">
        <v>2545.0</v>
      </c>
      <c r="O538" s="73">
        <f t="shared" ref="O538:O547" si="30">IFERROR(P538/N538,0)</f>
        <v>0</v>
      </c>
      <c r="P538" s="15"/>
      <c r="Q538" s="12"/>
      <c r="R538" s="12"/>
      <c r="S538" s="84" t="s">
        <v>165</v>
      </c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</row>
    <row r="539" ht="15.75" customHeight="1">
      <c r="A539" s="103">
        <v>1.208765E7</v>
      </c>
      <c r="B539" s="84">
        <v>9.000629816E9</v>
      </c>
      <c r="C539" s="11">
        <v>46034.0</v>
      </c>
      <c r="D539" s="84">
        <v>27.0</v>
      </c>
      <c r="E539" s="84">
        <v>34414.0</v>
      </c>
      <c r="F539" s="103" t="s">
        <v>31</v>
      </c>
      <c r="G539" s="84" t="s">
        <v>44</v>
      </c>
      <c r="H539" s="169" t="s">
        <v>45</v>
      </c>
      <c r="I539" s="209" t="s">
        <v>46</v>
      </c>
      <c r="J539" s="12" t="s">
        <v>35</v>
      </c>
      <c r="K539" s="14" t="s">
        <v>47</v>
      </c>
      <c r="L539" s="98" t="s">
        <v>108</v>
      </c>
      <c r="M539" s="84" t="s">
        <v>1943</v>
      </c>
      <c r="N539" s="133">
        <v>2545.0</v>
      </c>
      <c r="O539" s="73">
        <f t="shared" si="30"/>
        <v>0</v>
      </c>
      <c r="P539" s="15"/>
      <c r="Q539" s="12"/>
      <c r="R539" s="12"/>
      <c r="S539" s="84" t="s">
        <v>165</v>
      </c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</row>
    <row r="540" ht="15.75" customHeight="1">
      <c r="A540" s="103">
        <v>1.2088306E7</v>
      </c>
      <c r="B540" s="84">
        <v>9.000630479E9</v>
      </c>
      <c r="C540" s="11">
        <v>46038.0</v>
      </c>
      <c r="D540" s="84">
        <v>28.0</v>
      </c>
      <c r="E540" s="84">
        <v>33911.0</v>
      </c>
      <c r="F540" s="103" t="s">
        <v>31</v>
      </c>
      <c r="G540" s="84" t="s">
        <v>44</v>
      </c>
      <c r="H540" s="169" t="s">
        <v>45</v>
      </c>
      <c r="I540" s="209" t="s">
        <v>46</v>
      </c>
      <c r="J540" s="12" t="s">
        <v>35</v>
      </c>
      <c r="K540" s="14" t="s">
        <v>47</v>
      </c>
      <c r="L540" s="98" t="s">
        <v>108</v>
      </c>
      <c r="M540" s="12"/>
      <c r="N540" s="133">
        <v>2545.0</v>
      </c>
      <c r="O540" s="73">
        <f t="shared" si="30"/>
        <v>0</v>
      </c>
      <c r="P540" s="15"/>
      <c r="Q540" s="12"/>
      <c r="R540" s="12"/>
      <c r="S540" s="84" t="s">
        <v>165</v>
      </c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</row>
    <row r="541" ht="15.75" customHeight="1">
      <c r="A541" s="103">
        <v>1.2088309E7</v>
      </c>
      <c r="B541" s="84">
        <v>9.000630454E9</v>
      </c>
      <c r="C541" s="11">
        <v>46037.0</v>
      </c>
      <c r="D541" s="84">
        <v>28.0</v>
      </c>
      <c r="E541" s="84">
        <v>34295.0</v>
      </c>
      <c r="F541" s="103" t="s">
        <v>43</v>
      </c>
      <c r="G541" s="84" t="s">
        <v>44</v>
      </c>
      <c r="H541" s="169" t="s">
        <v>45</v>
      </c>
      <c r="I541" s="209" t="s">
        <v>46</v>
      </c>
      <c r="J541" s="12" t="s">
        <v>35</v>
      </c>
      <c r="K541" s="14" t="s">
        <v>47</v>
      </c>
      <c r="L541" s="98" t="s">
        <v>108</v>
      </c>
      <c r="M541" s="84"/>
      <c r="N541" s="133">
        <v>1946.5</v>
      </c>
      <c r="O541" s="73">
        <f t="shared" si="30"/>
        <v>0</v>
      </c>
      <c r="P541" s="15"/>
      <c r="Q541" s="12"/>
      <c r="R541" s="12"/>
      <c r="S541" s="84" t="s">
        <v>165</v>
      </c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</row>
    <row r="542" ht="15.75" customHeight="1">
      <c r="A542" s="103">
        <v>1.208831E7</v>
      </c>
      <c r="B542" s="84">
        <v>9.000630617E9</v>
      </c>
      <c r="C542" s="11">
        <v>46037.0</v>
      </c>
      <c r="D542" s="84">
        <v>15.0</v>
      </c>
      <c r="E542" s="84">
        <v>17135.0</v>
      </c>
      <c r="F542" s="103" t="s">
        <v>43</v>
      </c>
      <c r="G542" s="84" t="s">
        <v>44</v>
      </c>
      <c r="H542" s="176" t="s">
        <v>3048</v>
      </c>
      <c r="I542" s="194" t="s">
        <v>1957</v>
      </c>
      <c r="J542" s="14" t="s">
        <v>47</v>
      </c>
      <c r="K542" s="12" t="s">
        <v>35</v>
      </c>
      <c r="L542" s="98" t="s">
        <v>108</v>
      </c>
      <c r="M542" s="84"/>
      <c r="N542" s="133">
        <v>1946.5</v>
      </c>
      <c r="O542" s="73">
        <f t="shared" si="30"/>
        <v>0</v>
      </c>
      <c r="P542" s="15"/>
      <c r="Q542" s="12"/>
      <c r="R542" s="12"/>
      <c r="S542" s="84" t="s">
        <v>165</v>
      </c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</row>
    <row r="543" ht="15.75" customHeight="1">
      <c r="A543" s="103">
        <v>1.2088308E7</v>
      </c>
      <c r="B543" s="84">
        <v>9.000630559E9</v>
      </c>
      <c r="C543" s="11">
        <v>46038.0</v>
      </c>
      <c r="D543" s="84">
        <v>28.0</v>
      </c>
      <c r="E543" s="84">
        <v>33911.0</v>
      </c>
      <c r="F543" s="103" t="s">
        <v>31</v>
      </c>
      <c r="G543" s="84" t="s">
        <v>44</v>
      </c>
      <c r="H543" s="169" t="s">
        <v>45</v>
      </c>
      <c r="I543" s="209" t="s">
        <v>46</v>
      </c>
      <c r="J543" s="12" t="s">
        <v>35</v>
      </c>
      <c r="K543" s="14" t="s">
        <v>47</v>
      </c>
      <c r="L543" s="98" t="s">
        <v>108</v>
      </c>
      <c r="M543" s="12"/>
      <c r="N543" s="133">
        <v>2545.0</v>
      </c>
      <c r="O543" s="73">
        <f t="shared" si="30"/>
        <v>0</v>
      </c>
      <c r="P543" s="15"/>
      <c r="Q543" s="12"/>
      <c r="R543" s="12"/>
      <c r="S543" s="84" t="s">
        <v>165</v>
      </c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</row>
    <row r="544" ht="15.75" customHeight="1">
      <c r="A544" s="103">
        <v>1.2087648E7</v>
      </c>
      <c r="B544" s="84">
        <v>9.000629773E9</v>
      </c>
      <c r="C544" s="11">
        <v>46034.0</v>
      </c>
      <c r="D544" s="84">
        <v>26.0</v>
      </c>
      <c r="E544" s="84">
        <v>29931.0</v>
      </c>
      <c r="F544" s="103" t="s">
        <v>43</v>
      </c>
      <c r="G544" s="84" t="s">
        <v>44</v>
      </c>
      <c r="H544" s="169" t="s">
        <v>45</v>
      </c>
      <c r="I544" s="209" t="s">
        <v>46</v>
      </c>
      <c r="J544" s="12" t="s">
        <v>35</v>
      </c>
      <c r="K544" s="14" t="s">
        <v>47</v>
      </c>
      <c r="L544" s="98" t="s">
        <v>108</v>
      </c>
      <c r="M544" s="84" t="s">
        <v>1974</v>
      </c>
      <c r="N544" s="133">
        <v>1946.5</v>
      </c>
      <c r="O544" s="73">
        <f t="shared" si="30"/>
        <v>0</v>
      </c>
      <c r="P544" s="15"/>
      <c r="Q544" s="12"/>
      <c r="R544" s="12"/>
      <c r="S544" s="84" t="s">
        <v>165</v>
      </c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</row>
    <row r="545" ht="15.75" customHeight="1">
      <c r="A545" s="103">
        <v>1.2087652E7</v>
      </c>
      <c r="B545" s="84">
        <v>9.000629874E9</v>
      </c>
      <c r="C545" s="11">
        <v>46034.0</v>
      </c>
      <c r="D545" s="84">
        <v>2.0</v>
      </c>
      <c r="E545" s="84">
        <v>370.0</v>
      </c>
      <c r="F545" s="103" t="s">
        <v>43</v>
      </c>
      <c r="G545" s="84" t="s">
        <v>44</v>
      </c>
      <c r="H545" s="176" t="s">
        <v>3049</v>
      </c>
      <c r="I545" s="194" t="s">
        <v>1957</v>
      </c>
      <c r="J545" s="14" t="s">
        <v>47</v>
      </c>
      <c r="K545" s="12" t="s">
        <v>35</v>
      </c>
      <c r="L545" s="98" t="s">
        <v>108</v>
      </c>
      <c r="M545" s="84" t="s">
        <v>1974</v>
      </c>
      <c r="N545" s="133">
        <v>1946.5</v>
      </c>
      <c r="O545" s="73">
        <f t="shared" si="30"/>
        <v>0</v>
      </c>
      <c r="P545" s="15"/>
      <c r="Q545" s="12"/>
      <c r="R545" s="12"/>
      <c r="S545" s="84" t="s">
        <v>165</v>
      </c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</row>
    <row r="546" ht="15.75" customHeight="1">
      <c r="A546" s="103">
        <v>1.2088307E7</v>
      </c>
      <c r="B546" s="84">
        <v>9.00063041E9</v>
      </c>
      <c r="C546" s="11">
        <v>46037.0</v>
      </c>
      <c r="D546" s="84">
        <v>27.0</v>
      </c>
      <c r="E546" s="84">
        <v>34414.0</v>
      </c>
      <c r="F546" s="103" t="s">
        <v>31</v>
      </c>
      <c r="G546" s="84" t="s">
        <v>44</v>
      </c>
      <c r="H546" s="169" t="s">
        <v>45</v>
      </c>
      <c r="I546" s="209" t="s">
        <v>46</v>
      </c>
      <c r="J546" s="12" t="s">
        <v>35</v>
      </c>
      <c r="K546" s="14" t="s">
        <v>47</v>
      </c>
      <c r="L546" s="98" t="s">
        <v>108</v>
      </c>
      <c r="M546" s="12"/>
      <c r="N546" s="133">
        <v>2545.0</v>
      </c>
      <c r="O546" s="73">
        <f t="shared" si="30"/>
        <v>0</v>
      </c>
      <c r="P546" s="15"/>
      <c r="Q546" s="12"/>
      <c r="R546" s="12"/>
      <c r="S546" s="84" t="s">
        <v>165</v>
      </c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</row>
    <row r="547" ht="15.75" customHeight="1">
      <c r="A547" s="103">
        <v>1.2091491E7</v>
      </c>
      <c r="B547" s="84">
        <v>9.000634553E9</v>
      </c>
      <c r="C547" s="11">
        <v>46038.0</v>
      </c>
      <c r="D547" s="84">
        <v>28.0</v>
      </c>
      <c r="E547" s="84">
        <v>34058.0</v>
      </c>
      <c r="F547" s="103" t="s">
        <v>31</v>
      </c>
      <c r="G547" s="208" t="s">
        <v>44</v>
      </c>
      <c r="H547" s="194" t="s">
        <v>104</v>
      </c>
      <c r="I547" s="85" t="s">
        <v>2149</v>
      </c>
      <c r="J547" s="170" t="s">
        <v>35</v>
      </c>
      <c r="K547" s="194" t="s">
        <v>106</v>
      </c>
      <c r="L547" s="171" t="s">
        <v>59</v>
      </c>
      <c r="M547" s="84"/>
      <c r="N547" s="133">
        <v>5337.0</v>
      </c>
      <c r="O547" s="73">
        <f t="shared" si="30"/>
        <v>0</v>
      </c>
      <c r="P547" s="15"/>
      <c r="Q547" s="12"/>
      <c r="R547" s="12"/>
      <c r="S547" s="84" t="s">
        <v>165</v>
      </c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</row>
    <row r="548" ht="15.75" customHeight="1">
      <c r="A548" s="103">
        <v>1.209777E7</v>
      </c>
      <c r="B548" s="84">
        <v>9.000641739E9</v>
      </c>
      <c r="C548" s="11">
        <v>46038.0</v>
      </c>
      <c r="D548" s="84">
        <v>28.0</v>
      </c>
      <c r="E548" s="84">
        <v>34058.0</v>
      </c>
      <c r="F548" s="103" t="s">
        <v>31</v>
      </c>
      <c r="G548" s="84" t="s">
        <v>44</v>
      </c>
      <c r="H548" s="84" t="s">
        <v>1317</v>
      </c>
      <c r="I548" s="98" t="s">
        <v>2131</v>
      </c>
      <c r="J548" s="84" t="s">
        <v>35</v>
      </c>
      <c r="K548" s="84" t="s">
        <v>138</v>
      </c>
      <c r="L548" s="98" t="s">
        <v>94</v>
      </c>
      <c r="M548" s="12"/>
      <c r="N548" s="133">
        <v>5760.0</v>
      </c>
      <c r="O548" s="73"/>
      <c r="P548" s="15"/>
      <c r="Q548" s="12"/>
      <c r="R548" s="12"/>
      <c r="S548" s="84" t="s">
        <v>165</v>
      </c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</row>
    <row r="549" ht="15.75" customHeight="1">
      <c r="A549" s="103">
        <v>1.2097769E7</v>
      </c>
      <c r="B549" s="84">
        <v>9.000641764E9</v>
      </c>
      <c r="C549" s="11">
        <v>46038.0</v>
      </c>
      <c r="D549" s="84">
        <v>28.0</v>
      </c>
      <c r="E549" s="84">
        <v>34378.0</v>
      </c>
      <c r="F549" s="103" t="s">
        <v>31</v>
      </c>
      <c r="G549" s="84" t="s">
        <v>44</v>
      </c>
      <c r="H549" s="84" t="s">
        <v>1317</v>
      </c>
      <c r="I549" s="98" t="s">
        <v>2131</v>
      </c>
      <c r="J549" s="84" t="s">
        <v>35</v>
      </c>
      <c r="K549" s="84" t="s">
        <v>138</v>
      </c>
      <c r="L549" s="98" t="s">
        <v>94</v>
      </c>
      <c r="M549" s="12"/>
      <c r="N549" s="133">
        <v>5760.0</v>
      </c>
      <c r="O549" s="73"/>
      <c r="P549" s="15"/>
      <c r="Q549" s="12"/>
      <c r="R549" s="12"/>
      <c r="S549" s="84" t="s">
        <v>165</v>
      </c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</row>
    <row r="550" ht="15.75" customHeight="1">
      <c r="A550" s="103">
        <v>1.2099021E7</v>
      </c>
      <c r="B550" s="84">
        <v>9.000644035E9</v>
      </c>
      <c r="C550" s="11">
        <v>46039.0</v>
      </c>
      <c r="D550" s="84">
        <v>27.0</v>
      </c>
      <c r="E550" s="84">
        <v>34716.0</v>
      </c>
      <c r="F550" s="103" t="s">
        <v>31</v>
      </c>
      <c r="G550" s="208" t="s">
        <v>44</v>
      </c>
      <c r="H550" s="194" t="s">
        <v>104</v>
      </c>
      <c r="I550" s="85" t="s">
        <v>2149</v>
      </c>
      <c r="J550" s="170" t="s">
        <v>35</v>
      </c>
      <c r="K550" s="194" t="s">
        <v>106</v>
      </c>
      <c r="L550" s="171" t="s">
        <v>59</v>
      </c>
      <c r="M550" s="84"/>
      <c r="N550" s="133">
        <v>5337.0</v>
      </c>
      <c r="O550" s="73"/>
      <c r="P550" s="98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</row>
    <row r="551" ht="15.75" customHeight="1">
      <c r="A551" s="9"/>
      <c r="B551" s="84">
        <v>9.000653074E9</v>
      </c>
      <c r="C551" s="11">
        <v>46041.0</v>
      </c>
      <c r="D551" s="12"/>
      <c r="E551" s="12"/>
      <c r="F551" s="103" t="s">
        <v>31</v>
      </c>
      <c r="G551" s="84" t="s">
        <v>44</v>
      </c>
      <c r="H551" s="84" t="s">
        <v>2127</v>
      </c>
      <c r="I551" s="84" t="s">
        <v>2184</v>
      </c>
      <c r="J551" s="238" t="s">
        <v>2082</v>
      </c>
      <c r="K551" s="238" t="s">
        <v>2129</v>
      </c>
      <c r="L551" s="98" t="s">
        <v>94</v>
      </c>
      <c r="M551" s="84"/>
      <c r="N551" s="133">
        <v>6639.0</v>
      </c>
      <c r="O551" s="73"/>
      <c r="P551" s="15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</row>
    <row r="552" ht="15.75" customHeight="1">
      <c r="A552" s="9"/>
      <c r="B552" s="84">
        <v>9.000653066E9</v>
      </c>
      <c r="C552" s="11">
        <v>46041.0</v>
      </c>
      <c r="D552" s="12"/>
      <c r="E552" s="12"/>
      <c r="F552" s="103" t="s">
        <v>31</v>
      </c>
      <c r="G552" s="84" t="s">
        <v>44</v>
      </c>
      <c r="H552" s="84" t="s">
        <v>2127</v>
      </c>
      <c r="I552" s="84" t="s">
        <v>2184</v>
      </c>
      <c r="J552" s="238" t="s">
        <v>2082</v>
      </c>
      <c r="K552" s="238" t="s">
        <v>2129</v>
      </c>
      <c r="L552" s="98" t="s">
        <v>94</v>
      </c>
      <c r="M552" s="84"/>
      <c r="N552" s="133">
        <v>6639.0</v>
      </c>
      <c r="O552" s="73"/>
      <c r="P552" s="15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</row>
    <row r="553" ht="15.75" customHeight="1">
      <c r="A553" s="9"/>
      <c r="B553" s="84">
        <v>9.000653109E9</v>
      </c>
      <c r="C553" s="11">
        <v>46043.0</v>
      </c>
      <c r="D553" s="12"/>
      <c r="E553" s="12"/>
      <c r="F553" s="103" t="s">
        <v>31</v>
      </c>
      <c r="G553" s="84" t="s">
        <v>44</v>
      </c>
      <c r="H553" s="84" t="s">
        <v>2127</v>
      </c>
      <c r="I553" s="84" t="s">
        <v>2184</v>
      </c>
      <c r="J553" s="238" t="s">
        <v>2082</v>
      </c>
      <c r="K553" s="238" t="s">
        <v>2129</v>
      </c>
      <c r="L553" s="98" t="s">
        <v>94</v>
      </c>
      <c r="M553" s="84"/>
      <c r="N553" s="133">
        <v>6639.0</v>
      </c>
      <c r="O553" s="73"/>
      <c r="P553" s="15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</row>
    <row r="554" ht="15.75" customHeight="1">
      <c r="A554" s="9"/>
      <c r="B554" s="84">
        <v>9.000653005E9</v>
      </c>
      <c r="C554" s="11">
        <v>46041.0</v>
      </c>
      <c r="D554" s="12"/>
      <c r="E554" s="12"/>
      <c r="F554" s="103" t="s">
        <v>31</v>
      </c>
      <c r="G554" s="84" t="s">
        <v>44</v>
      </c>
      <c r="H554" s="84" t="s">
        <v>2127</v>
      </c>
      <c r="I554" s="84" t="s">
        <v>2184</v>
      </c>
      <c r="J554" s="238" t="s">
        <v>2082</v>
      </c>
      <c r="K554" s="238" t="s">
        <v>2129</v>
      </c>
      <c r="L554" s="98" t="s">
        <v>94</v>
      </c>
      <c r="M554" s="84"/>
      <c r="N554" s="133">
        <v>6639.0</v>
      </c>
      <c r="O554" s="73"/>
      <c r="P554" s="15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</row>
    <row r="555" ht="15.75" customHeight="1">
      <c r="A555" s="103">
        <v>1.2101818E7</v>
      </c>
      <c r="B555" s="84">
        <v>9.00064583E9</v>
      </c>
      <c r="C555" s="11">
        <v>46043.0</v>
      </c>
      <c r="D555" s="84">
        <v>26.0</v>
      </c>
      <c r="E555" s="84">
        <v>28836.0</v>
      </c>
      <c r="F555" s="103" t="s">
        <v>43</v>
      </c>
      <c r="G555" s="84" t="s">
        <v>44</v>
      </c>
      <c r="H555" s="29" t="s">
        <v>104</v>
      </c>
      <c r="I555" s="85" t="s">
        <v>2149</v>
      </c>
      <c r="J555" s="25" t="s">
        <v>35</v>
      </c>
      <c r="K555" s="39" t="s">
        <v>106</v>
      </c>
      <c r="L555" s="95" t="s">
        <v>59</v>
      </c>
      <c r="M555" s="84"/>
      <c r="N555" s="133">
        <v>3812.0</v>
      </c>
      <c r="O555" s="73">
        <f t="shared" ref="O555:O569" si="31">IFERROR(P555/N555,0)</f>
        <v>0</v>
      </c>
      <c r="P555" s="15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</row>
    <row r="556" ht="15.75" customHeight="1">
      <c r="A556" s="103">
        <v>1.2101819E7</v>
      </c>
      <c r="B556" s="84">
        <v>9.000645833E9</v>
      </c>
      <c r="C556" s="11">
        <v>46043.0</v>
      </c>
      <c r="D556" s="84">
        <v>4.0</v>
      </c>
      <c r="E556" s="84">
        <v>437.0</v>
      </c>
      <c r="F556" s="103" t="s">
        <v>43</v>
      </c>
      <c r="G556" s="84" t="s">
        <v>44</v>
      </c>
      <c r="H556" s="85" t="s">
        <v>3050</v>
      </c>
      <c r="I556" s="85" t="s">
        <v>2149</v>
      </c>
      <c r="J556" s="39" t="s">
        <v>106</v>
      </c>
      <c r="K556" s="25" t="s">
        <v>35</v>
      </c>
      <c r="L556" s="95" t="s">
        <v>121</v>
      </c>
      <c r="M556" s="84"/>
      <c r="N556" s="133">
        <v>3812.0</v>
      </c>
      <c r="O556" s="73">
        <f t="shared" si="31"/>
        <v>0</v>
      </c>
      <c r="P556" s="15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</row>
    <row r="557" ht="15.75" customHeight="1">
      <c r="A557" s="103">
        <v>1.2111319E7</v>
      </c>
      <c r="B557" s="84">
        <v>9.000655296E9</v>
      </c>
      <c r="C557" s="11">
        <v>46044.0</v>
      </c>
      <c r="D557" s="84">
        <v>20.0</v>
      </c>
      <c r="E557" s="84">
        <v>34295.0</v>
      </c>
      <c r="F557" s="103" t="s">
        <v>43</v>
      </c>
      <c r="G557" s="84" t="s">
        <v>44</v>
      </c>
      <c r="H557" s="169" t="s">
        <v>45</v>
      </c>
      <c r="I557" s="209" t="s">
        <v>46</v>
      </c>
      <c r="J557" s="12" t="s">
        <v>35</v>
      </c>
      <c r="K557" s="14" t="s">
        <v>47</v>
      </c>
      <c r="L557" s="98" t="s">
        <v>108</v>
      </c>
      <c r="M557" s="12"/>
      <c r="N557" s="133">
        <v>1946.5</v>
      </c>
      <c r="O557" s="73">
        <f t="shared" si="31"/>
        <v>0</v>
      </c>
      <c r="P557" s="15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</row>
    <row r="558" ht="15.75" customHeight="1">
      <c r="A558" s="103">
        <v>1.2111322E7</v>
      </c>
      <c r="B558" s="84">
        <v>9.000655174E9</v>
      </c>
      <c r="C558" s="11">
        <v>46044.0</v>
      </c>
      <c r="D558" s="84">
        <v>15.0</v>
      </c>
      <c r="E558" s="84">
        <v>17135.0</v>
      </c>
      <c r="F558" s="103" t="s">
        <v>43</v>
      </c>
      <c r="G558" s="84" t="s">
        <v>44</v>
      </c>
      <c r="H558" s="176" t="s">
        <v>3051</v>
      </c>
      <c r="I558" s="194" t="s">
        <v>1957</v>
      </c>
      <c r="J558" s="14" t="s">
        <v>47</v>
      </c>
      <c r="K558" s="12" t="s">
        <v>35</v>
      </c>
      <c r="L558" s="98" t="s">
        <v>108</v>
      </c>
      <c r="M558" s="12"/>
      <c r="N558" s="133">
        <v>1946.5</v>
      </c>
      <c r="O558" s="73">
        <f t="shared" si="31"/>
        <v>0</v>
      </c>
      <c r="P558" s="15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</row>
    <row r="559" ht="15.75" customHeight="1">
      <c r="A559" s="103">
        <v>1.2112001E7</v>
      </c>
      <c r="B559" s="84">
        <v>9.000655177E9</v>
      </c>
      <c r="C559" s="11">
        <v>46045.0</v>
      </c>
      <c r="D559" s="84">
        <v>28.0</v>
      </c>
      <c r="E559" s="84">
        <v>34058.0</v>
      </c>
      <c r="F559" s="103" t="s">
        <v>31</v>
      </c>
      <c r="G559" s="208" t="s">
        <v>44</v>
      </c>
      <c r="H559" s="194" t="s">
        <v>104</v>
      </c>
      <c r="I559" s="85" t="s">
        <v>2149</v>
      </c>
      <c r="J559" s="170" t="s">
        <v>35</v>
      </c>
      <c r="K559" s="194" t="s">
        <v>106</v>
      </c>
      <c r="L559" s="171" t="s">
        <v>59</v>
      </c>
      <c r="M559" s="84"/>
      <c r="N559" s="133">
        <v>5337.0</v>
      </c>
      <c r="O559" s="73">
        <f t="shared" si="31"/>
        <v>0</v>
      </c>
      <c r="P559" s="15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</row>
    <row r="560" ht="15.75" customHeight="1">
      <c r="A560" s="103">
        <v>1.2112E7</v>
      </c>
      <c r="B560" s="84">
        <v>9.000655308E9</v>
      </c>
      <c r="C560" s="11">
        <v>46045.0</v>
      </c>
      <c r="D560" s="84">
        <v>28.0</v>
      </c>
      <c r="E560" s="84">
        <v>34058.0</v>
      </c>
      <c r="F560" s="103" t="s">
        <v>31</v>
      </c>
      <c r="G560" s="208" t="s">
        <v>44</v>
      </c>
      <c r="H560" s="194" t="s">
        <v>104</v>
      </c>
      <c r="I560" s="85" t="s">
        <v>2149</v>
      </c>
      <c r="J560" s="170" t="s">
        <v>35</v>
      </c>
      <c r="K560" s="194" t="s">
        <v>106</v>
      </c>
      <c r="L560" s="171" t="s">
        <v>59</v>
      </c>
      <c r="M560" s="84"/>
      <c r="N560" s="133">
        <v>5337.0</v>
      </c>
      <c r="O560" s="73">
        <f t="shared" si="31"/>
        <v>0</v>
      </c>
      <c r="P560" s="15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</row>
    <row r="561" ht="15.75" customHeight="1">
      <c r="A561" s="103">
        <v>1.2105119E7</v>
      </c>
      <c r="B561" s="84">
        <v>9.000650805E9</v>
      </c>
      <c r="C561" s="11">
        <v>46043.0</v>
      </c>
      <c r="D561" s="84">
        <v>26.0</v>
      </c>
      <c r="E561" s="84">
        <v>31845.0</v>
      </c>
      <c r="F561" s="103" t="s">
        <v>43</v>
      </c>
      <c r="G561" s="84" t="s">
        <v>32</v>
      </c>
      <c r="H561" s="12" t="s">
        <v>111</v>
      </c>
      <c r="I561" s="25" t="s">
        <v>112</v>
      </c>
      <c r="J561" s="12" t="s">
        <v>35</v>
      </c>
      <c r="K561" s="12" t="s">
        <v>113</v>
      </c>
      <c r="L561" s="25" t="s">
        <v>114</v>
      </c>
      <c r="M561" s="12"/>
      <c r="N561" s="133">
        <v>4540.0</v>
      </c>
      <c r="O561" s="73">
        <f t="shared" si="31"/>
        <v>0</v>
      </c>
      <c r="P561" s="15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</row>
    <row r="562" ht="15.75" customHeight="1">
      <c r="A562" s="103">
        <v>1.2105121E7</v>
      </c>
      <c r="B562" s="84">
        <v>9.000650809E9</v>
      </c>
      <c r="C562" s="11">
        <v>46043.0</v>
      </c>
      <c r="D562" s="84">
        <v>14.0</v>
      </c>
      <c r="E562" s="84">
        <v>15911.0</v>
      </c>
      <c r="F562" s="103" t="s">
        <v>43</v>
      </c>
      <c r="G562" s="84" t="s">
        <v>32</v>
      </c>
      <c r="H562" s="84" t="s">
        <v>3052</v>
      </c>
      <c r="I562" s="194" t="s">
        <v>1957</v>
      </c>
      <c r="J562" s="12" t="s">
        <v>113</v>
      </c>
      <c r="K562" s="12" t="s">
        <v>35</v>
      </c>
      <c r="L562" s="25" t="s">
        <v>114</v>
      </c>
      <c r="M562" s="12"/>
      <c r="N562" s="133">
        <v>4540.0</v>
      </c>
      <c r="O562" s="73">
        <f t="shared" si="31"/>
        <v>0</v>
      </c>
      <c r="P562" s="15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</row>
    <row r="563" ht="15.75" customHeight="1">
      <c r="A563" s="103">
        <v>1.2119626E7</v>
      </c>
      <c r="B563" s="84">
        <v>9.000665856E9</v>
      </c>
      <c r="C563" s="11">
        <v>46045.0</v>
      </c>
      <c r="D563" s="84">
        <v>26.0</v>
      </c>
      <c r="E563" s="84">
        <v>30604.0</v>
      </c>
      <c r="F563" s="219" t="s">
        <v>43</v>
      </c>
      <c r="G563" s="85" t="s">
        <v>44</v>
      </c>
      <c r="H563" s="84" t="s">
        <v>1317</v>
      </c>
      <c r="I563" s="89" t="s">
        <v>2131</v>
      </c>
      <c r="J563" s="84" t="s">
        <v>35</v>
      </c>
      <c r="K563" s="84" t="s">
        <v>138</v>
      </c>
      <c r="L563" s="98" t="s">
        <v>94</v>
      </c>
      <c r="M563" s="84"/>
      <c r="N563" s="133">
        <v>4863.0</v>
      </c>
      <c r="O563" s="73">
        <f t="shared" si="31"/>
        <v>0</v>
      </c>
      <c r="P563" s="15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</row>
    <row r="564" ht="15.75" customHeight="1">
      <c r="A564" s="103">
        <v>1.2119627E7</v>
      </c>
      <c r="B564" s="84">
        <v>9.000665863E9</v>
      </c>
      <c r="C564" s="11">
        <v>46045.0</v>
      </c>
      <c r="D564" s="84">
        <v>1.0</v>
      </c>
      <c r="E564" s="84">
        <v>222.0</v>
      </c>
      <c r="F564" s="169" t="s">
        <v>43</v>
      </c>
      <c r="G564" s="168" t="s">
        <v>44</v>
      </c>
      <c r="H564" s="84" t="s">
        <v>3053</v>
      </c>
      <c r="I564" s="89" t="s">
        <v>2131</v>
      </c>
      <c r="J564" s="84" t="s">
        <v>35</v>
      </c>
      <c r="K564" s="84" t="s">
        <v>138</v>
      </c>
      <c r="L564" s="98" t="s">
        <v>94</v>
      </c>
      <c r="M564" s="84"/>
      <c r="N564" s="133">
        <v>4863.0</v>
      </c>
      <c r="O564" s="73">
        <f t="shared" si="31"/>
        <v>0</v>
      </c>
      <c r="P564" s="15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</row>
    <row r="565" ht="15.75" customHeight="1">
      <c r="A565" s="103">
        <v>1.2122203E7</v>
      </c>
      <c r="B565" s="84">
        <v>9.000668384E9</v>
      </c>
      <c r="C565" s="11">
        <v>46045.0</v>
      </c>
      <c r="D565" s="84">
        <v>26.0</v>
      </c>
      <c r="E565" s="84">
        <v>31845.0</v>
      </c>
      <c r="F565" s="103" t="s">
        <v>43</v>
      </c>
      <c r="G565" s="84" t="s">
        <v>32</v>
      </c>
      <c r="H565" s="12" t="s">
        <v>265</v>
      </c>
      <c r="I565" s="39" t="s">
        <v>266</v>
      </c>
      <c r="J565" s="25" t="s">
        <v>35</v>
      </c>
      <c r="K565" s="25" t="s">
        <v>267</v>
      </c>
      <c r="L565" s="95" t="s">
        <v>114</v>
      </c>
      <c r="M565" s="84"/>
      <c r="N565" s="133">
        <v>4997.0</v>
      </c>
      <c r="O565" s="73">
        <f t="shared" si="31"/>
        <v>0</v>
      </c>
      <c r="P565" s="15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</row>
    <row r="566" ht="15.75" customHeight="1">
      <c r="A566" s="103">
        <v>1.2122204E7</v>
      </c>
      <c r="B566" s="84">
        <v>9.000668368E9</v>
      </c>
      <c r="C566" s="11">
        <v>46045.0</v>
      </c>
      <c r="D566" s="84">
        <v>14.0</v>
      </c>
      <c r="E566" s="84">
        <v>15911.0</v>
      </c>
      <c r="F566" s="103" t="s">
        <v>43</v>
      </c>
      <c r="G566" s="84" t="s">
        <v>32</v>
      </c>
      <c r="H566" s="84" t="s">
        <v>3054</v>
      </c>
      <c r="I566" s="194" t="s">
        <v>1957</v>
      </c>
      <c r="J566" s="25" t="s">
        <v>267</v>
      </c>
      <c r="K566" s="25" t="s">
        <v>35</v>
      </c>
      <c r="L566" s="95" t="s">
        <v>114</v>
      </c>
      <c r="M566" s="84"/>
      <c r="N566" s="133">
        <v>4997.0</v>
      </c>
      <c r="O566" s="73">
        <f t="shared" si="31"/>
        <v>0</v>
      </c>
      <c r="P566" s="15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</row>
    <row r="567" ht="15.75" customHeight="1">
      <c r="A567" s="103">
        <v>1.2120048E7</v>
      </c>
      <c r="B567" s="84">
        <v>9.000665851E9</v>
      </c>
      <c r="C567" s="11">
        <v>46045.0</v>
      </c>
      <c r="D567" s="84">
        <v>28.0</v>
      </c>
      <c r="E567" s="84">
        <v>34058.0</v>
      </c>
      <c r="F567" s="103" t="s">
        <v>31</v>
      </c>
      <c r="G567" s="85" t="s">
        <v>44</v>
      </c>
      <c r="H567" s="84" t="s">
        <v>1317</v>
      </c>
      <c r="I567" s="89" t="s">
        <v>2131</v>
      </c>
      <c r="J567" s="84" t="s">
        <v>35</v>
      </c>
      <c r="K567" s="84" t="s">
        <v>138</v>
      </c>
      <c r="L567" s="98" t="s">
        <v>94</v>
      </c>
      <c r="M567" s="12"/>
      <c r="N567" s="133">
        <v>5760.0</v>
      </c>
      <c r="O567" s="73">
        <f t="shared" si="31"/>
        <v>0</v>
      </c>
      <c r="P567" s="15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</row>
    <row r="568" ht="15.75" customHeight="1">
      <c r="A568" s="103">
        <v>1.2122272E7</v>
      </c>
      <c r="B568" s="84">
        <v>9.000668448E9</v>
      </c>
      <c r="C568" s="11">
        <v>46046.0</v>
      </c>
      <c r="D568" s="84">
        <v>26.0</v>
      </c>
      <c r="E568" s="84">
        <v>31845.0</v>
      </c>
      <c r="F568" s="103" t="s">
        <v>43</v>
      </c>
      <c r="G568" s="84" t="s">
        <v>44</v>
      </c>
      <c r="H568" s="29" t="s">
        <v>104</v>
      </c>
      <c r="I568" s="85" t="s">
        <v>2149</v>
      </c>
      <c r="J568" s="25" t="s">
        <v>35</v>
      </c>
      <c r="K568" s="39" t="s">
        <v>106</v>
      </c>
      <c r="L568" s="95" t="s">
        <v>59</v>
      </c>
      <c r="M568" s="84"/>
      <c r="N568" s="133">
        <v>3812.0</v>
      </c>
      <c r="O568" s="73">
        <f t="shared" si="31"/>
        <v>0</v>
      </c>
      <c r="P568" s="15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</row>
    <row r="569" ht="15.75" customHeight="1">
      <c r="A569" s="103">
        <v>1.2122273E7</v>
      </c>
      <c r="B569" s="84">
        <v>9.000668469E9</v>
      </c>
      <c r="C569" s="11">
        <v>46046.0</v>
      </c>
      <c r="D569" s="84">
        <v>14.0</v>
      </c>
      <c r="E569" s="84">
        <v>15911.0</v>
      </c>
      <c r="F569" s="103" t="s">
        <v>43</v>
      </c>
      <c r="G569" s="84" t="s">
        <v>44</v>
      </c>
      <c r="H569" s="85" t="s">
        <v>3055</v>
      </c>
      <c r="I569" s="194" t="s">
        <v>1957</v>
      </c>
      <c r="J569" s="39" t="s">
        <v>106</v>
      </c>
      <c r="K569" s="25" t="s">
        <v>35</v>
      </c>
      <c r="L569" s="95" t="s">
        <v>121</v>
      </c>
      <c r="M569" s="84"/>
      <c r="N569" s="133">
        <v>3812.0</v>
      </c>
      <c r="O569" s="73">
        <f t="shared" si="31"/>
        <v>0</v>
      </c>
      <c r="P569" s="15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</row>
    <row r="570" ht="15.75" customHeight="1">
      <c r="A570" s="103">
        <v>1.2125376E7</v>
      </c>
      <c r="B570" s="84">
        <v>9.00067275E9</v>
      </c>
      <c r="C570" s="11">
        <v>46050.0</v>
      </c>
      <c r="D570" s="84">
        <v>26.0</v>
      </c>
      <c r="E570" s="84">
        <v>31845.0</v>
      </c>
      <c r="F570" s="103" t="s">
        <v>43</v>
      </c>
      <c r="G570" s="84" t="s">
        <v>32</v>
      </c>
      <c r="H570" s="12" t="s">
        <v>265</v>
      </c>
      <c r="I570" s="39" t="s">
        <v>266</v>
      </c>
      <c r="J570" s="25" t="s">
        <v>35</v>
      </c>
      <c r="K570" s="25" t="s">
        <v>267</v>
      </c>
      <c r="L570" s="95" t="s">
        <v>114</v>
      </c>
      <c r="M570" s="84"/>
      <c r="N570" s="133">
        <v>4997.0</v>
      </c>
      <c r="O570" s="73"/>
      <c r="P570" s="15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</row>
    <row r="571" ht="15.75" customHeight="1">
      <c r="A571" s="103">
        <v>1.2125377E7</v>
      </c>
      <c r="B571" s="84">
        <v>9.000672823E9</v>
      </c>
      <c r="C571" s="11">
        <v>46050.0</v>
      </c>
      <c r="D571" s="84">
        <v>14.0</v>
      </c>
      <c r="E571" s="84">
        <v>15911.0</v>
      </c>
      <c r="F571" s="103" t="s">
        <v>43</v>
      </c>
      <c r="G571" s="84" t="s">
        <v>32</v>
      </c>
      <c r="H571" s="84" t="s">
        <v>3056</v>
      </c>
      <c r="I571" s="194" t="s">
        <v>1957</v>
      </c>
      <c r="J571" s="25" t="s">
        <v>267</v>
      </c>
      <c r="K571" s="25" t="s">
        <v>35</v>
      </c>
      <c r="L571" s="95" t="s">
        <v>114</v>
      </c>
      <c r="M571" s="84"/>
      <c r="N571" s="133">
        <v>4997.0</v>
      </c>
      <c r="O571" s="73"/>
      <c r="P571" s="15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</row>
    <row r="572" ht="15.75" customHeight="1">
      <c r="A572" s="103">
        <v>1.2128658E7</v>
      </c>
      <c r="B572" s="84">
        <v>9.000677538E9</v>
      </c>
      <c r="C572" s="11">
        <v>46049.0</v>
      </c>
      <c r="D572" s="84">
        <v>26.0</v>
      </c>
      <c r="E572" s="84">
        <v>31072.0</v>
      </c>
      <c r="F572" s="103" t="s">
        <v>43</v>
      </c>
      <c r="G572" s="84" t="s">
        <v>44</v>
      </c>
      <c r="H572" s="169" t="s">
        <v>45</v>
      </c>
      <c r="I572" s="209" t="s">
        <v>46</v>
      </c>
      <c r="J572" s="12" t="s">
        <v>35</v>
      </c>
      <c r="K572" s="14" t="s">
        <v>47</v>
      </c>
      <c r="L572" s="98" t="s">
        <v>108</v>
      </c>
      <c r="M572" s="84"/>
      <c r="N572" s="133">
        <v>1946.5</v>
      </c>
      <c r="O572" s="73"/>
      <c r="P572" s="15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</row>
    <row r="573" ht="15.75" customHeight="1">
      <c r="A573" s="103">
        <v>1.2128659E7</v>
      </c>
      <c r="B573" s="84">
        <v>9.000677416E9</v>
      </c>
      <c r="C573" s="11">
        <v>46049.0</v>
      </c>
      <c r="D573" s="84">
        <v>15.0</v>
      </c>
      <c r="E573" s="84">
        <v>10272.0</v>
      </c>
      <c r="F573" s="103" t="s">
        <v>43</v>
      </c>
      <c r="G573" s="84" t="s">
        <v>44</v>
      </c>
      <c r="H573" s="176" t="s">
        <v>3057</v>
      </c>
      <c r="I573" s="194" t="s">
        <v>1957</v>
      </c>
      <c r="J573" s="14" t="s">
        <v>47</v>
      </c>
      <c r="K573" s="12" t="s">
        <v>35</v>
      </c>
      <c r="L573" s="98" t="s">
        <v>108</v>
      </c>
      <c r="M573" s="84"/>
      <c r="N573" s="133">
        <v>1946.5</v>
      </c>
      <c r="O573" s="73"/>
      <c r="P573" s="15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</row>
    <row r="574" ht="15.75" customHeight="1">
      <c r="A574" s="103">
        <v>1.2128647E7</v>
      </c>
      <c r="B574" s="84">
        <v>9.000677495E9</v>
      </c>
      <c r="C574" s="11">
        <v>46050.0</v>
      </c>
      <c r="D574" s="84">
        <v>28.0</v>
      </c>
      <c r="E574" s="84">
        <v>34058.0</v>
      </c>
      <c r="F574" s="103" t="s">
        <v>31</v>
      </c>
      <c r="G574" s="84" t="s">
        <v>44</v>
      </c>
      <c r="H574" s="169" t="s">
        <v>45</v>
      </c>
      <c r="I574" s="209" t="s">
        <v>46</v>
      </c>
      <c r="J574" s="12" t="s">
        <v>35</v>
      </c>
      <c r="K574" s="14" t="s">
        <v>47</v>
      </c>
      <c r="L574" s="98" t="s">
        <v>108</v>
      </c>
      <c r="M574" s="84"/>
      <c r="N574" s="133">
        <v>2545.0</v>
      </c>
      <c r="O574" s="73"/>
      <c r="P574" s="15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</row>
    <row r="575" ht="15.75" customHeight="1">
      <c r="A575" s="103">
        <v>1.2128646E7</v>
      </c>
      <c r="B575" s="84">
        <v>9.00067752E9</v>
      </c>
      <c r="C575" s="11">
        <v>46049.0</v>
      </c>
      <c r="D575" s="84">
        <v>26.0</v>
      </c>
      <c r="E575" s="84">
        <v>29475.0</v>
      </c>
      <c r="F575" s="103" t="s">
        <v>43</v>
      </c>
      <c r="G575" s="84" t="s">
        <v>44</v>
      </c>
      <c r="H575" s="169" t="s">
        <v>45</v>
      </c>
      <c r="I575" s="209" t="s">
        <v>46</v>
      </c>
      <c r="J575" s="12" t="s">
        <v>35</v>
      </c>
      <c r="K575" s="14" t="s">
        <v>47</v>
      </c>
      <c r="L575" s="98" t="s">
        <v>108</v>
      </c>
      <c r="M575" s="84"/>
      <c r="N575" s="133">
        <v>1946.5</v>
      </c>
      <c r="O575" s="73"/>
      <c r="P575" s="15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</row>
    <row r="576" ht="15.75" customHeight="1">
      <c r="A576" s="103">
        <v>1.212866E7</v>
      </c>
      <c r="B576" s="84">
        <v>9.000677417E9</v>
      </c>
      <c r="C576" s="11">
        <v>46049.0</v>
      </c>
      <c r="D576" s="84">
        <v>6.0</v>
      </c>
      <c r="E576" s="84">
        <v>481.0</v>
      </c>
      <c r="F576" s="103" t="s">
        <v>43</v>
      </c>
      <c r="G576" s="84" t="s">
        <v>44</v>
      </c>
      <c r="H576" s="176" t="s">
        <v>3058</v>
      </c>
      <c r="I576" s="194" t="s">
        <v>1957</v>
      </c>
      <c r="J576" s="14" t="s">
        <v>47</v>
      </c>
      <c r="K576" s="12" t="s">
        <v>35</v>
      </c>
      <c r="L576" s="98" t="s">
        <v>108</v>
      </c>
      <c r="M576" s="84"/>
      <c r="N576" s="133">
        <v>1946.5</v>
      </c>
      <c r="O576" s="73"/>
      <c r="P576" s="15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</row>
    <row r="577" ht="15.75" customHeight="1">
      <c r="A577" s="103">
        <v>1.2134425E7</v>
      </c>
      <c r="B577" s="84">
        <v>9.000683688E9</v>
      </c>
      <c r="C577" s="11">
        <v>46050.0</v>
      </c>
      <c r="D577" s="84">
        <v>28.0</v>
      </c>
      <c r="E577" s="84">
        <v>34378.0</v>
      </c>
      <c r="F577" s="103" t="s">
        <v>31</v>
      </c>
      <c r="G577" s="84" t="s">
        <v>44</v>
      </c>
      <c r="H577" s="169" t="s">
        <v>268</v>
      </c>
      <c r="I577" s="194" t="s">
        <v>1958</v>
      </c>
      <c r="J577" s="84" t="s">
        <v>35</v>
      </c>
      <c r="K577" s="84" t="s">
        <v>270</v>
      </c>
      <c r="L577" s="98" t="s">
        <v>94</v>
      </c>
      <c r="M577" s="84"/>
      <c r="N577" s="133">
        <v>6410.0</v>
      </c>
      <c r="O577" s="73"/>
      <c r="P577" s="15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</row>
    <row r="578" ht="15.75" customHeight="1">
      <c r="A578" s="103">
        <v>1.2132993E7</v>
      </c>
      <c r="B578" s="84">
        <v>9.000681691E9</v>
      </c>
      <c r="C578" s="11">
        <v>46051.0</v>
      </c>
      <c r="D578" s="84">
        <v>28.0</v>
      </c>
      <c r="E578" s="84">
        <v>34295.0</v>
      </c>
      <c r="F578" s="103" t="s">
        <v>43</v>
      </c>
      <c r="G578" s="84" t="s">
        <v>32</v>
      </c>
      <c r="H578" s="84" t="s">
        <v>2274</v>
      </c>
      <c r="I578" s="84" t="s">
        <v>2275</v>
      </c>
      <c r="J578" s="238" t="s">
        <v>2082</v>
      </c>
      <c r="K578" s="238" t="s">
        <v>2276</v>
      </c>
      <c r="L578" s="98" t="s">
        <v>2105</v>
      </c>
      <c r="M578" s="12"/>
      <c r="N578" s="133">
        <v>4082.0</v>
      </c>
      <c r="O578" s="73">
        <f t="shared" ref="O578:O582" si="32">IFERROR(P578/N578,0)</f>
        <v>0</v>
      </c>
      <c r="P578" s="15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</row>
    <row r="579" ht="15.75" customHeight="1">
      <c r="A579" s="103">
        <v>1.2132999E7</v>
      </c>
      <c r="B579" s="84">
        <v>9.000681707E9</v>
      </c>
      <c r="C579" s="11">
        <v>46051.0</v>
      </c>
      <c r="D579" s="84">
        <v>3.0</v>
      </c>
      <c r="E579" s="84">
        <v>3000.0</v>
      </c>
      <c r="F579" s="103" t="s">
        <v>43</v>
      </c>
      <c r="G579" s="84" t="s">
        <v>32</v>
      </c>
      <c r="H579" s="84" t="s">
        <v>3059</v>
      </c>
      <c r="I579" s="84" t="s">
        <v>2212</v>
      </c>
      <c r="J579" s="238" t="s">
        <v>2276</v>
      </c>
      <c r="K579" s="238" t="s">
        <v>2082</v>
      </c>
      <c r="L579" s="98" t="s">
        <v>2105</v>
      </c>
      <c r="M579" s="12"/>
      <c r="N579" s="133">
        <v>4082.0</v>
      </c>
      <c r="O579" s="73">
        <f t="shared" si="32"/>
        <v>0</v>
      </c>
      <c r="P579" s="15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</row>
    <row r="580" ht="15.75" customHeight="1">
      <c r="A580" s="103">
        <v>1.2132992E7</v>
      </c>
      <c r="B580" s="84">
        <v>9.000681564E9</v>
      </c>
      <c r="C580" s="11">
        <v>46052.0</v>
      </c>
      <c r="D580" s="84">
        <v>26.0</v>
      </c>
      <c r="E580" s="84">
        <v>31625.0</v>
      </c>
      <c r="F580" s="103" t="s">
        <v>31</v>
      </c>
      <c r="G580" s="84" t="s">
        <v>44</v>
      </c>
      <c r="H580" s="169" t="s">
        <v>45</v>
      </c>
      <c r="I580" s="209" t="s">
        <v>46</v>
      </c>
      <c r="J580" s="12" t="s">
        <v>35</v>
      </c>
      <c r="K580" s="14" t="s">
        <v>47</v>
      </c>
      <c r="L580" s="98" t="s">
        <v>108</v>
      </c>
      <c r="M580" s="84"/>
      <c r="N580" s="133">
        <v>2545.0</v>
      </c>
      <c r="O580" s="73">
        <f t="shared" si="32"/>
        <v>0</v>
      </c>
      <c r="P580" s="15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</row>
    <row r="581" ht="15.75" customHeight="1">
      <c r="A581" s="103">
        <v>1.2138123E7</v>
      </c>
      <c r="B581" s="84">
        <v>9.000688929E9</v>
      </c>
      <c r="C581" s="11">
        <v>46055.0</v>
      </c>
      <c r="D581" s="84">
        <v>26.0</v>
      </c>
      <c r="E581" s="84">
        <v>31475.0</v>
      </c>
      <c r="F581" s="103" t="s">
        <v>43</v>
      </c>
      <c r="G581" s="84" t="s">
        <v>44</v>
      </c>
      <c r="H581" s="29" t="s">
        <v>104</v>
      </c>
      <c r="I581" s="85" t="s">
        <v>2149</v>
      </c>
      <c r="J581" s="25" t="s">
        <v>35</v>
      </c>
      <c r="K581" s="39" t="s">
        <v>106</v>
      </c>
      <c r="L581" s="95" t="s">
        <v>59</v>
      </c>
      <c r="M581" s="84"/>
      <c r="N581" s="133">
        <v>3812.0</v>
      </c>
      <c r="O581" s="73">
        <f t="shared" si="32"/>
        <v>0</v>
      </c>
      <c r="P581" s="15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</row>
    <row r="582" ht="15.75" customHeight="1">
      <c r="A582" s="103">
        <v>1.2138127E7</v>
      </c>
      <c r="B582" s="84">
        <v>9.000688847E9</v>
      </c>
      <c r="C582" s="11">
        <v>46055.0</v>
      </c>
      <c r="D582" s="84">
        <v>5.0</v>
      </c>
      <c r="E582" s="84">
        <v>4895.0</v>
      </c>
      <c r="F582" s="103" t="s">
        <v>43</v>
      </c>
      <c r="G582" s="84" t="s">
        <v>44</v>
      </c>
      <c r="H582" s="85" t="s">
        <v>3060</v>
      </c>
      <c r="I582" s="85" t="s">
        <v>2149</v>
      </c>
      <c r="J582" s="39" t="s">
        <v>106</v>
      </c>
      <c r="K582" s="25" t="s">
        <v>35</v>
      </c>
      <c r="L582" s="95" t="s">
        <v>121</v>
      </c>
      <c r="M582" s="84"/>
      <c r="N582" s="133">
        <v>3812.0</v>
      </c>
      <c r="O582" s="73">
        <f t="shared" si="32"/>
        <v>0</v>
      </c>
      <c r="P582" s="15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</row>
    <row r="583" ht="15.75" customHeight="1">
      <c r="A583" s="9"/>
      <c r="B583" s="452">
        <v>9.000696144E9</v>
      </c>
      <c r="C583" s="11">
        <v>46057.0</v>
      </c>
      <c r="D583" s="12"/>
      <c r="E583" s="12"/>
      <c r="F583" s="103" t="s">
        <v>31</v>
      </c>
      <c r="G583" s="12"/>
      <c r="H583" s="84" t="s">
        <v>265</v>
      </c>
      <c r="I583" s="12"/>
      <c r="J583" s="12"/>
      <c r="K583" s="12"/>
      <c r="L583" s="15"/>
      <c r="M583" s="12"/>
      <c r="N583" s="24"/>
      <c r="O583" s="73"/>
      <c r="P583" s="15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</row>
    <row r="584" ht="15.75" customHeight="1">
      <c r="A584" s="103">
        <v>1.2136944E7</v>
      </c>
      <c r="B584" s="84">
        <v>9.000687103E9</v>
      </c>
      <c r="C584" s="11">
        <v>46051.0</v>
      </c>
      <c r="D584" s="84">
        <v>28.0</v>
      </c>
      <c r="E584" s="84">
        <v>34295.0</v>
      </c>
      <c r="F584" s="103" t="s">
        <v>43</v>
      </c>
      <c r="G584" s="84" t="s">
        <v>32</v>
      </c>
      <c r="H584" s="84" t="s">
        <v>2274</v>
      </c>
      <c r="I584" s="84" t="s">
        <v>2275</v>
      </c>
      <c r="J584" s="238" t="s">
        <v>2082</v>
      </c>
      <c r="K584" s="238" t="s">
        <v>2276</v>
      </c>
      <c r="L584" s="98" t="s">
        <v>2105</v>
      </c>
      <c r="M584" s="84"/>
      <c r="N584" s="133">
        <v>4082.0</v>
      </c>
      <c r="O584" s="73">
        <f t="shared" ref="O584:O590" si="33">IFERROR(P584/N584,0)</f>
        <v>0</v>
      </c>
      <c r="P584" s="15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</row>
    <row r="585" ht="15.75" customHeight="1">
      <c r="A585" s="103">
        <v>1.2136961E7</v>
      </c>
      <c r="B585" s="84">
        <v>9.000687085E9</v>
      </c>
      <c r="C585" s="11">
        <v>46051.0</v>
      </c>
      <c r="D585" s="84">
        <v>3.0</v>
      </c>
      <c r="E585" s="84">
        <v>3000.0</v>
      </c>
      <c r="F585" s="103" t="s">
        <v>43</v>
      </c>
      <c r="G585" s="84" t="s">
        <v>32</v>
      </c>
      <c r="H585" s="84" t="s">
        <v>3061</v>
      </c>
      <c r="I585" s="84" t="s">
        <v>2212</v>
      </c>
      <c r="J585" s="238" t="s">
        <v>2276</v>
      </c>
      <c r="K585" s="238" t="s">
        <v>2082</v>
      </c>
      <c r="L585" s="98" t="s">
        <v>2105</v>
      </c>
      <c r="M585" s="84"/>
      <c r="N585" s="133">
        <v>4082.0</v>
      </c>
      <c r="O585" s="73">
        <f t="shared" si="33"/>
        <v>0</v>
      </c>
      <c r="P585" s="15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</row>
    <row r="586" ht="15.75" customHeight="1">
      <c r="A586" s="103">
        <v>1.2138018E7</v>
      </c>
      <c r="B586" s="84">
        <v>9.000688982E9</v>
      </c>
      <c r="C586" s="11">
        <v>46051.0</v>
      </c>
      <c r="D586" s="84">
        <v>26.0</v>
      </c>
      <c r="E586" s="84">
        <v>32608.0</v>
      </c>
      <c r="F586" s="29" t="s">
        <v>31</v>
      </c>
      <c r="G586" s="85" t="s">
        <v>32</v>
      </c>
      <c r="H586" s="84" t="s">
        <v>1876</v>
      </c>
      <c r="I586" s="29" t="s">
        <v>215</v>
      </c>
      <c r="J586" s="12" t="s">
        <v>35</v>
      </c>
      <c r="K586" s="14" t="s">
        <v>47</v>
      </c>
      <c r="L586" s="98" t="s">
        <v>108</v>
      </c>
      <c r="M586" s="84" t="s">
        <v>1945</v>
      </c>
      <c r="N586" s="133">
        <v>2545.0</v>
      </c>
      <c r="O586" s="73">
        <f t="shared" si="33"/>
        <v>0</v>
      </c>
      <c r="P586" s="15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</row>
    <row r="587" ht="15.75" customHeight="1">
      <c r="A587" s="462">
        <v>1.2136384E7</v>
      </c>
      <c r="B587" s="84">
        <v>9.000686102E9</v>
      </c>
      <c r="C587" s="11">
        <v>46055.0</v>
      </c>
      <c r="D587" s="84">
        <v>28.0</v>
      </c>
      <c r="E587" s="84">
        <v>34295.0</v>
      </c>
      <c r="F587" s="103" t="s">
        <v>43</v>
      </c>
      <c r="G587" s="84" t="s">
        <v>44</v>
      </c>
      <c r="H587" s="169" t="s">
        <v>45</v>
      </c>
      <c r="I587" s="209" t="s">
        <v>46</v>
      </c>
      <c r="J587" s="12" t="s">
        <v>35</v>
      </c>
      <c r="K587" s="14" t="s">
        <v>47</v>
      </c>
      <c r="L587" s="98" t="s">
        <v>108</v>
      </c>
      <c r="M587" s="84" t="s">
        <v>2144</v>
      </c>
      <c r="N587" s="133">
        <v>1946.5</v>
      </c>
      <c r="O587" s="73">
        <f t="shared" si="33"/>
        <v>0</v>
      </c>
      <c r="P587" s="15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</row>
    <row r="588" ht="15.75" customHeight="1">
      <c r="A588" s="462">
        <v>1.2136385E7</v>
      </c>
      <c r="B588" s="84">
        <v>9.000686152E9</v>
      </c>
      <c r="C588" s="11">
        <v>46055.0</v>
      </c>
      <c r="D588" s="84">
        <v>15.0</v>
      </c>
      <c r="E588" s="84">
        <v>17135.0</v>
      </c>
      <c r="F588" s="103" t="s">
        <v>43</v>
      </c>
      <c r="G588" s="84" t="s">
        <v>44</v>
      </c>
      <c r="H588" s="176" t="s">
        <v>3062</v>
      </c>
      <c r="I588" s="194" t="s">
        <v>1957</v>
      </c>
      <c r="J588" s="14" t="s">
        <v>47</v>
      </c>
      <c r="K588" s="12" t="s">
        <v>35</v>
      </c>
      <c r="L588" s="98" t="s">
        <v>43</v>
      </c>
      <c r="M588" s="84" t="s">
        <v>2144</v>
      </c>
      <c r="N588" s="133">
        <v>1946.5</v>
      </c>
      <c r="O588" s="73">
        <f t="shared" si="33"/>
        <v>0</v>
      </c>
      <c r="P588" s="15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</row>
    <row r="589" ht="15.75" customHeight="1">
      <c r="A589" s="103">
        <v>1.2136382E7</v>
      </c>
      <c r="B589" s="84">
        <v>9.000686151E9</v>
      </c>
      <c r="C589" s="11">
        <v>46055.0</v>
      </c>
      <c r="D589" s="84">
        <v>28.0</v>
      </c>
      <c r="E589" s="84">
        <v>34295.0</v>
      </c>
      <c r="F589" s="103" t="s">
        <v>43</v>
      </c>
      <c r="G589" s="84" t="s">
        <v>44</v>
      </c>
      <c r="H589" s="169" t="s">
        <v>45</v>
      </c>
      <c r="I589" s="209" t="s">
        <v>46</v>
      </c>
      <c r="J589" s="12" t="s">
        <v>35</v>
      </c>
      <c r="K589" s="14" t="s">
        <v>47</v>
      </c>
      <c r="L589" s="98" t="s">
        <v>108</v>
      </c>
      <c r="M589" s="84" t="s">
        <v>1945</v>
      </c>
      <c r="N589" s="133">
        <v>1946.5</v>
      </c>
      <c r="O589" s="73">
        <f t="shared" si="33"/>
        <v>0</v>
      </c>
      <c r="P589" s="15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</row>
    <row r="590" ht="15.75" customHeight="1">
      <c r="A590" s="103">
        <v>1.2136386E7</v>
      </c>
      <c r="B590" s="84">
        <v>9.000686183E9</v>
      </c>
      <c r="C590" s="11">
        <v>46055.0</v>
      </c>
      <c r="D590" s="84">
        <v>15.0</v>
      </c>
      <c r="E590" s="84">
        <v>17135.0</v>
      </c>
      <c r="F590" s="103" t="s">
        <v>43</v>
      </c>
      <c r="G590" s="84" t="s">
        <v>44</v>
      </c>
      <c r="H590" s="176" t="s">
        <v>3063</v>
      </c>
      <c r="I590" s="194" t="s">
        <v>1957</v>
      </c>
      <c r="J590" s="14" t="s">
        <v>47</v>
      </c>
      <c r="K590" s="12" t="s">
        <v>35</v>
      </c>
      <c r="L590" s="98" t="s">
        <v>43</v>
      </c>
      <c r="M590" s="84" t="s">
        <v>1945</v>
      </c>
      <c r="N590" s="133">
        <v>1946.5</v>
      </c>
      <c r="O590" s="73">
        <f t="shared" si="33"/>
        <v>0</v>
      </c>
      <c r="P590" s="15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</row>
    <row r="591" ht="15.75" customHeight="1">
      <c r="A591" s="103">
        <v>1.2147899E7</v>
      </c>
      <c r="B591" s="84">
        <v>9.000698405E9</v>
      </c>
      <c r="C591" s="11">
        <v>46057.0</v>
      </c>
      <c r="D591" s="84">
        <v>27.0</v>
      </c>
      <c r="E591" s="84">
        <v>32841.0</v>
      </c>
      <c r="F591" s="103" t="s">
        <v>31</v>
      </c>
      <c r="G591" s="84" t="s">
        <v>32</v>
      </c>
      <c r="H591" s="12" t="s">
        <v>265</v>
      </c>
      <c r="I591" s="39" t="s">
        <v>266</v>
      </c>
      <c r="J591" s="25" t="s">
        <v>35</v>
      </c>
      <c r="K591" s="25" t="s">
        <v>267</v>
      </c>
      <c r="L591" s="95" t="s">
        <v>114</v>
      </c>
      <c r="M591" s="84" t="s">
        <v>1945</v>
      </c>
      <c r="N591" s="133">
        <v>6527.0</v>
      </c>
      <c r="O591" s="73"/>
      <c r="P591" s="15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</row>
    <row r="592" ht="15.75" customHeight="1">
      <c r="A592" s="103">
        <v>1.2136865E7</v>
      </c>
      <c r="B592" s="84">
        <v>9.000685778E9</v>
      </c>
      <c r="C592" s="11">
        <v>46055.0</v>
      </c>
      <c r="D592" s="84">
        <v>25.0</v>
      </c>
      <c r="E592" s="84">
        <v>30321.0</v>
      </c>
      <c r="F592" s="103" t="s">
        <v>31</v>
      </c>
      <c r="G592" s="84" t="s">
        <v>74</v>
      </c>
      <c r="H592" s="84" t="s">
        <v>2049</v>
      </c>
      <c r="I592" s="84" t="s">
        <v>2283</v>
      </c>
      <c r="J592" s="25" t="s">
        <v>35</v>
      </c>
      <c r="K592" s="84" t="s">
        <v>2089</v>
      </c>
      <c r="L592" s="98" t="s">
        <v>114</v>
      </c>
      <c r="M592" s="238" t="s">
        <v>1936</v>
      </c>
      <c r="N592" s="133">
        <v>5471.0</v>
      </c>
      <c r="O592" s="73">
        <f t="shared" ref="O592:O598" si="34">IFERROR(P592/N592,0)</f>
        <v>0</v>
      </c>
      <c r="P592" s="15"/>
      <c r="Q592" s="84" t="s">
        <v>39</v>
      </c>
      <c r="R592" s="84">
        <v>5674904.0</v>
      </c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</row>
    <row r="593" ht="15.75" customHeight="1">
      <c r="A593" s="103">
        <v>1.2136383E7</v>
      </c>
      <c r="B593" s="84">
        <v>9.000686137E9</v>
      </c>
      <c r="C593" s="11">
        <v>46055.0</v>
      </c>
      <c r="D593" s="84">
        <v>28.0</v>
      </c>
      <c r="E593" s="84">
        <v>34058.0</v>
      </c>
      <c r="F593" s="103" t="s">
        <v>31</v>
      </c>
      <c r="G593" s="84" t="s">
        <v>44</v>
      </c>
      <c r="H593" s="169" t="s">
        <v>45</v>
      </c>
      <c r="I593" s="209" t="s">
        <v>46</v>
      </c>
      <c r="J593" s="12" t="s">
        <v>35</v>
      </c>
      <c r="K593" s="14" t="s">
        <v>47</v>
      </c>
      <c r="L593" s="98" t="s">
        <v>108</v>
      </c>
      <c r="M593" s="238" t="s">
        <v>1943</v>
      </c>
      <c r="N593" s="133">
        <v>2545.0</v>
      </c>
      <c r="O593" s="73">
        <f t="shared" si="34"/>
        <v>0</v>
      </c>
      <c r="P593" s="15"/>
      <c r="Q593" s="84" t="s">
        <v>39</v>
      </c>
      <c r="R593" s="84">
        <v>5674900.0</v>
      </c>
      <c r="S593" s="12"/>
      <c r="T593" s="12"/>
      <c r="U593" s="12"/>
      <c r="V593" s="12"/>
      <c r="W593" s="12"/>
      <c r="X593" s="241">
        <v>46056.427083333336</v>
      </c>
      <c r="Y593" s="12"/>
      <c r="Z593" s="12"/>
      <c r="AA593" s="12"/>
      <c r="AB593" s="12"/>
      <c r="AC593" s="12"/>
      <c r="AD593" s="12"/>
      <c r="AE593" s="12"/>
      <c r="AF593" s="1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</row>
    <row r="594" ht="15.75" customHeight="1">
      <c r="A594" s="9"/>
      <c r="B594" s="452">
        <v>4.503919698E9</v>
      </c>
      <c r="C594" s="11">
        <v>46064.0</v>
      </c>
      <c r="D594" s="12"/>
      <c r="E594" s="12"/>
      <c r="F594" s="103" t="s">
        <v>43</v>
      </c>
      <c r="G594" s="84" t="s">
        <v>44</v>
      </c>
      <c r="H594" s="29" t="s">
        <v>104</v>
      </c>
      <c r="I594" s="85" t="s">
        <v>2149</v>
      </c>
      <c r="J594" s="25" t="s">
        <v>35</v>
      </c>
      <c r="K594" s="39" t="s">
        <v>106</v>
      </c>
      <c r="L594" s="95" t="s">
        <v>59</v>
      </c>
      <c r="M594" s="84"/>
      <c r="N594" s="133">
        <v>3812.0</v>
      </c>
      <c r="O594" s="73">
        <f t="shared" si="34"/>
        <v>0</v>
      </c>
      <c r="P594" s="15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</row>
    <row r="595" ht="15.75" customHeight="1">
      <c r="A595" s="9"/>
      <c r="B595" s="84"/>
      <c r="C595" s="11"/>
      <c r="D595" s="12"/>
      <c r="E595" s="12"/>
      <c r="F595" s="103" t="s">
        <v>43</v>
      </c>
      <c r="G595" s="84" t="s">
        <v>44</v>
      </c>
      <c r="H595" s="85" t="s">
        <v>3064</v>
      </c>
      <c r="I595" s="85" t="s">
        <v>2149</v>
      </c>
      <c r="J595" s="39" t="s">
        <v>106</v>
      </c>
      <c r="K595" s="25" t="s">
        <v>35</v>
      </c>
      <c r="L595" s="95" t="s">
        <v>121</v>
      </c>
      <c r="M595" s="84"/>
      <c r="N595" s="133">
        <v>3812.0</v>
      </c>
      <c r="O595" s="73">
        <f t="shared" si="34"/>
        <v>0</v>
      </c>
      <c r="P595" s="15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</row>
    <row r="596" ht="15.75" customHeight="1">
      <c r="A596" s="9"/>
      <c r="B596" s="452">
        <v>4.503919706E9</v>
      </c>
      <c r="C596" s="11">
        <v>46062.0</v>
      </c>
      <c r="D596" s="12"/>
      <c r="E596" s="12"/>
      <c r="F596" s="103" t="s">
        <v>43</v>
      </c>
      <c r="G596" s="84" t="s">
        <v>44</v>
      </c>
      <c r="H596" s="29" t="s">
        <v>104</v>
      </c>
      <c r="I596" s="85" t="s">
        <v>2149</v>
      </c>
      <c r="J596" s="25" t="s">
        <v>35</v>
      </c>
      <c r="K596" s="39" t="s">
        <v>106</v>
      </c>
      <c r="L596" s="95" t="s">
        <v>59</v>
      </c>
      <c r="M596" s="84"/>
      <c r="N596" s="133">
        <v>3812.0</v>
      </c>
      <c r="O596" s="73">
        <f t="shared" si="34"/>
        <v>0</v>
      </c>
      <c r="P596" s="15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</row>
    <row r="597" ht="15.75" customHeight="1">
      <c r="A597" s="9"/>
      <c r="B597" s="84"/>
      <c r="C597" s="11"/>
      <c r="D597" s="12"/>
      <c r="E597" s="12"/>
      <c r="F597" s="103" t="s">
        <v>43</v>
      </c>
      <c r="G597" s="84" t="s">
        <v>44</v>
      </c>
      <c r="H597" s="85" t="s">
        <v>3065</v>
      </c>
      <c r="I597" s="85" t="s">
        <v>2149</v>
      </c>
      <c r="J597" s="39" t="s">
        <v>106</v>
      </c>
      <c r="K597" s="25" t="s">
        <v>35</v>
      </c>
      <c r="L597" s="95" t="s">
        <v>121</v>
      </c>
      <c r="M597" s="84"/>
      <c r="N597" s="133">
        <v>3812.0</v>
      </c>
      <c r="O597" s="73">
        <f t="shared" si="34"/>
        <v>0</v>
      </c>
      <c r="P597" s="15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</row>
    <row r="598" ht="15.75" customHeight="1">
      <c r="A598" s="9"/>
      <c r="B598" s="452">
        <v>9.00071339E9</v>
      </c>
      <c r="C598" s="11">
        <v>46063.0</v>
      </c>
      <c r="D598" s="12"/>
      <c r="E598" s="12"/>
      <c r="F598" s="103" t="s">
        <v>31</v>
      </c>
      <c r="G598" s="208" t="s">
        <v>44</v>
      </c>
      <c r="H598" s="194" t="s">
        <v>104</v>
      </c>
      <c r="I598" s="85" t="s">
        <v>2149</v>
      </c>
      <c r="J598" s="170" t="s">
        <v>35</v>
      </c>
      <c r="K598" s="194" t="s">
        <v>106</v>
      </c>
      <c r="L598" s="171" t="s">
        <v>59</v>
      </c>
      <c r="M598" s="84"/>
      <c r="N598" s="133">
        <v>5337.0</v>
      </c>
      <c r="O598" s="73">
        <f t="shared" si="34"/>
        <v>0</v>
      </c>
      <c r="P598" s="15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</row>
    <row r="599" ht="15.75" customHeight="1">
      <c r="A599" s="9"/>
      <c r="B599" s="452">
        <v>9.000713404E9</v>
      </c>
      <c r="C599" s="11">
        <v>46063.0</v>
      </c>
      <c r="D599" s="12"/>
      <c r="E599" s="12"/>
      <c r="F599" s="103" t="s">
        <v>31</v>
      </c>
      <c r="G599" s="208" t="s">
        <v>44</v>
      </c>
      <c r="H599" s="194" t="s">
        <v>104</v>
      </c>
      <c r="I599" s="85" t="s">
        <v>2149</v>
      </c>
      <c r="J599" s="170" t="s">
        <v>35</v>
      </c>
      <c r="K599" s="194" t="s">
        <v>106</v>
      </c>
      <c r="L599" s="171" t="s">
        <v>59</v>
      </c>
      <c r="M599" s="84"/>
      <c r="N599" s="133">
        <v>5337.0</v>
      </c>
      <c r="O599" s="73"/>
      <c r="P599" s="15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</row>
    <row r="600" ht="15.75" customHeight="1">
      <c r="A600" s="114"/>
      <c r="B600" s="115"/>
      <c r="C600" s="115"/>
      <c r="D600" s="115"/>
      <c r="E600" s="115"/>
      <c r="F600" s="22"/>
      <c r="G600" s="22"/>
      <c r="H600" s="22"/>
      <c r="I600" s="258"/>
      <c r="J600" s="22"/>
      <c r="K600" s="22"/>
      <c r="L600" s="460"/>
      <c r="M600" s="22"/>
      <c r="N600" s="461"/>
      <c r="O600" s="260"/>
      <c r="P600" s="258"/>
      <c r="Q600" s="22"/>
      <c r="R600" s="22"/>
      <c r="S600" s="115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15"/>
    </row>
    <row r="601" ht="15.75" customHeight="1">
      <c r="A601" s="114"/>
      <c r="B601" s="115"/>
      <c r="C601" s="115"/>
      <c r="D601" s="115"/>
      <c r="E601" s="115"/>
      <c r="F601" s="22"/>
      <c r="G601" s="22"/>
      <c r="H601" s="22"/>
      <c r="I601" s="258"/>
      <c r="J601" s="22"/>
      <c r="K601" s="22"/>
      <c r="L601" s="460"/>
      <c r="M601" s="22"/>
      <c r="N601" s="461"/>
      <c r="O601" s="260"/>
      <c r="P601" s="258"/>
      <c r="Q601" s="22"/>
      <c r="R601" s="22"/>
      <c r="S601" s="115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15"/>
    </row>
    <row r="602" ht="15.75" customHeight="1">
      <c r="A602" s="114"/>
      <c r="B602" s="115"/>
      <c r="C602" s="115"/>
      <c r="D602" s="115"/>
      <c r="E602" s="115"/>
      <c r="F602" s="22"/>
      <c r="G602" s="22"/>
      <c r="H602" s="22"/>
      <c r="I602" s="258"/>
      <c r="J602" s="22"/>
      <c r="K602" s="22"/>
      <c r="L602" s="460"/>
      <c r="M602" s="22"/>
      <c r="N602" s="461"/>
      <c r="O602" s="260"/>
      <c r="P602" s="258"/>
      <c r="Q602" s="22"/>
      <c r="R602" s="22"/>
      <c r="S602" s="115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15"/>
    </row>
    <row r="603" ht="15.75" customHeight="1">
      <c r="A603" s="114"/>
      <c r="B603" s="115"/>
      <c r="C603" s="115"/>
      <c r="D603" s="115"/>
      <c r="E603" s="115"/>
      <c r="F603" s="22"/>
      <c r="G603" s="22"/>
      <c r="H603" s="22"/>
      <c r="I603" s="258"/>
      <c r="J603" s="22"/>
      <c r="K603" s="22"/>
      <c r="L603" s="460"/>
      <c r="M603" s="22"/>
      <c r="N603" s="461"/>
      <c r="O603" s="260"/>
      <c r="P603" s="258"/>
      <c r="Q603" s="22"/>
      <c r="R603" s="22"/>
      <c r="S603" s="115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15"/>
    </row>
    <row r="604" ht="15.75" customHeight="1">
      <c r="A604" s="114"/>
      <c r="B604" s="115"/>
      <c r="C604" s="115"/>
      <c r="D604" s="115"/>
      <c r="E604" s="115"/>
      <c r="F604" s="22"/>
      <c r="G604" s="22"/>
      <c r="H604" s="22"/>
      <c r="I604" s="258"/>
      <c r="J604" s="22"/>
      <c r="K604" s="22"/>
      <c r="L604" s="460"/>
      <c r="M604" s="22"/>
      <c r="N604" s="461"/>
      <c r="O604" s="260"/>
      <c r="P604" s="258"/>
      <c r="Q604" s="22"/>
      <c r="R604" s="22"/>
      <c r="S604" s="115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15"/>
    </row>
    <row r="605" ht="15.75" customHeight="1">
      <c r="A605" s="114"/>
      <c r="B605" s="115"/>
      <c r="C605" s="115"/>
      <c r="D605" s="115"/>
      <c r="E605" s="115"/>
      <c r="F605" s="22"/>
      <c r="G605" s="22"/>
      <c r="H605" s="22"/>
      <c r="I605" s="258"/>
      <c r="J605" s="22"/>
      <c r="K605" s="22"/>
      <c r="L605" s="460"/>
      <c r="M605" s="22"/>
      <c r="N605" s="461"/>
      <c r="O605" s="260"/>
      <c r="P605" s="258"/>
      <c r="Q605" s="22"/>
      <c r="R605" s="22"/>
      <c r="S605" s="115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15"/>
    </row>
    <row r="606" ht="15.75" customHeight="1">
      <c r="A606" s="114"/>
      <c r="B606" s="115"/>
      <c r="C606" s="115"/>
      <c r="D606" s="115"/>
      <c r="E606" s="115"/>
      <c r="F606" s="22"/>
      <c r="G606" s="22"/>
      <c r="H606" s="22"/>
      <c r="I606" s="258"/>
      <c r="J606" s="22"/>
      <c r="K606" s="22"/>
      <c r="L606" s="460"/>
      <c r="M606" s="22"/>
      <c r="N606" s="461"/>
      <c r="O606" s="260"/>
      <c r="P606" s="258"/>
      <c r="Q606" s="22"/>
      <c r="R606" s="22"/>
      <c r="S606" s="115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15"/>
    </row>
    <row r="607" ht="15.75" customHeight="1">
      <c r="A607" s="114"/>
      <c r="B607" s="115"/>
      <c r="C607" s="115"/>
      <c r="D607" s="115"/>
      <c r="E607" s="115"/>
      <c r="F607" s="22"/>
      <c r="G607" s="22"/>
      <c r="H607" s="22"/>
      <c r="I607" s="258"/>
      <c r="J607" s="22"/>
      <c r="K607" s="22"/>
      <c r="L607" s="460"/>
      <c r="M607" s="22"/>
      <c r="N607" s="461"/>
      <c r="O607" s="260"/>
      <c r="P607" s="258"/>
      <c r="Q607" s="22"/>
      <c r="R607" s="22"/>
      <c r="S607" s="115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15"/>
    </row>
    <row r="608" ht="15.75" customHeight="1">
      <c r="A608" s="114"/>
      <c r="B608" s="115"/>
      <c r="C608" s="115"/>
      <c r="D608" s="115"/>
      <c r="E608" s="115"/>
      <c r="F608" s="22"/>
      <c r="G608" s="22"/>
      <c r="H608" s="22"/>
      <c r="I608" s="258"/>
      <c r="J608" s="22"/>
      <c r="K608" s="22"/>
      <c r="L608" s="460"/>
      <c r="M608" s="22"/>
      <c r="N608" s="461"/>
      <c r="O608" s="260"/>
      <c r="P608" s="258"/>
      <c r="Q608" s="22"/>
      <c r="R608" s="22"/>
      <c r="S608" s="115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15"/>
    </row>
    <row r="609" ht="15.75" customHeight="1">
      <c r="A609" s="114"/>
      <c r="B609" s="115"/>
      <c r="C609" s="115"/>
      <c r="D609" s="115"/>
      <c r="E609" s="115"/>
      <c r="F609" s="22"/>
      <c r="G609" s="22"/>
      <c r="H609" s="22"/>
      <c r="I609" s="258"/>
      <c r="J609" s="22"/>
      <c r="K609" s="22"/>
      <c r="L609" s="460"/>
      <c r="M609" s="22"/>
      <c r="N609" s="461"/>
      <c r="O609" s="260"/>
      <c r="P609" s="258"/>
      <c r="Q609" s="22"/>
      <c r="R609" s="22"/>
      <c r="S609" s="115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15"/>
    </row>
    <row r="610" ht="15.75" customHeight="1">
      <c r="A610" s="114"/>
      <c r="B610" s="115"/>
      <c r="C610" s="115"/>
      <c r="D610" s="115"/>
      <c r="E610" s="115"/>
      <c r="F610" s="22"/>
      <c r="G610" s="22"/>
      <c r="H610" s="22"/>
      <c r="I610" s="258"/>
      <c r="J610" s="22"/>
      <c r="K610" s="22"/>
      <c r="L610" s="460"/>
      <c r="M610" s="22"/>
      <c r="N610" s="461"/>
      <c r="O610" s="260"/>
      <c r="P610" s="258"/>
      <c r="Q610" s="22"/>
      <c r="R610" s="22"/>
      <c r="S610" s="115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15"/>
    </row>
    <row r="611" ht="15.75" customHeight="1">
      <c r="A611" s="114"/>
      <c r="B611" s="115"/>
      <c r="C611" s="115"/>
      <c r="D611" s="115"/>
      <c r="E611" s="115"/>
      <c r="F611" s="22"/>
      <c r="G611" s="22"/>
      <c r="H611" s="22"/>
      <c r="I611" s="258"/>
      <c r="J611" s="22"/>
      <c r="K611" s="22"/>
      <c r="L611" s="460"/>
      <c r="M611" s="22"/>
      <c r="N611" s="461"/>
      <c r="O611" s="260"/>
      <c r="P611" s="258"/>
      <c r="Q611" s="22"/>
      <c r="R611" s="22"/>
      <c r="S611" s="115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15"/>
    </row>
    <row r="612" ht="15.75" customHeight="1">
      <c r="A612" s="114"/>
      <c r="B612" s="115"/>
      <c r="C612" s="115"/>
      <c r="D612" s="115"/>
      <c r="E612" s="115"/>
      <c r="F612" s="22"/>
      <c r="G612" s="22"/>
      <c r="H612" s="22"/>
      <c r="I612" s="258"/>
      <c r="J612" s="22"/>
      <c r="K612" s="22"/>
      <c r="L612" s="460"/>
      <c r="M612" s="22"/>
      <c r="N612" s="461"/>
      <c r="O612" s="260"/>
      <c r="P612" s="258"/>
      <c r="Q612" s="22"/>
      <c r="R612" s="22"/>
      <c r="S612" s="115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15"/>
    </row>
    <row r="613" ht="15.75" customHeight="1">
      <c r="A613" s="114"/>
      <c r="B613" s="115"/>
      <c r="C613" s="115"/>
      <c r="D613" s="115"/>
      <c r="E613" s="115"/>
      <c r="F613" s="22"/>
      <c r="G613" s="22"/>
      <c r="H613" s="22"/>
      <c r="I613" s="258"/>
      <c r="J613" s="22"/>
      <c r="K613" s="22"/>
      <c r="L613" s="460"/>
      <c r="M613" s="22"/>
      <c r="N613" s="461"/>
      <c r="O613" s="260"/>
      <c r="P613" s="258"/>
      <c r="Q613" s="22"/>
      <c r="R613" s="22"/>
      <c r="S613" s="115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15"/>
    </row>
    <row r="614" ht="15.75" customHeight="1">
      <c r="A614" s="114"/>
      <c r="B614" s="115"/>
      <c r="C614" s="115"/>
      <c r="D614" s="115"/>
      <c r="E614" s="115"/>
      <c r="F614" s="22"/>
      <c r="G614" s="22"/>
      <c r="H614" s="22"/>
      <c r="I614" s="258"/>
      <c r="J614" s="22"/>
      <c r="K614" s="22"/>
      <c r="L614" s="460"/>
      <c r="M614" s="22"/>
      <c r="N614" s="461"/>
      <c r="O614" s="260"/>
      <c r="P614" s="258"/>
      <c r="Q614" s="22"/>
      <c r="R614" s="22"/>
      <c r="S614" s="115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15"/>
    </row>
    <row r="615" ht="15.75" customHeight="1">
      <c r="A615" s="114"/>
      <c r="B615" s="115"/>
      <c r="C615" s="115"/>
      <c r="D615" s="115"/>
      <c r="E615" s="115"/>
      <c r="F615" s="22"/>
      <c r="G615" s="22"/>
      <c r="H615" s="22"/>
      <c r="I615" s="258"/>
      <c r="J615" s="22"/>
      <c r="K615" s="22"/>
      <c r="L615" s="460"/>
      <c r="M615" s="22"/>
      <c r="N615" s="461"/>
      <c r="O615" s="260"/>
      <c r="P615" s="258"/>
      <c r="Q615" s="22"/>
      <c r="R615" s="22"/>
      <c r="S615" s="115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15"/>
    </row>
    <row r="616" ht="15.75" customHeight="1">
      <c r="A616" s="114"/>
      <c r="B616" s="115"/>
      <c r="C616" s="115"/>
      <c r="D616" s="115"/>
      <c r="E616" s="115"/>
      <c r="F616" s="22"/>
      <c r="G616" s="22"/>
      <c r="H616" s="22"/>
      <c r="I616" s="258"/>
      <c r="J616" s="22"/>
      <c r="K616" s="22"/>
      <c r="L616" s="460"/>
      <c r="M616" s="22"/>
      <c r="N616" s="461"/>
      <c r="O616" s="260"/>
      <c r="P616" s="258"/>
      <c r="Q616" s="22"/>
      <c r="R616" s="22"/>
      <c r="S616" s="115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15"/>
    </row>
    <row r="617" ht="15.75" customHeight="1">
      <c r="A617" s="114"/>
      <c r="B617" s="115"/>
      <c r="C617" s="115"/>
      <c r="D617" s="115"/>
      <c r="E617" s="115"/>
      <c r="F617" s="22"/>
      <c r="G617" s="22"/>
      <c r="H617" s="22"/>
      <c r="I617" s="258"/>
      <c r="J617" s="22"/>
      <c r="K617" s="22"/>
      <c r="L617" s="460"/>
      <c r="M617" s="22"/>
      <c r="N617" s="461"/>
      <c r="O617" s="260"/>
      <c r="P617" s="258"/>
      <c r="Q617" s="22"/>
      <c r="R617" s="22"/>
      <c r="S617" s="115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15"/>
    </row>
    <row r="618" ht="15.75" customHeight="1">
      <c r="A618" s="114"/>
      <c r="B618" s="115"/>
      <c r="C618" s="115"/>
      <c r="D618" s="115"/>
      <c r="E618" s="115"/>
      <c r="F618" s="22"/>
      <c r="G618" s="22"/>
      <c r="H618" s="22"/>
      <c r="I618" s="258"/>
      <c r="J618" s="22"/>
      <c r="K618" s="22"/>
      <c r="L618" s="460"/>
      <c r="M618" s="22"/>
      <c r="N618" s="461"/>
      <c r="O618" s="260"/>
      <c r="P618" s="258"/>
      <c r="Q618" s="22"/>
      <c r="R618" s="22"/>
      <c r="S618" s="115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15"/>
    </row>
    <row r="619" ht="15.75" customHeight="1">
      <c r="A619" s="114"/>
      <c r="B619" s="115"/>
      <c r="C619" s="115"/>
      <c r="D619" s="115"/>
      <c r="E619" s="115"/>
      <c r="F619" s="22"/>
      <c r="G619" s="22"/>
      <c r="H619" s="22"/>
      <c r="I619" s="258"/>
      <c r="J619" s="22"/>
      <c r="K619" s="22"/>
      <c r="L619" s="460"/>
      <c r="M619" s="22"/>
      <c r="N619" s="461"/>
      <c r="O619" s="260"/>
      <c r="P619" s="258"/>
      <c r="Q619" s="22"/>
      <c r="R619" s="22"/>
      <c r="S619" s="115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15"/>
    </row>
    <row r="620" ht="15.75" customHeight="1">
      <c r="A620" s="114"/>
      <c r="B620" s="115"/>
      <c r="C620" s="115"/>
      <c r="D620" s="115"/>
      <c r="E620" s="115"/>
      <c r="F620" s="22"/>
      <c r="G620" s="22"/>
      <c r="H620" s="22"/>
      <c r="I620" s="258"/>
      <c r="J620" s="22"/>
      <c r="K620" s="22"/>
      <c r="L620" s="460"/>
      <c r="M620" s="22"/>
      <c r="N620" s="461"/>
      <c r="O620" s="260"/>
      <c r="P620" s="258"/>
      <c r="Q620" s="22"/>
      <c r="R620" s="22"/>
      <c r="S620" s="115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15"/>
    </row>
    <row r="621" ht="15.75" customHeight="1">
      <c r="A621" s="114"/>
      <c r="B621" s="115"/>
      <c r="C621" s="115"/>
      <c r="D621" s="115"/>
      <c r="E621" s="115"/>
      <c r="F621" s="22"/>
      <c r="G621" s="22"/>
      <c r="H621" s="22"/>
      <c r="I621" s="258"/>
      <c r="J621" s="22"/>
      <c r="K621" s="22"/>
      <c r="L621" s="460"/>
      <c r="M621" s="22"/>
      <c r="N621" s="461"/>
      <c r="O621" s="260"/>
      <c r="P621" s="258"/>
      <c r="Q621" s="22"/>
      <c r="R621" s="22"/>
      <c r="S621" s="115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15"/>
    </row>
    <row r="622" ht="15.75" customHeight="1">
      <c r="A622" s="114"/>
      <c r="B622" s="115"/>
      <c r="C622" s="115"/>
      <c r="D622" s="115"/>
      <c r="E622" s="115"/>
      <c r="F622" s="22"/>
      <c r="G622" s="22"/>
      <c r="H622" s="22"/>
      <c r="I622" s="258"/>
      <c r="J622" s="22"/>
      <c r="K622" s="22"/>
      <c r="L622" s="460"/>
      <c r="M622" s="22"/>
      <c r="N622" s="461"/>
      <c r="O622" s="260"/>
      <c r="P622" s="258"/>
      <c r="Q622" s="22"/>
      <c r="R622" s="22"/>
      <c r="S622" s="115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15"/>
    </row>
    <row r="623" ht="15.75" customHeight="1">
      <c r="A623" s="114"/>
      <c r="B623" s="115"/>
      <c r="C623" s="115"/>
      <c r="D623" s="115"/>
      <c r="E623" s="115"/>
      <c r="F623" s="22"/>
      <c r="G623" s="22"/>
      <c r="H623" s="22"/>
      <c r="I623" s="258"/>
      <c r="J623" s="22"/>
      <c r="K623" s="22"/>
      <c r="L623" s="460"/>
      <c r="M623" s="22"/>
      <c r="N623" s="461"/>
      <c r="O623" s="260"/>
      <c r="P623" s="258"/>
      <c r="Q623" s="22"/>
      <c r="R623" s="22"/>
      <c r="S623" s="115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15"/>
    </row>
    <row r="624" ht="15.75" customHeight="1">
      <c r="A624" s="114"/>
      <c r="B624" s="115"/>
      <c r="C624" s="115"/>
      <c r="D624" s="115"/>
      <c r="E624" s="115"/>
      <c r="F624" s="22"/>
      <c r="G624" s="22"/>
      <c r="H624" s="22"/>
      <c r="I624" s="258"/>
      <c r="J624" s="22"/>
      <c r="K624" s="22"/>
      <c r="L624" s="460"/>
      <c r="M624" s="22"/>
      <c r="N624" s="461"/>
      <c r="O624" s="260"/>
      <c r="P624" s="258"/>
      <c r="Q624" s="22"/>
      <c r="R624" s="22"/>
      <c r="S624" s="115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15"/>
    </row>
    <row r="625" ht="15.75" customHeight="1">
      <c r="A625" s="114"/>
      <c r="B625" s="115"/>
      <c r="C625" s="115"/>
      <c r="D625" s="115"/>
      <c r="E625" s="115"/>
      <c r="F625" s="22"/>
      <c r="G625" s="22"/>
      <c r="H625" s="22"/>
      <c r="I625" s="258"/>
      <c r="J625" s="22"/>
      <c r="K625" s="22"/>
      <c r="L625" s="460"/>
      <c r="M625" s="22"/>
      <c r="N625" s="461"/>
      <c r="O625" s="260"/>
      <c r="P625" s="258"/>
      <c r="Q625" s="22"/>
      <c r="R625" s="22"/>
      <c r="S625" s="115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15"/>
    </row>
    <row r="626" ht="15.75" customHeight="1">
      <c r="A626" s="114"/>
      <c r="B626" s="115"/>
      <c r="C626" s="115"/>
      <c r="D626" s="115"/>
      <c r="E626" s="115"/>
      <c r="F626" s="22"/>
      <c r="G626" s="22"/>
      <c r="H626" s="22"/>
      <c r="I626" s="258"/>
      <c r="J626" s="22"/>
      <c r="K626" s="22"/>
      <c r="L626" s="460"/>
      <c r="M626" s="22"/>
      <c r="N626" s="461"/>
      <c r="O626" s="260"/>
      <c r="P626" s="258"/>
      <c r="Q626" s="22"/>
      <c r="R626" s="22"/>
      <c r="S626" s="115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15"/>
    </row>
    <row r="627" ht="15.75" customHeight="1">
      <c r="A627" s="114"/>
      <c r="B627" s="115"/>
      <c r="C627" s="115"/>
      <c r="D627" s="115"/>
      <c r="E627" s="115"/>
      <c r="F627" s="22"/>
      <c r="G627" s="22"/>
      <c r="H627" s="22"/>
      <c r="I627" s="258"/>
      <c r="J627" s="22"/>
      <c r="K627" s="22"/>
      <c r="L627" s="460"/>
      <c r="M627" s="22"/>
      <c r="N627" s="461"/>
      <c r="O627" s="260"/>
      <c r="P627" s="258"/>
      <c r="Q627" s="22"/>
      <c r="R627" s="22"/>
      <c r="S627" s="115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15"/>
    </row>
    <row r="628" ht="15.75" customHeight="1">
      <c r="A628" s="114"/>
      <c r="B628" s="115"/>
      <c r="C628" s="115"/>
      <c r="D628" s="115"/>
      <c r="E628" s="115"/>
      <c r="F628" s="22"/>
      <c r="G628" s="22"/>
      <c r="H628" s="22"/>
      <c r="I628" s="258"/>
      <c r="J628" s="22"/>
      <c r="K628" s="22"/>
      <c r="L628" s="460"/>
      <c r="M628" s="22"/>
      <c r="N628" s="461"/>
      <c r="O628" s="260"/>
      <c r="P628" s="258"/>
      <c r="Q628" s="22"/>
      <c r="R628" s="22"/>
      <c r="S628" s="115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15"/>
    </row>
    <row r="629" ht="15.75" customHeight="1">
      <c r="A629" s="114"/>
      <c r="B629" s="115"/>
      <c r="C629" s="115"/>
      <c r="D629" s="115"/>
      <c r="E629" s="115"/>
      <c r="F629" s="22"/>
      <c r="G629" s="22"/>
      <c r="H629" s="22"/>
      <c r="I629" s="258"/>
      <c r="J629" s="22"/>
      <c r="K629" s="22"/>
      <c r="L629" s="460"/>
      <c r="M629" s="22"/>
      <c r="N629" s="461"/>
      <c r="O629" s="260"/>
      <c r="P629" s="258"/>
      <c r="Q629" s="22"/>
      <c r="R629" s="22"/>
      <c r="S629" s="115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15"/>
    </row>
    <row r="630" ht="15.75" customHeight="1">
      <c r="A630" s="114"/>
      <c r="B630" s="115"/>
      <c r="C630" s="115"/>
      <c r="D630" s="115"/>
      <c r="E630" s="115"/>
      <c r="F630" s="22"/>
      <c r="G630" s="22"/>
      <c r="H630" s="22"/>
      <c r="I630" s="258"/>
      <c r="J630" s="22"/>
      <c r="K630" s="22"/>
      <c r="L630" s="460"/>
      <c r="M630" s="22"/>
      <c r="N630" s="461"/>
      <c r="O630" s="260"/>
      <c r="P630" s="258"/>
      <c r="Q630" s="22"/>
      <c r="R630" s="22"/>
      <c r="S630" s="115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15"/>
    </row>
    <row r="631" ht="15.75" customHeight="1">
      <c r="A631" s="114"/>
      <c r="B631" s="115"/>
      <c r="C631" s="115"/>
      <c r="D631" s="115"/>
      <c r="E631" s="115"/>
      <c r="F631" s="22"/>
      <c r="G631" s="22"/>
      <c r="H631" s="22"/>
      <c r="I631" s="258"/>
      <c r="J631" s="22"/>
      <c r="K631" s="22"/>
      <c r="L631" s="460"/>
      <c r="M631" s="22"/>
      <c r="N631" s="461"/>
      <c r="O631" s="260"/>
      <c r="P631" s="258"/>
      <c r="Q631" s="22"/>
      <c r="R631" s="22"/>
      <c r="S631" s="115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15"/>
    </row>
    <row r="632" ht="15.75" customHeight="1">
      <c r="A632" s="114"/>
      <c r="B632" s="115"/>
      <c r="C632" s="115"/>
      <c r="D632" s="115"/>
      <c r="E632" s="115"/>
      <c r="F632" s="22"/>
      <c r="G632" s="22"/>
      <c r="H632" s="22"/>
      <c r="I632" s="258"/>
      <c r="J632" s="22"/>
      <c r="K632" s="22"/>
      <c r="L632" s="460"/>
      <c r="M632" s="22"/>
      <c r="N632" s="461"/>
      <c r="O632" s="260"/>
      <c r="P632" s="258"/>
      <c r="Q632" s="22"/>
      <c r="R632" s="22"/>
      <c r="S632" s="115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15"/>
    </row>
    <row r="633" ht="15.75" customHeight="1">
      <c r="A633" s="114"/>
      <c r="B633" s="115"/>
      <c r="C633" s="115"/>
      <c r="D633" s="115"/>
      <c r="E633" s="115"/>
      <c r="F633" s="22"/>
      <c r="G633" s="22"/>
      <c r="H633" s="22"/>
      <c r="I633" s="258"/>
      <c r="J633" s="22"/>
      <c r="K633" s="22"/>
      <c r="L633" s="460"/>
      <c r="M633" s="22"/>
      <c r="N633" s="461"/>
      <c r="O633" s="260"/>
      <c r="P633" s="258"/>
      <c r="Q633" s="22"/>
      <c r="R633" s="22"/>
      <c r="S633" s="115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15"/>
    </row>
    <row r="634" ht="15.75" customHeight="1">
      <c r="A634" s="114"/>
      <c r="B634" s="115"/>
      <c r="C634" s="115"/>
      <c r="D634" s="115"/>
      <c r="E634" s="115"/>
      <c r="F634" s="22"/>
      <c r="G634" s="22"/>
      <c r="H634" s="22"/>
      <c r="I634" s="258"/>
      <c r="J634" s="22"/>
      <c r="K634" s="22"/>
      <c r="L634" s="460"/>
      <c r="M634" s="22"/>
      <c r="N634" s="461"/>
      <c r="O634" s="260"/>
      <c r="P634" s="258"/>
      <c r="Q634" s="22"/>
      <c r="R634" s="22"/>
      <c r="S634" s="115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15"/>
    </row>
    <row r="635" ht="15.75" customHeight="1">
      <c r="A635" s="114"/>
      <c r="B635" s="115"/>
      <c r="C635" s="115"/>
      <c r="D635" s="115"/>
      <c r="E635" s="115"/>
      <c r="F635" s="22"/>
      <c r="G635" s="22"/>
      <c r="H635" s="22"/>
      <c r="I635" s="258"/>
      <c r="J635" s="22"/>
      <c r="K635" s="22"/>
      <c r="L635" s="460"/>
      <c r="M635" s="22"/>
      <c r="N635" s="461"/>
      <c r="O635" s="260"/>
      <c r="P635" s="258"/>
      <c r="Q635" s="22"/>
      <c r="R635" s="22"/>
      <c r="S635" s="115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15"/>
    </row>
    <row r="636" ht="15.75" customHeight="1">
      <c r="A636" s="114"/>
      <c r="B636" s="115"/>
      <c r="C636" s="115"/>
      <c r="D636" s="115"/>
      <c r="E636" s="115"/>
      <c r="F636" s="22"/>
      <c r="G636" s="22"/>
      <c r="H636" s="22"/>
      <c r="I636" s="258"/>
      <c r="J636" s="22"/>
      <c r="K636" s="22"/>
      <c r="L636" s="460"/>
      <c r="M636" s="22"/>
      <c r="N636" s="461"/>
      <c r="O636" s="260"/>
      <c r="P636" s="258"/>
      <c r="Q636" s="22"/>
      <c r="R636" s="22"/>
      <c r="S636" s="115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15"/>
    </row>
    <row r="637" ht="15.75" customHeight="1">
      <c r="A637" s="114"/>
      <c r="B637" s="115"/>
      <c r="C637" s="115"/>
      <c r="D637" s="115"/>
      <c r="E637" s="115"/>
      <c r="F637" s="22"/>
      <c r="G637" s="22"/>
      <c r="H637" s="22"/>
      <c r="I637" s="258"/>
      <c r="J637" s="22"/>
      <c r="K637" s="22"/>
      <c r="L637" s="460"/>
      <c r="M637" s="22"/>
      <c r="N637" s="461"/>
      <c r="O637" s="260"/>
      <c r="P637" s="258"/>
      <c r="Q637" s="22"/>
      <c r="R637" s="22"/>
      <c r="S637" s="115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15"/>
    </row>
    <row r="638" ht="15.75" customHeight="1">
      <c r="A638" s="114"/>
      <c r="B638" s="115"/>
      <c r="C638" s="115"/>
      <c r="D638" s="115"/>
      <c r="E638" s="115"/>
      <c r="F638" s="22"/>
      <c r="G638" s="22"/>
      <c r="H638" s="22"/>
      <c r="I638" s="258"/>
      <c r="J638" s="22"/>
      <c r="K638" s="22"/>
      <c r="L638" s="460"/>
      <c r="M638" s="22"/>
      <c r="N638" s="461"/>
      <c r="O638" s="260"/>
      <c r="P638" s="258"/>
      <c r="Q638" s="22"/>
      <c r="R638" s="22"/>
      <c r="S638" s="115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15"/>
    </row>
    <row r="639" ht="15.75" customHeight="1">
      <c r="A639" s="114"/>
      <c r="B639" s="115"/>
      <c r="C639" s="115"/>
      <c r="D639" s="115"/>
      <c r="E639" s="115"/>
      <c r="F639" s="22"/>
      <c r="G639" s="22"/>
      <c r="H639" s="22"/>
      <c r="I639" s="258"/>
      <c r="J639" s="22"/>
      <c r="K639" s="22"/>
      <c r="L639" s="460"/>
      <c r="M639" s="22"/>
      <c r="N639" s="461"/>
      <c r="O639" s="260"/>
      <c r="P639" s="258"/>
      <c r="Q639" s="22"/>
      <c r="R639" s="22"/>
      <c r="S639" s="115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15"/>
    </row>
    <row r="640" ht="15.75" customHeight="1">
      <c r="A640" s="114"/>
      <c r="B640" s="115"/>
      <c r="C640" s="115"/>
      <c r="D640" s="115"/>
      <c r="E640" s="115"/>
      <c r="F640" s="22"/>
      <c r="G640" s="22"/>
      <c r="H640" s="22"/>
      <c r="I640" s="258"/>
      <c r="J640" s="22"/>
      <c r="K640" s="22"/>
      <c r="L640" s="460"/>
      <c r="M640" s="22"/>
      <c r="N640" s="461"/>
      <c r="O640" s="260"/>
      <c r="P640" s="258"/>
      <c r="Q640" s="22"/>
      <c r="R640" s="22"/>
      <c r="S640" s="115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15"/>
    </row>
    <row r="641" ht="15.75" customHeight="1">
      <c r="A641" s="114"/>
      <c r="B641" s="115"/>
      <c r="C641" s="115"/>
      <c r="D641" s="115"/>
      <c r="E641" s="115"/>
      <c r="F641" s="22"/>
      <c r="G641" s="22"/>
      <c r="H641" s="22"/>
      <c r="I641" s="258"/>
      <c r="J641" s="22"/>
      <c r="K641" s="22"/>
      <c r="L641" s="460"/>
      <c r="M641" s="22"/>
      <c r="N641" s="461"/>
      <c r="O641" s="260"/>
      <c r="P641" s="258"/>
      <c r="Q641" s="22"/>
      <c r="R641" s="22"/>
      <c r="S641" s="115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15"/>
    </row>
    <row r="642" ht="15.75" customHeight="1">
      <c r="A642" s="114"/>
      <c r="B642" s="115"/>
      <c r="C642" s="115"/>
      <c r="D642" s="115"/>
      <c r="E642" s="115"/>
      <c r="F642" s="22"/>
      <c r="G642" s="22"/>
      <c r="H642" s="22"/>
      <c r="I642" s="258"/>
      <c r="J642" s="22"/>
      <c r="K642" s="22"/>
      <c r="L642" s="460"/>
      <c r="M642" s="22"/>
      <c r="N642" s="461"/>
      <c r="O642" s="260"/>
      <c r="P642" s="258"/>
      <c r="Q642" s="22"/>
      <c r="R642" s="22"/>
      <c r="S642" s="115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15"/>
    </row>
    <row r="643" ht="15.75" customHeight="1">
      <c r="A643" s="114"/>
      <c r="B643" s="115"/>
      <c r="C643" s="115"/>
      <c r="D643" s="115"/>
      <c r="E643" s="115"/>
      <c r="F643" s="22"/>
      <c r="G643" s="22"/>
      <c r="H643" s="22"/>
      <c r="I643" s="258"/>
      <c r="J643" s="22"/>
      <c r="K643" s="22"/>
      <c r="L643" s="460"/>
      <c r="M643" s="22"/>
      <c r="N643" s="461"/>
      <c r="O643" s="260"/>
      <c r="P643" s="258"/>
      <c r="Q643" s="22"/>
      <c r="R643" s="22"/>
      <c r="S643" s="115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15"/>
    </row>
    <row r="644" ht="15.75" customHeight="1">
      <c r="A644" s="114"/>
      <c r="B644" s="115"/>
      <c r="C644" s="115"/>
      <c r="D644" s="115"/>
      <c r="E644" s="115"/>
      <c r="F644" s="22"/>
      <c r="G644" s="22"/>
      <c r="H644" s="22"/>
      <c r="I644" s="258"/>
      <c r="J644" s="22"/>
      <c r="K644" s="22"/>
      <c r="L644" s="460"/>
      <c r="M644" s="22"/>
      <c r="N644" s="461"/>
      <c r="O644" s="260"/>
      <c r="P644" s="258"/>
      <c r="Q644" s="22"/>
      <c r="R644" s="22"/>
      <c r="S644" s="115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15"/>
    </row>
    <row r="645" ht="15.75" customHeight="1">
      <c r="A645" s="114"/>
      <c r="B645" s="115"/>
      <c r="C645" s="115"/>
      <c r="D645" s="115"/>
      <c r="E645" s="115"/>
      <c r="F645" s="22"/>
      <c r="G645" s="22"/>
      <c r="H645" s="22"/>
      <c r="I645" s="258"/>
      <c r="J645" s="22"/>
      <c r="K645" s="22"/>
      <c r="L645" s="460"/>
      <c r="M645" s="22"/>
      <c r="N645" s="461"/>
      <c r="O645" s="260"/>
      <c r="P645" s="258"/>
      <c r="Q645" s="22"/>
      <c r="R645" s="22"/>
      <c r="S645" s="115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15"/>
    </row>
    <row r="646" ht="15.75" customHeight="1">
      <c r="A646" s="114"/>
      <c r="B646" s="115"/>
      <c r="C646" s="115"/>
      <c r="D646" s="115"/>
      <c r="E646" s="115"/>
      <c r="F646" s="22"/>
      <c r="G646" s="22"/>
      <c r="H646" s="22"/>
      <c r="I646" s="258"/>
      <c r="J646" s="22"/>
      <c r="K646" s="22"/>
      <c r="L646" s="460"/>
      <c r="M646" s="22"/>
      <c r="N646" s="461"/>
      <c r="O646" s="260"/>
      <c r="P646" s="258"/>
      <c r="Q646" s="22"/>
      <c r="R646" s="22"/>
      <c r="S646" s="115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15"/>
    </row>
    <row r="647" ht="15.75" customHeight="1">
      <c r="A647" s="114"/>
      <c r="B647" s="115"/>
      <c r="C647" s="115"/>
      <c r="D647" s="115"/>
      <c r="E647" s="115"/>
      <c r="F647" s="22"/>
      <c r="G647" s="22"/>
      <c r="H647" s="22"/>
      <c r="I647" s="258"/>
      <c r="J647" s="22"/>
      <c r="K647" s="22"/>
      <c r="L647" s="460"/>
      <c r="M647" s="22"/>
      <c r="N647" s="461"/>
      <c r="O647" s="260"/>
      <c r="P647" s="258"/>
      <c r="Q647" s="22"/>
      <c r="R647" s="22"/>
      <c r="S647" s="115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15"/>
    </row>
    <row r="648" ht="15.75" customHeight="1">
      <c r="A648" s="114"/>
      <c r="B648" s="115"/>
      <c r="C648" s="115"/>
      <c r="D648" s="115"/>
      <c r="E648" s="115"/>
      <c r="F648" s="22"/>
      <c r="G648" s="22"/>
      <c r="H648" s="22"/>
      <c r="I648" s="258"/>
      <c r="J648" s="22"/>
      <c r="K648" s="22"/>
      <c r="L648" s="460"/>
      <c r="M648" s="22"/>
      <c r="N648" s="461"/>
      <c r="O648" s="260"/>
      <c r="P648" s="258"/>
      <c r="Q648" s="22"/>
      <c r="R648" s="22"/>
      <c r="S648" s="115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15"/>
    </row>
    <row r="649" ht="15.75" customHeight="1">
      <c r="A649" s="114"/>
      <c r="B649" s="115"/>
      <c r="C649" s="115"/>
      <c r="D649" s="115"/>
      <c r="E649" s="115"/>
      <c r="F649" s="22"/>
      <c r="G649" s="22"/>
      <c r="H649" s="22"/>
      <c r="I649" s="258"/>
      <c r="J649" s="22"/>
      <c r="K649" s="22"/>
      <c r="L649" s="460"/>
      <c r="M649" s="22"/>
      <c r="N649" s="461"/>
      <c r="O649" s="260"/>
      <c r="P649" s="258"/>
      <c r="Q649" s="22"/>
      <c r="R649" s="22"/>
      <c r="S649" s="115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15"/>
    </row>
    <row r="650" ht="15.75" customHeight="1">
      <c r="A650" s="114"/>
      <c r="B650" s="115"/>
      <c r="C650" s="115"/>
      <c r="D650" s="115"/>
      <c r="E650" s="115"/>
      <c r="F650" s="22"/>
      <c r="G650" s="22"/>
      <c r="H650" s="22"/>
      <c r="I650" s="258"/>
      <c r="J650" s="22"/>
      <c r="K650" s="22"/>
      <c r="L650" s="460"/>
      <c r="M650" s="22"/>
      <c r="N650" s="461"/>
      <c r="O650" s="260"/>
      <c r="P650" s="258"/>
      <c r="Q650" s="22"/>
      <c r="R650" s="22"/>
      <c r="S650" s="115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15"/>
    </row>
    <row r="651" ht="15.75" customHeight="1">
      <c r="A651" s="114"/>
      <c r="B651" s="115"/>
      <c r="C651" s="115"/>
      <c r="D651" s="115"/>
      <c r="E651" s="115"/>
      <c r="F651" s="22"/>
      <c r="G651" s="22"/>
      <c r="H651" s="22"/>
      <c r="I651" s="258"/>
      <c r="J651" s="22"/>
      <c r="K651" s="22"/>
      <c r="L651" s="460"/>
      <c r="M651" s="22"/>
      <c r="N651" s="461"/>
      <c r="O651" s="260"/>
      <c r="P651" s="258"/>
      <c r="Q651" s="22"/>
      <c r="R651" s="22"/>
      <c r="S651" s="115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15"/>
    </row>
    <row r="652" ht="15.75" customHeight="1">
      <c r="A652" s="114"/>
      <c r="B652" s="115"/>
      <c r="C652" s="115"/>
      <c r="D652" s="115"/>
      <c r="E652" s="115"/>
      <c r="F652" s="22"/>
      <c r="G652" s="22"/>
      <c r="H652" s="22"/>
      <c r="I652" s="258"/>
      <c r="J652" s="22"/>
      <c r="K652" s="22"/>
      <c r="L652" s="460"/>
      <c r="M652" s="22"/>
      <c r="N652" s="461"/>
      <c r="O652" s="260"/>
      <c r="P652" s="258"/>
      <c r="Q652" s="22"/>
      <c r="R652" s="22"/>
      <c r="S652" s="115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15"/>
    </row>
    <row r="653" ht="15.75" customHeight="1">
      <c r="A653" s="114"/>
      <c r="B653" s="115"/>
      <c r="C653" s="115"/>
      <c r="D653" s="115"/>
      <c r="E653" s="115"/>
      <c r="F653" s="22"/>
      <c r="G653" s="22"/>
      <c r="H653" s="22"/>
      <c r="I653" s="258"/>
      <c r="J653" s="22"/>
      <c r="K653" s="22"/>
      <c r="L653" s="460"/>
      <c r="M653" s="22"/>
      <c r="N653" s="461"/>
      <c r="O653" s="260"/>
      <c r="P653" s="258"/>
      <c r="Q653" s="22"/>
      <c r="R653" s="22"/>
      <c r="S653" s="115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15"/>
    </row>
    <row r="654" ht="15.75" customHeight="1">
      <c r="A654" s="114"/>
      <c r="B654" s="115"/>
      <c r="C654" s="115"/>
      <c r="D654" s="115"/>
      <c r="E654" s="115"/>
      <c r="F654" s="22"/>
      <c r="G654" s="22"/>
      <c r="H654" s="22"/>
      <c r="I654" s="258"/>
      <c r="J654" s="22"/>
      <c r="K654" s="22"/>
      <c r="L654" s="460"/>
      <c r="M654" s="22"/>
      <c r="N654" s="461"/>
      <c r="O654" s="260"/>
      <c r="P654" s="258"/>
      <c r="Q654" s="22"/>
      <c r="R654" s="22"/>
      <c r="S654" s="115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15"/>
    </row>
    <row r="655" ht="15.75" customHeight="1">
      <c r="A655" s="114"/>
      <c r="B655" s="115"/>
      <c r="C655" s="115"/>
      <c r="D655" s="115"/>
      <c r="E655" s="115"/>
      <c r="F655" s="22"/>
      <c r="G655" s="22"/>
      <c r="H655" s="22"/>
      <c r="I655" s="258"/>
      <c r="J655" s="22"/>
      <c r="K655" s="22"/>
      <c r="L655" s="460"/>
      <c r="M655" s="22"/>
      <c r="N655" s="461"/>
      <c r="O655" s="260"/>
      <c r="P655" s="258"/>
      <c r="Q655" s="22"/>
      <c r="R655" s="22"/>
      <c r="S655" s="115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15"/>
    </row>
    <row r="656" ht="15.75" customHeight="1">
      <c r="A656" s="114"/>
      <c r="B656" s="115"/>
      <c r="C656" s="115"/>
      <c r="D656" s="115"/>
      <c r="E656" s="115"/>
      <c r="F656" s="22"/>
      <c r="G656" s="22"/>
      <c r="H656" s="22"/>
      <c r="I656" s="258"/>
      <c r="J656" s="22"/>
      <c r="K656" s="22"/>
      <c r="L656" s="460"/>
      <c r="M656" s="22"/>
      <c r="N656" s="461"/>
      <c r="O656" s="260"/>
      <c r="P656" s="258"/>
      <c r="Q656" s="22"/>
      <c r="R656" s="22"/>
      <c r="S656" s="115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15"/>
    </row>
    <row r="657" ht="15.75" customHeight="1">
      <c r="A657" s="114"/>
      <c r="B657" s="115"/>
      <c r="C657" s="115"/>
      <c r="D657" s="115"/>
      <c r="E657" s="115"/>
      <c r="F657" s="22"/>
      <c r="G657" s="22"/>
      <c r="H657" s="22"/>
      <c r="I657" s="258"/>
      <c r="J657" s="22"/>
      <c r="K657" s="22"/>
      <c r="L657" s="460"/>
      <c r="M657" s="22"/>
      <c r="N657" s="461"/>
      <c r="O657" s="260"/>
      <c r="P657" s="258"/>
      <c r="Q657" s="22"/>
      <c r="R657" s="22"/>
      <c r="S657" s="115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15"/>
    </row>
    <row r="658" ht="15.75" customHeight="1">
      <c r="A658" s="114"/>
      <c r="B658" s="115"/>
      <c r="C658" s="115"/>
      <c r="D658" s="115"/>
      <c r="E658" s="115"/>
      <c r="F658" s="22"/>
      <c r="G658" s="22"/>
      <c r="H658" s="22"/>
      <c r="I658" s="258"/>
      <c r="J658" s="22"/>
      <c r="K658" s="22"/>
      <c r="L658" s="460"/>
      <c r="M658" s="22"/>
      <c r="N658" s="461"/>
      <c r="O658" s="260"/>
      <c r="P658" s="258"/>
      <c r="Q658" s="22"/>
      <c r="R658" s="22"/>
      <c r="S658" s="115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15"/>
    </row>
    <row r="659" ht="15.75" customHeight="1">
      <c r="A659" s="114"/>
      <c r="B659" s="115"/>
      <c r="C659" s="115"/>
      <c r="D659" s="115"/>
      <c r="E659" s="115"/>
      <c r="F659" s="22"/>
      <c r="G659" s="22"/>
      <c r="H659" s="22"/>
      <c r="I659" s="258"/>
      <c r="J659" s="22"/>
      <c r="K659" s="22"/>
      <c r="L659" s="460"/>
      <c r="M659" s="22"/>
      <c r="N659" s="461"/>
      <c r="O659" s="260"/>
      <c r="P659" s="258"/>
      <c r="Q659" s="22"/>
      <c r="R659" s="22"/>
      <c r="S659" s="115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15"/>
    </row>
    <row r="660" ht="15.75" customHeight="1">
      <c r="A660" s="114"/>
      <c r="B660" s="115"/>
      <c r="C660" s="115"/>
      <c r="D660" s="115"/>
      <c r="E660" s="115"/>
      <c r="F660" s="22"/>
      <c r="G660" s="22"/>
      <c r="H660" s="22"/>
      <c r="I660" s="258"/>
      <c r="J660" s="22"/>
      <c r="K660" s="22"/>
      <c r="L660" s="460"/>
      <c r="M660" s="22"/>
      <c r="N660" s="461"/>
      <c r="O660" s="260"/>
      <c r="P660" s="258"/>
      <c r="Q660" s="22"/>
      <c r="R660" s="22"/>
      <c r="S660" s="115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15"/>
    </row>
    <row r="661" ht="15.75" customHeight="1">
      <c r="A661" s="114"/>
      <c r="B661" s="115"/>
      <c r="C661" s="115"/>
      <c r="D661" s="115"/>
      <c r="E661" s="115"/>
      <c r="F661" s="22"/>
      <c r="G661" s="22"/>
      <c r="H661" s="22"/>
      <c r="I661" s="258"/>
      <c r="J661" s="22"/>
      <c r="K661" s="22"/>
      <c r="L661" s="460"/>
      <c r="M661" s="22"/>
      <c r="N661" s="461"/>
      <c r="O661" s="260"/>
      <c r="P661" s="258"/>
      <c r="Q661" s="22"/>
      <c r="R661" s="22"/>
      <c r="S661" s="115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15"/>
    </row>
    <row r="662" ht="15.75" customHeight="1">
      <c r="A662" s="114"/>
      <c r="B662" s="115"/>
      <c r="C662" s="115"/>
      <c r="D662" s="115"/>
      <c r="E662" s="115"/>
      <c r="F662" s="22"/>
      <c r="G662" s="22"/>
      <c r="H662" s="22"/>
      <c r="I662" s="258"/>
      <c r="J662" s="22"/>
      <c r="K662" s="22"/>
      <c r="L662" s="460"/>
      <c r="M662" s="22"/>
      <c r="N662" s="461"/>
      <c r="O662" s="260"/>
      <c r="P662" s="258"/>
      <c r="Q662" s="22"/>
      <c r="R662" s="22"/>
      <c r="S662" s="115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15"/>
    </row>
    <row r="663" ht="15.75" customHeight="1">
      <c r="A663" s="114"/>
      <c r="B663" s="115"/>
      <c r="C663" s="115"/>
      <c r="D663" s="115"/>
      <c r="E663" s="115"/>
      <c r="F663" s="22"/>
      <c r="G663" s="22"/>
      <c r="H663" s="22"/>
      <c r="I663" s="258"/>
      <c r="J663" s="22"/>
      <c r="K663" s="22"/>
      <c r="L663" s="460"/>
      <c r="M663" s="22"/>
      <c r="N663" s="461"/>
      <c r="O663" s="260"/>
      <c r="P663" s="258"/>
      <c r="Q663" s="22"/>
      <c r="R663" s="22"/>
      <c r="S663" s="115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15"/>
    </row>
    <row r="664" ht="15.75" customHeight="1">
      <c r="A664" s="114"/>
      <c r="B664" s="115"/>
      <c r="C664" s="115"/>
      <c r="D664" s="115"/>
      <c r="E664" s="115"/>
      <c r="F664" s="22"/>
      <c r="G664" s="22"/>
      <c r="H664" s="22"/>
      <c r="I664" s="258"/>
      <c r="J664" s="22"/>
      <c r="K664" s="22"/>
      <c r="L664" s="460"/>
      <c r="M664" s="22"/>
      <c r="N664" s="461"/>
      <c r="O664" s="260"/>
      <c r="P664" s="258"/>
      <c r="Q664" s="22"/>
      <c r="R664" s="22"/>
      <c r="S664" s="115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15"/>
    </row>
    <row r="665" ht="15.75" customHeight="1">
      <c r="A665" s="114"/>
      <c r="B665" s="115"/>
      <c r="C665" s="115"/>
      <c r="D665" s="115"/>
      <c r="E665" s="115"/>
      <c r="F665" s="22"/>
      <c r="G665" s="22"/>
      <c r="H665" s="22"/>
      <c r="I665" s="258"/>
      <c r="J665" s="22"/>
      <c r="K665" s="22"/>
      <c r="L665" s="460"/>
      <c r="M665" s="22"/>
      <c r="N665" s="461"/>
      <c r="O665" s="260"/>
      <c r="P665" s="258"/>
      <c r="Q665" s="22"/>
      <c r="R665" s="22"/>
      <c r="S665" s="115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15"/>
    </row>
    <row r="666" ht="15.75" customHeight="1">
      <c r="A666" s="114"/>
      <c r="B666" s="115"/>
      <c r="C666" s="115"/>
      <c r="D666" s="115"/>
      <c r="E666" s="115"/>
      <c r="F666" s="22"/>
      <c r="G666" s="22"/>
      <c r="H666" s="22"/>
      <c r="I666" s="258"/>
      <c r="J666" s="22"/>
      <c r="K666" s="22"/>
      <c r="L666" s="460"/>
      <c r="M666" s="22"/>
      <c r="N666" s="461"/>
      <c r="O666" s="260"/>
      <c r="P666" s="258"/>
      <c r="Q666" s="22"/>
      <c r="R666" s="22"/>
      <c r="S666" s="115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15"/>
    </row>
    <row r="667" ht="15.75" customHeight="1">
      <c r="A667" s="114"/>
      <c r="B667" s="115"/>
      <c r="C667" s="115"/>
      <c r="D667" s="115"/>
      <c r="E667" s="115"/>
      <c r="F667" s="22"/>
      <c r="G667" s="22"/>
      <c r="H667" s="22"/>
      <c r="I667" s="258"/>
      <c r="J667" s="22"/>
      <c r="K667" s="22"/>
      <c r="L667" s="460"/>
      <c r="M667" s="22"/>
      <c r="N667" s="461"/>
      <c r="O667" s="260"/>
      <c r="P667" s="258"/>
      <c r="Q667" s="22"/>
      <c r="R667" s="22"/>
      <c r="S667" s="115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15"/>
    </row>
    <row r="668" ht="15.75" customHeight="1">
      <c r="A668" s="114"/>
      <c r="B668" s="115"/>
      <c r="C668" s="115"/>
      <c r="D668" s="115"/>
      <c r="E668" s="115"/>
      <c r="F668" s="22"/>
      <c r="G668" s="22"/>
      <c r="H668" s="22"/>
      <c r="I668" s="258"/>
      <c r="J668" s="22"/>
      <c r="K668" s="22"/>
      <c r="L668" s="460"/>
      <c r="M668" s="22"/>
      <c r="N668" s="461"/>
      <c r="O668" s="260"/>
      <c r="P668" s="258"/>
      <c r="Q668" s="22"/>
      <c r="R668" s="22"/>
      <c r="S668" s="115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15"/>
    </row>
    <row r="669" ht="15.75" customHeight="1">
      <c r="A669" s="114"/>
      <c r="B669" s="115"/>
      <c r="C669" s="115"/>
      <c r="D669" s="115"/>
      <c r="E669" s="115"/>
      <c r="F669" s="22"/>
      <c r="G669" s="22"/>
      <c r="H669" s="22"/>
      <c r="I669" s="258"/>
      <c r="J669" s="22"/>
      <c r="K669" s="22"/>
      <c r="L669" s="460"/>
      <c r="M669" s="22"/>
      <c r="N669" s="461"/>
      <c r="O669" s="260"/>
      <c r="P669" s="258"/>
      <c r="Q669" s="22"/>
      <c r="R669" s="22"/>
      <c r="S669" s="115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15"/>
    </row>
    <row r="670" ht="15.75" customHeight="1">
      <c r="A670" s="114"/>
      <c r="B670" s="115"/>
      <c r="C670" s="115"/>
      <c r="D670" s="115"/>
      <c r="E670" s="115"/>
      <c r="F670" s="22"/>
      <c r="G670" s="22"/>
      <c r="H670" s="22"/>
      <c r="I670" s="258"/>
      <c r="J670" s="22"/>
      <c r="K670" s="22"/>
      <c r="L670" s="460"/>
      <c r="M670" s="22"/>
      <c r="N670" s="461"/>
      <c r="O670" s="260"/>
      <c r="P670" s="258"/>
      <c r="Q670" s="22"/>
      <c r="R670" s="22"/>
      <c r="S670" s="115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15"/>
    </row>
    <row r="671" ht="15.75" customHeight="1">
      <c r="A671" s="114"/>
      <c r="B671" s="115"/>
      <c r="C671" s="115"/>
      <c r="D671" s="115"/>
      <c r="E671" s="115"/>
      <c r="F671" s="22"/>
      <c r="G671" s="22"/>
      <c r="H671" s="22"/>
      <c r="I671" s="258"/>
      <c r="J671" s="22"/>
      <c r="K671" s="22"/>
      <c r="L671" s="460"/>
      <c r="M671" s="22"/>
      <c r="N671" s="461"/>
      <c r="O671" s="260"/>
      <c r="P671" s="258"/>
      <c r="Q671" s="22"/>
      <c r="R671" s="22"/>
      <c r="S671" s="115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15"/>
    </row>
    <row r="672" ht="15.75" customHeight="1">
      <c r="A672" s="114"/>
      <c r="B672" s="115"/>
      <c r="C672" s="115"/>
      <c r="D672" s="115"/>
      <c r="E672" s="115"/>
      <c r="F672" s="22"/>
      <c r="G672" s="22"/>
      <c r="H672" s="22"/>
      <c r="I672" s="258"/>
      <c r="J672" s="22"/>
      <c r="K672" s="22"/>
      <c r="L672" s="460"/>
      <c r="M672" s="22"/>
      <c r="N672" s="461"/>
      <c r="O672" s="260"/>
      <c r="P672" s="258"/>
      <c r="Q672" s="22"/>
      <c r="R672" s="22"/>
      <c r="S672" s="115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15"/>
    </row>
    <row r="673" ht="15.75" customHeight="1">
      <c r="A673" s="114"/>
      <c r="B673" s="115"/>
      <c r="C673" s="115"/>
      <c r="D673" s="115"/>
      <c r="E673" s="115"/>
      <c r="F673" s="22"/>
      <c r="G673" s="22"/>
      <c r="H673" s="22"/>
      <c r="I673" s="258"/>
      <c r="J673" s="22"/>
      <c r="K673" s="22"/>
      <c r="L673" s="460"/>
      <c r="M673" s="22"/>
      <c r="N673" s="461"/>
      <c r="O673" s="260"/>
      <c r="P673" s="258"/>
      <c r="Q673" s="22"/>
      <c r="R673" s="22"/>
      <c r="S673" s="115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15"/>
    </row>
    <row r="674" ht="15.75" customHeight="1">
      <c r="A674" s="114"/>
      <c r="B674" s="115"/>
      <c r="C674" s="115"/>
      <c r="D674" s="115"/>
      <c r="E674" s="115"/>
      <c r="F674" s="22"/>
      <c r="G674" s="22"/>
      <c r="H674" s="22"/>
      <c r="I674" s="258"/>
      <c r="J674" s="22"/>
      <c r="K674" s="22"/>
      <c r="L674" s="460"/>
      <c r="M674" s="22"/>
      <c r="N674" s="461"/>
      <c r="O674" s="260"/>
      <c r="P674" s="258"/>
      <c r="Q674" s="22"/>
      <c r="R674" s="22"/>
      <c r="S674" s="115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15"/>
    </row>
    <row r="675" ht="15.75" customHeight="1">
      <c r="A675" s="114"/>
      <c r="B675" s="115"/>
      <c r="C675" s="115"/>
      <c r="D675" s="115"/>
      <c r="E675" s="115"/>
      <c r="F675" s="22"/>
      <c r="G675" s="22"/>
      <c r="H675" s="22"/>
      <c r="I675" s="258"/>
      <c r="J675" s="22"/>
      <c r="K675" s="22"/>
      <c r="L675" s="460"/>
      <c r="M675" s="22"/>
      <c r="N675" s="461"/>
      <c r="O675" s="260"/>
      <c r="P675" s="258"/>
      <c r="Q675" s="22"/>
      <c r="R675" s="22"/>
      <c r="S675" s="115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15"/>
    </row>
    <row r="676" ht="15.75" customHeight="1">
      <c r="A676" s="114"/>
      <c r="B676" s="115"/>
      <c r="C676" s="115"/>
      <c r="D676" s="115"/>
      <c r="E676" s="115"/>
      <c r="F676" s="22"/>
      <c r="G676" s="22"/>
      <c r="H676" s="22"/>
      <c r="I676" s="258"/>
      <c r="J676" s="22"/>
      <c r="K676" s="22"/>
      <c r="L676" s="460"/>
      <c r="M676" s="22"/>
      <c r="N676" s="461"/>
      <c r="O676" s="260"/>
      <c r="P676" s="258"/>
      <c r="Q676" s="22"/>
      <c r="R676" s="22"/>
      <c r="S676" s="115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15"/>
    </row>
    <row r="677" ht="15.75" customHeight="1">
      <c r="A677" s="114"/>
      <c r="B677" s="115"/>
      <c r="C677" s="115"/>
      <c r="D677" s="115"/>
      <c r="E677" s="115"/>
      <c r="F677" s="22"/>
      <c r="G677" s="22"/>
      <c r="H677" s="22"/>
      <c r="I677" s="258"/>
      <c r="J677" s="22"/>
      <c r="K677" s="22"/>
      <c r="L677" s="460"/>
      <c r="M677" s="22"/>
      <c r="N677" s="461"/>
      <c r="O677" s="260"/>
      <c r="P677" s="258"/>
      <c r="Q677" s="22"/>
      <c r="R677" s="22"/>
      <c r="S677" s="115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15"/>
    </row>
    <row r="678" ht="15.75" customHeight="1">
      <c r="A678" s="114"/>
      <c r="B678" s="115"/>
      <c r="C678" s="115"/>
      <c r="D678" s="115"/>
      <c r="E678" s="115"/>
      <c r="F678" s="22"/>
      <c r="G678" s="22"/>
      <c r="H678" s="22"/>
      <c r="I678" s="258"/>
      <c r="J678" s="22"/>
      <c r="K678" s="22"/>
      <c r="L678" s="460"/>
      <c r="M678" s="22"/>
      <c r="N678" s="461"/>
      <c r="O678" s="260"/>
      <c r="P678" s="258"/>
      <c r="Q678" s="22"/>
      <c r="R678" s="22"/>
      <c r="S678" s="115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15"/>
    </row>
    <row r="679" ht="15.75" customHeight="1">
      <c r="A679" s="114"/>
      <c r="B679" s="115"/>
      <c r="C679" s="115"/>
      <c r="D679" s="115"/>
      <c r="E679" s="115"/>
      <c r="F679" s="22"/>
      <c r="G679" s="22"/>
      <c r="H679" s="22"/>
      <c r="I679" s="258"/>
      <c r="J679" s="22"/>
      <c r="K679" s="22"/>
      <c r="L679" s="460"/>
      <c r="M679" s="22"/>
      <c r="N679" s="461"/>
      <c r="O679" s="260"/>
      <c r="P679" s="258"/>
      <c r="Q679" s="22"/>
      <c r="R679" s="22"/>
      <c r="S679" s="115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15"/>
    </row>
    <row r="680" ht="15.75" customHeight="1">
      <c r="A680" s="114"/>
      <c r="B680" s="115"/>
      <c r="C680" s="115"/>
      <c r="D680" s="115"/>
      <c r="E680" s="115"/>
      <c r="F680" s="22"/>
      <c r="G680" s="22"/>
      <c r="H680" s="22"/>
      <c r="I680" s="258"/>
      <c r="J680" s="22"/>
      <c r="K680" s="22"/>
      <c r="L680" s="460"/>
      <c r="M680" s="22"/>
      <c r="N680" s="461"/>
      <c r="O680" s="260"/>
      <c r="P680" s="258"/>
      <c r="Q680" s="22"/>
      <c r="R680" s="22"/>
      <c r="S680" s="115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15"/>
    </row>
    <row r="681" ht="15.75" customHeight="1">
      <c r="A681" s="114"/>
      <c r="B681" s="115"/>
      <c r="C681" s="115"/>
      <c r="D681" s="115"/>
      <c r="E681" s="115"/>
      <c r="F681" s="22"/>
      <c r="G681" s="22"/>
      <c r="H681" s="22"/>
      <c r="I681" s="258"/>
      <c r="J681" s="22"/>
      <c r="K681" s="22"/>
      <c r="L681" s="460"/>
      <c r="M681" s="22"/>
      <c r="N681" s="461"/>
      <c r="O681" s="260"/>
      <c r="P681" s="258"/>
      <c r="Q681" s="22"/>
      <c r="R681" s="22"/>
      <c r="S681" s="115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15"/>
    </row>
    <row r="682" ht="15.75" customHeight="1">
      <c r="A682" s="114"/>
      <c r="B682" s="115"/>
      <c r="C682" s="115"/>
      <c r="D682" s="115"/>
      <c r="E682" s="115"/>
      <c r="F682" s="22"/>
      <c r="G682" s="22"/>
      <c r="H682" s="22"/>
      <c r="I682" s="258"/>
      <c r="J682" s="22"/>
      <c r="K682" s="22"/>
      <c r="L682" s="460"/>
      <c r="M682" s="22"/>
      <c r="N682" s="461"/>
      <c r="O682" s="260"/>
      <c r="P682" s="258"/>
      <c r="Q682" s="22"/>
      <c r="R682" s="22"/>
      <c r="S682" s="115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15"/>
    </row>
    <row r="683" ht="15.75" customHeight="1">
      <c r="A683" s="114"/>
      <c r="B683" s="115"/>
      <c r="C683" s="115"/>
      <c r="D683" s="115"/>
      <c r="E683" s="115"/>
      <c r="F683" s="22"/>
      <c r="G683" s="22"/>
      <c r="H683" s="22"/>
      <c r="I683" s="258"/>
      <c r="J683" s="22"/>
      <c r="K683" s="22"/>
      <c r="L683" s="460"/>
      <c r="M683" s="22"/>
      <c r="N683" s="461"/>
      <c r="O683" s="260"/>
      <c r="P683" s="258"/>
      <c r="Q683" s="22"/>
      <c r="R683" s="22"/>
      <c r="S683" s="115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15"/>
    </row>
    <row r="684" ht="15.75" customHeight="1">
      <c r="A684" s="114"/>
      <c r="B684" s="115"/>
      <c r="C684" s="115"/>
      <c r="D684" s="115"/>
      <c r="E684" s="115"/>
      <c r="F684" s="22"/>
      <c r="G684" s="22"/>
      <c r="H684" s="22"/>
      <c r="I684" s="258"/>
      <c r="J684" s="22"/>
      <c r="K684" s="22"/>
      <c r="L684" s="460"/>
      <c r="M684" s="22"/>
      <c r="N684" s="461"/>
      <c r="O684" s="260"/>
      <c r="P684" s="258"/>
      <c r="Q684" s="22"/>
      <c r="R684" s="22"/>
      <c r="S684" s="115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15"/>
    </row>
    <row r="685" ht="15.75" customHeight="1">
      <c r="A685" s="114"/>
      <c r="B685" s="115"/>
      <c r="C685" s="115"/>
      <c r="D685" s="115"/>
      <c r="E685" s="115"/>
      <c r="F685" s="22"/>
      <c r="G685" s="22"/>
      <c r="H685" s="22"/>
      <c r="I685" s="258"/>
      <c r="J685" s="22"/>
      <c r="K685" s="22"/>
      <c r="L685" s="460"/>
      <c r="M685" s="22"/>
      <c r="N685" s="461"/>
      <c r="O685" s="260"/>
      <c r="P685" s="258"/>
      <c r="Q685" s="22"/>
      <c r="R685" s="22"/>
      <c r="S685" s="115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15"/>
    </row>
    <row r="686" ht="15.75" customHeight="1">
      <c r="A686" s="114"/>
      <c r="B686" s="115"/>
      <c r="C686" s="115"/>
      <c r="D686" s="115"/>
      <c r="E686" s="115"/>
      <c r="F686" s="22"/>
      <c r="G686" s="22"/>
      <c r="H686" s="22"/>
      <c r="I686" s="258"/>
      <c r="J686" s="22"/>
      <c r="K686" s="22"/>
      <c r="L686" s="460"/>
      <c r="M686" s="22"/>
      <c r="N686" s="461"/>
      <c r="O686" s="260"/>
      <c r="P686" s="258"/>
      <c r="Q686" s="22"/>
      <c r="R686" s="22"/>
      <c r="S686" s="115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15"/>
    </row>
    <row r="687" ht="15.75" customHeight="1">
      <c r="A687" s="114"/>
      <c r="B687" s="115"/>
      <c r="C687" s="115"/>
      <c r="D687" s="115"/>
      <c r="E687" s="115"/>
      <c r="F687" s="22"/>
      <c r="G687" s="22"/>
      <c r="H687" s="22"/>
      <c r="I687" s="258"/>
      <c r="J687" s="22"/>
      <c r="K687" s="22"/>
      <c r="L687" s="460"/>
      <c r="M687" s="22"/>
      <c r="N687" s="461"/>
      <c r="O687" s="260"/>
      <c r="P687" s="258"/>
      <c r="Q687" s="22"/>
      <c r="R687" s="22"/>
      <c r="S687" s="115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15"/>
    </row>
    <row r="688" ht="15.75" customHeight="1">
      <c r="A688" s="114"/>
      <c r="B688" s="115"/>
      <c r="C688" s="115"/>
      <c r="D688" s="115"/>
      <c r="E688" s="115"/>
      <c r="F688" s="22"/>
      <c r="G688" s="22"/>
      <c r="H688" s="22"/>
      <c r="I688" s="258"/>
      <c r="J688" s="22"/>
      <c r="K688" s="22"/>
      <c r="L688" s="460"/>
      <c r="M688" s="22"/>
      <c r="N688" s="461"/>
      <c r="O688" s="260"/>
      <c r="P688" s="258"/>
      <c r="Q688" s="22"/>
      <c r="R688" s="22"/>
      <c r="S688" s="115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15"/>
    </row>
    <row r="689" ht="15.75" customHeight="1">
      <c r="A689" s="114"/>
      <c r="B689" s="115"/>
      <c r="C689" s="115"/>
      <c r="D689" s="115"/>
      <c r="E689" s="115"/>
      <c r="F689" s="22"/>
      <c r="G689" s="22"/>
      <c r="H689" s="22"/>
      <c r="I689" s="258"/>
      <c r="J689" s="22"/>
      <c r="K689" s="22"/>
      <c r="L689" s="460"/>
      <c r="M689" s="22"/>
      <c r="N689" s="461"/>
      <c r="O689" s="260"/>
      <c r="P689" s="258"/>
      <c r="Q689" s="22"/>
      <c r="R689" s="22"/>
      <c r="S689" s="115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15"/>
    </row>
    <row r="690" ht="15.75" customHeight="1">
      <c r="A690" s="114"/>
      <c r="B690" s="115"/>
      <c r="C690" s="115"/>
      <c r="D690" s="115"/>
      <c r="E690" s="115"/>
      <c r="F690" s="22"/>
      <c r="G690" s="22"/>
      <c r="H690" s="22"/>
      <c r="I690" s="258"/>
      <c r="J690" s="22"/>
      <c r="K690" s="22"/>
      <c r="L690" s="460"/>
      <c r="M690" s="22"/>
      <c r="N690" s="461"/>
      <c r="O690" s="260"/>
      <c r="P690" s="258"/>
      <c r="Q690" s="22"/>
      <c r="R690" s="22"/>
      <c r="S690" s="115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15"/>
    </row>
    <row r="691" ht="15.75" customHeight="1">
      <c r="A691" s="114"/>
      <c r="B691" s="115"/>
      <c r="C691" s="115"/>
      <c r="D691" s="115"/>
      <c r="E691" s="115"/>
      <c r="F691" s="22"/>
      <c r="G691" s="22"/>
      <c r="H691" s="22"/>
      <c r="I691" s="258"/>
      <c r="J691" s="22"/>
      <c r="K691" s="22"/>
      <c r="L691" s="460"/>
      <c r="M691" s="22"/>
      <c r="N691" s="461"/>
      <c r="O691" s="260"/>
      <c r="P691" s="258"/>
      <c r="Q691" s="22"/>
      <c r="R691" s="22"/>
      <c r="S691" s="115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15"/>
    </row>
    <row r="692" ht="15.75" customHeight="1">
      <c r="A692" s="114"/>
      <c r="B692" s="115"/>
      <c r="C692" s="115"/>
      <c r="D692" s="115"/>
      <c r="E692" s="115"/>
      <c r="F692" s="22"/>
      <c r="G692" s="22"/>
      <c r="H692" s="22"/>
      <c r="I692" s="258"/>
      <c r="J692" s="22"/>
      <c r="K692" s="22"/>
      <c r="L692" s="460"/>
      <c r="M692" s="22"/>
      <c r="N692" s="461"/>
      <c r="O692" s="260"/>
      <c r="P692" s="258"/>
      <c r="Q692" s="22"/>
      <c r="R692" s="22"/>
      <c r="S692" s="115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15"/>
    </row>
    <row r="693" ht="15.75" customHeight="1">
      <c r="A693" s="114"/>
      <c r="B693" s="115"/>
      <c r="C693" s="115"/>
      <c r="D693" s="115"/>
      <c r="E693" s="115"/>
      <c r="F693" s="22"/>
      <c r="G693" s="22"/>
      <c r="H693" s="22"/>
      <c r="I693" s="258"/>
      <c r="J693" s="22"/>
      <c r="K693" s="22"/>
      <c r="L693" s="460"/>
      <c r="M693" s="22"/>
      <c r="N693" s="461"/>
      <c r="O693" s="260"/>
      <c r="P693" s="258"/>
      <c r="Q693" s="22"/>
      <c r="R693" s="22"/>
      <c r="S693" s="115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15"/>
    </row>
    <row r="694" ht="15.75" customHeight="1">
      <c r="A694" s="114"/>
      <c r="B694" s="115"/>
      <c r="C694" s="115"/>
      <c r="D694" s="115"/>
      <c r="E694" s="115"/>
      <c r="F694" s="22"/>
      <c r="G694" s="22"/>
      <c r="H694" s="22"/>
      <c r="I694" s="258"/>
      <c r="J694" s="22"/>
      <c r="K694" s="22"/>
      <c r="L694" s="460"/>
      <c r="M694" s="22"/>
      <c r="N694" s="461"/>
      <c r="O694" s="260"/>
      <c r="P694" s="258"/>
      <c r="Q694" s="22"/>
      <c r="R694" s="22"/>
      <c r="S694" s="115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15"/>
    </row>
    <row r="695" ht="15.75" customHeight="1">
      <c r="A695" s="114"/>
      <c r="B695" s="115"/>
      <c r="C695" s="115"/>
      <c r="D695" s="115"/>
      <c r="E695" s="115"/>
      <c r="F695" s="22"/>
      <c r="G695" s="22"/>
      <c r="H695" s="22"/>
      <c r="I695" s="258"/>
      <c r="J695" s="22"/>
      <c r="K695" s="22"/>
      <c r="L695" s="460"/>
      <c r="M695" s="22"/>
      <c r="N695" s="461"/>
      <c r="O695" s="260"/>
      <c r="P695" s="258"/>
      <c r="Q695" s="22"/>
      <c r="R695" s="22"/>
      <c r="S695" s="115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15"/>
    </row>
    <row r="696" ht="15.75" customHeight="1">
      <c r="A696" s="114"/>
      <c r="B696" s="115"/>
      <c r="C696" s="115"/>
      <c r="D696" s="115"/>
      <c r="E696" s="115"/>
      <c r="F696" s="22"/>
      <c r="G696" s="22"/>
      <c r="H696" s="22"/>
      <c r="I696" s="258"/>
      <c r="J696" s="22"/>
      <c r="K696" s="22"/>
      <c r="L696" s="460"/>
      <c r="M696" s="22"/>
      <c r="N696" s="461"/>
      <c r="O696" s="260"/>
      <c r="P696" s="258"/>
      <c r="Q696" s="22"/>
      <c r="R696" s="22"/>
      <c r="S696" s="115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15"/>
    </row>
    <row r="697" ht="15.75" customHeight="1">
      <c r="A697" s="114"/>
      <c r="B697" s="115"/>
      <c r="C697" s="115"/>
      <c r="D697" s="115"/>
      <c r="E697" s="115"/>
      <c r="F697" s="22"/>
      <c r="G697" s="22"/>
      <c r="H697" s="22"/>
      <c r="I697" s="258"/>
      <c r="J697" s="22"/>
      <c r="K697" s="22"/>
      <c r="L697" s="460"/>
      <c r="M697" s="22"/>
      <c r="N697" s="461"/>
      <c r="O697" s="260"/>
      <c r="P697" s="258"/>
      <c r="Q697" s="22"/>
      <c r="R697" s="22"/>
      <c r="S697" s="115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15"/>
    </row>
    <row r="698" ht="15.75" customHeight="1">
      <c r="A698" s="114"/>
      <c r="B698" s="115"/>
      <c r="C698" s="115"/>
      <c r="D698" s="115"/>
      <c r="E698" s="115"/>
      <c r="F698" s="22"/>
      <c r="G698" s="22"/>
      <c r="H698" s="22"/>
      <c r="I698" s="258"/>
      <c r="J698" s="22"/>
      <c r="K698" s="22"/>
      <c r="L698" s="460"/>
      <c r="M698" s="22"/>
      <c r="N698" s="461"/>
      <c r="O698" s="260"/>
      <c r="P698" s="258"/>
      <c r="Q698" s="22"/>
      <c r="R698" s="22"/>
      <c r="S698" s="115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15"/>
    </row>
    <row r="699" ht="15.75" customHeight="1">
      <c r="A699" s="114"/>
      <c r="B699" s="115"/>
      <c r="C699" s="115"/>
      <c r="D699" s="115"/>
      <c r="E699" s="115"/>
      <c r="F699" s="22"/>
      <c r="G699" s="22"/>
      <c r="H699" s="22"/>
      <c r="I699" s="258"/>
      <c r="J699" s="22"/>
      <c r="K699" s="22"/>
      <c r="L699" s="460"/>
      <c r="M699" s="22"/>
      <c r="N699" s="461"/>
      <c r="O699" s="260"/>
      <c r="P699" s="258"/>
      <c r="Q699" s="22"/>
      <c r="R699" s="22"/>
      <c r="S699" s="115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15"/>
    </row>
    <row r="700" ht="15.75" customHeight="1">
      <c r="A700" s="114"/>
      <c r="B700" s="115"/>
      <c r="C700" s="115"/>
      <c r="D700" s="115"/>
      <c r="E700" s="115"/>
      <c r="F700" s="22"/>
      <c r="G700" s="22"/>
      <c r="H700" s="22"/>
      <c r="I700" s="258"/>
      <c r="J700" s="22"/>
      <c r="K700" s="22"/>
      <c r="L700" s="460"/>
      <c r="M700" s="22"/>
      <c r="N700" s="461"/>
      <c r="O700" s="260"/>
      <c r="P700" s="258"/>
      <c r="Q700" s="22"/>
      <c r="R700" s="22"/>
      <c r="S700" s="115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15"/>
    </row>
    <row r="701" ht="15.75" customHeight="1">
      <c r="A701" s="114"/>
      <c r="B701" s="115"/>
      <c r="C701" s="115"/>
      <c r="D701" s="115"/>
      <c r="E701" s="115"/>
      <c r="F701" s="22"/>
      <c r="G701" s="22"/>
      <c r="H701" s="22"/>
      <c r="I701" s="258"/>
      <c r="J701" s="22"/>
      <c r="K701" s="22"/>
      <c r="L701" s="460"/>
      <c r="M701" s="22"/>
      <c r="N701" s="461"/>
      <c r="O701" s="260"/>
      <c r="P701" s="258"/>
      <c r="Q701" s="22"/>
      <c r="R701" s="22"/>
      <c r="S701" s="115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15"/>
    </row>
    <row r="702" ht="15.75" customHeight="1">
      <c r="A702" s="114"/>
      <c r="B702" s="115"/>
      <c r="C702" s="115"/>
      <c r="D702" s="115"/>
      <c r="E702" s="115"/>
      <c r="F702" s="22"/>
      <c r="G702" s="22"/>
      <c r="H702" s="22"/>
      <c r="I702" s="258"/>
      <c r="J702" s="22"/>
      <c r="K702" s="22"/>
      <c r="L702" s="460"/>
      <c r="M702" s="22"/>
      <c r="N702" s="461"/>
      <c r="O702" s="260"/>
      <c r="P702" s="258"/>
      <c r="Q702" s="22"/>
      <c r="R702" s="22"/>
      <c r="S702" s="115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15"/>
    </row>
    <row r="703" ht="15.75" customHeight="1">
      <c r="A703" s="114"/>
      <c r="B703" s="115"/>
      <c r="C703" s="115"/>
      <c r="D703" s="115"/>
      <c r="E703" s="115"/>
      <c r="F703" s="22"/>
      <c r="G703" s="22"/>
      <c r="H703" s="22"/>
      <c r="I703" s="258"/>
      <c r="J703" s="22"/>
      <c r="K703" s="22"/>
      <c r="L703" s="460"/>
      <c r="M703" s="22"/>
      <c r="N703" s="461"/>
      <c r="O703" s="260"/>
      <c r="P703" s="258"/>
      <c r="Q703" s="22"/>
      <c r="R703" s="22"/>
      <c r="S703" s="115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15"/>
    </row>
    <row r="704" ht="15.75" customHeight="1">
      <c r="A704" s="114"/>
      <c r="B704" s="115"/>
      <c r="C704" s="115"/>
      <c r="D704" s="115"/>
      <c r="E704" s="115"/>
      <c r="F704" s="22"/>
      <c r="G704" s="22"/>
      <c r="H704" s="22"/>
      <c r="I704" s="258"/>
      <c r="J704" s="22"/>
      <c r="K704" s="22"/>
      <c r="L704" s="460"/>
      <c r="M704" s="22"/>
      <c r="N704" s="461"/>
      <c r="O704" s="260"/>
      <c r="P704" s="258"/>
      <c r="Q704" s="22"/>
      <c r="R704" s="22"/>
      <c r="S704" s="115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15"/>
    </row>
    <row r="705" ht="15.75" customHeight="1">
      <c r="A705" s="114"/>
      <c r="B705" s="115"/>
      <c r="C705" s="115"/>
      <c r="D705" s="115"/>
      <c r="E705" s="115"/>
      <c r="F705" s="22"/>
      <c r="G705" s="22"/>
      <c r="H705" s="22"/>
      <c r="I705" s="258"/>
      <c r="J705" s="22"/>
      <c r="K705" s="22"/>
      <c r="L705" s="460"/>
      <c r="M705" s="22"/>
      <c r="N705" s="461"/>
      <c r="O705" s="260"/>
      <c r="P705" s="258"/>
      <c r="Q705" s="22"/>
      <c r="R705" s="22"/>
      <c r="S705" s="115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15"/>
    </row>
    <row r="706" ht="15.75" customHeight="1">
      <c r="A706" s="114"/>
      <c r="B706" s="115"/>
      <c r="C706" s="115"/>
      <c r="D706" s="115"/>
      <c r="E706" s="115"/>
      <c r="F706" s="22"/>
      <c r="G706" s="22"/>
      <c r="H706" s="22"/>
      <c r="I706" s="258"/>
      <c r="J706" s="22"/>
      <c r="K706" s="22"/>
      <c r="L706" s="460"/>
      <c r="M706" s="22"/>
      <c r="N706" s="461"/>
      <c r="O706" s="260"/>
      <c r="P706" s="258"/>
      <c r="Q706" s="22"/>
      <c r="R706" s="22"/>
      <c r="S706" s="115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15"/>
    </row>
    <row r="707" ht="15.75" customHeight="1">
      <c r="A707" s="114"/>
      <c r="B707" s="115"/>
      <c r="C707" s="115"/>
      <c r="D707" s="115"/>
      <c r="E707" s="115"/>
      <c r="F707" s="22"/>
      <c r="G707" s="22"/>
      <c r="H707" s="22"/>
      <c r="I707" s="258"/>
      <c r="J707" s="22"/>
      <c r="K707" s="22"/>
      <c r="L707" s="460"/>
      <c r="M707" s="22"/>
      <c r="N707" s="461"/>
      <c r="O707" s="260"/>
      <c r="P707" s="258"/>
      <c r="Q707" s="22"/>
      <c r="R707" s="22"/>
      <c r="S707" s="115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15"/>
    </row>
    <row r="708" ht="15.75" customHeight="1">
      <c r="A708" s="114"/>
      <c r="B708" s="115"/>
      <c r="C708" s="115"/>
      <c r="D708" s="115"/>
      <c r="E708" s="115"/>
      <c r="F708" s="22"/>
      <c r="G708" s="22"/>
      <c r="H708" s="22"/>
      <c r="I708" s="258"/>
      <c r="J708" s="22"/>
      <c r="K708" s="22"/>
      <c r="L708" s="460"/>
      <c r="M708" s="22"/>
      <c r="N708" s="461"/>
      <c r="O708" s="260"/>
      <c r="P708" s="258"/>
      <c r="Q708" s="22"/>
      <c r="R708" s="22"/>
      <c r="S708" s="115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15"/>
    </row>
    <row r="709" ht="15.75" customHeight="1">
      <c r="A709" s="114"/>
      <c r="B709" s="115"/>
      <c r="C709" s="115"/>
      <c r="D709" s="115"/>
      <c r="E709" s="115"/>
      <c r="F709" s="22"/>
      <c r="G709" s="22"/>
      <c r="H709" s="22"/>
      <c r="I709" s="258"/>
      <c r="J709" s="22"/>
      <c r="K709" s="22"/>
      <c r="L709" s="460"/>
      <c r="M709" s="22"/>
      <c r="N709" s="461"/>
      <c r="O709" s="260"/>
      <c r="P709" s="258"/>
      <c r="Q709" s="22"/>
      <c r="R709" s="22"/>
      <c r="S709" s="115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15"/>
    </row>
    <row r="710" ht="15.75" customHeight="1">
      <c r="A710" s="114"/>
      <c r="B710" s="115"/>
      <c r="C710" s="115"/>
      <c r="D710" s="115"/>
      <c r="E710" s="115"/>
      <c r="F710" s="22"/>
      <c r="G710" s="22"/>
      <c r="H710" s="22"/>
      <c r="I710" s="258"/>
      <c r="J710" s="22"/>
      <c r="K710" s="22"/>
      <c r="L710" s="460"/>
      <c r="M710" s="22"/>
      <c r="N710" s="461"/>
      <c r="O710" s="260"/>
      <c r="P710" s="258"/>
      <c r="Q710" s="22"/>
      <c r="R710" s="22"/>
      <c r="S710" s="115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15"/>
    </row>
    <row r="711" ht="15.75" customHeight="1">
      <c r="A711" s="114"/>
      <c r="B711" s="115"/>
      <c r="C711" s="115"/>
      <c r="D711" s="115"/>
      <c r="E711" s="115"/>
      <c r="F711" s="22"/>
      <c r="G711" s="22"/>
      <c r="H711" s="22"/>
      <c r="I711" s="258"/>
      <c r="J711" s="22"/>
      <c r="K711" s="22"/>
      <c r="L711" s="460"/>
      <c r="M711" s="22"/>
      <c r="N711" s="461"/>
      <c r="O711" s="260"/>
      <c r="P711" s="258"/>
      <c r="Q711" s="22"/>
      <c r="R711" s="22"/>
      <c r="S711" s="115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15"/>
    </row>
    <row r="712" ht="15.75" customHeight="1">
      <c r="A712" s="114"/>
      <c r="B712" s="115"/>
      <c r="C712" s="115"/>
      <c r="D712" s="115"/>
      <c r="E712" s="115"/>
      <c r="F712" s="22"/>
      <c r="G712" s="22"/>
      <c r="H712" s="22"/>
      <c r="I712" s="258"/>
      <c r="J712" s="22"/>
      <c r="K712" s="22"/>
      <c r="L712" s="460"/>
      <c r="M712" s="22"/>
      <c r="N712" s="461"/>
      <c r="O712" s="260"/>
      <c r="P712" s="258"/>
      <c r="Q712" s="22"/>
      <c r="R712" s="22"/>
      <c r="S712" s="115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15"/>
    </row>
    <row r="713" ht="15.75" customHeight="1">
      <c r="A713" s="114"/>
      <c r="B713" s="115"/>
      <c r="C713" s="115"/>
      <c r="D713" s="115"/>
      <c r="E713" s="115"/>
      <c r="F713" s="22"/>
      <c r="G713" s="22"/>
      <c r="H713" s="22"/>
      <c r="I713" s="258"/>
      <c r="J713" s="22"/>
      <c r="K713" s="22"/>
      <c r="L713" s="460"/>
      <c r="M713" s="22"/>
      <c r="N713" s="461"/>
      <c r="O713" s="260"/>
      <c r="P713" s="258"/>
      <c r="Q713" s="22"/>
      <c r="R713" s="22"/>
      <c r="S713" s="115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15"/>
    </row>
    <row r="714" ht="15.75" customHeight="1">
      <c r="A714" s="114"/>
      <c r="B714" s="115"/>
      <c r="C714" s="115"/>
      <c r="D714" s="115"/>
      <c r="E714" s="115"/>
      <c r="F714" s="22"/>
      <c r="G714" s="22"/>
      <c r="H714" s="22"/>
      <c r="I714" s="258"/>
      <c r="J714" s="22"/>
      <c r="K714" s="22"/>
      <c r="L714" s="460"/>
      <c r="M714" s="22"/>
      <c r="N714" s="461"/>
      <c r="O714" s="260"/>
      <c r="P714" s="258"/>
      <c r="Q714" s="22"/>
      <c r="R714" s="22"/>
      <c r="S714" s="115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15"/>
    </row>
    <row r="715" ht="15.75" customHeight="1">
      <c r="A715" s="114"/>
      <c r="B715" s="115"/>
      <c r="C715" s="115"/>
      <c r="D715" s="115"/>
      <c r="E715" s="115"/>
      <c r="F715" s="22"/>
      <c r="G715" s="22"/>
      <c r="H715" s="22"/>
      <c r="I715" s="258"/>
      <c r="J715" s="22"/>
      <c r="K715" s="22"/>
      <c r="L715" s="460"/>
      <c r="M715" s="22"/>
      <c r="N715" s="461"/>
      <c r="O715" s="260"/>
      <c r="P715" s="258"/>
      <c r="Q715" s="22"/>
      <c r="R715" s="22"/>
      <c r="S715" s="115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15"/>
    </row>
    <row r="716" ht="15.75" customHeight="1">
      <c r="A716" s="114"/>
      <c r="B716" s="115"/>
      <c r="C716" s="115"/>
      <c r="D716" s="115"/>
      <c r="E716" s="115"/>
      <c r="F716" s="22"/>
      <c r="G716" s="22"/>
      <c r="H716" s="22"/>
      <c r="I716" s="258"/>
      <c r="J716" s="22"/>
      <c r="K716" s="22"/>
      <c r="L716" s="460"/>
      <c r="M716" s="22"/>
      <c r="N716" s="461"/>
      <c r="O716" s="260"/>
      <c r="P716" s="258"/>
      <c r="Q716" s="22"/>
      <c r="R716" s="22"/>
      <c r="S716" s="115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15"/>
    </row>
    <row r="717" ht="15.75" customHeight="1">
      <c r="A717" s="114"/>
      <c r="B717" s="115"/>
      <c r="C717" s="115"/>
      <c r="D717" s="115"/>
      <c r="E717" s="115"/>
      <c r="F717" s="22"/>
      <c r="G717" s="22"/>
      <c r="H717" s="22"/>
      <c r="I717" s="258"/>
      <c r="J717" s="22"/>
      <c r="K717" s="22"/>
      <c r="L717" s="460"/>
      <c r="M717" s="22"/>
      <c r="N717" s="461"/>
      <c r="O717" s="260"/>
      <c r="P717" s="258"/>
      <c r="Q717" s="22"/>
      <c r="R717" s="22"/>
      <c r="S717" s="115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15"/>
    </row>
    <row r="718" ht="15.75" customHeight="1">
      <c r="A718" s="114"/>
      <c r="B718" s="115"/>
      <c r="C718" s="115"/>
      <c r="D718" s="115"/>
      <c r="E718" s="115"/>
      <c r="F718" s="22"/>
      <c r="G718" s="22"/>
      <c r="H718" s="22"/>
      <c r="I718" s="258"/>
      <c r="J718" s="22"/>
      <c r="K718" s="22"/>
      <c r="L718" s="460"/>
      <c r="M718" s="22"/>
      <c r="N718" s="461"/>
      <c r="O718" s="260"/>
      <c r="P718" s="258"/>
      <c r="Q718" s="22"/>
      <c r="R718" s="22"/>
      <c r="S718" s="115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15"/>
    </row>
    <row r="719" ht="15.75" customHeight="1">
      <c r="A719" s="114"/>
      <c r="B719" s="115"/>
      <c r="C719" s="115"/>
      <c r="D719" s="115"/>
      <c r="E719" s="115"/>
      <c r="F719" s="22"/>
      <c r="G719" s="22"/>
      <c r="H719" s="22"/>
      <c r="I719" s="258"/>
      <c r="J719" s="22"/>
      <c r="K719" s="22"/>
      <c r="L719" s="460"/>
      <c r="M719" s="22"/>
      <c r="N719" s="461"/>
      <c r="O719" s="260"/>
      <c r="P719" s="258"/>
      <c r="Q719" s="22"/>
      <c r="R719" s="22"/>
      <c r="S719" s="115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15"/>
    </row>
    <row r="720" ht="15.75" customHeight="1">
      <c r="A720" s="114"/>
      <c r="B720" s="115"/>
      <c r="C720" s="115"/>
      <c r="D720" s="115"/>
      <c r="E720" s="115"/>
      <c r="F720" s="22"/>
      <c r="G720" s="22"/>
      <c r="H720" s="22"/>
      <c r="I720" s="258"/>
      <c r="J720" s="22"/>
      <c r="K720" s="22"/>
      <c r="L720" s="460"/>
      <c r="M720" s="22"/>
      <c r="N720" s="461"/>
      <c r="O720" s="260"/>
      <c r="P720" s="258"/>
      <c r="Q720" s="22"/>
      <c r="R720" s="22"/>
      <c r="S720" s="115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15"/>
    </row>
    <row r="721" ht="15.75" customHeight="1">
      <c r="A721" s="114"/>
      <c r="B721" s="115"/>
      <c r="C721" s="115"/>
      <c r="D721" s="115"/>
      <c r="E721" s="115"/>
      <c r="F721" s="22"/>
      <c r="G721" s="22"/>
      <c r="H721" s="22"/>
      <c r="I721" s="258"/>
      <c r="J721" s="22"/>
      <c r="K721" s="22"/>
      <c r="L721" s="460"/>
      <c r="M721" s="22"/>
      <c r="N721" s="461"/>
      <c r="O721" s="260"/>
      <c r="P721" s="258"/>
      <c r="Q721" s="22"/>
      <c r="R721" s="22"/>
      <c r="S721" s="115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15"/>
    </row>
    <row r="722" ht="15.75" customHeight="1">
      <c r="A722" s="114"/>
      <c r="B722" s="115"/>
      <c r="C722" s="115"/>
      <c r="D722" s="115"/>
      <c r="E722" s="115"/>
      <c r="F722" s="22"/>
      <c r="G722" s="22"/>
      <c r="H722" s="22"/>
      <c r="I722" s="258"/>
      <c r="J722" s="22"/>
      <c r="K722" s="22"/>
      <c r="L722" s="460"/>
      <c r="M722" s="22"/>
      <c r="N722" s="461"/>
      <c r="O722" s="260"/>
      <c r="P722" s="258"/>
      <c r="Q722" s="22"/>
      <c r="R722" s="22"/>
      <c r="S722" s="115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15"/>
    </row>
    <row r="723" ht="15.75" customHeight="1">
      <c r="A723" s="114"/>
      <c r="B723" s="115"/>
      <c r="C723" s="115"/>
      <c r="D723" s="115"/>
      <c r="E723" s="115"/>
      <c r="F723" s="22"/>
      <c r="G723" s="22"/>
      <c r="H723" s="22"/>
      <c r="I723" s="258"/>
      <c r="J723" s="22"/>
      <c r="K723" s="22"/>
      <c r="L723" s="460"/>
      <c r="M723" s="22"/>
      <c r="N723" s="461"/>
      <c r="O723" s="260"/>
      <c r="P723" s="258"/>
      <c r="Q723" s="22"/>
      <c r="R723" s="22"/>
      <c r="S723" s="115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15"/>
    </row>
    <row r="724" ht="15.75" customHeight="1">
      <c r="A724" s="114"/>
      <c r="B724" s="115"/>
      <c r="C724" s="115"/>
      <c r="D724" s="115"/>
      <c r="E724" s="115"/>
      <c r="F724" s="22"/>
      <c r="G724" s="22"/>
      <c r="H724" s="22"/>
      <c r="I724" s="258"/>
      <c r="J724" s="22"/>
      <c r="K724" s="22"/>
      <c r="L724" s="460"/>
      <c r="M724" s="22"/>
      <c r="N724" s="461"/>
      <c r="O724" s="260"/>
      <c r="P724" s="258"/>
      <c r="Q724" s="22"/>
      <c r="R724" s="22"/>
      <c r="S724" s="115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15"/>
    </row>
    <row r="725" ht="15.75" customHeight="1">
      <c r="A725" s="114"/>
      <c r="B725" s="115"/>
      <c r="C725" s="115"/>
      <c r="D725" s="115"/>
      <c r="E725" s="115"/>
      <c r="F725" s="22"/>
      <c r="G725" s="22"/>
      <c r="H725" s="22"/>
      <c r="I725" s="258"/>
      <c r="J725" s="22"/>
      <c r="K725" s="22"/>
      <c r="L725" s="460"/>
      <c r="M725" s="22"/>
      <c r="N725" s="461"/>
      <c r="O725" s="260"/>
      <c r="P725" s="258"/>
      <c r="Q725" s="22"/>
      <c r="R725" s="22"/>
      <c r="S725" s="115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15"/>
    </row>
    <row r="726" ht="15.75" customHeight="1">
      <c r="A726" s="114"/>
      <c r="B726" s="115"/>
      <c r="C726" s="115"/>
      <c r="D726" s="115"/>
      <c r="E726" s="115"/>
      <c r="F726" s="22"/>
      <c r="G726" s="22"/>
      <c r="H726" s="22"/>
      <c r="I726" s="258"/>
      <c r="J726" s="22"/>
      <c r="K726" s="22"/>
      <c r="L726" s="460"/>
      <c r="M726" s="22"/>
      <c r="N726" s="461"/>
      <c r="O726" s="260"/>
      <c r="P726" s="258"/>
      <c r="Q726" s="22"/>
      <c r="R726" s="22"/>
      <c r="S726" s="115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15"/>
    </row>
    <row r="727" ht="15.75" customHeight="1">
      <c r="A727" s="114"/>
      <c r="B727" s="115"/>
      <c r="C727" s="115"/>
      <c r="D727" s="115"/>
      <c r="E727" s="115"/>
      <c r="F727" s="22"/>
      <c r="G727" s="22"/>
      <c r="H727" s="22"/>
      <c r="I727" s="258"/>
      <c r="J727" s="22"/>
      <c r="K727" s="22"/>
      <c r="L727" s="460"/>
      <c r="M727" s="22"/>
      <c r="N727" s="461"/>
      <c r="O727" s="260"/>
      <c r="P727" s="258"/>
      <c r="Q727" s="22"/>
      <c r="R727" s="22"/>
      <c r="S727" s="115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15"/>
    </row>
    <row r="728" ht="15.75" customHeight="1">
      <c r="A728" s="114"/>
      <c r="B728" s="115"/>
      <c r="C728" s="115"/>
      <c r="D728" s="115"/>
      <c r="E728" s="115"/>
      <c r="F728" s="22"/>
      <c r="G728" s="22"/>
      <c r="H728" s="22"/>
      <c r="I728" s="258"/>
      <c r="J728" s="22"/>
      <c r="K728" s="22"/>
      <c r="L728" s="460"/>
      <c r="M728" s="22"/>
      <c r="N728" s="461"/>
      <c r="O728" s="260"/>
      <c r="P728" s="258"/>
      <c r="Q728" s="22"/>
      <c r="R728" s="22"/>
      <c r="S728" s="115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15"/>
    </row>
    <row r="729" ht="15.75" customHeight="1">
      <c r="A729" s="114"/>
      <c r="B729" s="115"/>
      <c r="C729" s="115"/>
      <c r="D729" s="115"/>
      <c r="E729" s="115"/>
      <c r="F729" s="22"/>
      <c r="G729" s="22"/>
      <c r="H729" s="22"/>
      <c r="I729" s="258"/>
      <c r="J729" s="22"/>
      <c r="K729" s="22"/>
      <c r="L729" s="460"/>
      <c r="M729" s="22"/>
      <c r="N729" s="461"/>
      <c r="O729" s="260"/>
      <c r="P729" s="258"/>
      <c r="Q729" s="22"/>
      <c r="R729" s="22"/>
      <c r="S729" s="115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15"/>
    </row>
    <row r="730" ht="15.75" customHeight="1">
      <c r="A730" s="114"/>
      <c r="B730" s="115"/>
      <c r="C730" s="115"/>
      <c r="D730" s="115"/>
      <c r="E730" s="115"/>
      <c r="F730" s="22"/>
      <c r="G730" s="22"/>
      <c r="H730" s="22"/>
      <c r="I730" s="258"/>
      <c r="J730" s="22"/>
      <c r="K730" s="22"/>
      <c r="L730" s="460"/>
      <c r="M730" s="22"/>
      <c r="N730" s="461"/>
      <c r="O730" s="260"/>
      <c r="P730" s="258"/>
      <c r="Q730" s="22"/>
      <c r="R730" s="22"/>
      <c r="S730" s="115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15"/>
    </row>
    <row r="731" ht="15.75" customHeight="1">
      <c r="A731" s="114"/>
      <c r="B731" s="115"/>
      <c r="C731" s="115"/>
      <c r="D731" s="115"/>
      <c r="E731" s="115"/>
      <c r="F731" s="22"/>
      <c r="G731" s="22"/>
      <c r="H731" s="22"/>
      <c r="I731" s="258"/>
      <c r="J731" s="22"/>
      <c r="K731" s="22"/>
      <c r="L731" s="460"/>
      <c r="M731" s="22"/>
      <c r="N731" s="461"/>
      <c r="O731" s="260"/>
      <c r="P731" s="258"/>
      <c r="Q731" s="22"/>
      <c r="R731" s="22"/>
      <c r="S731" s="115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15"/>
    </row>
    <row r="732" ht="15.75" customHeight="1">
      <c r="A732" s="114"/>
      <c r="B732" s="115"/>
      <c r="C732" s="115"/>
      <c r="D732" s="115"/>
      <c r="E732" s="115"/>
      <c r="F732" s="22"/>
      <c r="G732" s="22"/>
      <c r="H732" s="22"/>
      <c r="I732" s="258"/>
      <c r="J732" s="22"/>
      <c r="K732" s="22"/>
      <c r="L732" s="460"/>
      <c r="M732" s="22"/>
      <c r="N732" s="461"/>
      <c r="O732" s="260"/>
      <c r="P732" s="258"/>
      <c r="Q732" s="22"/>
      <c r="R732" s="22"/>
      <c r="S732" s="115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15"/>
    </row>
    <row r="733" ht="15.75" customHeight="1">
      <c r="A733" s="114"/>
      <c r="B733" s="115"/>
      <c r="C733" s="115"/>
      <c r="D733" s="115"/>
      <c r="E733" s="115"/>
      <c r="F733" s="22"/>
      <c r="G733" s="22"/>
      <c r="H733" s="22"/>
      <c r="I733" s="258"/>
      <c r="J733" s="22"/>
      <c r="K733" s="22"/>
      <c r="L733" s="460"/>
      <c r="M733" s="22"/>
      <c r="N733" s="461"/>
      <c r="O733" s="260"/>
      <c r="P733" s="258"/>
      <c r="Q733" s="22"/>
      <c r="R733" s="22"/>
      <c r="S733" s="115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15"/>
    </row>
    <row r="734" ht="15.75" customHeight="1">
      <c r="A734" s="114"/>
      <c r="B734" s="115"/>
      <c r="C734" s="115"/>
      <c r="D734" s="115"/>
      <c r="E734" s="115"/>
      <c r="F734" s="22"/>
      <c r="G734" s="22"/>
      <c r="H734" s="22"/>
      <c r="I734" s="258"/>
      <c r="J734" s="22"/>
      <c r="K734" s="22"/>
      <c r="L734" s="460"/>
      <c r="M734" s="22"/>
      <c r="N734" s="461"/>
      <c r="O734" s="260"/>
      <c r="P734" s="258"/>
      <c r="Q734" s="22"/>
      <c r="R734" s="22"/>
      <c r="S734" s="115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15"/>
    </row>
    <row r="735" ht="15.75" customHeight="1">
      <c r="A735" s="114"/>
      <c r="B735" s="115"/>
      <c r="C735" s="115"/>
      <c r="D735" s="115"/>
      <c r="E735" s="115"/>
      <c r="F735" s="22"/>
      <c r="G735" s="22"/>
      <c r="H735" s="22"/>
      <c r="I735" s="258"/>
      <c r="J735" s="22"/>
      <c r="K735" s="22"/>
      <c r="L735" s="460"/>
      <c r="M735" s="22"/>
      <c r="N735" s="461"/>
      <c r="O735" s="260"/>
      <c r="P735" s="258"/>
      <c r="Q735" s="22"/>
      <c r="R735" s="22"/>
      <c r="S735" s="115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15"/>
    </row>
    <row r="736" ht="15.75" customHeight="1">
      <c r="A736" s="114"/>
      <c r="B736" s="115"/>
      <c r="C736" s="115"/>
      <c r="D736" s="115"/>
      <c r="E736" s="115"/>
      <c r="F736" s="22"/>
      <c r="G736" s="22"/>
      <c r="H736" s="22"/>
      <c r="I736" s="258"/>
      <c r="J736" s="22"/>
      <c r="K736" s="22"/>
      <c r="L736" s="460"/>
      <c r="M736" s="22"/>
      <c r="N736" s="461"/>
      <c r="O736" s="260"/>
      <c r="P736" s="258"/>
      <c r="Q736" s="22"/>
      <c r="R736" s="22"/>
      <c r="S736" s="115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15"/>
    </row>
    <row r="737" ht="15.75" customHeight="1">
      <c r="A737" s="114"/>
      <c r="B737" s="115"/>
      <c r="C737" s="115"/>
      <c r="D737" s="115"/>
      <c r="E737" s="115"/>
      <c r="F737" s="22"/>
      <c r="G737" s="22"/>
      <c r="H737" s="22"/>
      <c r="I737" s="258"/>
      <c r="J737" s="22"/>
      <c r="K737" s="22"/>
      <c r="L737" s="460"/>
      <c r="M737" s="22"/>
      <c r="N737" s="461"/>
      <c r="O737" s="260"/>
      <c r="P737" s="258"/>
      <c r="Q737" s="22"/>
      <c r="R737" s="22"/>
      <c r="S737" s="115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15"/>
    </row>
    <row r="738" ht="15.75" customHeight="1">
      <c r="A738" s="114"/>
      <c r="B738" s="115"/>
      <c r="C738" s="115"/>
      <c r="D738" s="115"/>
      <c r="E738" s="115"/>
      <c r="F738" s="22"/>
      <c r="G738" s="22"/>
      <c r="H738" s="22"/>
      <c r="I738" s="258"/>
      <c r="J738" s="22"/>
      <c r="K738" s="22"/>
      <c r="L738" s="460"/>
      <c r="M738" s="22"/>
      <c r="N738" s="461"/>
      <c r="O738" s="260"/>
      <c r="P738" s="258"/>
      <c r="Q738" s="22"/>
      <c r="R738" s="22"/>
      <c r="S738" s="115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15"/>
    </row>
    <row r="739" ht="15.75" customHeight="1">
      <c r="A739" s="114"/>
      <c r="B739" s="115"/>
      <c r="C739" s="115"/>
      <c r="D739" s="115"/>
      <c r="E739" s="115"/>
      <c r="F739" s="22"/>
      <c r="G739" s="22"/>
      <c r="H739" s="22"/>
      <c r="I739" s="258"/>
      <c r="J739" s="22"/>
      <c r="K739" s="22"/>
      <c r="L739" s="460"/>
      <c r="M739" s="22"/>
      <c r="N739" s="461"/>
      <c r="O739" s="260"/>
      <c r="P739" s="258"/>
      <c r="Q739" s="22"/>
      <c r="R739" s="22"/>
      <c r="S739" s="115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15"/>
    </row>
    <row r="740" ht="15.75" customHeight="1">
      <c r="A740" s="114"/>
      <c r="B740" s="115"/>
      <c r="C740" s="115"/>
      <c r="D740" s="115"/>
      <c r="E740" s="115"/>
      <c r="F740" s="22"/>
      <c r="G740" s="22"/>
      <c r="H740" s="22"/>
      <c r="I740" s="258"/>
      <c r="J740" s="22"/>
      <c r="K740" s="22"/>
      <c r="L740" s="460"/>
      <c r="M740" s="22"/>
      <c r="N740" s="461"/>
      <c r="O740" s="260"/>
      <c r="P740" s="258"/>
      <c r="Q740" s="22"/>
      <c r="R740" s="22"/>
      <c r="S740" s="115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15"/>
    </row>
    <row r="741" ht="15.75" customHeight="1">
      <c r="A741" s="114"/>
      <c r="B741" s="115"/>
      <c r="C741" s="115"/>
      <c r="D741" s="115"/>
      <c r="E741" s="115"/>
      <c r="F741" s="22"/>
      <c r="G741" s="22"/>
      <c r="H741" s="22"/>
      <c r="I741" s="258"/>
      <c r="J741" s="22"/>
      <c r="K741" s="22"/>
      <c r="L741" s="460"/>
      <c r="M741" s="22"/>
      <c r="N741" s="461"/>
      <c r="O741" s="260"/>
      <c r="P741" s="258"/>
      <c r="Q741" s="22"/>
      <c r="R741" s="22"/>
      <c r="S741" s="115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15"/>
    </row>
    <row r="742" ht="15.75" customHeight="1">
      <c r="A742" s="114"/>
      <c r="B742" s="115"/>
      <c r="C742" s="115"/>
      <c r="D742" s="115"/>
      <c r="E742" s="115"/>
      <c r="F742" s="22"/>
      <c r="G742" s="22"/>
      <c r="H742" s="22"/>
      <c r="I742" s="258"/>
      <c r="J742" s="22"/>
      <c r="K742" s="22"/>
      <c r="L742" s="460"/>
      <c r="M742" s="22"/>
      <c r="N742" s="461"/>
      <c r="O742" s="260"/>
      <c r="P742" s="258"/>
      <c r="Q742" s="22"/>
      <c r="R742" s="22"/>
      <c r="S742" s="115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15"/>
    </row>
    <row r="743" ht="15.75" customHeight="1">
      <c r="A743" s="114"/>
      <c r="B743" s="115"/>
      <c r="C743" s="115"/>
      <c r="D743" s="115"/>
      <c r="E743" s="115"/>
      <c r="F743" s="22"/>
      <c r="G743" s="22"/>
      <c r="H743" s="22"/>
      <c r="I743" s="258"/>
      <c r="J743" s="22"/>
      <c r="K743" s="22"/>
      <c r="L743" s="460"/>
      <c r="M743" s="22"/>
      <c r="N743" s="461"/>
      <c r="O743" s="260"/>
      <c r="P743" s="258"/>
      <c r="Q743" s="22"/>
      <c r="R743" s="22"/>
      <c r="S743" s="115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15"/>
    </row>
    <row r="744" ht="15.75" customHeight="1">
      <c r="A744" s="114"/>
      <c r="B744" s="115"/>
      <c r="C744" s="115"/>
      <c r="D744" s="115"/>
      <c r="E744" s="115"/>
      <c r="F744" s="22"/>
      <c r="G744" s="22"/>
      <c r="H744" s="22"/>
      <c r="I744" s="258"/>
      <c r="J744" s="22"/>
      <c r="K744" s="22"/>
      <c r="L744" s="460"/>
      <c r="M744" s="22"/>
      <c r="N744" s="461"/>
      <c r="O744" s="260"/>
      <c r="P744" s="258"/>
      <c r="Q744" s="22"/>
      <c r="R744" s="22"/>
      <c r="S744" s="115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15"/>
    </row>
    <row r="745" ht="15.75" customHeight="1">
      <c r="A745" s="114"/>
      <c r="B745" s="115"/>
      <c r="C745" s="115"/>
      <c r="D745" s="115"/>
      <c r="E745" s="115"/>
      <c r="F745" s="22"/>
      <c r="G745" s="22"/>
      <c r="H745" s="22"/>
      <c r="I745" s="258"/>
      <c r="J745" s="22"/>
      <c r="K745" s="22"/>
      <c r="L745" s="460"/>
      <c r="M745" s="22"/>
      <c r="N745" s="461"/>
      <c r="O745" s="260"/>
      <c r="P745" s="258"/>
      <c r="Q745" s="22"/>
      <c r="R745" s="22"/>
      <c r="S745" s="115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15"/>
    </row>
    <row r="746" ht="15.75" customHeight="1">
      <c r="A746" s="114"/>
      <c r="B746" s="115"/>
      <c r="C746" s="115"/>
      <c r="D746" s="115"/>
      <c r="E746" s="115"/>
      <c r="F746" s="22"/>
      <c r="G746" s="22"/>
      <c r="H746" s="22"/>
      <c r="I746" s="258"/>
      <c r="J746" s="22"/>
      <c r="K746" s="22"/>
      <c r="L746" s="460"/>
      <c r="M746" s="22"/>
      <c r="N746" s="461"/>
      <c r="O746" s="260"/>
      <c r="P746" s="258"/>
      <c r="Q746" s="22"/>
      <c r="R746" s="22"/>
      <c r="S746" s="115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15"/>
    </row>
    <row r="747" ht="15.75" customHeight="1">
      <c r="A747" s="114"/>
      <c r="B747" s="115"/>
      <c r="C747" s="115"/>
      <c r="D747" s="115"/>
      <c r="E747" s="115"/>
      <c r="F747" s="22"/>
      <c r="G747" s="22"/>
      <c r="H747" s="22"/>
      <c r="I747" s="258"/>
      <c r="J747" s="22"/>
      <c r="K747" s="22"/>
      <c r="L747" s="460"/>
      <c r="M747" s="22"/>
      <c r="N747" s="461"/>
      <c r="O747" s="260"/>
      <c r="P747" s="258"/>
      <c r="Q747" s="22"/>
      <c r="R747" s="22"/>
      <c r="S747" s="115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15"/>
    </row>
    <row r="748" ht="15.75" customHeight="1">
      <c r="A748" s="114"/>
      <c r="B748" s="115"/>
      <c r="C748" s="115"/>
      <c r="D748" s="115"/>
      <c r="E748" s="115"/>
      <c r="F748" s="22"/>
      <c r="G748" s="22"/>
      <c r="H748" s="22"/>
      <c r="I748" s="258"/>
      <c r="J748" s="22"/>
      <c r="K748" s="22"/>
      <c r="L748" s="460"/>
      <c r="M748" s="22"/>
      <c r="N748" s="461"/>
      <c r="O748" s="260"/>
      <c r="P748" s="258"/>
      <c r="Q748" s="22"/>
      <c r="R748" s="22"/>
      <c r="S748" s="115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15"/>
    </row>
    <row r="749" ht="15.75" customHeight="1">
      <c r="A749" s="114"/>
      <c r="B749" s="115"/>
      <c r="C749" s="115"/>
      <c r="D749" s="115"/>
      <c r="E749" s="115"/>
      <c r="F749" s="22"/>
      <c r="G749" s="22"/>
      <c r="H749" s="22"/>
      <c r="I749" s="258"/>
      <c r="J749" s="22"/>
      <c r="K749" s="22"/>
      <c r="L749" s="460"/>
      <c r="M749" s="22"/>
      <c r="N749" s="461"/>
      <c r="O749" s="260"/>
      <c r="P749" s="258"/>
      <c r="Q749" s="22"/>
      <c r="R749" s="22"/>
      <c r="S749" s="115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15"/>
    </row>
    <row r="750" ht="15.75" customHeight="1">
      <c r="A750" s="114"/>
      <c r="B750" s="115"/>
      <c r="C750" s="115"/>
      <c r="D750" s="115"/>
      <c r="E750" s="115"/>
      <c r="F750" s="22"/>
      <c r="G750" s="22"/>
      <c r="H750" s="22"/>
      <c r="I750" s="258"/>
      <c r="J750" s="22"/>
      <c r="K750" s="22"/>
      <c r="L750" s="460"/>
      <c r="M750" s="22"/>
      <c r="N750" s="461"/>
      <c r="O750" s="260"/>
      <c r="P750" s="258"/>
      <c r="Q750" s="22"/>
      <c r="R750" s="22"/>
      <c r="S750" s="115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15"/>
    </row>
    <row r="751" ht="15.75" customHeight="1">
      <c r="A751" s="114"/>
      <c r="B751" s="115"/>
      <c r="C751" s="115"/>
      <c r="D751" s="115"/>
      <c r="E751" s="115"/>
      <c r="F751" s="22"/>
      <c r="G751" s="22"/>
      <c r="H751" s="22"/>
      <c r="I751" s="258"/>
      <c r="J751" s="22"/>
      <c r="K751" s="22"/>
      <c r="L751" s="460"/>
      <c r="M751" s="22"/>
      <c r="N751" s="461"/>
      <c r="O751" s="260"/>
      <c r="P751" s="258"/>
      <c r="Q751" s="22"/>
      <c r="R751" s="22"/>
      <c r="S751" s="115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15"/>
    </row>
    <row r="752" ht="15.75" customHeight="1">
      <c r="A752" s="114"/>
      <c r="B752" s="115"/>
      <c r="C752" s="115"/>
      <c r="D752" s="115"/>
      <c r="E752" s="115"/>
      <c r="F752" s="22"/>
      <c r="G752" s="22"/>
      <c r="H752" s="22"/>
      <c r="I752" s="258"/>
      <c r="J752" s="22"/>
      <c r="K752" s="22"/>
      <c r="L752" s="460"/>
      <c r="M752" s="22"/>
      <c r="N752" s="461"/>
      <c r="O752" s="260"/>
      <c r="P752" s="258"/>
      <c r="Q752" s="22"/>
      <c r="R752" s="22"/>
      <c r="S752" s="115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15"/>
    </row>
    <row r="753" ht="15.75" customHeight="1">
      <c r="A753" s="114"/>
      <c r="B753" s="115"/>
      <c r="C753" s="115"/>
      <c r="D753" s="115"/>
      <c r="E753" s="115"/>
      <c r="F753" s="22"/>
      <c r="G753" s="22"/>
      <c r="H753" s="22"/>
      <c r="I753" s="258"/>
      <c r="J753" s="22"/>
      <c r="K753" s="22"/>
      <c r="L753" s="460"/>
      <c r="M753" s="22"/>
      <c r="N753" s="461"/>
      <c r="O753" s="260"/>
      <c r="P753" s="258"/>
      <c r="Q753" s="22"/>
      <c r="R753" s="22"/>
      <c r="S753" s="115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15"/>
    </row>
    <row r="754" ht="15.75" customHeight="1">
      <c r="A754" s="114"/>
      <c r="B754" s="115"/>
      <c r="C754" s="115"/>
      <c r="D754" s="115"/>
      <c r="E754" s="115"/>
      <c r="F754" s="22"/>
      <c r="G754" s="22"/>
      <c r="H754" s="22"/>
      <c r="I754" s="258"/>
      <c r="J754" s="22"/>
      <c r="K754" s="22"/>
      <c r="L754" s="460"/>
      <c r="M754" s="22"/>
      <c r="N754" s="461"/>
      <c r="O754" s="260"/>
      <c r="P754" s="258"/>
      <c r="Q754" s="22"/>
      <c r="R754" s="22"/>
      <c r="S754" s="115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15"/>
    </row>
    <row r="755" ht="15.75" customHeight="1">
      <c r="A755" s="114"/>
      <c r="B755" s="115"/>
      <c r="C755" s="115"/>
      <c r="D755" s="115"/>
      <c r="E755" s="115"/>
      <c r="F755" s="22"/>
      <c r="G755" s="22"/>
      <c r="H755" s="22"/>
      <c r="I755" s="258"/>
      <c r="J755" s="22"/>
      <c r="K755" s="22"/>
      <c r="L755" s="460"/>
      <c r="M755" s="22"/>
      <c r="N755" s="461"/>
      <c r="O755" s="260"/>
      <c r="P755" s="258"/>
      <c r="Q755" s="22"/>
      <c r="R755" s="22"/>
      <c r="S755" s="115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15"/>
    </row>
    <row r="756" ht="15.75" customHeight="1">
      <c r="A756" s="114"/>
      <c r="B756" s="115"/>
      <c r="C756" s="115"/>
      <c r="D756" s="115"/>
      <c r="E756" s="115"/>
      <c r="F756" s="22"/>
      <c r="G756" s="22"/>
      <c r="H756" s="22"/>
      <c r="I756" s="258"/>
      <c r="J756" s="22"/>
      <c r="K756" s="22"/>
      <c r="L756" s="460"/>
      <c r="M756" s="22"/>
      <c r="N756" s="461"/>
      <c r="O756" s="260"/>
      <c r="P756" s="258"/>
      <c r="Q756" s="22"/>
      <c r="R756" s="22"/>
      <c r="S756" s="115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15"/>
    </row>
    <row r="757" ht="15.75" customHeight="1">
      <c r="A757" s="114"/>
      <c r="B757" s="115"/>
      <c r="C757" s="115"/>
      <c r="D757" s="115"/>
      <c r="E757" s="115"/>
      <c r="F757" s="22"/>
      <c r="G757" s="22"/>
      <c r="H757" s="22"/>
      <c r="I757" s="258"/>
      <c r="J757" s="22"/>
      <c r="K757" s="22"/>
      <c r="L757" s="460"/>
      <c r="M757" s="22"/>
      <c r="N757" s="461"/>
      <c r="O757" s="260"/>
      <c r="P757" s="258"/>
      <c r="Q757" s="22"/>
      <c r="R757" s="22"/>
      <c r="S757" s="115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15"/>
    </row>
    <row r="758" ht="15.75" customHeight="1">
      <c r="A758" s="114"/>
      <c r="B758" s="115"/>
      <c r="C758" s="115"/>
      <c r="D758" s="115"/>
      <c r="E758" s="115"/>
      <c r="F758" s="22"/>
      <c r="G758" s="22"/>
      <c r="H758" s="22"/>
      <c r="I758" s="258"/>
      <c r="J758" s="22"/>
      <c r="K758" s="22"/>
      <c r="L758" s="460"/>
      <c r="M758" s="22"/>
      <c r="N758" s="461"/>
      <c r="O758" s="260"/>
      <c r="P758" s="258"/>
      <c r="Q758" s="22"/>
      <c r="R758" s="22"/>
      <c r="S758" s="115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15"/>
    </row>
    <row r="759" ht="15.75" customHeight="1">
      <c r="A759" s="114"/>
      <c r="B759" s="115"/>
      <c r="C759" s="115"/>
      <c r="D759" s="115"/>
      <c r="E759" s="115"/>
      <c r="F759" s="22"/>
      <c r="G759" s="22"/>
      <c r="H759" s="22"/>
      <c r="I759" s="258"/>
      <c r="J759" s="22"/>
      <c r="K759" s="22"/>
      <c r="L759" s="460"/>
      <c r="M759" s="22"/>
      <c r="N759" s="461"/>
      <c r="O759" s="260"/>
      <c r="P759" s="258"/>
      <c r="Q759" s="22"/>
      <c r="R759" s="22"/>
      <c r="S759" s="115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15"/>
    </row>
    <row r="760" ht="15.75" customHeight="1">
      <c r="A760" s="114"/>
      <c r="B760" s="115"/>
      <c r="C760" s="115"/>
      <c r="D760" s="115"/>
      <c r="E760" s="115"/>
      <c r="F760" s="22"/>
      <c r="G760" s="22"/>
      <c r="H760" s="22"/>
      <c r="I760" s="258"/>
      <c r="J760" s="22"/>
      <c r="K760" s="22"/>
      <c r="L760" s="460"/>
      <c r="M760" s="22"/>
      <c r="N760" s="461"/>
      <c r="O760" s="260"/>
      <c r="P760" s="258"/>
      <c r="Q760" s="22"/>
      <c r="R760" s="22"/>
      <c r="S760" s="115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15"/>
    </row>
    <row r="761" ht="15.75" customHeight="1">
      <c r="A761" s="114"/>
      <c r="B761" s="115"/>
      <c r="C761" s="115"/>
      <c r="D761" s="115"/>
      <c r="E761" s="115"/>
      <c r="F761" s="22"/>
      <c r="G761" s="22"/>
      <c r="H761" s="22"/>
      <c r="I761" s="258"/>
      <c r="J761" s="22"/>
      <c r="K761" s="22"/>
      <c r="L761" s="460"/>
      <c r="M761" s="22"/>
      <c r="N761" s="461"/>
      <c r="O761" s="260"/>
      <c r="P761" s="258"/>
      <c r="Q761" s="22"/>
      <c r="R761" s="22"/>
      <c r="S761" s="115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15"/>
    </row>
    <row r="762" ht="15.75" customHeight="1">
      <c r="A762" s="114"/>
      <c r="B762" s="115"/>
      <c r="C762" s="115"/>
      <c r="D762" s="115"/>
      <c r="E762" s="115"/>
      <c r="F762" s="22"/>
      <c r="G762" s="22"/>
      <c r="H762" s="22"/>
      <c r="I762" s="258"/>
      <c r="J762" s="22"/>
      <c r="K762" s="22"/>
      <c r="L762" s="460"/>
      <c r="M762" s="22"/>
      <c r="N762" s="461"/>
      <c r="O762" s="260"/>
      <c r="P762" s="258"/>
      <c r="Q762" s="22"/>
      <c r="R762" s="22"/>
      <c r="S762" s="115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15"/>
    </row>
    <row r="763" ht="15.75" customHeight="1">
      <c r="A763" s="114"/>
      <c r="B763" s="115"/>
      <c r="C763" s="115"/>
      <c r="D763" s="115"/>
      <c r="E763" s="115"/>
      <c r="F763" s="22"/>
      <c r="G763" s="22"/>
      <c r="H763" s="22"/>
      <c r="I763" s="258"/>
      <c r="J763" s="22"/>
      <c r="K763" s="22"/>
      <c r="L763" s="460"/>
      <c r="M763" s="22"/>
      <c r="N763" s="461"/>
      <c r="O763" s="260"/>
      <c r="P763" s="258"/>
      <c r="Q763" s="22"/>
      <c r="R763" s="22"/>
      <c r="S763" s="115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15"/>
    </row>
    <row r="764" ht="15.75" customHeight="1">
      <c r="A764" s="114"/>
      <c r="B764" s="115"/>
      <c r="C764" s="115"/>
      <c r="D764" s="115"/>
      <c r="E764" s="115"/>
      <c r="F764" s="22"/>
      <c r="G764" s="22"/>
      <c r="H764" s="22"/>
      <c r="I764" s="258"/>
      <c r="J764" s="22"/>
      <c r="K764" s="22"/>
      <c r="L764" s="460"/>
      <c r="M764" s="22"/>
      <c r="N764" s="461"/>
      <c r="O764" s="260"/>
      <c r="P764" s="258"/>
      <c r="Q764" s="22"/>
      <c r="R764" s="22"/>
      <c r="S764" s="115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15"/>
    </row>
    <row r="765" ht="15.75" customHeight="1">
      <c r="A765" s="114"/>
      <c r="B765" s="115"/>
      <c r="C765" s="115"/>
      <c r="D765" s="115"/>
      <c r="E765" s="115"/>
      <c r="F765" s="22"/>
      <c r="G765" s="22"/>
      <c r="H765" s="22"/>
      <c r="I765" s="258"/>
      <c r="J765" s="22"/>
      <c r="K765" s="22"/>
      <c r="L765" s="460"/>
      <c r="M765" s="22"/>
      <c r="N765" s="461"/>
      <c r="O765" s="260"/>
      <c r="P765" s="258"/>
      <c r="Q765" s="22"/>
      <c r="R765" s="22"/>
      <c r="S765" s="115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15"/>
    </row>
    <row r="766" ht="15.75" customHeight="1">
      <c r="A766" s="114"/>
      <c r="B766" s="115"/>
      <c r="C766" s="115"/>
      <c r="D766" s="115"/>
      <c r="E766" s="115"/>
      <c r="F766" s="22"/>
      <c r="G766" s="22"/>
      <c r="H766" s="22"/>
      <c r="I766" s="258"/>
      <c r="J766" s="22"/>
      <c r="K766" s="22"/>
      <c r="L766" s="460"/>
      <c r="M766" s="22"/>
      <c r="N766" s="461"/>
      <c r="O766" s="260"/>
      <c r="P766" s="258"/>
      <c r="Q766" s="22"/>
      <c r="R766" s="22"/>
      <c r="S766" s="115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15"/>
    </row>
    <row r="767" ht="15.75" customHeight="1">
      <c r="A767" s="114"/>
      <c r="B767" s="115"/>
      <c r="C767" s="115"/>
      <c r="D767" s="115"/>
      <c r="E767" s="115"/>
      <c r="F767" s="22"/>
      <c r="G767" s="22"/>
      <c r="H767" s="22"/>
      <c r="I767" s="258"/>
      <c r="J767" s="22"/>
      <c r="K767" s="22"/>
      <c r="L767" s="460"/>
      <c r="M767" s="22"/>
      <c r="N767" s="461"/>
      <c r="O767" s="260"/>
      <c r="P767" s="258"/>
      <c r="Q767" s="22"/>
      <c r="R767" s="22"/>
      <c r="S767" s="115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15"/>
    </row>
    <row r="768" ht="15.75" customHeight="1">
      <c r="A768" s="114"/>
      <c r="B768" s="115"/>
      <c r="C768" s="115"/>
      <c r="D768" s="115"/>
      <c r="E768" s="115"/>
      <c r="F768" s="22"/>
      <c r="G768" s="22"/>
      <c r="H768" s="22"/>
      <c r="I768" s="258"/>
      <c r="J768" s="22"/>
      <c r="K768" s="22"/>
      <c r="L768" s="460"/>
      <c r="M768" s="22"/>
      <c r="N768" s="461"/>
      <c r="O768" s="260"/>
      <c r="P768" s="258"/>
      <c r="Q768" s="22"/>
      <c r="R768" s="22"/>
      <c r="S768" s="115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15"/>
    </row>
    <row r="769" ht="15.75" customHeight="1">
      <c r="A769" s="114"/>
      <c r="B769" s="115"/>
      <c r="C769" s="115"/>
      <c r="D769" s="115"/>
      <c r="E769" s="115"/>
      <c r="F769" s="22"/>
      <c r="G769" s="22"/>
      <c r="H769" s="22"/>
      <c r="I769" s="258"/>
      <c r="J769" s="22"/>
      <c r="K769" s="22"/>
      <c r="L769" s="460"/>
      <c r="M769" s="22"/>
      <c r="N769" s="461"/>
      <c r="O769" s="260"/>
      <c r="P769" s="258"/>
      <c r="Q769" s="22"/>
      <c r="R769" s="22"/>
      <c r="S769" s="115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15"/>
    </row>
    <row r="770" ht="15.75" customHeight="1">
      <c r="A770" s="114"/>
      <c r="B770" s="115"/>
      <c r="C770" s="115"/>
      <c r="D770" s="115"/>
      <c r="E770" s="115"/>
      <c r="F770" s="22"/>
      <c r="G770" s="22"/>
      <c r="H770" s="22"/>
      <c r="I770" s="258"/>
      <c r="J770" s="22"/>
      <c r="K770" s="22"/>
      <c r="L770" s="460"/>
      <c r="M770" s="22"/>
      <c r="N770" s="461"/>
      <c r="O770" s="260"/>
      <c r="P770" s="258"/>
      <c r="Q770" s="22"/>
      <c r="R770" s="22"/>
      <c r="S770" s="115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15"/>
    </row>
    <row r="771" ht="15.75" customHeight="1">
      <c r="A771" s="114"/>
      <c r="B771" s="115"/>
      <c r="C771" s="115"/>
      <c r="D771" s="115"/>
      <c r="E771" s="115"/>
      <c r="F771" s="22"/>
      <c r="G771" s="22"/>
      <c r="H771" s="22"/>
      <c r="I771" s="258"/>
      <c r="J771" s="22"/>
      <c r="K771" s="22"/>
      <c r="L771" s="460"/>
      <c r="M771" s="22"/>
      <c r="N771" s="461"/>
      <c r="O771" s="260"/>
      <c r="P771" s="258"/>
      <c r="Q771" s="22"/>
      <c r="R771" s="22"/>
      <c r="S771" s="115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15"/>
    </row>
    <row r="772" ht="15.75" customHeight="1">
      <c r="A772" s="114"/>
      <c r="B772" s="115"/>
      <c r="C772" s="115"/>
      <c r="D772" s="115"/>
      <c r="E772" s="115"/>
      <c r="F772" s="22"/>
      <c r="G772" s="22"/>
      <c r="H772" s="22"/>
      <c r="I772" s="258"/>
      <c r="J772" s="22"/>
      <c r="K772" s="22"/>
      <c r="L772" s="460"/>
      <c r="M772" s="22"/>
      <c r="N772" s="461"/>
      <c r="O772" s="260"/>
      <c r="P772" s="258"/>
      <c r="Q772" s="22"/>
      <c r="R772" s="22"/>
      <c r="S772" s="115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15"/>
    </row>
    <row r="773" ht="15.75" customHeight="1">
      <c r="A773" s="114"/>
      <c r="B773" s="115"/>
      <c r="C773" s="115"/>
      <c r="D773" s="115"/>
      <c r="E773" s="115"/>
      <c r="F773" s="22"/>
      <c r="G773" s="22"/>
      <c r="H773" s="22"/>
      <c r="I773" s="258"/>
      <c r="J773" s="22"/>
      <c r="K773" s="22"/>
      <c r="L773" s="460"/>
      <c r="M773" s="22"/>
      <c r="N773" s="461"/>
      <c r="O773" s="260"/>
      <c r="P773" s="258"/>
      <c r="Q773" s="22"/>
      <c r="R773" s="22"/>
      <c r="S773" s="115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15"/>
    </row>
    <row r="774" ht="15.75" customHeight="1">
      <c r="A774" s="114"/>
      <c r="B774" s="115"/>
      <c r="C774" s="115"/>
      <c r="D774" s="115"/>
      <c r="E774" s="115"/>
      <c r="F774" s="22"/>
      <c r="G774" s="22"/>
      <c r="H774" s="22"/>
      <c r="I774" s="258"/>
      <c r="J774" s="22"/>
      <c r="K774" s="22"/>
      <c r="L774" s="460"/>
      <c r="M774" s="22"/>
      <c r="N774" s="461"/>
      <c r="O774" s="260"/>
      <c r="P774" s="258"/>
      <c r="Q774" s="22"/>
      <c r="R774" s="22"/>
      <c r="S774" s="115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15"/>
    </row>
    <row r="775" ht="15.75" customHeight="1">
      <c r="A775" s="114"/>
      <c r="B775" s="115"/>
      <c r="C775" s="115"/>
      <c r="D775" s="115"/>
      <c r="E775" s="115"/>
      <c r="F775" s="22"/>
      <c r="G775" s="22"/>
      <c r="H775" s="22"/>
      <c r="I775" s="258"/>
      <c r="J775" s="22"/>
      <c r="K775" s="22"/>
      <c r="L775" s="460"/>
      <c r="M775" s="22"/>
      <c r="N775" s="461"/>
      <c r="O775" s="260"/>
      <c r="P775" s="258"/>
      <c r="Q775" s="22"/>
      <c r="R775" s="22"/>
      <c r="S775" s="115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15"/>
    </row>
    <row r="776" ht="15.75" customHeight="1">
      <c r="A776" s="114"/>
      <c r="B776" s="115"/>
      <c r="C776" s="115"/>
      <c r="D776" s="115"/>
      <c r="E776" s="115"/>
      <c r="F776" s="22"/>
      <c r="G776" s="22"/>
      <c r="H776" s="22"/>
      <c r="I776" s="258"/>
      <c r="J776" s="22"/>
      <c r="K776" s="22"/>
      <c r="L776" s="460"/>
      <c r="M776" s="22"/>
      <c r="N776" s="461"/>
      <c r="O776" s="260"/>
      <c r="P776" s="258"/>
      <c r="Q776" s="22"/>
      <c r="R776" s="22"/>
      <c r="S776" s="115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15"/>
    </row>
    <row r="777" ht="15.75" customHeight="1">
      <c r="A777" s="114"/>
      <c r="B777" s="115"/>
      <c r="C777" s="115"/>
      <c r="D777" s="115"/>
      <c r="E777" s="115"/>
      <c r="F777" s="22"/>
      <c r="G777" s="22"/>
      <c r="H777" s="22"/>
      <c r="I777" s="258"/>
      <c r="J777" s="22"/>
      <c r="K777" s="22"/>
      <c r="L777" s="460"/>
      <c r="M777" s="22"/>
      <c r="N777" s="461"/>
      <c r="O777" s="260"/>
      <c r="P777" s="258"/>
      <c r="Q777" s="22"/>
      <c r="R777" s="22"/>
      <c r="S777" s="115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15"/>
    </row>
    <row r="778" ht="15.75" customHeight="1">
      <c r="A778" s="114"/>
      <c r="B778" s="115"/>
      <c r="C778" s="115"/>
      <c r="D778" s="115"/>
      <c r="E778" s="115"/>
      <c r="F778" s="22"/>
      <c r="G778" s="22"/>
      <c r="H778" s="22"/>
      <c r="I778" s="258"/>
      <c r="J778" s="22"/>
      <c r="K778" s="22"/>
      <c r="L778" s="460"/>
      <c r="M778" s="22"/>
      <c r="N778" s="461"/>
      <c r="O778" s="260"/>
      <c r="P778" s="258"/>
      <c r="Q778" s="22"/>
      <c r="R778" s="22"/>
      <c r="S778" s="115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15"/>
    </row>
    <row r="779" ht="15.75" customHeight="1">
      <c r="A779" s="114"/>
      <c r="B779" s="115"/>
      <c r="C779" s="115"/>
      <c r="D779" s="115"/>
      <c r="E779" s="115"/>
      <c r="F779" s="22"/>
      <c r="G779" s="22"/>
      <c r="H779" s="22"/>
      <c r="I779" s="258"/>
      <c r="J779" s="22"/>
      <c r="K779" s="22"/>
      <c r="L779" s="460"/>
      <c r="M779" s="22"/>
      <c r="N779" s="461"/>
      <c r="O779" s="260"/>
      <c r="P779" s="258"/>
      <c r="Q779" s="22"/>
      <c r="R779" s="22"/>
      <c r="S779" s="115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15"/>
    </row>
    <row r="780" ht="15.75" customHeight="1">
      <c r="A780" s="114"/>
      <c r="B780" s="115"/>
      <c r="C780" s="115"/>
      <c r="D780" s="115"/>
      <c r="E780" s="115"/>
      <c r="F780" s="22"/>
      <c r="G780" s="22"/>
      <c r="H780" s="22"/>
      <c r="I780" s="258"/>
      <c r="J780" s="22"/>
      <c r="K780" s="22"/>
      <c r="L780" s="460"/>
      <c r="M780" s="22"/>
      <c r="N780" s="461"/>
      <c r="O780" s="260"/>
      <c r="P780" s="258"/>
      <c r="Q780" s="22"/>
      <c r="R780" s="22"/>
      <c r="S780" s="115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15"/>
    </row>
    <row r="781" ht="15.75" customHeight="1">
      <c r="A781" s="114"/>
      <c r="B781" s="115"/>
      <c r="C781" s="115"/>
      <c r="D781" s="115"/>
      <c r="E781" s="115"/>
      <c r="F781" s="22"/>
      <c r="G781" s="22"/>
      <c r="H781" s="22"/>
      <c r="I781" s="258"/>
      <c r="J781" s="22"/>
      <c r="K781" s="22"/>
      <c r="L781" s="460"/>
      <c r="M781" s="22"/>
      <c r="N781" s="461"/>
      <c r="O781" s="260"/>
      <c r="P781" s="258"/>
      <c r="Q781" s="22"/>
      <c r="R781" s="22"/>
      <c r="S781" s="115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15"/>
    </row>
    <row r="782" ht="15.75" customHeight="1">
      <c r="A782" s="114"/>
      <c r="B782" s="115"/>
      <c r="C782" s="115"/>
      <c r="D782" s="115"/>
      <c r="E782" s="115"/>
      <c r="F782" s="22"/>
      <c r="G782" s="22"/>
      <c r="H782" s="22"/>
      <c r="I782" s="258"/>
      <c r="J782" s="22"/>
      <c r="K782" s="22"/>
      <c r="L782" s="460"/>
      <c r="M782" s="22"/>
      <c r="N782" s="461"/>
      <c r="O782" s="260"/>
      <c r="P782" s="258"/>
      <c r="Q782" s="22"/>
      <c r="R782" s="22"/>
      <c r="S782" s="115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15"/>
    </row>
    <row r="783" ht="15.75" customHeight="1">
      <c r="A783" s="114"/>
      <c r="B783" s="115"/>
      <c r="C783" s="115"/>
      <c r="D783" s="115"/>
      <c r="E783" s="115"/>
      <c r="F783" s="22"/>
      <c r="G783" s="22"/>
      <c r="H783" s="22"/>
      <c r="I783" s="258"/>
      <c r="J783" s="22"/>
      <c r="K783" s="22"/>
      <c r="L783" s="460"/>
      <c r="M783" s="22"/>
      <c r="N783" s="461"/>
      <c r="O783" s="260"/>
      <c r="P783" s="258"/>
      <c r="Q783" s="22"/>
      <c r="R783" s="22"/>
      <c r="S783" s="115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15"/>
    </row>
    <row r="784" ht="15.75" customHeight="1">
      <c r="A784" s="114"/>
      <c r="B784" s="115"/>
      <c r="C784" s="115"/>
      <c r="D784" s="115"/>
      <c r="E784" s="115"/>
      <c r="F784" s="22"/>
      <c r="G784" s="22"/>
      <c r="H784" s="22"/>
      <c r="I784" s="258"/>
      <c r="J784" s="22"/>
      <c r="K784" s="22"/>
      <c r="L784" s="460"/>
      <c r="M784" s="22"/>
      <c r="N784" s="461"/>
      <c r="O784" s="260"/>
      <c r="P784" s="258"/>
      <c r="Q784" s="22"/>
      <c r="R784" s="22"/>
      <c r="S784" s="115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15"/>
    </row>
    <row r="785" ht="15.75" customHeight="1">
      <c r="A785" s="114"/>
      <c r="B785" s="115"/>
      <c r="C785" s="115"/>
      <c r="D785" s="115"/>
      <c r="E785" s="115"/>
      <c r="F785" s="22"/>
      <c r="G785" s="22"/>
      <c r="H785" s="22"/>
      <c r="I785" s="258"/>
      <c r="J785" s="22"/>
      <c r="K785" s="22"/>
      <c r="L785" s="460"/>
      <c r="M785" s="22"/>
      <c r="N785" s="461"/>
      <c r="O785" s="260"/>
      <c r="P785" s="258"/>
      <c r="Q785" s="22"/>
      <c r="R785" s="22"/>
      <c r="S785" s="115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15"/>
    </row>
    <row r="786" ht="15.75" customHeight="1">
      <c r="A786" s="114"/>
      <c r="B786" s="115"/>
      <c r="C786" s="115"/>
      <c r="D786" s="115"/>
      <c r="E786" s="115"/>
      <c r="F786" s="22"/>
      <c r="G786" s="22"/>
      <c r="H786" s="22"/>
      <c r="I786" s="258"/>
      <c r="J786" s="22"/>
      <c r="K786" s="22"/>
      <c r="L786" s="460"/>
      <c r="M786" s="22"/>
      <c r="N786" s="461"/>
      <c r="O786" s="260"/>
      <c r="P786" s="258"/>
      <c r="Q786" s="22"/>
      <c r="R786" s="22"/>
      <c r="S786" s="115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15"/>
    </row>
    <row r="787" ht="15.75" customHeight="1">
      <c r="A787" s="114"/>
      <c r="B787" s="115"/>
      <c r="C787" s="115"/>
      <c r="D787" s="115"/>
      <c r="E787" s="115"/>
      <c r="F787" s="22"/>
      <c r="G787" s="22"/>
      <c r="H787" s="22"/>
      <c r="I787" s="258"/>
      <c r="J787" s="22"/>
      <c r="K787" s="22"/>
      <c r="L787" s="460"/>
      <c r="M787" s="22"/>
      <c r="N787" s="461"/>
      <c r="O787" s="260"/>
      <c r="P787" s="258"/>
      <c r="Q787" s="22"/>
      <c r="R787" s="22"/>
      <c r="S787" s="115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15"/>
    </row>
    <row r="788" ht="15.75" customHeight="1">
      <c r="A788" s="114"/>
      <c r="B788" s="115"/>
      <c r="C788" s="115"/>
      <c r="D788" s="115"/>
      <c r="E788" s="115"/>
      <c r="F788" s="22"/>
      <c r="G788" s="22"/>
      <c r="H788" s="22"/>
      <c r="I788" s="258"/>
      <c r="J788" s="22"/>
      <c r="K788" s="22"/>
      <c r="L788" s="460"/>
      <c r="M788" s="22"/>
      <c r="N788" s="461"/>
      <c r="O788" s="260"/>
      <c r="P788" s="258"/>
      <c r="Q788" s="22"/>
      <c r="R788" s="22"/>
      <c r="S788" s="115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15"/>
    </row>
    <row r="789" ht="15.75" customHeight="1">
      <c r="A789" s="114"/>
      <c r="B789" s="115"/>
      <c r="C789" s="115"/>
      <c r="D789" s="115"/>
      <c r="E789" s="115"/>
      <c r="F789" s="22"/>
      <c r="G789" s="22"/>
      <c r="H789" s="22"/>
      <c r="I789" s="258"/>
      <c r="J789" s="22"/>
      <c r="K789" s="22"/>
      <c r="L789" s="460"/>
      <c r="M789" s="22"/>
      <c r="N789" s="461"/>
      <c r="O789" s="260"/>
      <c r="P789" s="258"/>
      <c r="Q789" s="22"/>
      <c r="R789" s="22"/>
      <c r="S789" s="115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15"/>
    </row>
    <row r="790" ht="15.75" customHeight="1">
      <c r="A790" s="114"/>
      <c r="B790" s="115"/>
      <c r="C790" s="115"/>
      <c r="D790" s="115"/>
      <c r="E790" s="115"/>
      <c r="F790" s="22"/>
      <c r="G790" s="22"/>
      <c r="H790" s="22"/>
      <c r="I790" s="258"/>
      <c r="J790" s="22"/>
      <c r="K790" s="22"/>
      <c r="L790" s="460"/>
      <c r="M790" s="22"/>
      <c r="N790" s="461"/>
      <c r="O790" s="260"/>
      <c r="P790" s="258"/>
      <c r="Q790" s="22"/>
      <c r="R790" s="22"/>
      <c r="S790" s="115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15"/>
    </row>
    <row r="791" ht="15.75" customHeight="1">
      <c r="A791" s="114"/>
      <c r="B791" s="115"/>
      <c r="C791" s="115"/>
      <c r="D791" s="115"/>
      <c r="E791" s="115"/>
      <c r="F791" s="22"/>
      <c r="G791" s="22"/>
      <c r="H791" s="22"/>
      <c r="I791" s="258"/>
      <c r="J791" s="22"/>
      <c r="K791" s="22"/>
      <c r="L791" s="460"/>
      <c r="M791" s="22"/>
      <c r="N791" s="461"/>
      <c r="O791" s="260"/>
      <c r="P791" s="258"/>
      <c r="Q791" s="22"/>
      <c r="R791" s="22"/>
      <c r="S791" s="115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15"/>
    </row>
    <row r="792" ht="15.75" customHeight="1">
      <c r="A792" s="114"/>
      <c r="B792" s="115"/>
      <c r="C792" s="115"/>
      <c r="D792" s="115"/>
      <c r="E792" s="115"/>
      <c r="F792" s="22"/>
      <c r="G792" s="22"/>
      <c r="H792" s="22"/>
      <c r="I792" s="258"/>
      <c r="J792" s="22"/>
      <c r="K792" s="22"/>
      <c r="L792" s="460"/>
      <c r="M792" s="22"/>
      <c r="N792" s="461"/>
      <c r="O792" s="260"/>
      <c r="P792" s="258"/>
      <c r="Q792" s="22"/>
      <c r="R792" s="22"/>
      <c r="S792" s="115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15"/>
    </row>
    <row r="793" ht="15.75" customHeight="1">
      <c r="A793" s="114"/>
      <c r="B793" s="115"/>
      <c r="C793" s="115"/>
      <c r="D793" s="115"/>
      <c r="E793" s="115"/>
      <c r="F793" s="22"/>
      <c r="G793" s="22"/>
      <c r="H793" s="22"/>
      <c r="I793" s="258"/>
      <c r="J793" s="22"/>
      <c r="K793" s="22"/>
      <c r="L793" s="460"/>
      <c r="M793" s="22"/>
      <c r="N793" s="461"/>
      <c r="O793" s="260"/>
      <c r="P793" s="258"/>
      <c r="Q793" s="22"/>
      <c r="R793" s="22"/>
      <c r="S793" s="115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15"/>
    </row>
    <row r="794" ht="15.75" customHeight="1">
      <c r="A794" s="114"/>
      <c r="B794" s="115"/>
      <c r="C794" s="115"/>
      <c r="D794" s="115"/>
      <c r="E794" s="115"/>
      <c r="F794" s="22"/>
      <c r="G794" s="22"/>
      <c r="H794" s="22"/>
      <c r="I794" s="258"/>
      <c r="J794" s="22"/>
      <c r="K794" s="22"/>
      <c r="L794" s="460"/>
      <c r="M794" s="22"/>
      <c r="N794" s="461"/>
      <c r="O794" s="260"/>
      <c r="P794" s="258"/>
      <c r="Q794" s="22"/>
      <c r="R794" s="22"/>
      <c r="S794" s="115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15"/>
    </row>
    <row r="795" ht="15.75" customHeight="1">
      <c r="A795" s="114"/>
      <c r="B795" s="115"/>
      <c r="C795" s="115"/>
      <c r="D795" s="115"/>
      <c r="E795" s="115"/>
      <c r="F795" s="22"/>
      <c r="G795" s="22"/>
      <c r="H795" s="22"/>
      <c r="I795" s="258"/>
      <c r="J795" s="22"/>
      <c r="K795" s="22"/>
      <c r="L795" s="460"/>
      <c r="M795" s="22"/>
      <c r="N795" s="461"/>
      <c r="O795" s="260"/>
      <c r="P795" s="258"/>
      <c r="Q795" s="22"/>
      <c r="R795" s="22"/>
      <c r="S795" s="115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15"/>
    </row>
    <row r="796" ht="15.75" customHeight="1">
      <c r="A796" s="114"/>
      <c r="B796" s="115"/>
      <c r="C796" s="115"/>
      <c r="D796" s="115"/>
      <c r="E796" s="115"/>
      <c r="F796" s="22"/>
      <c r="G796" s="22"/>
      <c r="H796" s="22"/>
      <c r="I796" s="258"/>
      <c r="J796" s="22"/>
      <c r="K796" s="22"/>
      <c r="L796" s="460"/>
      <c r="M796" s="22"/>
      <c r="N796" s="461"/>
      <c r="O796" s="260"/>
      <c r="P796" s="258"/>
      <c r="Q796" s="22"/>
      <c r="R796" s="22"/>
      <c r="S796" s="115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15"/>
    </row>
    <row r="797" ht="15.75" customHeight="1">
      <c r="A797" s="114"/>
      <c r="B797" s="115"/>
      <c r="C797" s="115"/>
      <c r="D797" s="115"/>
      <c r="E797" s="115"/>
      <c r="F797" s="22"/>
      <c r="G797" s="22"/>
      <c r="H797" s="22"/>
      <c r="I797" s="258"/>
      <c r="J797" s="22"/>
      <c r="K797" s="22"/>
      <c r="L797" s="460"/>
      <c r="M797" s="22"/>
      <c r="N797" s="461"/>
      <c r="O797" s="260"/>
      <c r="P797" s="258"/>
      <c r="Q797" s="22"/>
      <c r="R797" s="22"/>
      <c r="S797" s="115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15"/>
    </row>
    <row r="798" ht="15.75" customHeight="1">
      <c r="A798" s="114"/>
      <c r="B798" s="115"/>
      <c r="C798" s="115"/>
      <c r="D798" s="115"/>
      <c r="E798" s="115"/>
      <c r="F798" s="22"/>
      <c r="G798" s="22"/>
      <c r="H798" s="22"/>
      <c r="I798" s="258"/>
      <c r="J798" s="22"/>
      <c r="K798" s="22"/>
      <c r="L798" s="460"/>
      <c r="M798" s="22"/>
      <c r="N798" s="461"/>
      <c r="O798" s="260"/>
      <c r="P798" s="258"/>
      <c r="Q798" s="22"/>
      <c r="R798" s="22"/>
      <c r="S798" s="115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15"/>
    </row>
    <row r="799" ht="15.75" customHeight="1">
      <c r="A799" s="114"/>
      <c r="B799" s="115"/>
      <c r="C799" s="115"/>
      <c r="D799" s="115"/>
      <c r="E799" s="115"/>
      <c r="F799" s="22"/>
      <c r="G799" s="22"/>
      <c r="H799" s="22"/>
      <c r="I799" s="258"/>
      <c r="J799" s="22"/>
      <c r="K799" s="22"/>
      <c r="L799" s="460"/>
      <c r="M799" s="22"/>
      <c r="N799" s="461"/>
      <c r="O799" s="260"/>
      <c r="P799" s="258"/>
      <c r="Q799" s="22"/>
      <c r="R799" s="22"/>
      <c r="S799" s="115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15"/>
    </row>
    <row r="800" ht="15.75" customHeight="1">
      <c r="A800" s="114"/>
      <c r="B800" s="115"/>
      <c r="C800" s="115"/>
      <c r="D800" s="115"/>
      <c r="E800" s="115"/>
      <c r="F800" s="22"/>
      <c r="G800" s="22"/>
      <c r="H800" s="22"/>
      <c r="I800" s="258"/>
      <c r="J800" s="22"/>
      <c r="K800" s="22"/>
      <c r="L800" s="460"/>
      <c r="M800" s="22"/>
      <c r="N800" s="461"/>
      <c r="O800" s="260"/>
      <c r="P800" s="258"/>
      <c r="Q800" s="22"/>
      <c r="R800" s="22"/>
      <c r="S800" s="115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15"/>
    </row>
    <row r="801" ht="15.75" customHeight="1">
      <c r="A801" s="114"/>
      <c r="B801" s="115"/>
      <c r="C801" s="115"/>
      <c r="D801" s="115"/>
      <c r="E801" s="115"/>
      <c r="F801" s="22"/>
      <c r="G801" s="22"/>
      <c r="H801" s="22"/>
      <c r="I801" s="258"/>
      <c r="J801" s="22"/>
      <c r="K801" s="22"/>
      <c r="L801" s="460"/>
      <c r="M801" s="22"/>
      <c r="N801" s="461"/>
      <c r="O801" s="260"/>
      <c r="P801" s="258"/>
      <c r="Q801" s="22"/>
      <c r="R801" s="22"/>
      <c r="S801" s="115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15"/>
    </row>
    <row r="802" ht="15.75" customHeight="1">
      <c r="A802" s="114"/>
      <c r="B802" s="115"/>
      <c r="C802" s="115"/>
      <c r="D802" s="115"/>
      <c r="E802" s="115"/>
      <c r="F802" s="22"/>
      <c r="G802" s="22"/>
      <c r="H802" s="22"/>
      <c r="I802" s="258"/>
      <c r="J802" s="22"/>
      <c r="K802" s="22"/>
      <c r="L802" s="460"/>
      <c r="M802" s="22"/>
      <c r="N802" s="461"/>
      <c r="O802" s="260"/>
      <c r="P802" s="258"/>
      <c r="Q802" s="22"/>
      <c r="R802" s="22"/>
      <c r="S802" s="115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15"/>
    </row>
    <row r="803" ht="15.75" customHeight="1">
      <c r="A803" s="114"/>
      <c r="B803" s="115"/>
      <c r="C803" s="115"/>
      <c r="D803" s="115"/>
      <c r="E803" s="115"/>
      <c r="F803" s="22"/>
      <c r="G803" s="22"/>
      <c r="H803" s="22"/>
      <c r="I803" s="258"/>
      <c r="J803" s="22"/>
      <c r="K803" s="22"/>
      <c r="L803" s="460"/>
      <c r="M803" s="22"/>
      <c r="N803" s="461"/>
      <c r="O803" s="260"/>
      <c r="P803" s="258"/>
      <c r="Q803" s="22"/>
      <c r="R803" s="22"/>
      <c r="S803" s="115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15"/>
    </row>
    <row r="804" ht="15.75" customHeight="1">
      <c r="A804" s="114"/>
      <c r="B804" s="115"/>
      <c r="C804" s="115"/>
      <c r="D804" s="115"/>
      <c r="E804" s="115"/>
      <c r="F804" s="22"/>
      <c r="G804" s="22"/>
      <c r="H804" s="22"/>
      <c r="I804" s="258"/>
      <c r="J804" s="22"/>
      <c r="K804" s="22"/>
      <c r="L804" s="460"/>
      <c r="M804" s="22"/>
      <c r="N804" s="461"/>
      <c r="O804" s="260"/>
      <c r="P804" s="258"/>
      <c r="Q804" s="22"/>
      <c r="R804" s="22"/>
      <c r="S804" s="115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15"/>
    </row>
    <row r="805" ht="15.75" customHeight="1">
      <c r="A805" s="114"/>
      <c r="B805" s="115"/>
      <c r="C805" s="115"/>
      <c r="D805" s="115"/>
      <c r="E805" s="115"/>
      <c r="F805" s="22"/>
      <c r="G805" s="22"/>
      <c r="H805" s="22"/>
      <c r="I805" s="258"/>
      <c r="J805" s="22"/>
      <c r="K805" s="22"/>
      <c r="L805" s="460"/>
      <c r="M805" s="22"/>
      <c r="N805" s="461"/>
      <c r="O805" s="260"/>
      <c r="P805" s="258"/>
      <c r="Q805" s="22"/>
      <c r="R805" s="22"/>
      <c r="S805" s="115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15"/>
    </row>
    <row r="806" ht="15.75" customHeight="1">
      <c r="A806" s="114"/>
      <c r="B806" s="115"/>
      <c r="C806" s="115"/>
      <c r="D806" s="115"/>
      <c r="E806" s="115"/>
      <c r="F806" s="22"/>
      <c r="G806" s="22"/>
      <c r="H806" s="22"/>
      <c r="I806" s="258"/>
      <c r="J806" s="22"/>
      <c r="K806" s="22"/>
      <c r="L806" s="460"/>
      <c r="M806" s="22"/>
      <c r="N806" s="461"/>
      <c r="O806" s="260"/>
      <c r="P806" s="258"/>
      <c r="Q806" s="22"/>
      <c r="R806" s="22"/>
      <c r="S806" s="115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15"/>
    </row>
    <row r="807" ht="15.75" customHeight="1">
      <c r="A807" s="114"/>
      <c r="B807" s="115"/>
      <c r="C807" s="115"/>
      <c r="D807" s="115"/>
      <c r="E807" s="115"/>
      <c r="F807" s="22"/>
      <c r="G807" s="22"/>
      <c r="H807" s="22"/>
      <c r="I807" s="258"/>
      <c r="J807" s="22"/>
      <c r="K807" s="22"/>
      <c r="L807" s="460"/>
      <c r="M807" s="22"/>
      <c r="N807" s="461"/>
      <c r="O807" s="260"/>
      <c r="P807" s="258"/>
      <c r="Q807" s="22"/>
      <c r="R807" s="22"/>
      <c r="S807" s="115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15"/>
    </row>
    <row r="808" ht="15.75" customHeight="1">
      <c r="A808" s="114"/>
      <c r="B808" s="115"/>
      <c r="C808" s="115"/>
      <c r="D808" s="115"/>
      <c r="E808" s="115"/>
      <c r="F808" s="22"/>
      <c r="G808" s="22"/>
      <c r="H808" s="22"/>
      <c r="I808" s="258"/>
      <c r="J808" s="22"/>
      <c r="K808" s="22"/>
      <c r="L808" s="460"/>
      <c r="M808" s="22"/>
      <c r="N808" s="461"/>
      <c r="O808" s="260"/>
      <c r="P808" s="258"/>
      <c r="Q808" s="22"/>
      <c r="R808" s="22"/>
      <c r="S808" s="115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15"/>
    </row>
    <row r="809" ht="15.75" customHeight="1">
      <c r="A809" s="114"/>
      <c r="B809" s="115"/>
      <c r="C809" s="115"/>
      <c r="D809" s="115"/>
      <c r="E809" s="115"/>
      <c r="F809" s="22"/>
      <c r="G809" s="22"/>
      <c r="H809" s="22"/>
      <c r="I809" s="258"/>
      <c r="J809" s="22"/>
      <c r="K809" s="22"/>
      <c r="L809" s="460"/>
      <c r="M809" s="22"/>
      <c r="N809" s="461"/>
      <c r="O809" s="260"/>
      <c r="P809" s="258"/>
      <c r="Q809" s="22"/>
      <c r="R809" s="22"/>
      <c r="S809" s="115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15"/>
    </row>
    <row r="810" ht="15.75" customHeight="1">
      <c r="A810" s="114"/>
      <c r="B810" s="115"/>
      <c r="C810" s="115"/>
      <c r="D810" s="115"/>
      <c r="E810" s="115"/>
      <c r="F810" s="22"/>
      <c r="G810" s="22"/>
      <c r="H810" s="22"/>
      <c r="I810" s="258"/>
      <c r="J810" s="22"/>
      <c r="K810" s="22"/>
      <c r="L810" s="460"/>
      <c r="M810" s="22"/>
      <c r="N810" s="461"/>
      <c r="O810" s="260"/>
      <c r="P810" s="258"/>
      <c r="Q810" s="22"/>
      <c r="R810" s="22"/>
      <c r="S810" s="115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15"/>
    </row>
    <row r="811" ht="15.75" customHeight="1">
      <c r="A811" s="114"/>
      <c r="B811" s="115"/>
      <c r="C811" s="115"/>
      <c r="D811" s="115"/>
      <c r="E811" s="115"/>
      <c r="F811" s="22"/>
      <c r="G811" s="22"/>
      <c r="H811" s="22"/>
      <c r="I811" s="258"/>
      <c r="J811" s="22"/>
      <c r="K811" s="22"/>
      <c r="L811" s="460"/>
      <c r="M811" s="22"/>
      <c r="N811" s="461"/>
      <c r="O811" s="260"/>
      <c r="P811" s="258"/>
      <c r="Q811" s="22"/>
      <c r="R811" s="22"/>
      <c r="S811" s="115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15"/>
    </row>
    <row r="812" ht="15.75" customHeight="1">
      <c r="A812" s="114"/>
      <c r="B812" s="115"/>
      <c r="C812" s="115"/>
      <c r="D812" s="115"/>
      <c r="E812" s="115"/>
      <c r="F812" s="22"/>
      <c r="G812" s="22"/>
      <c r="H812" s="22"/>
      <c r="I812" s="258"/>
      <c r="J812" s="22"/>
      <c r="K812" s="22"/>
      <c r="L812" s="460"/>
      <c r="M812" s="22"/>
      <c r="N812" s="461"/>
      <c r="O812" s="260"/>
      <c r="P812" s="258"/>
      <c r="Q812" s="22"/>
      <c r="R812" s="22"/>
      <c r="S812" s="115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15"/>
    </row>
    <row r="813" ht="15.75" customHeight="1">
      <c r="A813" s="114"/>
      <c r="B813" s="115"/>
      <c r="C813" s="115"/>
      <c r="D813" s="115"/>
      <c r="E813" s="115"/>
      <c r="F813" s="22"/>
      <c r="G813" s="22"/>
      <c r="H813" s="22"/>
      <c r="I813" s="258"/>
      <c r="J813" s="22"/>
      <c r="K813" s="22"/>
      <c r="L813" s="460"/>
      <c r="M813" s="22"/>
      <c r="N813" s="461"/>
      <c r="O813" s="260"/>
      <c r="P813" s="258"/>
      <c r="Q813" s="22"/>
      <c r="R813" s="22"/>
      <c r="S813" s="115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15"/>
    </row>
    <row r="814" ht="15.75" customHeight="1">
      <c r="A814" s="114"/>
      <c r="B814" s="115"/>
      <c r="C814" s="115"/>
      <c r="D814" s="115"/>
      <c r="E814" s="115"/>
      <c r="F814" s="22"/>
      <c r="G814" s="22"/>
      <c r="H814" s="22"/>
      <c r="I814" s="258"/>
      <c r="J814" s="22"/>
      <c r="K814" s="22"/>
      <c r="L814" s="460"/>
      <c r="M814" s="22"/>
      <c r="N814" s="461"/>
      <c r="O814" s="260"/>
      <c r="P814" s="258"/>
      <c r="Q814" s="22"/>
      <c r="R814" s="22"/>
      <c r="S814" s="115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15"/>
    </row>
    <row r="815" ht="15.75" customHeight="1">
      <c r="A815" s="114"/>
      <c r="B815" s="115"/>
      <c r="C815" s="115"/>
      <c r="D815" s="115"/>
      <c r="E815" s="115"/>
      <c r="F815" s="22"/>
      <c r="G815" s="22"/>
      <c r="H815" s="22"/>
      <c r="I815" s="258"/>
      <c r="J815" s="22"/>
      <c r="K815" s="22"/>
      <c r="L815" s="460"/>
      <c r="M815" s="22"/>
      <c r="N815" s="461"/>
      <c r="O815" s="260"/>
      <c r="P815" s="258"/>
      <c r="Q815" s="22"/>
      <c r="R815" s="22"/>
      <c r="S815" s="115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15"/>
    </row>
    <row r="816" ht="15.75" customHeight="1">
      <c r="A816" s="114"/>
      <c r="B816" s="115"/>
      <c r="C816" s="115"/>
      <c r="D816" s="115"/>
      <c r="E816" s="115"/>
      <c r="F816" s="22"/>
      <c r="G816" s="22"/>
      <c r="H816" s="22"/>
      <c r="I816" s="258"/>
      <c r="J816" s="22"/>
      <c r="K816" s="22"/>
      <c r="L816" s="460"/>
      <c r="M816" s="22"/>
      <c r="N816" s="461"/>
      <c r="O816" s="260"/>
      <c r="P816" s="258"/>
      <c r="Q816" s="22"/>
      <c r="R816" s="22"/>
      <c r="S816" s="115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15"/>
    </row>
    <row r="817" ht="15.75" customHeight="1">
      <c r="A817" s="114"/>
      <c r="B817" s="115"/>
      <c r="C817" s="115"/>
      <c r="D817" s="115"/>
      <c r="E817" s="115"/>
      <c r="F817" s="22"/>
      <c r="G817" s="22"/>
      <c r="H817" s="22"/>
      <c r="I817" s="258"/>
      <c r="J817" s="22"/>
      <c r="K817" s="22"/>
      <c r="L817" s="460"/>
      <c r="M817" s="22"/>
      <c r="N817" s="461"/>
      <c r="O817" s="260"/>
      <c r="P817" s="258"/>
      <c r="Q817" s="22"/>
      <c r="R817" s="22"/>
      <c r="S817" s="115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15"/>
    </row>
    <row r="818" ht="15.75" customHeight="1">
      <c r="A818" s="114"/>
      <c r="B818" s="115"/>
      <c r="C818" s="115"/>
      <c r="D818" s="115"/>
      <c r="E818" s="115"/>
      <c r="F818" s="22"/>
      <c r="G818" s="22"/>
      <c r="H818" s="22"/>
      <c r="I818" s="258"/>
      <c r="J818" s="22"/>
      <c r="K818" s="22"/>
      <c r="L818" s="460"/>
      <c r="M818" s="22"/>
      <c r="N818" s="461"/>
      <c r="O818" s="260"/>
      <c r="P818" s="258"/>
      <c r="Q818" s="22"/>
      <c r="R818" s="22"/>
      <c r="S818" s="115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15"/>
    </row>
    <row r="819" ht="15.75" customHeight="1">
      <c r="A819" s="114"/>
      <c r="B819" s="115"/>
      <c r="C819" s="115"/>
      <c r="D819" s="115"/>
      <c r="E819" s="115"/>
      <c r="F819" s="22"/>
      <c r="G819" s="22"/>
      <c r="H819" s="22"/>
      <c r="I819" s="258"/>
      <c r="J819" s="22"/>
      <c r="K819" s="22"/>
      <c r="L819" s="460"/>
      <c r="M819" s="22"/>
      <c r="N819" s="461"/>
      <c r="O819" s="260"/>
      <c r="P819" s="258"/>
      <c r="Q819" s="22"/>
      <c r="R819" s="22"/>
      <c r="S819" s="115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15"/>
    </row>
    <row r="820" ht="15.75" customHeight="1">
      <c r="A820" s="114"/>
      <c r="B820" s="115"/>
      <c r="C820" s="115"/>
      <c r="D820" s="115"/>
      <c r="E820" s="115"/>
      <c r="F820" s="22"/>
      <c r="G820" s="22"/>
      <c r="H820" s="22"/>
      <c r="I820" s="258"/>
      <c r="J820" s="22"/>
      <c r="K820" s="22"/>
      <c r="L820" s="460"/>
      <c r="M820" s="22"/>
      <c r="N820" s="461"/>
      <c r="O820" s="260"/>
      <c r="P820" s="258"/>
      <c r="Q820" s="22"/>
      <c r="R820" s="22"/>
      <c r="S820" s="115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15"/>
    </row>
    <row r="821" ht="15.75" customHeight="1">
      <c r="A821" s="114"/>
      <c r="B821" s="115"/>
      <c r="C821" s="115"/>
      <c r="D821" s="115"/>
      <c r="E821" s="115"/>
      <c r="F821" s="22"/>
      <c r="G821" s="22"/>
      <c r="H821" s="22"/>
      <c r="I821" s="258"/>
      <c r="J821" s="22"/>
      <c r="K821" s="22"/>
      <c r="L821" s="460"/>
      <c r="M821" s="22"/>
      <c r="N821" s="461"/>
      <c r="O821" s="260"/>
      <c r="P821" s="258"/>
      <c r="Q821" s="22"/>
      <c r="R821" s="22"/>
      <c r="S821" s="115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15"/>
    </row>
    <row r="822" ht="15.75" customHeight="1">
      <c r="A822" s="114"/>
      <c r="B822" s="115"/>
      <c r="C822" s="115"/>
      <c r="D822" s="115"/>
      <c r="E822" s="115"/>
      <c r="F822" s="22"/>
      <c r="G822" s="22"/>
      <c r="H822" s="22"/>
      <c r="I822" s="258"/>
      <c r="J822" s="22"/>
      <c r="K822" s="22"/>
      <c r="L822" s="460"/>
      <c r="M822" s="22"/>
      <c r="N822" s="461"/>
      <c r="O822" s="260"/>
      <c r="P822" s="258"/>
      <c r="Q822" s="22"/>
      <c r="R822" s="22"/>
      <c r="S822" s="115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15"/>
    </row>
    <row r="823" ht="15.75" customHeight="1">
      <c r="A823" s="114"/>
      <c r="B823" s="115"/>
      <c r="C823" s="115"/>
      <c r="D823" s="115"/>
      <c r="E823" s="115"/>
      <c r="F823" s="22"/>
      <c r="G823" s="22"/>
      <c r="H823" s="22"/>
      <c r="I823" s="258"/>
      <c r="J823" s="22"/>
      <c r="K823" s="22"/>
      <c r="L823" s="460"/>
      <c r="M823" s="22"/>
      <c r="N823" s="461"/>
      <c r="O823" s="260"/>
      <c r="P823" s="258"/>
      <c r="Q823" s="22"/>
      <c r="R823" s="22"/>
      <c r="S823" s="115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15"/>
    </row>
    <row r="824" ht="15.75" customHeight="1">
      <c r="A824" s="114"/>
      <c r="B824" s="115"/>
      <c r="C824" s="115"/>
      <c r="D824" s="115"/>
      <c r="E824" s="115"/>
      <c r="F824" s="22"/>
      <c r="G824" s="22"/>
      <c r="H824" s="22"/>
      <c r="I824" s="258"/>
      <c r="J824" s="22"/>
      <c r="K824" s="22"/>
      <c r="L824" s="460"/>
      <c r="M824" s="22"/>
      <c r="N824" s="461"/>
      <c r="O824" s="260"/>
      <c r="P824" s="258"/>
      <c r="Q824" s="22"/>
      <c r="R824" s="22"/>
      <c r="S824" s="115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15"/>
    </row>
    <row r="825" ht="15.75" customHeight="1">
      <c r="A825" s="114"/>
      <c r="B825" s="115"/>
      <c r="C825" s="115"/>
      <c r="D825" s="115"/>
      <c r="E825" s="115"/>
      <c r="F825" s="22"/>
      <c r="G825" s="22"/>
      <c r="H825" s="22"/>
      <c r="I825" s="258"/>
      <c r="J825" s="22"/>
      <c r="K825" s="22"/>
      <c r="L825" s="460"/>
      <c r="M825" s="22"/>
      <c r="N825" s="461"/>
      <c r="O825" s="260"/>
      <c r="P825" s="258"/>
      <c r="Q825" s="22"/>
      <c r="R825" s="22"/>
      <c r="S825" s="115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15"/>
    </row>
    <row r="826" ht="15.75" customHeight="1">
      <c r="A826" s="114"/>
      <c r="B826" s="115"/>
      <c r="C826" s="115"/>
      <c r="D826" s="115"/>
      <c r="E826" s="115"/>
      <c r="F826" s="22"/>
      <c r="G826" s="22"/>
      <c r="H826" s="22"/>
      <c r="I826" s="258"/>
      <c r="J826" s="22"/>
      <c r="K826" s="22"/>
      <c r="L826" s="460"/>
      <c r="M826" s="22"/>
      <c r="N826" s="461"/>
      <c r="O826" s="260"/>
      <c r="P826" s="258"/>
      <c r="Q826" s="22"/>
      <c r="R826" s="22"/>
      <c r="S826" s="115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15"/>
    </row>
    <row r="827" ht="15.75" customHeight="1">
      <c r="A827" s="114"/>
      <c r="B827" s="115"/>
      <c r="C827" s="115"/>
      <c r="D827" s="115"/>
      <c r="E827" s="115"/>
      <c r="F827" s="22"/>
      <c r="G827" s="22"/>
      <c r="H827" s="22"/>
      <c r="I827" s="258"/>
      <c r="J827" s="22"/>
      <c r="K827" s="22"/>
      <c r="L827" s="460"/>
      <c r="M827" s="22"/>
      <c r="N827" s="461"/>
      <c r="O827" s="260"/>
      <c r="P827" s="258"/>
      <c r="Q827" s="22"/>
      <c r="R827" s="22"/>
      <c r="S827" s="115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15"/>
    </row>
    <row r="828" ht="15.75" customHeight="1">
      <c r="A828" s="114"/>
      <c r="B828" s="115"/>
      <c r="C828" s="115"/>
      <c r="D828" s="115"/>
      <c r="E828" s="115"/>
      <c r="F828" s="22"/>
      <c r="G828" s="22"/>
      <c r="H828" s="22"/>
      <c r="I828" s="258"/>
      <c r="J828" s="22"/>
      <c r="K828" s="22"/>
      <c r="L828" s="460"/>
      <c r="M828" s="22"/>
      <c r="N828" s="461"/>
      <c r="O828" s="260"/>
      <c r="P828" s="258"/>
      <c r="Q828" s="22"/>
      <c r="R828" s="22"/>
      <c r="S828" s="115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15"/>
    </row>
    <row r="829" ht="15.75" customHeight="1">
      <c r="A829" s="114"/>
      <c r="B829" s="115"/>
      <c r="C829" s="115"/>
      <c r="D829" s="115"/>
      <c r="E829" s="115"/>
      <c r="F829" s="22"/>
      <c r="G829" s="22"/>
      <c r="H829" s="22"/>
      <c r="I829" s="258"/>
      <c r="J829" s="22"/>
      <c r="K829" s="22"/>
      <c r="L829" s="460"/>
      <c r="M829" s="22"/>
      <c r="N829" s="461"/>
      <c r="O829" s="260"/>
      <c r="P829" s="258"/>
      <c r="Q829" s="22"/>
      <c r="R829" s="22"/>
      <c r="S829" s="115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15"/>
    </row>
    <row r="830" ht="15.75" customHeight="1">
      <c r="A830" s="114"/>
      <c r="B830" s="115"/>
      <c r="C830" s="115"/>
      <c r="D830" s="115"/>
      <c r="E830" s="115"/>
      <c r="F830" s="22"/>
      <c r="G830" s="22"/>
      <c r="H830" s="22"/>
      <c r="I830" s="258"/>
      <c r="J830" s="22"/>
      <c r="K830" s="22"/>
      <c r="L830" s="460"/>
      <c r="M830" s="22"/>
      <c r="N830" s="461"/>
      <c r="O830" s="260"/>
      <c r="P830" s="258"/>
      <c r="Q830" s="22"/>
      <c r="R830" s="22"/>
      <c r="S830" s="115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15"/>
    </row>
    <row r="831" ht="15.75" customHeight="1">
      <c r="A831" s="114"/>
      <c r="B831" s="115"/>
      <c r="C831" s="115"/>
      <c r="D831" s="115"/>
      <c r="E831" s="115"/>
      <c r="F831" s="22"/>
      <c r="G831" s="22"/>
      <c r="H831" s="22"/>
      <c r="I831" s="258"/>
      <c r="J831" s="22"/>
      <c r="K831" s="22"/>
      <c r="L831" s="460"/>
      <c r="M831" s="22"/>
      <c r="N831" s="461"/>
      <c r="O831" s="260"/>
      <c r="P831" s="258"/>
      <c r="Q831" s="22"/>
      <c r="R831" s="22"/>
      <c r="S831" s="115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15"/>
    </row>
    <row r="832" ht="15.75" customHeight="1">
      <c r="A832" s="114"/>
      <c r="B832" s="115"/>
      <c r="C832" s="115"/>
      <c r="D832" s="115"/>
      <c r="E832" s="115"/>
      <c r="F832" s="22"/>
      <c r="G832" s="22"/>
      <c r="H832" s="22"/>
      <c r="I832" s="258"/>
      <c r="J832" s="22"/>
      <c r="K832" s="22"/>
      <c r="L832" s="460"/>
      <c r="M832" s="22"/>
      <c r="N832" s="461"/>
      <c r="O832" s="260"/>
      <c r="P832" s="258"/>
      <c r="Q832" s="22"/>
      <c r="R832" s="22"/>
      <c r="S832" s="115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15"/>
    </row>
    <row r="833" ht="15.75" customHeight="1">
      <c r="A833" s="114"/>
      <c r="B833" s="115"/>
      <c r="C833" s="115"/>
      <c r="D833" s="115"/>
      <c r="E833" s="115"/>
      <c r="F833" s="22"/>
      <c r="G833" s="22"/>
      <c r="H833" s="22"/>
      <c r="I833" s="258"/>
      <c r="J833" s="22"/>
      <c r="K833" s="22"/>
      <c r="L833" s="460"/>
      <c r="M833" s="22"/>
      <c r="N833" s="461"/>
      <c r="O833" s="260"/>
      <c r="P833" s="258"/>
      <c r="Q833" s="22"/>
      <c r="R833" s="22"/>
      <c r="S833" s="115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15"/>
    </row>
    <row r="834" ht="15.75" customHeight="1">
      <c r="A834" s="114"/>
      <c r="B834" s="115"/>
      <c r="C834" s="115"/>
      <c r="D834" s="115"/>
      <c r="E834" s="115"/>
      <c r="F834" s="22"/>
      <c r="G834" s="22"/>
      <c r="H834" s="22"/>
      <c r="I834" s="258"/>
      <c r="J834" s="22"/>
      <c r="K834" s="22"/>
      <c r="L834" s="460"/>
      <c r="M834" s="22"/>
      <c r="N834" s="461"/>
      <c r="O834" s="260"/>
      <c r="P834" s="258"/>
      <c r="Q834" s="22"/>
      <c r="R834" s="22"/>
      <c r="S834" s="115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15"/>
    </row>
    <row r="835" ht="15.75" customHeight="1">
      <c r="A835" s="114"/>
      <c r="B835" s="115"/>
      <c r="C835" s="115"/>
      <c r="D835" s="115"/>
      <c r="E835" s="115"/>
      <c r="F835" s="22"/>
      <c r="G835" s="22"/>
      <c r="H835" s="22"/>
      <c r="I835" s="258"/>
      <c r="J835" s="22"/>
      <c r="K835" s="22"/>
      <c r="L835" s="460"/>
      <c r="M835" s="22"/>
      <c r="N835" s="461"/>
      <c r="O835" s="260"/>
      <c r="P835" s="258"/>
      <c r="Q835" s="22"/>
      <c r="R835" s="22"/>
      <c r="S835" s="115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15"/>
    </row>
    <row r="836" ht="15.75" customHeight="1">
      <c r="A836" s="114"/>
      <c r="B836" s="115"/>
      <c r="C836" s="115"/>
      <c r="D836" s="115"/>
      <c r="E836" s="115"/>
      <c r="F836" s="22"/>
      <c r="G836" s="22"/>
      <c r="H836" s="22"/>
      <c r="I836" s="258"/>
      <c r="J836" s="22"/>
      <c r="K836" s="22"/>
      <c r="L836" s="460"/>
      <c r="M836" s="22"/>
      <c r="N836" s="461"/>
      <c r="O836" s="260"/>
      <c r="P836" s="258"/>
      <c r="Q836" s="22"/>
      <c r="R836" s="22"/>
      <c r="S836" s="115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15"/>
    </row>
    <row r="837" ht="15.75" customHeight="1">
      <c r="A837" s="114"/>
      <c r="B837" s="115"/>
      <c r="C837" s="115"/>
      <c r="D837" s="115"/>
      <c r="E837" s="115"/>
      <c r="F837" s="22"/>
      <c r="G837" s="22"/>
      <c r="H837" s="22"/>
      <c r="I837" s="258"/>
      <c r="J837" s="22"/>
      <c r="K837" s="22"/>
      <c r="L837" s="460"/>
      <c r="M837" s="22"/>
      <c r="N837" s="461"/>
      <c r="O837" s="260"/>
      <c r="P837" s="258"/>
      <c r="Q837" s="22"/>
      <c r="R837" s="22"/>
      <c r="S837" s="115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15"/>
    </row>
    <row r="838" ht="15.75" customHeight="1">
      <c r="A838" s="114"/>
      <c r="B838" s="115"/>
      <c r="C838" s="115"/>
      <c r="D838" s="115"/>
      <c r="E838" s="115"/>
      <c r="F838" s="22"/>
      <c r="G838" s="22"/>
      <c r="H838" s="22"/>
      <c r="I838" s="258"/>
      <c r="J838" s="22"/>
      <c r="K838" s="22"/>
      <c r="L838" s="460"/>
      <c r="M838" s="22"/>
      <c r="N838" s="461"/>
      <c r="O838" s="260"/>
      <c r="P838" s="258"/>
      <c r="Q838" s="22"/>
      <c r="R838" s="22"/>
      <c r="S838" s="115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15"/>
    </row>
    <row r="839" ht="15.75" customHeight="1">
      <c r="A839" s="114"/>
      <c r="B839" s="115"/>
      <c r="C839" s="115"/>
      <c r="D839" s="115"/>
      <c r="E839" s="115"/>
      <c r="F839" s="22"/>
      <c r="G839" s="22"/>
      <c r="H839" s="22"/>
      <c r="I839" s="258"/>
      <c r="J839" s="22"/>
      <c r="K839" s="22"/>
      <c r="L839" s="460"/>
      <c r="M839" s="22"/>
      <c r="N839" s="461"/>
      <c r="O839" s="260"/>
      <c r="P839" s="258"/>
      <c r="Q839" s="22"/>
      <c r="R839" s="22"/>
      <c r="S839" s="115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15"/>
    </row>
    <row r="840" ht="15.75" customHeight="1">
      <c r="A840" s="114"/>
      <c r="B840" s="115"/>
      <c r="C840" s="115"/>
      <c r="D840" s="115"/>
      <c r="E840" s="115"/>
      <c r="F840" s="22"/>
      <c r="G840" s="22"/>
      <c r="H840" s="22"/>
      <c r="I840" s="258"/>
      <c r="J840" s="22"/>
      <c r="K840" s="22"/>
      <c r="L840" s="460"/>
      <c r="M840" s="22"/>
      <c r="N840" s="461"/>
      <c r="O840" s="260"/>
      <c r="P840" s="258"/>
      <c r="Q840" s="22"/>
      <c r="R840" s="22"/>
      <c r="S840" s="115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15"/>
    </row>
    <row r="841" ht="15.75" customHeight="1">
      <c r="A841" s="114"/>
      <c r="B841" s="115"/>
      <c r="C841" s="115"/>
      <c r="D841" s="115"/>
      <c r="E841" s="115"/>
      <c r="F841" s="22"/>
      <c r="G841" s="22"/>
      <c r="H841" s="22"/>
      <c r="I841" s="258"/>
      <c r="J841" s="22"/>
      <c r="K841" s="22"/>
      <c r="L841" s="460"/>
      <c r="M841" s="22"/>
      <c r="N841" s="461"/>
      <c r="O841" s="260"/>
      <c r="P841" s="258"/>
      <c r="Q841" s="22"/>
      <c r="R841" s="22"/>
      <c r="S841" s="115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15"/>
    </row>
    <row r="842" ht="15.75" customHeight="1">
      <c r="A842" s="114"/>
      <c r="B842" s="115"/>
      <c r="C842" s="115"/>
      <c r="D842" s="115"/>
      <c r="E842" s="115"/>
      <c r="F842" s="22"/>
      <c r="G842" s="22"/>
      <c r="H842" s="22"/>
      <c r="I842" s="258"/>
      <c r="J842" s="22"/>
      <c r="K842" s="22"/>
      <c r="L842" s="460"/>
      <c r="M842" s="22"/>
      <c r="N842" s="461"/>
      <c r="O842" s="260"/>
      <c r="P842" s="258"/>
      <c r="Q842" s="22"/>
      <c r="R842" s="22"/>
      <c r="S842" s="115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15"/>
    </row>
    <row r="843" ht="15.75" customHeight="1">
      <c r="A843" s="114"/>
      <c r="B843" s="115"/>
      <c r="C843" s="115"/>
      <c r="D843" s="115"/>
      <c r="E843" s="115"/>
      <c r="F843" s="22"/>
      <c r="G843" s="22"/>
      <c r="H843" s="22"/>
      <c r="I843" s="258"/>
      <c r="J843" s="22"/>
      <c r="K843" s="22"/>
      <c r="L843" s="460"/>
      <c r="M843" s="22"/>
      <c r="N843" s="461"/>
      <c r="O843" s="260"/>
      <c r="P843" s="258"/>
      <c r="Q843" s="22"/>
      <c r="R843" s="22"/>
      <c r="S843" s="115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15"/>
    </row>
    <row r="844" ht="15.75" customHeight="1">
      <c r="A844" s="114"/>
      <c r="B844" s="115"/>
      <c r="C844" s="115"/>
      <c r="D844" s="115"/>
      <c r="E844" s="115"/>
      <c r="F844" s="22"/>
      <c r="G844" s="22"/>
      <c r="H844" s="22"/>
      <c r="I844" s="258"/>
      <c r="J844" s="22"/>
      <c r="K844" s="22"/>
      <c r="L844" s="460"/>
      <c r="M844" s="22"/>
      <c r="N844" s="461"/>
      <c r="O844" s="260"/>
      <c r="P844" s="258"/>
      <c r="Q844" s="22"/>
      <c r="R844" s="22"/>
      <c r="S844" s="115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15"/>
    </row>
    <row r="845" ht="15.75" customHeight="1">
      <c r="A845" s="114"/>
      <c r="B845" s="115"/>
      <c r="C845" s="115"/>
      <c r="D845" s="115"/>
      <c r="E845" s="115"/>
      <c r="F845" s="22"/>
      <c r="G845" s="22"/>
      <c r="H845" s="22"/>
      <c r="I845" s="258"/>
      <c r="J845" s="22"/>
      <c r="K845" s="22"/>
      <c r="L845" s="460"/>
      <c r="M845" s="22"/>
      <c r="N845" s="461"/>
      <c r="O845" s="260"/>
      <c r="P845" s="258"/>
      <c r="Q845" s="22"/>
      <c r="R845" s="22"/>
      <c r="S845" s="115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15"/>
    </row>
    <row r="846" ht="15.75" customHeight="1">
      <c r="A846" s="114"/>
      <c r="B846" s="115"/>
      <c r="C846" s="115"/>
      <c r="D846" s="115"/>
      <c r="E846" s="115"/>
      <c r="F846" s="22"/>
      <c r="G846" s="22"/>
      <c r="H846" s="22"/>
      <c r="I846" s="258"/>
      <c r="J846" s="22"/>
      <c r="K846" s="22"/>
      <c r="L846" s="460"/>
      <c r="M846" s="22"/>
      <c r="N846" s="461"/>
      <c r="O846" s="260"/>
      <c r="P846" s="258"/>
      <c r="Q846" s="22"/>
      <c r="R846" s="22"/>
      <c r="S846" s="115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15"/>
    </row>
    <row r="847" ht="15.75" customHeight="1">
      <c r="A847" s="114"/>
      <c r="B847" s="115"/>
      <c r="C847" s="115"/>
      <c r="D847" s="115"/>
      <c r="E847" s="115"/>
      <c r="F847" s="22"/>
      <c r="G847" s="22"/>
      <c r="H847" s="22"/>
      <c r="I847" s="258"/>
      <c r="J847" s="22"/>
      <c r="K847" s="22"/>
      <c r="L847" s="460"/>
      <c r="M847" s="22"/>
      <c r="N847" s="461"/>
      <c r="O847" s="260"/>
      <c r="P847" s="258"/>
      <c r="Q847" s="22"/>
      <c r="R847" s="22"/>
      <c r="S847" s="115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15"/>
    </row>
    <row r="848" ht="15.75" customHeight="1">
      <c r="A848" s="114"/>
      <c r="B848" s="115"/>
      <c r="C848" s="115"/>
      <c r="D848" s="115"/>
      <c r="E848" s="115"/>
      <c r="F848" s="22"/>
      <c r="G848" s="22"/>
      <c r="H848" s="22"/>
      <c r="I848" s="258"/>
      <c r="J848" s="22"/>
      <c r="K848" s="22"/>
      <c r="L848" s="460"/>
      <c r="M848" s="22"/>
      <c r="N848" s="461"/>
      <c r="O848" s="260"/>
      <c r="P848" s="258"/>
      <c r="Q848" s="22"/>
      <c r="R848" s="22"/>
      <c r="S848" s="115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15"/>
    </row>
    <row r="849" ht="15.75" customHeight="1">
      <c r="A849" s="114"/>
      <c r="B849" s="115"/>
      <c r="C849" s="115"/>
      <c r="D849" s="115"/>
      <c r="E849" s="115"/>
      <c r="F849" s="22"/>
      <c r="G849" s="22"/>
      <c r="H849" s="22"/>
      <c r="I849" s="258"/>
      <c r="J849" s="22"/>
      <c r="K849" s="22"/>
      <c r="L849" s="460"/>
      <c r="M849" s="22"/>
      <c r="N849" s="461"/>
      <c r="O849" s="260"/>
      <c r="P849" s="258"/>
      <c r="Q849" s="22"/>
      <c r="R849" s="22"/>
      <c r="S849" s="115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15"/>
    </row>
    <row r="850" ht="15.75" customHeight="1">
      <c r="A850" s="114"/>
      <c r="B850" s="115"/>
      <c r="C850" s="115"/>
      <c r="D850" s="115"/>
      <c r="E850" s="115"/>
      <c r="F850" s="22"/>
      <c r="G850" s="22"/>
      <c r="H850" s="22"/>
      <c r="I850" s="258"/>
      <c r="J850" s="22"/>
      <c r="K850" s="22"/>
      <c r="L850" s="460"/>
      <c r="M850" s="22"/>
      <c r="N850" s="461"/>
      <c r="O850" s="260"/>
      <c r="P850" s="258"/>
      <c r="Q850" s="22"/>
      <c r="R850" s="22"/>
      <c r="S850" s="115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15"/>
    </row>
    <row r="851" ht="15.75" customHeight="1">
      <c r="A851" s="114"/>
      <c r="B851" s="115"/>
      <c r="C851" s="115"/>
      <c r="D851" s="115"/>
      <c r="E851" s="115"/>
      <c r="F851" s="22"/>
      <c r="G851" s="22"/>
      <c r="H851" s="22"/>
      <c r="I851" s="258"/>
      <c r="J851" s="22"/>
      <c r="K851" s="22"/>
      <c r="L851" s="460"/>
      <c r="M851" s="22"/>
      <c r="N851" s="461"/>
      <c r="O851" s="260"/>
      <c r="P851" s="258"/>
      <c r="Q851" s="22"/>
      <c r="R851" s="22"/>
      <c r="S851" s="115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15"/>
    </row>
    <row r="852" ht="15.75" customHeight="1">
      <c r="A852" s="114"/>
      <c r="B852" s="115"/>
      <c r="C852" s="115"/>
      <c r="D852" s="115"/>
      <c r="E852" s="115"/>
      <c r="F852" s="22"/>
      <c r="G852" s="22"/>
      <c r="H852" s="22"/>
      <c r="I852" s="258"/>
      <c r="J852" s="22"/>
      <c r="K852" s="22"/>
      <c r="L852" s="460"/>
      <c r="M852" s="22"/>
      <c r="N852" s="461"/>
      <c r="O852" s="260"/>
      <c r="P852" s="258"/>
      <c r="Q852" s="22"/>
      <c r="R852" s="22"/>
      <c r="S852" s="115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15"/>
    </row>
    <row r="853" ht="15.75" customHeight="1">
      <c r="A853" s="114"/>
      <c r="B853" s="115"/>
      <c r="C853" s="115"/>
      <c r="D853" s="115"/>
      <c r="E853" s="115"/>
      <c r="F853" s="22"/>
      <c r="G853" s="22"/>
      <c r="H853" s="22"/>
      <c r="I853" s="258"/>
      <c r="J853" s="22"/>
      <c r="K853" s="22"/>
      <c r="L853" s="460"/>
      <c r="M853" s="22"/>
      <c r="N853" s="461"/>
      <c r="O853" s="260"/>
      <c r="P853" s="258"/>
      <c r="Q853" s="22"/>
      <c r="R853" s="22"/>
      <c r="S853" s="115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15"/>
    </row>
    <row r="854" ht="15.75" customHeight="1">
      <c r="A854" s="114"/>
      <c r="B854" s="115"/>
      <c r="C854" s="115"/>
      <c r="D854" s="115"/>
      <c r="E854" s="115"/>
      <c r="F854" s="22"/>
      <c r="G854" s="22"/>
      <c r="H854" s="22"/>
      <c r="I854" s="258"/>
      <c r="J854" s="22"/>
      <c r="K854" s="22"/>
      <c r="L854" s="460"/>
      <c r="M854" s="22"/>
      <c r="N854" s="461"/>
      <c r="O854" s="260"/>
      <c r="P854" s="258"/>
      <c r="Q854" s="22"/>
      <c r="R854" s="22"/>
      <c r="S854" s="115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15"/>
    </row>
    <row r="855" ht="15.75" customHeight="1">
      <c r="A855" s="114"/>
      <c r="B855" s="115"/>
      <c r="C855" s="115"/>
      <c r="D855" s="115"/>
      <c r="E855" s="115"/>
      <c r="F855" s="22"/>
      <c r="G855" s="22"/>
      <c r="H855" s="22"/>
      <c r="I855" s="258"/>
      <c r="J855" s="22"/>
      <c r="K855" s="22"/>
      <c r="L855" s="460"/>
      <c r="M855" s="22"/>
      <c r="N855" s="461"/>
      <c r="O855" s="260"/>
      <c r="P855" s="258"/>
      <c r="Q855" s="22"/>
      <c r="R855" s="22"/>
      <c r="S855" s="115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15"/>
    </row>
    <row r="856" ht="15.75" customHeight="1">
      <c r="A856" s="114"/>
      <c r="B856" s="115"/>
      <c r="C856" s="115"/>
      <c r="D856" s="115"/>
      <c r="E856" s="115"/>
      <c r="F856" s="22"/>
      <c r="G856" s="22"/>
      <c r="H856" s="22"/>
      <c r="I856" s="258"/>
      <c r="J856" s="22"/>
      <c r="K856" s="22"/>
      <c r="L856" s="460"/>
      <c r="M856" s="22"/>
      <c r="N856" s="461"/>
      <c r="O856" s="260"/>
      <c r="P856" s="258"/>
      <c r="Q856" s="22"/>
      <c r="R856" s="22"/>
      <c r="S856" s="115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15"/>
    </row>
    <row r="857" ht="15.75" customHeight="1">
      <c r="A857" s="114"/>
      <c r="B857" s="115"/>
      <c r="C857" s="115"/>
      <c r="D857" s="115"/>
      <c r="E857" s="115"/>
      <c r="F857" s="22"/>
      <c r="G857" s="22"/>
      <c r="H857" s="22"/>
      <c r="I857" s="258"/>
      <c r="J857" s="22"/>
      <c r="K857" s="22"/>
      <c r="L857" s="460"/>
      <c r="M857" s="22"/>
      <c r="N857" s="461"/>
      <c r="O857" s="260"/>
      <c r="P857" s="258"/>
      <c r="Q857" s="22"/>
      <c r="R857" s="22"/>
      <c r="S857" s="115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15"/>
    </row>
    <row r="858" ht="15.75" customHeight="1">
      <c r="A858" s="114"/>
      <c r="B858" s="115"/>
      <c r="C858" s="115"/>
      <c r="D858" s="115"/>
      <c r="E858" s="115"/>
      <c r="F858" s="22"/>
      <c r="G858" s="22"/>
      <c r="H858" s="22"/>
      <c r="I858" s="258"/>
      <c r="J858" s="22"/>
      <c r="K858" s="22"/>
      <c r="L858" s="460"/>
      <c r="M858" s="22"/>
      <c r="N858" s="461"/>
      <c r="O858" s="260"/>
      <c r="P858" s="258"/>
      <c r="Q858" s="22"/>
      <c r="R858" s="22"/>
      <c r="S858" s="115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15"/>
    </row>
    <row r="859" ht="15.75" customHeight="1">
      <c r="A859" s="114"/>
      <c r="B859" s="115"/>
      <c r="C859" s="115"/>
      <c r="D859" s="115"/>
      <c r="E859" s="115"/>
      <c r="F859" s="22"/>
      <c r="G859" s="22"/>
      <c r="H859" s="22"/>
      <c r="I859" s="258"/>
      <c r="J859" s="22"/>
      <c r="K859" s="22"/>
      <c r="L859" s="460"/>
      <c r="M859" s="22"/>
      <c r="N859" s="461"/>
      <c r="O859" s="260"/>
      <c r="P859" s="258"/>
      <c r="Q859" s="22"/>
      <c r="R859" s="22"/>
      <c r="S859" s="115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15"/>
    </row>
    <row r="860" ht="15.75" customHeight="1">
      <c r="A860" s="114"/>
      <c r="B860" s="115"/>
      <c r="C860" s="115"/>
      <c r="D860" s="115"/>
      <c r="E860" s="115"/>
      <c r="F860" s="22"/>
      <c r="G860" s="22"/>
      <c r="H860" s="22"/>
      <c r="I860" s="258"/>
      <c r="J860" s="22"/>
      <c r="K860" s="22"/>
      <c r="L860" s="460"/>
      <c r="M860" s="22"/>
      <c r="N860" s="461"/>
      <c r="O860" s="260"/>
      <c r="P860" s="258"/>
      <c r="Q860" s="22"/>
      <c r="R860" s="22"/>
      <c r="S860" s="115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15"/>
    </row>
    <row r="861" ht="15.75" customHeight="1">
      <c r="A861" s="114"/>
      <c r="B861" s="115"/>
      <c r="C861" s="115"/>
      <c r="D861" s="115"/>
      <c r="E861" s="115"/>
      <c r="F861" s="22"/>
      <c r="G861" s="22"/>
      <c r="H861" s="22"/>
      <c r="I861" s="258"/>
      <c r="J861" s="22"/>
      <c r="K861" s="22"/>
      <c r="L861" s="460"/>
      <c r="M861" s="22"/>
      <c r="N861" s="461"/>
      <c r="O861" s="260"/>
      <c r="P861" s="258"/>
      <c r="Q861" s="22"/>
      <c r="R861" s="22"/>
      <c r="S861" s="115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15"/>
    </row>
    <row r="862" ht="15.75" customHeight="1">
      <c r="A862" s="114"/>
      <c r="B862" s="115"/>
      <c r="C862" s="115"/>
      <c r="D862" s="115"/>
      <c r="E862" s="115"/>
      <c r="F862" s="22"/>
      <c r="G862" s="22"/>
      <c r="H862" s="22"/>
      <c r="I862" s="258"/>
      <c r="J862" s="22"/>
      <c r="K862" s="22"/>
      <c r="L862" s="460"/>
      <c r="M862" s="22"/>
      <c r="N862" s="461"/>
      <c r="O862" s="260"/>
      <c r="P862" s="258"/>
      <c r="Q862" s="22"/>
      <c r="R862" s="22"/>
      <c r="S862" s="115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15"/>
    </row>
    <row r="863" ht="15.75" customHeight="1">
      <c r="A863" s="114"/>
      <c r="B863" s="115"/>
      <c r="C863" s="115"/>
      <c r="D863" s="115"/>
      <c r="E863" s="115"/>
      <c r="F863" s="22"/>
      <c r="G863" s="22"/>
      <c r="H863" s="22"/>
      <c r="I863" s="258"/>
      <c r="J863" s="22"/>
      <c r="K863" s="22"/>
      <c r="L863" s="460"/>
      <c r="M863" s="22"/>
      <c r="N863" s="461"/>
      <c r="O863" s="260"/>
      <c r="P863" s="258"/>
      <c r="Q863" s="22"/>
      <c r="R863" s="22"/>
      <c r="S863" s="115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15"/>
    </row>
    <row r="864" ht="15.75" customHeight="1">
      <c r="A864" s="114"/>
      <c r="B864" s="115"/>
      <c r="C864" s="115"/>
      <c r="D864" s="115"/>
      <c r="E864" s="115"/>
      <c r="F864" s="22"/>
      <c r="G864" s="22"/>
      <c r="H864" s="22"/>
      <c r="I864" s="258"/>
      <c r="J864" s="22"/>
      <c r="K864" s="22"/>
      <c r="L864" s="460"/>
      <c r="M864" s="22"/>
      <c r="N864" s="461"/>
      <c r="O864" s="260"/>
      <c r="P864" s="258"/>
      <c r="Q864" s="22"/>
      <c r="R864" s="22"/>
      <c r="S864" s="115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15"/>
    </row>
    <row r="865" ht="15.75" customHeight="1">
      <c r="A865" s="114"/>
      <c r="B865" s="115"/>
      <c r="C865" s="115"/>
      <c r="D865" s="115"/>
      <c r="E865" s="115"/>
      <c r="F865" s="22"/>
      <c r="G865" s="22"/>
      <c r="H865" s="22"/>
      <c r="I865" s="258"/>
      <c r="J865" s="22"/>
      <c r="K865" s="22"/>
      <c r="L865" s="460"/>
      <c r="M865" s="22"/>
      <c r="N865" s="461"/>
      <c r="O865" s="260"/>
      <c r="P865" s="258"/>
      <c r="Q865" s="22"/>
      <c r="R865" s="22"/>
      <c r="S865" s="115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15"/>
    </row>
    <row r="866" ht="15.75" customHeight="1">
      <c r="A866" s="114"/>
      <c r="B866" s="115"/>
      <c r="C866" s="115"/>
      <c r="D866" s="115"/>
      <c r="E866" s="115"/>
      <c r="F866" s="22"/>
      <c r="G866" s="22"/>
      <c r="H866" s="22"/>
      <c r="I866" s="258"/>
      <c r="J866" s="22"/>
      <c r="K866" s="22"/>
      <c r="L866" s="460"/>
      <c r="M866" s="22"/>
      <c r="N866" s="461"/>
      <c r="O866" s="260"/>
      <c r="P866" s="258"/>
      <c r="Q866" s="22"/>
      <c r="R866" s="22"/>
      <c r="S866" s="115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15"/>
    </row>
    <row r="867" ht="15.75" customHeight="1">
      <c r="A867" s="114"/>
      <c r="B867" s="115"/>
      <c r="C867" s="115"/>
      <c r="D867" s="115"/>
      <c r="E867" s="115"/>
      <c r="F867" s="22"/>
      <c r="G867" s="22"/>
      <c r="H867" s="22"/>
      <c r="I867" s="258"/>
      <c r="J867" s="22"/>
      <c r="K867" s="22"/>
      <c r="L867" s="460"/>
      <c r="M867" s="22"/>
      <c r="N867" s="461"/>
      <c r="O867" s="260"/>
      <c r="P867" s="258"/>
      <c r="Q867" s="22"/>
      <c r="R867" s="22"/>
      <c r="S867" s="115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15"/>
    </row>
    <row r="868" ht="15.75" customHeight="1">
      <c r="A868" s="114"/>
      <c r="B868" s="115"/>
      <c r="C868" s="115"/>
      <c r="D868" s="115"/>
      <c r="E868" s="115"/>
      <c r="F868" s="22"/>
      <c r="G868" s="22"/>
      <c r="H868" s="22"/>
      <c r="I868" s="258"/>
      <c r="J868" s="22"/>
      <c r="K868" s="22"/>
      <c r="L868" s="460"/>
      <c r="M868" s="22"/>
      <c r="N868" s="461"/>
      <c r="O868" s="260"/>
      <c r="P868" s="258"/>
      <c r="Q868" s="22"/>
      <c r="R868" s="22"/>
      <c r="S868" s="115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15"/>
    </row>
    <row r="869" ht="15.75" customHeight="1">
      <c r="A869" s="114"/>
      <c r="B869" s="115"/>
      <c r="C869" s="115"/>
      <c r="D869" s="115"/>
      <c r="E869" s="115"/>
      <c r="F869" s="22"/>
      <c r="G869" s="22"/>
      <c r="H869" s="22"/>
      <c r="I869" s="258"/>
      <c r="J869" s="22"/>
      <c r="K869" s="22"/>
      <c r="L869" s="460"/>
      <c r="M869" s="22"/>
      <c r="N869" s="461"/>
      <c r="O869" s="260"/>
      <c r="P869" s="258"/>
      <c r="Q869" s="22"/>
      <c r="R869" s="22"/>
      <c r="S869" s="115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15"/>
    </row>
    <row r="870" ht="15.75" customHeight="1">
      <c r="A870" s="114"/>
      <c r="B870" s="115"/>
      <c r="C870" s="115"/>
      <c r="D870" s="115"/>
      <c r="E870" s="115"/>
      <c r="F870" s="22"/>
      <c r="G870" s="22"/>
      <c r="H870" s="22"/>
      <c r="I870" s="258"/>
      <c r="J870" s="22"/>
      <c r="K870" s="22"/>
      <c r="L870" s="460"/>
      <c r="M870" s="22"/>
      <c r="N870" s="461"/>
      <c r="O870" s="260"/>
      <c r="P870" s="258"/>
      <c r="Q870" s="22"/>
      <c r="R870" s="22"/>
      <c r="S870" s="115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15"/>
    </row>
    <row r="871" ht="15.75" customHeight="1">
      <c r="A871" s="114"/>
      <c r="B871" s="115"/>
      <c r="C871" s="115"/>
      <c r="D871" s="115"/>
      <c r="E871" s="115"/>
      <c r="F871" s="22"/>
      <c r="G871" s="22"/>
      <c r="H871" s="22"/>
      <c r="I871" s="258"/>
      <c r="J871" s="22"/>
      <c r="K871" s="22"/>
      <c r="L871" s="460"/>
      <c r="M871" s="22"/>
      <c r="N871" s="461"/>
      <c r="O871" s="260"/>
      <c r="P871" s="258"/>
      <c r="Q871" s="22"/>
      <c r="R871" s="22"/>
      <c r="S871" s="115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15"/>
    </row>
    <row r="872" ht="15.75" customHeight="1">
      <c r="A872" s="114"/>
      <c r="B872" s="115"/>
      <c r="C872" s="115"/>
      <c r="D872" s="115"/>
      <c r="E872" s="115"/>
      <c r="F872" s="22"/>
      <c r="G872" s="22"/>
      <c r="H872" s="22"/>
      <c r="I872" s="258"/>
      <c r="J872" s="22"/>
      <c r="K872" s="22"/>
      <c r="L872" s="460"/>
      <c r="M872" s="22"/>
      <c r="N872" s="461"/>
      <c r="O872" s="260"/>
      <c r="P872" s="258"/>
      <c r="Q872" s="22"/>
      <c r="R872" s="22"/>
      <c r="S872" s="115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15"/>
    </row>
    <row r="873" ht="15.75" customHeight="1">
      <c r="A873" s="114"/>
      <c r="B873" s="115"/>
      <c r="C873" s="115"/>
      <c r="D873" s="115"/>
      <c r="E873" s="115"/>
      <c r="F873" s="22"/>
      <c r="G873" s="22"/>
      <c r="H873" s="22"/>
      <c r="I873" s="258"/>
      <c r="J873" s="22"/>
      <c r="K873" s="22"/>
      <c r="L873" s="460"/>
      <c r="M873" s="22"/>
      <c r="N873" s="461"/>
      <c r="O873" s="260"/>
      <c r="P873" s="258"/>
      <c r="Q873" s="22"/>
      <c r="R873" s="22"/>
      <c r="S873" s="115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15"/>
    </row>
    <row r="874" ht="15.75" customHeight="1">
      <c r="A874" s="114"/>
      <c r="B874" s="115"/>
      <c r="C874" s="115"/>
      <c r="D874" s="115"/>
      <c r="E874" s="115"/>
      <c r="F874" s="22"/>
      <c r="G874" s="22"/>
      <c r="H874" s="22"/>
      <c r="I874" s="258"/>
      <c r="J874" s="22"/>
      <c r="K874" s="22"/>
      <c r="L874" s="460"/>
      <c r="M874" s="22"/>
      <c r="N874" s="461"/>
      <c r="O874" s="260"/>
      <c r="P874" s="258"/>
      <c r="Q874" s="22"/>
      <c r="R874" s="22"/>
      <c r="S874" s="115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15"/>
    </row>
    <row r="875" ht="15.75" customHeight="1">
      <c r="A875" s="114"/>
      <c r="B875" s="115"/>
      <c r="C875" s="115"/>
      <c r="D875" s="115"/>
      <c r="E875" s="115"/>
      <c r="F875" s="22"/>
      <c r="G875" s="22"/>
      <c r="H875" s="22"/>
      <c r="I875" s="258"/>
      <c r="J875" s="22"/>
      <c r="K875" s="22"/>
      <c r="L875" s="460"/>
      <c r="M875" s="22"/>
      <c r="N875" s="461"/>
      <c r="O875" s="260"/>
      <c r="P875" s="258"/>
      <c r="Q875" s="22"/>
      <c r="R875" s="22"/>
      <c r="S875" s="115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15"/>
    </row>
    <row r="876" ht="15.75" customHeight="1">
      <c r="A876" s="114"/>
      <c r="B876" s="115"/>
      <c r="C876" s="115"/>
      <c r="D876" s="115"/>
      <c r="E876" s="115"/>
      <c r="F876" s="22"/>
      <c r="G876" s="22"/>
      <c r="H876" s="22"/>
      <c r="I876" s="258"/>
      <c r="J876" s="22"/>
      <c r="K876" s="22"/>
      <c r="L876" s="460"/>
      <c r="M876" s="22"/>
      <c r="N876" s="461"/>
      <c r="O876" s="260"/>
      <c r="P876" s="258"/>
      <c r="Q876" s="22"/>
      <c r="R876" s="22"/>
      <c r="S876" s="115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15"/>
    </row>
    <row r="877" ht="15.75" customHeight="1">
      <c r="A877" s="114"/>
      <c r="B877" s="115"/>
      <c r="C877" s="115"/>
      <c r="D877" s="115"/>
      <c r="E877" s="115"/>
      <c r="F877" s="22"/>
      <c r="G877" s="22"/>
      <c r="H877" s="22"/>
      <c r="I877" s="258"/>
      <c r="J877" s="22"/>
      <c r="K877" s="22"/>
      <c r="L877" s="460"/>
      <c r="M877" s="22"/>
      <c r="N877" s="461"/>
      <c r="O877" s="260"/>
      <c r="P877" s="258"/>
      <c r="Q877" s="22"/>
      <c r="R877" s="22"/>
      <c r="S877" s="115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15"/>
    </row>
    <row r="878" ht="15.75" customHeight="1">
      <c r="A878" s="114"/>
      <c r="B878" s="115"/>
      <c r="C878" s="115"/>
      <c r="D878" s="115"/>
      <c r="E878" s="115"/>
      <c r="F878" s="22"/>
      <c r="G878" s="22"/>
      <c r="H878" s="22"/>
      <c r="I878" s="258"/>
      <c r="J878" s="22"/>
      <c r="K878" s="22"/>
      <c r="L878" s="460"/>
      <c r="M878" s="22"/>
      <c r="N878" s="461"/>
      <c r="O878" s="260"/>
      <c r="P878" s="258"/>
      <c r="Q878" s="22"/>
      <c r="R878" s="22"/>
      <c r="S878" s="115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15"/>
    </row>
    <row r="879" ht="15.75" customHeight="1">
      <c r="A879" s="114"/>
      <c r="B879" s="115"/>
      <c r="C879" s="115"/>
      <c r="D879" s="115"/>
      <c r="E879" s="115"/>
      <c r="F879" s="22"/>
      <c r="G879" s="22"/>
      <c r="H879" s="22"/>
      <c r="I879" s="258"/>
      <c r="J879" s="22"/>
      <c r="K879" s="22"/>
      <c r="L879" s="460"/>
      <c r="M879" s="22"/>
      <c r="N879" s="461"/>
      <c r="O879" s="260"/>
      <c r="P879" s="258"/>
      <c r="Q879" s="22"/>
      <c r="R879" s="22"/>
      <c r="S879" s="115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15"/>
    </row>
    <row r="880" ht="15.75" customHeight="1">
      <c r="A880" s="114"/>
      <c r="B880" s="115"/>
      <c r="C880" s="115"/>
      <c r="D880" s="115"/>
      <c r="E880" s="115"/>
      <c r="F880" s="22"/>
      <c r="G880" s="22"/>
      <c r="H880" s="22"/>
      <c r="I880" s="258"/>
      <c r="J880" s="22"/>
      <c r="K880" s="22"/>
      <c r="L880" s="460"/>
      <c r="M880" s="22"/>
      <c r="N880" s="461"/>
      <c r="O880" s="260"/>
      <c r="P880" s="258"/>
      <c r="Q880" s="22"/>
      <c r="R880" s="22"/>
      <c r="S880" s="115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15"/>
    </row>
    <row r="881" ht="15.75" customHeight="1">
      <c r="A881" s="114"/>
      <c r="B881" s="115"/>
      <c r="C881" s="115"/>
      <c r="D881" s="115"/>
      <c r="E881" s="115"/>
      <c r="F881" s="22"/>
      <c r="G881" s="22"/>
      <c r="H881" s="22"/>
      <c r="I881" s="258"/>
      <c r="J881" s="22"/>
      <c r="K881" s="22"/>
      <c r="L881" s="460"/>
      <c r="M881" s="22"/>
      <c r="N881" s="461"/>
      <c r="O881" s="260"/>
      <c r="P881" s="258"/>
      <c r="Q881" s="22"/>
      <c r="R881" s="22"/>
      <c r="S881" s="115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15"/>
    </row>
    <row r="882" ht="15.75" customHeight="1">
      <c r="A882" s="114"/>
      <c r="B882" s="115"/>
      <c r="C882" s="115"/>
      <c r="D882" s="115"/>
      <c r="E882" s="115"/>
      <c r="F882" s="22"/>
      <c r="G882" s="22"/>
      <c r="H882" s="22"/>
      <c r="I882" s="258"/>
      <c r="J882" s="22"/>
      <c r="K882" s="22"/>
      <c r="L882" s="460"/>
      <c r="M882" s="22"/>
      <c r="N882" s="461"/>
      <c r="O882" s="260"/>
      <c r="P882" s="258"/>
      <c r="Q882" s="22"/>
      <c r="R882" s="22"/>
      <c r="S882" s="115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15"/>
    </row>
    <row r="883" ht="15.75" customHeight="1">
      <c r="A883" s="114"/>
      <c r="B883" s="115"/>
      <c r="C883" s="115"/>
      <c r="D883" s="115"/>
      <c r="E883" s="115"/>
      <c r="F883" s="22"/>
      <c r="G883" s="22"/>
      <c r="H883" s="22"/>
      <c r="I883" s="258"/>
      <c r="J883" s="22"/>
      <c r="K883" s="22"/>
      <c r="L883" s="460"/>
      <c r="M883" s="22"/>
      <c r="N883" s="461"/>
      <c r="O883" s="260"/>
      <c r="P883" s="258"/>
      <c r="Q883" s="22"/>
      <c r="R883" s="22"/>
      <c r="S883" s="115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15"/>
    </row>
    <row r="884" ht="15.75" customHeight="1">
      <c r="A884" s="114"/>
      <c r="B884" s="115"/>
      <c r="C884" s="115"/>
      <c r="D884" s="115"/>
      <c r="E884" s="115"/>
      <c r="F884" s="22"/>
      <c r="G884" s="22"/>
      <c r="H884" s="22"/>
      <c r="I884" s="258"/>
      <c r="J884" s="22"/>
      <c r="K884" s="22"/>
      <c r="L884" s="460"/>
      <c r="M884" s="22"/>
      <c r="N884" s="461"/>
      <c r="O884" s="260"/>
      <c r="P884" s="258"/>
      <c r="Q884" s="22"/>
      <c r="R884" s="22"/>
      <c r="S884" s="115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15"/>
    </row>
    <row r="885" ht="15.75" customHeight="1">
      <c r="A885" s="114"/>
      <c r="B885" s="115"/>
      <c r="C885" s="115"/>
      <c r="D885" s="115"/>
      <c r="E885" s="115"/>
      <c r="F885" s="22"/>
      <c r="G885" s="22"/>
      <c r="H885" s="22"/>
      <c r="I885" s="258"/>
      <c r="J885" s="22"/>
      <c r="K885" s="22"/>
      <c r="L885" s="460"/>
      <c r="M885" s="22"/>
      <c r="N885" s="461"/>
      <c r="O885" s="260"/>
      <c r="P885" s="258"/>
      <c r="Q885" s="22"/>
      <c r="R885" s="22"/>
      <c r="S885" s="115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15"/>
    </row>
    <row r="886" ht="15.75" customHeight="1">
      <c r="A886" s="114"/>
      <c r="B886" s="115"/>
      <c r="C886" s="115"/>
      <c r="D886" s="115"/>
      <c r="E886" s="115"/>
      <c r="F886" s="22"/>
      <c r="G886" s="22"/>
      <c r="H886" s="22"/>
      <c r="I886" s="258"/>
      <c r="J886" s="22"/>
      <c r="K886" s="22"/>
      <c r="L886" s="460"/>
      <c r="M886" s="22"/>
      <c r="N886" s="461"/>
      <c r="O886" s="260"/>
      <c r="P886" s="258"/>
      <c r="Q886" s="22"/>
      <c r="R886" s="22"/>
      <c r="S886" s="115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15"/>
    </row>
    <row r="887" ht="15.75" customHeight="1">
      <c r="A887" s="114"/>
      <c r="B887" s="115"/>
      <c r="C887" s="115"/>
      <c r="D887" s="115"/>
      <c r="E887" s="115"/>
      <c r="F887" s="22"/>
      <c r="G887" s="22"/>
      <c r="H887" s="22"/>
      <c r="I887" s="258"/>
      <c r="J887" s="22"/>
      <c r="K887" s="22"/>
      <c r="L887" s="460"/>
      <c r="M887" s="22"/>
      <c r="N887" s="461"/>
      <c r="O887" s="260"/>
      <c r="P887" s="258"/>
      <c r="Q887" s="22"/>
      <c r="R887" s="22"/>
      <c r="S887" s="115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15"/>
    </row>
    <row r="888" ht="15.75" customHeight="1">
      <c r="A888" s="114"/>
      <c r="B888" s="115"/>
      <c r="C888" s="115"/>
      <c r="D888" s="115"/>
      <c r="E888" s="115"/>
      <c r="F888" s="22"/>
      <c r="G888" s="22"/>
      <c r="H888" s="22"/>
      <c r="I888" s="258"/>
      <c r="J888" s="22"/>
      <c r="K888" s="22"/>
      <c r="L888" s="460"/>
      <c r="M888" s="22"/>
      <c r="N888" s="461"/>
      <c r="O888" s="260"/>
      <c r="P888" s="258"/>
      <c r="Q888" s="22"/>
      <c r="R888" s="22"/>
      <c r="S888" s="115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15"/>
    </row>
    <row r="889" ht="15.75" customHeight="1">
      <c r="A889" s="114"/>
      <c r="B889" s="115"/>
      <c r="C889" s="115"/>
      <c r="D889" s="115"/>
      <c r="E889" s="115"/>
      <c r="F889" s="22"/>
      <c r="G889" s="22"/>
      <c r="H889" s="22"/>
      <c r="I889" s="258"/>
      <c r="J889" s="22"/>
      <c r="K889" s="22"/>
      <c r="L889" s="460"/>
      <c r="M889" s="22"/>
      <c r="N889" s="461"/>
      <c r="O889" s="260"/>
      <c r="P889" s="258"/>
      <c r="Q889" s="22"/>
      <c r="R889" s="22"/>
      <c r="S889" s="115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15"/>
    </row>
    <row r="890" ht="15.75" customHeight="1">
      <c r="A890" s="114"/>
      <c r="B890" s="115"/>
      <c r="C890" s="115"/>
      <c r="D890" s="115"/>
      <c r="E890" s="115"/>
      <c r="F890" s="22"/>
      <c r="G890" s="22"/>
      <c r="H890" s="22"/>
      <c r="I890" s="258"/>
      <c r="J890" s="22"/>
      <c r="K890" s="22"/>
      <c r="L890" s="460"/>
      <c r="M890" s="22"/>
      <c r="N890" s="461"/>
      <c r="O890" s="260"/>
      <c r="P890" s="258"/>
      <c r="Q890" s="22"/>
      <c r="R890" s="22"/>
      <c r="S890" s="115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15"/>
    </row>
    <row r="891" ht="15.75" customHeight="1">
      <c r="A891" s="114"/>
      <c r="B891" s="115"/>
      <c r="C891" s="115"/>
      <c r="D891" s="115"/>
      <c r="E891" s="115"/>
      <c r="F891" s="22"/>
      <c r="G891" s="22"/>
      <c r="H891" s="22"/>
      <c r="I891" s="258"/>
      <c r="J891" s="22"/>
      <c r="K891" s="22"/>
      <c r="L891" s="460"/>
      <c r="M891" s="22"/>
      <c r="N891" s="461"/>
      <c r="O891" s="260"/>
      <c r="P891" s="258"/>
      <c r="Q891" s="22"/>
      <c r="R891" s="22"/>
      <c r="S891" s="115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15"/>
    </row>
    <row r="892" ht="15.75" customHeight="1">
      <c r="A892" s="114"/>
      <c r="B892" s="115"/>
      <c r="C892" s="115"/>
      <c r="D892" s="115"/>
      <c r="E892" s="115"/>
      <c r="F892" s="22"/>
      <c r="G892" s="22"/>
      <c r="H892" s="22"/>
      <c r="I892" s="258"/>
      <c r="J892" s="22"/>
      <c r="K892" s="22"/>
      <c r="L892" s="460"/>
      <c r="M892" s="22"/>
      <c r="N892" s="461"/>
      <c r="O892" s="260"/>
      <c r="P892" s="258"/>
      <c r="Q892" s="22"/>
      <c r="R892" s="22"/>
      <c r="S892" s="115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15"/>
    </row>
    <row r="893" ht="15.75" customHeight="1">
      <c r="A893" s="114"/>
      <c r="B893" s="115"/>
      <c r="C893" s="115"/>
      <c r="D893" s="115"/>
      <c r="E893" s="115"/>
      <c r="F893" s="22"/>
      <c r="G893" s="22"/>
      <c r="H893" s="22"/>
      <c r="I893" s="258"/>
      <c r="J893" s="22"/>
      <c r="K893" s="22"/>
      <c r="L893" s="460"/>
      <c r="M893" s="22"/>
      <c r="N893" s="461"/>
      <c r="O893" s="260"/>
      <c r="P893" s="258"/>
      <c r="Q893" s="22"/>
      <c r="R893" s="22"/>
      <c r="S893" s="115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15"/>
    </row>
    <row r="894" ht="15.75" customHeight="1">
      <c r="A894" s="114"/>
      <c r="B894" s="115"/>
      <c r="C894" s="115"/>
      <c r="D894" s="115"/>
      <c r="E894" s="115"/>
      <c r="F894" s="22"/>
      <c r="G894" s="22"/>
      <c r="H894" s="22"/>
      <c r="I894" s="258"/>
      <c r="J894" s="22"/>
      <c r="K894" s="22"/>
      <c r="L894" s="460"/>
      <c r="M894" s="22"/>
      <c r="N894" s="461"/>
      <c r="O894" s="260"/>
      <c r="P894" s="258"/>
      <c r="Q894" s="22"/>
      <c r="R894" s="22"/>
      <c r="S894" s="115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15"/>
    </row>
    <row r="895" ht="15.75" customHeight="1">
      <c r="A895" s="114"/>
      <c r="B895" s="115"/>
      <c r="C895" s="115"/>
      <c r="D895" s="115"/>
      <c r="E895" s="115"/>
      <c r="F895" s="22"/>
      <c r="G895" s="22"/>
      <c r="H895" s="22"/>
      <c r="I895" s="258"/>
      <c r="J895" s="22"/>
      <c r="K895" s="22"/>
      <c r="L895" s="460"/>
      <c r="M895" s="22"/>
      <c r="N895" s="461"/>
      <c r="O895" s="260"/>
      <c r="P895" s="258"/>
      <c r="Q895" s="22"/>
      <c r="R895" s="22"/>
      <c r="S895" s="115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15"/>
    </row>
    <row r="896" ht="15.75" customHeight="1">
      <c r="A896" s="114"/>
      <c r="B896" s="115"/>
      <c r="C896" s="115"/>
      <c r="D896" s="115"/>
      <c r="E896" s="115"/>
      <c r="F896" s="22"/>
      <c r="G896" s="22"/>
      <c r="H896" s="22"/>
      <c r="I896" s="258"/>
      <c r="J896" s="22"/>
      <c r="K896" s="22"/>
      <c r="L896" s="460"/>
      <c r="M896" s="22"/>
      <c r="N896" s="461"/>
      <c r="O896" s="260"/>
      <c r="P896" s="258"/>
      <c r="Q896" s="22"/>
      <c r="R896" s="22"/>
      <c r="S896" s="115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15"/>
    </row>
    <row r="897" ht="15.75" customHeight="1">
      <c r="A897" s="114"/>
      <c r="B897" s="115"/>
      <c r="C897" s="115"/>
      <c r="D897" s="115"/>
      <c r="E897" s="115"/>
      <c r="F897" s="22"/>
      <c r="G897" s="22"/>
      <c r="H897" s="22"/>
      <c r="I897" s="258"/>
      <c r="J897" s="22"/>
      <c r="K897" s="22"/>
      <c r="L897" s="460"/>
      <c r="M897" s="22"/>
      <c r="N897" s="461"/>
      <c r="O897" s="260"/>
      <c r="P897" s="258"/>
      <c r="Q897" s="22"/>
      <c r="R897" s="22"/>
      <c r="S897" s="115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15"/>
    </row>
    <row r="898" ht="15.75" customHeight="1">
      <c r="A898" s="114"/>
      <c r="B898" s="115"/>
      <c r="C898" s="115"/>
      <c r="D898" s="115"/>
      <c r="E898" s="115"/>
      <c r="F898" s="22"/>
      <c r="G898" s="22"/>
      <c r="H898" s="22"/>
      <c r="I898" s="258"/>
      <c r="J898" s="22"/>
      <c r="K898" s="22"/>
      <c r="L898" s="460"/>
      <c r="M898" s="22"/>
      <c r="N898" s="461"/>
      <c r="O898" s="260"/>
      <c r="P898" s="258"/>
      <c r="Q898" s="22"/>
      <c r="R898" s="22"/>
      <c r="S898" s="115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15"/>
    </row>
    <row r="899" ht="15.75" customHeight="1">
      <c r="A899" s="114"/>
      <c r="B899" s="115"/>
      <c r="C899" s="115"/>
      <c r="D899" s="115"/>
      <c r="E899" s="115"/>
      <c r="F899" s="22"/>
      <c r="G899" s="22"/>
      <c r="H899" s="22"/>
      <c r="I899" s="258"/>
      <c r="J899" s="22"/>
      <c r="K899" s="22"/>
      <c r="L899" s="460"/>
      <c r="M899" s="22"/>
      <c r="N899" s="461"/>
      <c r="O899" s="260"/>
      <c r="P899" s="258"/>
      <c r="Q899" s="22"/>
      <c r="R899" s="22"/>
      <c r="S899" s="115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15"/>
    </row>
    <row r="900" ht="15.75" customHeight="1">
      <c r="A900" s="114"/>
      <c r="B900" s="115"/>
      <c r="C900" s="115"/>
      <c r="D900" s="115"/>
      <c r="E900" s="115"/>
      <c r="F900" s="22"/>
      <c r="G900" s="22"/>
      <c r="H900" s="22"/>
      <c r="I900" s="258"/>
      <c r="J900" s="22"/>
      <c r="K900" s="22"/>
      <c r="L900" s="460"/>
      <c r="M900" s="22"/>
      <c r="N900" s="461"/>
      <c r="O900" s="260"/>
      <c r="P900" s="258"/>
      <c r="Q900" s="22"/>
      <c r="R900" s="22"/>
      <c r="S900" s="115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15"/>
    </row>
    <row r="901" ht="15.75" customHeight="1">
      <c r="A901" s="114"/>
      <c r="B901" s="115"/>
      <c r="C901" s="115"/>
      <c r="D901" s="115"/>
      <c r="E901" s="115"/>
      <c r="F901" s="22"/>
      <c r="G901" s="22"/>
      <c r="H901" s="22"/>
      <c r="I901" s="258"/>
      <c r="J901" s="22"/>
      <c r="K901" s="22"/>
      <c r="L901" s="460"/>
      <c r="M901" s="22"/>
      <c r="N901" s="461"/>
      <c r="O901" s="260"/>
      <c r="P901" s="258"/>
      <c r="Q901" s="22"/>
      <c r="R901" s="22"/>
      <c r="S901" s="115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15"/>
    </row>
    <row r="902" ht="15.75" customHeight="1">
      <c r="A902" s="114"/>
      <c r="B902" s="115"/>
      <c r="C902" s="115"/>
      <c r="D902" s="115"/>
      <c r="E902" s="115"/>
      <c r="F902" s="22"/>
      <c r="G902" s="22"/>
      <c r="H902" s="22"/>
      <c r="I902" s="258"/>
      <c r="J902" s="22"/>
      <c r="K902" s="22"/>
      <c r="L902" s="460"/>
      <c r="M902" s="22"/>
      <c r="N902" s="461"/>
      <c r="O902" s="260"/>
      <c r="P902" s="258"/>
      <c r="Q902" s="22"/>
      <c r="R902" s="22"/>
      <c r="S902" s="115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15"/>
    </row>
    <row r="903" ht="15.75" customHeight="1">
      <c r="A903" s="114"/>
      <c r="B903" s="115"/>
      <c r="C903" s="115"/>
      <c r="D903" s="115"/>
      <c r="E903" s="115"/>
      <c r="F903" s="22"/>
      <c r="G903" s="22"/>
      <c r="H903" s="22"/>
      <c r="I903" s="258"/>
      <c r="J903" s="22"/>
      <c r="K903" s="22"/>
      <c r="L903" s="460"/>
      <c r="M903" s="22"/>
      <c r="N903" s="461"/>
      <c r="O903" s="260"/>
      <c r="P903" s="258"/>
      <c r="Q903" s="22"/>
      <c r="R903" s="22"/>
      <c r="S903" s="115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15"/>
    </row>
    <row r="904" ht="15.75" customHeight="1">
      <c r="A904" s="114"/>
      <c r="B904" s="115"/>
      <c r="C904" s="115"/>
      <c r="D904" s="115"/>
      <c r="E904" s="115"/>
      <c r="F904" s="22"/>
      <c r="G904" s="22"/>
      <c r="H904" s="22"/>
      <c r="I904" s="258"/>
      <c r="J904" s="22"/>
      <c r="K904" s="22"/>
      <c r="L904" s="460"/>
      <c r="M904" s="22"/>
      <c r="N904" s="461"/>
      <c r="O904" s="260"/>
      <c r="P904" s="258"/>
      <c r="Q904" s="22"/>
      <c r="R904" s="22"/>
      <c r="S904" s="115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15"/>
    </row>
    <row r="905" ht="15.75" customHeight="1">
      <c r="A905" s="114"/>
      <c r="B905" s="115"/>
      <c r="C905" s="115"/>
      <c r="D905" s="115"/>
      <c r="E905" s="115"/>
      <c r="F905" s="22"/>
      <c r="G905" s="22"/>
      <c r="H905" s="22"/>
      <c r="I905" s="258"/>
      <c r="J905" s="22"/>
      <c r="K905" s="22"/>
      <c r="L905" s="460"/>
      <c r="M905" s="22"/>
      <c r="N905" s="461"/>
      <c r="O905" s="260"/>
      <c r="P905" s="258"/>
      <c r="Q905" s="22"/>
      <c r="R905" s="22"/>
      <c r="S905" s="115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15"/>
    </row>
    <row r="906" ht="15.75" customHeight="1">
      <c r="A906" s="114"/>
      <c r="B906" s="115"/>
      <c r="C906" s="115"/>
      <c r="D906" s="115"/>
      <c r="E906" s="115"/>
      <c r="F906" s="22"/>
      <c r="G906" s="22"/>
      <c r="H906" s="22"/>
      <c r="I906" s="258"/>
      <c r="J906" s="22"/>
      <c r="K906" s="22"/>
      <c r="L906" s="460"/>
      <c r="M906" s="22"/>
      <c r="N906" s="461"/>
      <c r="O906" s="260"/>
      <c r="P906" s="258"/>
      <c r="Q906" s="22"/>
      <c r="R906" s="22"/>
      <c r="S906" s="115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15"/>
    </row>
    <row r="907" ht="15.75" customHeight="1">
      <c r="A907" s="114"/>
      <c r="B907" s="115"/>
      <c r="C907" s="115"/>
      <c r="D907" s="115"/>
      <c r="E907" s="115"/>
      <c r="F907" s="22"/>
      <c r="G907" s="22"/>
      <c r="H907" s="22"/>
      <c r="I907" s="258"/>
      <c r="J907" s="22"/>
      <c r="K907" s="22"/>
      <c r="L907" s="460"/>
      <c r="M907" s="22"/>
      <c r="N907" s="461"/>
      <c r="O907" s="260"/>
      <c r="P907" s="258"/>
      <c r="Q907" s="22"/>
      <c r="R907" s="22"/>
      <c r="S907" s="115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15"/>
    </row>
    <row r="908" ht="15.75" customHeight="1">
      <c r="A908" s="114"/>
      <c r="B908" s="115"/>
      <c r="C908" s="115"/>
      <c r="D908" s="115"/>
      <c r="E908" s="115"/>
      <c r="F908" s="22"/>
      <c r="G908" s="22"/>
      <c r="H908" s="22"/>
      <c r="I908" s="258"/>
      <c r="J908" s="22"/>
      <c r="K908" s="22"/>
      <c r="L908" s="460"/>
      <c r="M908" s="22"/>
      <c r="N908" s="461"/>
      <c r="O908" s="260"/>
      <c r="P908" s="258"/>
      <c r="Q908" s="22"/>
      <c r="R908" s="22"/>
      <c r="S908" s="115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15"/>
    </row>
    <row r="909" ht="15.75" customHeight="1">
      <c r="A909" s="114"/>
      <c r="B909" s="115"/>
      <c r="C909" s="115"/>
      <c r="D909" s="115"/>
      <c r="E909" s="115"/>
      <c r="F909" s="22"/>
      <c r="G909" s="22"/>
      <c r="H909" s="22"/>
      <c r="I909" s="258"/>
      <c r="J909" s="22"/>
      <c r="K909" s="22"/>
      <c r="L909" s="460"/>
      <c r="M909" s="22"/>
      <c r="N909" s="461"/>
      <c r="O909" s="260"/>
      <c r="P909" s="258"/>
      <c r="Q909" s="22"/>
      <c r="R909" s="22"/>
      <c r="S909" s="115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15"/>
    </row>
    <row r="910" ht="15.75" customHeight="1">
      <c r="A910" s="114"/>
      <c r="B910" s="115"/>
      <c r="C910" s="115"/>
      <c r="D910" s="115"/>
      <c r="E910" s="115"/>
      <c r="F910" s="22"/>
      <c r="G910" s="22"/>
      <c r="H910" s="22"/>
      <c r="I910" s="258"/>
      <c r="J910" s="22"/>
      <c r="K910" s="22"/>
      <c r="L910" s="460"/>
      <c r="M910" s="22"/>
      <c r="N910" s="461"/>
      <c r="O910" s="260"/>
      <c r="P910" s="258"/>
      <c r="Q910" s="22"/>
      <c r="R910" s="22"/>
      <c r="S910" s="115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15"/>
    </row>
    <row r="911" ht="15.75" customHeight="1">
      <c r="A911" s="114"/>
      <c r="B911" s="115"/>
      <c r="C911" s="115"/>
      <c r="D911" s="115"/>
      <c r="E911" s="115"/>
      <c r="F911" s="22"/>
      <c r="G911" s="22"/>
      <c r="H911" s="22"/>
      <c r="I911" s="258"/>
      <c r="J911" s="22"/>
      <c r="K911" s="22"/>
      <c r="L911" s="460"/>
      <c r="M911" s="22"/>
      <c r="N911" s="461"/>
      <c r="O911" s="260"/>
      <c r="P911" s="258"/>
      <c r="Q911" s="22"/>
      <c r="R911" s="22"/>
      <c r="S911" s="115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15"/>
    </row>
    <row r="912" ht="15.75" customHeight="1">
      <c r="A912" s="114"/>
      <c r="B912" s="115"/>
      <c r="C912" s="115"/>
      <c r="D912" s="115"/>
      <c r="E912" s="115"/>
      <c r="F912" s="22"/>
      <c r="G912" s="22"/>
      <c r="H912" s="22"/>
      <c r="I912" s="258"/>
      <c r="J912" s="22"/>
      <c r="K912" s="22"/>
      <c r="L912" s="460"/>
      <c r="M912" s="22"/>
      <c r="N912" s="461"/>
      <c r="O912" s="260"/>
      <c r="P912" s="258"/>
      <c r="Q912" s="22"/>
      <c r="R912" s="22"/>
      <c r="S912" s="115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15"/>
    </row>
    <row r="913" ht="15.75" customHeight="1">
      <c r="A913" s="114"/>
      <c r="B913" s="115"/>
      <c r="C913" s="115"/>
      <c r="D913" s="115"/>
      <c r="E913" s="115"/>
      <c r="F913" s="22"/>
      <c r="G913" s="22"/>
      <c r="H913" s="22"/>
      <c r="I913" s="258"/>
      <c r="J913" s="22"/>
      <c r="K913" s="22"/>
      <c r="L913" s="460"/>
      <c r="M913" s="22"/>
      <c r="N913" s="461"/>
      <c r="O913" s="260"/>
      <c r="P913" s="258"/>
      <c r="Q913" s="22"/>
      <c r="R913" s="22"/>
      <c r="S913" s="115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15"/>
    </row>
    <row r="914" ht="15.75" customHeight="1">
      <c r="A914" s="114"/>
      <c r="B914" s="115"/>
      <c r="C914" s="115"/>
      <c r="D914" s="115"/>
      <c r="E914" s="115"/>
      <c r="F914" s="22"/>
      <c r="G914" s="22"/>
      <c r="H914" s="22"/>
      <c r="I914" s="258"/>
      <c r="J914" s="22"/>
      <c r="K914" s="22"/>
      <c r="L914" s="460"/>
      <c r="M914" s="22"/>
      <c r="N914" s="461"/>
      <c r="O914" s="260"/>
      <c r="P914" s="258"/>
      <c r="Q914" s="22"/>
      <c r="R914" s="22"/>
      <c r="S914" s="115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15"/>
    </row>
    <row r="915" ht="15.75" customHeight="1">
      <c r="A915" s="114"/>
      <c r="B915" s="115"/>
      <c r="C915" s="115"/>
      <c r="D915" s="115"/>
      <c r="E915" s="115"/>
      <c r="F915" s="22"/>
      <c r="G915" s="22"/>
      <c r="H915" s="22"/>
      <c r="I915" s="258"/>
      <c r="J915" s="22"/>
      <c r="K915" s="22"/>
      <c r="L915" s="460"/>
      <c r="M915" s="22"/>
      <c r="N915" s="461"/>
      <c r="O915" s="260"/>
      <c r="P915" s="258"/>
      <c r="Q915" s="22"/>
      <c r="R915" s="22"/>
      <c r="S915" s="115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15"/>
    </row>
    <row r="916" ht="15.75" customHeight="1">
      <c r="A916" s="114"/>
      <c r="B916" s="115"/>
      <c r="C916" s="115"/>
      <c r="D916" s="115"/>
      <c r="E916" s="115"/>
      <c r="F916" s="22"/>
      <c r="G916" s="22"/>
      <c r="H916" s="22"/>
      <c r="I916" s="258"/>
      <c r="J916" s="22"/>
      <c r="K916" s="22"/>
      <c r="L916" s="460"/>
      <c r="M916" s="22"/>
      <c r="N916" s="461"/>
      <c r="O916" s="260"/>
      <c r="P916" s="258"/>
      <c r="Q916" s="22"/>
      <c r="R916" s="22"/>
      <c r="S916" s="115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15"/>
    </row>
    <row r="917" ht="15.75" customHeight="1">
      <c r="A917" s="114"/>
      <c r="B917" s="115"/>
      <c r="C917" s="115"/>
      <c r="D917" s="115"/>
      <c r="E917" s="115"/>
      <c r="F917" s="22"/>
      <c r="G917" s="22"/>
      <c r="H917" s="22"/>
      <c r="I917" s="258"/>
      <c r="J917" s="22"/>
      <c r="K917" s="22"/>
      <c r="L917" s="460"/>
      <c r="M917" s="22"/>
      <c r="N917" s="461"/>
      <c r="O917" s="260"/>
      <c r="P917" s="258"/>
      <c r="Q917" s="22"/>
      <c r="R917" s="22"/>
      <c r="S917" s="115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15"/>
    </row>
    <row r="918" ht="15.75" customHeight="1">
      <c r="A918" s="114"/>
      <c r="B918" s="115"/>
      <c r="C918" s="115"/>
      <c r="D918" s="115"/>
      <c r="E918" s="115"/>
      <c r="F918" s="22"/>
      <c r="G918" s="22"/>
      <c r="H918" s="22"/>
      <c r="I918" s="258"/>
      <c r="J918" s="22"/>
      <c r="K918" s="22"/>
      <c r="L918" s="460"/>
      <c r="M918" s="22"/>
      <c r="N918" s="461"/>
      <c r="O918" s="260"/>
      <c r="P918" s="258"/>
      <c r="Q918" s="22"/>
      <c r="R918" s="22"/>
      <c r="S918" s="115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15"/>
    </row>
    <row r="919" ht="15.75" customHeight="1">
      <c r="A919" s="114"/>
      <c r="B919" s="115"/>
      <c r="C919" s="115"/>
      <c r="D919" s="115"/>
      <c r="E919" s="115"/>
      <c r="F919" s="22"/>
      <c r="G919" s="22"/>
      <c r="H919" s="22"/>
      <c r="I919" s="258"/>
      <c r="J919" s="22"/>
      <c r="K919" s="22"/>
      <c r="L919" s="460"/>
      <c r="M919" s="22"/>
      <c r="N919" s="461"/>
      <c r="O919" s="260"/>
      <c r="P919" s="258"/>
      <c r="Q919" s="22"/>
      <c r="R919" s="22"/>
      <c r="S919" s="115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15"/>
    </row>
    <row r="920" ht="15.75" customHeight="1">
      <c r="A920" s="114"/>
      <c r="B920" s="115"/>
      <c r="C920" s="115"/>
      <c r="D920" s="115"/>
      <c r="E920" s="115"/>
      <c r="F920" s="22"/>
      <c r="G920" s="22"/>
      <c r="H920" s="22"/>
      <c r="I920" s="258"/>
      <c r="J920" s="22"/>
      <c r="K920" s="22"/>
      <c r="L920" s="460"/>
      <c r="M920" s="22"/>
      <c r="N920" s="461"/>
      <c r="O920" s="260"/>
      <c r="P920" s="258"/>
      <c r="Q920" s="22"/>
      <c r="R920" s="22"/>
      <c r="S920" s="115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15"/>
    </row>
    <row r="921" ht="15.75" customHeight="1">
      <c r="A921" s="114"/>
      <c r="B921" s="115"/>
      <c r="C921" s="115"/>
      <c r="D921" s="115"/>
      <c r="E921" s="115"/>
      <c r="F921" s="22"/>
      <c r="G921" s="22"/>
      <c r="H921" s="22"/>
      <c r="I921" s="258"/>
      <c r="J921" s="22"/>
      <c r="K921" s="22"/>
      <c r="L921" s="460"/>
      <c r="M921" s="22"/>
      <c r="N921" s="461"/>
      <c r="O921" s="260"/>
      <c r="P921" s="258"/>
      <c r="Q921" s="22"/>
      <c r="R921" s="22"/>
      <c r="S921" s="115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15"/>
    </row>
    <row r="922" ht="15.75" customHeight="1">
      <c r="A922" s="114"/>
      <c r="B922" s="115"/>
      <c r="C922" s="115"/>
      <c r="D922" s="115"/>
      <c r="E922" s="115"/>
      <c r="F922" s="22"/>
      <c r="G922" s="22"/>
      <c r="H922" s="22"/>
      <c r="I922" s="258"/>
      <c r="J922" s="22"/>
      <c r="K922" s="22"/>
      <c r="L922" s="460"/>
      <c r="M922" s="22"/>
      <c r="N922" s="461"/>
      <c r="O922" s="260"/>
      <c r="P922" s="258"/>
      <c r="Q922" s="22"/>
      <c r="R922" s="22"/>
      <c r="S922" s="115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15"/>
    </row>
    <row r="923" ht="15.75" customHeight="1">
      <c r="A923" s="114"/>
      <c r="B923" s="115"/>
      <c r="C923" s="115"/>
      <c r="D923" s="115"/>
      <c r="E923" s="115"/>
      <c r="F923" s="22"/>
      <c r="G923" s="22"/>
      <c r="H923" s="22"/>
      <c r="I923" s="258"/>
      <c r="J923" s="22"/>
      <c r="K923" s="22"/>
      <c r="L923" s="460"/>
      <c r="M923" s="22"/>
      <c r="N923" s="461"/>
      <c r="O923" s="260"/>
      <c r="P923" s="258"/>
      <c r="Q923" s="22"/>
      <c r="R923" s="22"/>
      <c r="S923" s="115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15"/>
    </row>
    <row r="924" ht="15.75" customHeight="1">
      <c r="A924" s="114"/>
      <c r="B924" s="115"/>
      <c r="C924" s="115"/>
      <c r="D924" s="115"/>
      <c r="E924" s="115"/>
      <c r="F924" s="22"/>
      <c r="G924" s="22"/>
      <c r="H924" s="22"/>
      <c r="I924" s="258"/>
      <c r="J924" s="22"/>
      <c r="K924" s="22"/>
      <c r="L924" s="460"/>
      <c r="M924" s="22"/>
      <c r="N924" s="461"/>
      <c r="O924" s="260"/>
      <c r="P924" s="258"/>
      <c r="Q924" s="22"/>
      <c r="R924" s="22"/>
      <c r="S924" s="115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15"/>
    </row>
    <row r="925" ht="15.75" customHeight="1">
      <c r="A925" s="114"/>
      <c r="B925" s="115"/>
      <c r="C925" s="115"/>
      <c r="D925" s="115"/>
      <c r="E925" s="115"/>
      <c r="F925" s="22"/>
      <c r="G925" s="22"/>
      <c r="H925" s="22"/>
      <c r="I925" s="258"/>
      <c r="J925" s="22"/>
      <c r="K925" s="22"/>
      <c r="L925" s="460"/>
      <c r="M925" s="22"/>
      <c r="N925" s="461"/>
      <c r="O925" s="260"/>
      <c r="P925" s="258"/>
      <c r="Q925" s="22"/>
      <c r="R925" s="22"/>
      <c r="S925" s="115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15"/>
    </row>
    <row r="926" ht="15.75" customHeight="1">
      <c r="A926" s="114"/>
      <c r="B926" s="115"/>
      <c r="C926" s="115"/>
      <c r="D926" s="115"/>
      <c r="E926" s="115"/>
      <c r="F926" s="22"/>
      <c r="G926" s="22"/>
      <c r="H926" s="22"/>
      <c r="I926" s="258"/>
      <c r="J926" s="22"/>
      <c r="K926" s="22"/>
      <c r="L926" s="460"/>
      <c r="M926" s="22"/>
      <c r="N926" s="461"/>
      <c r="O926" s="260"/>
      <c r="P926" s="258"/>
      <c r="Q926" s="22"/>
      <c r="R926" s="22"/>
      <c r="S926" s="115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15"/>
    </row>
    <row r="927" ht="15.75" customHeight="1">
      <c r="A927" s="114"/>
      <c r="B927" s="115"/>
      <c r="C927" s="115"/>
      <c r="D927" s="115"/>
      <c r="E927" s="115"/>
      <c r="F927" s="22"/>
      <c r="G927" s="22"/>
      <c r="H927" s="22"/>
      <c r="I927" s="258"/>
      <c r="J927" s="22"/>
      <c r="K927" s="22"/>
      <c r="L927" s="460"/>
      <c r="M927" s="22"/>
      <c r="N927" s="461"/>
      <c r="O927" s="260"/>
      <c r="P927" s="258"/>
      <c r="Q927" s="22"/>
      <c r="R927" s="22"/>
      <c r="S927" s="115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15"/>
    </row>
    <row r="928" ht="15.75" customHeight="1">
      <c r="A928" s="114"/>
      <c r="B928" s="115"/>
      <c r="C928" s="115"/>
      <c r="D928" s="115"/>
      <c r="E928" s="115"/>
      <c r="F928" s="22"/>
      <c r="G928" s="22"/>
      <c r="H928" s="22"/>
      <c r="I928" s="258"/>
      <c r="J928" s="22"/>
      <c r="K928" s="22"/>
      <c r="L928" s="460"/>
      <c r="M928" s="22"/>
      <c r="N928" s="461"/>
      <c r="O928" s="260"/>
      <c r="P928" s="258"/>
      <c r="Q928" s="22"/>
      <c r="R928" s="22"/>
      <c r="S928" s="115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15"/>
    </row>
    <row r="929" ht="15.75" customHeight="1">
      <c r="A929" s="114"/>
      <c r="B929" s="115"/>
      <c r="C929" s="115"/>
      <c r="D929" s="115"/>
      <c r="E929" s="115"/>
      <c r="F929" s="22"/>
      <c r="G929" s="22"/>
      <c r="H929" s="22"/>
      <c r="I929" s="258"/>
      <c r="J929" s="22"/>
      <c r="K929" s="22"/>
      <c r="L929" s="460"/>
      <c r="M929" s="22"/>
      <c r="N929" s="461"/>
      <c r="O929" s="260"/>
      <c r="P929" s="258"/>
      <c r="Q929" s="22"/>
      <c r="R929" s="22"/>
      <c r="S929" s="115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15"/>
    </row>
    <row r="930" ht="15.75" customHeight="1">
      <c r="A930" s="114"/>
      <c r="B930" s="115"/>
      <c r="C930" s="115"/>
      <c r="D930" s="115"/>
      <c r="E930" s="115"/>
      <c r="F930" s="22"/>
      <c r="G930" s="22"/>
      <c r="H930" s="22"/>
      <c r="I930" s="258"/>
      <c r="J930" s="22"/>
      <c r="K930" s="22"/>
      <c r="L930" s="460"/>
      <c r="M930" s="22"/>
      <c r="N930" s="461"/>
      <c r="O930" s="260"/>
      <c r="P930" s="258"/>
      <c r="Q930" s="22"/>
      <c r="R930" s="22"/>
      <c r="S930" s="115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15"/>
    </row>
    <row r="931" ht="15.75" customHeight="1">
      <c r="A931" s="114"/>
      <c r="B931" s="115"/>
      <c r="C931" s="115"/>
      <c r="D931" s="115"/>
      <c r="E931" s="115"/>
      <c r="F931" s="22"/>
      <c r="G931" s="22"/>
      <c r="H931" s="22"/>
      <c r="I931" s="258"/>
      <c r="J931" s="22"/>
      <c r="K931" s="22"/>
      <c r="L931" s="460"/>
      <c r="M931" s="22"/>
      <c r="N931" s="461"/>
      <c r="O931" s="260"/>
      <c r="P931" s="258"/>
      <c r="Q931" s="22"/>
      <c r="R931" s="22"/>
      <c r="S931" s="115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15"/>
    </row>
    <row r="932" ht="15.75" customHeight="1">
      <c r="A932" s="114"/>
      <c r="B932" s="115"/>
      <c r="C932" s="115"/>
      <c r="D932" s="115"/>
      <c r="E932" s="115"/>
      <c r="F932" s="22"/>
      <c r="G932" s="22"/>
      <c r="H932" s="22"/>
      <c r="I932" s="258"/>
      <c r="J932" s="22"/>
      <c r="K932" s="22"/>
      <c r="L932" s="460"/>
      <c r="M932" s="22"/>
      <c r="N932" s="461"/>
      <c r="O932" s="260"/>
      <c r="P932" s="258"/>
      <c r="Q932" s="22"/>
      <c r="R932" s="22"/>
      <c r="S932" s="115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15"/>
    </row>
    <row r="933" ht="15.75" customHeight="1">
      <c r="A933" s="114"/>
      <c r="B933" s="115"/>
      <c r="C933" s="115"/>
      <c r="D933" s="115"/>
      <c r="E933" s="115"/>
      <c r="F933" s="22"/>
      <c r="G933" s="22"/>
      <c r="H933" s="22"/>
      <c r="I933" s="258"/>
      <c r="J933" s="22"/>
      <c r="K933" s="22"/>
      <c r="L933" s="460"/>
      <c r="M933" s="22"/>
      <c r="N933" s="461"/>
      <c r="O933" s="260"/>
      <c r="P933" s="258"/>
      <c r="Q933" s="22"/>
      <c r="R933" s="22"/>
      <c r="S933" s="115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15"/>
    </row>
    <row r="934" ht="15.75" customHeight="1">
      <c r="A934" s="114"/>
      <c r="B934" s="115"/>
      <c r="C934" s="115"/>
      <c r="D934" s="115"/>
      <c r="E934" s="115"/>
      <c r="F934" s="22"/>
      <c r="G934" s="22"/>
      <c r="H934" s="22"/>
      <c r="I934" s="258"/>
      <c r="J934" s="22"/>
      <c r="K934" s="22"/>
      <c r="L934" s="460"/>
      <c r="M934" s="22"/>
      <c r="N934" s="461"/>
      <c r="O934" s="260"/>
      <c r="P934" s="258"/>
      <c r="Q934" s="22"/>
      <c r="R934" s="22"/>
      <c r="S934" s="115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15"/>
    </row>
    <row r="935" ht="15.75" customHeight="1">
      <c r="A935" s="114"/>
      <c r="B935" s="115"/>
      <c r="C935" s="115"/>
      <c r="D935" s="115"/>
      <c r="E935" s="115"/>
      <c r="F935" s="22"/>
      <c r="G935" s="22"/>
      <c r="H935" s="22"/>
      <c r="I935" s="258"/>
      <c r="J935" s="22"/>
      <c r="K935" s="22"/>
      <c r="L935" s="460"/>
      <c r="M935" s="22"/>
      <c r="N935" s="461"/>
      <c r="O935" s="260"/>
      <c r="P935" s="258"/>
      <c r="Q935" s="22"/>
      <c r="R935" s="22"/>
      <c r="S935" s="115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15"/>
    </row>
    <row r="936" ht="15.75" customHeight="1">
      <c r="A936" s="114"/>
      <c r="B936" s="115"/>
      <c r="C936" s="115"/>
      <c r="D936" s="115"/>
      <c r="E936" s="115"/>
      <c r="F936" s="22"/>
      <c r="G936" s="22"/>
      <c r="H936" s="22"/>
      <c r="I936" s="258"/>
      <c r="J936" s="22"/>
      <c r="K936" s="22"/>
      <c r="L936" s="460"/>
      <c r="M936" s="22"/>
      <c r="N936" s="461"/>
      <c r="O936" s="260"/>
      <c r="P936" s="258"/>
      <c r="Q936" s="22"/>
      <c r="R936" s="22"/>
      <c r="S936" s="115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15"/>
    </row>
    <row r="937" ht="15.75" customHeight="1">
      <c r="A937" s="114"/>
      <c r="B937" s="115"/>
      <c r="C937" s="115"/>
      <c r="D937" s="115"/>
      <c r="E937" s="115"/>
      <c r="F937" s="22"/>
      <c r="G937" s="22"/>
      <c r="H937" s="22"/>
      <c r="I937" s="258"/>
      <c r="J937" s="22"/>
      <c r="K937" s="22"/>
      <c r="L937" s="460"/>
      <c r="M937" s="22"/>
      <c r="N937" s="461"/>
      <c r="O937" s="260"/>
      <c r="P937" s="258"/>
      <c r="Q937" s="22"/>
      <c r="R937" s="22"/>
      <c r="S937" s="115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15"/>
    </row>
    <row r="938" ht="15.75" customHeight="1">
      <c r="A938" s="114"/>
      <c r="B938" s="115"/>
      <c r="C938" s="115"/>
      <c r="D938" s="115"/>
      <c r="E938" s="115"/>
      <c r="F938" s="22"/>
      <c r="G938" s="22"/>
      <c r="H938" s="22"/>
      <c r="I938" s="258"/>
      <c r="J938" s="22"/>
      <c r="K938" s="22"/>
      <c r="L938" s="460"/>
      <c r="M938" s="22"/>
      <c r="N938" s="461"/>
      <c r="O938" s="260"/>
      <c r="P938" s="258"/>
      <c r="Q938" s="22"/>
      <c r="R938" s="22"/>
      <c r="S938" s="115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15"/>
    </row>
    <row r="939" ht="15.75" customHeight="1">
      <c r="A939" s="114"/>
      <c r="B939" s="115"/>
      <c r="C939" s="115"/>
      <c r="D939" s="115"/>
      <c r="E939" s="115"/>
      <c r="F939" s="22"/>
      <c r="G939" s="22"/>
      <c r="H939" s="22"/>
      <c r="I939" s="258"/>
      <c r="J939" s="22"/>
      <c r="K939" s="22"/>
      <c r="L939" s="460"/>
      <c r="M939" s="22"/>
      <c r="N939" s="461"/>
      <c r="O939" s="260"/>
      <c r="P939" s="258"/>
      <c r="Q939" s="22"/>
      <c r="R939" s="22"/>
      <c r="S939" s="115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15"/>
    </row>
    <row r="940" ht="15.75" customHeight="1">
      <c r="A940" s="114"/>
      <c r="B940" s="115"/>
      <c r="C940" s="115"/>
      <c r="D940" s="115"/>
      <c r="E940" s="115"/>
      <c r="F940" s="22"/>
      <c r="G940" s="22"/>
      <c r="H940" s="22"/>
      <c r="I940" s="258"/>
      <c r="J940" s="22"/>
      <c r="K940" s="22"/>
      <c r="L940" s="460"/>
      <c r="M940" s="22"/>
      <c r="N940" s="461"/>
      <c r="O940" s="260"/>
      <c r="P940" s="258"/>
      <c r="Q940" s="22"/>
      <c r="R940" s="22"/>
      <c r="S940" s="115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15"/>
    </row>
    <row r="941" ht="15.75" customHeight="1">
      <c r="A941" s="114"/>
      <c r="B941" s="115"/>
      <c r="C941" s="115"/>
      <c r="D941" s="115"/>
      <c r="E941" s="115"/>
      <c r="F941" s="22"/>
      <c r="G941" s="22"/>
      <c r="H941" s="22"/>
      <c r="I941" s="258"/>
      <c r="J941" s="22"/>
      <c r="K941" s="22"/>
      <c r="L941" s="460"/>
      <c r="M941" s="22"/>
      <c r="N941" s="461"/>
      <c r="O941" s="260"/>
      <c r="P941" s="258"/>
      <c r="Q941" s="22"/>
      <c r="R941" s="22"/>
      <c r="S941" s="115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15"/>
    </row>
    <row r="942" ht="15.75" customHeight="1">
      <c r="A942" s="114"/>
      <c r="B942" s="115"/>
      <c r="C942" s="115"/>
      <c r="D942" s="115"/>
      <c r="E942" s="115"/>
      <c r="F942" s="22"/>
      <c r="G942" s="22"/>
      <c r="H942" s="22"/>
      <c r="I942" s="258"/>
      <c r="J942" s="22"/>
      <c r="K942" s="22"/>
      <c r="L942" s="460"/>
      <c r="M942" s="22"/>
      <c r="N942" s="461"/>
      <c r="O942" s="260"/>
      <c r="P942" s="258"/>
      <c r="Q942" s="22"/>
      <c r="R942" s="22"/>
      <c r="S942" s="115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15"/>
    </row>
    <row r="943" ht="15.75" customHeight="1">
      <c r="A943" s="114"/>
      <c r="B943" s="115"/>
      <c r="C943" s="115"/>
      <c r="D943" s="115"/>
      <c r="E943" s="115"/>
      <c r="F943" s="22"/>
      <c r="G943" s="22"/>
      <c r="H943" s="22"/>
      <c r="I943" s="258"/>
      <c r="J943" s="22"/>
      <c r="K943" s="22"/>
      <c r="L943" s="460"/>
      <c r="M943" s="22"/>
      <c r="N943" s="461"/>
      <c r="O943" s="260"/>
      <c r="P943" s="258"/>
      <c r="Q943" s="22"/>
      <c r="R943" s="22"/>
      <c r="S943" s="115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15"/>
    </row>
    <row r="944" ht="15.75" customHeight="1">
      <c r="A944" s="114"/>
      <c r="B944" s="115"/>
      <c r="C944" s="115"/>
      <c r="D944" s="115"/>
      <c r="E944" s="115"/>
      <c r="F944" s="22"/>
      <c r="G944" s="22"/>
      <c r="H944" s="22"/>
      <c r="I944" s="258"/>
      <c r="J944" s="22"/>
      <c r="K944" s="22"/>
      <c r="L944" s="460"/>
      <c r="M944" s="22"/>
      <c r="N944" s="461"/>
      <c r="O944" s="260"/>
      <c r="P944" s="258"/>
      <c r="Q944" s="22"/>
      <c r="R944" s="22"/>
      <c r="S944" s="115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15"/>
    </row>
    <row r="945" ht="15.75" customHeight="1">
      <c r="A945" s="114"/>
      <c r="B945" s="115"/>
      <c r="C945" s="115"/>
      <c r="D945" s="115"/>
      <c r="E945" s="115"/>
      <c r="F945" s="22"/>
      <c r="G945" s="22"/>
      <c r="H945" s="22"/>
      <c r="I945" s="258"/>
      <c r="J945" s="22"/>
      <c r="K945" s="22"/>
      <c r="L945" s="460"/>
      <c r="M945" s="22"/>
      <c r="N945" s="461"/>
      <c r="O945" s="260"/>
      <c r="P945" s="258"/>
      <c r="Q945" s="22"/>
      <c r="R945" s="22"/>
      <c r="S945" s="115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15"/>
    </row>
    <row r="946" ht="15.75" customHeight="1">
      <c r="A946" s="114"/>
      <c r="B946" s="115"/>
      <c r="C946" s="115"/>
      <c r="D946" s="115"/>
      <c r="E946" s="115"/>
      <c r="F946" s="22"/>
      <c r="G946" s="22"/>
      <c r="H946" s="22"/>
      <c r="I946" s="258"/>
      <c r="J946" s="22"/>
      <c r="K946" s="22"/>
      <c r="L946" s="460"/>
      <c r="M946" s="22"/>
      <c r="N946" s="461"/>
      <c r="O946" s="260"/>
      <c r="P946" s="258"/>
      <c r="Q946" s="22"/>
      <c r="R946" s="22"/>
      <c r="S946" s="115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15"/>
    </row>
    <row r="947" ht="15.75" customHeight="1">
      <c r="A947" s="114"/>
      <c r="B947" s="115"/>
      <c r="C947" s="115"/>
      <c r="D947" s="115"/>
      <c r="E947" s="115"/>
      <c r="F947" s="22"/>
      <c r="G947" s="22"/>
      <c r="H947" s="22"/>
      <c r="I947" s="258"/>
      <c r="J947" s="22"/>
      <c r="K947" s="22"/>
      <c r="L947" s="460"/>
      <c r="M947" s="22"/>
      <c r="N947" s="461"/>
      <c r="O947" s="260"/>
      <c r="P947" s="258"/>
      <c r="Q947" s="22"/>
      <c r="R947" s="22"/>
      <c r="S947" s="115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15"/>
    </row>
    <row r="948" ht="15.75" customHeight="1">
      <c r="A948" s="114"/>
      <c r="B948" s="115"/>
      <c r="C948" s="115"/>
      <c r="D948" s="115"/>
      <c r="E948" s="115"/>
      <c r="F948" s="22"/>
      <c r="G948" s="22"/>
      <c r="H948" s="22"/>
      <c r="I948" s="258"/>
      <c r="J948" s="22"/>
      <c r="K948" s="22"/>
      <c r="L948" s="460"/>
      <c r="M948" s="22"/>
      <c r="N948" s="461"/>
      <c r="O948" s="260"/>
      <c r="P948" s="258"/>
      <c r="Q948" s="22"/>
      <c r="R948" s="22"/>
      <c r="S948" s="115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15"/>
    </row>
    <row r="949" ht="15.75" customHeight="1">
      <c r="A949" s="114"/>
      <c r="B949" s="115"/>
      <c r="C949" s="115"/>
      <c r="D949" s="115"/>
      <c r="E949" s="115"/>
      <c r="F949" s="22"/>
      <c r="G949" s="22"/>
      <c r="H949" s="22"/>
      <c r="I949" s="258"/>
      <c r="J949" s="22"/>
      <c r="K949" s="22"/>
      <c r="L949" s="460"/>
      <c r="M949" s="22"/>
      <c r="N949" s="461"/>
      <c r="O949" s="260"/>
      <c r="P949" s="258"/>
      <c r="Q949" s="22"/>
      <c r="R949" s="22"/>
      <c r="S949" s="115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15"/>
    </row>
    <row r="950" ht="15.75" customHeight="1">
      <c r="A950" s="114"/>
      <c r="B950" s="115"/>
      <c r="C950" s="115"/>
      <c r="D950" s="115"/>
      <c r="E950" s="115"/>
      <c r="F950" s="22"/>
      <c r="G950" s="22"/>
      <c r="H950" s="22"/>
      <c r="I950" s="258"/>
      <c r="J950" s="22"/>
      <c r="K950" s="22"/>
      <c r="L950" s="460"/>
      <c r="M950" s="22"/>
      <c r="N950" s="461"/>
      <c r="O950" s="260"/>
      <c r="P950" s="258"/>
      <c r="Q950" s="22"/>
      <c r="R950" s="22"/>
      <c r="S950" s="115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15"/>
    </row>
    <row r="951" ht="15.75" customHeight="1">
      <c r="A951" s="114"/>
      <c r="B951" s="115"/>
      <c r="C951" s="115"/>
      <c r="D951" s="115"/>
      <c r="E951" s="115"/>
      <c r="F951" s="22"/>
      <c r="G951" s="22"/>
      <c r="H951" s="22"/>
      <c r="I951" s="258"/>
      <c r="J951" s="22"/>
      <c r="K951" s="22"/>
      <c r="L951" s="460"/>
      <c r="M951" s="22"/>
      <c r="N951" s="461"/>
      <c r="O951" s="260"/>
      <c r="P951" s="258"/>
      <c r="Q951" s="22"/>
      <c r="R951" s="22"/>
      <c r="S951" s="115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15"/>
    </row>
    <row r="952" ht="15.75" customHeight="1">
      <c r="A952" s="114"/>
      <c r="B952" s="115"/>
      <c r="C952" s="115"/>
      <c r="D952" s="115"/>
      <c r="E952" s="115"/>
      <c r="F952" s="22"/>
      <c r="G952" s="22"/>
      <c r="H952" s="22"/>
      <c r="I952" s="258"/>
      <c r="J952" s="22"/>
      <c r="K952" s="22"/>
      <c r="L952" s="460"/>
      <c r="M952" s="22"/>
      <c r="N952" s="461"/>
      <c r="O952" s="260"/>
      <c r="P952" s="258"/>
      <c r="Q952" s="22"/>
      <c r="R952" s="22"/>
      <c r="S952" s="115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15"/>
    </row>
    <row r="953" ht="15.75" customHeight="1">
      <c r="A953" s="114"/>
      <c r="B953" s="115"/>
      <c r="C953" s="115"/>
      <c r="D953" s="115"/>
      <c r="E953" s="115"/>
      <c r="F953" s="22"/>
      <c r="G953" s="22"/>
      <c r="H953" s="22"/>
      <c r="I953" s="258"/>
      <c r="J953" s="22"/>
      <c r="K953" s="22"/>
      <c r="L953" s="460"/>
      <c r="M953" s="22"/>
      <c r="N953" s="461"/>
      <c r="O953" s="260"/>
      <c r="P953" s="258"/>
      <c r="Q953" s="22"/>
      <c r="R953" s="22"/>
      <c r="S953" s="115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15"/>
    </row>
    <row r="954" ht="15.75" customHeight="1">
      <c r="A954" s="114"/>
      <c r="B954" s="115"/>
      <c r="C954" s="115"/>
      <c r="D954" s="115"/>
      <c r="E954" s="115"/>
      <c r="F954" s="22"/>
      <c r="G954" s="22"/>
      <c r="H954" s="22"/>
      <c r="I954" s="258"/>
      <c r="J954" s="22"/>
      <c r="K954" s="22"/>
      <c r="L954" s="460"/>
      <c r="M954" s="22"/>
      <c r="N954" s="461"/>
      <c r="O954" s="260"/>
      <c r="P954" s="258"/>
      <c r="Q954" s="22"/>
      <c r="R954" s="22"/>
      <c r="S954" s="115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15"/>
    </row>
    <row r="955" ht="15.75" customHeight="1">
      <c r="A955" s="114"/>
      <c r="B955" s="115"/>
      <c r="C955" s="115"/>
      <c r="D955" s="115"/>
      <c r="E955" s="115"/>
      <c r="F955" s="22"/>
      <c r="G955" s="22"/>
      <c r="H955" s="22"/>
      <c r="I955" s="258"/>
      <c r="J955" s="22"/>
      <c r="K955" s="22"/>
      <c r="L955" s="460"/>
      <c r="M955" s="22"/>
      <c r="N955" s="461"/>
      <c r="O955" s="260"/>
      <c r="P955" s="258"/>
      <c r="Q955" s="22"/>
      <c r="R955" s="22"/>
      <c r="S955" s="115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15"/>
    </row>
    <row r="956" ht="15.75" customHeight="1">
      <c r="A956" s="114"/>
      <c r="B956" s="115"/>
      <c r="C956" s="115"/>
      <c r="D956" s="115"/>
      <c r="E956" s="115"/>
      <c r="F956" s="22"/>
      <c r="G956" s="22"/>
      <c r="H956" s="22"/>
      <c r="I956" s="258"/>
      <c r="J956" s="22"/>
      <c r="K956" s="22"/>
      <c r="L956" s="460"/>
      <c r="M956" s="22"/>
      <c r="N956" s="461"/>
      <c r="O956" s="260"/>
      <c r="P956" s="258"/>
      <c r="Q956" s="22"/>
      <c r="R956" s="22"/>
      <c r="S956" s="115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15"/>
    </row>
    <row r="957" ht="15.75" customHeight="1">
      <c r="A957" s="114"/>
      <c r="B957" s="115"/>
      <c r="C957" s="115"/>
      <c r="D957" s="115"/>
      <c r="E957" s="115"/>
      <c r="F957" s="22"/>
      <c r="G957" s="22"/>
      <c r="H957" s="22"/>
      <c r="I957" s="258"/>
      <c r="J957" s="22"/>
      <c r="K957" s="22"/>
      <c r="L957" s="460"/>
      <c r="M957" s="22"/>
      <c r="N957" s="461"/>
      <c r="O957" s="260"/>
      <c r="P957" s="258"/>
      <c r="Q957" s="22"/>
      <c r="R957" s="22"/>
      <c r="S957" s="115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15"/>
    </row>
    <row r="958" ht="15.75" customHeight="1">
      <c r="A958" s="114"/>
      <c r="B958" s="115"/>
      <c r="C958" s="115"/>
      <c r="D958" s="115"/>
      <c r="E958" s="115"/>
      <c r="F958" s="22"/>
      <c r="G958" s="22"/>
      <c r="H958" s="22"/>
      <c r="I958" s="258"/>
      <c r="J958" s="22"/>
      <c r="K958" s="22"/>
      <c r="L958" s="460"/>
      <c r="M958" s="22"/>
      <c r="N958" s="461"/>
      <c r="O958" s="260"/>
      <c r="P958" s="258"/>
      <c r="Q958" s="22"/>
      <c r="R958" s="22"/>
      <c r="S958" s="115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15"/>
    </row>
    <row r="959" ht="15.75" customHeight="1">
      <c r="A959" s="114"/>
      <c r="B959" s="115"/>
      <c r="C959" s="115"/>
      <c r="D959" s="115"/>
      <c r="E959" s="115"/>
      <c r="F959" s="22"/>
      <c r="G959" s="22"/>
      <c r="H959" s="22"/>
      <c r="I959" s="258"/>
      <c r="J959" s="22"/>
      <c r="K959" s="22"/>
      <c r="L959" s="460"/>
      <c r="M959" s="22"/>
      <c r="N959" s="461"/>
      <c r="O959" s="260"/>
      <c r="P959" s="258"/>
      <c r="Q959" s="22"/>
      <c r="R959" s="22"/>
      <c r="S959" s="115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15"/>
    </row>
    <row r="960" ht="15.75" customHeight="1">
      <c r="A960" s="114"/>
      <c r="B960" s="115"/>
      <c r="C960" s="115"/>
      <c r="D960" s="115"/>
      <c r="E960" s="115"/>
      <c r="F960" s="22"/>
      <c r="G960" s="22"/>
      <c r="H960" s="22"/>
      <c r="I960" s="258"/>
      <c r="J960" s="22"/>
      <c r="K960" s="22"/>
      <c r="L960" s="460"/>
      <c r="M960" s="22"/>
      <c r="N960" s="461"/>
      <c r="O960" s="260"/>
      <c r="P960" s="258"/>
      <c r="Q960" s="22"/>
      <c r="R960" s="22"/>
      <c r="S960" s="115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15"/>
    </row>
    <row r="961" ht="15.75" customHeight="1">
      <c r="A961" s="114"/>
      <c r="B961" s="115"/>
      <c r="C961" s="115"/>
      <c r="D961" s="115"/>
      <c r="E961" s="115"/>
      <c r="F961" s="22"/>
      <c r="G961" s="22"/>
      <c r="H961" s="22"/>
      <c r="I961" s="258"/>
      <c r="J961" s="22"/>
      <c r="K961" s="22"/>
      <c r="L961" s="460"/>
      <c r="M961" s="22"/>
      <c r="N961" s="461"/>
      <c r="O961" s="260"/>
      <c r="P961" s="258"/>
      <c r="Q961" s="22"/>
      <c r="R961" s="22"/>
      <c r="S961" s="115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15"/>
    </row>
    <row r="962" ht="15.75" customHeight="1">
      <c r="A962" s="114"/>
      <c r="B962" s="115"/>
      <c r="C962" s="115"/>
      <c r="D962" s="115"/>
      <c r="E962" s="115"/>
      <c r="F962" s="22"/>
      <c r="G962" s="22"/>
      <c r="H962" s="22"/>
      <c r="I962" s="258"/>
      <c r="J962" s="22"/>
      <c r="K962" s="22"/>
      <c r="L962" s="460"/>
      <c r="M962" s="22"/>
      <c r="N962" s="461"/>
      <c r="O962" s="260"/>
      <c r="P962" s="258"/>
      <c r="Q962" s="22"/>
      <c r="R962" s="22"/>
      <c r="S962" s="115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15"/>
    </row>
    <row r="963" ht="15.75" customHeight="1">
      <c r="A963" s="114"/>
      <c r="B963" s="115"/>
      <c r="C963" s="115"/>
      <c r="D963" s="115"/>
      <c r="E963" s="115"/>
      <c r="F963" s="22"/>
      <c r="G963" s="22"/>
      <c r="H963" s="22"/>
      <c r="I963" s="258"/>
      <c r="J963" s="22"/>
      <c r="K963" s="22"/>
      <c r="L963" s="460"/>
      <c r="M963" s="22"/>
      <c r="N963" s="461"/>
      <c r="O963" s="260"/>
      <c r="P963" s="258"/>
      <c r="Q963" s="22"/>
      <c r="R963" s="22"/>
      <c r="S963" s="115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15"/>
    </row>
    <row r="964" ht="15.75" customHeight="1">
      <c r="A964" s="114"/>
      <c r="B964" s="115"/>
      <c r="C964" s="115"/>
      <c r="D964" s="115"/>
      <c r="E964" s="115"/>
      <c r="F964" s="22"/>
      <c r="G964" s="22"/>
      <c r="H964" s="22"/>
      <c r="I964" s="258"/>
      <c r="J964" s="22"/>
      <c r="K964" s="22"/>
      <c r="L964" s="460"/>
      <c r="M964" s="22"/>
      <c r="N964" s="461"/>
      <c r="O964" s="260"/>
      <c r="P964" s="258"/>
      <c r="Q964" s="22"/>
      <c r="R964" s="22"/>
      <c r="S964" s="115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15"/>
    </row>
    <row r="965" ht="15.75" customHeight="1">
      <c r="A965" s="114"/>
      <c r="B965" s="115"/>
      <c r="C965" s="115"/>
      <c r="D965" s="115"/>
      <c r="E965" s="115"/>
      <c r="F965" s="22"/>
      <c r="G965" s="22"/>
      <c r="H965" s="22"/>
      <c r="I965" s="258"/>
      <c r="J965" s="22"/>
      <c r="K965" s="22"/>
      <c r="L965" s="460"/>
      <c r="M965" s="22"/>
      <c r="N965" s="461"/>
      <c r="O965" s="260"/>
      <c r="P965" s="258"/>
      <c r="Q965" s="22"/>
      <c r="R965" s="22"/>
      <c r="S965" s="115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15"/>
    </row>
    <row r="966" ht="15.75" customHeight="1">
      <c r="A966" s="114"/>
      <c r="B966" s="115"/>
      <c r="C966" s="115"/>
      <c r="D966" s="115"/>
      <c r="E966" s="115"/>
      <c r="F966" s="22"/>
      <c r="G966" s="22"/>
      <c r="H966" s="22"/>
      <c r="I966" s="258"/>
      <c r="J966" s="22"/>
      <c r="K966" s="22"/>
      <c r="L966" s="460"/>
      <c r="M966" s="22"/>
      <c r="N966" s="461"/>
      <c r="O966" s="260"/>
      <c r="P966" s="258"/>
      <c r="Q966" s="22"/>
      <c r="R966" s="22"/>
      <c r="S966" s="115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15"/>
    </row>
    <row r="967" ht="15.75" customHeight="1">
      <c r="A967" s="114"/>
      <c r="B967" s="115"/>
      <c r="C967" s="115"/>
      <c r="D967" s="115"/>
      <c r="E967" s="115"/>
      <c r="F967" s="22"/>
      <c r="G967" s="22"/>
      <c r="H967" s="22"/>
      <c r="I967" s="258"/>
      <c r="J967" s="22"/>
      <c r="K967" s="22"/>
      <c r="L967" s="460"/>
      <c r="M967" s="22"/>
      <c r="N967" s="461"/>
      <c r="O967" s="260"/>
      <c r="P967" s="258"/>
      <c r="Q967" s="22"/>
      <c r="R967" s="22"/>
      <c r="S967" s="115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15"/>
    </row>
    <row r="968" ht="15.75" customHeight="1">
      <c r="A968" s="114"/>
      <c r="B968" s="115"/>
      <c r="C968" s="115"/>
      <c r="D968" s="115"/>
      <c r="E968" s="115"/>
      <c r="F968" s="22"/>
      <c r="G968" s="22"/>
      <c r="H968" s="22"/>
      <c r="I968" s="258"/>
      <c r="J968" s="22"/>
      <c r="K968" s="22"/>
      <c r="L968" s="460"/>
      <c r="M968" s="22"/>
      <c r="N968" s="461"/>
      <c r="O968" s="260"/>
      <c r="P968" s="258"/>
      <c r="Q968" s="22"/>
      <c r="R968" s="22"/>
      <c r="S968" s="115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15"/>
    </row>
    <row r="969" ht="15.75" customHeight="1">
      <c r="A969" s="114"/>
      <c r="B969" s="115"/>
      <c r="C969" s="115"/>
      <c r="D969" s="115"/>
      <c r="E969" s="115"/>
      <c r="F969" s="22"/>
      <c r="G969" s="22"/>
      <c r="H969" s="22"/>
      <c r="I969" s="258"/>
      <c r="J969" s="22"/>
      <c r="K969" s="22"/>
      <c r="L969" s="460"/>
      <c r="M969" s="22"/>
      <c r="N969" s="461"/>
      <c r="O969" s="260"/>
      <c r="P969" s="258"/>
      <c r="Q969" s="22"/>
      <c r="R969" s="22"/>
      <c r="S969" s="115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15"/>
    </row>
    <row r="970" ht="15.75" customHeight="1">
      <c r="A970" s="114"/>
      <c r="B970" s="115"/>
      <c r="C970" s="115"/>
      <c r="D970" s="115"/>
      <c r="E970" s="115"/>
      <c r="F970" s="22"/>
      <c r="G970" s="22"/>
      <c r="H970" s="22"/>
      <c r="I970" s="258"/>
      <c r="J970" s="22"/>
      <c r="K970" s="22"/>
      <c r="L970" s="460"/>
      <c r="M970" s="22"/>
      <c r="N970" s="461"/>
      <c r="O970" s="260"/>
      <c r="P970" s="258"/>
      <c r="Q970" s="22"/>
      <c r="R970" s="22"/>
      <c r="S970" s="115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15"/>
    </row>
    <row r="971" ht="15.75" customHeight="1">
      <c r="A971" s="114"/>
      <c r="B971" s="115"/>
      <c r="C971" s="115"/>
      <c r="D971" s="115"/>
      <c r="E971" s="115"/>
      <c r="F971" s="22"/>
      <c r="G971" s="22"/>
      <c r="H971" s="22"/>
      <c r="I971" s="258"/>
      <c r="J971" s="22"/>
      <c r="K971" s="22"/>
      <c r="L971" s="460"/>
      <c r="M971" s="22"/>
      <c r="N971" s="461"/>
      <c r="O971" s="260"/>
      <c r="P971" s="258"/>
      <c r="Q971" s="22"/>
      <c r="R971" s="22"/>
      <c r="S971" s="115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15"/>
    </row>
    <row r="972" ht="15.75" customHeight="1">
      <c r="A972" s="114"/>
      <c r="B972" s="115"/>
      <c r="C972" s="115"/>
      <c r="D972" s="115"/>
      <c r="E972" s="115"/>
      <c r="F972" s="22"/>
      <c r="G972" s="22"/>
      <c r="H972" s="22"/>
      <c r="I972" s="258"/>
      <c r="J972" s="22"/>
      <c r="K972" s="22"/>
      <c r="L972" s="460"/>
      <c r="M972" s="22"/>
      <c r="N972" s="461"/>
      <c r="O972" s="260"/>
      <c r="P972" s="258"/>
      <c r="Q972" s="22"/>
      <c r="R972" s="22"/>
      <c r="S972" s="115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15"/>
    </row>
    <row r="973" ht="15.75" customHeight="1">
      <c r="A973" s="114"/>
      <c r="B973" s="115"/>
      <c r="C973" s="115"/>
      <c r="D973" s="115"/>
      <c r="E973" s="115"/>
      <c r="F973" s="22"/>
      <c r="G973" s="22"/>
      <c r="H973" s="22"/>
      <c r="I973" s="258"/>
      <c r="J973" s="22"/>
      <c r="K973" s="22"/>
      <c r="L973" s="460"/>
      <c r="M973" s="22"/>
      <c r="N973" s="461"/>
      <c r="O973" s="260"/>
      <c r="P973" s="258"/>
      <c r="Q973" s="22"/>
      <c r="R973" s="22"/>
      <c r="S973" s="115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15"/>
    </row>
    <row r="974" ht="15.75" customHeight="1">
      <c r="A974" s="114"/>
      <c r="B974" s="115"/>
      <c r="C974" s="115"/>
      <c r="D974" s="115"/>
      <c r="E974" s="115"/>
      <c r="F974" s="22"/>
      <c r="G974" s="22"/>
      <c r="H974" s="22"/>
      <c r="I974" s="258"/>
      <c r="J974" s="22"/>
      <c r="K974" s="22"/>
      <c r="L974" s="460"/>
      <c r="M974" s="22"/>
      <c r="N974" s="461"/>
      <c r="O974" s="260"/>
      <c r="P974" s="258"/>
      <c r="Q974" s="22"/>
      <c r="R974" s="22"/>
      <c r="S974" s="115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15"/>
    </row>
    <row r="975" ht="15.75" customHeight="1">
      <c r="A975" s="114"/>
      <c r="B975" s="115"/>
      <c r="C975" s="115"/>
      <c r="D975" s="115"/>
      <c r="E975" s="115"/>
      <c r="F975" s="22"/>
      <c r="G975" s="22"/>
      <c r="H975" s="22"/>
      <c r="I975" s="258"/>
      <c r="J975" s="22"/>
      <c r="K975" s="22"/>
      <c r="L975" s="460"/>
      <c r="M975" s="22"/>
      <c r="N975" s="461"/>
      <c r="O975" s="260"/>
      <c r="P975" s="258"/>
      <c r="Q975" s="22"/>
      <c r="R975" s="22"/>
      <c r="S975" s="115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15"/>
    </row>
    <row r="976" ht="15.75" customHeight="1">
      <c r="A976" s="114"/>
      <c r="B976" s="115"/>
      <c r="C976" s="115"/>
      <c r="D976" s="115"/>
      <c r="E976" s="115"/>
      <c r="F976" s="22"/>
      <c r="G976" s="22"/>
      <c r="H976" s="22"/>
      <c r="I976" s="258"/>
      <c r="J976" s="22"/>
      <c r="K976" s="22"/>
      <c r="L976" s="460"/>
      <c r="M976" s="22"/>
      <c r="N976" s="461"/>
      <c r="O976" s="260"/>
      <c r="P976" s="258"/>
      <c r="Q976" s="22"/>
      <c r="R976" s="22"/>
      <c r="S976" s="115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15"/>
    </row>
    <row r="977" ht="15.75" customHeight="1">
      <c r="A977" s="114"/>
      <c r="B977" s="115"/>
      <c r="C977" s="115"/>
      <c r="D977" s="115"/>
      <c r="E977" s="115"/>
      <c r="F977" s="22"/>
      <c r="G977" s="22"/>
      <c r="H977" s="22"/>
      <c r="I977" s="258"/>
      <c r="J977" s="22"/>
      <c r="K977" s="22"/>
      <c r="L977" s="460"/>
      <c r="M977" s="22"/>
      <c r="N977" s="461"/>
      <c r="O977" s="260"/>
      <c r="P977" s="258"/>
      <c r="Q977" s="22"/>
      <c r="R977" s="22"/>
      <c r="S977" s="115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15"/>
    </row>
    <row r="978" ht="15.75" customHeight="1">
      <c r="A978" s="114"/>
      <c r="B978" s="115"/>
      <c r="C978" s="115"/>
      <c r="D978" s="115"/>
      <c r="E978" s="115"/>
      <c r="F978" s="22"/>
      <c r="G978" s="22"/>
      <c r="H978" s="22"/>
      <c r="I978" s="258"/>
      <c r="J978" s="22"/>
      <c r="K978" s="22"/>
      <c r="L978" s="460"/>
      <c r="M978" s="22"/>
      <c r="N978" s="461"/>
      <c r="O978" s="260"/>
      <c r="P978" s="258"/>
      <c r="Q978" s="22"/>
      <c r="R978" s="22"/>
      <c r="S978" s="115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15"/>
    </row>
    <row r="979" ht="15.75" customHeight="1">
      <c r="A979" s="114"/>
      <c r="B979" s="115"/>
      <c r="C979" s="115"/>
      <c r="D979" s="115"/>
      <c r="E979" s="115"/>
      <c r="F979" s="22"/>
      <c r="G979" s="22"/>
      <c r="H979" s="22"/>
      <c r="I979" s="258"/>
      <c r="J979" s="22"/>
      <c r="K979" s="22"/>
      <c r="L979" s="460"/>
      <c r="M979" s="22"/>
      <c r="N979" s="461"/>
      <c r="O979" s="260"/>
      <c r="P979" s="258"/>
      <c r="Q979" s="22"/>
      <c r="R979" s="22"/>
      <c r="S979" s="115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15"/>
    </row>
    <row r="980" ht="15.75" customHeight="1">
      <c r="A980" s="114"/>
      <c r="B980" s="115"/>
      <c r="C980" s="115"/>
      <c r="D980" s="115"/>
      <c r="E980" s="115"/>
      <c r="F980" s="22"/>
      <c r="G980" s="22"/>
      <c r="H980" s="22"/>
      <c r="I980" s="258"/>
      <c r="J980" s="22"/>
      <c r="K980" s="22"/>
      <c r="L980" s="460"/>
      <c r="M980" s="22"/>
      <c r="N980" s="461"/>
      <c r="O980" s="260"/>
      <c r="P980" s="258"/>
      <c r="Q980" s="22"/>
      <c r="R980" s="22"/>
      <c r="S980" s="115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15"/>
    </row>
    <row r="981" ht="15.75" customHeight="1">
      <c r="A981" s="114"/>
      <c r="B981" s="115"/>
      <c r="C981" s="115"/>
      <c r="D981" s="115"/>
      <c r="E981" s="115"/>
      <c r="F981" s="22"/>
      <c r="G981" s="22"/>
      <c r="H981" s="22"/>
      <c r="I981" s="258"/>
      <c r="J981" s="22"/>
      <c r="K981" s="22"/>
      <c r="L981" s="460"/>
      <c r="M981" s="22"/>
      <c r="N981" s="461"/>
      <c r="O981" s="260"/>
      <c r="P981" s="258"/>
      <c r="Q981" s="22"/>
      <c r="R981" s="22"/>
      <c r="S981" s="115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15"/>
    </row>
    <row r="982" ht="15.75" customHeight="1">
      <c r="A982" s="114"/>
      <c r="B982" s="115"/>
      <c r="C982" s="115"/>
      <c r="D982" s="115"/>
      <c r="E982" s="115"/>
      <c r="F982" s="22"/>
      <c r="G982" s="22"/>
      <c r="H982" s="22"/>
      <c r="I982" s="258"/>
      <c r="J982" s="22"/>
      <c r="K982" s="22"/>
      <c r="L982" s="460"/>
      <c r="M982" s="22"/>
      <c r="N982" s="461"/>
      <c r="O982" s="260"/>
      <c r="P982" s="258"/>
      <c r="Q982" s="22"/>
      <c r="R982" s="22"/>
      <c r="S982" s="115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15"/>
    </row>
    <row r="983" ht="15.75" customHeight="1">
      <c r="A983" s="114"/>
      <c r="B983" s="115"/>
      <c r="C983" s="115"/>
      <c r="D983" s="115"/>
      <c r="E983" s="115"/>
      <c r="F983" s="22"/>
      <c r="G983" s="22"/>
      <c r="H983" s="22"/>
      <c r="I983" s="258"/>
      <c r="J983" s="22"/>
      <c r="K983" s="22"/>
      <c r="L983" s="460"/>
      <c r="M983" s="22"/>
      <c r="N983" s="461"/>
      <c r="O983" s="260"/>
      <c r="P983" s="258"/>
      <c r="Q983" s="22"/>
      <c r="R983" s="22"/>
      <c r="S983" s="115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15"/>
    </row>
    <row r="984" ht="15.75" customHeight="1">
      <c r="A984" s="114"/>
      <c r="B984" s="115"/>
      <c r="C984" s="115"/>
      <c r="D984" s="115"/>
      <c r="E984" s="115"/>
      <c r="F984" s="22"/>
      <c r="G984" s="22"/>
      <c r="H984" s="22"/>
      <c r="I984" s="258"/>
      <c r="J984" s="22"/>
      <c r="K984" s="22"/>
      <c r="L984" s="460"/>
      <c r="M984" s="22"/>
      <c r="N984" s="461"/>
      <c r="O984" s="260"/>
      <c r="P984" s="258"/>
      <c r="Q984" s="22"/>
      <c r="R984" s="22"/>
      <c r="S984" s="115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15"/>
    </row>
    <row r="985" ht="15.75" customHeight="1">
      <c r="A985" s="114"/>
      <c r="B985" s="115"/>
      <c r="C985" s="115"/>
      <c r="D985" s="115"/>
      <c r="E985" s="115"/>
      <c r="F985" s="22"/>
      <c r="G985" s="22"/>
      <c r="H985" s="22"/>
      <c r="I985" s="258"/>
      <c r="J985" s="22"/>
      <c r="K985" s="22"/>
      <c r="L985" s="460"/>
      <c r="M985" s="22"/>
      <c r="N985" s="461"/>
      <c r="O985" s="260"/>
      <c r="P985" s="258"/>
      <c r="Q985" s="22"/>
      <c r="R985" s="22"/>
      <c r="S985" s="115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15"/>
    </row>
    <row r="986" ht="15.75" customHeight="1">
      <c r="A986" s="114"/>
      <c r="B986" s="115"/>
      <c r="C986" s="115"/>
      <c r="D986" s="115"/>
      <c r="E986" s="115"/>
      <c r="F986" s="22"/>
      <c r="G986" s="22"/>
      <c r="H986" s="22"/>
      <c r="I986" s="258"/>
      <c r="J986" s="22"/>
      <c r="K986" s="22"/>
      <c r="L986" s="460"/>
      <c r="M986" s="22"/>
      <c r="N986" s="461"/>
      <c r="O986" s="260"/>
      <c r="P986" s="258"/>
      <c r="Q986" s="22"/>
      <c r="R986" s="22"/>
      <c r="S986" s="115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15"/>
    </row>
    <row r="987" ht="15.75" customHeight="1">
      <c r="A987" s="114"/>
      <c r="B987" s="115"/>
      <c r="C987" s="115"/>
      <c r="D987" s="115"/>
      <c r="E987" s="115"/>
      <c r="F987" s="22"/>
      <c r="G987" s="22"/>
      <c r="H987" s="22"/>
      <c r="I987" s="258"/>
      <c r="J987" s="22"/>
      <c r="K987" s="22"/>
      <c r="L987" s="460"/>
      <c r="M987" s="22"/>
      <c r="N987" s="461"/>
      <c r="O987" s="260"/>
      <c r="P987" s="258"/>
      <c r="Q987" s="22"/>
      <c r="R987" s="22"/>
      <c r="S987" s="115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15"/>
    </row>
    <row r="988" ht="15.75" customHeight="1">
      <c r="A988" s="114"/>
      <c r="B988" s="115"/>
      <c r="C988" s="115"/>
      <c r="D988" s="115"/>
      <c r="E988" s="115"/>
      <c r="F988" s="22"/>
      <c r="G988" s="22"/>
      <c r="H988" s="22"/>
      <c r="I988" s="258"/>
      <c r="J988" s="22"/>
      <c r="K988" s="22"/>
      <c r="L988" s="460"/>
      <c r="M988" s="22"/>
      <c r="N988" s="461"/>
      <c r="O988" s="260"/>
      <c r="P988" s="258"/>
      <c r="Q988" s="22"/>
      <c r="R988" s="22"/>
      <c r="S988" s="115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15"/>
    </row>
    <row r="989" ht="15.75" customHeight="1">
      <c r="A989" s="114"/>
      <c r="B989" s="115"/>
      <c r="C989" s="115"/>
      <c r="D989" s="115"/>
      <c r="E989" s="115"/>
      <c r="F989" s="22"/>
      <c r="G989" s="22"/>
      <c r="H989" s="22"/>
      <c r="I989" s="258"/>
      <c r="J989" s="22"/>
      <c r="K989" s="22"/>
      <c r="L989" s="460"/>
      <c r="M989" s="22"/>
      <c r="N989" s="461"/>
      <c r="O989" s="260"/>
      <c r="P989" s="258"/>
      <c r="Q989" s="22"/>
      <c r="R989" s="22"/>
      <c r="S989" s="115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15"/>
    </row>
    <row r="990" ht="15.75" customHeight="1">
      <c r="A990" s="114"/>
      <c r="B990" s="115"/>
      <c r="C990" s="115"/>
      <c r="D990" s="115"/>
      <c r="E990" s="115"/>
      <c r="F990" s="22"/>
      <c r="G990" s="22"/>
      <c r="H990" s="22"/>
      <c r="I990" s="258"/>
      <c r="J990" s="22"/>
      <c r="K990" s="22"/>
      <c r="L990" s="460"/>
      <c r="M990" s="22"/>
      <c r="N990" s="461"/>
      <c r="O990" s="260"/>
      <c r="P990" s="258"/>
      <c r="Q990" s="22"/>
      <c r="R990" s="22"/>
      <c r="S990" s="115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15"/>
    </row>
    <row r="991" ht="15.75" customHeight="1">
      <c r="A991" s="114"/>
      <c r="B991" s="115"/>
      <c r="C991" s="115"/>
      <c r="D991" s="115"/>
      <c r="E991" s="115"/>
      <c r="F991" s="22"/>
      <c r="G991" s="22"/>
      <c r="H991" s="22"/>
      <c r="I991" s="258"/>
      <c r="J991" s="22"/>
      <c r="K991" s="22"/>
      <c r="L991" s="460"/>
      <c r="M991" s="22"/>
      <c r="N991" s="461"/>
      <c r="O991" s="260"/>
      <c r="P991" s="258"/>
      <c r="Q991" s="22"/>
      <c r="R991" s="22"/>
      <c r="S991" s="115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15"/>
    </row>
    <row r="992" ht="15.75" customHeight="1">
      <c r="A992" s="114"/>
      <c r="B992" s="115"/>
      <c r="C992" s="115"/>
      <c r="D992" s="115"/>
      <c r="E992" s="115"/>
      <c r="F992" s="22"/>
      <c r="G992" s="22"/>
      <c r="H992" s="22"/>
      <c r="I992" s="258"/>
      <c r="J992" s="22"/>
      <c r="K992" s="22"/>
      <c r="L992" s="460"/>
      <c r="M992" s="22"/>
      <c r="N992" s="461"/>
      <c r="O992" s="260"/>
      <c r="P992" s="258"/>
      <c r="Q992" s="22"/>
      <c r="R992" s="22"/>
      <c r="S992" s="115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15"/>
    </row>
    <row r="993" ht="15.75" customHeight="1">
      <c r="A993" s="114"/>
      <c r="B993" s="115"/>
      <c r="C993" s="115"/>
      <c r="D993" s="115"/>
      <c r="E993" s="115"/>
      <c r="F993" s="22"/>
      <c r="G993" s="22"/>
      <c r="H993" s="22"/>
      <c r="I993" s="258"/>
      <c r="J993" s="22"/>
      <c r="K993" s="22"/>
      <c r="L993" s="460"/>
      <c r="M993" s="22"/>
      <c r="N993" s="461"/>
      <c r="O993" s="260"/>
      <c r="P993" s="258"/>
      <c r="Q993" s="22"/>
      <c r="R993" s="22"/>
      <c r="S993" s="115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15"/>
    </row>
    <row r="994" ht="15.75" customHeight="1">
      <c r="A994" s="114"/>
      <c r="B994" s="115"/>
      <c r="C994" s="115"/>
      <c r="D994" s="115"/>
      <c r="E994" s="115"/>
      <c r="F994" s="22"/>
      <c r="G994" s="22"/>
      <c r="H994" s="22"/>
      <c r="I994" s="258"/>
      <c r="J994" s="22"/>
      <c r="K994" s="22"/>
      <c r="L994" s="460"/>
      <c r="M994" s="22"/>
      <c r="N994" s="461"/>
      <c r="O994" s="260"/>
      <c r="P994" s="258"/>
      <c r="Q994" s="22"/>
      <c r="R994" s="22"/>
      <c r="S994" s="115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15"/>
    </row>
    <row r="995" ht="15.75" customHeight="1">
      <c r="A995" s="114"/>
      <c r="B995" s="115"/>
      <c r="C995" s="115"/>
      <c r="D995" s="115"/>
      <c r="E995" s="115"/>
      <c r="F995" s="22"/>
      <c r="G995" s="22"/>
      <c r="H995" s="22"/>
      <c r="I995" s="258"/>
      <c r="J995" s="22"/>
      <c r="K995" s="22"/>
      <c r="L995" s="460"/>
      <c r="M995" s="22"/>
      <c r="N995" s="461"/>
      <c r="O995" s="260"/>
      <c r="P995" s="258"/>
      <c r="Q995" s="22"/>
      <c r="R995" s="22"/>
      <c r="S995" s="115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15"/>
    </row>
    <row r="996" ht="15.75" customHeight="1">
      <c r="A996" s="114"/>
      <c r="B996" s="115"/>
      <c r="C996" s="115"/>
      <c r="D996" s="115"/>
      <c r="E996" s="115"/>
      <c r="F996" s="22"/>
      <c r="G996" s="22"/>
      <c r="H996" s="22"/>
      <c r="I996" s="258"/>
      <c r="J996" s="22"/>
      <c r="K996" s="22"/>
      <c r="L996" s="460"/>
      <c r="M996" s="22"/>
      <c r="N996" s="461"/>
      <c r="O996" s="260"/>
      <c r="P996" s="258"/>
      <c r="Q996" s="22"/>
      <c r="R996" s="22"/>
      <c r="S996" s="115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15"/>
    </row>
    <row r="997" ht="15.75" customHeight="1">
      <c r="A997" s="114"/>
      <c r="B997" s="115"/>
      <c r="C997" s="115"/>
      <c r="D997" s="115"/>
      <c r="E997" s="115"/>
      <c r="F997" s="22"/>
      <c r="G997" s="22"/>
      <c r="H997" s="22"/>
      <c r="I997" s="258"/>
      <c r="J997" s="22"/>
      <c r="K997" s="22"/>
      <c r="L997" s="460"/>
      <c r="M997" s="22"/>
      <c r="N997" s="461"/>
      <c r="O997" s="260"/>
      <c r="P997" s="258"/>
      <c r="Q997" s="22"/>
      <c r="R997" s="22"/>
      <c r="S997" s="115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15"/>
    </row>
    <row r="998" ht="15.75" customHeight="1">
      <c r="A998" s="114"/>
      <c r="B998" s="115"/>
      <c r="C998" s="115"/>
      <c r="D998" s="115"/>
      <c r="E998" s="115"/>
      <c r="F998" s="22"/>
      <c r="G998" s="22"/>
      <c r="H998" s="22"/>
      <c r="I998" s="258"/>
      <c r="J998" s="22"/>
      <c r="K998" s="22"/>
      <c r="L998" s="460"/>
      <c r="M998" s="22"/>
      <c r="N998" s="461"/>
      <c r="O998" s="260"/>
      <c r="P998" s="258"/>
      <c r="Q998" s="22"/>
      <c r="R998" s="22"/>
      <c r="S998" s="115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15"/>
    </row>
    <row r="999" ht="15.75" customHeight="1">
      <c r="A999" s="114"/>
      <c r="B999" s="115"/>
      <c r="C999" s="115"/>
      <c r="D999" s="115"/>
      <c r="E999" s="115"/>
      <c r="F999" s="22"/>
      <c r="G999" s="22"/>
      <c r="H999" s="22"/>
      <c r="I999" s="258"/>
      <c r="J999" s="22"/>
      <c r="K999" s="22"/>
      <c r="L999" s="460"/>
      <c r="M999" s="22"/>
      <c r="N999" s="461"/>
      <c r="O999" s="260"/>
      <c r="P999" s="258"/>
      <c r="Q999" s="22"/>
      <c r="R999" s="22"/>
      <c r="S999" s="115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15"/>
    </row>
    <row r="1000" ht="15.75" customHeight="1">
      <c r="A1000" s="114"/>
      <c r="B1000" s="115"/>
      <c r="C1000" s="115"/>
      <c r="D1000" s="115"/>
      <c r="E1000" s="115"/>
      <c r="F1000" s="22"/>
      <c r="G1000" s="22"/>
      <c r="H1000" s="22"/>
      <c r="I1000" s="258"/>
      <c r="J1000" s="22"/>
      <c r="K1000" s="22"/>
      <c r="L1000" s="460"/>
      <c r="M1000" s="22"/>
      <c r="N1000" s="461"/>
      <c r="O1000" s="260"/>
      <c r="P1000" s="258"/>
      <c r="Q1000" s="22"/>
      <c r="R1000" s="22"/>
      <c r="S1000" s="115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15"/>
    </row>
    <row r="1001" ht="15.75" customHeight="1">
      <c r="A1001" s="114"/>
      <c r="B1001" s="115"/>
      <c r="C1001" s="115"/>
      <c r="D1001" s="115"/>
      <c r="E1001" s="115"/>
      <c r="F1001" s="22"/>
      <c r="G1001" s="22"/>
      <c r="H1001" s="22"/>
      <c r="I1001" s="258"/>
      <c r="J1001" s="22"/>
      <c r="K1001" s="22"/>
      <c r="L1001" s="460"/>
      <c r="M1001" s="22"/>
      <c r="N1001" s="461"/>
      <c r="O1001" s="260"/>
      <c r="P1001" s="258"/>
      <c r="Q1001" s="22"/>
      <c r="R1001" s="22"/>
      <c r="S1001" s="115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15"/>
    </row>
    <row r="1002" ht="15.75" customHeight="1">
      <c r="A1002" s="114"/>
      <c r="B1002" s="115"/>
      <c r="C1002" s="115"/>
      <c r="D1002" s="115"/>
      <c r="E1002" s="115"/>
      <c r="F1002" s="22"/>
      <c r="G1002" s="22"/>
      <c r="H1002" s="22"/>
      <c r="I1002" s="258"/>
      <c r="J1002" s="22"/>
      <c r="K1002" s="22"/>
      <c r="L1002" s="460"/>
      <c r="M1002" s="22"/>
      <c r="N1002" s="461"/>
      <c r="O1002" s="260"/>
      <c r="P1002" s="258"/>
      <c r="Q1002" s="22"/>
      <c r="R1002" s="22"/>
      <c r="S1002" s="115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15"/>
    </row>
    <row r="1003" ht="15.75" customHeight="1">
      <c r="A1003" s="114"/>
      <c r="B1003" s="115"/>
      <c r="C1003" s="115"/>
      <c r="D1003" s="115"/>
      <c r="E1003" s="115"/>
      <c r="F1003" s="22"/>
      <c r="G1003" s="22"/>
      <c r="H1003" s="22"/>
      <c r="I1003" s="258"/>
      <c r="J1003" s="22"/>
      <c r="K1003" s="22"/>
      <c r="L1003" s="460"/>
      <c r="M1003" s="22"/>
      <c r="N1003" s="461"/>
      <c r="O1003" s="260"/>
      <c r="P1003" s="258"/>
      <c r="Q1003" s="22"/>
      <c r="R1003" s="22"/>
      <c r="S1003" s="115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15"/>
    </row>
    <row r="1004" ht="15.75" customHeight="1">
      <c r="A1004" s="114"/>
      <c r="B1004" s="115"/>
      <c r="C1004" s="115"/>
      <c r="D1004" s="115"/>
      <c r="E1004" s="115"/>
      <c r="F1004" s="22"/>
      <c r="G1004" s="22"/>
      <c r="H1004" s="22"/>
      <c r="I1004" s="258"/>
      <c r="J1004" s="22"/>
      <c r="K1004" s="22"/>
      <c r="L1004" s="460"/>
      <c r="M1004" s="22"/>
      <c r="N1004" s="461"/>
      <c r="O1004" s="260"/>
      <c r="P1004" s="258"/>
      <c r="Q1004" s="22"/>
      <c r="R1004" s="22"/>
      <c r="S1004" s="115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15"/>
    </row>
    <row r="1005" ht="15.75" customHeight="1">
      <c r="A1005" s="114"/>
      <c r="B1005" s="115"/>
      <c r="C1005" s="115"/>
      <c r="D1005" s="115"/>
      <c r="E1005" s="115"/>
      <c r="F1005" s="22"/>
      <c r="G1005" s="22"/>
      <c r="H1005" s="22"/>
      <c r="I1005" s="258"/>
      <c r="J1005" s="22"/>
      <c r="K1005" s="22"/>
      <c r="L1005" s="460"/>
      <c r="M1005" s="22"/>
      <c r="N1005" s="461"/>
      <c r="O1005" s="260"/>
      <c r="P1005" s="258"/>
      <c r="Q1005" s="22"/>
      <c r="R1005" s="22"/>
      <c r="S1005" s="115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15"/>
    </row>
    <row r="1006" ht="15.75" customHeight="1">
      <c r="A1006" s="114"/>
      <c r="B1006" s="115"/>
      <c r="C1006" s="115"/>
      <c r="D1006" s="115"/>
      <c r="E1006" s="115"/>
      <c r="F1006" s="22"/>
      <c r="G1006" s="22"/>
      <c r="H1006" s="22"/>
      <c r="I1006" s="258"/>
      <c r="J1006" s="22"/>
      <c r="K1006" s="22"/>
      <c r="L1006" s="460"/>
      <c r="M1006" s="22"/>
      <c r="N1006" s="461"/>
      <c r="O1006" s="260"/>
      <c r="P1006" s="258"/>
      <c r="Q1006" s="22"/>
      <c r="R1006" s="22"/>
      <c r="S1006" s="115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15"/>
    </row>
    <row r="1007" ht="15.75" customHeight="1">
      <c r="A1007" s="114"/>
      <c r="B1007" s="115"/>
      <c r="C1007" s="115"/>
      <c r="D1007" s="115"/>
      <c r="E1007" s="115"/>
      <c r="F1007" s="22"/>
      <c r="G1007" s="22"/>
      <c r="H1007" s="22"/>
      <c r="I1007" s="258"/>
      <c r="J1007" s="22"/>
      <c r="K1007" s="22"/>
      <c r="L1007" s="460"/>
      <c r="M1007" s="22"/>
      <c r="N1007" s="461"/>
      <c r="O1007" s="260"/>
      <c r="P1007" s="258"/>
      <c r="Q1007" s="22"/>
      <c r="R1007" s="22"/>
      <c r="S1007" s="115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15"/>
    </row>
    <row r="1008" ht="15.75" customHeight="1">
      <c r="A1008" s="114"/>
      <c r="B1008" s="115"/>
      <c r="C1008" s="115"/>
      <c r="D1008" s="115"/>
      <c r="E1008" s="115"/>
      <c r="F1008" s="22"/>
      <c r="G1008" s="22"/>
      <c r="H1008" s="22"/>
      <c r="I1008" s="258"/>
      <c r="J1008" s="22"/>
      <c r="K1008" s="22"/>
      <c r="L1008" s="460"/>
      <c r="M1008" s="22"/>
      <c r="N1008" s="461"/>
      <c r="O1008" s="260"/>
      <c r="P1008" s="258"/>
      <c r="Q1008" s="22"/>
      <c r="R1008" s="22"/>
      <c r="S1008" s="115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15"/>
    </row>
    <row r="1009" ht="15.75" customHeight="1">
      <c r="A1009" s="114"/>
      <c r="B1009" s="115"/>
      <c r="C1009" s="115"/>
      <c r="D1009" s="115"/>
      <c r="E1009" s="115"/>
      <c r="F1009" s="22"/>
      <c r="G1009" s="22"/>
      <c r="H1009" s="22"/>
      <c r="I1009" s="258"/>
      <c r="J1009" s="22"/>
      <c r="K1009" s="22"/>
      <c r="L1009" s="460"/>
      <c r="M1009" s="22"/>
      <c r="N1009" s="461"/>
      <c r="O1009" s="260"/>
      <c r="P1009" s="258"/>
      <c r="Q1009" s="22"/>
      <c r="R1009" s="22"/>
      <c r="S1009" s="115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15"/>
    </row>
    <row r="1010" ht="15.75" customHeight="1">
      <c r="A1010" s="114"/>
      <c r="B1010" s="115"/>
      <c r="C1010" s="115"/>
      <c r="D1010" s="115"/>
      <c r="E1010" s="115"/>
      <c r="F1010" s="22"/>
      <c r="G1010" s="22"/>
      <c r="H1010" s="22"/>
      <c r="I1010" s="258"/>
      <c r="J1010" s="22"/>
      <c r="K1010" s="22"/>
      <c r="L1010" s="460"/>
      <c r="M1010" s="22"/>
      <c r="N1010" s="461"/>
      <c r="O1010" s="260"/>
      <c r="P1010" s="258"/>
      <c r="Q1010" s="22"/>
      <c r="R1010" s="22"/>
      <c r="S1010" s="115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15"/>
    </row>
    <row r="1011" ht="15.75" customHeight="1">
      <c r="A1011" s="114"/>
      <c r="B1011" s="115"/>
      <c r="C1011" s="115"/>
      <c r="D1011" s="115"/>
      <c r="E1011" s="115"/>
      <c r="F1011" s="22"/>
      <c r="G1011" s="22"/>
      <c r="H1011" s="22"/>
      <c r="I1011" s="258"/>
      <c r="J1011" s="22"/>
      <c r="K1011" s="22"/>
      <c r="L1011" s="460"/>
      <c r="M1011" s="22"/>
      <c r="N1011" s="461"/>
      <c r="O1011" s="260"/>
      <c r="P1011" s="258"/>
      <c r="Q1011" s="22"/>
      <c r="R1011" s="22"/>
      <c r="S1011" s="115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15"/>
    </row>
    <row r="1012" ht="15.75" customHeight="1">
      <c r="A1012" s="114"/>
      <c r="B1012" s="115"/>
      <c r="C1012" s="115"/>
      <c r="D1012" s="115"/>
      <c r="E1012" s="115"/>
      <c r="F1012" s="22"/>
      <c r="G1012" s="22"/>
      <c r="H1012" s="22"/>
      <c r="I1012" s="258"/>
      <c r="J1012" s="22"/>
      <c r="K1012" s="22"/>
      <c r="L1012" s="460"/>
      <c r="M1012" s="22"/>
      <c r="N1012" s="461"/>
      <c r="O1012" s="260"/>
      <c r="P1012" s="258"/>
      <c r="Q1012" s="22"/>
      <c r="R1012" s="22"/>
      <c r="S1012" s="115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15"/>
    </row>
    <row r="1013" ht="15.75" customHeight="1">
      <c r="A1013" s="114"/>
      <c r="B1013" s="115"/>
      <c r="C1013" s="115"/>
      <c r="D1013" s="115"/>
      <c r="E1013" s="115"/>
      <c r="F1013" s="22"/>
      <c r="G1013" s="22"/>
      <c r="H1013" s="22"/>
      <c r="I1013" s="258"/>
      <c r="J1013" s="22"/>
      <c r="K1013" s="22"/>
      <c r="L1013" s="460"/>
      <c r="M1013" s="22"/>
      <c r="N1013" s="461"/>
      <c r="O1013" s="260"/>
      <c r="P1013" s="258"/>
      <c r="Q1013" s="22"/>
      <c r="R1013" s="22"/>
      <c r="S1013" s="115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15"/>
    </row>
    <row r="1014" ht="15.75" customHeight="1">
      <c r="A1014" s="114"/>
      <c r="B1014" s="115"/>
      <c r="C1014" s="115"/>
      <c r="D1014" s="115"/>
      <c r="E1014" s="115"/>
      <c r="F1014" s="22"/>
      <c r="G1014" s="22"/>
      <c r="H1014" s="22"/>
      <c r="I1014" s="258"/>
      <c r="J1014" s="22"/>
      <c r="K1014" s="22"/>
      <c r="L1014" s="460"/>
      <c r="M1014" s="22"/>
      <c r="N1014" s="461"/>
      <c r="O1014" s="260"/>
      <c r="P1014" s="258"/>
      <c r="Q1014" s="22"/>
      <c r="R1014" s="22"/>
      <c r="S1014" s="115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15"/>
    </row>
    <row r="1015" ht="15.75" customHeight="1">
      <c r="A1015" s="114"/>
      <c r="B1015" s="115"/>
      <c r="C1015" s="115"/>
      <c r="D1015" s="115"/>
      <c r="E1015" s="115"/>
      <c r="F1015" s="22"/>
      <c r="G1015" s="22"/>
      <c r="H1015" s="22"/>
      <c r="I1015" s="258"/>
      <c r="J1015" s="22"/>
      <c r="K1015" s="22"/>
      <c r="L1015" s="460"/>
      <c r="M1015" s="22"/>
      <c r="N1015" s="461"/>
      <c r="O1015" s="260"/>
      <c r="P1015" s="258"/>
      <c r="Q1015" s="22"/>
      <c r="R1015" s="22"/>
      <c r="S1015" s="115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15"/>
    </row>
    <row r="1016" ht="15.75" customHeight="1">
      <c r="A1016" s="114"/>
      <c r="B1016" s="115"/>
      <c r="C1016" s="115"/>
      <c r="D1016" s="115"/>
      <c r="E1016" s="115"/>
      <c r="F1016" s="22"/>
      <c r="G1016" s="22"/>
      <c r="H1016" s="22"/>
      <c r="I1016" s="258"/>
      <c r="J1016" s="22"/>
      <c r="K1016" s="22"/>
      <c r="L1016" s="460"/>
      <c r="M1016" s="22"/>
      <c r="N1016" s="461"/>
      <c r="O1016" s="260"/>
      <c r="P1016" s="258"/>
      <c r="Q1016" s="22"/>
      <c r="R1016" s="22"/>
      <c r="S1016" s="115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15"/>
    </row>
    <row r="1017" ht="15.75" customHeight="1">
      <c r="A1017" s="114"/>
      <c r="B1017" s="115"/>
      <c r="C1017" s="115"/>
      <c r="D1017" s="115"/>
      <c r="E1017" s="115"/>
      <c r="F1017" s="22"/>
      <c r="G1017" s="22"/>
      <c r="H1017" s="22"/>
      <c r="I1017" s="258"/>
      <c r="J1017" s="22"/>
      <c r="K1017" s="22"/>
      <c r="L1017" s="460"/>
      <c r="M1017" s="22"/>
      <c r="N1017" s="461"/>
      <c r="O1017" s="260"/>
      <c r="P1017" s="258"/>
      <c r="Q1017" s="22"/>
      <c r="R1017" s="22"/>
      <c r="S1017" s="115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15"/>
    </row>
    <row r="1018" ht="15.75" customHeight="1">
      <c r="A1018" s="114"/>
      <c r="B1018" s="115"/>
      <c r="C1018" s="115"/>
      <c r="D1018" s="115"/>
      <c r="E1018" s="115"/>
      <c r="F1018" s="22"/>
      <c r="G1018" s="22"/>
      <c r="H1018" s="22"/>
      <c r="I1018" s="258"/>
      <c r="J1018" s="22"/>
      <c r="K1018" s="22"/>
      <c r="L1018" s="460"/>
      <c r="M1018" s="22"/>
      <c r="N1018" s="461"/>
      <c r="O1018" s="260"/>
      <c r="P1018" s="258"/>
      <c r="Q1018" s="22"/>
      <c r="R1018" s="22"/>
      <c r="S1018" s="115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15"/>
    </row>
    <row r="1019" ht="15.75" customHeight="1">
      <c r="A1019" s="114"/>
      <c r="B1019" s="115"/>
      <c r="C1019" s="115"/>
      <c r="D1019" s="115"/>
      <c r="E1019" s="115"/>
      <c r="F1019" s="22"/>
      <c r="G1019" s="22"/>
      <c r="H1019" s="22"/>
      <c r="I1019" s="258"/>
      <c r="J1019" s="22"/>
      <c r="K1019" s="22"/>
      <c r="L1019" s="460"/>
      <c r="M1019" s="22"/>
      <c r="N1019" s="461"/>
      <c r="O1019" s="260"/>
      <c r="P1019" s="258"/>
      <c r="Q1019" s="22"/>
      <c r="R1019" s="22"/>
      <c r="S1019" s="115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15"/>
    </row>
    <row r="1020" ht="15.75" customHeight="1">
      <c r="A1020" s="114"/>
      <c r="B1020" s="115"/>
      <c r="C1020" s="115"/>
      <c r="D1020" s="115"/>
      <c r="E1020" s="115"/>
      <c r="F1020" s="22"/>
      <c r="G1020" s="22"/>
      <c r="H1020" s="22"/>
      <c r="I1020" s="258"/>
      <c r="J1020" s="22"/>
      <c r="K1020" s="22"/>
      <c r="L1020" s="460"/>
      <c r="M1020" s="22"/>
      <c r="N1020" s="461"/>
      <c r="O1020" s="260"/>
      <c r="P1020" s="258"/>
      <c r="Q1020" s="22"/>
      <c r="R1020" s="22"/>
      <c r="S1020" s="115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15"/>
    </row>
    <row r="1021" ht="15.75" customHeight="1">
      <c r="A1021" s="114"/>
      <c r="B1021" s="115"/>
      <c r="C1021" s="115"/>
      <c r="D1021" s="115"/>
      <c r="E1021" s="115"/>
      <c r="F1021" s="22"/>
      <c r="G1021" s="22"/>
      <c r="H1021" s="22"/>
      <c r="I1021" s="258"/>
      <c r="J1021" s="22"/>
      <c r="K1021" s="22"/>
      <c r="L1021" s="460"/>
      <c r="M1021" s="22"/>
      <c r="N1021" s="461"/>
      <c r="O1021" s="260"/>
      <c r="P1021" s="258"/>
      <c r="Q1021" s="22"/>
      <c r="R1021" s="22"/>
      <c r="S1021" s="115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15"/>
    </row>
    <row r="1022" ht="15.75" customHeight="1">
      <c r="A1022" s="114"/>
      <c r="B1022" s="115"/>
      <c r="C1022" s="115"/>
      <c r="D1022" s="115"/>
      <c r="E1022" s="115"/>
      <c r="F1022" s="22"/>
      <c r="G1022" s="22"/>
      <c r="H1022" s="22"/>
      <c r="I1022" s="258"/>
      <c r="J1022" s="22"/>
      <c r="K1022" s="22"/>
      <c r="L1022" s="460"/>
      <c r="M1022" s="22"/>
      <c r="N1022" s="461"/>
      <c r="O1022" s="260"/>
      <c r="P1022" s="258"/>
      <c r="Q1022" s="22"/>
      <c r="R1022" s="22"/>
      <c r="S1022" s="115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  <c r="AP1022" s="215"/>
    </row>
    <row r="1023" ht="15.75" customHeight="1">
      <c r="A1023" s="114"/>
      <c r="B1023" s="115"/>
      <c r="C1023" s="115"/>
      <c r="D1023" s="115"/>
      <c r="E1023" s="115"/>
      <c r="F1023" s="22"/>
      <c r="G1023" s="22"/>
      <c r="H1023" s="22"/>
      <c r="I1023" s="258"/>
      <c r="J1023" s="22"/>
      <c r="K1023" s="22"/>
      <c r="L1023" s="460"/>
      <c r="M1023" s="22"/>
      <c r="N1023" s="461"/>
      <c r="O1023" s="260"/>
      <c r="P1023" s="258"/>
      <c r="Q1023" s="22"/>
      <c r="R1023" s="22"/>
      <c r="S1023" s="115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15"/>
    </row>
    <row r="1024" ht="15.75" customHeight="1">
      <c r="A1024" s="114"/>
      <c r="B1024" s="115"/>
      <c r="C1024" s="115"/>
      <c r="D1024" s="115"/>
      <c r="E1024" s="115"/>
      <c r="F1024" s="22"/>
      <c r="G1024" s="22"/>
      <c r="H1024" s="22"/>
      <c r="I1024" s="258"/>
      <c r="J1024" s="22"/>
      <c r="K1024" s="22"/>
      <c r="L1024" s="460"/>
      <c r="M1024" s="22"/>
      <c r="N1024" s="461"/>
      <c r="O1024" s="260"/>
      <c r="P1024" s="258"/>
      <c r="Q1024" s="22"/>
      <c r="R1024" s="22"/>
      <c r="S1024" s="115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15"/>
    </row>
    <row r="1025" ht="15.75" customHeight="1">
      <c r="A1025" s="114"/>
      <c r="B1025" s="115"/>
      <c r="C1025" s="115"/>
      <c r="D1025" s="115"/>
      <c r="E1025" s="115"/>
      <c r="F1025" s="22"/>
      <c r="G1025" s="22"/>
      <c r="H1025" s="22"/>
      <c r="I1025" s="258"/>
      <c r="J1025" s="22"/>
      <c r="K1025" s="22"/>
      <c r="L1025" s="460"/>
      <c r="M1025" s="22"/>
      <c r="N1025" s="461"/>
      <c r="O1025" s="260"/>
      <c r="P1025" s="258"/>
      <c r="Q1025" s="22"/>
      <c r="R1025" s="22"/>
      <c r="S1025" s="115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  <c r="AO1025" s="22"/>
      <c r="AP1025" s="215"/>
    </row>
    <row r="1026" ht="15.75" customHeight="1">
      <c r="A1026" s="114"/>
      <c r="B1026" s="115"/>
      <c r="C1026" s="115"/>
      <c r="D1026" s="115"/>
      <c r="E1026" s="115"/>
      <c r="F1026" s="22"/>
      <c r="G1026" s="22"/>
      <c r="H1026" s="22"/>
      <c r="I1026" s="258"/>
      <c r="J1026" s="22"/>
      <c r="K1026" s="22"/>
      <c r="L1026" s="460"/>
      <c r="M1026" s="22"/>
      <c r="N1026" s="461"/>
      <c r="O1026" s="260"/>
      <c r="P1026" s="258"/>
      <c r="Q1026" s="22"/>
      <c r="R1026" s="22"/>
      <c r="S1026" s="115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2"/>
      <c r="AP1026" s="215"/>
    </row>
    <row r="1027" ht="15.75" customHeight="1">
      <c r="A1027" s="114"/>
      <c r="B1027" s="115"/>
      <c r="C1027" s="115"/>
      <c r="D1027" s="115"/>
      <c r="E1027" s="115"/>
      <c r="F1027" s="22"/>
      <c r="G1027" s="22"/>
      <c r="H1027" s="22"/>
      <c r="I1027" s="258"/>
      <c r="J1027" s="22"/>
      <c r="K1027" s="22"/>
      <c r="L1027" s="460"/>
      <c r="M1027" s="22"/>
      <c r="N1027" s="461"/>
      <c r="O1027" s="260"/>
      <c r="P1027" s="258"/>
      <c r="Q1027" s="22"/>
      <c r="R1027" s="22"/>
      <c r="S1027" s="115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15"/>
    </row>
    <row r="1028" ht="15.75" customHeight="1">
      <c r="A1028" s="114"/>
      <c r="B1028" s="115"/>
      <c r="C1028" s="115"/>
      <c r="D1028" s="115"/>
      <c r="E1028" s="115"/>
      <c r="F1028" s="22"/>
      <c r="G1028" s="22"/>
      <c r="H1028" s="22"/>
      <c r="I1028" s="258"/>
      <c r="J1028" s="22"/>
      <c r="K1028" s="22"/>
      <c r="L1028" s="460"/>
      <c r="M1028" s="22"/>
      <c r="N1028" s="461"/>
      <c r="O1028" s="260"/>
      <c r="P1028" s="258"/>
      <c r="Q1028" s="22"/>
      <c r="R1028" s="22"/>
      <c r="S1028" s="115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2"/>
      <c r="AP1028" s="215"/>
    </row>
    <row r="1029" ht="15.75" customHeight="1">
      <c r="A1029" s="114"/>
      <c r="B1029" s="115"/>
      <c r="C1029" s="115"/>
      <c r="D1029" s="115"/>
      <c r="E1029" s="115"/>
      <c r="F1029" s="22"/>
      <c r="G1029" s="22"/>
      <c r="H1029" s="22"/>
      <c r="I1029" s="258"/>
      <c r="J1029" s="22"/>
      <c r="K1029" s="22"/>
      <c r="L1029" s="460"/>
      <c r="M1029" s="22"/>
      <c r="N1029" s="461"/>
      <c r="O1029" s="260"/>
      <c r="P1029" s="258"/>
      <c r="Q1029" s="22"/>
      <c r="R1029" s="22"/>
      <c r="S1029" s="115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15"/>
    </row>
    <row r="1030" ht="15.75" customHeight="1">
      <c r="A1030" s="114"/>
      <c r="B1030" s="115"/>
      <c r="C1030" s="115"/>
      <c r="D1030" s="115"/>
      <c r="E1030" s="115"/>
      <c r="F1030" s="22"/>
      <c r="G1030" s="22"/>
      <c r="H1030" s="22"/>
      <c r="I1030" s="258"/>
      <c r="J1030" s="22"/>
      <c r="K1030" s="22"/>
      <c r="L1030" s="460"/>
      <c r="M1030" s="22"/>
      <c r="N1030" s="461"/>
      <c r="O1030" s="260"/>
      <c r="P1030" s="258"/>
      <c r="Q1030" s="22"/>
      <c r="R1030" s="22"/>
      <c r="S1030" s="115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15"/>
    </row>
    <row r="1031" ht="15.75" customHeight="1">
      <c r="A1031" s="114"/>
      <c r="B1031" s="115"/>
      <c r="C1031" s="115"/>
      <c r="D1031" s="115"/>
      <c r="E1031" s="115"/>
      <c r="F1031" s="22"/>
      <c r="G1031" s="22"/>
      <c r="H1031" s="22"/>
      <c r="I1031" s="258"/>
      <c r="J1031" s="22"/>
      <c r="K1031" s="22"/>
      <c r="L1031" s="460"/>
      <c r="M1031" s="22"/>
      <c r="N1031" s="461"/>
      <c r="O1031" s="260"/>
      <c r="P1031" s="258"/>
      <c r="Q1031" s="22"/>
      <c r="R1031" s="22"/>
      <c r="S1031" s="115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15"/>
    </row>
    <row r="1032" ht="15.75" customHeight="1">
      <c r="A1032" s="114"/>
      <c r="B1032" s="115"/>
      <c r="C1032" s="115"/>
      <c r="D1032" s="115"/>
      <c r="E1032" s="115"/>
      <c r="F1032" s="22"/>
      <c r="G1032" s="22"/>
      <c r="H1032" s="22"/>
      <c r="I1032" s="258"/>
      <c r="J1032" s="22"/>
      <c r="K1032" s="22"/>
      <c r="L1032" s="460"/>
      <c r="M1032" s="22"/>
      <c r="N1032" s="461"/>
      <c r="O1032" s="260"/>
      <c r="P1032" s="258"/>
      <c r="Q1032" s="22"/>
      <c r="R1032" s="22"/>
      <c r="S1032" s="115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15"/>
    </row>
    <row r="1033" ht="15.75" customHeight="1">
      <c r="A1033" s="114"/>
      <c r="B1033" s="115"/>
      <c r="C1033" s="115"/>
      <c r="D1033" s="115"/>
      <c r="E1033" s="115"/>
      <c r="F1033" s="22"/>
      <c r="G1033" s="22"/>
      <c r="H1033" s="22"/>
      <c r="I1033" s="258"/>
      <c r="J1033" s="22"/>
      <c r="K1033" s="22"/>
      <c r="L1033" s="460"/>
      <c r="M1033" s="22"/>
      <c r="N1033" s="461"/>
      <c r="O1033" s="260"/>
      <c r="P1033" s="258"/>
      <c r="Q1033" s="22"/>
      <c r="R1033" s="22"/>
      <c r="S1033" s="115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15"/>
    </row>
    <row r="1034" ht="15.75" customHeight="1">
      <c r="A1034" s="114"/>
      <c r="B1034" s="115"/>
      <c r="C1034" s="115"/>
      <c r="D1034" s="115"/>
      <c r="E1034" s="115"/>
      <c r="F1034" s="22"/>
      <c r="G1034" s="22"/>
      <c r="H1034" s="22"/>
      <c r="I1034" s="258"/>
      <c r="J1034" s="22"/>
      <c r="K1034" s="22"/>
      <c r="L1034" s="460"/>
      <c r="M1034" s="22"/>
      <c r="N1034" s="461"/>
      <c r="O1034" s="260"/>
      <c r="P1034" s="258"/>
      <c r="Q1034" s="22"/>
      <c r="R1034" s="22"/>
      <c r="S1034" s="115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15"/>
    </row>
    <row r="1035" ht="15.75" customHeight="1">
      <c r="A1035" s="114"/>
      <c r="B1035" s="115"/>
      <c r="C1035" s="115"/>
      <c r="D1035" s="115"/>
      <c r="E1035" s="115"/>
      <c r="F1035" s="22"/>
      <c r="G1035" s="22"/>
      <c r="H1035" s="22"/>
      <c r="I1035" s="258"/>
      <c r="J1035" s="22"/>
      <c r="K1035" s="22"/>
      <c r="L1035" s="460"/>
      <c r="M1035" s="22"/>
      <c r="N1035" s="461"/>
      <c r="O1035" s="260"/>
      <c r="P1035" s="258"/>
      <c r="Q1035" s="22"/>
      <c r="R1035" s="22"/>
      <c r="S1035" s="115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15"/>
    </row>
    <row r="1036" ht="15.75" customHeight="1">
      <c r="A1036" s="114"/>
      <c r="B1036" s="115"/>
      <c r="C1036" s="115"/>
      <c r="D1036" s="115"/>
      <c r="E1036" s="115"/>
      <c r="F1036" s="22"/>
      <c r="G1036" s="22"/>
      <c r="H1036" s="22"/>
      <c r="I1036" s="258"/>
      <c r="J1036" s="22"/>
      <c r="K1036" s="22"/>
      <c r="L1036" s="460"/>
      <c r="M1036" s="22"/>
      <c r="N1036" s="461"/>
      <c r="O1036" s="260"/>
      <c r="P1036" s="258"/>
      <c r="Q1036" s="22"/>
      <c r="R1036" s="22"/>
      <c r="S1036" s="115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15"/>
    </row>
    <row r="1037" ht="15.75" customHeight="1">
      <c r="A1037" s="114"/>
      <c r="B1037" s="115"/>
      <c r="C1037" s="115"/>
      <c r="D1037" s="115"/>
      <c r="E1037" s="115"/>
      <c r="F1037" s="22"/>
      <c r="G1037" s="22"/>
      <c r="H1037" s="22"/>
      <c r="I1037" s="258"/>
      <c r="J1037" s="22"/>
      <c r="K1037" s="22"/>
      <c r="L1037" s="460"/>
      <c r="M1037" s="22"/>
      <c r="N1037" s="461"/>
      <c r="O1037" s="260"/>
      <c r="P1037" s="258"/>
      <c r="Q1037" s="22"/>
      <c r="R1037" s="22"/>
      <c r="S1037" s="115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15"/>
    </row>
    <row r="1038" ht="15.75" customHeight="1">
      <c r="A1038" s="114"/>
      <c r="B1038" s="115"/>
      <c r="C1038" s="115"/>
      <c r="D1038" s="115"/>
      <c r="E1038" s="115"/>
      <c r="F1038" s="22"/>
      <c r="G1038" s="22"/>
      <c r="H1038" s="22"/>
      <c r="I1038" s="258"/>
      <c r="J1038" s="22"/>
      <c r="K1038" s="22"/>
      <c r="L1038" s="460"/>
      <c r="M1038" s="22"/>
      <c r="N1038" s="461"/>
      <c r="O1038" s="260"/>
      <c r="P1038" s="258"/>
      <c r="Q1038" s="22"/>
      <c r="R1038" s="22"/>
      <c r="S1038" s="115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15"/>
    </row>
    <row r="1039" ht="15.75" customHeight="1">
      <c r="A1039" s="114"/>
      <c r="B1039" s="115"/>
      <c r="C1039" s="115"/>
      <c r="D1039" s="115"/>
      <c r="E1039" s="115"/>
      <c r="F1039" s="22"/>
      <c r="G1039" s="22"/>
      <c r="H1039" s="22"/>
      <c r="I1039" s="258"/>
      <c r="J1039" s="22"/>
      <c r="K1039" s="22"/>
      <c r="L1039" s="460"/>
      <c r="M1039" s="22"/>
      <c r="N1039" s="461"/>
      <c r="O1039" s="260"/>
      <c r="P1039" s="258"/>
      <c r="Q1039" s="22"/>
      <c r="R1039" s="22"/>
      <c r="S1039" s="115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15"/>
    </row>
    <row r="1040" ht="15.75" customHeight="1">
      <c r="A1040" s="114"/>
      <c r="B1040" s="115"/>
      <c r="C1040" s="115"/>
      <c r="D1040" s="115"/>
      <c r="E1040" s="115"/>
      <c r="F1040" s="22"/>
      <c r="G1040" s="22"/>
      <c r="H1040" s="22"/>
      <c r="I1040" s="258"/>
      <c r="J1040" s="22"/>
      <c r="K1040" s="22"/>
      <c r="L1040" s="460"/>
      <c r="M1040" s="22"/>
      <c r="N1040" s="461"/>
      <c r="O1040" s="260"/>
      <c r="P1040" s="258"/>
      <c r="Q1040" s="22"/>
      <c r="R1040" s="22"/>
      <c r="S1040" s="115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15"/>
    </row>
    <row r="1041" ht="15.75" customHeight="1">
      <c r="A1041" s="114"/>
      <c r="B1041" s="115"/>
      <c r="C1041" s="115"/>
      <c r="D1041" s="115"/>
      <c r="E1041" s="115"/>
      <c r="F1041" s="22"/>
      <c r="G1041" s="22"/>
      <c r="H1041" s="22"/>
      <c r="I1041" s="258"/>
      <c r="J1041" s="22"/>
      <c r="K1041" s="22"/>
      <c r="L1041" s="460"/>
      <c r="M1041" s="22"/>
      <c r="N1041" s="461"/>
      <c r="O1041" s="260"/>
      <c r="P1041" s="258"/>
      <c r="Q1041" s="22"/>
      <c r="R1041" s="22"/>
      <c r="S1041" s="115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15"/>
    </row>
    <row r="1042" ht="15.75" customHeight="1">
      <c r="A1042" s="114"/>
      <c r="B1042" s="115"/>
      <c r="C1042" s="115"/>
      <c r="D1042" s="115"/>
      <c r="E1042" s="115"/>
      <c r="F1042" s="22"/>
      <c r="G1042" s="22"/>
      <c r="H1042" s="22"/>
      <c r="I1042" s="258"/>
      <c r="J1042" s="22"/>
      <c r="K1042" s="22"/>
      <c r="L1042" s="460"/>
      <c r="M1042" s="22"/>
      <c r="N1042" s="461"/>
      <c r="O1042" s="260"/>
      <c r="P1042" s="258"/>
      <c r="Q1042" s="22"/>
      <c r="R1042" s="22"/>
      <c r="S1042" s="115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15"/>
    </row>
    <row r="1043" ht="15.75" customHeight="1">
      <c r="A1043" s="114"/>
      <c r="B1043" s="115"/>
      <c r="C1043" s="115"/>
      <c r="D1043" s="115"/>
      <c r="E1043" s="115"/>
      <c r="F1043" s="22"/>
      <c r="G1043" s="22"/>
      <c r="H1043" s="22"/>
      <c r="I1043" s="258"/>
      <c r="J1043" s="22"/>
      <c r="K1043" s="22"/>
      <c r="L1043" s="460"/>
      <c r="M1043" s="22"/>
      <c r="N1043" s="461"/>
      <c r="O1043" s="260"/>
      <c r="P1043" s="258"/>
      <c r="Q1043" s="22"/>
      <c r="R1043" s="22"/>
      <c r="S1043" s="115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15"/>
    </row>
    <row r="1044" ht="15.75" customHeight="1">
      <c r="A1044" s="114"/>
      <c r="B1044" s="115"/>
      <c r="C1044" s="115"/>
      <c r="D1044" s="115"/>
      <c r="E1044" s="115"/>
      <c r="F1044" s="22"/>
      <c r="G1044" s="22"/>
      <c r="H1044" s="22"/>
      <c r="I1044" s="258"/>
      <c r="J1044" s="22"/>
      <c r="K1044" s="22"/>
      <c r="L1044" s="460"/>
      <c r="M1044" s="22"/>
      <c r="N1044" s="461"/>
      <c r="O1044" s="260"/>
      <c r="P1044" s="258"/>
      <c r="Q1044" s="22"/>
      <c r="R1044" s="22"/>
      <c r="S1044" s="115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15"/>
    </row>
    <row r="1045" ht="15.75" customHeight="1">
      <c r="A1045" s="114"/>
      <c r="B1045" s="115"/>
      <c r="C1045" s="115"/>
      <c r="D1045" s="115"/>
      <c r="E1045" s="115"/>
      <c r="F1045" s="22"/>
      <c r="G1045" s="22"/>
      <c r="H1045" s="22"/>
      <c r="I1045" s="258"/>
      <c r="J1045" s="22"/>
      <c r="K1045" s="22"/>
      <c r="L1045" s="460"/>
      <c r="M1045" s="22"/>
      <c r="N1045" s="461"/>
      <c r="O1045" s="260"/>
      <c r="P1045" s="258"/>
      <c r="Q1045" s="22"/>
      <c r="R1045" s="22"/>
      <c r="S1045" s="115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15"/>
    </row>
    <row r="1046" ht="15.75" customHeight="1">
      <c r="A1046" s="114"/>
      <c r="B1046" s="115"/>
      <c r="C1046" s="115"/>
      <c r="D1046" s="115"/>
      <c r="E1046" s="115"/>
      <c r="F1046" s="22"/>
      <c r="G1046" s="22"/>
      <c r="H1046" s="22"/>
      <c r="I1046" s="258"/>
      <c r="J1046" s="22"/>
      <c r="K1046" s="22"/>
      <c r="L1046" s="460"/>
      <c r="M1046" s="22"/>
      <c r="N1046" s="461"/>
      <c r="O1046" s="260"/>
      <c r="P1046" s="258"/>
      <c r="Q1046" s="22"/>
      <c r="R1046" s="22"/>
      <c r="S1046" s="115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15"/>
    </row>
    <row r="1047" ht="15.75" customHeight="1">
      <c r="A1047" s="114"/>
      <c r="B1047" s="115"/>
      <c r="C1047" s="115"/>
      <c r="D1047" s="115"/>
      <c r="E1047" s="115"/>
      <c r="F1047" s="22"/>
      <c r="G1047" s="22"/>
      <c r="H1047" s="22"/>
      <c r="I1047" s="258"/>
      <c r="J1047" s="22"/>
      <c r="K1047" s="22"/>
      <c r="L1047" s="460"/>
      <c r="M1047" s="22"/>
      <c r="N1047" s="461"/>
      <c r="O1047" s="260"/>
      <c r="P1047" s="258"/>
      <c r="Q1047" s="22"/>
      <c r="R1047" s="22"/>
      <c r="S1047" s="115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15"/>
    </row>
    <row r="1048" ht="15.75" customHeight="1">
      <c r="A1048" s="114"/>
      <c r="B1048" s="115"/>
      <c r="C1048" s="115"/>
      <c r="D1048" s="115"/>
      <c r="E1048" s="115"/>
      <c r="F1048" s="22"/>
      <c r="G1048" s="22"/>
      <c r="H1048" s="22"/>
      <c r="I1048" s="258"/>
      <c r="J1048" s="22"/>
      <c r="K1048" s="22"/>
      <c r="L1048" s="460"/>
      <c r="M1048" s="22"/>
      <c r="N1048" s="461"/>
      <c r="O1048" s="260"/>
      <c r="P1048" s="258"/>
      <c r="Q1048" s="22"/>
      <c r="R1048" s="22"/>
      <c r="S1048" s="115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15"/>
    </row>
    <row r="1049" ht="15.75" customHeight="1">
      <c r="A1049" s="114"/>
      <c r="B1049" s="115"/>
      <c r="C1049" s="115"/>
      <c r="D1049" s="115"/>
      <c r="E1049" s="115"/>
      <c r="F1049" s="22"/>
      <c r="G1049" s="22"/>
      <c r="H1049" s="22"/>
      <c r="I1049" s="258"/>
      <c r="J1049" s="22"/>
      <c r="K1049" s="22"/>
      <c r="L1049" s="460"/>
      <c r="M1049" s="22"/>
      <c r="N1049" s="461"/>
      <c r="O1049" s="260"/>
      <c r="P1049" s="258"/>
      <c r="Q1049" s="22"/>
      <c r="R1049" s="22"/>
      <c r="S1049" s="115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15"/>
    </row>
    <row r="1050" ht="15.75" customHeight="1">
      <c r="A1050" s="114"/>
      <c r="B1050" s="115"/>
      <c r="C1050" s="115"/>
      <c r="D1050" s="115"/>
      <c r="E1050" s="115"/>
      <c r="F1050" s="22"/>
      <c r="G1050" s="22"/>
      <c r="H1050" s="22"/>
      <c r="I1050" s="258"/>
      <c r="J1050" s="22"/>
      <c r="K1050" s="22"/>
      <c r="L1050" s="460"/>
      <c r="M1050" s="22"/>
      <c r="N1050" s="461"/>
      <c r="O1050" s="260"/>
      <c r="P1050" s="258"/>
      <c r="Q1050" s="22"/>
      <c r="R1050" s="22"/>
      <c r="S1050" s="115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15"/>
    </row>
    <row r="1051" ht="15.75" customHeight="1">
      <c r="A1051" s="114"/>
      <c r="B1051" s="115"/>
      <c r="C1051" s="115"/>
      <c r="D1051" s="115"/>
      <c r="E1051" s="115"/>
      <c r="F1051" s="22"/>
      <c r="G1051" s="22"/>
      <c r="H1051" s="22"/>
      <c r="I1051" s="258"/>
      <c r="J1051" s="22"/>
      <c r="K1051" s="22"/>
      <c r="L1051" s="460"/>
      <c r="M1051" s="22"/>
      <c r="N1051" s="461"/>
      <c r="O1051" s="260"/>
      <c r="P1051" s="258"/>
      <c r="Q1051" s="22"/>
      <c r="R1051" s="22"/>
      <c r="S1051" s="115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15"/>
    </row>
    <row r="1052" ht="15.75" customHeight="1">
      <c r="A1052" s="114"/>
      <c r="B1052" s="115"/>
      <c r="C1052" s="115"/>
      <c r="D1052" s="115"/>
      <c r="E1052" s="115"/>
      <c r="F1052" s="22"/>
      <c r="G1052" s="22"/>
      <c r="H1052" s="22"/>
      <c r="I1052" s="258"/>
      <c r="J1052" s="22"/>
      <c r="K1052" s="22"/>
      <c r="L1052" s="460"/>
      <c r="M1052" s="22"/>
      <c r="N1052" s="461"/>
      <c r="O1052" s="260"/>
      <c r="P1052" s="258"/>
      <c r="Q1052" s="22"/>
      <c r="R1052" s="22"/>
      <c r="S1052" s="115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15"/>
    </row>
    <row r="1053" ht="15.75" customHeight="1">
      <c r="A1053" s="114"/>
      <c r="B1053" s="115"/>
      <c r="C1053" s="115"/>
      <c r="D1053" s="115"/>
      <c r="E1053" s="115"/>
      <c r="F1053" s="22"/>
      <c r="G1053" s="22"/>
      <c r="H1053" s="22"/>
      <c r="I1053" s="258"/>
      <c r="J1053" s="22"/>
      <c r="K1053" s="22"/>
      <c r="L1053" s="460"/>
      <c r="M1053" s="22"/>
      <c r="N1053" s="461"/>
      <c r="O1053" s="260"/>
      <c r="P1053" s="258"/>
      <c r="Q1053" s="22"/>
      <c r="R1053" s="22"/>
      <c r="S1053" s="115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15"/>
    </row>
    <row r="1054" ht="15.75" customHeight="1">
      <c r="A1054" s="114"/>
      <c r="B1054" s="115"/>
      <c r="C1054" s="115"/>
      <c r="D1054" s="115"/>
      <c r="E1054" s="115"/>
      <c r="F1054" s="22"/>
      <c r="G1054" s="22"/>
      <c r="H1054" s="22"/>
      <c r="I1054" s="258"/>
      <c r="J1054" s="22"/>
      <c r="K1054" s="22"/>
      <c r="L1054" s="460"/>
      <c r="M1054" s="22"/>
      <c r="N1054" s="461"/>
      <c r="O1054" s="260"/>
      <c r="P1054" s="258"/>
      <c r="Q1054" s="22"/>
      <c r="R1054" s="22"/>
      <c r="S1054" s="115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15"/>
    </row>
    <row r="1055" ht="15.75" customHeight="1">
      <c r="A1055" s="114"/>
      <c r="B1055" s="115"/>
      <c r="C1055" s="115"/>
      <c r="D1055" s="115"/>
      <c r="E1055" s="115"/>
      <c r="F1055" s="22"/>
      <c r="G1055" s="22"/>
      <c r="H1055" s="22"/>
      <c r="I1055" s="258"/>
      <c r="J1055" s="22"/>
      <c r="K1055" s="22"/>
      <c r="L1055" s="460"/>
      <c r="M1055" s="22"/>
      <c r="N1055" s="461"/>
      <c r="O1055" s="260"/>
      <c r="P1055" s="258"/>
      <c r="Q1055" s="22"/>
      <c r="R1055" s="22"/>
      <c r="S1055" s="115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15"/>
    </row>
    <row r="1056" ht="15.75" customHeight="1">
      <c r="A1056" s="114"/>
      <c r="B1056" s="115"/>
      <c r="C1056" s="115"/>
      <c r="D1056" s="115"/>
      <c r="E1056" s="115"/>
      <c r="F1056" s="22"/>
      <c r="G1056" s="22"/>
      <c r="H1056" s="22"/>
      <c r="I1056" s="258"/>
      <c r="J1056" s="22"/>
      <c r="K1056" s="22"/>
      <c r="L1056" s="460"/>
      <c r="M1056" s="22"/>
      <c r="N1056" s="461"/>
      <c r="O1056" s="260"/>
      <c r="P1056" s="258"/>
      <c r="Q1056" s="22"/>
      <c r="R1056" s="22"/>
      <c r="S1056" s="115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15"/>
    </row>
    <row r="1057" ht="15.75" customHeight="1">
      <c r="A1057" s="114"/>
      <c r="B1057" s="115"/>
      <c r="C1057" s="115"/>
      <c r="D1057" s="115"/>
      <c r="E1057" s="115"/>
      <c r="F1057" s="22"/>
      <c r="G1057" s="22"/>
      <c r="H1057" s="22"/>
      <c r="I1057" s="258"/>
      <c r="J1057" s="22"/>
      <c r="K1057" s="22"/>
      <c r="L1057" s="460"/>
      <c r="M1057" s="22"/>
      <c r="N1057" s="461"/>
      <c r="O1057" s="260"/>
      <c r="P1057" s="258"/>
      <c r="Q1057" s="22"/>
      <c r="R1057" s="22"/>
      <c r="S1057" s="115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15"/>
    </row>
    <row r="1058" ht="15.75" customHeight="1">
      <c r="A1058" s="114"/>
      <c r="B1058" s="115"/>
      <c r="C1058" s="115"/>
      <c r="D1058" s="115"/>
      <c r="E1058" s="115"/>
      <c r="F1058" s="22"/>
      <c r="G1058" s="22"/>
      <c r="H1058" s="22"/>
      <c r="I1058" s="258"/>
      <c r="J1058" s="22"/>
      <c r="K1058" s="22"/>
      <c r="L1058" s="460"/>
      <c r="M1058" s="22"/>
      <c r="N1058" s="461"/>
      <c r="O1058" s="260"/>
      <c r="P1058" s="258"/>
      <c r="Q1058" s="22"/>
      <c r="R1058" s="22"/>
      <c r="S1058" s="115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15"/>
    </row>
    <row r="1059" ht="15.75" customHeight="1">
      <c r="A1059" s="114"/>
      <c r="B1059" s="115"/>
      <c r="C1059" s="115"/>
      <c r="D1059" s="115"/>
      <c r="E1059" s="115"/>
      <c r="F1059" s="22"/>
      <c r="G1059" s="22"/>
      <c r="H1059" s="22"/>
      <c r="I1059" s="258"/>
      <c r="J1059" s="22"/>
      <c r="K1059" s="22"/>
      <c r="L1059" s="460"/>
      <c r="M1059" s="22"/>
      <c r="N1059" s="461"/>
      <c r="O1059" s="260"/>
      <c r="P1059" s="258"/>
      <c r="Q1059" s="22"/>
      <c r="R1059" s="22"/>
      <c r="S1059" s="115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15"/>
    </row>
    <row r="1060" ht="15.75" customHeight="1">
      <c r="A1060" s="114"/>
      <c r="B1060" s="115"/>
      <c r="C1060" s="115"/>
      <c r="D1060" s="115"/>
      <c r="E1060" s="115"/>
      <c r="F1060" s="22"/>
      <c r="G1060" s="22"/>
      <c r="H1060" s="22"/>
      <c r="I1060" s="258"/>
      <c r="J1060" s="22"/>
      <c r="K1060" s="22"/>
      <c r="L1060" s="460"/>
      <c r="M1060" s="22"/>
      <c r="N1060" s="461"/>
      <c r="O1060" s="260"/>
      <c r="P1060" s="258"/>
      <c r="Q1060" s="22"/>
      <c r="R1060" s="22"/>
      <c r="S1060" s="115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15"/>
    </row>
    <row r="1061" ht="15.75" customHeight="1">
      <c r="A1061" s="114"/>
      <c r="B1061" s="115"/>
      <c r="C1061" s="115"/>
      <c r="D1061" s="115"/>
      <c r="E1061" s="115"/>
      <c r="F1061" s="22"/>
      <c r="G1061" s="22"/>
      <c r="H1061" s="22"/>
      <c r="I1061" s="258"/>
      <c r="J1061" s="22"/>
      <c r="K1061" s="22"/>
      <c r="L1061" s="460"/>
      <c r="M1061" s="22"/>
      <c r="N1061" s="461"/>
      <c r="O1061" s="260"/>
      <c r="P1061" s="258"/>
      <c r="Q1061" s="22"/>
      <c r="R1061" s="22"/>
      <c r="S1061" s="115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15"/>
    </row>
    <row r="1062" ht="15.75" customHeight="1">
      <c r="A1062" s="114"/>
      <c r="B1062" s="115"/>
      <c r="C1062" s="115"/>
      <c r="D1062" s="115"/>
      <c r="E1062" s="115"/>
      <c r="F1062" s="22"/>
      <c r="G1062" s="22"/>
      <c r="H1062" s="22"/>
      <c r="I1062" s="258"/>
      <c r="J1062" s="22"/>
      <c r="K1062" s="22"/>
      <c r="L1062" s="460"/>
      <c r="M1062" s="22"/>
      <c r="N1062" s="461"/>
      <c r="O1062" s="260"/>
      <c r="P1062" s="258"/>
      <c r="Q1062" s="22"/>
      <c r="R1062" s="22"/>
      <c r="S1062" s="115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15"/>
    </row>
    <row r="1063" ht="15.75" customHeight="1">
      <c r="A1063" s="114"/>
      <c r="B1063" s="115"/>
      <c r="C1063" s="115"/>
      <c r="D1063" s="115"/>
      <c r="E1063" s="115"/>
      <c r="F1063" s="22"/>
      <c r="G1063" s="22"/>
      <c r="H1063" s="22"/>
      <c r="I1063" s="258"/>
      <c r="J1063" s="22"/>
      <c r="K1063" s="22"/>
      <c r="L1063" s="460"/>
      <c r="M1063" s="22"/>
      <c r="N1063" s="461"/>
      <c r="O1063" s="260"/>
      <c r="P1063" s="258"/>
      <c r="Q1063" s="22"/>
      <c r="R1063" s="22"/>
      <c r="S1063" s="115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15"/>
    </row>
    <row r="1064" ht="15.75" customHeight="1">
      <c r="A1064" s="114"/>
      <c r="B1064" s="115"/>
      <c r="C1064" s="115"/>
      <c r="D1064" s="115"/>
      <c r="E1064" s="115"/>
      <c r="F1064" s="22"/>
      <c r="G1064" s="22"/>
      <c r="H1064" s="22"/>
      <c r="I1064" s="258"/>
      <c r="J1064" s="22"/>
      <c r="K1064" s="22"/>
      <c r="L1064" s="460"/>
      <c r="M1064" s="22"/>
      <c r="N1064" s="461"/>
      <c r="O1064" s="260"/>
      <c r="P1064" s="258"/>
      <c r="Q1064" s="22"/>
      <c r="R1064" s="22"/>
      <c r="S1064" s="115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15"/>
    </row>
    <row r="1065" ht="15.75" customHeight="1">
      <c r="A1065" s="114"/>
      <c r="B1065" s="115"/>
      <c r="C1065" s="115"/>
      <c r="D1065" s="115"/>
      <c r="E1065" s="115"/>
      <c r="F1065" s="22"/>
      <c r="G1065" s="22"/>
      <c r="H1065" s="22"/>
      <c r="I1065" s="258"/>
      <c r="J1065" s="22"/>
      <c r="K1065" s="22"/>
      <c r="L1065" s="460"/>
      <c r="M1065" s="22"/>
      <c r="N1065" s="461"/>
      <c r="O1065" s="260"/>
      <c r="P1065" s="258"/>
      <c r="Q1065" s="22"/>
      <c r="R1065" s="22"/>
      <c r="S1065" s="115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15"/>
    </row>
    <row r="1066" ht="15.75" customHeight="1">
      <c r="A1066" s="114"/>
      <c r="B1066" s="115"/>
      <c r="C1066" s="115"/>
      <c r="D1066" s="115"/>
      <c r="E1066" s="115"/>
      <c r="F1066" s="22"/>
      <c r="G1066" s="22"/>
      <c r="H1066" s="22"/>
      <c r="I1066" s="258"/>
      <c r="J1066" s="22"/>
      <c r="K1066" s="22"/>
      <c r="L1066" s="460"/>
      <c r="M1066" s="22"/>
      <c r="N1066" s="461"/>
      <c r="O1066" s="260"/>
      <c r="P1066" s="258"/>
      <c r="Q1066" s="22"/>
      <c r="R1066" s="22"/>
      <c r="S1066" s="115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15"/>
    </row>
    <row r="1067" ht="15.75" customHeight="1">
      <c r="A1067" s="114"/>
      <c r="B1067" s="115"/>
      <c r="C1067" s="115"/>
      <c r="D1067" s="115"/>
      <c r="E1067" s="115"/>
      <c r="F1067" s="22"/>
      <c r="G1067" s="22"/>
      <c r="H1067" s="22"/>
      <c r="I1067" s="258"/>
      <c r="J1067" s="22"/>
      <c r="K1067" s="22"/>
      <c r="L1067" s="460"/>
      <c r="M1067" s="22"/>
      <c r="N1067" s="461"/>
      <c r="O1067" s="260"/>
      <c r="P1067" s="258"/>
      <c r="Q1067" s="22"/>
      <c r="R1067" s="22"/>
      <c r="S1067" s="115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15"/>
    </row>
    <row r="1068" ht="15.75" customHeight="1">
      <c r="A1068" s="114"/>
      <c r="B1068" s="115"/>
      <c r="C1068" s="115"/>
      <c r="D1068" s="115"/>
      <c r="E1068" s="115"/>
      <c r="F1068" s="22"/>
      <c r="G1068" s="22"/>
      <c r="H1068" s="22"/>
      <c r="I1068" s="258"/>
      <c r="J1068" s="22"/>
      <c r="K1068" s="22"/>
      <c r="L1068" s="460"/>
      <c r="M1068" s="22"/>
      <c r="N1068" s="461"/>
      <c r="O1068" s="260"/>
      <c r="P1068" s="258"/>
      <c r="Q1068" s="22"/>
      <c r="R1068" s="22"/>
      <c r="S1068" s="115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15"/>
    </row>
    <row r="1069" ht="15.75" customHeight="1">
      <c r="A1069" s="114"/>
      <c r="B1069" s="115"/>
      <c r="C1069" s="115"/>
      <c r="D1069" s="115"/>
      <c r="E1069" s="115"/>
      <c r="F1069" s="22"/>
      <c r="G1069" s="22"/>
      <c r="H1069" s="22"/>
      <c r="I1069" s="258"/>
      <c r="J1069" s="22"/>
      <c r="K1069" s="22"/>
      <c r="L1069" s="460"/>
      <c r="M1069" s="22"/>
      <c r="N1069" s="461"/>
      <c r="O1069" s="260"/>
      <c r="P1069" s="258"/>
      <c r="Q1069" s="22"/>
      <c r="R1069" s="22"/>
      <c r="S1069" s="115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15"/>
    </row>
    <row r="1070" ht="15.75" customHeight="1">
      <c r="A1070" s="114"/>
      <c r="B1070" s="115"/>
      <c r="C1070" s="115"/>
      <c r="D1070" s="115"/>
      <c r="E1070" s="115"/>
      <c r="F1070" s="22"/>
      <c r="G1070" s="22"/>
      <c r="H1070" s="22"/>
      <c r="I1070" s="258"/>
      <c r="J1070" s="22"/>
      <c r="K1070" s="22"/>
      <c r="L1070" s="460"/>
      <c r="M1070" s="22"/>
      <c r="N1070" s="461"/>
      <c r="O1070" s="260"/>
      <c r="P1070" s="258"/>
      <c r="Q1070" s="22"/>
      <c r="R1070" s="22"/>
      <c r="S1070" s="115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15"/>
    </row>
    <row r="1071" ht="15.75" customHeight="1">
      <c r="A1071" s="114"/>
      <c r="B1071" s="115"/>
      <c r="C1071" s="115"/>
      <c r="D1071" s="115"/>
      <c r="E1071" s="115"/>
      <c r="F1071" s="22"/>
      <c r="G1071" s="22"/>
      <c r="H1071" s="22"/>
      <c r="I1071" s="258"/>
      <c r="J1071" s="22"/>
      <c r="K1071" s="22"/>
      <c r="L1071" s="460"/>
      <c r="M1071" s="22"/>
      <c r="N1071" s="461"/>
      <c r="O1071" s="260"/>
      <c r="P1071" s="258"/>
      <c r="Q1071" s="22"/>
      <c r="R1071" s="22"/>
      <c r="S1071" s="115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15"/>
    </row>
    <row r="1072" ht="15.75" customHeight="1">
      <c r="A1072" s="114"/>
      <c r="B1072" s="115"/>
      <c r="C1072" s="115"/>
      <c r="D1072" s="115"/>
      <c r="E1072" s="115"/>
      <c r="F1072" s="22"/>
      <c r="G1072" s="22"/>
      <c r="H1072" s="22"/>
      <c r="I1072" s="258"/>
      <c r="J1072" s="22"/>
      <c r="K1072" s="22"/>
      <c r="L1072" s="460"/>
      <c r="M1072" s="22"/>
      <c r="N1072" s="461"/>
      <c r="O1072" s="260"/>
      <c r="P1072" s="258"/>
      <c r="Q1072" s="22"/>
      <c r="R1072" s="22"/>
      <c r="S1072" s="115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15"/>
    </row>
    <row r="1073" ht="15.75" customHeight="1">
      <c r="A1073" s="114"/>
      <c r="B1073" s="115"/>
      <c r="C1073" s="115"/>
      <c r="D1073" s="115"/>
      <c r="E1073" s="115"/>
      <c r="F1073" s="22"/>
      <c r="G1073" s="22"/>
      <c r="H1073" s="22"/>
      <c r="I1073" s="258"/>
      <c r="J1073" s="22"/>
      <c r="K1073" s="22"/>
      <c r="L1073" s="460"/>
      <c r="M1073" s="22"/>
      <c r="N1073" s="461"/>
      <c r="O1073" s="260"/>
      <c r="P1073" s="258"/>
      <c r="Q1073" s="22"/>
      <c r="R1073" s="22"/>
      <c r="S1073" s="115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15"/>
    </row>
    <row r="1074" ht="15.75" customHeight="1">
      <c r="A1074" s="114"/>
      <c r="B1074" s="115"/>
      <c r="C1074" s="115"/>
      <c r="D1074" s="115"/>
      <c r="E1074" s="115"/>
      <c r="F1074" s="22"/>
      <c r="G1074" s="22"/>
      <c r="H1074" s="22"/>
      <c r="I1074" s="258"/>
      <c r="J1074" s="22"/>
      <c r="K1074" s="22"/>
      <c r="L1074" s="460"/>
      <c r="M1074" s="22"/>
      <c r="N1074" s="461"/>
      <c r="O1074" s="260"/>
      <c r="P1074" s="258"/>
      <c r="Q1074" s="22"/>
      <c r="R1074" s="22"/>
      <c r="S1074" s="115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15"/>
    </row>
    <row r="1075" ht="15.75" customHeight="1">
      <c r="A1075" s="114"/>
      <c r="B1075" s="115"/>
      <c r="C1075" s="115"/>
      <c r="D1075" s="115"/>
      <c r="E1075" s="115"/>
      <c r="F1075" s="22"/>
      <c r="G1075" s="22"/>
      <c r="H1075" s="22"/>
      <c r="I1075" s="258"/>
      <c r="J1075" s="22"/>
      <c r="K1075" s="22"/>
      <c r="L1075" s="460"/>
      <c r="M1075" s="22"/>
      <c r="N1075" s="461"/>
      <c r="O1075" s="260"/>
      <c r="P1075" s="258"/>
      <c r="Q1075" s="22"/>
      <c r="R1075" s="22"/>
      <c r="S1075" s="115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15"/>
    </row>
    <row r="1076" ht="15.75" customHeight="1">
      <c r="A1076" s="114"/>
      <c r="B1076" s="115"/>
      <c r="C1076" s="115"/>
      <c r="D1076" s="115"/>
      <c r="E1076" s="115"/>
      <c r="F1076" s="22"/>
      <c r="G1076" s="22"/>
      <c r="H1076" s="22"/>
      <c r="I1076" s="258"/>
      <c r="J1076" s="22"/>
      <c r="K1076" s="22"/>
      <c r="L1076" s="460"/>
      <c r="M1076" s="22"/>
      <c r="N1076" s="461"/>
      <c r="O1076" s="260"/>
      <c r="P1076" s="258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  <c r="AO1076" s="22"/>
      <c r="AP1076" s="215"/>
    </row>
  </sheetData>
  <autoFilter ref="$C$1:$C$286"/>
  <conditionalFormatting sqref="A598:A599">
    <cfRule type="expression" dxfId="0" priority="1">
      <formula>COUNTIF(#REF!,A598)&gt;1</formula>
    </cfRule>
  </conditionalFormatting>
  <conditionalFormatting sqref="S598:S599">
    <cfRule type="containsText" dxfId="4" priority="2" operator="containsText" text="CANCELADA">
      <formula>NOT(ISERROR(SEARCH(("CANCELADA"),(S598))))</formula>
    </cfRule>
  </conditionalFormatting>
  <conditionalFormatting sqref="S598:S599">
    <cfRule type="containsText" dxfId="4" priority="3" operator="containsText" text="RETIRADA">
      <formula>NOT(ISERROR(SEARCH(("RETIRADA"),(S598))))</formula>
    </cfRule>
  </conditionalFormatting>
  <conditionalFormatting sqref="S598:S599">
    <cfRule type="containsText" dxfId="4" priority="4" operator="containsText" text="DECLINADO">
      <formula>NOT(ISERROR(SEARCH(("DECLINADO"),(S598))))</formula>
    </cfRule>
  </conditionalFormatting>
  <conditionalFormatting sqref="S598:S599">
    <cfRule type="containsText" dxfId="3" priority="5" operator="containsText" text="CARREGADO">
      <formula>NOT(ISERROR(SEARCH(("CARREGADO"),(S598))))</formula>
    </cfRule>
  </conditionalFormatting>
  <conditionalFormatting sqref="C598:C599">
    <cfRule type="notContainsBlanks" dxfId="2" priority="6">
      <formula>LEN(TRIM(C598))&gt;0</formula>
    </cfRule>
  </conditionalFormatting>
  <conditionalFormatting sqref="C598:C599">
    <cfRule type="notContainsBlanks" dxfId="2" priority="7">
      <formula>LEN(TRIM(C598))&gt;0</formula>
    </cfRule>
  </conditionalFormatting>
  <conditionalFormatting sqref="A596:A597">
    <cfRule type="expression" dxfId="0" priority="8">
      <formula>COUNTIF(#REF!,A596)&gt;1</formula>
    </cfRule>
  </conditionalFormatting>
  <conditionalFormatting sqref="S596:S597">
    <cfRule type="containsText" dxfId="4" priority="9" operator="containsText" text="CANCELADA">
      <formula>NOT(ISERROR(SEARCH(("CANCELADA"),(S596))))</formula>
    </cfRule>
  </conditionalFormatting>
  <conditionalFormatting sqref="S596:S597">
    <cfRule type="containsText" dxfId="4" priority="10" operator="containsText" text="RETIRADA">
      <formula>NOT(ISERROR(SEARCH(("RETIRADA"),(S596))))</formula>
    </cfRule>
  </conditionalFormatting>
  <conditionalFormatting sqref="S596:S597">
    <cfRule type="containsText" dxfId="4" priority="11" operator="containsText" text="DECLINADO">
      <formula>NOT(ISERROR(SEARCH(("DECLINADO"),(S596))))</formula>
    </cfRule>
  </conditionalFormatting>
  <conditionalFormatting sqref="S596:S597">
    <cfRule type="containsText" dxfId="3" priority="12" operator="containsText" text="CARREGADO">
      <formula>NOT(ISERROR(SEARCH(("CARREGADO"),(S596))))</formula>
    </cfRule>
  </conditionalFormatting>
  <conditionalFormatting sqref="C596:C597">
    <cfRule type="notContainsBlanks" dxfId="2" priority="13">
      <formula>LEN(TRIM(C596))&gt;0</formula>
    </cfRule>
  </conditionalFormatting>
  <conditionalFormatting sqref="C596:C597">
    <cfRule type="notContainsBlanks" dxfId="2" priority="14">
      <formula>LEN(TRIM(C596))&gt;0</formula>
    </cfRule>
  </conditionalFormatting>
  <conditionalFormatting sqref="S594:S595">
    <cfRule type="containsText" dxfId="4" priority="15" operator="containsText" text="CANCELADA">
      <formula>NOT(ISERROR(SEARCH(("CANCELADA"),(S594))))</formula>
    </cfRule>
  </conditionalFormatting>
  <conditionalFormatting sqref="S594:S595">
    <cfRule type="containsText" dxfId="4" priority="16" operator="containsText" text="RETIRADA">
      <formula>NOT(ISERROR(SEARCH(("RETIRADA"),(S594))))</formula>
    </cfRule>
  </conditionalFormatting>
  <conditionalFormatting sqref="S594:S595">
    <cfRule type="containsText" dxfId="4" priority="17" operator="containsText" text="DECLINADO">
      <formula>NOT(ISERROR(SEARCH(("DECLINADO"),(S594))))</formula>
    </cfRule>
  </conditionalFormatting>
  <conditionalFormatting sqref="S594:S595">
    <cfRule type="containsText" dxfId="3" priority="18" operator="containsText" text="CARREGADO">
      <formula>NOT(ISERROR(SEARCH(("CARREGADO"),(S594))))</formula>
    </cfRule>
  </conditionalFormatting>
  <conditionalFormatting sqref="A594:A595">
    <cfRule type="expression" dxfId="0" priority="19">
      <formula>COUNTIF(#REF!,A594)&gt;1</formula>
    </cfRule>
  </conditionalFormatting>
  <conditionalFormatting sqref="C594:C595">
    <cfRule type="notContainsBlanks" dxfId="2" priority="20">
      <formula>LEN(TRIM(C594))&gt;0</formula>
    </cfRule>
  </conditionalFormatting>
  <conditionalFormatting sqref="C594:C595">
    <cfRule type="notContainsBlanks" dxfId="2" priority="21">
      <formula>LEN(TRIM(C594))&gt;0</formula>
    </cfRule>
  </conditionalFormatting>
  <conditionalFormatting sqref="S593">
    <cfRule type="containsText" dxfId="4" priority="22" operator="containsText" text="CANCELADA">
      <formula>NOT(ISERROR(SEARCH(("CANCELADA"),(S593))))</formula>
    </cfRule>
  </conditionalFormatting>
  <conditionalFormatting sqref="S593">
    <cfRule type="containsText" dxfId="4" priority="23" operator="containsText" text="RETIRADA">
      <formula>NOT(ISERROR(SEARCH(("RETIRADA"),(S593))))</formula>
    </cfRule>
  </conditionalFormatting>
  <conditionalFormatting sqref="S593">
    <cfRule type="containsText" dxfId="4" priority="24" operator="containsText" text="DECLINADO">
      <formula>NOT(ISERROR(SEARCH(("DECLINADO"),(S593))))</formula>
    </cfRule>
  </conditionalFormatting>
  <conditionalFormatting sqref="S593">
    <cfRule type="containsText" dxfId="3" priority="25" operator="containsText" text="CARREGADO">
      <formula>NOT(ISERROR(SEARCH(("CARREGADO"),(S593))))</formula>
    </cfRule>
  </conditionalFormatting>
  <conditionalFormatting sqref="A593">
    <cfRule type="expression" dxfId="0" priority="26">
      <formula>COUNTIF(#REF!,A593)&gt;1</formula>
    </cfRule>
  </conditionalFormatting>
  <conditionalFormatting sqref="C593">
    <cfRule type="notContainsBlanks" dxfId="2" priority="27">
      <formula>LEN(TRIM(C593))&gt;0</formula>
    </cfRule>
  </conditionalFormatting>
  <conditionalFormatting sqref="C593">
    <cfRule type="notContainsBlanks" dxfId="2" priority="28">
      <formula>LEN(TRIM(C593))&gt;0</formula>
    </cfRule>
  </conditionalFormatting>
  <conditionalFormatting sqref="C591:C592">
    <cfRule type="notContainsBlanks" dxfId="2" priority="29">
      <formula>LEN(TRIM(C591))&gt;0</formula>
    </cfRule>
  </conditionalFormatting>
  <conditionalFormatting sqref="C591">
    <cfRule type="notContainsBlanks" dxfId="2" priority="30">
      <formula>LEN(TRIM(C591))&gt;0</formula>
    </cfRule>
  </conditionalFormatting>
  <conditionalFormatting sqref="S591">
    <cfRule type="containsText" dxfId="4" priority="31" operator="containsText" text="CANCELADA">
      <formula>NOT(ISERROR(SEARCH(("CANCELADA"),(S591))))</formula>
    </cfRule>
  </conditionalFormatting>
  <conditionalFormatting sqref="S591">
    <cfRule type="containsText" dxfId="4" priority="32" operator="containsText" text="RETIRADA">
      <formula>NOT(ISERROR(SEARCH(("RETIRADA"),(S591))))</formula>
    </cfRule>
  </conditionalFormatting>
  <conditionalFormatting sqref="S591">
    <cfRule type="containsText" dxfId="4" priority="33" operator="containsText" text="DECLINADO">
      <formula>NOT(ISERROR(SEARCH(("DECLINADO"),(S591))))</formula>
    </cfRule>
  </conditionalFormatting>
  <conditionalFormatting sqref="S591">
    <cfRule type="containsText" dxfId="3" priority="34" operator="containsText" text="CARREGADO">
      <formula>NOT(ISERROR(SEARCH(("CARREGADO"),(S591))))</formula>
    </cfRule>
  </conditionalFormatting>
  <conditionalFormatting sqref="A591">
    <cfRule type="expression" dxfId="0" priority="35">
      <formula>COUNTIF(#REF!,A591)&gt;1</formula>
    </cfRule>
  </conditionalFormatting>
  <conditionalFormatting sqref="C587:C590">
    <cfRule type="notContainsBlanks" dxfId="2" priority="36">
      <formula>LEN(TRIM(C587))&gt;0</formula>
    </cfRule>
  </conditionalFormatting>
  <conditionalFormatting sqref="C587:C590">
    <cfRule type="notContainsBlanks" dxfId="2" priority="37">
      <formula>LEN(TRIM(C587))&gt;0</formula>
    </cfRule>
  </conditionalFormatting>
  <conditionalFormatting sqref="A587:A590">
    <cfRule type="expression" dxfId="0" priority="38">
      <formula>COUNTIF(#REF!,A587)&gt;1</formula>
    </cfRule>
  </conditionalFormatting>
  <conditionalFormatting sqref="S587:S590">
    <cfRule type="containsText" dxfId="3" priority="39" operator="containsText" text="CARREGADO">
      <formula>NOT(ISERROR(SEARCH(("CARREGADO"),(S587))))</formula>
    </cfRule>
  </conditionalFormatting>
  <conditionalFormatting sqref="S587:S590">
    <cfRule type="containsText" dxfId="4" priority="40" operator="containsText" text="DECLINADO">
      <formula>NOT(ISERROR(SEARCH(("DECLINADO"),(S587))))</formula>
    </cfRule>
  </conditionalFormatting>
  <conditionalFormatting sqref="S587:S590">
    <cfRule type="containsText" dxfId="4" priority="41" operator="containsText" text="RETIRADA">
      <formula>NOT(ISERROR(SEARCH(("RETIRADA"),(S587))))</formula>
    </cfRule>
  </conditionalFormatting>
  <conditionalFormatting sqref="S587:S590">
    <cfRule type="containsText" dxfId="4" priority="42" operator="containsText" text="CANCELADA">
      <formula>NOT(ISERROR(SEARCH(("CANCELADA"),(S587))))</formula>
    </cfRule>
  </conditionalFormatting>
  <conditionalFormatting sqref="C586">
    <cfRule type="notContainsBlanks" dxfId="2" priority="43">
      <formula>LEN(TRIM(C586))&gt;0</formula>
    </cfRule>
  </conditionalFormatting>
  <conditionalFormatting sqref="C586">
    <cfRule type="notContainsBlanks" dxfId="2" priority="44">
      <formula>LEN(TRIM(C586))&gt;0</formula>
    </cfRule>
  </conditionalFormatting>
  <conditionalFormatting sqref="A586">
    <cfRule type="expression" dxfId="0" priority="45">
      <formula>COUNTIF(#REF!,A586)&gt;1</formula>
    </cfRule>
  </conditionalFormatting>
  <conditionalFormatting sqref="S586">
    <cfRule type="containsText" dxfId="3" priority="46" operator="containsText" text="CARREGADO">
      <formula>NOT(ISERROR(SEARCH(("CARREGADO"),(S586))))</formula>
    </cfRule>
  </conditionalFormatting>
  <conditionalFormatting sqref="S586">
    <cfRule type="containsText" dxfId="4" priority="47" operator="containsText" text="DECLINADO">
      <formula>NOT(ISERROR(SEARCH(("DECLINADO"),(S586))))</formula>
    </cfRule>
  </conditionalFormatting>
  <conditionalFormatting sqref="S586">
    <cfRule type="containsText" dxfId="4" priority="48" operator="containsText" text="RETIRADA">
      <formula>NOT(ISERROR(SEARCH(("RETIRADA"),(S586))))</formula>
    </cfRule>
  </conditionalFormatting>
  <conditionalFormatting sqref="S586">
    <cfRule type="containsText" dxfId="4" priority="49" operator="containsText" text="CANCELADA">
      <formula>NOT(ISERROR(SEARCH(("CANCELADA"),(S586))))</formula>
    </cfRule>
  </conditionalFormatting>
  <conditionalFormatting sqref="C584:C585 A584:A585">
    <cfRule type="notContainsBlanks" dxfId="2" priority="50">
      <formula>LEN(TRIM(C584))&gt;0</formula>
    </cfRule>
  </conditionalFormatting>
  <conditionalFormatting sqref="C584:C585 A584:A585">
    <cfRule type="notContainsBlanks" dxfId="2" priority="51">
      <formula>LEN(TRIM(C584))&gt;0</formula>
    </cfRule>
  </conditionalFormatting>
  <conditionalFormatting sqref="A584:A585">
    <cfRule type="expression" dxfId="0" priority="52">
      <formula>COUNTIF(#REF!,A584)&gt;1</formula>
    </cfRule>
  </conditionalFormatting>
  <conditionalFormatting sqref="S584:S585">
    <cfRule type="containsText" dxfId="3" priority="53" operator="containsText" text="CARREGADO">
      <formula>NOT(ISERROR(SEARCH(("CARREGADO"),(S584))))</formula>
    </cfRule>
  </conditionalFormatting>
  <conditionalFormatting sqref="S584:S585">
    <cfRule type="containsText" dxfId="4" priority="54" operator="containsText" text="DECLINADO">
      <formula>NOT(ISERROR(SEARCH(("DECLINADO"),(S584))))</formula>
    </cfRule>
  </conditionalFormatting>
  <conditionalFormatting sqref="S584:S585">
    <cfRule type="containsText" dxfId="4" priority="55" operator="containsText" text="RETIRADA">
      <formula>NOT(ISERROR(SEARCH(("RETIRADA"),(S584))))</formula>
    </cfRule>
  </conditionalFormatting>
  <conditionalFormatting sqref="S584:S585">
    <cfRule type="containsText" dxfId="4" priority="56" operator="containsText" text="CANCELADA">
      <formula>NOT(ISERROR(SEARCH(("CANCELADA"),(S584))))</formula>
    </cfRule>
  </conditionalFormatting>
  <conditionalFormatting sqref="S583">
    <cfRule type="containsText" dxfId="4" priority="57" operator="containsText" text="CANCELADA">
      <formula>NOT(ISERROR(SEARCH(("CANCELADA"),(S583))))</formula>
    </cfRule>
  </conditionalFormatting>
  <conditionalFormatting sqref="S583">
    <cfRule type="containsText" dxfId="4" priority="58" operator="containsText" text="RETIRADA">
      <formula>NOT(ISERROR(SEARCH(("RETIRADA"),(S583))))</formula>
    </cfRule>
  </conditionalFormatting>
  <conditionalFormatting sqref="S583">
    <cfRule type="containsText" dxfId="4" priority="59" operator="containsText" text="DECLINADO">
      <formula>NOT(ISERROR(SEARCH(("DECLINADO"),(S583))))</formula>
    </cfRule>
  </conditionalFormatting>
  <conditionalFormatting sqref="S583">
    <cfRule type="containsText" dxfId="3" priority="60" operator="containsText" text="CARREGADO">
      <formula>NOT(ISERROR(SEARCH(("CARREGADO"),(S583))))</formula>
    </cfRule>
  </conditionalFormatting>
  <conditionalFormatting sqref="A583">
    <cfRule type="expression" dxfId="0" priority="61">
      <formula>COUNTIF(#REF!,A583)&gt;1</formula>
    </cfRule>
  </conditionalFormatting>
  <conditionalFormatting sqref="C583">
    <cfRule type="notContainsBlanks" dxfId="2" priority="62">
      <formula>LEN(TRIM(C583))&gt;0</formula>
    </cfRule>
  </conditionalFormatting>
  <conditionalFormatting sqref="C583">
    <cfRule type="notContainsBlanks" dxfId="2" priority="63">
      <formula>LEN(TRIM(C583))&gt;0</formula>
    </cfRule>
  </conditionalFormatting>
  <conditionalFormatting sqref="C581:C582">
    <cfRule type="notContainsBlanks" dxfId="2" priority="64">
      <formula>LEN(TRIM(C581))&gt;0</formula>
    </cfRule>
  </conditionalFormatting>
  <conditionalFormatting sqref="C581:C582">
    <cfRule type="notContainsBlanks" dxfId="2" priority="65">
      <formula>LEN(TRIM(C581))&gt;0</formula>
    </cfRule>
  </conditionalFormatting>
  <conditionalFormatting sqref="A581:A582">
    <cfRule type="expression" dxfId="0" priority="66">
      <formula>COUNTIF(#REF!,A581)&gt;1</formula>
    </cfRule>
  </conditionalFormatting>
  <conditionalFormatting sqref="S581:S582">
    <cfRule type="containsText" dxfId="3" priority="67" operator="containsText" text="CARREGADO">
      <formula>NOT(ISERROR(SEARCH(("CARREGADO"),(S581))))</formula>
    </cfRule>
  </conditionalFormatting>
  <conditionalFormatting sqref="S581:S582">
    <cfRule type="containsText" dxfId="4" priority="68" operator="containsText" text="DECLINADO">
      <formula>NOT(ISERROR(SEARCH(("DECLINADO"),(S581))))</formula>
    </cfRule>
  </conditionalFormatting>
  <conditionalFormatting sqref="S581:S582">
    <cfRule type="containsText" dxfId="4" priority="69" operator="containsText" text="RETIRADA">
      <formula>NOT(ISERROR(SEARCH(("RETIRADA"),(S581))))</formula>
    </cfRule>
  </conditionalFormatting>
  <conditionalFormatting sqref="S581:S582">
    <cfRule type="containsText" dxfId="4" priority="70" operator="containsText" text="CANCELADA">
      <formula>NOT(ISERROR(SEARCH(("CANCELADA"),(S581))))</formula>
    </cfRule>
  </conditionalFormatting>
  <conditionalFormatting sqref="C580">
    <cfRule type="notContainsBlanks" dxfId="2" priority="71">
      <formula>LEN(TRIM(C580))&gt;0</formula>
    </cfRule>
  </conditionalFormatting>
  <conditionalFormatting sqref="C580">
    <cfRule type="notContainsBlanks" dxfId="2" priority="72">
      <formula>LEN(TRIM(C580))&gt;0</formula>
    </cfRule>
  </conditionalFormatting>
  <conditionalFormatting sqref="A580">
    <cfRule type="expression" dxfId="0" priority="73">
      <formula>COUNTIF(#REF!,A580)&gt;1</formula>
    </cfRule>
  </conditionalFormatting>
  <conditionalFormatting sqref="S580">
    <cfRule type="containsText" dxfId="3" priority="74" operator="containsText" text="CARREGADO">
      <formula>NOT(ISERROR(SEARCH(("CARREGADO"),(S580))))</formula>
    </cfRule>
  </conditionalFormatting>
  <conditionalFormatting sqref="S580">
    <cfRule type="containsText" dxfId="4" priority="75" operator="containsText" text="DECLINADO">
      <formula>NOT(ISERROR(SEARCH(("DECLINADO"),(S580))))</formula>
    </cfRule>
  </conditionalFormatting>
  <conditionalFormatting sqref="S580">
    <cfRule type="containsText" dxfId="4" priority="76" operator="containsText" text="RETIRADA">
      <formula>NOT(ISERROR(SEARCH(("RETIRADA"),(S580))))</formula>
    </cfRule>
  </conditionalFormatting>
  <conditionalFormatting sqref="S580">
    <cfRule type="containsText" dxfId="4" priority="77" operator="containsText" text="CANCELADA">
      <formula>NOT(ISERROR(SEARCH(("CANCELADA"),(S580))))</formula>
    </cfRule>
  </conditionalFormatting>
  <conditionalFormatting sqref="S578:S579">
    <cfRule type="containsText" dxfId="4" priority="78" operator="containsText" text="CANCELADA">
      <formula>NOT(ISERROR(SEARCH(("CANCELADA"),(S578))))</formula>
    </cfRule>
  </conditionalFormatting>
  <conditionalFormatting sqref="S578:S579">
    <cfRule type="containsText" dxfId="4" priority="79" operator="containsText" text="RETIRADA">
      <formula>NOT(ISERROR(SEARCH(("RETIRADA"),(S578))))</formula>
    </cfRule>
  </conditionalFormatting>
  <conditionalFormatting sqref="S578:S579">
    <cfRule type="containsText" dxfId="4" priority="80" operator="containsText" text="DECLINADO">
      <formula>NOT(ISERROR(SEARCH(("DECLINADO"),(S578))))</formula>
    </cfRule>
  </conditionalFormatting>
  <conditionalFormatting sqref="S578:S579">
    <cfRule type="containsText" dxfId="3" priority="81" operator="containsText" text="CARREGADO">
      <formula>NOT(ISERROR(SEARCH(("CARREGADO"),(S578))))</formula>
    </cfRule>
  </conditionalFormatting>
  <conditionalFormatting sqref="A578:A579">
    <cfRule type="expression" dxfId="0" priority="82">
      <formula>COUNTIF(#REF!,A578)&gt;1</formula>
    </cfRule>
  </conditionalFormatting>
  <conditionalFormatting sqref="C578:C579">
    <cfRule type="notContainsBlanks" dxfId="2" priority="83">
      <formula>LEN(TRIM(C578))&gt;0</formula>
    </cfRule>
  </conditionalFormatting>
  <conditionalFormatting sqref="C578:C579">
    <cfRule type="notContainsBlanks" dxfId="2" priority="84">
      <formula>LEN(TRIM(C578))&gt;0</formula>
    </cfRule>
  </conditionalFormatting>
  <conditionalFormatting sqref="C577">
    <cfRule type="notContainsBlanks" dxfId="2" priority="85">
      <formula>LEN(TRIM(C577))&gt;0</formula>
    </cfRule>
  </conditionalFormatting>
  <conditionalFormatting sqref="C577">
    <cfRule type="notContainsBlanks" dxfId="2" priority="86">
      <formula>LEN(TRIM(C577))&gt;0</formula>
    </cfRule>
  </conditionalFormatting>
  <conditionalFormatting sqref="A577">
    <cfRule type="expression" dxfId="0" priority="87">
      <formula>COUNTIF(#REF!,A577)&gt;1</formula>
    </cfRule>
  </conditionalFormatting>
  <conditionalFormatting sqref="S577">
    <cfRule type="containsText" dxfId="3" priority="88" operator="containsText" text="CARREGADO">
      <formula>NOT(ISERROR(SEARCH(("CARREGADO"),(S577))))</formula>
    </cfRule>
  </conditionalFormatting>
  <conditionalFormatting sqref="S577">
    <cfRule type="containsText" dxfId="4" priority="89" operator="containsText" text="DECLINADO">
      <formula>NOT(ISERROR(SEARCH(("DECLINADO"),(S577))))</formula>
    </cfRule>
  </conditionalFormatting>
  <conditionalFormatting sqref="S577">
    <cfRule type="containsText" dxfId="4" priority="90" operator="containsText" text="RETIRADA">
      <formula>NOT(ISERROR(SEARCH(("RETIRADA"),(S577))))</formula>
    </cfRule>
  </conditionalFormatting>
  <conditionalFormatting sqref="S577">
    <cfRule type="containsText" dxfId="4" priority="91" operator="containsText" text="CANCELADA">
      <formula>NOT(ISERROR(SEARCH(("CANCELADA"),(S577))))</formula>
    </cfRule>
  </conditionalFormatting>
  <conditionalFormatting sqref="A575:A576">
    <cfRule type="expression" dxfId="0" priority="92">
      <formula>COUNTIF(#REF!,A575)&gt;1</formula>
    </cfRule>
  </conditionalFormatting>
  <conditionalFormatting sqref="C575:C576">
    <cfRule type="notContainsBlanks" dxfId="2" priority="93">
      <formula>LEN(TRIM(C575))&gt;0</formula>
    </cfRule>
  </conditionalFormatting>
  <conditionalFormatting sqref="C575:C576">
    <cfRule type="notContainsBlanks" dxfId="2" priority="94">
      <formula>LEN(TRIM(C575))&gt;0</formula>
    </cfRule>
  </conditionalFormatting>
  <conditionalFormatting sqref="S575:S576">
    <cfRule type="containsText" dxfId="4" priority="95" operator="containsText" text="CANCELADA">
      <formula>NOT(ISERROR(SEARCH(("CANCELADA"),(S575))))</formula>
    </cfRule>
  </conditionalFormatting>
  <conditionalFormatting sqref="S575:S576">
    <cfRule type="containsText" dxfId="4" priority="96" operator="containsText" text="RETIRADA">
      <formula>NOT(ISERROR(SEARCH(("RETIRADA"),(S575))))</formula>
    </cfRule>
  </conditionalFormatting>
  <conditionalFormatting sqref="S575:S576">
    <cfRule type="containsText" dxfId="4" priority="97" operator="containsText" text="DECLINADO">
      <formula>NOT(ISERROR(SEARCH(("DECLINADO"),(S575))))</formula>
    </cfRule>
  </conditionalFormatting>
  <conditionalFormatting sqref="S575:S576">
    <cfRule type="containsText" dxfId="3" priority="98" operator="containsText" text="CARREGADO">
      <formula>NOT(ISERROR(SEARCH(("CARREGADO"),(S575))))</formula>
    </cfRule>
  </conditionalFormatting>
  <conditionalFormatting sqref="A574">
    <cfRule type="expression" dxfId="0" priority="99">
      <formula>COUNTIF(#REF!,A574)&gt;1</formula>
    </cfRule>
  </conditionalFormatting>
  <conditionalFormatting sqref="S574">
    <cfRule type="containsText" dxfId="4" priority="100" operator="containsText" text="CANCELADA">
      <formula>NOT(ISERROR(SEARCH(("CANCELADA"),(S574))))</formula>
    </cfRule>
  </conditionalFormatting>
  <conditionalFormatting sqref="S574">
    <cfRule type="containsText" dxfId="4" priority="101" operator="containsText" text="RETIRADA">
      <formula>NOT(ISERROR(SEARCH(("RETIRADA"),(S574))))</formula>
    </cfRule>
  </conditionalFormatting>
  <conditionalFormatting sqref="S574">
    <cfRule type="containsText" dxfId="4" priority="102" operator="containsText" text="DECLINADO">
      <formula>NOT(ISERROR(SEARCH(("DECLINADO"),(S574))))</formula>
    </cfRule>
  </conditionalFormatting>
  <conditionalFormatting sqref="S574">
    <cfRule type="containsText" dxfId="3" priority="103" operator="containsText" text="CARREGADO">
      <formula>NOT(ISERROR(SEARCH(("CARREGADO"),(S574))))</formula>
    </cfRule>
  </conditionalFormatting>
  <conditionalFormatting sqref="C574">
    <cfRule type="notContainsBlanks" dxfId="2" priority="104">
      <formula>LEN(TRIM(C574))&gt;0</formula>
    </cfRule>
  </conditionalFormatting>
  <conditionalFormatting sqref="C574">
    <cfRule type="notContainsBlanks" dxfId="2" priority="105">
      <formula>LEN(TRIM(C574))&gt;0</formula>
    </cfRule>
  </conditionalFormatting>
  <conditionalFormatting sqref="S572:S573">
    <cfRule type="containsText" dxfId="4" priority="106" operator="containsText" text="CANCELADA">
      <formula>NOT(ISERROR(SEARCH(("CANCELADA"),(S572))))</formula>
    </cfRule>
  </conditionalFormatting>
  <conditionalFormatting sqref="S572:S573">
    <cfRule type="containsText" dxfId="4" priority="107" operator="containsText" text="RETIRADA">
      <formula>NOT(ISERROR(SEARCH(("RETIRADA"),(S572))))</formula>
    </cfRule>
  </conditionalFormatting>
  <conditionalFormatting sqref="S572:S573">
    <cfRule type="containsText" dxfId="4" priority="108" operator="containsText" text="DECLINADO">
      <formula>NOT(ISERROR(SEARCH(("DECLINADO"),(S572))))</formula>
    </cfRule>
  </conditionalFormatting>
  <conditionalFormatting sqref="S572:S573">
    <cfRule type="containsText" dxfId="3" priority="109" operator="containsText" text="CARREGADO">
      <formula>NOT(ISERROR(SEARCH(("CARREGADO"),(S572))))</formula>
    </cfRule>
  </conditionalFormatting>
  <conditionalFormatting sqref="A572:A573">
    <cfRule type="expression" dxfId="0" priority="110">
      <formula>COUNTIF(#REF!,A572)&gt;1</formula>
    </cfRule>
  </conditionalFormatting>
  <conditionalFormatting sqref="C572:C573">
    <cfRule type="notContainsBlanks" dxfId="2" priority="111">
      <formula>LEN(TRIM(C572))&gt;0</formula>
    </cfRule>
  </conditionalFormatting>
  <conditionalFormatting sqref="C572:C573">
    <cfRule type="notContainsBlanks" dxfId="2" priority="112">
      <formula>LEN(TRIM(C572))&gt;0</formula>
    </cfRule>
  </conditionalFormatting>
  <conditionalFormatting sqref="C570:C571">
    <cfRule type="notContainsBlanks" dxfId="2" priority="113">
      <formula>LEN(TRIM(C570))&gt;0</formula>
    </cfRule>
  </conditionalFormatting>
  <conditionalFormatting sqref="C570:C571">
    <cfRule type="notContainsBlanks" dxfId="2" priority="114">
      <formula>LEN(TRIM(C570))&gt;0</formula>
    </cfRule>
  </conditionalFormatting>
  <conditionalFormatting sqref="A570:A571">
    <cfRule type="expression" dxfId="0" priority="115">
      <formula>COUNTIF(#REF!,A570)&gt;1</formula>
    </cfRule>
  </conditionalFormatting>
  <conditionalFormatting sqref="S570:S571">
    <cfRule type="containsText" dxfId="4" priority="116" operator="containsText" text="CANCELADA">
      <formula>NOT(ISERROR(SEARCH(("CANCELADA"),(S570))))</formula>
    </cfRule>
  </conditionalFormatting>
  <conditionalFormatting sqref="S570:S571">
    <cfRule type="containsText" dxfId="4" priority="117" operator="containsText" text="RETIRADA">
      <formula>NOT(ISERROR(SEARCH(("RETIRADA"),(S570))))</formula>
    </cfRule>
  </conditionalFormatting>
  <conditionalFormatting sqref="S570:S571">
    <cfRule type="containsText" dxfId="4" priority="118" operator="containsText" text="DECLINADO">
      <formula>NOT(ISERROR(SEARCH(("DECLINADO"),(S570))))</formula>
    </cfRule>
  </conditionalFormatting>
  <conditionalFormatting sqref="S570:S571">
    <cfRule type="containsText" dxfId="3" priority="119" operator="containsText" text="CARREGADO">
      <formula>NOT(ISERROR(SEARCH(("CARREGADO"),(S570))))</formula>
    </cfRule>
  </conditionalFormatting>
  <conditionalFormatting sqref="A568:A569 B568:B569">
    <cfRule type="expression" dxfId="0" priority="120">
      <formula>COUNTIF(#REF!,A568)&gt;1</formula>
    </cfRule>
  </conditionalFormatting>
  <conditionalFormatting sqref="C568:C569">
    <cfRule type="notContainsBlanks" dxfId="2" priority="121">
      <formula>LEN(TRIM(C568))&gt;0</formula>
    </cfRule>
  </conditionalFormatting>
  <conditionalFormatting sqref="C568:C569">
    <cfRule type="notContainsBlanks" dxfId="2" priority="122">
      <formula>LEN(TRIM(C568))&gt;0</formula>
    </cfRule>
  </conditionalFormatting>
  <conditionalFormatting sqref="S568:S569">
    <cfRule type="containsText" dxfId="4" priority="123" operator="containsText" text="CANCELADA">
      <formula>NOT(ISERROR(SEARCH(("CANCELADA"),(S568))))</formula>
    </cfRule>
  </conditionalFormatting>
  <conditionalFormatting sqref="S568:S569">
    <cfRule type="containsText" dxfId="4" priority="124" operator="containsText" text="RETIRADA">
      <formula>NOT(ISERROR(SEARCH(("RETIRADA"),(S568))))</formula>
    </cfRule>
  </conditionalFormatting>
  <conditionalFormatting sqref="S568:S569">
    <cfRule type="containsText" dxfId="4" priority="125" operator="containsText" text="DECLINADO">
      <formula>NOT(ISERROR(SEARCH(("DECLINADO"),(S568))))</formula>
    </cfRule>
  </conditionalFormatting>
  <conditionalFormatting sqref="S568:S569">
    <cfRule type="containsText" dxfId="3" priority="126" operator="containsText" text="CARREGADO">
      <formula>NOT(ISERROR(SEARCH(("CARREGADO"),(S568))))</formula>
    </cfRule>
  </conditionalFormatting>
  <conditionalFormatting sqref="S563:S567">
    <cfRule type="containsText" dxfId="4" priority="127" operator="containsText" text="CANCELADA">
      <formula>NOT(ISERROR(SEARCH(("CANCELADA"),(S563))))</formula>
    </cfRule>
  </conditionalFormatting>
  <conditionalFormatting sqref="S563:S567">
    <cfRule type="containsText" dxfId="4" priority="128" operator="containsText" text="RETIRADA">
      <formula>NOT(ISERROR(SEARCH(("RETIRADA"),(S563))))</formula>
    </cfRule>
  </conditionalFormatting>
  <conditionalFormatting sqref="S563:S567">
    <cfRule type="containsText" dxfId="4" priority="129" operator="containsText" text="DECLINADO">
      <formula>NOT(ISERROR(SEARCH(("DECLINADO"),(S563))))</formula>
    </cfRule>
  </conditionalFormatting>
  <conditionalFormatting sqref="S563:S567">
    <cfRule type="containsText" dxfId="3" priority="130" operator="containsText" text="CARREGADO">
      <formula>NOT(ISERROR(SEARCH(("CARREGADO"),(S563))))</formula>
    </cfRule>
  </conditionalFormatting>
  <conditionalFormatting sqref="C563:C567">
    <cfRule type="notContainsBlanks" dxfId="2" priority="131">
      <formula>LEN(TRIM(C563))&gt;0</formula>
    </cfRule>
  </conditionalFormatting>
  <conditionalFormatting sqref="C563:C567">
    <cfRule type="notContainsBlanks" dxfId="2" priority="132">
      <formula>LEN(TRIM(C563))&gt;0</formula>
    </cfRule>
  </conditionalFormatting>
  <conditionalFormatting sqref="A563:A567 B563:B566">
    <cfRule type="expression" dxfId="0" priority="133">
      <formula>COUNTIF(#REF!,A563)&gt;1</formula>
    </cfRule>
  </conditionalFormatting>
  <conditionalFormatting sqref="S556">
    <cfRule type="containsText" dxfId="4" priority="134" operator="containsText" text="CANCELADA">
      <formula>NOT(ISERROR(SEARCH(("CANCELADA"),(S556))))</formula>
    </cfRule>
  </conditionalFormatting>
  <conditionalFormatting sqref="S556">
    <cfRule type="containsText" dxfId="4" priority="135" operator="containsText" text="RETIRADA">
      <formula>NOT(ISERROR(SEARCH(("RETIRADA"),(S556))))</formula>
    </cfRule>
  </conditionalFormatting>
  <conditionalFormatting sqref="S556">
    <cfRule type="containsText" dxfId="4" priority="136" operator="containsText" text="DECLINADO">
      <formula>NOT(ISERROR(SEARCH(("DECLINADO"),(S556))))</formula>
    </cfRule>
  </conditionalFormatting>
  <conditionalFormatting sqref="S556">
    <cfRule type="containsText" dxfId="3" priority="137" operator="containsText" text="CARREGADO">
      <formula>NOT(ISERROR(SEARCH(("CARREGADO"),(S556))))</formula>
    </cfRule>
  </conditionalFormatting>
  <conditionalFormatting sqref="C556">
    <cfRule type="notContainsBlanks" dxfId="2" priority="138">
      <formula>LEN(TRIM(C556))&gt;0</formula>
    </cfRule>
  </conditionalFormatting>
  <conditionalFormatting sqref="C556">
    <cfRule type="notContainsBlanks" dxfId="2" priority="139">
      <formula>LEN(TRIM(C556))&gt;0</formula>
    </cfRule>
  </conditionalFormatting>
  <conditionalFormatting sqref="A556">
    <cfRule type="expression" dxfId="0" priority="140">
      <formula>COUNTIF(#REF!,A556)&gt;1</formula>
    </cfRule>
  </conditionalFormatting>
  <conditionalFormatting sqref="S561:S562">
    <cfRule type="containsText" dxfId="4" priority="141" operator="containsText" text="CANCELADA">
      <formula>NOT(ISERROR(SEARCH(("CANCELADA"),(S561))))</formula>
    </cfRule>
  </conditionalFormatting>
  <conditionalFormatting sqref="S561:S562">
    <cfRule type="containsText" dxfId="4" priority="142" operator="containsText" text="RETIRADA">
      <formula>NOT(ISERROR(SEARCH(("RETIRADA"),(S561))))</formula>
    </cfRule>
  </conditionalFormatting>
  <conditionalFormatting sqref="S561:S562">
    <cfRule type="containsText" dxfId="4" priority="143" operator="containsText" text="DECLINADO">
      <formula>NOT(ISERROR(SEARCH(("DECLINADO"),(S561))))</formula>
    </cfRule>
  </conditionalFormatting>
  <conditionalFormatting sqref="S561:S562">
    <cfRule type="containsText" dxfId="3" priority="144" operator="containsText" text="CARREGADO">
      <formula>NOT(ISERROR(SEARCH(("CARREGADO"),(S561))))</formula>
    </cfRule>
  </conditionalFormatting>
  <conditionalFormatting sqref="C561:C562">
    <cfRule type="notContainsBlanks" dxfId="2" priority="145">
      <formula>LEN(TRIM(C561))&gt;0</formula>
    </cfRule>
  </conditionalFormatting>
  <conditionalFormatting sqref="C561:C562">
    <cfRule type="notContainsBlanks" dxfId="2" priority="146">
      <formula>LEN(TRIM(C561))&gt;0</formula>
    </cfRule>
  </conditionalFormatting>
  <conditionalFormatting sqref="A561:A562">
    <cfRule type="expression" dxfId="0" priority="147">
      <formula>COUNTIF(#REF!,A561)&gt;1</formula>
    </cfRule>
  </conditionalFormatting>
  <conditionalFormatting sqref="S560">
    <cfRule type="containsText" dxfId="4" priority="148" operator="containsText" text="CANCELADA">
      <formula>NOT(ISERROR(SEARCH(("CANCELADA"),(S560))))</formula>
    </cfRule>
  </conditionalFormatting>
  <conditionalFormatting sqref="S560">
    <cfRule type="containsText" dxfId="4" priority="149" operator="containsText" text="RETIRADA">
      <formula>NOT(ISERROR(SEARCH(("RETIRADA"),(S560))))</formula>
    </cfRule>
  </conditionalFormatting>
  <conditionalFormatting sqref="S560">
    <cfRule type="containsText" dxfId="4" priority="150" operator="containsText" text="DECLINADO">
      <formula>NOT(ISERROR(SEARCH(("DECLINADO"),(S560))))</formula>
    </cfRule>
  </conditionalFormatting>
  <conditionalFormatting sqref="S560">
    <cfRule type="containsText" dxfId="3" priority="151" operator="containsText" text="CARREGADO">
      <formula>NOT(ISERROR(SEARCH(("CARREGADO"),(S560))))</formula>
    </cfRule>
  </conditionalFormatting>
  <conditionalFormatting sqref="C560">
    <cfRule type="notContainsBlanks" dxfId="2" priority="152">
      <formula>LEN(TRIM(C560))&gt;0</formula>
    </cfRule>
  </conditionalFormatting>
  <conditionalFormatting sqref="C560">
    <cfRule type="notContainsBlanks" dxfId="2" priority="153">
      <formula>LEN(TRIM(C560))&gt;0</formula>
    </cfRule>
  </conditionalFormatting>
  <conditionalFormatting sqref="A560">
    <cfRule type="expression" dxfId="0" priority="154">
      <formula>COUNTIF(#REF!,A560)&gt;1</formula>
    </cfRule>
  </conditionalFormatting>
  <conditionalFormatting sqref="S559">
    <cfRule type="containsText" dxfId="4" priority="155" operator="containsText" text="CANCELADA">
      <formula>NOT(ISERROR(SEARCH(("CANCELADA"),(S559))))</formula>
    </cfRule>
  </conditionalFormatting>
  <conditionalFormatting sqref="S559">
    <cfRule type="containsText" dxfId="4" priority="156" operator="containsText" text="RETIRADA">
      <formula>NOT(ISERROR(SEARCH(("RETIRADA"),(S559))))</formula>
    </cfRule>
  </conditionalFormatting>
  <conditionalFormatting sqref="S559">
    <cfRule type="containsText" dxfId="4" priority="157" operator="containsText" text="DECLINADO">
      <formula>NOT(ISERROR(SEARCH(("DECLINADO"),(S559))))</formula>
    </cfRule>
  </conditionalFormatting>
  <conditionalFormatting sqref="S559">
    <cfRule type="containsText" dxfId="3" priority="158" operator="containsText" text="CARREGADO">
      <formula>NOT(ISERROR(SEARCH(("CARREGADO"),(S559))))</formula>
    </cfRule>
  </conditionalFormatting>
  <conditionalFormatting sqref="C559">
    <cfRule type="notContainsBlanks" dxfId="2" priority="159">
      <formula>LEN(TRIM(C559))&gt;0</formula>
    </cfRule>
  </conditionalFormatting>
  <conditionalFormatting sqref="C559">
    <cfRule type="notContainsBlanks" dxfId="2" priority="160">
      <formula>LEN(TRIM(C559))&gt;0</formula>
    </cfRule>
  </conditionalFormatting>
  <conditionalFormatting sqref="A559">
    <cfRule type="expression" dxfId="0" priority="161">
      <formula>COUNTIF(#REF!,A559)&gt;1</formula>
    </cfRule>
  </conditionalFormatting>
  <conditionalFormatting sqref="S557:S558">
    <cfRule type="containsText" dxfId="4" priority="162" operator="containsText" text="CANCELADA">
      <formula>NOT(ISERROR(SEARCH(("CANCELADA"),(S557))))</formula>
    </cfRule>
  </conditionalFormatting>
  <conditionalFormatting sqref="S557:S558">
    <cfRule type="containsText" dxfId="4" priority="163" operator="containsText" text="RETIRADA">
      <formula>NOT(ISERROR(SEARCH(("RETIRADA"),(S557))))</formula>
    </cfRule>
  </conditionalFormatting>
  <conditionalFormatting sqref="S557:S558">
    <cfRule type="containsText" dxfId="4" priority="164" operator="containsText" text="DECLINADO">
      <formula>NOT(ISERROR(SEARCH(("DECLINADO"),(S557))))</formula>
    </cfRule>
  </conditionalFormatting>
  <conditionalFormatting sqref="S557:S558">
    <cfRule type="containsText" dxfId="3" priority="165" operator="containsText" text="CARREGADO">
      <formula>NOT(ISERROR(SEARCH(("CARREGADO"),(S557))))</formula>
    </cfRule>
  </conditionalFormatting>
  <conditionalFormatting sqref="C557:C558">
    <cfRule type="notContainsBlanks" dxfId="2" priority="166">
      <formula>LEN(TRIM(C557))&gt;0</formula>
    </cfRule>
  </conditionalFormatting>
  <conditionalFormatting sqref="C557:C558">
    <cfRule type="notContainsBlanks" dxfId="2" priority="167">
      <formula>LEN(TRIM(C557))&gt;0</formula>
    </cfRule>
  </conditionalFormatting>
  <conditionalFormatting sqref="A557:A558">
    <cfRule type="expression" dxfId="0" priority="168">
      <formula>COUNTIF(#REF!,A557)&gt;1</formula>
    </cfRule>
  </conditionalFormatting>
  <conditionalFormatting sqref="S555">
    <cfRule type="containsText" dxfId="4" priority="169" operator="containsText" text="CANCELADA">
      <formula>NOT(ISERROR(SEARCH(("CANCELADA"),(S555))))</formula>
    </cfRule>
  </conditionalFormatting>
  <conditionalFormatting sqref="S555">
    <cfRule type="containsText" dxfId="4" priority="170" operator="containsText" text="RETIRADA">
      <formula>NOT(ISERROR(SEARCH(("RETIRADA"),(S555))))</formula>
    </cfRule>
  </conditionalFormatting>
  <conditionalFormatting sqref="S555">
    <cfRule type="containsText" dxfId="4" priority="171" operator="containsText" text="DECLINADO">
      <formula>NOT(ISERROR(SEARCH(("DECLINADO"),(S555))))</formula>
    </cfRule>
  </conditionalFormatting>
  <conditionalFormatting sqref="S555">
    <cfRule type="containsText" dxfId="3" priority="172" operator="containsText" text="CARREGADO">
      <formula>NOT(ISERROR(SEARCH(("CARREGADO"),(S555))))</formula>
    </cfRule>
  </conditionalFormatting>
  <conditionalFormatting sqref="C555">
    <cfRule type="notContainsBlanks" dxfId="2" priority="173">
      <formula>LEN(TRIM(C555))&gt;0</formula>
    </cfRule>
  </conditionalFormatting>
  <conditionalFormatting sqref="C555">
    <cfRule type="notContainsBlanks" dxfId="2" priority="174">
      <formula>LEN(TRIM(C555))&gt;0</formula>
    </cfRule>
  </conditionalFormatting>
  <conditionalFormatting sqref="A555">
    <cfRule type="expression" dxfId="0" priority="175">
      <formula>COUNTIF(#REF!,A555)&gt;1</formula>
    </cfRule>
  </conditionalFormatting>
  <conditionalFormatting sqref="C551:C554">
    <cfRule type="notContainsBlanks" dxfId="2" priority="176">
      <formula>LEN(TRIM(C551))&gt;0</formula>
    </cfRule>
  </conditionalFormatting>
  <conditionalFormatting sqref="C551:C554">
    <cfRule type="notContainsBlanks" dxfId="2" priority="177">
      <formula>LEN(TRIM(C551))&gt;0</formula>
    </cfRule>
  </conditionalFormatting>
  <conditionalFormatting sqref="A551:A554">
    <cfRule type="expression" dxfId="0" priority="178">
      <formula>COUNTIF(#REF!,A551)&gt;1</formula>
    </cfRule>
  </conditionalFormatting>
  <conditionalFormatting sqref="S551:S554">
    <cfRule type="containsText" dxfId="3" priority="179" operator="containsText" text="CARREGADO">
      <formula>NOT(ISERROR(SEARCH(("CARREGADO"),(S551))))</formula>
    </cfRule>
  </conditionalFormatting>
  <conditionalFormatting sqref="S551:S554">
    <cfRule type="containsText" dxfId="4" priority="180" operator="containsText" text="DECLINADO">
      <formula>NOT(ISERROR(SEARCH(("DECLINADO"),(S551))))</formula>
    </cfRule>
  </conditionalFormatting>
  <conditionalFormatting sqref="S551:S554">
    <cfRule type="containsText" dxfId="4" priority="181" operator="containsText" text="RETIRADA">
      <formula>NOT(ISERROR(SEARCH(("RETIRADA"),(S551))))</formula>
    </cfRule>
  </conditionalFormatting>
  <conditionalFormatting sqref="S551:S554">
    <cfRule type="containsText" dxfId="4" priority="182" operator="containsText" text="CANCELADA">
      <formula>NOT(ISERROR(SEARCH(("CANCELADA"),(S551))))</formula>
    </cfRule>
  </conditionalFormatting>
  <conditionalFormatting sqref="C550">
    <cfRule type="notContainsBlanks" dxfId="2" priority="183">
      <formula>LEN(TRIM(C550))&gt;0</formula>
    </cfRule>
  </conditionalFormatting>
  <conditionalFormatting sqref="C550">
    <cfRule type="notContainsBlanks" dxfId="2" priority="184">
      <formula>LEN(TRIM(C550))&gt;0</formula>
    </cfRule>
  </conditionalFormatting>
  <conditionalFormatting sqref="A550">
    <cfRule type="expression" dxfId="0" priority="185">
      <formula>COUNTIF(#REF!,A550)&gt;1</formula>
    </cfRule>
  </conditionalFormatting>
  <conditionalFormatting sqref="S550">
    <cfRule type="containsText" dxfId="3" priority="186" operator="containsText" text="CARREGADO">
      <formula>NOT(ISERROR(SEARCH(("CARREGADO"),(S550))))</formula>
    </cfRule>
  </conditionalFormatting>
  <conditionalFormatting sqref="S550">
    <cfRule type="containsText" dxfId="4" priority="187" operator="containsText" text="DECLINADO">
      <formula>NOT(ISERROR(SEARCH(("DECLINADO"),(S550))))</formula>
    </cfRule>
  </conditionalFormatting>
  <conditionalFormatting sqref="S550">
    <cfRule type="containsText" dxfId="4" priority="188" operator="containsText" text="RETIRADA">
      <formula>NOT(ISERROR(SEARCH(("RETIRADA"),(S550))))</formula>
    </cfRule>
  </conditionalFormatting>
  <conditionalFormatting sqref="S550">
    <cfRule type="containsText" dxfId="4" priority="189" operator="containsText" text="CANCELADA">
      <formula>NOT(ISERROR(SEARCH(("CANCELADA"),(S550))))</formula>
    </cfRule>
  </conditionalFormatting>
  <conditionalFormatting sqref="C548:C549">
    <cfRule type="notContainsBlanks" dxfId="2" priority="190">
      <formula>LEN(TRIM(C548))&gt;0</formula>
    </cfRule>
  </conditionalFormatting>
  <conditionalFormatting sqref="C548:C549">
    <cfRule type="notContainsBlanks" dxfId="2" priority="191">
      <formula>LEN(TRIM(C548))&gt;0</formula>
    </cfRule>
  </conditionalFormatting>
  <conditionalFormatting sqref="A548:A549">
    <cfRule type="expression" dxfId="0" priority="192">
      <formula>COUNTIF(#REF!,A548)&gt;1</formula>
    </cfRule>
  </conditionalFormatting>
  <conditionalFormatting sqref="S548:S549">
    <cfRule type="containsText" dxfId="4" priority="193" operator="containsText" text="CANCELADA">
      <formula>NOT(ISERROR(SEARCH(("CANCELADA"),(S548))))</formula>
    </cfRule>
  </conditionalFormatting>
  <conditionalFormatting sqref="S548:S549">
    <cfRule type="containsText" dxfId="4" priority="194" operator="containsText" text="RETIRADA">
      <formula>NOT(ISERROR(SEARCH(("RETIRADA"),(S548))))</formula>
    </cfRule>
  </conditionalFormatting>
  <conditionalFormatting sqref="S548:S549">
    <cfRule type="containsText" dxfId="4" priority="195" operator="containsText" text="DECLINADO">
      <formula>NOT(ISERROR(SEARCH(("DECLINADO"),(S548))))</formula>
    </cfRule>
  </conditionalFormatting>
  <conditionalFormatting sqref="S548:S549">
    <cfRule type="containsText" dxfId="3" priority="196" operator="containsText" text="CARREGADO">
      <formula>NOT(ISERROR(SEARCH(("CARREGADO"),(S548))))</formula>
    </cfRule>
  </conditionalFormatting>
  <conditionalFormatting sqref="C547">
    <cfRule type="notContainsBlanks" dxfId="2" priority="197">
      <formula>LEN(TRIM(C547))&gt;0</formula>
    </cfRule>
  </conditionalFormatting>
  <conditionalFormatting sqref="C547">
    <cfRule type="notContainsBlanks" dxfId="2" priority="198">
      <formula>LEN(TRIM(C547))&gt;0</formula>
    </cfRule>
  </conditionalFormatting>
  <conditionalFormatting sqref="A547">
    <cfRule type="expression" dxfId="0" priority="199">
      <formula>COUNTIF(#REF!,A547)&gt;1</formula>
    </cfRule>
  </conditionalFormatting>
  <conditionalFormatting sqref="S547">
    <cfRule type="containsText" dxfId="3" priority="200" operator="containsText" text="CARREGADO">
      <formula>NOT(ISERROR(SEARCH(("CARREGADO"),(S547))))</formula>
    </cfRule>
  </conditionalFormatting>
  <conditionalFormatting sqref="S547">
    <cfRule type="containsText" dxfId="4" priority="201" operator="containsText" text="DECLINADO">
      <formula>NOT(ISERROR(SEARCH(("DECLINADO"),(S547))))</formula>
    </cfRule>
  </conditionalFormatting>
  <conditionalFormatting sqref="S547">
    <cfRule type="containsText" dxfId="4" priority="202" operator="containsText" text="RETIRADA">
      <formula>NOT(ISERROR(SEARCH(("RETIRADA"),(S547))))</formula>
    </cfRule>
  </conditionalFormatting>
  <conditionalFormatting sqref="S547">
    <cfRule type="containsText" dxfId="4" priority="203" operator="containsText" text="CANCELADA">
      <formula>NOT(ISERROR(SEARCH(("CANCELADA"),(S547))))</formula>
    </cfRule>
  </conditionalFormatting>
  <conditionalFormatting sqref="C542">
    <cfRule type="notContainsBlanks" dxfId="2" priority="204">
      <formula>LEN(TRIM(C542))&gt;0</formula>
    </cfRule>
  </conditionalFormatting>
  <conditionalFormatting sqref="C542">
    <cfRule type="notContainsBlanks" dxfId="2" priority="205">
      <formula>LEN(TRIM(C542))&gt;0</formula>
    </cfRule>
  </conditionalFormatting>
  <conditionalFormatting sqref="A542">
    <cfRule type="expression" dxfId="0" priority="206">
      <formula>COUNTIF(#REF!,A542)&gt;1</formula>
    </cfRule>
  </conditionalFormatting>
  <conditionalFormatting sqref="S542">
    <cfRule type="containsText" dxfId="4" priority="207" operator="containsText" text="CANCELADA">
      <formula>NOT(ISERROR(SEARCH(("CANCELADA"),(S542))))</formula>
    </cfRule>
  </conditionalFormatting>
  <conditionalFormatting sqref="S542">
    <cfRule type="containsText" dxfId="4" priority="208" operator="containsText" text="RETIRADA">
      <formula>NOT(ISERROR(SEARCH(("RETIRADA"),(S542))))</formula>
    </cfRule>
  </conditionalFormatting>
  <conditionalFormatting sqref="S542">
    <cfRule type="containsText" dxfId="4" priority="209" operator="containsText" text="DECLINADO">
      <formula>NOT(ISERROR(SEARCH(("DECLINADO"),(S542))))</formula>
    </cfRule>
  </conditionalFormatting>
  <conditionalFormatting sqref="S542">
    <cfRule type="containsText" dxfId="3" priority="210" operator="containsText" text="CARREGADO">
      <formula>NOT(ISERROR(SEARCH(("CARREGADO"),(S542))))</formula>
    </cfRule>
  </conditionalFormatting>
  <conditionalFormatting sqref="C546">
    <cfRule type="notContainsBlanks" dxfId="2" priority="211">
      <formula>LEN(TRIM(C546))&gt;0</formula>
    </cfRule>
  </conditionalFormatting>
  <conditionalFormatting sqref="C546">
    <cfRule type="notContainsBlanks" dxfId="2" priority="212">
      <formula>LEN(TRIM(C546))&gt;0</formula>
    </cfRule>
  </conditionalFormatting>
  <conditionalFormatting sqref="A546">
    <cfRule type="expression" dxfId="0" priority="213">
      <formula>COUNTIF(#REF!,A546)&gt;1</formula>
    </cfRule>
  </conditionalFormatting>
  <conditionalFormatting sqref="S546">
    <cfRule type="containsText" dxfId="4" priority="214" operator="containsText" text="CANCELADA">
      <formula>NOT(ISERROR(SEARCH(("CANCELADA"),(S546))))</formula>
    </cfRule>
  </conditionalFormatting>
  <conditionalFormatting sqref="S546">
    <cfRule type="containsText" dxfId="4" priority="215" operator="containsText" text="RETIRADA">
      <formula>NOT(ISERROR(SEARCH(("RETIRADA"),(S546))))</formula>
    </cfRule>
  </conditionalFormatting>
  <conditionalFormatting sqref="S546">
    <cfRule type="containsText" dxfId="4" priority="216" operator="containsText" text="DECLINADO">
      <formula>NOT(ISERROR(SEARCH(("DECLINADO"),(S546))))</formula>
    </cfRule>
  </conditionalFormatting>
  <conditionalFormatting sqref="S546">
    <cfRule type="containsText" dxfId="3" priority="217" operator="containsText" text="CARREGADO">
      <formula>NOT(ISERROR(SEARCH(("CARREGADO"),(S546))))</formula>
    </cfRule>
  </conditionalFormatting>
  <conditionalFormatting sqref="C544:C545">
    <cfRule type="notContainsBlanks" dxfId="2" priority="218">
      <formula>LEN(TRIM(C544))&gt;0</formula>
    </cfRule>
  </conditionalFormatting>
  <conditionalFormatting sqref="C544:C545">
    <cfRule type="notContainsBlanks" dxfId="2" priority="219">
      <formula>LEN(TRIM(C544))&gt;0</formula>
    </cfRule>
  </conditionalFormatting>
  <conditionalFormatting sqref="A544:A545">
    <cfRule type="expression" dxfId="0" priority="220">
      <formula>COUNTIF(#REF!,A544)&gt;1</formula>
    </cfRule>
  </conditionalFormatting>
  <conditionalFormatting sqref="S544:S545">
    <cfRule type="containsText" dxfId="4" priority="221" operator="containsText" text="CANCELADA">
      <formula>NOT(ISERROR(SEARCH(("CANCELADA"),(S544))))</formula>
    </cfRule>
  </conditionalFormatting>
  <conditionalFormatting sqref="S544:S545">
    <cfRule type="containsText" dxfId="4" priority="222" operator="containsText" text="RETIRADA">
      <formula>NOT(ISERROR(SEARCH(("RETIRADA"),(S544))))</formula>
    </cfRule>
  </conditionalFormatting>
  <conditionalFormatting sqref="S544:S545">
    <cfRule type="containsText" dxfId="4" priority="223" operator="containsText" text="DECLINADO">
      <formula>NOT(ISERROR(SEARCH(("DECLINADO"),(S544))))</formula>
    </cfRule>
  </conditionalFormatting>
  <conditionalFormatting sqref="S544:S545">
    <cfRule type="containsText" dxfId="3" priority="224" operator="containsText" text="CARREGADO">
      <formula>NOT(ISERROR(SEARCH(("CARREGADO"),(S544))))</formula>
    </cfRule>
  </conditionalFormatting>
  <conditionalFormatting sqref="C543">
    <cfRule type="notContainsBlanks" dxfId="2" priority="225">
      <formula>LEN(TRIM(C543))&gt;0</formula>
    </cfRule>
  </conditionalFormatting>
  <conditionalFormatting sqref="C543">
    <cfRule type="notContainsBlanks" dxfId="2" priority="226">
      <formula>LEN(TRIM(C543))&gt;0</formula>
    </cfRule>
  </conditionalFormatting>
  <conditionalFormatting sqref="A543">
    <cfRule type="expression" dxfId="0" priority="227">
      <formula>COUNTIF(#REF!,A543)&gt;1</formula>
    </cfRule>
  </conditionalFormatting>
  <conditionalFormatting sqref="S543">
    <cfRule type="containsText" dxfId="4" priority="228" operator="containsText" text="CANCELADA">
      <formula>NOT(ISERROR(SEARCH(("CANCELADA"),(S543))))</formula>
    </cfRule>
  </conditionalFormatting>
  <conditionalFormatting sqref="S543">
    <cfRule type="containsText" dxfId="4" priority="229" operator="containsText" text="RETIRADA">
      <formula>NOT(ISERROR(SEARCH(("RETIRADA"),(S543))))</formula>
    </cfRule>
  </conditionalFormatting>
  <conditionalFormatting sqref="S543">
    <cfRule type="containsText" dxfId="4" priority="230" operator="containsText" text="DECLINADO">
      <formula>NOT(ISERROR(SEARCH(("DECLINADO"),(S543))))</formula>
    </cfRule>
  </conditionalFormatting>
  <conditionalFormatting sqref="S543">
    <cfRule type="containsText" dxfId="3" priority="231" operator="containsText" text="CARREGADO">
      <formula>NOT(ISERROR(SEARCH(("CARREGADO"),(S543))))</formula>
    </cfRule>
  </conditionalFormatting>
  <conditionalFormatting sqref="A541">
    <cfRule type="expression" dxfId="0" priority="232">
      <formula>COUNTIF(#REF!,A541)&gt;1</formula>
    </cfRule>
  </conditionalFormatting>
  <conditionalFormatting sqref="C541">
    <cfRule type="notContainsBlanks" dxfId="2" priority="233">
      <formula>LEN(TRIM(C541))&gt;0</formula>
    </cfRule>
  </conditionalFormatting>
  <conditionalFormatting sqref="C541">
    <cfRule type="notContainsBlanks" dxfId="2" priority="234">
      <formula>LEN(TRIM(C541))&gt;0</formula>
    </cfRule>
  </conditionalFormatting>
  <conditionalFormatting sqref="S541">
    <cfRule type="containsText" dxfId="4" priority="235" operator="containsText" text="CANCELADA">
      <formula>NOT(ISERROR(SEARCH(("CANCELADA"),(S541))))</formula>
    </cfRule>
  </conditionalFormatting>
  <conditionalFormatting sqref="S541">
    <cfRule type="containsText" dxfId="4" priority="236" operator="containsText" text="RETIRADA">
      <formula>NOT(ISERROR(SEARCH(("RETIRADA"),(S541))))</formula>
    </cfRule>
  </conditionalFormatting>
  <conditionalFormatting sqref="S541">
    <cfRule type="containsText" dxfId="4" priority="237" operator="containsText" text="DECLINADO">
      <formula>NOT(ISERROR(SEARCH(("DECLINADO"),(S541))))</formula>
    </cfRule>
  </conditionalFormatting>
  <conditionalFormatting sqref="S541">
    <cfRule type="containsText" dxfId="3" priority="238" operator="containsText" text="CARREGADO">
      <formula>NOT(ISERROR(SEARCH(("CARREGADO"),(S541))))</formula>
    </cfRule>
  </conditionalFormatting>
  <conditionalFormatting sqref="A540">
    <cfRule type="expression" dxfId="0" priority="239">
      <formula>COUNTIF(#REF!,A540)&gt;1</formula>
    </cfRule>
  </conditionalFormatting>
  <conditionalFormatting sqref="C540">
    <cfRule type="notContainsBlanks" dxfId="2" priority="240">
      <formula>LEN(TRIM(C540))&gt;0</formula>
    </cfRule>
  </conditionalFormatting>
  <conditionalFormatting sqref="C540">
    <cfRule type="notContainsBlanks" dxfId="2" priority="241">
      <formula>LEN(TRIM(C540))&gt;0</formula>
    </cfRule>
  </conditionalFormatting>
  <conditionalFormatting sqref="S540">
    <cfRule type="containsText" dxfId="4" priority="242" operator="containsText" text="CANCELADA">
      <formula>NOT(ISERROR(SEARCH(("CANCELADA"),(S540))))</formula>
    </cfRule>
  </conditionalFormatting>
  <conditionalFormatting sqref="S540">
    <cfRule type="containsText" dxfId="4" priority="243" operator="containsText" text="RETIRADA">
      <formula>NOT(ISERROR(SEARCH(("RETIRADA"),(S540))))</formula>
    </cfRule>
  </conditionalFormatting>
  <conditionalFormatting sqref="S540">
    <cfRule type="containsText" dxfId="4" priority="244" operator="containsText" text="DECLINADO">
      <formula>NOT(ISERROR(SEARCH(("DECLINADO"),(S540))))</formula>
    </cfRule>
  </conditionalFormatting>
  <conditionalFormatting sqref="S540">
    <cfRule type="containsText" dxfId="3" priority="245" operator="containsText" text="CARREGADO">
      <formula>NOT(ISERROR(SEARCH(("CARREGADO"),(S540))))</formula>
    </cfRule>
  </conditionalFormatting>
  <conditionalFormatting sqref="C539">
    <cfRule type="notContainsBlanks" dxfId="2" priority="246">
      <formula>LEN(TRIM(C539))&gt;0</formula>
    </cfRule>
  </conditionalFormatting>
  <conditionalFormatting sqref="C539">
    <cfRule type="notContainsBlanks" dxfId="2" priority="247">
      <formula>LEN(TRIM(C539))&gt;0</formula>
    </cfRule>
  </conditionalFormatting>
  <conditionalFormatting sqref="A539">
    <cfRule type="expression" dxfId="0" priority="248">
      <formula>COUNTIF(#REF!,A539)&gt;1</formula>
    </cfRule>
  </conditionalFormatting>
  <conditionalFormatting sqref="S539">
    <cfRule type="containsText" dxfId="4" priority="249" operator="containsText" text="CANCELADA">
      <formula>NOT(ISERROR(SEARCH(("CANCELADA"),(S539))))</formula>
    </cfRule>
  </conditionalFormatting>
  <conditionalFormatting sqref="S539">
    <cfRule type="containsText" dxfId="4" priority="250" operator="containsText" text="RETIRADA">
      <formula>NOT(ISERROR(SEARCH(("RETIRADA"),(S539))))</formula>
    </cfRule>
  </conditionalFormatting>
  <conditionalFormatting sqref="S539">
    <cfRule type="containsText" dxfId="4" priority="251" operator="containsText" text="DECLINADO">
      <formula>NOT(ISERROR(SEARCH(("DECLINADO"),(S539))))</formula>
    </cfRule>
  </conditionalFormatting>
  <conditionalFormatting sqref="S539">
    <cfRule type="containsText" dxfId="3" priority="252" operator="containsText" text="CARREGADO">
      <formula>NOT(ISERROR(SEARCH(("CARREGADO"),(S539))))</formula>
    </cfRule>
  </conditionalFormatting>
  <conditionalFormatting sqref="A538">
    <cfRule type="expression" dxfId="0" priority="253">
      <formula>COUNTIF(#REF!,A538)&gt;1</formula>
    </cfRule>
  </conditionalFormatting>
  <conditionalFormatting sqref="C538">
    <cfRule type="notContainsBlanks" dxfId="2" priority="254">
      <formula>LEN(TRIM(C538))&gt;0</formula>
    </cfRule>
  </conditionalFormatting>
  <conditionalFormatting sqref="C538">
    <cfRule type="notContainsBlanks" dxfId="2" priority="255">
      <formula>LEN(TRIM(C538))&gt;0</formula>
    </cfRule>
  </conditionalFormatting>
  <conditionalFormatting sqref="S538">
    <cfRule type="containsText" dxfId="4" priority="256" operator="containsText" text="CANCELADA">
      <formula>NOT(ISERROR(SEARCH(("CANCELADA"),(S538))))</formula>
    </cfRule>
  </conditionalFormatting>
  <conditionalFormatting sqref="S538">
    <cfRule type="containsText" dxfId="4" priority="257" operator="containsText" text="RETIRADA">
      <formula>NOT(ISERROR(SEARCH(("RETIRADA"),(S538))))</formula>
    </cfRule>
  </conditionalFormatting>
  <conditionalFormatting sqref="S538">
    <cfRule type="containsText" dxfId="4" priority="258" operator="containsText" text="DECLINADO">
      <formula>NOT(ISERROR(SEARCH(("DECLINADO"),(S538))))</formula>
    </cfRule>
  </conditionalFormatting>
  <conditionalFormatting sqref="S538">
    <cfRule type="containsText" dxfId="3" priority="259" operator="containsText" text="CARREGADO">
      <formula>NOT(ISERROR(SEARCH(("CARREGADO"),(S538))))</formula>
    </cfRule>
  </conditionalFormatting>
  <conditionalFormatting sqref="S531">
    <cfRule type="containsText" dxfId="4" priority="260" operator="containsText" text="CANCELADA">
      <formula>NOT(ISERROR(SEARCH(("CANCELADA"),(S531))))</formula>
    </cfRule>
  </conditionalFormatting>
  <conditionalFormatting sqref="S531">
    <cfRule type="containsText" dxfId="4" priority="261" operator="containsText" text="RETIRADA">
      <formula>NOT(ISERROR(SEARCH(("RETIRADA"),(S531))))</formula>
    </cfRule>
  </conditionalFormatting>
  <conditionalFormatting sqref="S531">
    <cfRule type="containsText" dxfId="4" priority="262" operator="containsText" text="DECLINADO">
      <formula>NOT(ISERROR(SEARCH(("DECLINADO"),(S531))))</formula>
    </cfRule>
  </conditionalFormatting>
  <conditionalFormatting sqref="S531">
    <cfRule type="containsText" dxfId="3" priority="263" operator="containsText" text="CARREGADO">
      <formula>NOT(ISERROR(SEARCH(("CARREGADO"),(S531))))</formula>
    </cfRule>
  </conditionalFormatting>
  <conditionalFormatting sqref="A531">
    <cfRule type="expression" dxfId="0" priority="264">
      <formula>COUNTIF(#REF!,A531)&gt;1</formula>
    </cfRule>
  </conditionalFormatting>
  <conditionalFormatting sqref="S530">
    <cfRule type="containsText" dxfId="4" priority="265" operator="containsText" text="CANCELADA">
      <formula>NOT(ISERROR(SEARCH(("CANCELADA"),(S530))))</formula>
    </cfRule>
  </conditionalFormatting>
  <conditionalFormatting sqref="S530">
    <cfRule type="containsText" dxfId="4" priority="266" operator="containsText" text="RETIRADA">
      <formula>NOT(ISERROR(SEARCH(("RETIRADA"),(S530))))</formula>
    </cfRule>
  </conditionalFormatting>
  <conditionalFormatting sqref="S530">
    <cfRule type="containsText" dxfId="4" priority="267" operator="containsText" text="DECLINADO">
      <formula>NOT(ISERROR(SEARCH(("DECLINADO"),(S530))))</formula>
    </cfRule>
  </conditionalFormatting>
  <conditionalFormatting sqref="S530">
    <cfRule type="containsText" dxfId="3" priority="268" operator="containsText" text="CARREGADO">
      <formula>NOT(ISERROR(SEARCH(("CARREGADO"),(S530))))</formula>
    </cfRule>
  </conditionalFormatting>
  <conditionalFormatting sqref="A530">
    <cfRule type="expression" dxfId="0" priority="269">
      <formula>COUNTIF(#REF!,A530)&gt;1</formula>
    </cfRule>
  </conditionalFormatting>
  <conditionalFormatting sqref="A529">
    <cfRule type="expression" dxfId="0" priority="270">
      <formula>COUNTIF(#REF!,A529)&gt;1</formula>
    </cfRule>
  </conditionalFormatting>
  <conditionalFormatting sqref="S529">
    <cfRule type="containsText" dxfId="3" priority="271" operator="containsText" text="CARREGADO">
      <formula>NOT(ISERROR(SEARCH(("CARREGADO"),(S529))))</formula>
    </cfRule>
  </conditionalFormatting>
  <conditionalFormatting sqref="S529">
    <cfRule type="containsText" dxfId="4" priority="272" operator="containsText" text="DECLINADO">
      <formula>NOT(ISERROR(SEARCH(("DECLINADO"),(S529))))</formula>
    </cfRule>
  </conditionalFormatting>
  <conditionalFormatting sqref="S529">
    <cfRule type="containsText" dxfId="4" priority="273" operator="containsText" text="RETIRADA">
      <formula>NOT(ISERROR(SEARCH(("RETIRADA"),(S529))))</formula>
    </cfRule>
  </conditionalFormatting>
  <conditionalFormatting sqref="S529">
    <cfRule type="containsText" dxfId="4" priority="274" operator="containsText" text="CANCELADA">
      <formula>NOT(ISERROR(SEARCH(("CANCELADA"),(S529))))</formula>
    </cfRule>
  </conditionalFormatting>
  <conditionalFormatting sqref="A528">
    <cfRule type="expression" dxfId="0" priority="275">
      <formula>COUNTIF(#REF!,A528)&gt;1</formula>
    </cfRule>
  </conditionalFormatting>
  <conditionalFormatting sqref="A528">
    <cfRule type="cellIs" dxfId="1" priority="276" operator="greaterThan">
      <formula>100000000</formula>
    </cfRule>
  </conditionalFormatting>
  <conditionalFormatting sqref="S528">
    <cfRule type="containsText" dxfId="3" priority="277" operator="containsText" text="CARREGADO">
      <formula>NOT(ISERROR(SEARCH(("CARREGADO"),(S528))))</formula>
    </cfRule>
  </conditionalFormatting>
  <conditionalFormatting sqref="S528">
    <cfRule type="containsText" dxfId="4" priority="278" operator="containsText" text="DECLINADO">
      <formula>NOT(ISERROR(SEARCH(("DECLINADO"),(S528))))</formula>
    </cfRule>
  </conditionalFormatting>
  <conditionalFormatting sqref="S528">
    <cfRule type="containsText" dxfId="4" priority="279" operator="containsText" text="RETIRADA">
      <formula>NOT(ISERROR(SEARCH(("RETIRADA"),(S528))))</formula>
    </cfRule>
  </conditionalFormatting>
  <conditionalFormatting sqref="S528">
    <cfRule type="containsText" dxfId="4" priority="280" operator="containsText" text="CANCELADA">
      <formula>NOT(ISERROR(SEARCH(("CANCELADA"),(S528))))</formula>
    </cfRule>
  </conditionalFormatting>
  <conditionalFormatting sqref="C528 C532:C537">
    <cfRule type="notContainsBlanks" dxfId="2" priority="281">
      <formula>LEN(TRIM(C528))&gt;0</formula>
    </cfRule>
  </conditionalFormatting>
  <conditionalFormatting sqref="C528">
    <cfRule type="notContainsBlanks" dxfId="2" priority="282">
      <formula>LEN(TRIM(C528))&gt;0</formula>
    </cfRule>
  </conditionalFormatting>
  <conditionalFormatting sqref="A527">
    <cfRule type="expression" dxfId="0" priority="283">
      <formula>COUNTIF(#REF!,A527)&gt;1</formula>
    </cfRule>
  </conditionalFormatting>
  <conditionalFormatting sqref="A527">
    <cfRule type="cellIs" dxfId="1" priority="284" operator="greaterThan">
      <formula>100000000</formula>
    </cfRule>
  </conditionalFormatting>
  <conditionalFormatting sqref="S527">
    <cfRule type="containsText" dxfId="4" priority="285" operator="containsText" text="CANCELADA">
      <formula>NOT(ISERROR(SEARCH(("CANCELADA"),(S527))))</formula>
    </cfRule>
  </conditionalFormatting>
  <conditionalFormatting sqref="S527">
    <cfRule type="containsText" dxfId="4" priority="286" operator="containsText" text="RETIRADA">
      <formula>NOT(ISERROR(SEARCH(("RETIRADA"),(S527))))</formula>
    </cfRule>
  </conditionalFormatting>
  <conditionalFormatting sqref="S527">
    <cfRule type="containsText" dxfId="4" priority="287" operator="containsText" text="DECLINADO">
      <formula>NOT(ISERROR(SEARCH(("DECLINADO"),(S527))))</formula>
    </cfRule>
  </conditionalFormatting>
  <conditionalFormatting sqref="S527">
    <cfRule type="containsText" dxfId="3" priority="288" operator="containsText" text="CARREGADO">
      <formula>NOT(ISERROR(SEARCH(("CARREGADO"),(S527))))</formula>
    </cfRule>
  </conditionalFormatting>
  <conditionalFormatting sqref="C527">
    <cfRule type="notContainsBlanks" dxfId="2" priority="289">
      <formula>LEN(TRIM(C527))&gt;0</formula>
    </cfRule>
  </conditionalFormatting>
  <conditionalFormatting sqref="C527">
    <cfRule type="notContainsBlanks" dxfId="2" priority="290">
      <formula>LEN(TRIM(C527))&gt;0</formula>
    </cfRule>
  </conditionalFormatting>
  <conditionalFormatting sqref="S525:S526">
    <cfRule type="containsText" dxfId="3" priority="291" operator="containsText" text="CARREGADO">
      <formula>NOT(ISERROR(SEARCH(("CARREGADO"),(S525))))</formula>
    </cfRule>
  </conditionalFormatting>
  <conditionalFormatting sqref="S525:S526">
    <cfRule type="containsText" dxfId="4" priority="292" operator="containsText" text="DECLINADO">
      <formula>NOT(ISERROR(SEARCH(("DECLINADO"),(S525))))</formula>
    </cfRule>
  </conditionalFormatting>
  <conditionalFormatting sqref="S525:S526">
    <cfRule type="containsText" dxfId="4" priority="293" operator="containsText" text="RETIRADA">
      <formula>NOT(ISERROR(SEARCH(("RETIRADA"),(S525))))</formula>
    </cfRule>
  </conditionalFormatting>
  <conditionalFormatting sqref="S525:S526">
    <cfRule type="containsText" dxfId="4" priority="294" operator="containsText" text="CANCELADA">
      <formula>NOT(ISERROR(SEARCH(("CANCELADA"),(S525))))</formula>
    </cfRule>
  </conditionalFormatting>
  <conditionalFormatting sqref="A525:A526">
    <cfRule type="expression" dxfId="0" priority="295">
      <formula>COUNTIF(#REF!,A525)&gt;1</formula>
    </cfRule>
  </conditionalFormatting>
  <conditionalFormatting sqref="A525:A526">
    <cfRule type="cellIs" dxfId="1" priority="296" operator="greaterThan">
      <formula>100000000</formula>
    </cfRule>
  </conditionalFormatting>
  <conditionalFormatting sqref="C525:C526">
    <cfRule type="notContainsBlanks" dxfId="2" priority="297">
      <formula>LEN(TRIM(C525))&gt;0</formula>
    </cfRule>
  </conditionalFormatting>
  <conditionalFormatting sqref="C525:C526">
    <cfRule type="notContainsBlanks" dxfId="2" priority="298">
      <formula>LEN(TRIM(C525))&gt;0</formula>
    </cfRule>
  </conditionalFormatting>
  <conditionalFormatting sqref="A524">
    <cfRule type="expression" dxfId="0" priority="299">
      <formula>COUNTIF(#REF!,A524)&gt;1</formula>
    </cfRule>
  </conditionalFormatting>
  <conditionalFormatting sqref="A524">
    <cfRule type="cellIs" dxfId="1" priority="300" operator="greaterThan">
      <formula>100000000</formula>
    </cfRule>
  </conditionalFormatting>
  <conditionalFormatting sqref="S524">
    <cfRule type="containsText" dxfId="4" priority="301" operator="containsText" text="CANCELADA">
      <formula>NOT(ISERROR(SEARCH(("CANCELADA"),(S524))))</formula>
    </cfRule>
  </conditionalFormatting>
  <conditionalFormatting sqref="S524">
    <cfRule type="containsText" dxfId="4" priority="302" operator="containsText" text="RETIRADA">
      <formula>NOT(ISERROR(SEARCH(("RETIRADA"),(S524))))</formula>
    </cfRule>
  </conditionalFormatting>
  <conditionalFormatting sqref="S524">
    <cfRule type="containsText" dxfId="4" priority="303" operator="containsText" text="DECLINADO">
      <formula>NOT(ISERROR(SEARCH(("DECLINADO"),(S524))))</formula>
    </cfRule>
  </conditionalFormatting>
  <conditionalFormatting sqref="S524">
    <cfRule type="containsText" dxfId="3" priority="304" operator="containsText" text="CARREGADO">
      <formula>NOT(ISERROR(SEARCH(("CARREGADO"),(S524))))</formula>
    </cfRule>
  </conditionalFormatting>
  <conditionalFormatting sqref="C524">
    <cfRule type="notContainsBlanks" dxfId="2" priority="305">
      <formula>LEN(TRIM(C524))&gt;0</formula>
    </cfRule>
  </conditionalFormatting>
  <conditionalFormatting sqref="C524">
    <cfRule type="notContainsBlanks" dxfId="2" priority="306">
      <formula>LEN(TRIM(C524))&gt;0</formula>
    </cfRule>
  </conditionalFormatting>
  <conditionalFormatting sqref="A523">
    <cfRule type="expression" dxfId="0" priority="307">
      <formula>COUNTIF(#REF!,A523)&gt;1</formula>
    </cfRule>
  </conditionalFormatting>
  <conditionalFormatting sqref="A523">
    <cfRule type="cellIs" dxfId="1" priority="308" operator="greaterThan">
      <formula>100000000</formula>
    </cfRule>
  </conditionalFormatting>
  <conditionalFormatting sqref="S523">
    <cfRule type="containsText" dxfId="3" priority="309" operator="containsText" text="CARREGADO">
      <formula>NOT(ISERROR(SEARCH(("CARREGADO"),(S523))))</formula>
    </cfRule>
  </conditionalFormatting>
  <conditionalFormatting sqref="S523">
    <cfRule type="containsText" dxfId="4" priority="310" operator="containsText" text="DECLINADO">
      <formula>NOT(ISERROR(SEARCH(("DECLINADO"),(S523))))</formula>
    </cfRule>
  </conditionalFormatting>
  <conditionalFormatting sqref="S523">
    <cfRule type="containsText" dxfId="4" priority="311" operator="containsText" text="RETIRADA">
      <formula>NOT(ISERROR(SEARCH(("RETIRADA"),(S523))))</formula>
    </cfRule>
  </conditionalFormatting>
  <conditionalFormatting sqref="S523">
    <cfRule type="containsText" dxfId="4" priority="312" operator="containsText" text="CANCELADA">
      <formula>NOT(ISERROR(SEARCH(("CANCELADA"),(S523))))</formula>
    </cfRule>
  </conditionalFormatting>
  <conditionalFormatting sqref="C523">
    <cfRule type="notContainsBlanks" dxfId="2" priority="313">
      <formula>LEN(TRIM(C523))&gt;0</formula>
    </cfRule>
  </conditionalFormatting>
  <conditionalFormatting sqref="C523">
    <cfRule type="notContainsBlanks" dxfId="2" priority="314">
      <formula>LEN(TRIM(C523))&gt;0</formula>
    </cfRule>
  </conditionalFormatting>
  <conditionalFormatting sqref="S522">
    <cfRule type="containsText" dxfId="4" priority="315" operator="containsText" text="CANCELADA">
      <formula>NOT(ISERROR(SEARCH(("CANCELADA"),(S522))))</formula>
    </cfRule>
  </conditionalFormatting>
  <conditionalFormatting sqref="S522">
    <cfRule type="containsText" dxfId="4" priority="316" operator="containsText" text="RETIRADA">
      <formula>NOT(ISERROR(SEARCH(("RETIRADA"),(S522))))</formula>
    </cfRule>
  </conditionalFormatting>
  <conditionalFormatting sqref="S522">
    <cfRule type="containsText" dxfId="4" priority="317" operator="containsText" text="DECLINADO">
      <formula>NOT(ISERROR(SEARCH(("DECLINADO"),(S522))))</formula>
    </cfRule>
  </conditionalFormatting>
  <conditionalFormatting sqref="S522">
    <cfRule type="containsText" dxfId="3" priority="318" operator="containsText" text="CARREGADO">
      <formula>NOT(ISERROR(SEARCH(("CARREGADO"),(S522))))</formula>
    </cfRule>
  </conditionalFormatting>
  <conditionalFormatting sqref="C522">
    <cfRule type="notContainsBlanks" dxfId="2" priority="319">
      <formula>LEN(TRIM(C522))&gt;0</formula>
    </cfRule>
  </conditionalFormatting>
  <conditionalFormatting sqref="C522">
    <cfRule type="notContainsBlanks" dxfId="2" priority="320">
      <formula>LEN(TRIM(C522))&gt;0</formula>
    </cfRule>
  </conditionalFormatting>
  <conditionalFormatting sqref="A522">
    <cfRule type="cellIs" dxfId="1" priority="321" operator="greaterThan">
      <formula>100000000</formula>
    </cfRule>
  </conditionalFormatting>
  <conditionalFormatting sqref="A522">
    <cfRule type="expression" dxfId="0" priority="322">
      <formula>COUNTIF(#REF!,A522)&gt;1</formula>
    </cfRule>
  </conditionalFormatting>
  <conditionalFormatting sqref="C521">
    <cfRule type="notContainsBlanks" dxfId="2" priority="323">
      <formula>LEN(TRIM(C521))&gt;0</formula>
    </cfRule>
  </conditionalFormatting>
  <conditionalFormatting sqref="C521">
    <cfRule type="notContainsBlanks" dxfId="2" priority="324">
      <formula>LEN(TRIM(C521))&gt;0</formula>
    </cfRule>
  </conditionalFormatting>
  <conditionalFormatting sqref="S521">
    <cfRule type="containsText" dxfId="4" priority="325" operator="containsText" text="CANCELADA">
      <formula>NOT(ISERROR(SEARCH(("CANCELADA"),(S521))))</formula>
    </cfRule>
  </conditionalFormatting>
  <conditionalFormatting sqref="S521">
    <cfRule type="containsText" dxfId="4" priority="326" operator="containsText" text="RETIRADA">
      <formula>NOT(ISERROR(SEARCH(("RETIRADA"),(S521))))</formula>
    </cfRule>
  </conditionalFormatting>
  <conditionalFormatting sqref="S521">
    <cfRule type="containsText" dxfId="4" priority="327" operator="containsText" text="DECLINADO">
      <formula>NOT(ISERROR(SEARCH(("DECLINADO"),(S521))))</formula>
    </cfRule>
  </conditionalFormatting>
  <conditionalFormatting sqref="S521">
    <cfRule type="containsText" dxfId="3" priority="328" operator="containsText" text="CARREGADO">
      <formula>NOT(ISERROR(SEARCH(("CARREGADO"),(S521))))</formula>
    </cfRule>
  </conditionalFormatting>
  <conditionalFormatting sqref="A521">
    <cfRule type="cellIs" dxfId="1" priority="329" operator="greaterThan">
      <formula>100000000</formula>
    </cfRule>
  </conditionalFormatting>
  <conditionalFormatting sqref="A521">
    <cfRule type="expression" dxfId="0" priority="330">
      <formula>COUNTIF(#REF!,A521)&gt;1</formula>
    </cfRule>
  </conditionalFormatting>
  <conditionalFormatting sqref="C519:C520">
    <cfRule type="notContainsBlanks" dxfId="2" priority="331">
      <formula>LEN(TRIM(C519))&gt;0</formula>
    </cfRule>
  </conditionalFormatting>
  <conditionalFormatting sqref="C519:C520">
    <cfRule type="notContainsBlanks" dxfId="2" priority="332">
      <formula>LEN(TRIM(C519))&gt;0</formula>
    </cfRule>
  </conditionalFormatting>
  <conditionalFormatting sqref="S519:S520">
    <cfRule type="containsText" dxfId="4" priority="333" operator="containsText" text="CANCELADA">
      <formula>NOT(ISERROR(SEARCH(("CANCELADA"),(S519))))</formula>
    </cfRule>
  </conditionalFormatting>
  <conditionalFormatting sqref="S519:S520">
    <cfRule type="containsText" dxfId="4" priority="334" operator="containsText" text="RETIRADA">
      <formula>NOT(ISERROR(SEARCH(("RETIRADA"),(S519))))</formula>
    </cfRule>
  </conditionalFormatting>
  <conditionalFormatting sqref="S519:S520">
    <cfRule type="containsText" dxfId="4" priority="335" operator="containsText" text="DECLINADO">
      <formula>NOT(ISERROR(SEARCH(("DECLINADO"),(S519))))</formula>
    </cfRule>
  </conditionalFormatting>
  <conditionalFormatting sqref="S519:S520">
    <cfRule type="containsText" dxfId="3" priority="336" operator="containsText" text="CARREGADO">
      <formula>NOT(ISERROR(SEARCH(("CARREGADO"),(S519))))</formula>
    </cfRule>
  </conditionalFormatting>
  <conditionalFormatting sqref="A519:A520">
    <cfRule type="cellIs" dxfId="1" priority="337" operator="greaterThan">
      <formula>100000000</formula>
    </cfRule>
  </conditionalFormatting>
  <conditionalFormatting sqref="A519:A520">
    <cfRule type="expression" dxfId="0" priority="338">
      <formula>COUNTIF(#REF!,A519)&gt;1</formula>
    </cfRule>
  </conditionalFormatting>
  <conditionalFormatting sqref="A518">
    <cfRule type="expression" dxfId="0" priority="339">
      <formula>COUNTIF(#REF!,A518)&gt;1</formula>
    </cfRule>
  </conditionalFormatting>
  <conditionalFormatting sqref="A518">
    <cfRule type="cellIs" dxfId="1" priority="340" operator="greaterThan">
      <formula>100000000</formula>
    </cfRule>
  </conditionalFormatting>
  <conditionalFormatting sqref="C518">
    <cfRule type="notContainsBlanks" dxfId="2" priority="341">
      <formula>LEN(TRIM(C518))&gt;0</formula>
    </cfRule>
  </conditionalFormatting>
  <conditionalFormatting sqref="C518">
    <cfRule type="notContainsBlanks" dxfId="2" priority="342">
      <formula>LEN(TRIM(C518))&gt;0</formula>
    </cfRule>
  </conditionalFormatting>
  <conditionalFormatting sqref="S518">
    <cfRule type="containsText" dxfId="3" priority="343" operator="containsText" text="CARREGADO">
      <formula>NOT(ISERROR(SEARCH(("CARREGADO"),(S518))))</formula>
    </cfRule>
  </conditionalFormatting>
  <conditionalFormatting sqref="S518">
    <cfRule type="containsText" dxfId="4" priority="344" operator="containsText" text="DECLINADO">
      <formula>NOT(ISERROR(SEARCH(("DECLINADO"),(S518))))</formula>
    </cfRule>
  </conditionalFormatting>
  <conditionalFormatting sqref="S518">
    <cfRule type="containsText" dxfId="4" priority="345" operator="containsText" text="RETIRADA">
      <formula>NOT(ISERROR(SEARCH(("RETIRADA"),(S518))))</formula>
    </cfRule>
  </conditionalFormatting>
  <conditionalFormatting sqref="S518">
    <cfRule type="containsText" dxfId="4" priority="346" operator="containsText" text="CANCELADA">
      <formula>NOT(ISERROR(SEARCH(("CANCELADA"),(S518))))</formula>
    </cfRule>
  </conditionalFormatting>
  <conditionalFormatting sqref="A517">
    <cfRule type="expression" dxfId="0" priority="347">
      <formula>COUNTIF(#REF!,A517)&gt;1</formula>
    </cfRule>
  </conditionalFormatting>
  <conditionalFormatting sqref="A517">
    <cfRule type="cellIs" dxfId="1" priority="348" operator="greaterThan">
      <formula>100000000</formula>
    </cfRule>
  </conditionalFormatting>
  <conditionalFormatting sqref="S517">
    <cfRule type="containsText" dxfId="3" priority="349" operator="containsText" text="CARREGADO">
      <formula>NOT(ISERROR(SEARCH(("CARREGADO"),(S517))))</formula>
    </cfRule>
  </conditionalFormatting>
  <conditionalFormatting sqref="S517">
    <cfRule type="containsText" dxfId="4" priority="350" operator="containsText" text="DECLINADO">
      <formula>NOT(ISERROR(SEARCH(("DECLINADO"),(S517))))</formula>
    </cfRule>
  </conditionalFormatting>
  <conditionalFormatting sqref="S517">
    <cfRule type="containsText" dxfId="4" priority="351" operator="containsText" text="RETIRADA">
      <formula>NOT(ISERROR(SEARCH(("RETIRADA"),(S517))))</formula>
    </cfRule>
  </conditionalFormatting>
  <conditionalFormatting sqref="S517">
    <cfRule type="containsText" dxfId="4" priority="352" operator="containsText" text="CANCELADA">
      <formula>NOT(ISERROR(SEARCH(("CANCELADA"),(S517))))</formula>
    </cfRule>
  </conditionalFormatting>
  <conditionalFormatting sqref="C517">
    <cfRule type="notContainsBlanks" dxfId="2" priority="353">
      <formula>LEN(TRIM(C517))&gt;0</formula>
    </cfRule>
  </conditionalFormatting>
  <conditionalFormatting sqref="C517">
    <cfRule type="notContainsBlanks" dxfId="2" priority="354">
      <formula>LEN(TRIM(C517))&gt;0</formula>
    </cfRule>
  </conditionalFormatting>
  <conditionalFormatting sqref="A516">
    <cfRule type="expression" dxfId="0" priority="355">
      <formula>COUNTIF(#REF!,A516)&gt;1</formula>
    </cfRule>
  </conditionalFormatting>
  <conditionalFormatting sqref="A516">
    <cfRule type="cellIs" dxfId="1" priority="356" operator="greaterThan">
      <formula>100000000</formula>
    </cfRule>
  </conditionalFormatting>
  <conditionalFormatting sqref="S516">
    <cfRule type="containsText" dxfId="3" priority="357" operator="containsText" text="CARREGADO">
      <formula>NOT(ISERROR(SEARCH(("CARREGADO"),(S516))))</formula>
    </cfRule>
  </conditionalFormatting>
  <conditionalFormatting sqref="S516">
    <cfRule type="containsText" dxfId="4" priority="358" operator="containsText" text="DECLINADO">
      <formula>NOT(ISERROR(SEARCH(("DECLINADO"),(S516))))</formula>
    </cfRule>
  </conditionalFormatting>
  <conditionalFormatting sqref="S516">
    <cfRule type="containsText" dxfId="4" priority="359" operator="containsText" text="RETIRADA">
      <formula>NOT(ISERROR(SEARCH(("RETIRADA"),(S516))))</formula>
    </cfRule>
  </conditionalFormatting>
  <conditionalFormatting sqref="S516">
    <cfRule type="containsText" dxfId="4" priority="360" operator="containsText" text="CANCELADA">
      <formula>NOT(ISERROR(SEARCH(("CANCELADA"),(S516))))</formula>
    </cfRule>
  </conditionalFormatting>
  <conditionalFormatting sqref="C516">
    <cfRule type="notContainsBlanks" dxfId="2" priority="361">
      <formula>LEN(TRIM(C516))&gt;0</formula>
    </cfRule>
  </conditionalFormatting>
  <conditionalFormatting sqref="C516">
    <cfRule type="notContainsBlanks" dxfId="2" priority="362">
      <formula>LEN(TRIM(C516))&gt;0</formula>
    </cfRule>
  </conditionalFormatting>
  <conditionalFormatting sqref="A515">
    <cfRule type="expression" dxfId="0" priority="363">
      <formula>COUNTIF(#REF!,A515)&gt;1</formula>
    </cfRule>
  </conditionalFormatting>
  <conditionalFormatting sqref="A515">
    <cfRule type="cellIs" dxfId="1" priority="364" operator="greaterThan">
      <formula>100000000</formula>
    </cfRule>
  </conditionalFormatting>
  <conditionalFormatting sqref="S515">
    <cfRule type="containsText" dxfId="3" priority="365" operator="containsText" text="CARREGADO">
      <formula>NOT(ISERROR(SEARCH(("CARREGADO"),(S515))))</formula>
    </cfRule>
  </conditionalFormatting>
  <conditionalFormatting sqref="S515">
    <cfRule type="containsText" dxfId="4" priority="366" operator="containsText" text="DECLINADO">
      <formula>NOT(ISERROR(SEARCH(("DECLINADO"),(S515))))</formula>
    </cfRule>
  </conditionalFormatting>
  <conditionalFormatting sqref="S515">
    <cfRule type="containsText" dxfId="4" priority="367" operator="containsText" text="RETIRADA">
      <formula>NOT(ISERROR(SEARCH(("RETIRADA"),(S515))))</formula>
    </cfRule>
  </conditionalFormatting>
  <conditionalFormatting sqref="S515">
    <cfRule type="containsText" dxfId="4" priority="368" operator="containsText" text="CANCELADA">
      <formula>NOT(ISERROR(SEARCH(("CANCELADA"),(S515))))</formula>
    </cfRule>
  </conditionalFormatting>
  <conditionalFormatting sqref="C515">
    <cfRule type="notContainsBlanks" dxfId="2" priority="369">
      <formula>LEN(TRIM(C515))&gt;0</formula>
    </cfRule>
  </conditionalFormatting>
  <conditionalFormatting sqref="C515">
    <cfRule type="notContainsBlanks" dxfId="2" priority="370">
      <formula>LEN(TRIM(C515))&gt;0</formula>
    </cfRule>
  </conditionalFormatting>
  <conditionalFormatting sqref="A514">
    <cfRule type="cellIs" dxfId="1" priority="371" operator="greaterThan">
      <formula>100000000</formula>
    </cfRule>
  </conditionalFormatting>
  <conditionalFormatting sqref="A514">
    <cfRule type="expression" dxfId="0" priority="372">
      <formula>COUNTIF(#REF!,A514)&gt;1</formula>
    </cfRule>
  </conditionalFormatting>
  <conditionalFormatting sqref="S514">
    <cfRule type="containsText" dxfId="4" priority="373" operator="containsText" text="CANCELADA">
      <formula>NOT(ISERROR(SEARCH(("CANCELADA"),(S514))))</formula>
    </cfRule>
  </conditionalFormatting>
  <conditionalFormatting sqref="S514">
    <cfRule type="containsText" dxfId="4" priority="374" operator="containsText" text="RETIRADA">
      <formula>NOT(ISERROR(SEARCH(("RETIRADA"),(S514))))</formula>
    </cfRule>
  </conditionalFormatting>
  <conditionalFormatting sqref="S514">
    <cfRule type="containsText" dxfId="4" priority="375" operator="containsText" text="DECLINADO">
      <formula>NOT(ISERROR(SEARCH(("DECLINADO"),(S514))))</formula>
    </cfRule>
  </conditionalFormatting>
  <conditionalFormatting sqref="S514">
    <cfRule type="containsText" dxfId="3" priority="376" operator="containsText" text="CARREGADO">
      <formula>NOT(ISERROR(SEARCH(("CARREGADO"),(S514))))</formula>
    </cfRule>
  </conditionalFormatting>
  <conditionalFormatting sqref="C514">
    <cfRule type="notContainsBlanks" dxfId="2" priority="377">
      <formula>LEN(TRIM(C514))&gt;0</formula>
    </cfRule>
  </conditionalFormatting>
  <conditionalFormatting sqref="C514">
    <cfRule type="notContainsBlanks" dxfId="2" priority="378">
      <formula>LEN(TRIM(C514))&gt;0</formula>
    </cfRule>
  </conditionalFormatting>
  <conditionalFormatting sqref="A512:A513">
    <cfRule type="expression" dxfId="0" priority="379">
      <formula>COUNTIF(#REF!,A512)&gt;1</formula>
    </cfRule>
  </conditionalFormatting>
  <conditionalFormatting sqref="A512:A513">
    <cfRule type="cellIs" dxfId="1" priority="380" operator="greaterThan">
      <formula>100000000</formula>
    </cfRule>
  </conditionalFormatting>
  <conditionalFormatting sqref="S512:S549">
    <cfRule type="containsText" dxfId="3" priority="381" operator="containsText" text="CARREGADO">
      <formula>NOT(ISERROR(SEARCH(("CARREGADO"),(S512))))</formula>
    </cfRule>
  </conditionalFormatting>
  <conditionalFormatting sqref="S512:S549">
    <cfRule type="containsText" dxfId="4" priority="382" operator="containsText" text="DECLINADO">
      <formula>NOT(ISERROR(SEARCH(("DECLINADO"),(S512))))</formula>
    </cfRule>
  </conditionalFormatting>
  <conditionalFormatting sqref="S512:S549">
    <cfRule type="containsText" dxfId="4" priority="383" operator="containsText" text="RETIRADA">
      <formula>NOT(ISERROR(SEARCH(("RETIRADA"),(S512))))</formula>
    </cfRule>
  </conditionalFormatting>
  <conditionalFormatting sqref="S512:S549">
    <cfRule type="containsText" dxfId="4" priority="384" operator="containsText" text="CANCELADA">
      <formula>NOT(ISERROR(SEARCH(("CANCELADA"),(S512))))</formula>
    </cfRule>
  </conditionalFormatting>
  <conditionalFormatting sqref="C512:C513">
    <cfRule type="notContainsBlanks" dxfId="2" priority="385">
      <formula>LEN(TRIM(C512))&gt;0</formula>
    </cfRule>
  </conditionalFormatting>
  <conditionalFormatting sqref="C512:C513">
    <cfRule type="notContainsBlanks" dxfId="2" priority="386">
      <formula>LEN(TRIM(C512))&gt;0</formula>
    </cfRule>
  </conditionalFormatting>
  <conditionalFormatting sqref="A511">
    <cfRule type="expression" dxfId="0" priority="387">
      <formula>COUNTIF(#REF!,A511)&gt;1</formula>
    </cfRule>
  </conditionalFormatting>
  <conditionalFormatting sqref="A511">
    <cfRule type="cellIs" dxfId="1" priority="388" operator="greaterThan">
      <formula>100000000</formula>
    </cfRule>
  </conditionalFormatting>
  <conditionalFormatting sqref="S511">
    <cfRule type="containsText" dxfId="4" priority="389" operator="containsText" text="CANCELADA">
      <formula>NOT(ISERROR(SEARCH(("CANCELADA"),(S511))))</formula>
    </cfRule>
  </conditionalFormatting>
  <conditionalFormatting sqref="S511">
    <cfRule type="containsText" dxfId="4" priority="390" operator="containsText" text="RETIRADA">
      <formula>NOT(ISERROR(SEARCH(("RETIRADA"),(S511))))</formula>
    </cfRule>
  </conditionalFormatting>
  <conditionalFormatting sqref="S511">
    <cfRule type="containsText" dxfId="4" priority="391" operator="containsText" text="DECLINADO">
      <formula>NOT(ISERROR(SEARCH(("DECLINADO"),(S511))))</formula>
    </cfRule>
  </conditionalFormatting>
  <conditionalFormatting sqref="S511">
    <cfRule type="containsText" dxfId="3" priority="392" operator="containsText" text="CARREGADO">
      <formula>NOT(ISERROR(SEARCH(("CARREGADO"),(S511))))</formula>
    </cfRule>
  </conditionalFormatting>
  <conditionalFormatting sqref="C511">
    <cfRule type="notContainsBlanks" dxfId="2" priority="393">
      <formula>LEN(TRIM(C511))&gt;0</formula>
    </cfRule>
  </conditionalFormatting>
  <conditionalFormatting sqref="C511">
    <cfRule type="notContainsBlanks" dxfId="2" priority="394">
      <formula>LEN(TRIM(C511))&gt;0</formula>
    </cfRule>
  </conditionalFormatting>
  <conditionalFormatting sqref="A510">
    <cfRule type="expression" dxfId="0" priority="395">
      <formula>COUNTIF(#REF!,A510)&gt;1</formula>
    </cfRule>
  </conditionalFormatting>
  <conditionalFormatting sqref="A510">
    <cfRule type="cellIs" dxfId="1" priority="396" operator="greaterThan">
      <formula>100000000</formula>
    </cfRule>
  </conditionalFormatting>
  <conditionalFormatting sqref="S510">
    <cfRule type="containsText" dxfId="3" priority="397" operator="containsText" text="CARREGADO">
      <formula>NOT(ISERROR(SEARCH(("CARREGADO"),(S510))))</formula>
    </cfRule>
  </conditionalFormatting>
  <conditionalFormatting sqref="S510">
    <cfRule type="containsText" dxfId="4" priority="398" operator="containsText" text="DECLINADO">
      <formula>NOT(ISERROR(SEARCH(("DECLINADO"),(S510))))</formula>
    </cfRule>
  </conditionalFormatting>
  <conditionalFormatting sqref="S510">
    <cfRule type="containsText" dxfId="4" priority="399" operator="containsText" text="RETIRADA">
      <formula>NOT(ISERROR(SEARCH(("RETIRADA"),(S510))))</formula>
    </cfRule>
  </conditionalFormatting>
  <conditionalFormatting sqref="S510">
    <cfRule type="containsText" dxfId="4" priority="400" operator="containsText" text="CANCELADA">
      <formula>NOT(ISERROR(SEARCH(("CANCELADA"),(S510))))</formula>
    </cfRule>
  </conditionalFormatting>
  <conditionalFormatting sqref="C510">
    <cfRule type="notContainsBlanks" dxfId="2" priority="401">
      <formula>LEN(TRIM(C510))&gt;0</formula>
    </cfRule>
  </conditionalFormatting>
  <conditionalFormatting sqref="C510">
    <cfRule type="notContainsBlanks" dxfId="2" priority="402">
      <formula>LEN(TRIM(C510))&gt;0</formula>
    </cfRule>
  </conditionalFormatting>
  <conditionalFormatting sqref="A509">
    <cfRule type="cellIs" dxfId="1" priority="403" operator="greaterThan">
      <formula>100000000</formula>
    </cfRule>
  </conditionalFormatting>
  <conditionalFormatting sqref="A509">
    <cfRule type="expression" dxfId="0" priority="404">
      <formula>COUNTIF(#REF!,A509)&gt;1</formula>
    </cfRule>
  </conditionalFormatting>
  <conditionalFormatting sqref="S509">
    <cfRule type="containsText" dxfId="4" priority="405" operator="containsText" text="CANCELADA">
      <formula>NOT(ISERROR(SEARCH(("CANCELADA"),(S509))))</formula>
    </cfRule>
  </conditionalFormatting>
  <conditionalFormatting sqref="S509">
    <cfRule type="containsText" dxfId="4" priority="406" operator="containsText" text="RETIRADA">
      <formula>NOT(ISERROR(SEARCH(("RETIRADA"),(S509))))</formula>
    </cfRule>
  </conditionalFormatting>
  <conditionalFormatting sqref="S509">
    <cfRule type="containsText" dxfId="4" priority="407" operator="containsText" text="DECLINADO">
      <formula>NOT(ISERROR(SEARCH(("DECLINADO"),(S509))))</formula>
    </cfRule>
  </conditionalFormatting>
  <conditionalFormatting sqref="S509">
    <cfRule type="containsText" dxfId="3" priority="408" operator="containsText" text="CARREGADO">
      <formula>NOT(ISERROR(SEARCH(("CARREGADO"),(S509))))</formula>
    </cfRule>
  </conditionalFormatting>
  <conditionalFormatting sqref="C509">
    <cfRule type="notContainsBlanks" dxfId="2" priority="409">
      <formula>LEN(TRIM(C509))&gt;0</formula>
    </cfRule>
  </conditionalFormatting>
  <conditionalFormatting sqref="C509">
    <cfRule type="notContainsBlanks" dxfId="2" priority="410">
      <formula>LEN(TRIM(C509))&gt;0</formula>
    </cfRule>
  </conditionalFormatting>
  <conditionalFormatting sqref="A501">
    <cfRule type="cellIs" dxfId="1" priority="411" operator="greaterThan">
      <formula>100000000</formula>
    </cfRule>
  </conditionalFormatting>
  <conditionalFormatting sqref="A501">
    <cfRule type="expression" dxfId="0" priority="412">
      <formula>COUNTIF(#REF!,A501)&gt;1</formula>
    </cfRule>
  </conditionalFormatting>
  <conditionalFormatting sqref="S501">
    <cfRule type="containsText" dxfId="4" priority="413" operator="containsText" text="CANCELADA">
      <formula>NOT(ISERROR(SEARCH(("CANCELADA"),(S501))))</formula>
    </cfRule>
  </conditionalFormatting>
  <conditionalFormatting sqref="S501">
    <cfRule type="containsText" dxfId="4" priority="414" operator="containsText" text="RETIRADA">
      <formula>NOT(ISERROR(SEARCH(("RETIRADA"),(S501))))</formula>
    </cfRule>
  </conditionalFormatting>
  <conditionalFormatting sqref="S501">
    <cfRule type="containsText" dxfId="4" priority="415" operator="containsText" text="DECLINADO">
      <formula>NOT(ISERROR(SEARCH(("DECLINADO"),(S501))))</formula>
    </cfRule>
  </conditionalFormatting>
  <conditionalFormatting sqref="S501">
    <cfRule type="containsText" dxfId="3" priority="416" operator="containsText" text="CARREGADO">
      <formula>NOT(ISERROR(SEARCH(("CARREGADO"),(S501))))</formula>
    </cfRule>
  </conditionalFormatting>
  <conditionalFormatting sqref="C501">
    <cfRule type="notContainsBlanks" dxfId="2" priority="417">
      <formula>LEN(TRIM(C501))&gt;0</formula>
    </cfRule>
  </conditionalFormatting>
  <conditionalFormatting sqref="C501">
    <cfRule type="notContainsBlanks" dxfId="2" priority="418">
      <formula>LEN(TRIM(C501))&gt;0</formula>
    </cfRule>
  </conditionalFormatting>
  <conditionalFormatting sqref="A498">
    <cfRule type="expression" dxfId="0" priority="419">
      <formula>COUNTIF(#REF!,A498)&gt;1</formula>
    </cfRule>
  </conditionalFormatting>
  <conditionalFormatting sqref="A498">
    <cfRule type="cellIs" dxfId="1" priority="420" operator="greaterThan">
      <formula>100000000</formula>
    </cfRule>
  </conditionalFormatting>
  <conditionalFormatting sqref="S498">
    <cfRule type="containsText" dxfId="3" priority="421" operator="containsText" text="CARREGADO">
      <formula>NOT(ISERROR(SEARCH(("CARREGADO"),(S498))))</formula>
    </cfRule>
  </conditionalFormatting>
  <conditionalFormatting sqref="S498">
    <cfRule type="containsText" dxfId="4" priority="422" operator="containsText" text="DECLINADO">
      <formula>NOT(ISERROR(SEARCH(("DECLINADO"),(S498))))</formula>
    </cfRule>
  </conditionalFormatting>
  <conditionalFormatting sqref="S498">
    <cfRule type="containsText" dxfId="4" priority="423" operator="containsText" text="RETIRADA">
      <formula>NOT(ISERROR(SEARCH(("RETIRADA"),(S498))))</formula>
    </cfRule>
  </conditionalFormatting>
  <conditionalFormatting sqref="S498">
    <cfRule type="containsText" dxfId="4" priority="424" operator="containsText" text="CANCELADA">
      <formula>NOT(ISERROR(SEARCH(("CANCELADA"),(S498))))</formula>
    </cfRule>
  </conditionalFormatting>
  <conditionalFormatting sqref="C498">
    <cfRule type="notContainsBlanks" dxfId="2" priority="425">
      <formula>LEN(TRIM(C498))&gt;0</formula>
    </cfRule>
  </conditionalFormatting>
  <conditionalFormatting sqref="C498">
    <cfRule type="notContainsBlanks" dxfId="2" priority="426">
      <formula>LEN(TRIM(C498))&gt;0</formula>
    </cfRule>
  </conditionalFormatting>
  <conditionalFormatting sqref="A496:A497">
    <cfRule type="cellIs" dxfId="1" priority="427" operator="greaterThan">
      <formula>100000000</formula>
    </cfRule>
  </conditionalFormatting>
  <conditionalFormatting sqref="A496:A497">
    <cfRule type="expression" dxfId="0" priority="428">
      <formula>COUNTIF(#REF!,A496)&gt;1</formula>
    </cfRule>
  </conditionalFormatting>
  <conditionalFormatting sqref="S496:S497">
    <cfRule type="containsText" dxfId="4" priority="429" operator="containsText" text="CANCELADA">
      <formula>NOT(ISERROR(SEARCH(("CANCELADA"),(S496))))</formula>
    </cfRule>
  </conditionalFormatting>
  <conditionalFormatting sqref="S496:S497">
    <cfRule type="containsText" dxfId="4" priority="430" operator="containsText" text="RETIRADA">
      <formula>NOT(ISERROR(SEARCH(("RETIRADA"),(S496))))</formula>
    </cfRule>
  </conditionalFormatting>
  <conditionalFormatting sqref="S496:S497">
    <cfRule type="containsText" dxfId="4" priority="431" operator="containsText" text="DECLINADO">
      <formula>NOT(ISERROR(SEARCH(("DECLINADO"),(S496))))</formula>
    </cfRule>
  </conditionalFormatting>
  <conditionalFormatting sqref="S496:S497">
    <cfRule type="containsText" dxfId="3" priority="432" operator="containsText" text="CARREGADO">
      <formula>NOT(ISERROR(SEARCH(("CARREGADO"),(S496))))</formula>
    </cfRule>
  </conditionalFormatting>
  <conditionalFormatting sqref="C496:C497">
    <cfRule type="notContainsBlanks" dxfId="2" priority="433">
      <formula>LEN(TRIM(C496))&gt;0</formula>
    </cfRule>
  </conditionalFormatting>
  <conditionalFormatting sqref="C496:C497">
    <cfRule type="notContainsBlanks" dxfId="2" priority="434">
      <formula>LEN(TRIM(C496))&gt;0</formula>
    </cfRule>
  </conditionalFormatting>
  <conditionalFormatting sqref="A495">
    <cfRule type="cellIs" dxfId="1" priority="435" operator="greaterThan">
      <formula>100000000</formula>
    </cfRule>
  </conditionalFormatting>
  <conditionalFormatting sqref="A495">
    <cfRule type="expression" dxfId="0" priority="436">
      <formula>COUNTIF(#REF!,A495)&gt;1</formula>
    </cfRule>
  </conditionalFormatting>
  <conditionalFormatting sqref="S495">
    <cfRule type="containsText" dxfId="4" priority="437" operator="containsText" text="CANCELADA">
      <formula>NOT(ISERROR(SEARCH(("CANCELADA"),(S495))))</formula>
    </cfRule>
  </conditionalFormatting>
  <conditionalFormatting sqref="S495">
    <cfRule type="containsText" dxfId="4" priority="438" operator="containsText" text="RETIRADA">
      <formula>NOT(ISERROR(SEARCH(("RETIRADA"),(S495))))</formula>
    </cfRule>
  </conditionalFormatting>
  <conditionalFormatting sqref="S495">
    <cfRule type="containsText" dxfId="4" priority="439" operator="containsText" text="DECLINADO">
      <formula>NOT(ISERROR(SEARCH(("DECLINADO"),(S495))))</formula>
    </cfRule>
  </conditionalFormatting>
  <conditionalFormatting sqref="S495">
    <cfRule type="containsText" dxfId="3" priority="440" operator="containsText" text="CARREGADO">
      <formula>NOT(ISERROR(SEARCH(("CARREGADO"),(S495))))</formula>
    </cfRule>
  </conditionalFormatting>
  <conditionalFormatting sqref="C495">
    <cfRule type="notContainsBlanks" dxfId="2" priority="441">
      <formula>LEN(TRIM(C495))&gt;0</formula>
    </cfRule>
  </conditionalFormatting>
  <conditionalFormatting sqref="C495">
    <cfRule type="notContainsBlanks" dxfId="2" priority="442">
      <formula>LEN(TRIM(C495))&gt;0</formula>
    </cfRule>
  </conditionalFormatting>
  <conditionalFormatting sqref="A494">
    <cfRule type="cellIs" dxfId="1" priority="443" operator="greaterThan">
      <formula>100000000</formula>
    </cfRule>
  </conditionalFormatting>
  <conditionalFormatting sqref="A494">
    <cfRule type="expression" dxfId="0" priority="444">
      <formula>COUNTIF(#REF!,A494)&gt;1</formula>
    </cfRule>
  </conditionalFormatting>
  <conditionalFormatting sqref="S494">
    <cfRule type="containsText" dxfId="4" priority="445" operator="containsText" text="CANCELADA">
      <formula>NOT(ISERROR(SEARCH(("CANCELADA"),(S494))))</formula>
    </cfRule>
  </conditionalFormatting>
  <conditionalFormatting sqref="S494">
    <cfRule type="containsText" dxfId="4" priority="446" operator="containsText" text="RETIRADA">
      <formula>NOT(ISERROR(SEARCH(("RETIRADA"),(S494))))</formula>
    </cfRule>
  </conditionalFormatting>
  <conditionalFormatting sqref="S494">
    <cfRule type="containsText" dxfId="4" priority="447" operator="containsText" text="DECLINADO">
      <formula>NOT(ISERROR(SEARCH(("DECLINADO"),(S494))))</formula>
    </cfRule>
  </conditionalFormatting>
  <conditionalFormatting sqref="S494">
    <cfRule type="containsText" dxfId="3" priority="448" operator="containsText" text="CARREGADO">
      <formula>NOT(ISERROR(SEARCH(("CARREGADO"),(S494))))</formula>
    </cfRule>
  </conditionalFormatting>
  <conditionalFormatting sqref="C494">
    <cfRule type="notContainsBlanks" dxfId="2" priority="449">
      <formula>LEN(TRIM(C494))&gt;0</formula>
    </cfRule>
  </conditionalFormatting>
  <conditionalFormatting sqref="C494">
    <cfRule type="notContainsBlanks" dxfId="2" priority="450">
      <formula>LEN(TRIM(C494))&gt;0</formula>
    </cfRule>
  </conditionalFormatting>
  <conditionalFormatting sqref="A493">
    <cfRule type="expression" dxfId="0" priority="451">
      <formula>COUNTIF(#REF!,A493)&gt;1</formula>
    </cfRule>
  </conditionalFormatting>
  <conditionalFormatting sqref="A493">
    <cfRule type="cellIs" dxfId="1" priority="452" operator="greaterThan">
      <formula>100000000</formula>
    </cfRule>
  </conditionalFormatting>
  <conditionalFormatting sqref="S493:S510">
    <cfRule type="containsText" dxfId="3" priority="453" operator="containsText" text="CARREGADO">
      <formula>NOT(ISERROR(SEARCH(("CARREGADO"),(S493))))</formula>
    </cfRule>
  </conditionalFormatting>
  <conditionalFormatting sqref="S493:S510">
    <cfRule type="containsText" dxfId="4" priority="454" operator="containsText" text="DECLINADO">
      <formula>NOT(ISERROR(SEARCH(("DECLINADO"),(S493))))</formula>
    </cfRule>
  </conditionalFormatting>
  <conditionalFormatting sqref="S493:S510">
    <cfRule type="containsText" dxfId="4" priority="455" operator="containsText" text="RETIRADA">
      <formula>NOT(ISERROR(SEARCH(("RETIRADA"),(S493))))</formula>
    </cfRule>
  </conditionalFormatting>
  <conditionalFormatting sqref="S493:S510">
    <cfRule type="containsText" dxfId="4" priority="456" operator="containsText" text="CANCELADA">
      <formula>NOT(ISERROR(SEARCH(("CANCELADA"),(S493))))</formula>
    </cfRule>
  </conditionalFormatting>
  <conditionalFormatting sqref="C493">
    <cfRule type="notContainsBlanks" dxfId="2" priority="457">
      <formula>LEN(TRIM(C493))&gt;0</formula>
    </cfRule>
  </conditionalFormatting>
  <conditionalFormatting sqref="C493">
    <cfRule type="notContainsBlanks" dxfId="2" priority="458">
      <formula>LEN(TRIM(C493))&gt;0</formula>
    </cfRule>
  </conditionalFormatting>
  <conditionalFormatting sqref="A486:A487">
    <cfRule type="expression" dxfId="0" priority="459">
      <formula>COUNTIF(#REF!,A486)&gt;1</formula>
    </cfRule>
  </conditionalFormatting>
  <conditionalFormatting sqref="A486:A487">
    <cfRule type="cellIs" dxfId="1" priority="460" operator="greaterThan">
      <formula>100000000</formula>
    </cfRule>
  </conditionalFormatting>
  <conditionalFormatting sqref="S486:S490">
    <cfRule type="containsText" dxfId="3" priority="461" operator="containsText" text="CARREGADO">
      <formula>NOT(ISERROR(SEARCH(("CARREGADO"),(S486))))</formula>
    </cfRule>
  </conditionalFormatting>
  <conditionalFormatting sqref="S486:S490">
    <cfRule type="containsText" dxfId="4" priority="462" operator="containsText" text="DECLINADO">
      <formula>NOT(ISERROR(SEARCH(("DECLINADO"),(S486))))</formula>
    </cfRule>
  </conditionalFormatting>
  <conditionalFormatting sqref="S486:S490">
    <cfRule type="containsText" dxfId="4" priority="463" operator="containsText" text="RETIRADA">
      <formula>NOT(ISERROR(SEARCH(("RETIRADA"),(S486))))</formula>
    </cfRule>
  </conditionalFormatting>
  <conditionalFormatting sqref="S486:S490">
    <cfRule type="containsText" dxfId="4" priority="464" operator="containsText" text="CANCELADA">
      <formula>NOT(ISERROR(SEARCH(("CANCELADA"),(S486))))</formula>
    </cfRule>
  </conditionalFormatting>
  <conditionalFormatting sqref="C486:C487">
    <cfRule type="notContainsBlanks" dxfId="2" priority="465">
      <formula>LEN(TRIM(C486))&gt;0</formula>
    </cfRule>
  </conditionalFormatting>
  <conditionalFormatting sqref="C486:C487">
    <cfRule type="notContainsBlanks" dxfId="2" priority="466">
      <formula>LEN(TRIM(C486))&gt;0</formula>
    </cfRule>
  </conditionalFormatting>
  <conditionalFormatting sqref="A485">
    <cfRule type="expression" dxfId="0" priority="467">
      <formula>COUNTIF(#REF!,A485)&gt;1</formula>
    </cfRule>
  </conditionalFormatting>
  <conditionalFormatting sqref="A485">
    <cfRule type="cellIs" dxfId="1" priority="468" operator="greaterThan">
      <formula>100000000</formula>
    </cfRule>
  </conditionalFormatting>
  <conditionalFormatting sqref="S485">
    <cfRule type="containsText" dxfId="3" priority="469" operator="containsText" text="CARREGADO">
      <formula>NOT(ISERROR(SEARCH(("CARREGADO"),(S485))))</formula>
    </cfRule>
  </conditionalFormatting>
  <conditionalFormatting sqref="S485">
    <cfRule type="containsText" dxfId="4" priority="470" operator="containsText" text="DECLINADO">
      <formula>NOT(ISERROR(SEARCH(("DECLINADO"),(S485))))</formula>
    </cfRule>
  </conditionalFormatting>
  <conditionalFormatting sqref="S485">
    <cfRule type="containsText" dxfId="4" priority="471" operator="containsText" text="RETIRADA">
      <formula>NOT(ISERROR(SEARCH(("RETIRADA"),(S485))))</formula>
    </cfRule>
  </conditionalFormatting>
  <conditionalFormatting sqref="S485">
    <cfRule type="containsText" dxfId="4" priority="472" operator="containsText" text="CANCELADA">
      <formula>NOT(ISERROR(SEARCH(("CANCELADA"),(S485))))</formula>
    </cfRule>
  </conditionalFormatting>
  <conditionalFormatting sqref="C485">
    <cfRule type="notContainsBlanks" dxfId="2" priority="473">
      <formula>LEN(TRIM(C485))&gt;0</formula>
    </cfRule>
  </conditionalFormatting>
  <conditionalFormatting sqref="C485">
    <cfRule type="notContainsBlanks" dxfId="2" priority="474">
      <formula>LEN(TRIM(C485))&gt;0</formula>
    </cfRule>
  </conditionalFormatting>
  <conditionalFormatting sqref="A483:A484">
    <cfRule type="cellIs" dxfId="1" priority="475" operator="greaterThan">
      <formula>100000000</formula>
    </cfRule>
  </conditionalFormatting>
  <conditionalFormatting sqref="A483:A484">
    <cfRule type="expression" dxfId="0" priority="476">
      <formula>COUNTIF(#REF!,A483)&gt;1</formula>
    </cfRule>
  </conditionalFormatting>
  <conditionalFormatting sqref="S483:S484">
    <cfRule type="containsText" dxfId="4" priority="477" operator="containsText" text="CANCELADA">
      <formula>NOT(ISERROR(SEARCH(("CANCELADA"),(S483))))</formula>
    </cfRule>
  </conditionalFormatting>
  <conditionalFormatting sqref="S483:S484">
    <cfRule type="containsText" dxfId="4" priority="478" operator="containsText" text="RETIRADA">
      <formula>NOT(ISERROR(SEARCH(("RETIRADA"),(S483))))</formula>
    </cfRule>
  </conditionalFormatting>
  <conditionalFormatting sqref="S483:S484">
    <cfRule type="containsText" dxfId="4" priority="479" operator="containsText" text="DECLINADO">
      <formula>NOT(ISERROR(SEARCH(("DECLINADO"),(S483))))</formula>
    </cfRule>
  </conditionalFormatting>
  <conditionalFormatting sqref="S483:S484">
    <cfRule type="containsText" dxfId="3" priority="480" operator="containsText" text="CARREGADO">
      <formula>NOT(ISERROR(SEARCH(("CARREGADO"),(S483))))</formula>
    </cfRule>
  </conditionalFormatting>
  <conditionalFormatting sqref="C483:C484">
    <cfRule type="notContainsBlanks" dxfId="2" priority="481">
      <formula>LEN(TRIM(C483))&gt;0</formula>
    </cfRule>
  </conditionalFormatting>
  <conditionalFormatting sqref="C483:C484">
    <cfRule type="notContainsBlanks" dxfId="2" priority="482">
      <formula>LEN(TRIM(C483))&gt;0</formula>
    </cfRule>
  </conditionalFormatting>
  <conditionalFormatting sqref="A482">
    <cfRule type="expression" dxfId="0" priority="483">
      <formula>COUNTIF(#REF!,A482)&gt;1</formula>
    </cfRule>
  </conditionalFormatting>
  <conditionalFormatting sqref="A482">
    <cfRule type="cellIs" dxfId="1" priority="484" operator="greaterThan">
      <formula>100000000</formula>
    </cfRule>
  </conditionalFormatting>
  <conditionalFormatting sqref="S482">
    <cfRule type="containsText" dxfId="3" priority="485" operator="containsText" text="CARREGADO">
      <formula>NOT(ISERROR(SEARCH(("CARREGADO"),(S482))))</formula>
    </cfRule>
  </conditionalFormatting>
  <conditionalFormatting sqref="S482">
    <cfRule type="containsText" dxfId="4" priority="486" operator="containsText" text="DECLINADO">
      <formula>NOT(ISERROR(SEARCH(("DECLINADO"),(S482))))</formula>
    </cfRule>
  </conditionalFormatting>
  <conditionalFormatting sqref="S482">
    <cfRule type="containsText" dxfId="4" priority="487" operator="containsText" text="RETIRADA">
      <formula>NOT(ISERROR(SEARCH(("RETIRADA"),(S482))))</formula>
    </cfRule>
  </conditionalFormatting>
  <conditionalFormatting sqref="S482">
    <cfRule type="containsText" dxfId="4" priority="488" operator="containsText" text="CANCELADA">
      <formula>NOT(ISERROR(SEARCH(("CANCELADA"),(S482))))</formula>
    </cfRule>
  </conditionalFormatting>
  <conditionalFormatting sqref="C482">
    <cfRule type="notContainsBlanks" dxfId="2" priority="489">
      <formula>LEN(TRIM(C482))&gt;0</formula>
    </cfRule>
  </conditionalFormatting>
  <conditionalFormatting sqref="C482">
    <cfRule type="notContainsBlanks" dxfId="2" priority="490">
      <formula>LEN(TRIM(C482))&gt;0</formula>
    </cfRule>
  </conditionalFormatting>
  <conditionalFormatting sqref="A481">
    <cfRule type="cellIs" dxfId="1" priority="491" operator="greaterThan">
      <formula>100000000</formula>
    </cfRule>
  </conditionalFormatting>
  <conditionalFormatting sqref="A481">
    <cfRule type="expression" dxfId="0" priority="492">
      <formula>COUNTIF(#REF!,A481)&gt;1</formula>
    </cfRule>
  </conditionalFormatting>
  <conditionalFormatting sqref="S481">
    <cfRule type="containsText" dxfId="4" priority="493" operator="containsText" text="CANCELADA">
      <formula>NOT(ISERROR(SEARCH(("CANCELADA"),(S481))))</formula>
    </cfRule>
  </conditionalFormatting>
  <conditionalFormatting sqref="S481">
    <cfRule type="containsText" dxfId="4" priority="494" operator="containsText" text="RETIRADA">
      <formula>NOT(ISERROR(SEARCH(("RETIRADA"),(S481))))</formula>
    </cfRule>
  </conditionalFormatting>
  <conditionalFormatting sqref="S481">
    <cfRule type="containsText" dxfId="4" priority="495" operator="containsText" text="DECLINADO">
      <formula>NOT(ISERROR(SEARCH(("DECLINADO"),(S481))))</formula>
    </cfRule>
  </conditionalFormatting>
  <conditionalFormatting sqref="S481">
    <cfRule type="containsText" dxfId="3" priority="496" operator="containsText" text="CARREGADO">
      <formula>NOT(ISERROR(SEARCH(("CARREGADO"),(S481))))</formula>
    </cfRule>
  </conditionalFormatting>
  <conditionalFormatting sqref="C481">
    <cfRule type="notContainsBlanks" dxfId="2" priority="497">
      <formula>LEN(TRIM(C481))&gt;0</formula>
    </cfRule>
  </conditionalFormatting>
  <conditionalFormatting sqref="C481">
    <cfRule type="notContainsBlanks" dxfId="2" priority="498">
      <formula>LEN(TRIM(C481))&gt;0</formula>
    </cfRule>
  </conditionalFormatting>
  <conditionalFormatting sqref="A477:A480">
    <cfRule type="expression" dxfId="0" priority="499">
      <formula>COUNTIF(#REF!,A477)&gt;1</formula>
    </cfRule>
  </conditionalFormatting>
  <conditionalFormatting sqref="A477:A480">
    <cfRule type="cellIs" dxfId="1" priority="500" operator="greaterThan">
      <formula>100000000</formula>
    </cfRule>
  </conditionalFormatting>
  <conditionalFormatting sqref="S477:S480">
    <cfRule type="containsText" dxfId="3" priority="501" operator="containsText" text="CARREGADO">
      <formula>NOT(ISERROR(SEARCH(("CARREGADO"),(S477))))</formula>
    </cfRule>
  </conditionalFormatting>
  <conditionalFormatting sqref="S477:S480">
    <cfRule type="containsText" dxfId="4" priority="502" operator="containsText" text="DECLINADO">
      <formula>NOT(ISERROR(SEARCH(("DECLINADO"),(S477))))</formula>
    </cfRule>
  </conditionalFormatting>
  <conditionalFormatting sqref="S477:S480">
    <cfRule type="containsText" dxfId="4" priority="503" operator="containsText" text="RETIRADA">
      <formula>NOT(ISERROR(SEARCH(("RETIRADA"),(S477))))</formula>
    </cfRule>
  </conditionalFormatting>
  <conditionalFormatting sqref="S477:S480">
    <cfRule type="containsText" dxfId="4" priority="504" operator="containsText" text="CANCELADA">
      <formula>NOT(ISERROR(SEARCH(("CANCELADA"),(S477))))</formula>
    </cfRule>
  </conditionalFormatting>
  <conditionalFormatting sqref="C477:C480">
    <cfRule type="notContainsBlanks" dxfId="2" priority="505">
      <formula>LEN(TRIM(C477))&gt;0</formula>
    </cfRule>
  </conditionalFormatting>
  <conditionalFormatting sqref="C477:C480">
    <cfRule type="notContainsBlanks" dxfId="2" priority="506">
      <formula>LEN(TRIM(C477))&gt;0</formula>
    </cfRule>
  </conditionalFormatting>
  <conditionalFormatting sqref="A475:A476">
    <cfRule type="cellIs" dxfId="1" priority="507" operator="greaterThan">
      <formula>100000000</formula>
    </cfRule>
  </conditionalFormatting>
  <conditionalFormatting sqref="A475:A476">
    <cfRule type="expression" dxfId="0" priority="508">
      <formula>COUNTIF(#REF!,A475)&gt;1</formula>
    </cfRule>
  </conditionalFormatting>
  <conditionalFormatting sqref="C475:C476">
    <cfRule type="notContainsBlanks" dxfId="2" priority="509">
      <formula>LEN(TRIM(C475))&gt;0</formula>
    </cfRule>
  </conditionalFormatting>
  <conditionalFormatting sqref="C475:C476">
    <cfRule type="notContainsBlanks" dxfId="2" priority="510">
      <formula>LEN(TRIM(C475))&gt;0</formula>
    </cfRule>
  </conditionalFormatting>
  <conditionalFormatting sqref="S475:S476">
    <cfRule type="containsText" dxfId="4" priority="511" operator="containsText" text="CANCELADA">
      <formula>NOT(ISERROR(SEARCH(("CANCELADA"),(S475))))</formula>
    </cfRule>
  </conditionalFormatting>
  <conditionalFormatting sqref="S475:S476">
    <cfRule type="containsText" dxfId="4" priority="512" operator="containsText" text="RETIRADA">
      <formula>NOT(ISERROR(SEARCH(("RETIRADA"),(S475))))</formula>
    </cfRule>
  </conditionalFormatting>
  <conditionalFormatting sqref="S475:S476">
    <cfRule type="containsText" dxfId="4" priority="513" operator="containsText" text="DECLINADO">
      <formula>NOT(ISERROR(SEARCH(("DECLINADO"),(S475))))</formula>
    </cfRule>
  </conditionalFormatting>
  <conditionalFormatting sqref="S475:S476">
    <cfRule type="containsText" dxfId="3" priority="514" operator="containsText" text="CARREGADO">
      <formula>NOT(ISERROR(SEARCH(("CARREGADO"),(S475))))</formula>
    </cfRule>
  </conditionalFormatting>
  <conditionalFormatting sqref="A473:A474">
    <cfRule type="cellIs" dxfId="1" priority="515" operator="greaterThan">
      <formula>100000000</formula>
    </cfRule>
  </conditionalFormatting>
  <conditionalFormatting sqref="A473:A474">
    <cfRule type="expression" dxfId="0" priority="516">
      <formula>COUNTIF(#REF!,A473)&gt;1</formula>
    </cfRule>
  </conditionalFormatting>
  <conditionalFormatting sqref="S473:S474">
    <cfRule type="containsText" dxfId="4" priority="517" operator="containsText" text="CANCELADA">
      <formula>NOT(ISERROR(SEARCH(("CANCELADA"),(S473))))</formula>
    </cfRule>
  </conditionalFormatting>
  <conditionalFormatting sqref="S473:S474">
    <cfRule type="containsText" dxfId="4" priority="518" operator="containsText" text="RETIRADA">
      <formula>NOT(ISERROR(SEARCH(("RETIRADA"),(S473))))</formula>
    </cfRule>
  </conditionalFormatting>
  <conditionalFormatting sqref="S473:S474">
    <cfRule type="containsText" dxfId="4" priority="519" operator="containsText" text="DECLINADO">
      <formula>NOT(ISERROR(SEARCH(("DECLINADO"),(S473))))</formula>
    </cfRule>
  </conditionalFormatting>
  <conditionalFormatting sqref="S473:S474">
    <cfRule type="containsText" dxfId="3" priority="520" operator="containsText" text="CARREGADO">
      <formula>NOT(ISERROR(SEARCH(("CARREGADO"),(S473))))</formula>
    </cfRule>
  </conditionalFormatting>
  <conditionalFormatting sqref="C473:C474">
    <cfRule type="notContainsBlanks" dxfId="2" priority="521">
      <formula>LEN(TRIM(C473))&gt;0</formula>
    </cfRule>
  </conditionalFormatting>
  <conditionalFormatting sqref="C473:C474">
    <cfRule type="notContainsBlanks" dxfId="2" priority="522">
      <formula>LEN(TRIM(C473))&gt;0</formula>
    </cfRule>
  </conditionalFormatting>
  <conditionalFormatting sqref="A471:A472">
    <cfRule type="cellIs" dxfId="1" priority="523" operator="greaterThan">
      <formula>100000000</formula>
    </cfRule>
  </conditionalFormatting>
  <conditionalFormatting sqref="A471:A472">
    <cfRule type="expression" dxfId="0" priority="524">
      <formula>COUNTIF(#REF!,A471)&gt;1</formula>
    </cfRule>
  </conditionalFormatting>
  <conditionalFormatting sqref="S471:S472">
    <cfRule type="containsText" dxfId="4" priority="525" operator="containsText" text="CANCELADA">
      <formula>NOT(ISERROR(SEARCH(("CANCELADA"),(S471))))</formula>
    </cfRule>
  </conditionalFormatting>
  <conditionalFormatting sqref="S471:S472">
    <cfRule type="containsText" dxfId="4" priority="526" operator="containsText" text="RETIRADA">
      <formula>NOT(ISERROR(SEARCH(("RETIRADA"),(S471))))</formula>
    </cfRule>
  </conditionalFormatting>
  <conditionalFormatting sqref="S471:S472">
    <cfRule type="containsText" dxfId="4" priority="527" operator="containsText" text="DECLINADO">
      <formula>NOT(ISERROR(SEARCH(("DECLINADO"),(S471))))</formula>
    </cfRule>
  </conditionalFormatting>
  <conditionalFormatting sqref="S471:S472">
    <cfRule type="containsText" dxfId="3" priority="528" operator="containsText" text="CARREGADO">
      <formula>NOT(ISERROR(SEARCH(("CARREGADO"),(S471))))</formula>
    </cfRule>
  </conditionalFormatting>
  <conditionalFormatting sqref="C471:C472">
    <cfRule type="notContainsBlanks" dxfId="2" priority="529">
      <formula>LEN(TRIM(C471))&gt;0</formula>
    </cfRule>
  </conditionalFormatting>
  <conditionalFormatting sqref="C471:C472">
    <cfRule type="notContainsBlanks" dxfId="2" priority="530">
      <formula>LEN(TRIM(C471))&gt;0</formula>
    </cfRule>
  </conditionalFormatting>
  <conditionalFormatting sqref="A468:A470">
    <cfRule type="cellIs" dxfId="1" priority="531" operator="greaterThan">
      <formula>100000000</formula>
    </cfRule>
  </conditionalFormatting>
  <conditionalFormatting sqref="A468:A470">
    <cfRule type="expression" dxfId="0" priority="532">
      <formula>COUNTIF(#REF!,A468)&gt;1</formula>
    </cfRule>
  </conditionalFormatting>
  <conditionalFormatting sqref="S468:S470">
    <cfRule type="containsText" dxfId="4" priority="533" operator="containsText" text="CANCELADA">
      <formula>NOT(ISERROR(SEARCH(("CANCELADA"),(S468))))</formula>
    </cfRule>
  </conditionalFormatting>
  <conditionalFormatting sqref="S468:S470">
    <cfRule type="containsText" dxfId="4" priority="534" operator="containsText" text="RETIRADA">
      <formula>NOT(ISERROR(SEARCH(("RETIRADA"),(S468))))</formula>
    </cfRule>
  </conditionalFormatting>
  <conditionalFormatting sqref="S468:S470">
    <cfRule type="containsText" dxfId="4" priority="535" operator="containsText" text="DECLINADO">
      <formula>NOT(ISERROR(SEARCH(("DECLINADO"),(S468))))</formula>
    </cfRule>
  </conditionalFormatting>
  <conditionalFormatting sqref="S468:S470">
    <cfRule type="containsText" dxfId="3" priority="536" operator="containsText" text="CARREGADO">
      <formula>NOT(ISERROR(SEARCH(("CARREGADO"),(S468))))</formula>
    </cfRule>
  </conditionalFormatting>
  <conditionalFormatting sqref="C468:C470">
    <cfRule type="notContainsBlanks" dxfId="2" priority="537">
      <formula>LEN(TRIM(C468))&gt;0</formula>
    </cfRule>
  </conditionalFormatting>
  <conditionalFormatting sqref="C468:C470">
    <cfRule type="notContainsBlanks" dxfId="2" priority="538">
      <formula>LEN(TRIM(C468))&gt;0</formula>
    </cfRule>
  </conditionalFormatting>
  <conditionalFormatting sqref="S466:S467">
    <cfRule type="containsText" dxfId="4" priority="539" operator="containsText" text="CANCELADA">
      <formula>NOT(ISERROR(SEARCH(("CANCELADA"),(S466))))</formula>
    </cfRule>
  </conditionalFormatting>
  <conditionalFormatting sqref="S466:S467">
    <cfRule type="containsText" dxfId="4" priority="540" operator="containsText" text="RETIRADA">
      <formula>NOT(ISERROR(SEARCH(("RETIRADA"),(S466))))</formula>
    </cfRule>
  </conditionalFormatting>
  <conditionalFormatting sqref="S466:S467">
    <cfRule type="containsText" dxfId="4" priority="541" operator="containsText" text="DECLINADO">
      <formula>NOT(ISERROR(SEARCH(("DECLINADO"),(S466))))</formula>
    </cfRule>
  </conditionalFormatting>
  <conditionalFormatting sqref="S466:S467">
    <cfRule type="containsText" dxfId="3" priority="542" operator="containsText" text="CARREGADO">
      <formula>NOT(ISERROR(SEARCH(("CARREGADO"),(S466))))</formula>
    </cfRule>
  </conditionalFormatting>
  <conditionalFormatting sqref="C466:C467">
    <cfRule type="notContainsBlanks" dxfId="2" priority="543">
      <formula>LEN(TRIM(C466))&gt;0</formula>
    </cfRule>
  </conditionalFormatting>
  <conditionalFormatting sqref="C466:C467">
    <cfRule type="notContainsBlanks" dxfId="2" priority="544">
      <formula>LEN(TRIM(C466))&gt;0</formula>
    </cfRule>
  </conditionalFormatting>
  <conditionalFormatting sqref="A466:A467">
    <cfRule type="cellIs" dxfId="1" priority="545" operator="greaterThan">
      <formula>100000000</formula>
    </cfRule>
  </conditionalFormatting>
  <conditionalFormatting sqref="A466:A467">
    <cfRule type="expression" dxfId="0" priority="546">
      <formula>COUNTIF(#REF!,A466)&gt;1</formula>
    </cfRule>
  </conditionalFormatting>
  <conditionalFormatting sqref="S465">
    <cfRule type="containsText" dxfId="4" priority="547" operator="containsText" text="CANCELADA">
      <formula>NOT(ISERROR(SEARCH(("CANCELADA"),(S465))))</formula>
    </cfRule>
  </conditionalFormatting>
  <conditionalFormatting sqref="S465">
    <cfRule type="containsText" dxfId="4" priority="548" operator="containsText" text="RETIRADA">
      <formula>NOT(ISERROR(SEARCH(("RETIRADA"),(S465))))</formula>
    </cfRule>
  </conditionalFormatting>
  <conditionalFormatting sqref="S465">
    <cfRule type="containsText" dxfId="4" priority="549" operator="containsText" text="DECLINADO">
      <formula>NOT(ISERROR(SEARCH(("DECLINADO"),(S465))))</formula>
    </cfRule>
  </conditionalFormatting>
  <conditionalFormatting sqref="S465">
    <cfRule type="containsText" dxfId="3" priority="550" operator="containsText" text="CARREGADO">
      <formula>NOT(ISERROR(SEARCH(("CARREGADO"),(S465))))</formula>
    </cfRule>
  </conditionalFormatting>
  <conditionalFormatting sqref="C465">
    <cfRule type="notContainsBlanks" dxfId="2" priority="551">
      <formula>LEN(TRIM(C465))&gt;0</formula>
    </cfRule>
  </conditionalFormatting>
  <conditionalFormatting sqref="C465">
    <cfRule type="notContainsBlanks" dxfId="2" priority="552">
      <formula>LEN(TRIM(C465))&gt;0</formula>
    </cfRule>
  </conditionalFormatting>
  <conditionalFormatting sqref="A465">
    <cfRule type="cellIs" dxfId="1" priority="553" operator="greaterThan">
      <formula>100000000</formula>
    </cfRule>
  </conditionalFormatting>
  <conditionalFormatting sqref="A465">
    <cfRule type="expression" dxfId="0" priority="554">
      <formula>COUNTIF(#REF!,A465)&gt;1</formula>
    </cfRule>
  </conditionalFormatting>
  <conditionalFormatting sqref="S464">
    <cfRule type="containsText" dxfId="4" priority="555" operator="containsText" text="CANCELADA">
      <formula>NOT(ISERROR(SEARCH(("CANCELADA"),(S464))))</formula>
    </cfRule>
  </conditionalFormatting>
  <conditionalFormatting sqref="S464">
    <cfRule type="containsText" dxfId="4" priority="556" operator="containsText" text="RETIRADA">
      <formula>NOT(ISERROR(SEARCH(("RETIRADA"),(S464))))</formula>
    </cfRule>
  </conditionalFormatting>
  <conditionalFormatting sqref="S464">
    <cfRule type="containsText" dxfId="4" priority="557" operator="containsText" text="DECLINADO">
      <formula>NOT(ISERROR(SEARCH(("DECLINADO"),(S464))))</formula>
    </cfRule>
  </conditionalFormatting>
  <conditionalFormatting sqref="S464">
    <cfRule type="containsText" dxfId="3" priority="558" operator="containsText" text="CARREGADO">
      <formula>NOT(ISERROR(SEARCH(("CARREGADO"),(S464))))</formula>
    </cfRule>
  </conditionalFormatting>
  <conditionalFormatting sqref="C464">
    <cfRule type="notContainsBlanks" dxfId="2" priority="559">
      <formula>LEN(TRIM(C464))&gt;0</formula>
    </cfRule>
  </conditionalFormatting>
  <conditionalFormatting sqref="C464">
    <cfRule type="notContainsBlanks" dxfId="2" priority="560">
      <formula>LEN(TRIM(C464))&gt;0</formula>
    </cfRule>
  </conditionalFormatting>
  <conditionalFormatting sqref="A464">
    <cfRule type="cellIs" dxfId="1" priority="561" operator="greaterThan">
      <formula>100000000</formula>
    </cfRule>
  </conditionalFormatting>
  <conditionalFormatting sqref="A464">
    <cfRule type="expression" dxfId="0" priority="562">
      <formula>COUNTIF(#REF!,A464)&gt;1</formula>
    </cfRule>
  </conditionalFormatting>
  <conditionalFormatting sqref="S462:S463">
    <cfRule type="containsText" dxfId="4" priority="563" operator="containsText" text="CANCELADA">
      <formula>NOT(ISERROR(SEARCH(("CANCELADA"),(S462))))</formula>
    </cfRule>
  </conditionalFormatting>
  <conditionalFormatting sqref="S462:S463">
    <cfRule type="containsText" dxfId="4" priority="564" operator="containsText" text="RETIRADA">
      <formula>NOT(ISERROR(SEARCH(("RETIRADA"),(S462))))</formula>
    </cfRule>
  </conditionalFormatting>
  <conditionalFormatting sqref="S462:S463">
    <cfRule type="containsText" dxfId="4" priority="565" operator="containsText" text="DECLINADO">
      <formula>NOT(ISERROR(SEARCH(("DECLINADO"),(S462))))</formula>
    </cfRule>
  </conditionalFormatting>
  <conditionalFormatting sqref="S462:S463">
    <cfRule type="containsText" dxfId="3" priority="566" operator="containsText" text="CARREGADO">
      <formula>NOT(ISERROR(SEARCH(("CARREGADO"),(S462))))</formula>
    </cfRule>
  </conditionalFormatting>
  <conditionalFormatting sqref="A462:A463">
    <cfRule type="cellIs" dxfId="1" priority="567" operator="greaterThan">
      <formula>100000000</formula>
    </cfRule>
  </conditionalFormatting>
  <conditionalFormatting sqref="A462:A463">
    <cfRule type="expression" dxfId="0" priority="568">
      <formula>COUNTIF(#REF!,A462)&gt;1</formula>
    </cfRule>
  </conditionalFormatting>
  <conditionalFormatting sqref="C462:C463">
    <cfRule type="notContainsBlanks" dxfId="2" priority="569">
      <formula>LEN(TRIM(C462))&gt;0</formula>
    </cfRule>
  </conditionalFormatting>
  <conditionalFormatting sqref="C462:C463">
    <cfRule type="notContainsBlanks" dxfId="2" priority="570">
      <formula>LEN(TRIM(C462))&gt;0</formula>
    </cfRule>
  </conditionalFormatting>
  <conditionalFormatting sqref="S461">
    <cfRule type="containsText" dxfId="4" priority="571" operator="containsText" text="CANCELADA">
      <formula>NOT(ISERROR(SEARCH(("CANCELADA"),(S461))))</formula>
    </cfRule>
  </conditionalFormatting>
  <conditionalFormatting sqref="S461">
    <cfRule type="containsText" dxfId="4" priority="572" operator="containsText" text="RETIRADA">
      <formula>NOT(ISERROR(SEARCH(("RETIRADA"),(S461))))</formula>
    </cfRule>
  </conditionalFormatting>
  <conditionalFormatting sqref="S461">
    <cfRule type="containsText" dxfId="4" priority="573" operator="containsText" text="DECLINADO">
      <formula>NOT(ISERROR(SEARCH(("DECLINADO"),(S461))))</formula>
    </cfRule>
  </conditionalFormatting>
  <conditionalFormatting sqref="S461">
    <cfRule type="containsText" dxfId="3" priority="574" operator="containsText" text="CARREGADO">
      <formula>NOT(ISERROR(SEARCH(("CARREGADO"),(S461))))</formula>
    </cfRule>
  </conditionalFormatting>
  <conditionalFormatting sqref="A461">
    <cfRule type="cellIs" dxfId="1" priority="575" operator="greaterThan">
      <formula>100000000</formula>
    </cfRule>
  </conditionalFormatting>
  <conditionalFormatting sqref="A461">
    <cfRule type="expression" dxfId="0" priority="576">
      <formula>COUNTIF(#REF!,A461)&gt;1</formula>
    </cfRule>
  </conditionalFormatting>
  <conditionalFormatting sqref="C461">
    <cfRule type="notContainsBlanks" dxfId="2" priority="577">
      <formula>LEN(TRIM(C461))&gt;0</formula>
    </cfRule>
  </conditionalFormatting>
  <conditionalFormatting sqref="C461">
    <cfRule type="notContainsBlanks" dxfId="2" priority="578">
      <formula>LEN(TRIM(C461))&gt;0</formula>
    </cfRule>
  </conditionalFormatting>
  <conditionalFormatting sqref="S459:S460">
    <cfRule type="containsText" dxfId="3" priority="579" operator="containsText" text="CARREGADO">
      <formula>NOT(ISERROR(SEARCH(("CARREGADO"),(S459))))</formula>
    </cfRule>
  </conditionalFormatting>
  <conditionalFormatting sqref="S459:S460">
    <cfRule type="containsText" dxfId="4" priority="580" operator="containsText" text="DECLINADO">
      <formula>NOT(ISERROR(SEARCH(("DECLINADO"),(S459))))</formula>
    </cfRule>
  </conditionalFormatting>
  <conditionalFormatting sqref="S459:S460">
    <cfRule type="containsText" dxfId="4" priority="581" operator="containsText" text="RETIRADA">
      <formula>NOT(ISERROR(SEARCH(("RETIRADA"),(S459))))</formula>
    </cfRule>
  </conditionalFormatting>
  <conditionalFormatting sqref="S459:S460">
    <cfRule type="containsText" dxfId="4" priority="582" operator="containsText" text="CANCELADA">
      <formula>NOT(ISERROR(SEARCH(("CANCELADA"),(S459))))</formula>
    </cfRule>
  </conditionalFormatting>
  <conditionalFormatting sqref="A459:A460">
    <cfRule type="expression" dxfId="0" priority="583">
      <formula>COUNTIF(#REF!,A459)&gt;1</formula>
    </cfRule>
  </conditionalFormatting>
  <conditionalFormatting sqref="A459:A460">
    <cfRule type="cellIs" dxfId="1" priority="584" operator="greaterThan">
      <formula>100000000</formula>
    </cfRule>
  </conditionalFormatting>
  <conditionalFormatting sqref="C459:C460">
    <cfRule type="notContainsBlanks" dxfId="2" priority="585">
      <formula>LEN(TRIM(C459))&gt;0</formula>
    </cfRule>
  </conditionalFormatting>
  <conditionalFormatting sqref="C459:C460">
    <cfRule type="notContainsBlanks" dxfId="2" priority="586">
      <formula>LEN(TRIM(C459))&gt;0</formula>
    </cfRule>
  </conditionalFormatting>
  <conditionalFormatting sqref="S454">
    <cfRule type="containsText" dxfId="4" priority="587" operator="containsText" text="CANCELADA">
      <formula>NOT(ISERROR(SEARCH(("CANCELADA"),(S454))))</formula>
    </cfRule>
  </conditionalFormatting>
  <conditionalFormatting sqref="S454">
    <cfRule type="containsText" dxfId="4" priority="588" operator="containsText" text="RETIRADA">
      <formula>NOT(ISERROR(SEARCH(("RETIRADA"),(S454))))</formula>
    </cfRule>
  </conditionalFormatting>
  <conditionalFormatting sqref="S454">
    <cfRule type="containsText" dxfId="4" priority="589" operator="containsText" text="DECLINADO">
      <formula>NOT(ISERROR(SEARCH(("DECLINADO"),(S454))))</formula>
    </cfRule>
  </conditionalFormatting>
  <conditionalFormatting sqref="S454">
    <cfRule type="containsText" dxfId="3" priority="590" operator="containsText" text="CARREGADO">
      <formula>NOT(ISERROR(SEARCH(("CARREGADO"),(S454))))</formula>
    </cfRule>
  </conditionalFormatting>
  <conditionalFormatting sqref="A454">
    <cfRule type="cellIs" dxfId="1" priority="591" operator="greaterThan">
      <formula>100000000</formula>
    </cfRule>
  </conditionalFormatting>
  <conditionalFormatting sqref="A454">
    <cfRule type="expression" dxfId="0" priority="592">
      <formula>COUNTIF(#REF!,A454)&gt;1</formula>
    </cfRule>
  </conditionalFormatting>
  <conditionalFormatting sqref="C454">
    <cfRule type="notContainsBlanks" dxfId="2" priority="593">
      <formula>LEN(TRIM(C454))&gt;0</formula>
    </cfRule>
  </conditionalFormatting>
  <conditionalFormatting sqref="C454">
    <cfRule type="notContainsBlanks" dxfId="2" priority="594">
      <formula>LEN(TRIM(C454))&gt;0</formula>
    </cfRule>
  </conditionalFormatting>
  <conditionalFormatting sqref="S451:S453">
    <cfRule type="containsText" dxfId="4" priority="595" operator="containsText" text="CANCELADA">
      <formula>NOT(ISERROR(SEARCH(("CANCELADA"),(S451))))</formula>
    </cfRule>
  </conditionalFormatting>
  <conditionalFormatting sqref="S451:S453">
    <cfRule type="containsText" dxfId="4" priority="596" operator="containsText" text="RETIRADA">
      <formula>NOT(ISERROR(SEARCH(("RETIRADA"),(S451))))</formula>
    </cfRule>
  </conditionalFormatting>
  <conditionalFormatting sqref="S451:S453">
    <cfRule type="containsText" dxfId="4" priority="597" operator="containsText" text="DECLINADO">
      <formula>NOT(ISERROR(SEARCH(("DECLINADO"),(S451))))</formula>
    </cfRule>
  </conditionalFormatting>
  <conditionalFormatting sqref="S451:S453">
    <cfRule type="containsText" dxfId="3" priority="598" operator="containsText" text="CARREGADO">
      <formula>NOT(ISERROR(SEARCH(("CARREGADO"),(S451))))</formula>
    </cfRule>
  </conditionalFormatting>
  <conditionalFormatting sqref="C451:C453">
    <cfRule type="notContainsBlanks" dxfId="2" priority="599">
      <formula>LEN(TRIM(C451))&gt;0</formula>
    </cfRule>
  </conditionalFormatting>
  <conditionalFormatting sqref="C451:C453">
    <cfRule type="notContainsBlanks" dxfId="2" priority="600">
      <formula>LEN(TRIM(C451))&gt;0</formula>
    </cfRule>
  </conditionalFormatting>
  <conditionalFormatting sqref="A451:A453">
    <cfRule type="cellIs" dxfId="1" priority="601" operator="greaterThan">
      <formula>100000000</formula>
    </cfRule>
  </conditionalFormatting>
  <conditionalFormatting sqref="A451:A453">
    <cfRule type="expression" dxfId="0" priority="602">
      <formula>COUNTIF(#REF!,A451)&gt;1</formula>
    </cfRule>
  </conditionalFormatting>
  <conditionalFormatting sqref="S450">
    <cfRule type="containsText" dxfId="4" priority="603" operator="containsText" text="CANCELADA">
      <formula>NOT(ISERROR(SEARCH(("CANCELADA"),(S450))))</formula>
    </cfRule>
  </conditionalFormatting>
  <conditionalFormatting sqref="S450">
    <cfRule type="containsText" dxfId="4" priority="604" operator="containsText" text="RETIRADA">
      <formula>NOT(ISERROR(SEARCH(("RETIRADA"),(S450))))</formula>
    </cfRule>
  </conditionalFormatting>
  <conditionalFormatting sqref="S450">
    <cfRule type="containsText" dxfId="4" priority="605" operator="containsText" text="DECLINADO">
      <formula>NOT(ISERROR(SEARCH(("DECLINADO"),(S450))))</formula>
    </cfRule>
  </conditionalFormatting>
  <conditionalFormatting sqref="S450">
    <cfRule type="containsText" dxfId="3" priority="606" operator="containsText" text="CARREGADO">
      <formula>NOT(ISERROR(SEARCH(("CARREGADO"),(S450))))</formula>
    </cfRule>
  </conditionalFormatting>
  <conditionalFormatting sqref="C450">
    <cfRule type="notContainsBlanks" dxfId="2" priority="607">
      <formula>LEN(TRIM(C450))&gt;0</formula>
    </cfRule>
  </conditionalFormatting>
  <conditionalFormatting sqref="C450">
    <cfRule type="notContainsBlanks" dxfId="2" priority="608">
      <formula>LEN(TRIM(C450))&gt;0</formula>
    </cfRule>
  </conditionalFormatting>
  <conditionalFormatting sqref="A450">
    <cfRule type="expression" dxfId="0" priority="609">
      <formula>COUNTIF(#REF!,A450)&gt;1</formula>
    </cfRule>
  </conditionalFormatting>
  <conditionalFormatting sqref="A450">
    <cfRule type="cellIs" dxfId="1" priority="610" operator="greaterThan">
      <formula>100000000</formula>
    </cfRule>
  </conditionalFormatting>
  <conditionalFormatting sqref="S449">
    <cfRule type="containsText" dxfId="3" priority="611" operator="containsText" text="CARREGADO">
      <formula>NOT(ISERROR(SEARCH(("CARREGADO"),(S449))))</formula>
    </cfRule>
  </conditionalFormatting>
  <conditionalFormatting sqref="S449">
    <cfRule type="containsText" dxfId="4" priority="612" operator="containsText" text="DECLINADO">
      <formula>NOT(ISERROR(SEARCH(("DECLINADO"),(S449))))</formula>
    </cfRule>
  </conditionalFormatting>
  <conditionalFormatting sqref="S449">
    <cfRule type="containsText" dxfId="4" priority="613" operator="containsText" text="RETIRADA">
      <formula>NOT(ISERROR(SEARCH(("RETIRADA"),(S449))))</formula>
    </cfRule>
  </conditionalFormatting>
  <conditionalFormatting sqref="S449">
    <cfRule type="containsText" dxfId="4" priority="614" operator="containsText" text="CANCELADA">
      <formula>NOT(ISERROR(SEARCH(("CANCELADA"),(S449))))</formula>
    </cfRule>
  </conditionalFormatting>
  <conditionalFormatting sqref="A449">
    <cfRule type="expression" dxfId="0" priority="615">
      <formula>COUNTIF(#REF!,A449)&gt;1</formula>
    </cfRule>
  </conditionalFormatting>
  <conditionalFormatting sqref="A449">
    <cfRule type="cellIs" dxfId="1" priority="616" operator="greaterThan">
      <formula>100000000</formula>
    </cfRule>
  </conditionalFormatting>
  <conditionalFormatting sqref="C449">
    <cfRule type="notContainsBlanks" dxfId="2" priority="617">
      <formula>LEN(TRIM(C449))&gt;0</formula>
    </cfRule>
  </conditionalFormatting>
  <conditionalFormatting sqref="C449">
    <cfRule type="notContainsBlanks" dxfId="2" priority="618">
      <formula>LEN(TRIM(C449))&gt;0</formula>
    </cfRule>
  </conditionalFormatting>
  <conditionalFormatting sqref="S448">
    <cfRule type="containsText" dxfId="3" priority="619" operator="containsText" text="CARREGADO">
      <formula>NOT(ISERROR(SEARCH(("CARREGADO"),(S448))))</formula>
    </cfRule>
  </conditionalFormatting>
  <conditionalFormatting sqref="S448">
    <cfRule type="containsText" dxfId="4" priority="620" operator="containsText" text="DECLINADO">
      <formula>NOT(ISERROR(SEARCH(("DECLINADO"),(S448))))</formula>
    </cfRule>
  </conditionalFormatting>
  <conditionalFormatting sqref="S448">
    <cfRule type="containsText" dxfId="4" priority="621" operator="containsText" text="RETIRADA">
      <formula>NOT(ISERROR(SEARCH(("RETIRADA"),(S448))))</formula>
    </cfRule>
  </conditionalFormatting>
  <conditionalFormatting sqref="S448">
    <cfRule type="containsText" dxfId="4" priority="622" operator="containsText" text="CANCELADA">
      <formula>NOT(ISERROR(SEARCH(("CANCELADA"),(S448))))</formula>
    </cfRule>
  </conditionalFormatting>
  <conditionalFormatting sqref="A448">
    <cfRule type="expression" dxfId="0" priority="623">
      <formula>COUNTIF(#REF!,A448)&gt;1</formula>
    </cfRule>
  </conditionalFormatting>
  <conditionalFormatting sqref="A448">
    <cfRule type="cellIs" dxfId="1" priority="624" operator="greaterThan">
      <formula>100000000</formula>
    </cfRule>
  </conditionalFormatting>
  <conditionalFormatting sqref="C448">
    <cfRule type="notContainsBlanks" dxfId="2" priority="625">
      <formula>LEN(TRIM(C448))&gt;0</formula>
    </cfRule>
  </conditionalFormatting>
  <conditionalFormatting sqref="C448">
    <cfRule type="notContainsBlanks" dxfId="2" priority="626">
      <formula>LEN(TRIM(C448))&gt;0</formula>
    </cfRule>
  </conditionalFormatting>
  <conditionalFormatting sqref="S447">
    <cfRule type="containsText" dxfId="3" priority="627" operator="containsText" text="CARREGADO">
      <formula>NOT(ISERROR(SEARCH(("CARREGADO"),(S447))))</formula>
    </cfRule>
  </conditionalFormatting>
  <conditionalFormatting sqref="S447">
    <cfRule type="containsText" dxfId="4" priority="628" operator="containsText" text="DECLINADO">
      <formula>NOT(ISERROR(SEARCH(("DECLINADO"),(S447))))</formula>
    </cfRule>
  </conditionalFormatting>
  <conditionalFormatting sqref="S447">
    <cfRule type="containsText" dxfId="4" priority="629" operator="containsText" text="RETIRADA">
      <formula>NOT(ISERROR(SEARCH(("RETIRADA"),(S447))))</formula>
    </cfRule>
  </conditionalFormatting>
  <conditionalFormatting sqref="S447">
    <cfRule type="containsText" dxfId="4" priority="630" operator="containsText" text="CANCELADA">
      <formula>NOT(ISERROR(SEARCH(("CANCELADA"),(S447))))</formula>
    </cfRule>
  </conditionalFormatting>
  <conditionalFormatting sqref="A447">
    <cfRule type="expression" dxfId="0" priority="631">
      <formula>COUNTIF(#REF!,A447)&gt;1</formula>
    </cfRule>
  </conditionalFormatting>
  <conditionalFormatting sqref="A447">
    <cfRule type="cellIs" dxfId="1" priority="632" operator="greaterThan">
      <formula>100000000</formula>
    </cfRule>
  </conditionalFormatting>
  <conditionalFormatting sqref="C447">
    <cfRule type="notContainsBlanks" dxfId="2" priority="633">
      <formula>LEN(TRIM(C447))&gt;0</formula>
    </cfRule>
  </conditionalFormatting>
  <conditionalFormatting sqref="C447">
    <cfRule type="notContainsBlanks" dxfId="2" priority="634">
      <formula>LEN(TRIM(C447))&gt;0</formula>
    </cfRule>
  </conditionalFormatting>
  <conditionalFormatting sqref="S443:S446">
    <cfRule type="containsText" dxfId="3" priority="635" operator="containsText" text="CARREGADO">
      <formula>NOT(ISERROR(SEARCH(("CARREGADO"),(S443))))</formula>
    </cfRule>
  </conditionalFormatting>
  <conditionalFormatting sqref="S443:S446">
    <cfRule type="containsText" dxfId="4" priority="636" operator="containsText" text="DECLINADO">
      <formula>NOT(ISERROR(SEARCH(("DECLINADO"),(S443))))</formula>
    </cfRule>
  </conditionalFormatting>
  <conditionalFormatting sqref="S443:S446">
    <cfRule type="containsText" dxfId="4" priority="637" operator="containsText" text="RETIRADA">
      <formula>NOT(ISERROR(SEARCH(("RETIRADA"),(S443))))</formula>
    </cfRule>
  </conditionalFormatting>
  <conditionalFormatting sqref="S443:S446">
    <cfRule type="containsText" dxfId="4" priority="638" operator="containsText" text="CANCELADA">
      <formula>NOT(ISERROR(SEARCH(("CANCELADA"),(S443))))</formula>
    </cfRule>
  </conditionalFormatting>
  <conditionalFormatting sqref="A443:A446">
    <cfRule type="expression" dxfId="0" priority="639">
      <formula>COUNTIF(#REF!,A443)&gt;1</formula>
    </cfRule>
  </conditionalFormatting>
  <conditionalFormatting sqref="A443:A446">
    <cfRule type="cellIs" dxfId="1" priority="640" operator="greaterThan">
      <formula>100000000</formula>
    </cfRule>
  </conditionalFormatting>
  <conditionalFormatting sqref="C443:C446">
    <cfRule type="notContainsBlanks" dxfId="2" priority="641">
      <formula>LEN(TRIM(C443))&gt;0</formula>
    </cfRule>
  </conditionalFormatting>
  <conditionalFormatting sqref="C443:C446">
    <cfRule type="notContainsBlanks" dxfId="2" priority="642">
      <formula>LEN(TRIM(C443))&gt;0</formula>
    </cfRule>
  </conditionalFormatting>
  <conditionalFormatting sqref="S442">
    <cfRule type="containsText" dxfId="4" priority="643" operator="containsText" text="CANCELADA">
      <formula>NOT(ISERROR(SEARCH(("CANCELADA"),(S442))))</formula>
    </cfRule>
  </conditionalFormatting>
  <conditionalFormatting sqref="S442">
    <cfRule type="containsText" dxfId="4" priority="644" operator="containsText" text="RETIRADA">
      <formula>NOT(ISERROR(SEARCH(("RETIRADA"),(S442))))</formula>
    </cfRule>
  </conditionalFormatting>
  <conditionalFormatting sqref="S442">
    <cfRule type="containsText" dxfId="4" priority="645" operator="containsText" text="DECLINADO">
      <formula>NOT(ISERROR(SEARCH(("DECLINADO"),(S442))))</formula>
    </cfRule>
  </conditionalFormatting>
  <conditionalFormatting sqref="S442">
    <cfRule type="containsText" dxfId="3" priority="646" operator="containsText" text="CARREGADO">
      <formula>NOT(ISERROR(SEARCH(("CARREGADO"),(S442))))</formula>
    </cfRule>
  </conditionalFormatting>
  <conditionalFormatting sqref="C442">
    <cfRule type="notContainsBlanks" dxfId="2" priority="647">
      <formula>LEN(TRIM(C442))&gt;0</formula>
    </cfRule>
  </conditionalFormatting>
  <conditionalFormatting sqref="C442">
    <cfRule type="notContainsBlanks" dxfId="2" priority="648">
      <formula>LEN(TRIM(C442))&gt;0</formula>
    </cfRule>
  </conditionalFormatting>
  <conditionalFormatting sqref="A442">
    <cfRule type="cellIs" dxfId="1" priority="649" operator="greaterThan">
      <formula>100000000</formula>
    </cfRule>
  </conditionalFormatting>
  <conditionalFormatting sqref="A442">
    <cfRule type="expression" dxfId="0" priority="650">
      <formula>COUNTIF(#REF!,A442)&gt;1</formula>
    </cfRule>
  </conditionalFormatting>
  <conditionalFormatting sqref="S441">
    <cfRule type="containsText" dxfId="4" priority="651" operator="containsText" text="CANCELADA">
      <formula>NOT(ISERROR(SEARCH(("CANCELADA"),(S441))))</formula>
    </cfRule>
  </conditionalFormatting>
  <conditionalFormatting sqref="S441">
    <cfRule type="containsText" dxfId="4" priority="652" operator="containsText" text="RETIRADA">
      <formula>NOT(ISERROR(SEARCH(("RETIRADA"),(S441))))</formula>
    </cfRule>
  </conditionalFormatting>
  <conditionalFormatting sqref="S441">
    <cfRule type="containsText" dxfId="4" priority="653" operator="containsText" text="DECLINADO">
      <formula>NOT(ISERROR(SEARCH(("DECLINADO"),(S441))))</formula>
    </cfRule>
  </conditionalFormatting>
  <conditionalFormatting sqref="S441">
    <cfRule type="containsText" dxfId="3" priority="654" operator="containsText" text="CARREGADO">
      <formula>NOT(ISERROR(SEARCH(("CARREGADO"),(S441))))</formula>
    </cfRule>
  </conditionalFormatting>
  <conditionalFormatting sqref="C441">
    <cfRule type="notContainsBlanks" dxfId="2" priority="655">
      <formula>LEN(TRIM(C441))&gt;0</formula>
    </cfRule>
  </conditionalFormatting>
  <conditionalFormatting sqref="C441">
    <cfRule type="notContainsBlanks" dxfId="2" priority="656">
      <formula>LEN(TRIM(C441))&gt;0</formula>
    </cfRule>
  </conditionalFormatting>
  <conditionalFormatting sqref="A441">
    <cfRule type="cellIs" dxfId="1" priority="657" operator="greaterThan">
      <formula>100000000</formula>
    </cfRule>
  </conditionalFormatting>
  <conditionalFormatting sqref="A441">
    <cfRule type="expression" dxfId="0" priority="658">
      <formula>COUNTIF(#REF!,A441)&gt;1</formula>
    </cfRule>
  </conditionalFormatting>
  <conditionalFormatting sqref="S440">
    <cfRule type="containsText" dxfId="4" priority="659" operator="containsText" text="CANCELADA">
      <formula>NOT(ISERROR(SEARCH(("CANCELADA"),(S440))))</formula>
    </cfRule>
  </conditionalFormatting>
  <conditionalFormatting sqref="S440">
    <cfRule type="containsText" dxfId="4" priority="660" operator="containsText" text="RETIRADA">
      <formula>NOT(ISERROR(SEARCH(("RETIRADA"),(S440))))</formula>
    </cfRule>
  </conditionalFormatting>
  <conditionalFormatting sqref="S440">
    <cfRule type="containsText" dxfId="4" priority="661" operator="containsText" text="DECLINADO">
      <formula>NOT(ISERROR(SEARCH(("DECLINADO"),(S440))))</formula>
    </cfRule>
  </conditionalFormatting>
  <conditionalFormatting sqref="S440">
    <cfRule type="containsText" dxfId="3" priority="662" operator="containsText" text="CARREGADO">
      <formula>NOT(ISERROR(SEARCH(("CARREGADO"),(S440))))</formula>
    </cfRule>
  </conditionalFormatting>
  <conditionalFormatting sqref="C440">
    <cfRule type="notContainsBlanks" dxfId="2" priority="663">
      <formula>LEN(TRIM(C440))&gt;0</formula>
    </cfRule>
  </conditionalFormatting>
  <conditionalFormatting sqref="C440">
    <cfRule type="notContainsBlanks" dxfId="2" priority="664">
      <formula>LEN(TRIM(C440))&gt;0</formula>
    </cfRule>
  </conditionalFormatting>
  <conditionalFormatting sqref="A440">
    <cfRule type="cellIs" dxfId="1" priority="665" operator="greaterThan">
      <formula>100000000</formula>
    </cfRule>
  </conditionalFormatting>
  <conditionalFormatting sqref="A440">
    <cfRule type="expression" dxfId="0" priority="666">
      <formula>COUNTIF(#REF!,A440)&gt;1</formula>
    </cfRule>
  </conditionalFormatting>
  <conditionalFormatting sqref="S439">
    <cfRule type="containsText" dxfId="4" priority="667" operator="containsText" text="CANCELADA">
      <formula>NOT(ISERROR(SEARCH(("CANCELADA"),(S439))))</formula>
    </cfRule>
  </conditionalFormatting>
  <conditionalFormatting sqref="S439">
    <cfRule type="containsText" dxfId="4" priority="668" operator="containsText" text="RETIRADA">
      <formula>NOT(ISERROR(SEARCH(("RETIRADA"),(S439))))</formula>
    </cfRule>
  </conditionalFormatting>
  <conditionalFormatting sqref="S439">
    <cfRule type="containsText" dxfId="4" priority="669" operator="containsText" text="DECLINADO">
      <formula>NOT(ISERROR(SEARCH(("DECLINADO"),(S439))))</formula>
    </cfRule>
  </conditionalFormatting>
  <conditionalFormatting sqref="S439">
    <cfRule type="containsText" dxfId="3" priority="670" operator="containsText" text="CARREGADO">
      <formula>NOT(ISERROR(SEARCH(("CARREGADO"),(S439))))</formula>
    </cfRule>
  </conditionalFormatting>
  <conditionalFormatting sqref="C439">
    <cfRule type="notContainsBlanks" dxfId="2" priority="671">
      <formula>LEN(TRIM(C439))&gt;0</formula>
    </cfRule>
  </conditionalFormatting>
  <conditionalFormatting sqref="C439">
    <cfRule type="notContainsBlanks" dxfId="2" priority="672">
      <formula>LEN(TRIM(C439))&gt;0</formula>
    </cfRule>
  </conditionalFormatting>
  <conditionalFormatting sqref="A439">
    <cfRule type="cellIs" dxfId="1" priority="673" operator="greaterThan">
      <formula>100000000</formula>
    </cfRule>
  </conditionalFormatting>
  <conditionalFormatting sqref="A439">
    <cfRule type="expression" dxfId="0" priority="674">
      <formula>COUNTIF(#REF!,A439)&gt;1</formula>
    </cfRule>
  </conditionalFormatting>
  <conditionalFormatting sqref="S438">
    <cfRule type="containsText" dxfId="4" priority="675" operator="containsText" text="CANCELADA">
      <formula>NOT(ISERROR(SEARCH(("CANCELADA"),(S438))))</formula>
    </cfRule>
  </conditionalFormatting>
  <conditionalFormatting sqref="S438">
    <cfRule type="containsText" dxfId="4" priority="676" operator="containsText" text="RETIRADA">
      <formula>NOT(ISERROR(SEARCH(("RETIRADA"),(S438))))</formula>
    </cfRule>
  </conditionalFormatting>
  <conditionalFormatting sqref="S438">
    <cfRule type="containsText" dxfId="4" priority="677" operator="containsText" text="DECLINADO">
      <formula>NOT(ISERROR(SEARCH(("DECLINADO"),(S438))))</formula>
    </cfRule>
  </conditionalFormatting>
  <conditionalFormatting sqref="S438">
    <cfRule type="containsText" dxfId="3" priority="678" operator="containsText" text="CARREGADO">
      <formula>NOT(ISERROR(SEARCH(("CARREGADO"),(S438))))</formula>
    </cfRule>
  </conditionalFormatting>
  <conditionalFormatting sqref="C438">
    <cfRule type="notContainsBlanks" dxfId="2" priority="679">
      <formula>LEN(TRIM(C438))&gt;0</formula>
    </cfRule>
  </conditionalFormatting>
  <conditionalFormatting sqref="C438">
    <cfRule type="notContainsBlanks" dxfId="2" priority="680">
      <formula>LEN(TRIM(C438))&gt;0</formula>
    </cfRule>
  </conditionalFormatting>
  <conditionalFormatting sqref="A438">
    <cfRule type="cellIs" dxfId="1" priority="681" operator="greaterThan">
      <formula>100000000</formula>
    </cfRule>
  </conditionalFormatting>
  <conditionalFormatting sqref="A438">
    <cfRule type="expression" dxfId="0" priority="682">
      <formula>COUNTIF(#REF!,A438)&gt;1</formula>
    </cfRule>
  </conditionalFormatting>
  <conditionalFormatting sqref="S437">
    <cfRule type="containsText" dxfId="3" priority="683" operator="containsText" text="CARREGADO">
      <formula>NOT(ISERROR(SEARCH(("CARREGADO"),(S437))))</formula>
    </cfRule>
  </conditionalFormatting>
  <conditionalFormatting sqref="S437">
    <cfRule type="containsText" dxfId="4" priority="684" operator="containsText" text="DECLINADO">
      <formula>NOT(ISERROR(SEARCH(("DECLINADO"),(S437))))</formula>
    </cfRule>
  </conditionalFormatting>
  <conditionalFormatting sqref="S437">
    <cfRule type="containsText" dxfId="4" priority="685" operator="containsText" text="RETIRADA">
      <formula>NOT(ISERROR(SEARCH(("RETIRADA"),(S437))))</formula>
    </cfRule>
  </conditionalFormatting>
  <conditionalFormatting sqref="S437">
    <cfRule type="containsText" dxfId="4" priority="686" operator="containsText" text="CANCELADA">
      <formula>NOT(ISERROR(SEARCH(("CANCELADA"),(S437))))</formula>
    </cfRule>
  </conditionalFormatting>
  <conditionalFormatting sqref="A437">
    <cfRule type="expression" dxfId="0" priority="687">
      <formula>COUNTIF(#REF!,A437)&gt;1</formula>
    </cfRule>
  </conditionalFormatting>
  <conditionalFormatting sqref="A437">
    <cfRule type="cellIs" dxfId="1" priority="688" operator="greaterThan">
      <formula>100000000</formula>
    </cfRule>
  </conditionalFormatting>
  <conditionalFormatting sqref="C437">
    <cfRule type="notContainsBlanks" dxfId="2" priority="689">
      <formula>LEN(TRIM(C437))&gt;0</formula>
    </cfRule>
  </conditionalFormatting>
  <conditionalFormatting sqref="C437">
    <cfRule type="notContainsBlanks" dxfId="2" priority="690">
      <formula>LEN(TRIM(C437))&gt;0</formula>
    </cfRule>
  </conditionalFormatting>
  <conditionalFormatting sqref="S436">
    <cfRule type="containsText" dxfId="4" priority="691" operator="containsText" text="CANCELADA">
      <formula>NOT(ISERROR(SEARCH(("CANCELADA"),(S436))))</formula>
    </cfRule>
  </conditionalFormatting>
  <conditionalFormatting sqref="S436">
    <cfRule type="containsText" dxfId="4" priority="692" operator="containsText" text="RETIRADA">
      <formula>NOT(ISERROR(SEARCH(("RETIRADA"),(S436))))</formula>
    </cfRule>
  </conditionalFormatting>
  <conditionalFormatting sqref="S436">
    <cfRule type="containsText" dxfId="4" priority="693" operator="containsText" text="DECLINADO">
      <formula>NOT(ISERROR(SEARCH(("DECLINADO"),(S436))))</formula>
    </cfRule>
  </conditionalFormatting>
  <conditionalFormatting sqref="S436">
    <cfRule type="containsText" dxfId="3" priority="694" operator="containsText" text="CARREGADO">
      <formula>NOT(ISERROR(SEARCH(("CARREGADO"),(S436))))</formula>
    </cfRule>
  </conditionalFormatting>
  <conditionalFormatting sqref="C436">
    <cfRule type="notContainsBlanks" dxfId="2" priority="695">
      <formula>LEN(TRIM(C436))&gt;0</formula>
    </cfRule>
  </conditionalFormatting>
  <conditionalFormatting sqref="C436">
    <cfRule type="notContainsBlanks" dxfId="2" priority="696">
      <formula>LEN(TRIM(C436))&gt;0</formula>
    </cfRule>
  </conditionalFormatting>
  <conditionalFormatting sqref="A436">
    <cfRule type="cellIs" dxfId="1" priority="697" operator="greaterThan">
      <formula>100000000</formula>
    </cfRule>
  </conditionalFormatting>
  <conditionalFormatting sqref="A436">
    <cfRule type="expression" dxfId="0" priority="698">
      <formula>COUNTIF(#REF!,A436)&gt;1</formula>
    </cfRule>
  </conditionalFormatting>
  <conditionalFormatting sqref="S435:S490">
    <cfRule type="containsText" dxfId="3" priority="699" operator="containsText" text="CARREGADO">
      <formula>NOT(ISERROR(SEARCH(("CARREGADO"),(S435))))</formula>
    </cfRule>
  </conditionalFormatting>
  <conditionalFormatting sqref="S435:S490">
    <cfRule type="containsText" dxfId="4" priority="700" operator="containsText" text="DECLINADO">
      <formula>NOT(ISERROR(SEARCH(("DECLINADO"),(S435))))</formula>
    </cfRule>
  </conditionalFormatting>
  <conditionalFormatting sqref="S435:S490">
    <cfRule type="containsText" dxfId="4" priority="701" operator="containsText" text="RETIRADA">
      <formula>NOT(ISERROR(SEARCH(("RETIRADA"),(S435))))</formula>
    </cfRule>
  </conditionalFormatting>
  <conditionalFormatting sqref="S435:S490">
    <cfRule type="containsText" dxfId="4" priority="702" operator="containsText" text="CANCELADA">
      <formula>NOT(ISERROR(SEARCH(("CANCELADA"),(S435))))</formula>
    </cfRule>
  </conditionalFormatting>
  <conditionalFormatting sqref="A435">
    <cfRule type="expression" dxfId="0" priority="703">
      <formula>COUNTIF(#REF!,A435)&gt;1</formula>
    </cfRule>
  </conditionalFormatting>
  <conditionalFormatting sqref="A435">
    <cfRule type="cellIs" dxfId="1" priority="704" operator="greaterThan">
      <formula>100000000</formula>
    </cfRule>
  </conditionalFormatting>
  <conditionalFormatting sqref="C435">
    <cfRule type="notContainsBlanks" dxfId="2" priority="705">
      <formula>LEN(TRIM(C435))&gt;0</formula>
    </cfRule>
  </conditionalFormatting>
  <conditionalFormatting sqref="C435">
    <cfRule type="notContainsBlanks" dxfId="2" priority="706">
      <formula>LEN(TRIM(C435))&gt;0</formula>
    </cfRule>
  </conditionalFormatting>
  <conditionalFormatting sqref="S434">
    <cfRule type="containsText" dxfId="3" priority="707" operator="containsText" text="CARREGADO">
      <formula>NOT(ISERROR(SEARCH(("CARREGADO"),(S434))))</formula>
    </cfRule>
  </conditionalFormatting>
  <conditionalFormatting sqref="S434">
    <cfRule type="containsText" dxfId="4" priority="708" operator="containsText" text="DECLINADO">
      <formula>NOT(ISERROR(SEARCH(("DECLINADO"),(S434))))</formula>
    </cfRule>
  </conditionalFormatting>
  <conditionalFormatting sqref="S434">
    <cfRule type="containsText" dxfId="4" priority="709" operator="containsText" text="RETIRADA">
      <formula>NOT(ISERROR(SEARCH(("RETIRADA"),(S434))))</formula>
    </cfRule>
  </conditionalFormatting>
  <conditionalFormatting sqref="S434">
    <cfRule type="containsText" dxfId="4" priority="710" operator="containsText" text="CANCELADA">
      <formula>NOT(ISERROR(SEARCH(("CANCELADA"),(S434))))</formula>
    </cfRule>
  </conditionalFormatting>
  <conditionalFormatting sqref="A434">
    <cfRule type="expression" dxfId="0" priority="711">
      <formula>COUNTIF(#REF!,A434)&gt;1</formula>
    </cfRule>
  </conditionalFormatting>
  <conditionalFormatting sqref="A434">
    <cfRule type="cellIs" dxfId="1" priority="712" operator="greaterThan">
      <formula>100000000</formula>
    </cfRule>
  </conditionalFormatting>
  <conditionalFormatting sqref="C434">
    <cfRule type="notContainsBlanks" dxfId="2" priority="713">
      <formula>LEN(TRIM(C434))&gt;0</formula>
    </cfRule>
  </conditionalFormatting>
  <conditionalFormatting sqref="C434">
    <cfRule type="notContainsBlanks" dxfId="2" priority="714">
      <formula>LEN(TRIM(C434))&gt;0</formula>
    </cfRule>
  </conditionalFormatting>
  <conditionalFormatting sqref="S429:S490">
    <cfRule type="containsText" dxfId="3" priority="715" operator="containsText" text="CARREGADO">
      <formula>NOT(ISERROR(SEARCH(("CARREGADO"),(S429))))</formula>
    </cfRule>
  </conditionalFormatting>
  <conditionalFormatting sqref="S429:S490">
    <cfRule type="containsText" dxfId="4" priority="716" operator="containsText" text="DECLINADO">
      <formula>NOT(ISERROR(SEARCH(("DECLINADO"),(S429))))</formula>
    </cfRule>
  </conditionalFormatting>
  <conditionalFormatting sqref="S429:S490">
    <cfRule type="containsText" dxfId="4" priority="717" operator="containsText" text="RETIRADA">
      <formula>NOT(ISERROR(SEARCH(("RETIRADA"),(S429))))</formula>
    </cfRule>
  </conditionalFormatting>
  <conditionalFormatting sqref="S429:S490">
    <cfRule type="containsText" dxfId="4" priority="718" operator="containsText" text="CANCELADA">
      <formula>NOT(ISERROR(SEARCH(("CANCELADA"),(S429))))</formula>
    </cfRule>
  </conditionalFormatting>
  <conditionalFormatting sqref="A429:A433">
    <cfRule type="expression" dxfId="0" priority="719">
      <formula>COUNTIF(#REF!,A429)&gt;1</formula>
    </cfRule>
  </conditionalFormatting>
  <conditionalFormatting sqref="A429:A433">
    <cfRule type="cellIs" dxfId="1" priority="720" operator="greaterThan">
      <formula>100000000</formula>
    </cfRule>
  </conditionalFormatting>
  <conditionalFormatting sqref="C429:C433">
    <cfRule type="notContainsBlanks" dxfId="2" priority="721">
      <formula>LEN(TRIM(C429))&gt;0</formula>
    </cfRule>
  </conditionalFormatting>
  <conditionalFormatting sqref="C429:C433">
    <cfRule type="notContainsBlanks" dxfId="2" priority="722">
      <formula>LEN(TRIM(C429))&gt;0</formula>
    </cfRule>
  </conditionalFormatting>
  <conditionalFormatting sqref="S415:S428">
    <cfRule type="containsText" dxfId="4" priority="723" operator="containsText" text="CANCELADA">
      <formula>NOT(ISERROR(SEARCH(("CANCELADA"),(S415))))</formula>
    </cfRule>
  </conditionalFormatting>
  <conditionalFormatting sqref="S415:S428">
    <cfRule type="containsText" dxfId="4" priority="724" operator="containsText" text="RETIRADA">
      <formula>NOT(ISERROR(SEARCH(("RETIRADA"),(S415))))</formula>
    </cfRule>
  </conditionalFormatting>
  <conditionalFormatting sqref="S415:S428">
    <cfRule type="containsText" dxfId="4" priority="725" operator="containsText" text="DECLINADO">
      <formula>NOT(ISERROR(SEARCH(("DECLINADO"),(S415))))</formula>
    </cfRule>
  </conditionalFormatting>
  <conditionalFormatting sqref="S415:S428">
    <cfRule type="containsText" dxfId="3" priority="726" operator="containsText" text="CARREGADO">
      <formula>NOT(ISERROR(SEARCH(("CARREGADO"),(S415))))</formula>
    </cfRule>
  </conditionalFormatting>
  <conditionalFormatting sqref="C415:C419">
    <cfRule type="notContainsBlanks" dxfId="2" priority="727">
      <formula>LEN(TRIM(C415))&gt;0</formula>
    </cfRule>
  </conditionalFormatting>
  <conditionalFormatting sqref="C415:C419">
    <cfRule type="notContainsBlanks" dxfId="2" priority="728">
      <formula>LEN(TRIM(C415))&gt;0</formula>
    </cfRule>
  </conditionalFormatting>
  <conditionalFormatting sqref="A415:A419">
    <cfRule type="cellIs" dxfId="1" priority="729" operator="greaterThan">
      <formula>100000000</formula>
    </cfRule>
  </conditionalFormatting>
  <conditionalFormatting sqref="A415:A419">
    <cfRule type="expression" dxfId="0" priority="730">
      <formula>COUNTIF(#REF!,A415)&gt;1</formula>
    </cfRule>
  </conditionalFormatting>
  <conditionalFormatting sqref="C413:C414">
    <cfRule type="notContainsBlanks" dxfId="2" priority="731">
      <formula>LEN(TRIM(C413))&gt;0</formula>
    </cfRule>
  </conditionalFormatting>
  <conditionalFormatting sqref="C413">
    <cfRule type="notContainsBlanks" dxfId="2" priority="732">
      <formula>LEN(TRIM(C413))&gt;0</formula>
    </cfRule>
  </conditionalFormatting>
  <conditionalFormatting sqref="S413:S414">
    <cfRule type="containsText" dxfId="4" priority="733" operator="containsText" text="CANCELADA">
      <formula>NOT(ISERROR(SEARCH(("CANCELADA"),(S413))))</formula>
    </cfRule>
  </conditionalFormatting>
  <conditionalFormatting sqref="A413">
    <cfRule type="cellIs" dxfId="1" priority="734" operator="greaterThan">
      <formula>100000000</formula>
    </cfRule>
  </conditionalFormatting>
  <conditionalFormatting sqref="A413">
    <cfRule type="expression" dxfId="0" priority="735">
      <formula>COUNTIF(#REF!,A413)&gt;1</formula>
    </cfRule>
  </conditionalFormatting>
  <conditionalFormatting sqref="S413:S414">
    <cfRule type="containsText" dxfId="4" priority="736" operator="containsText" text="RETIRADA">
      <formula>NOT(ISERROR(SEARCH(("RETIRADA"),(S413))))</formula>
    </cfRule>
  </conditionalFormatting>
  <conditionalFormatting sqref="S413:S414">
    <cfRule type="containsText" dxfId="4" priority="737" operator="containsText" text="DECLINADO">
      <formula>NOT(ISERROR(SEARCH(("DECLINADO"),(S413))))</formula>
    </cfRule>
  </conditionalFormatting>
  <conditionalFormatting sqref="S413:S414">
    <cfRule type="containsText" dxfId="3" priority="738" operator="containsText" text="CARREGADO">
      <formula>NOT(ISERROR(SEARCH(("CARREGADO"),(S413))))</formula>
    </cfRule>
  </conditionalFormatting>
  <conditionalFormatting sqref="S412">
    <cfRule type="containsText" dxfId="4" priority="739" operator="containsText" text="CANCELADA">
      <formula>NOT(ISERROR(SEARCH(("CANCELADA"),(S412))))</formula>
    </cfRule>
  </conditionalFormatting>
  <conditionalFormatting sqref="S412">
    <cfRule type="containsText" dxfId="4" priority="740" operator="containsText" text="RETIRADA">
      <formula>NOT(ISERROR(SEARCH(("RETIRADA"),(S412))))</formula>
    </cfRule>
  </conditionalFormatting>
  <conditionalFormatting sqref="S412">
    <cfRule type="containsText" dxfId="4" priority="741" operator="containsText" text="DECLINADO">
      <formula>NOT(ISERROR(SEARCH(("DECLINADO"),(S412))))</formula>
    </cfRule>
  </conditionalFormatting>
  <conditionalFormatting sqref="S412">
    <cfRule type="containsText" dxfId="3" priority="742" operator="containsText" text="CARREGADO">
      <formula>NOT(ISERROR(SEARCH(("CARREGADO"),(S412))))</formula>
    </cfRule>
  </conditionalFormatting>
  <conditionalFormatting sqref="C412">
    <cfRule type="notContainsBlanks" dxfId="2" priority="743">
      <formula>LEN(TRIM(C412))&gt;0</formula>
    </cfRule>
  </conditionalFormatting>
  <conditionalFormatting sqref="C412">
    <cfRule type="notContainsBlanks" dxfId="2" priority="744">
      <formula>LEN(TRIM(C412))&gt;0</formula>
    </cfRule>
  </conditionalFormatting>
  <conditionalFormatting sqref="A412">
    <cfRule type="cellIs" dxfId="1" priority="745" operator="greaterThan">
      <formula>100000000</formula>
    </cfRule>
  </conditionalFormatting>
  <conditionalFormatting sqref="A412">
    <cfRule type="expression" dxfId="0" priority="746">
      <formula>COUNTIF(#REF!,A412)&gt;1</formula>
    </cfRule>
  </conditionalFormatting>
  <conditionalFormatting sqref="S411">
    <cfRule type="containsText" dxfId="3" priority="747" operator="containsText" text="CARREGADO">
      <formula>NOT(ISERROR(SEARCH(("CARREGADO"),(S411))))</formula>
    </cfRule>
  </conditionalFormatting>
  <conditionalFormatting sqref="S411">
    <cfRule type="containsText" dxfId="4" priority="748" operator="containsText" text="DECLINADO">
      <formula>NOT(ISERROR(SEARCH(("DECLINADO"),(S411))))</formula>
    </cfRule>
  </conditionalFormatting>
  <conditionalFormatting sqref="S411">
    <cfRule type="containsText" dxfId="4" priority="749" operator="containsText" text="RETIRADA">
      <formula>NOT(ISERROR(SEARCH(("RETIRADA"),(S411))))</formula>
    </cfRule>
  </conditionalFormatting>
  <conditionalFormatting sqref="S411">
    <cfRule type="containsText" dxfId="4" priority="750" operator="containsText" text="CANCELADA">
      <formula>NOT(ISERROR(SEARCH(("CANCELADA"),(S411))))</formula>
    </cfRule>
  </conditionalFormatting>
  <conditionalFormatting sqref="A411">
    <cfRule type="expression" dxfId="0" priority="751">
      <formula>COUNTIF(#REF!,A411)&gt;1</formula>
    </cfRule>
  </conditionalFormatting>
  <conditionalFormatting sqref="A411">
    <cfRule type="cellIs" dxfId="1" priority="752" operator="greaterThan">
      <formula>100000000</formula>
    </cfRule>
  </conditionalFormatting>
  <conditionalFormatting sqref="C411">
    <cfRule type="notContainsBlanks" dxfId="2" priority="753">
      <formula>LEN(TRIM(C411))&gt;0</formula>
    </cfRule>
  </conditionalFormatting>
  <conditionalFormatting sqref="C411">
    <cfRule type="notContainsBlanks" dxfId="2" priority="754">
      <formula>LEN(TRIM(C411))&gt;0</formula>
    </cfRule>
  </conditionalFormatting>
  <conditionalFormatting sqref="C408:C410">
    <cfRule type="notContainsBlanks" dxfId="2" priority="755">
      <formula>LEN(TRIM(C408))&gt;0</formula>
    </cfRule>
  </conditionalFormatting>
  <conditionalFormatting sqref="C408">
    <cfRule type="notContainsBlanks" dxfId="2" priority="756">
      <formula>LEN(TRIM(C408))&gt;0</formula>
    </cfRule>
  </conditionalFormatting>
  <conditionalFormatting sqref="A408">
    <cfRule type="expression" dxfId="0" priority="757">
      <formula>COUNTIF(#REF!,A408)&gt;1</formula>
    </cfRule>
  </conditionalFormatting>
  <conditionalFormatting sqref="A408">
    <cfRule type="cellIs" dxfId="1" priority="758" operator="greaterThan">
      <formula>100000000</formula>
    </cfRule>
  </conditionalFormatting>
  <conditionalFormatting sqref="C407">
    <cfRule type="notContainsBlanks" dxfId="2" priority="759">
      <formula>LEN(TRIM(C407))&gt;0</formula>
    </cfRule>
  </conditionalFormatting>
  <conditionalFormatting sqref="C407">
    <cfRule type="notContainsBlanks" dxfId="2" priority="760">
      <formula>LEN(TRIM(C407))&gt;0</formula>
    </cfRule>
  </conditionalFormatting>
  <conditionalFormatting sqref="A407">
    <cfRule type="cellIs" dxfId="1" priority="761" operator="greaterThan">
      <formula>100000000</formula>
    </cfRule>
  </conditionalFormatting>
  <conditionalFormatting sqref="A407">
    <cfRule type="expression" dxfId="0" priority="762">
      <formula>COUNTIF(#REF!,A407)&gt;1</formula>
    </cfRule>
  </conditionalFormatting>
  <conditionalFormatting sqref="C406">
    <cfRule type="notContainsBlanks" dxfId="2" priority="763">
      <formula>LEN(TRIM(C406))&gt;0</formula>
    </cfRule>
  </conditionalFormatting>
  <conditionalFormatting sqref="C406">
    <cfRule type="notContainsBlanks" dxfId="2" priority="764">
      <formula>LEN(TRIM(C406))&gt;0</formula>
    </cfRule>
  </conditionalFormatting>
  <conditionalFormatting sqref="A406">
    <cfRule type="cellIs" dxfId="1" priority="765" operator="greaterThan">
      <formula>100000000</formula>
    </cfRule>
  </conditionalFormatting>
  <conditionalFormatting sqref="A406">
    <cfRule type="expression" dxfId="0" priority="766">
      <formula>COUNTIF(#REF!,A406)&gt;1</formula>
    </cfRule>
  </conditionalFormatting>
  <conditionalFormatting sqref="S402:S414">
    <cfRule type="containsText" dxfId="4" priority="767" operator="containsText" text="CANCELADA">
      <formula>NOT(ISERROR(SEARCH(("CANCELADA"),(S402))))</formula>
    </cfRule>
  </conditionalFormatting>
  <conditionalFormatting sqref="S402:S414">
    <cfRule type="containsText" dxfId="4" priority="768" operator="containsText" text="RETIRADA">
      <formula>NOT(ISERROR(SEARCH(("RETIRADA"),(S402))))</formula>
    </cfRule>
  </conditionalFormatting>
  <conditionalFormatting sqref="S402:S414">
    <cfRule type="containsText" dxfId="4" priority="769" operator="containsText" text="DECLINADO">
      <formula>NOT(ISERROR(SEARCH(("DECLINADO"),(S402))))</formula>
    </cfRule>
  </conditionalFormatting>
  <conditionalFormatting sqref="S402:S414">
    <cfRule type="containsText" dxfId="3" priority="770" operator="containsText" text="CARREGADO">
      <formula>NOT(ISERROR(SEARCH(("CARREGADO"),(S402))))</formula>
    </cfRule>
  </conditionalFormatting>
  <conditionalFormatting sqref="A402:A405">
    <cfRule type="cellIs" dxfId="1" priority="771" operator="greaterThan">
      <formula>100000000</formula>
    </cfRule>
  </conditionalFormatting>
  <conditionalFormatting sqref="A402:A405">
    <cfRule type="expression" dxfId="0" priority="772">
      <formula>COUNTIF(#REF!,A402)&gt;1</formula>
    </cfRule>
  </conditionalFormatting>
  <conditionalFormatting sqref="C402:C405">
    <cfRule type="notContainsBlanks" dxfId="2" priority="773">
      <formula>LEN(TRIM(C402))&gt;0</formula>
    </cfRule>
  </conditionalFormatting>
  <conditionalFormatting sqref="C402:C405">
    <cfRule type="notContainsBlanks" dxfId="2" priority="774">
      <formula>LEN(TRIM(C402))&gt;0</formula>
    </cfRule>
  </conditionalFormatting>
  <conditionalFormatting sqref="A400">
    <cfRule type="expression" dxfId="0" priority="775">
      <formula>COUNTIF(#REF!,A400)&gt;1</formula>
    </cfRule>
  </conditionalFormatting>
  <conditionalFormatting sqref="A400">
    <cfRule type="cellIs" dxfId="1" priority="776" operator="greaterThan">
      <formula>100000000</formula>
    </cfRule>
  </conditionalFormatting>
  <conditionalFormatting sqref="C400:C401">
    <cfRule type="notContainsBlanks" dxfId="2" priority="777">
      <formula>LEN(TRIM(C400))&gt;0</formula>
    </cfRule>
  </conditionalFormatting>
  <conditionalFormatting sqref="C400">
    <cfRule type="notContainsBlanks" dxfId="2" priority="778">
      <formula>LEN(TRIM(C400))&gt;0</formula>
    </cfRule>
  </conditionalFormatting>
  <conditionalFormatting sqref="C396:C399">
    <cfRule type="notContainsBlanks" dxfId="2" priority="779">
      <formula>LEN(TRIM(C396))&gt;0</formula>
    </cfRule>
  </conditionalFormatting>
  <conditionalFormatting sqref="C396:C399">
    <cfRule type="notContainsBlanks" dxfId="2" priority="780">
      <formula>LEN(TRIM(C396))&gt;0</formula>
    </cfRule>
  </conditionalFormatting>
  <conditionalFormatting sqref="A396:A399">
    <cfRule type="cellIs" dxfId="1" priority="781" operator="greaterThan">
      <formula>100000000</formula>
    </cfRule>
  </conditionalFormatting>
  <conditionalFormatting sqref="A396:A399">
    <cfRule type="expression" dxfId="0" priority="782">
      <formula>COUNTIF(#REF!,A396)&gt;1</formula>
    </cfRule>
  </conditionalFormatting>
  <conditionalFormatting sqref="S388:S414">
    <cfRule type="containsText" dxfId="4" priority="783" operator="containsText" text="CANCELADA">
      <formula>NOT(ISERROR(SEARCH(("CANCELADA"),(S388))))</formula>
    </cfRule>
  </conditionalFormatting>
  <conditionalFormatting sqref="S388:S414">
    <cfRule type="containsText" dxfId="4" priority="784" operator="containsText" text="RETIRADA">
      <formula>NOT(ISERROR(SEARCH(("RETIRADA"),(S388))))</formula>
    </cfRule>
  </conditionalFormatting>
  <conditionalFormatting sqref="S388:S414">
    <cfRule type="containsText" dxfId="4" priority="785" operator="containsText" text="DECLINADO">
      <formula>NOT(ISERROR(SEARCH(("DECLINADO"),(S388))))</formula>
    </cfRule>
  </conditionalFormatting>
  <conditionalFormatting sqref="S388:S414">
    <cfRule type="containsText" dxfId="3" priority="786" operator="containsText" text="CARREGADO">
      <formula>NOT(ISERROR(SEARCH(("CARREGADO"),(S388))))</formula>
    </cfRule>
  </conditionalFormatting>
  <conditionalFormatting sqref="C388:C395">
    <cfRule type="notContainsBlanks" dxfId="2" priority="787">
      <formula>LEN(TRIM(C388))&gt;0</formula>
    </cfRule>
  </conditionalFormatting>
  <conditionalFormatting sqref="C388:C395">
    <cfRule type="notContainsBlanks" dxfId="2" priority="788">
      <formula>LEN(TRIM(C388))&gt;0</formula>
    </cfRule>
  </conditionalFormatting>
  <conditionalFormatting sqref="A388:A395">
    <cfRule type="cellIs" dxfId="1" priority="789" operator="greaterThan">
      <formula>100000000</formula>
    </cfRule>
  </conditionalFormatting>
  <conditionalFormatting sqref="A388:A395">
    <cfRule type="expression" dxfId="0" priority="790">
      <formula>COUNTIF(#REF!,A388)&gt;1</formula>
    </cfRule>
  </conditionalFormatting>
  <conditionalFormatting sqref="S308:S387">
    <cfRule type="containsText" dxfId="3" priority="791" operator="containsText" text="CARREGADO">
      <formula>NOT(ISERROR(SEARCH(("CARREGADO"),(S308))))</formula>
    </cfRule>
  </conditionalFormatting>
  <conditionalFormatting sqref="S308:S387">
    <cfRule type="containsText" dxfId="4" priority="792" operator="containsText" text="DECLINADO">
      <formula>NOT(ISERROR(SEARCH(("DECLINADO"),(S308))))</formula>
    </cfRule>
  </conditionalFormatting>
  <conditionalFormatting sqref="S308:S387">
    <cfRule type="containsText" dxfId="4" priority="793" operator="containsText" text="RETIRADA">
      <formula>NOT(ISERROR(SEARCH(("RETIRADA"),(S308))))</formula>
    </cfRule>
  </conditionalFormatting>
  <conditionalFormatting sqref="S308:S387">
    <cfRule type="containsText" dxfId="4" priority="794" operator="containsText" text="CANCELADA">
      <formula>NOT(ISERROR(SEARCH(("CANCELADA"),(S308))))</formula>
    </cfRule>
  </conditionalFormatting>
  <conditionalFormatting sqref="A308:A387">
    <cfRule type="expression" dxfId="0" priority="795">
      <formula>COUNTIF(#REF!,A308)&gt;1</formula>
    </cfRule>
  </conditionalFormatting>
  <conditionalFormatting sqref="A308:A387">
    <cfRule type="cellIs" dxfId="1" priority="796" operator="greaterThan">
      <formula>100000000</formula>
    </cfRule>
  </conditionalFormatting>
  <conditionalFormatting sqref="A302:A305">
    <cfRule type="expression" dxfId="0" priority="797">
      <formula>COUNTIF(#REF!,A302)&gt;1</formula>
    </cfRule>
  </conditionalFormatting>
  <conditionalFormatting sqref="A302:A305">
    <cfRule type="cellIs" dxfId="1" priority="798" operator="greaterThan">
      <formula>100000000</formula>
    </cfRule>
  </conditionalFormatting>
  <conditionalFormatting sqref="S301">
    <cfRule type="containsText" dxfId="3" priority="799" operator="containsText" text="CARREGADO">
      <formula>NOT(ISERROR(SEARCH(("CARREGADO"),(S301))))</formula>
    </cfRule>
  </conditionalFormatting>
  <conditionalFormatting sqref="S301">
    <cfRule type="containsText" dxfId="4" priority="800" operator="containsText" text="DECLINADO">
      <formula>NOT(ISERROR(SEARCH(("DECLINADO"),(S301))))</formula>
    </cfRule>
  </conditionalFormatting>
  <conditionalFormatting sqref="S301">
    <cfRule type="containsText" dxfId="4" priority="801" operator="containsText" text="RETIRADA">
      <formula>NOT(ISERROR(SEARCH(("RETIRADA"),(S301))))</formula>
    </cfRule>
  </conditionalFormatting>
  <conditionalFormatting sqref="S301">
    <cfRule type="containsText" dxfId="4" priority="802" operator="containsText" text="CANCELADA">
      <formula>NOT(ISERROR(SEARCH(("CANCELADA"),(S301))))</formula>
    </cfRule>
  </conditionalFormatting>
  <conditionalFormatting sqref="A301">
    <cfRule type="expression" dxfId="0" priority="803">
      <formula>COUNTIF(#REF!,A301)&gt;1</formula>
    </cfRule>
  </conditionalFormatting>
  <conditionalFormatting sqref="A301">
    <cfRule type="cellIs" dxfId="1" priority="804" operator="greaterThan">
      <formula>100000000</formula>
    </cfRule>
  </conditionalFormatting>
  <conditionalFormatting sqref="A299:A300">
    <cfRule type="expression" dxfId="0" priority="805">
      <formula>COUNTIF(#REF!,A299)&gt;1</formula>
    </cfRule>
  </conditionalFormatting>
  <conditionalFormatting sqref="A299:A300">
    <cfRule type="cellIs" dxfId="1" priority="806" operator="greaterThan">
      <formula>100000000</formula>
    </cfRule>
  </conditionalFormatting>
  <conditionalFormatting sqref="A288:A298">
    <cfRule type="expression" dxfId="0" priority="807">
      <formula>COUNTIF(#REF!,A288)&gt;1</formula>
    </cfRule>
  </conditionalFormatting>
  <conditionalFormatting sqref="A288:A298">
    <cfRule type="cellIs" dxfId="1" priority="808" operator="greaterThan">
      <formula>100000000</formula>
    </cfRule>
  </conditionalFormatting>
  <conditionalFormatting sqref="S287">
    <cfRule type="containsText" dxfId="3" priority="809" operator="containsText" text="CARREGADO">
      <formula>NOT(ISERROR(SEARCH(("CARREGADO"),(S287))))</formula>
    </cfRule>
  </conditionalFormatting>
  <conditionalFormatting sqref="S287">
    <cfRule type="containsText" dxfId="4" priority="810" operator="containsText" text="DECLINADO">
      <formula>NOT(ISERROR(SEARCH(("DECLINADO"),(S287))))</formula>
    </cfRule>
  </conditionalFormatting>
  <conditionalFormatting sqref="S287">
    <cfRule type="containsText" dxfId="4" priority="811" operator="containsText" text="RETIRADA">
      <formula>NOT(ISERROR(SEARCH(("RETIRADA"),(S287))))</formula>
    </cfRule>
  </conditionalFormatting>
  <conditionalFormatting sqref="S287">
    <cfRule type="containsText" dxfId="4" priority="812" operator="containsText" text="CANCELADA">
      <formula>NOT(ISERROR(SEARCH(("CANCELADA"),(S287))))</formula>
    </cfRule>
  </conditionalFormatting>
  <conditionalFormatting sqref="A287">
    <cfRule type="expression" dxfId="0" priority="813">
      <formula>COUNTIF(#REF!,A287)&gt;1</formula>
    </cfRule>
  </conditionalFormatting>
  <conditionalFormatting sqref="A287">
    <cfRule type="cellIs" dxfId="1" priority="814" operator="greaterThan">
      <formula>100000000</formula>
    </cfRule>
  </conditionalFormatting>
  <conditionalFormatting sqref="S276:S284">
    <cfRule type="containsText" dxfId="3" priority="815" operator="containsText" text="CARREGADO">
      <formula>NOT(ISERROR(SEARCH(("CARREGADO"),(S276))))</formula>
    </cfRule>
  </conditionalFormatting>
  <conditionalFormatting sqref="S276:S284">
    <cfRule type="containsText" dxfId="4" priority="816" operator="containsText" text="DECLINADO">
      <formula>NOT(ISERROR(SEARCH(("DECLINADO"),(S276))))</formula>
    </cfRule>
  </conditionalFormatting>
  <conditionalFormatting sqref="S276:S284">
    <cfRule type="containsText" dxfId="4" priority="817" operator="containsText" text="RETIRADA">
      <formula>NOT(ISERROR(SEARCH(("RETIRADA"),(S276))))</formula>
    </cfRule>
  </conditionalFormatting>
  <conditionalFormatting sqref="S276:S284">
    <cfRule type="containsText" dxfId="4" priority="818" operator="containsText" text="CANCELADA">
      <formula>NOT(ISERROR(SEARCH(("CANCELADA"),(S276))))</formula>
    </cfRule>
  </conditionalFormatting>
  <conditionalFormatting sqref="A276">
    <cfRule type="expression" dxfId="0" priority="819">
      <formula>COUNTIF(#REF!,A276)&gt;1</formula>
    </cfRule>
  </conditionalFormatting>
  <conditionalFormatting sqref="A276">
    <cfRule type="cellIs" dxfId="1" priority="820" operator="greaterThan">
      <formula>100000000</formula>
    </cfRule>
  </conditionalFormatting>
  <conditionalFormatting sqref="A275">
    <cfRule type="expression" dxfId="0" priority="821">
      <formula>COUNTIF(#REF!,A275)&gt;1</formula>
    </cfRule>
  </conditionalFormatting>
  <conditionalFormatting sqref="A275">
    <cfRule type="cellIs" dxfId="1" priority="822" operator="greaterThan">
      <formula>100000000</formula>
    </cfRule>
  </conditionalFormatting>
  <conditionalFormatting sqref="A271:A272">
    <cfRule type="expression" dxfId="0" priority="823">
      <formula>COUNTIF(#REF!,A271)&gt;1</formula>
    </cfRule>
  </conditionalFormatting>
  <conditionalFormatting sqref="A271:A272">
    <cfRule type="cellIs" dxfId="1" priority="824" operator="greaterThan">
      <formula>100000000</formula>
    </cfRule>
  </conditionalFormatting>
  <conditionalFormatting sqref="A269:A270">
    <cfRule type="expression" dxfId="0" priority="825">
      <formula>COUNTIF(#REF!,A269)&gt;1</formula>
    </cfRule>
  </conditionalFormatting>
  <conditionalFormatting sqref="A269:A270">
    <cfRule type="cellIs" dxfId="1" priority="826" operator="greaterThan">
      <formula>100000000</formula>
    </cfRule>
  </conditionalFormatting>
  <conditionalFormatting sqref="S216:S219 S256:S257">
    <cfRule type="containsText" dxfId="3" priority="827" operator="containsText" text="CARREGADO">
      <formula>NOT(ISERROR(SEARCH(("CARREGADO"),(S216))))</formula>
    </cfRule>
  </conditionalFormatting>
  <conditionalFormatting sqref="S216:S219 S256:S257">
    <cfRule type="containsText" dxfId="4" priority="828" operator="containsText" text="DECLINADO">
      <formula>NOT(ISERROR(SEARCH(("DECLINADO"),(S216))))</formula>
    </cfRule>
  </conditionalFormatting>
  <conditionalFormatting sqref="S216:S219 S256:S257">
    <cfRule type="containsText" dxfId="4" priority="829" operator="containsText" text="RETIRADA">
      <formula>NOT(ISERROR(SEARCH(("RETIRADA"),(S216))))</formula>
    </cfRule>
  </conditionalFormatting>
  <conditionalFormatting sqref="S216:S219 S256:S257">
    <cfRule type="containsText" dxfId="4" priority="830" operator="containsText" text="CANCELADA">
      <formula>NOT(ISERROR(SEARCH(("CANCELADA"),(S216))))</formula>
    </cfRule>
  </conditionalFormatting>
  <conditionalFormatting sqref="A216:A219">
    <cfRule type="expression" dxfId="0" priority="831">
      <formula>COUNTIF(#REF!,A216)&gt;1</formula>
    </cfRule>
  </conditionalFormatting>
  <conditionalFormatting sqref="A216:A219">
    <cfRule type="cellIs" dxfId="1" priority="832" operator="greaterThan">
      <formula>100000000</formula>
    </cfRule>
  </conditionalFormatting>
  <conditionalFormatting sqref="S214:S215">
    <cfRule type="containsText" dxfId="4" priority="833" operator="containsText" text="CANCELADA">
      <formula>NOT(ISERROR(SEARCH(("CANCELADA"),(S214))))</formula>
    </cfRule>
  </conditionalFormatting>
  <conditionalFormatting sqref="S214:S215">
    <cfRule type="containsText" dxfId="4" priority="834" operator="containsText" text="RETIRADA">
      <formula>NOT(ISERROR(SEARCH(("RETIRADA"),(S214))))</formula>
    </cfRule>
  </conditionalFormatting>
  <conditionalFormatting sqref="S214:S215">
    <cfRule type="containsText" dxfId="4" priority="835" operator="containsText" text="DECLINADO">
      <formula>NOT(ISERROR(SEARCH(("DECLINADO"),(S214))))</formula>
    </cfRule>
  </conditionalFormatting>
  <conditionalFormatting sqref="S214:S215">
    <cfRule type="containsText" dxfId="3" priority="836" operator="containsText" text="CARREGADO">
      <formula>NOT(ISERROR(SEARCH(("CARREGADO"),(S214))))</formula>
    </cfRule>
  </conditionalFormatting>
  <conditionalFormatting sqref="A214:A215">
    <cfRule type="cellIs" dxfId="1" priority="837" operator="greaterThan">
      <formula>100000000</formula>
    </cfRule>
  </conditionalFormatting>
  <conditionalFormatting sqref="A214:A215">
    <cfRule type="expression" dxfId="0" priority="838">
      <formula>COUNTIF(#REF!,A214)&gt;1</formula>
    </cfRule>
  </conditionalFormatting>
  <conditionalFormatting sqref="S212:S213">
    <cfRule type="containsText" dxfId="4" priority="839" operator="containsText" text="CANCELADA">
      <formula>NOT(ISERROR(SEARCH(("CANCELADA"),(S212))))</formula>
    </cfRule>
  </conditionalFormatting>
  <conditionalFormatting sqref="S212:S213">
    <cfRule type="containsText" dxfId="4" priority="840" operator="containsText" text="RETIRADA">
      <formula>NOT(ISERROR(SEARCH(("RETIRADA"),(S212))))</formula>
    </cfRule>
  </conditionalFormatting>
  <conditionalFormatting sqref="S212:S213">
    <cfRule type="containsText" dxfId="4" priority="841" operator="containsText" text="DECLINADO">
      <formula>NOT(ISERROR(SEARCH(("DECLINADO"),(S212))))</formula>
    </cfRule>
  </conditionalFormatting>
  <conditionalFormatting sqref="S212:S213">
    <cfRule type="containsText" dxfId="3" priority="842" operator="containsText" text="CARREGADO">
      <formula>NOT(ISERROR(SEARCH(("CARREGADO"),(S212))))</formula>
    </cfRule>
  </conditionalFormatting>
  <conditionalFormatting sqref="A212:A213">
    <cfRule type="cellIs" dxfId="1" priority="843" operator="greaterThan">
      <formula>100000000</formula>
    </cfRule>
  </conditionalFormatting>
  <conditionalFormatting sqref="A212:A213">
    <cfRule type="expression" dxfId="0" priority="844">
      <formula>COUNTIF(#REF!,A212)&gt;1</formula>
    </cfRule>
  </conditionalFormatting>
  <conditionalFormatting sqref="S211:S213">
    <cfRule type="containsText" dxfId="4" priority="845" operator="containsText" text="CANCELADA">
      <formula>NOT(ISERROR(SEARCH(("CANCELADA"),(S211))))</formula>
    </cfRule>
  </conditionalFormatting>
  <conditionalFormatting sqref="S211:S213">
    <cfRule type="containsText" dxfId="4" priority="846" operator="containsText" text="RETIRADA">
      <formula>NOT(ISERROR(SEARCH(("RETIRADA"),(S211))))</formula>
    </cfRule>
  </conditionalFormatting>
  <conditionalFormatting sqref="S211:S213">
    <cfRule type="containsText" dxfId="4" priority="847" operator="containsText" text="DECLINADO">
      <formula>NOT(ISERROR(SEARCH(("DECLINADO"),(S211))))</formula>
    </cfRule>
  </conditionalFormatting>
  <conditionalFormatting sqref="S211:S213">
    <cfRule type="containsText" dxfId="3" priority="848" operator="containsText" text="CARREGADO">
      <formula>NOT(ISERROR(SEARCH(("CARREGADO"),(S211))))</formula>
    </cfRule>
  </conditionalFormatting>
  <conditionalFormatting sqref="A211">
    <cfRule type="cellIs" dxfId="1" priority="849" operator="greaterThan">
      <formula>100000000</formula>
    </cfRule>
  </conditionalFormatting>
  <conditionalFormatting sqref="A211">
    <cfRule type="expression" dxfId="0" priority="850">
      <formula>COUNTIF(#REF!,A211)&gt;1</formula>
    </cfRule>
  </conditionalFormatting>
  <conditionalFormatting sqref="A210">
    <cfRule type="expression" dxfId="0" priority="851">
      <formula>COUNTIF(#REF!,A210)&gt;1</formula>
    </cfRule>
  </conditionalFormatting>
  <conditionalFormatting sqref="A210">
    <cfRule type="cellIs" dxfId="1" priority="852" operator="greaterThan">
      <formula>100000000</formula>
    </cfRule>
  </conditionalFormatting>
  <conditionalFormatting sqref="S202:S213">
    <cfRule type="containsText" dxfId="3" priority="853" operator="containsText" text="CARREGADO">
      <formula>NOT(ISERROR(SEARCH(("CARREGADO"),(S202))))</formula>
    </cfRule>
  </conditionalFormatting>
  <conditionalFormatting sqref="S202:S213">
    <cfRule type="containsText" dxfId="4" priority="854" operator="containsText" text="DECLINADO">
      <formula>NOT(ISERROR(SEARCH(("DECLINADO"),(S202))))</formula>
    </cfRule>
  </conditionalFormatting>
  <conditionalFormatting sqref="S202:S213">
    <cfRule type="containsText" dxfId="4" priority="855" operator="containsText" text="RETIRADA">
      <formula>NOT(ISERROR(SEARCH(("RETIRADA"),(S202))))</formula>
    </cfRule>
  </conditionalFormatting>
  <conditionalFormatting sqref="S202:S213">
    <cfRule type="containsText" dxfId="4" priority="856" operator="containsText" text="CANCELADA">
      <formula>NOT(ISERROR(SEARCH(("CANCELADA"),(S202))))</formula>
    </cfRule>
  </conditionalFormatting>
  <conditionalFormatting sqref="A202:A209">
    <cfRule type="expression" dxfId="0" priority="857">
      <formula>COUNTIF(#REF!,A202)&gt;1</formula>
    </cfRule>
  </conditionalFormatting>
  <conditionalFormatting sqref="A202:A209">
    <cfRule type="cellIs" dxfId="1" priority="858" operator="greaterThan">
      <formula>100000000</formula>
    </cfRule>
  </conditionalFormatting>
  <conditionalFormatting sqref="S198:S213">
    <cfRule type="containsText" dxfId="3" priority="859" operator="containsText" text="CARREGADO">
      <formula>NOT(ISERROR(SEARCH(("CARREGADO"),(S198))))</formula>
    </cfRule>
  </conditionalFormatting>
  <conditionalFormatting sqref="S198:S213">
    <cfRule type="containsText" dxfId="4" priority="860" operator="containsText" text="DECLINADO">
      <formula>NOT(ISERROR(SEARCH(("DECLINADO"),(S198))))</formula>
    </cfRule>
  </conditionalFormatting>
  <conditionalFormatting sqref="S198:S213">
    <cfRule type="containsText" dxfId="4" priority="861" operator="containsText" text="RETIRADA">
      <formula>NOT(ISERROR(SEARCH(("RETIRADA"),(S198))))</formula>
    </cfRule>
  </conditionalFormatting>
  <conditionalFormatting sqref="S198:S213">
    <cfRule type="containsText" dxfId="4" priority="862" operator="containsText" text="CANCELADA">
      <formula>NOT(ISERROR(SEARCH(("CANCELADA"),(S198))))</formula>
    </cfRule>
  </conditionalFormatting>
  <conditionalFormatting sqref="A198:A201">
    <cfRule type="expression" dxfId="0" priority="863">
      <formula>COUNTIF(#REF!,A198)&gt;1</formula>
    </cfRule>
  </conditionalFormatting>
  <conditionalFormatting sqref="A198:A201">
    <cfRule type="cellIs" dxfId="1" priority="864" operator="greaterThan">
      <formula>100000000</formula>
    </cfRule>
  </conditionalFormatting>
  <conditionalFormatting sqref="S196:S197">
    <cfRule type="containsText" dxfId="4" priority="865" operator="containsText" text="CANCELADA">
      <formula>NOT(ISERROR(SEARCH(("CANCELADA"),(S196))))</formula>
    </cfRule>
  </conditionalFormatting>
  <conditionalFormatting sqref="A196:A197">
    <cfRule type="expression" dxfId="0" priority="866">
      <formula>COUNTIF(#REF!,A196)&gt;1</formula>
    </cfRule>
  </conditionalFormatting>
  <conditionalFormatting sqref="A196:A197">
    <cfRule type="cellIs" dxfId="1" priority="867" operator="greaterThan">
      <formula>100000000</formula>
    </cfRule>
  </conditionalFormatting>
  <conditionalFormatting sqref="S196:S197">
    <cfRule type="containsText" dxfId="3" priority="868" operator="containsText" text="CARREGADO">
      <formula>NOT(ISERROR(SEARCH(("CARREGADO"),(S196))))</formula>
    </cfRule>
  </conditionalFormatting>
  <conditionalFormatting sqref="S196:S197">
    <cfRule type="containsText" dxfId="4" priority="869" operator="containsText" text="DECLINADO">
      <formula>NOT(ISERROR(SEARCH(("DECLINADO"),(S196))))</formula>
    </cfRule>
  </conditionalFormatting>
  <conditionalFormatting sqref="S196:S197">
    <cfRule type="containsText" dxfId="4" priority="870" operator="containsText" text="RETIRADA">
      <formula>NOT(ISERROR(SEARCH(("RETIRADA"),(S196))))</formula>
    </cfRule>
  </conditionalFormatting>
  <conditionalFormatting sqref="A195">
    <cfRule type="cellIs" dxfId="1" priority="871" operator="greaterThan">
      <formula>100000000</formula>
    </cfRule>
  </conditionalFormatting>
  <conditionalFormatting sqref="A195">
    <cfRule type="expression" dxfId="0" priority="872">
      <formula>COUNTIF(#REF!,A195)&gt;1</formula>
    </cfRule>
  </conditionalFormatting>
  <conditionalFormatting sqref="S195:S197">
    <cfRule type="containsText" dxfId="3" priority="873" operator="containsText" text="CARREGADO">
      <formula>NOT(ISERROR(SEARCH(("CARREGADO"),(S195))))</formula>
    </cfRule>
  </conditionalFormatting>
  <conditionalFormatting sqref="S195:S197">
    <cfRule type="containsText" dxfId="4" priority="874" operator="containsText" text="DECLINADO">
      <formula>NOT(ISERROR(SEARCH(("DECLINADO"),(S195))))</formula>
    </cfRule>
  </conditionalFormatting>
  <conditionalFormatting sqref="S195:S197">
    <cfRule type="containsText" dxfId="4" priority="875" operator="containsText" text="RETIRADA">
      <formula>NOT(ISERROR(SEARCH(("RETIRADA"),(S195))))</formula>
    </cfRule>
  </conditionalFormatting>
  <conditionalFormatting sqref="S195:S197">
    <cfRule type="containsText" dxfId="4" priority="876" operator="containsText" text="CANCELADA">
      <formula>NOT(ISERROR(SEARCH(("CANCELADA"),(S195))))</formula>
    </cfRule>
  </conditionalFormatting>
  <conditionalFormatting sqref="S192:S197">
    <cfRule type="containsText" dxfId="3" priority="877" operator="containsText" text="CARREGADO">
      <formula>NOT(ISERROR(SEARCH(("CARREGADO"),(S192))))</formula>
    </cfRule>
  </conditionalFormatting>
  <conditionalFormatting sqref="S192:S197">
    <cfRule type="containsText" dxfId="4" priority="878" operator="containsText" text="DECLINADO">
      <formula>NOT(ISERROR(SEARCH(("DECLINADO"),(S192))))</formula>
    </cfRule>
  </conditionalFormatting>
  <conditionalFormatting sqref="S192:S197">
    <cfRule type="containsText" dxfId="4" priority="879" operator="containsText" text="RETIRADA">
      <formula>NOT(ISERROR(SEARCH(("RETIRADA"),(S192))))</formula>
    </cfRule>
  </conditionalFormatting>
  <conditionalFormatting sqref="S192:S197">
    <cfRule type="containsText" dxfId="4" priority="880" operator="containsText" text="CANCELADA">
      <formula>NOT(ISERROR(SEARCH(("CANCELADA"),(S192))))</formula>
    </cfRule>
  </conditionalFormatting>
  <conditionalFormatting sqref="A192:A193">
    <cfRule type="expression" dxfId="0" priority="881">
      <formula>COUNTIF(#REF!,A192)&gt;1</formula>
    </cfRule>
  </conditionalFormatting>
  <conditionalFormatting sqref="A192:A193">
    <cfRule type="cellIs" dxfId="1" priority="882" operator="greaterThan">
      <formula>100000000</formula>
    </cfRule>
  </conditionalFormatting>
  <conditionalFormatting sqref="S191:S197">
    <cfRule type="containsText" dxfId="3" priority="883" operator="containsText" text="CARREGADO">
      <formula>NOT(ISERROR(SEARCH(("CARREGADO"),(S191))))</formula>
    </cfRule>
  </conditionalFormatting>
  <conditionalFormatting sqref="S191:S197">
    <cfRule type="containsText" dxfId="4" priority="884" operator="containsText" text="DECLINADO">
      <formula>NOT(ISERROR(SEARCH(("DECLINADO"),(S191))))</formula>
    </cfRule>
  </conditionalFormatting>
  <conditionalFormatting sqref="S191:S197">
    <cfRule type="containsText" dxfId="4" priority="885" operator="containsText" text="RETIRADA">
      <formula>NOT(ISERROR(SEARCH(("RETIRADA"),(S191))))</formula>
    </cfRule>
  </conditionalFormatting>
  <conditionalFormatting sqref="S191:S197">
    <cfRule type="containsText" dxfId="4" priority="886" operator="containsText" text="CANCELADA">
      <formula>NOT(ISERROR(SEARCH(("CANCELADA"),(S191))))</formula>
    </cfRule>
  </conditionalFormatting>
  <conditionalFormatting sqref="A191">
    <cfRule type="expression" dxfId="0" priority="887">
      <formula>COUNTIF(#REF!,A191)&gt;1</formula>
    </cfRule>
  </conditionalFormatting>
  <conditionalFormatting sqref="A191">
    <cfRule type="cellIs" dxfId="1" priority="888" operator="greaterThan">
      <formula>100000000</formula>
    </cfRule>
  </conditionalFormatting>
  <conditionalFormatting sqref="S185:S188">
    <cfRule type="containsText" dxfId="3" priority="889" operator="containsText" text="CARREGADO">
      <formula>NOT(ISERROR(SEARCH(("CARREGADO"),(S185))))</formula>
    </cfRule>
  </conditionalFormatting>
  <conditionalFormatting sqref="S185:S188">
    <cfRule type="containsText" dxfId="4" priority="890" operator="containsText" text="DECLINADO">
      <formula>NOT(ISERROR(SEARCH(("DECLINADO"),(S185))))</formula>
    </cfRule>
  </conditionalFormatting>
  <conditionalFormatting sqref="S185:S188">
    <cfRule type="containsText" dxfId="4" priority="891" operator="containsText" text="RETIRADA">
      <formula>NOT(ISERROR(SEARCH(("RETIRADA"),(S185))))</formula>
    </cfRule>
  </conditionalFormatting>
  <conditionalFormatting sqref="S185:S188">
    <cfRule type="containsText" dxfId="4" priority="892" operator="containsText" text="CANCELADA">
      <formula>NOT(ISERROR(SEARCH(("CANCELADA"),(S185))))</formula>
    </cfRule>
  </conditionalFormatting>
  <conditionalFormatting sqref="A185:A188">
    <cfRule type="expression" dxfId="0" priority="893">
      <formula>COUNTIF(#REF!,A185)&gt;1</formula>
    </cfRule>
  </conditionalFormatting>
  <conditionalFormatting sqref="A185:A188">
    <cfRule type="cellIs" dxfId="1" priority="894" operator="greaterThan">
      <formula>100000000</formula>
    </cfRule>
  </conditionalFormatting>
  <conditionalFormatting sqref="S184">
    <cfRule type="containsText" dxfId="4" priority="895" operator="containsText" text="CANCELADA">
      <formula>NOT(ISERROR(SEARCH(("CANCELADA"),(S184))))</formula>
    </cfRule>
  </conditionalFormatting>
  <conditionalFormatting sqref="S184">
    <cfRule type="containsText" dxfId="4" priority="896" operator="containsText" text="RETIRADA">
      <formula>NOT(ISERROR(SEARCH(("RETIRADA"),(S184))))</formula>
    </cfRule>
  </conditionalFormatting>
  <conditionalFormatting sqref="S184">
    <cfRule type="containsText" dxfId="4" priority="897" operator="containsText" text="DECLINADO">
      <formula>NOT(ISERROR(SEARCH(("DECLINADO"),(S184))))</formula>
    </cfRule>
  </conditionalFormatting>
  <conditionalFormatting sqref="S184">
    <cfRule type="containsText" dxfId="3" priority="898" operator="containsText" text="CARREGADO">
      <formula>NOT(ISERROR(SEARCH(("CARREGADO"),(S184))))</formula>
    </cfRule>
  </conditionalFormatting>
  <conditionalFormatting sqref="A184">
    <cfRule type="cellIs" dxfId="1" priority="899" operator="greaterThan">
      <formula>100000000</formula>
    </cfRule>
  </conditionalFormatting>
  <conditionalFormatting sqref="A184">
    <cfRule type="expression" dxfId="0" priority="900">
      <formula>COUNTIF(#REF!,A184)&gt;1</formula>
    </cfRule>
  </conditionalFormatting>
  <conditionalFormatting sqref="S181">
    <cfRule type="containsText" dxfId="3" priority="901" operator="containsText" text="CARREGADO">
      <formula>NOT(ISERROR(SEARCH(("CARREGADO"),(S181))))</formula>
    </cfRule>
  </conditionalFormatting>
  <conditionalFormatting sqref="S181">
    <cfRule type="containsText" dxfId="4" priority="902" operator="containsText" text="DECLINADO">
      <formula>NOT(ISERROR(SEARCH(("DECLINADO"),(S181))))</formula>
    </cfRule>
  </conditionalFormatting>
  <conditionalFormatting sqref="S181">
    <cfRule type="containsText" dxfId="4" priority="903" operator="containsText" text="RETIRADA">
      <formula>NOT(ISERROR(SEARCH(("RETIRADA"),(S181))))</formula>
    </cfRule>
  </conditionalFormatting>
  <conditionalFormatting sqref="S181">
    <cfRule type="containsText" dxfId="4" priority="904" operator="containsText" text="CANCELADA">
      <formula>NOT(ISERROR(SEARCH(("CANCELADA"),(S181))))</formula>
    </cfRule>
  </conditionalFormatting>
  <conditionalFormatting sqref="A181">
    <cfRule type="expression" dxfId="0" priority="905">
      <formula>COUNTIF(#REF!,A181)&gt;1</formula>
    </cfRule>
  </conditionalFormatting>
  <conditionalFormatting sqref="A181">
    <cfRule type="cellIs" dxfId="1" priority="906" operator="greaterThan">
      <formula>100000000</formula>
    </cfRule>
  </conditionalFormatting>
  <conditionalFormatting sqref="S179:S181">
    <cfRule type="containsText" dxfId="3" priority="907" operator="containsText" text="CARREGADO">
      <formula>NOT(ISERROR(SEARCH(("CARREGADO"),(S179))))</formula>
    </cfRule>
  </conditionalFormatting>
  <conditionalFormatting sqref="S179:S181">
    <cfRule type="containsText" dxfId="4" priority="908" operator="containsText" text="DECLINADO">
      <formula>NOT(ISERROR(SEARCH(("DECLINADO"),(S179))))</formula>
    </cfRule>
  </conditionalFormatting>
  <conditionalFormatting sqref="S179:S181">
    <cfRule type="containsText" dxfId="4" priority="909" operator="containsText" text="RETIRADA">
      <formula>NOT(ISERROR(SEARCH(("RETIRADA"),(S179))))</formula>
    </cfRule>
  </conditionalFormatting>
  <conditionalFormatting sqref="S179:S181">
    <cfRule type="containsText" dxfId="4" priority="910" operator="containsText" text="CANCELADA">
      <formula>NOT(ISERROR(SEARCH(("CANCELADA"),(S179))))</formula>
    </cfRule>
  </conditionalFormatting>
  <conditionalFormatting sqref="A179:A180">
    <cfRule type="cellIs" dxfId="1" priority="911" operator="greaterThan">
      <formula>100000000</formula>
    </cfRule>
  </conditionalFormatting>
  <conditionalFormatting sqref="A179:A180">
    <cfRule type="expression" dxfId="0" priority="912">
      <formula>COUNTIF(#REF!,A179)&gt;1</formula>
    </cfRule>
  </conditionalFormatting>
  <conditionalFormatting sqref="S177:S178">
    <cfRule type="containsText" dxfId="3" priority="913" operator="containsText" text="CARREGADO">
      <formula>NOT(ISERROR(SEARCH(("CARREGADO"),(S177))))</formula>
    </cfRule>
  </conditionalFormatting>
  <conditionalFormatting sqref="S177:S178">
    <cfRule type="containsText" dxfId="4" priority="914" operator="containsText" text="DECLINADO">
      <formula>NOT(ISERROR(SEARCH(("DECLINADO"),(S177))))</formula>
    </cfRule>
  </conditionalFormatting>
  <conditionalFormatting sqref="S177:S178">
    <cfRule type="containsText" dxfId="4" priority="915" operator="containsText" text="RETIRADA">
      <formula>NOT(ISERROR(SEARCH(("RETIRADA"),(S177))))</formula>
    </cfRule>
  </conditionalFormatting>
  <conditionalFormatting sqref="S177:S178">
    <cfRule type="containsText" dxfId="4" priority="916" operator="containsText" text="CANCELADA">
      <formula>NOT(ISERROR(SEARCH(("CANCELADA"),(S177))))</formula>
    </cfRule>
  </conditionalFormatting>
  <conditionalFormatting sqref="A177:A178">
    <cfRule type="expression" dxfId="0" priority="917">
      <formula>COUNTIF(#REF!,A177)&gt;1</formula>
    </cfRule>
  </conditionalFormatting>
  <conditionalFormatting sqref="A177:A178">
    <cfRule type="cellIs" dxfId="1" priority="918" operator="greaterThan">
      <formula>100000000</formula>
    </cfRule>
  </conditionalFormatting>
  <conditionalFormatting sqref="A173:A176">
    <cfRule type="expression" dxfId="0" priority="919">
      <formula>COUNTIF(#REF!,A173)&gt;1</formula>
    </cfRule>
  </conditionalFormatting>
  <conditionalFormatting sqref="A173:A176">
    <cfRule type="cellIs" dxfId="1" priority="920" operator="greaterThan">
      <formula>100000000</formula>
    </cfRule>
  </conditionalFormatting>
  <conditionalFormatting sqref="S173:S178">
    <cfRule type="containsText" dxfId="3" priority="921" operator="containsText" text="CARREGADO">
      <formula>NOT(ISERROR(SEARCH(("CARREGADO"),(S173))))</formula>
    </cfRule>
  </conditionalFormatting>
  <conditionalFormatting sqref="S173:S178">
    <cfRule type="containsText" dxfId="4" priority="922" operator="containsText" text="DECLINADO">
      <formula>NOT(ISERROR(SEARCH(("DECLINADO"),(S173))))</formula>
    </cfRule>
  </conditionalFormatting>
  <conditionalFormatting sqref="S173:S178">
    <cfRule type="containsText" dxfId="4" priority="923" operator="containsText" text="RETIRADA">
      <formula>NOT(ISERROR(SEARCH(("RETIRADA"),(S173))))</formula>
    </cfRule>
  </conditionalFormatting>
  <conditionalFormatting sqref="S173:S178">
    <cfRule type="containsText" dxfId="4" priority="924" operator="containsText" text="CANCELADA">
      <formula>NOT(ISERROR(SEARCH(("CANCELADA"),(S173))))</formula>
    </cfRule>
  </conditionalFormatting>
  <conditionalFormatting sqref="A169:A172">
    <cfRule type="expression" dxfId="0" priority="925">
      <formula>COUNTIF(#REF!,A169)&gt;1</formula>
    </cfRule>
  </conditionalFormatting>
  <conditionalFormatting sqref="A169:A172">
    <cfRule type="cellIs" dxfId="1" priority="926" operator="greaterThan">
      <formula>100000000</formula>
    </cfRule>
  </conditionalFormatting>
  <conditionalFormatting sqref="S169:S172">
    <cfRule type="containsText" dxfId="4" priority="927" operator="containsText" text="CANCELADA">
      <formula>NOT(ISERROR(SEARCH(("CANCELADA"),(S169))))</formula>
    </cfRule>
  </conditionalFormatting>
  <conditionalFormatting sqref="S169:S172">
    <cfRule type="containsText" dxfId="3" priority="928" operator="containsText" text="CARREGADO">
      <formula>NOT(ISERROR(SEARCH(("CARREGADO"),(S169))))</formula>
    </cfRule>
  </conditionalFormatting>
  <conditionalFormatting sqref="S169:S172">
    <cfRule type="containsText" dxfId="4" priority="929" operator="containsText" text="DECLINADO">
      <formula>NOT(ISERROR(SEARCH(("DECLINADO"),(S169))))</formula>
    </cfRule>
  </conditionalFormatting>
  <conditionalFormatting sqref="S169:S172">
    <cfRule type="containsText" dxfId="4" priority="930" operator="containsText" text="RETIRADA">
      <formula>NOT(ISERROR(SEARCH(("RETIRADA"),(S169))))</formula>
    </cfRule>
  </conditionalFormatting>
  <conditionalFormatting sqref="A167:A168">
    <cfRule type="expression" dxfId="0" priority="931">
      <formula>COUNTIF(#REF!,A167)&gt;1</formula>
    </cfRule>
  </conditionalFormatting>
  <conditionalFormatting sqref="A167:A168">
    <cfRule type="cellIs" dxfId="1" priority="932" operator="greaterThan">
      <formula>100000000</formula>
    </cfRule>
  </conditionalFormatting>
  <conditionalFormatting sqref="S167:S168">
    <cfRule type="containsText" dxfId="4" priority="933" operator="containsText" text="CANCELADA">
      <formula>NOT(ISERROR(SEARCH(("CANCELADA"),(S167))))</formula>
    </cfRule>
  </conditionalFormatting>
  <conditionalFormatting sqref="S167:S168">
    <cfRule type="containsText" dxfId="3" priority="934" operator="containsText" text="CARREGADO">
      <formula>NOT(ISERROR(SEARCH(("CARREGADO"),(S167))))</formula>
    </cfRule>
  </conditionalFormatting>
  <conditionalFormatting sqref="S167:S168">
    <cfRule type="containsText" dxfId="4" priority="935" operator="containsText" text="DECLINADO">
      <formula>NOT(ISERROR(SEARCH(("DECLINADO"),(S167))))</formula>
    </cfRule>
  </conditionalFormatting>
  <conditionalFormatting sqref="S167:S168">
    <cfRule type="containsText" dxfId="4" priority="936" operator="containsText" text="RETIRADA">
      <formula>NOT(ISERROR(SEARCH(("RETIRADA"),(S167))))</formula>
    </cfRule>
  </conditionalFormatting>
  <conditionalFormatting sqref="A165:A166">
    <cfRule type="expression" dxfId="0" priority="937">
      <formula>COUNTIF(#REF!,A165)&gt;1</formula>
    </cfRule>
  </conditionalFormatting>
  <conditionalFormatting sqref="A165:A166">
    <cfRule type="cellIs" dxfId="1" priority="938" operator="greaterThan">
      <formula>100000000</formula>
    </cfRule>
  </conditionalFormatting>
  <conditionalFormatting sqref="S165:S178">
    <cfRule type="containsText" dxfId="3" priority="939" operator="containsText" text="CARREGADO">
      <formula>NOT(ISERROR(SEARCH(("CARREGADO"),(S165))))</formula>
    </cfRule>
  </conditionalFormatting>
  <conditionalFormatting sqref="S165:S178">
    <cfRule type="containsText" dxfId="4" priority="940" operator="containsText" text="DECLINADO">
      <formula>NOT(ISERROR(SEARCH(("DECLINADO"),(S165))))</formula>
    </cfRule>
  </conditionalFormatting>
  <conditionalFormatting sqref="S165:S178">
    <cfRule type="containsText" dxfId="4" priority="941" operator="containsText" text="RETIRADA">
      <formula>NOT(ISERROR(SEARCH(("RETIRADA"),(S165))))</formula>
    </cfRule>
  </conditionalFormatting>
  <conditionalFormatting sqref="S165:S178">
    <cfRule type="containsText" dxfId="4" priority="942" operator="containsText" text="CANCELADA">
      <formula>NOT(ISERROR(SEARCH(("CANCELADA"),(S165))))</formula>
    </cfRule>
  </conditionalFormatting>
  <conditionalFormatting sqref="A163:A164">
    <cfRule type="expression" dxfId="0" priority="943">
      <formula>COUNTIF(#REF!,A163)&gt;1</formula>
    </cfRule>
  </conditionalFormatting>
  <conditionalFormatting sqref="A163:A164">
    <cfRule type="cellIs" dxfId="1" priority="944" operator="greaterThan">
      <formula>100000000</formula>
    </cfRule>
  </conditionalFormatting>
  <conditionalFormatting sqref="S163:S178">
    <cfRule type="containsText" dxfId="3" priority="945" operator="containsText" text="CARREGADO">
      <formula>NOT(ISERROR(SEARCH(("CARREGADO"),(S163))))</formula>
    </cfRule>
  </conditionalFormatting>
  <conditionalFormatting sqref="S163:S178">
    <cfRule type="containsText" dxfId="4" priority="946" operator="containsText" text="DECLINADO">
      <formula>NOT(ISERROR(SEARCH(("DECLINADO"),(S163))))</formula>
    </cfRule>
  </conditionalFormatting>
  <conditionalFormatting sqref="S163:S178">
    <cfRule type="containsText" dxfId="4" priority="947" operator="containsText" text="RETIRADA">
      <formula>NOT(ISERROR(SEARCH(("RETIRADA"),(S163))))</formula>
    </cfRule>
  </conditionalFormatting>
  <conditionalFormatting sqref="S163:S178">
    <cfRule type="containsText" dxfId="4" priority="948" operator="containsText" text="CANCELADA">
      <formula>NOT(ISERROR(SEARCH(("CANCELADA"),(S163))))</formula>
    </cfRule>
  </conditionalFormatting>
  <conditionalFormatting sqref="A162">
    <cfRule type="expression" dxfId="0" priority="949">
      <formula>COUNTIF(#REF!,A162)&gt;1</formula>
    </cfRule>
  </conditionalFormatting>
  <conditionalFormatting sqref="A162">
    <cfRule type="cellIs" dxfId="1" priority="950" operator="greaterThan">
      <formula>100000000</formula>
    </cfRule>
  </conditionalFormatting>
  <conditionalFormatting sqref="S162:S178">
    <cfRule type="containsText" dxfId="3" priority="951" operator="containsText" text="CARREGADO">
      <formula>NOT(ISERROR(SEARCH(("CARREGADO"),(S162))))</formula>
    </cfRule>
  </conditionalFormatting>
  <conditionalFormatting sqref="S162:S178">
    <cfRule type="containsText" dxfId="4" priority="952" operator="containsText" text="DECLINADO">
      <formula>NOT(ISERROR(SEARCH(("DECLINADO"),(S162))))</formula>
    </cfRule>
  </conditionalFormatting>
  <conditionalFormatting sqref="S162:S178">
    <cfRule type="containsText" dxfId="4" priority="953" operator="containsText" text="RETIRADA">
      <formula>NOT(ISERROR(SEARCH(("RETIRADA"),(S162))))</formula>
    </cfRule>
  </conditionalFormatting>
  <conditionalFormatting sqref="S162:S178">
    <cfRule type="containsText" dxfId="4" priority="954" operator="containsText" text="CANCELADA">
      <formula>NOT(ISERROR(SEARCH(("CANCELADA"),(S162))))</formula>
    </cfRule>
  </conditionalFormatting>
  <conditionalFormatting sqref="S156:S178">
    <cfRule type="containsText" dxfId="4" priority="955" operator="containsText" text="CANCELADA">
      <formula>NOT(ISERROR(SEARCH(("CANCELADA"),(S156))))</formula>
    </cfRule>
  </conditionalFormatting>
  <conditionalFormatting sqref="S156:S178">
    <cfRule type="containsText" dxfId="4" priority="956" operator="containsText" text="RETIRADA">
      <formula>NOT(ISERROR(SEARCH(("RETIRADA"),(S156))))</formula>
    </cfRule>
  </conditionalFormatting>
  <conditionalFormatting sqref="S156:S178">
    <cfRule type="containsText" dxfId="4" priority="957" operator="containsText" text="DECLINADO">
      <formula>NOT(ISERROR(SEARCH(("DECLINADO"),(S156))))</formula>
    </cfRule>
  </conditionalFormatting>
  <conditionalFormatting sqref="S156:S178">
    <cfRule type="containsText" dxfId="3" priority="958" operator="containsText" text="CARREGADO">
      <formula>NOT(ISERROR(SEARCH(("CARREGADO"),(S156))))</formula>
    </cfRule>
  </conditionalFormatting>
  <conditionalFormatting sqref="A156:A159">
    <cfRule type="cellIs" dxfId="1" priority="959" operator="greaterThan">
      <formula>100000000</formula>
    </cfRule>
  </conditionalFormatting>
  <conditionalFormatting sqref="A156:A159">
    <cfRule type="expression" dxfId="0" priority="960">
      <formula>COUNTIF(#REF!,A156)&gt;1</formula>
    </cfRule>
  </conditionalFormatting>
  <conditionalFormatting sqref="S155:S178">
    <cfRule type="containsText" dxfId="4" priority="961" operator="containsText" text="CANCELADA">
      <formula>NOT(ISERROR(SEARCH(("CANCELADA"),(S155))))</formula>
    </cfRule>
  </conditionalFormatting>
  <conditionalFormatting sqref="S155:S178">
    <cfRule type="containsText" dxfId="4" priority="962" operator="containsText" text="RETIRADA">
      <formula>NOT(ISERROR(SEARCH(("RETIRADA"),(S155))))</formula>
    </cfRule>
  </conditionalFormatting>
  <conditionalFormatting sqref="S155:S178">
    <cfRule type="containsText" dxfId="4" priority="963" operator="containsText" text="DECLINADO">
      <formula>NOT(ISERROR(SEARCH(("DECLINADO"),(S155))))</formula>
    </cfRule>
  </conditionalFormatting>
  <conditionalFormatting sqref="S155:S178">
    <cfRule type="containsText" dxfId="3" priority="964" operator="containsText" text="CARREGADO">
      <formula>NOT(ISERROR(SEARCH(("CARREGADO"),(S155))))</formula>
    </cfRule>
  </conditionalFormatting>
  <conditionalFormatting sqref="A155">
    <cfRule type="cellIs" dxfId="1" priority="965" operator="greaterThan">
      <formula>100000000</formula>
    </cfRule>
  </conditionalFormatting>
  <conditionalFormatting sqref="A155">
    <cfRule type="expression" dxfId="0" priority="966">
      <formula>COUNTIF(#REF!,A155)&gt;1</formula>
    </cfRule>
  </conditionalFormatting>
  <conditionalFormatting sqref="A143">
    <cfRule type="cellIs" dxfId="1" priority="967" operator="greaterThan">
      <formula>100000000</formula>
    </cfRule>
  </conditionalFormatting>
  <conditionalFormatting sqref="A143">
    <cfRule type="expression" dxfId="0" priority="968">
      <formula>COUNTIF(#REF!,A143)&gt;1</formula>
    </cfRule>
  </conditionalFormatting>
  <conditionalFormatting sqref="S143">
    <cfRule type="containsText" dxfId="4" priority="969" operator="containsText" text="CANCELADA">
      <formula>NOT(ISERROR(SEARCH(("CANCELADA"),(S143))))</formula>
    </cfRule>
  </conditionalFormatting>
  <conditionalFormatting sqref="S143">
    <cfRule type="containsText" dxfId="3" priority="970" operator="containsText" text="CARREGADO">
      <formula>NOT(ISERROR(SEARCH(("CARREGADO"),(S143))))</formula>
    </cfRule>
  </conditionalFormatting>
  <conditionalFormatting sqref="S143">
    <cfRule type="containsText" dxfId="4" priority="971" operator="containsText" text="DECLINADO">
      <formula>NOT(ISERROR(SEARCH(("DECLINADO"),(S143))))</formula>
    </cfRule>
  </conditionalFormatting>
  <conditionalFormatting sqref="S143">
    <cfRule type="containsText" dxfId="4" priority="972" operator="containsText" text="RETIRADA">
      <formula>NOT(ISERROR(SEARCH(("RETIRADA"),(S143))))</formula>
    </cfRule>
  </conditionalFormatting>
  <conditionalFormatting sqref="S146:S178">
    <cfRule type="containsText" dxfId="4" priority="973" operator="containsText" text="CANCELADA">
      <formula>NOT(ISERROR(SEARCH(("CANCELADA"),(S146))))</formula>
    </cfRule>
  </conditionalFormatting>
  <conditionalFormatting sqref="S146:S178">
    <cfRule type="containsText" dxfId="4" priority="974" operator="containsText" text="RETIRADA">
      <formula>NOT(ISERROR(SEARCH(("RETIRADA"),(S146))))</formula>
    </cfRule>
  </conditionalFormatting>
  <conditionalFormatting sqref="S146:S178">
    <cfRule type="containsText" dxfId="4" priority="975" operator="containsText" text="DECLINADO">
      <formula>NOT(ISERROR(SEARCH(("DECLINADO"),(S146))))</formula>
    </cfRule>
  </conditionalFormatting>
  <conditionalFormatting sqref="S146:S178">
    <cfRule type="containsText" dxfId="3" priority="976" operator="containsText" text="CARREGADO">
      <formula>NOT(ISERROR(SEARCH(("CARREGADO"),(S146))))</formula>
    </cfRule>
  </conditionalFormatting>
  <conditionalFormatting sqref="A146:A149">
    <cfRule type="cellIs" dxfId="1" priority="977" operator="greaterThan">
      <formula>100000000</formula>
    </cfRule>
  </conditionalFormatting>
  <conditionalFormatting sqref="A146:A149">
    <cfRule type="expression" dxfId="0" priority="978">
      <formula>COUNTIF(#REF!,A146)&gt;1</formula>
    </cfRule>
  </conditionalFormatting>
  <conditionalFormatting sqref="A144:A145">
    <cfRule type="expression" dxfId="0" priority="979">
      <formula>COUNTIF(#REF!,A144)&gt;1</formula>
    </cfRule>
  </conditionalFormatting>
  <conditionalFormatting sqref="A144:A145">
    <cfRule type="cellIs" dxfId="1" priority="980" operator="greaterThan">
      <formula>100000000</formula>
    </cfRule>
  </conditionalFormatting>
  <conditionalFormatting sqref="S144:S178">
    <cfRule type="containsText" dxfId="3" priority="981" operator="containsText" text="CARREGADO">
      <formula>NOT(ISERROR(SEARCH(("CARREGADO"),(S144))))</formula>
    </cfRule>
  </conditionalFormatting>
  <conditionalFormatting sqref="S144:S178">
    <cfRule type="containsText" dxfId="4" priority="982" operator="containsText" text="DECLINADO">
      <formula>NOT(ISERROR(SEARCH(("DECLINADO"),(S144))))</formula>
    </cfRule>
  </conditionalFormatting>
  <conditionalFormatting sqref="S144:S178">
    <cfRule type="containsText" dxfId="4" priority="983" operator="containsText" text="RETIRADA">
      <formula>NOT(ISERROR(SEARCH(("RETIRADA"),(S144))))</formula>
    </cfRule>
  </conditionalFormatting>
  <conditionalFormatting sqref="S144:S178">
    <cfRule type="containsText" dxfId="4" priority="984" operator="containsText" text="CANCELADA">
      <formula>NOT(ISERROR(SEARCH(("CANCELADA"),(S144))))</formula>
    </cfRule>
  </conditionalFormatting>
  <conditionalFormatting sqref="S141:S142 S144:S178">
    <cfRule type="containsText" dxfId="4" priority="985" operator="containsText" text="CANCELADA">
      <formula>NOT(ISERROR(SEARCH(("CANCELADA"),(S141))))</formula>
    </cfRule>
  </conditionalFormatting>
  <conditionalFormatting sqref="S141:S142 S144:S178">
    <cfRule type="containsText" dxfId="4" priority="986" operator="containsText" text="RETIRADA">
      <formula>NOT(ISERROR(SEARCH(("RETIRADA"),(S141))))</formula>
    </cfRule>
  </conditionalFormatting>
  <conditionalFormatting sqref="S141:S142 S144:S178">
    <cfRule type="containsText" dxfId="4" priority="987" operator="containsText" text="DECLINADO">
      <formula>NOT(ISERROR(SEARCH(("DECLINADO"),(S141))))</formula>
    </cfRule>
  </conditionalFormatting>
  <conditionalFormatting sqref="S141:S142 S144:S178">
    <cfRule type="containsText" dxfId="3" priority="988" operator="containsText" text="CARREGADO">
      <formula>NOT(ISERROR(SEARCH(("CARREGADO"),(S141))))</formula>
    </cfRule>
  </conditionalFormatting>
  <conditionalFormatting sqref="A141:A142">
    <cfRule type="cellIs" dxfId="1" priority="989" operator="greaterThan">
      <formula>100000000</formula>
    </cfRule>
  </conditionalFormatting>
  <conditionalFormatting sqref="A141:A142">
    <cfRule type="expression" dxfId="0" priority="990">
      <formula>COUNTIF(#REF!,A141)&gt;1</formula>
    </cfRule>
  </conditionalFormatting>
  <conditionalFormatting sqref="S137">
    <cfRule type="containsText" dxfId="4" priority="991" operator="containsText" text="CANCELADA">
      <formula>NOT(ISERROR(SEARCH(("CANCELADA"),(S137))))</formula>
    </cfRule>
  </conditionalFormatting>
  <conditionalFormatting sqref="S137">
    <cfRule type="containsText" dxfId="4" priority="992" operator="containsText" text="RETIRADA">
      <formula>NOT(ISERROR(SEARCH(("RETIRADA"),(S137))))</formula>
    </cfRule>
  </conditionalFormatting>
  <conditionalFormatting sqref="S137">
    <cfRule type="containsText" dxfId="4" priority="993" operator="containsText" text="DECLINADO">
      <formula>NOT(ISERROR(SEARCH(("DECLINADO"),(S137))))</formula>
    </cfRule>
  </conditionalFormatting>
  <conditionalFormatting sqref="S137">
    <cfRule type="containsText" dxfId="3" priority="994" operator="containsText" text="CARREGADO">
      <formula>NOT(ISERROR(SEARCH(("CARREGADO"),(S137))))</formula>
    </cfRule>
  </conditionalFormatting>
  <conditionalFormatting sqref="A137">
    <cfRule type="cellIs" dxfId="1" priority="995" operator="greaterThan">
      <formula>100000000</formula>
    </cfRule>
  </conditionalFormatting>
  <conditionalFormatting sqref="A137">
    <cfRule type="expression" dxfId="0" priority="996">
      <formula>COUNTIF(#REF!,A137)&gt;1</formula>
    </cfRule>
  </conditionalFormatting>
  <conditionalFormatting sqref="S138:S139">
    <cfRule type="containsText" dxfId="4" priority="997" operator="containsText" text="CANCELADA">
      <formula>NOT(ISERROR(SEARCH(("CANCELADA"),(S138))))</formula>
    </cfRule>
  </conditionalFormatting>
  <conditionalFormatting sqref="A138:A139">
    <cfRule type="cellIs" dxfId="1" priority="998" operator="greaterThan">
      <formula>100000000</formula>
    </cfRule>
  </conditionalFormatting>
  <conditionalFormatting sqref="A138:A139">
    <cfRule type="expression" dxfId="0" priority="999">
      <formula>COUNTIF(#REF!,A138)&gt;1</formula>
    </cfRule>
  </conditionalFormatting>
  <conditionalFormatting sqref="S138:S139">
    <cfRule type="containsText" dxfId="4" priority="1000" operator="containsText" text="RETIRADA">
      <formula>NOT(ISERROR(SEARCH(("RETIRADA"),(S138))))</formula>
    </cfRule>
  </conditionalFormatting>
  <conditionalFormatting sqref="S138:S139">
    <cfRule type="containsText" dxfId="4" priority="1001" operator="containsText" text="DECLINADO">
      <formula>NOT(ISERROR(SEARCH(("DECLINADO"),(S138))))</formula>
    </cfRule>
  </conditionalFormatting>
  <conditionalFormatting sqref="S138:S139">
    <cfRule type="containsText" dxfId="3" priority="1002" operator="containsText" text="CARREGADO">
      <formula>NOT(ISERROR(SEARCH(("CARREGADO"),(S138))))</formula>
    </cfRule>
  </conditionalFormatting>
  <conditionalFormatting sqref="S138:S139">
    <cfRule type="containsText" dxfId="4" priority="1003" operator="containsText" text="CANCELADA">
      <formula>NOT(ISERROR(SEARCH(("CANCELADA"),(S138))))</formula>
    </cfRule>
  </conditionalFormatting>
  <conditionalFormatting sqref="S138:S139">
    <cfRule type="containsText" dxfId="4" priority="1004" operator="containsText" text="RETIRADA">
      <formula>NOT(ISERROR(SEARCH(("RETIRADA"),(S138))))</formula>
    </cfRule>
  </conditionalFormatting>
  <conditionalFormatting sqref="S138:S139">
    <cfRule type="containsText" dxfId="4" priority="1005" operator="containsText" text="DECLINADO">
      <formula>NOT(ISERROR(SEARCH(("DECLINADO"),(S138))))</formula>
    </cfRule>
  </conditionalFormatting>
  <conditionalFormatting sqref="S138:S139">
    <cfRule type="containsText" dxfId="3" priority="1006" operator="containsText" text="CARREGADO">
      <formula>NOT(ISERROR(SEARCH(("CARREGADO"),(S138))))</formula>
    </cfRule>
  </conditionalFormatting>
  <conditionalFormatting sqref="S135 S138:S139">
    <cfRule type="containsText" dxfId="4" priority="1007" operator="containsText" text="CANCELADA">
      <formula>NOT(ISERROR(SEARCH(("CANCELADA"),(S135))))</formula>
    </cfRule>
  </conditionalFormatting>
  <conditionalFormatting sqref="S135 S138:S139">
    <cfRule type="containsText" dxfId="4" priority="1008" operator="containsText" text="RETIRADA">
      <formula>NOT(ISERROR(SEARCH(("RETIRADA"),(S135))))</formula>
    </cfRule>
  </conditionalFormatting>
  <conditionalFormatting sqref="S135 S138:S139">
    <cfRule type="containsText" dxfId="4" priority="1009" operator="containsText" text="DECLINADO">
      <formula>NOT(ISERROR(SEARCH(("DECLINADO"),(S135))))</formula>
    </cfRule>
  </conditionalFormatting>
  <conditionalFormatting sqref="S135 S138:S139">
    <cfRule type="containsText" dxfId="3" priority="1010" operator="containsText" text="CARREGADO">
      <formula>NOT(ISERROR(SEARCH(("CARREGADO"),(S135))))</formula>
    </cfRule>
  </conditionalFormatting>
  <conditionalFormatting sqref="A135">
    <cfRule type="cellIs" dxfId="1" priority="1011" operator="greaterThan">
      <formula>100000000</formula>
    </cfRule>
  </conditionalFormatting>
  <conditionalFormatting sqref="A135">
    <cfRule type="expression" dxfId="0" priority="1012">
      <formula>COUNTIF(#REF!,A135)&gt;1</formula>
    </cfRule>
  </conditionalFormatting>
  <conditionalFormatting sqref="A133">
    <cfRule type="expression" dxfId="0" priority="1013">
      <formula>COUNTIF(#REF!,A133)&gt;1</formula>
    </cfRule>
  </conditionalFormatting>
  <conditionalFormatting sqref="A133">
    <cfRule type="cellIs" dxfId="1" priority="1014" operator="greaterThan">
      <formula>100000000</formula>
    </cfRule>
  </conditionalFormatting>
  <conditionalFormatting sqref="S133:S136 S138:S139">
    <cfRule type="containsText" dxfId="3" priority="1015" operator="containsText" text="CARREGADO">
      <formula>NOT(ISERROR(SEARCH(("CARREGADO"),(S133))))</formula>
    </cfRule>
  </conditionalFormatting>
  <conditionalFormatting sqref="S133:S136 S138:S139">
    <cfRule type="containsText" dxfId="4" priority="1016" operator="containsText" text="DECLINADO">
      <formula>NOT(ISERROR(SEARCH(("DECLINADO"),(S133))))</formula>
    </cfRule>
  </conditionalFormatting>
  <conditionalFormatting sqref="S133:S136 S138:S139">
    <cfRule type="containsText" dxfId="4" priority="1017" operator="containsText" text="RETIRADA">
      <formula>NOT(ISERROR(SEARCH(("RETIRADA"),(S133))))</formula>
    </cfRule>
  </conditionalFormatting>
  <conditionalFormatting sqref="S133:S136 S138:S139">
    <cfRule type="containsText" dxfId="4" priority="1018" operator="containsText" text="CANCELADA">
      <formula>NOT(ISERROR(SEARCH(("CANCELADA"),(S133))))</formula>
    </cfRule>
  </conditionalFormatting>
  <conditionalFormatting sqref="S132">
    <cfRule type="containsText" dxfId="4" priority="1019" operator="containsText" text="CANCELADA">
      <formula>NOT(ISERROR(SEARCH(("CANCELADA"),(S132))))</formula>
    </cfRule>
  </conditionalFormatting>
  <conditionalFormatting sqref="S132">
    <cfRule type="containsText" dxfId="4" priority="1020" operator="containsText" text="RETIRADA">
      <formula>NOT(ISERROR(SEARCH(("RETIRADA"),(S132))))</formula>
    </cfRule>
  </conditionalFormatting>
  <conditionalFormatting sqref="S132">
    <cfRule type="containsText" dxfId="4" priority="1021" operator="containsText" text="DECLINADO">
      <formula>NOT(ISERROR(SEARCH(("DECLINADO"),(S132))))</formula>
    </cfRule>
  </conditionalFormatting>
  <conditionalFormatting sqref="S132">
    <cfRule type="containsText" dxfId="3" priority="1022" operator="containsText" text="CARREGADO">
      <formula>NOT(ISERROR(SEARCH(("CARREGADO"),(S132))))</formula>
    </cfRule>
  </conditionalFormatting>
  <conditionalFormatting sqref="A132">
    <cfRule type="cellIs" dxfId="1" priority="1023" operator="greaterThan">
      <formula>100000000</formula>
    </cfRule>
  </conditionalFormatting>
  <conditionalFormatting sqref="A132">
    <cfRule type="expression" dxfId="0" priority="1024">
      <formula>COUNTIF(#REF!,A132)&gt;1</formula>
    </cfRule>
  </conditionalFormatting>
  <conditionalFormatting sqref="S131:S132">
    <cfRule type="containsText" dxfId="4" priority="1025" operator="containsText" text="CANCELADA">
      <formula>NOT(ISERROR(SEARCH(("CANCELADA"),(S131))))</formula>
    </cfRule>
  </conditionalFormatting>
  <conditionalFormatting sqref="S131:S132">
    <cfRule type="containsText" dxfId="4" priority="1026" operator="containsText" text="RETIRADA">
      <formula>NOT(ISERROR(SEARCH(("RETIRADA"),(S131))))</formula>
    </cfRule>
  </conditionalFormatting>
  <conditionalFormatting sqref="S131:S132">
    <cfRule type="containsText" dxfId="4" priority="1027" operator="containsText" text="DECLINADO">
      <formula>NOT(ISERROR(SEARCH(("DECLINADO"),(S131))))</formula>
    </cfRule>
  </conditionalFormatting>
  <conditionalFormatting sqref="S131:S132">
    <cfRule type="containsText" dxfId="3" priority="1028" operator="containsText" text="CARREGADO">
      <formula>NOT(ISERROR(SEARCH(("CARREGADO"),(S131))))</formula>
    </cfRule>
  </conditionalFormatting>
  <conditionalFormatting sqref="A131">
    <cfRule type="cellIs" dxfId="1" priority="1029" operator="greaterThan">
      <formula>100000000</formula>
    </cfRule>
  </conditionalFormatting>
  <conditionalFormatting sqref="A131">
    <cfRule type="expression" dxfId="0" priority="1030">
      <formula>COUNTIF(#REF!,A131)&gt;1</formula>
    </cfRule>
  </conditionalFormatting>
  <conditionalFormatting sqref="A130">
    <cfRule type="cellIs" dxfId="1" priority="1031" operator="greaterThan">
      <formula>100000000</formula>
    </cfRule>
  </conditionalFormatting>
  <conditionalFormatting sqref="A130">
    <cfRule type="expression" dxfId="0" priority="1032">
      <formula>COUNTIF(#REF!,A130)&gt;1</formula>
    </cfRule>
  </conditionalFormatting>
  <conditionalFormatting sqref="S130:S132">
    <cfRule type="containsText" dxfId="4" priority="1033" operator="containsText" text="CANCELADA">
      <formula>NOT(ISERROR(SEARCH(("CANCELADA"),(S130))))</formula>
    </cfRule>
  </conditionalFormatting>
  <conditionalFormatting sqref="S130:S132">
    <cfRule type="containsText" dxfId="3" priority="1034" operator="containsText" text="CARREGADO">
      <formula>NOT(ISERROR(SEARCH(("CARREGADO"),(S130))))</formula>
    </cfRule>
  </conditionalFormatting>
  <conditionalFormatting sqref="S130:S132">
    <cfRule type="containsText" dxfId="4" priority="1035" operator="containsText" text="DECLINADO">
      <formula>NOT(ISERROR(SEARCH(("DECLINADO"),(S130))))</formula>
    </cfRule>
  </conditionalFormatting>
  <conditionalFormatting sqref="S130:S132">
    <cfRule type="containsText" dxfId="4" priority="1036" operator="containsText" text="RETIRADA">
      <formula>NOT(ISERROR(SEARCH(("RETIRADA"),(S130))))</formula>
    </cfRule>
  </conditionalFormatting>
  <conditionalFormatting sqref="A129">
    <cfRule type="expression" dxfId="0" priority="1037">
      <formula>COUNTIF(#REF!,A129)&gt;1</formula>
    </cfRule>
  </conditionalFormatting>
  <conditionalFormatting sqref="A129">
    <cfRule type="cellIs" dxfId="1" priority="1038" operator="greaterThan">
      <formula>100000000</formula>
    </cfRule>
  </conditionalFormatting>
  <conditionalFormatting sqref="S129:S132">
    <cfRule type="containsText" dxfId="3" priority="1039" operator="containsText" text="CARREGADO">
      <formula>NOT(ISERROR(SEARCH(("CARREGADO"),(S129))))</formula>
    </cfRule>
  </conditionalFormatting>
  <conditionalFormatting sqref="S129:S132">
    <cfRule type="containsText" dxfId="4" priority="1040" operator="containsText" text="DECLINADO">
      <formula>NOT(ISERROR(SEARCH(("DECLINADO"),(S129))))</formula>
    </cfRule>
  </conditionalFormatting>
  <conditionalFormatting sqref="S129:S132">
    <cfRule type="containsText" dxfId="4" priority="1041" operator="containsText" text="RETIRADA">
      <formula>NOT(ISERROR(SEARCH(("RETIRADA"),(S129))))</formula>
    </cfRule>
  </conditionalFormatting>
  <conditionalFormatting sqref="S129:S132">
    <cfRule type="containsText" dxfId="4" priority="1042" operator="containsText" text="CANCELADA">
      <formula>NOT(ISERROR(SEARCH(("CANCELADA"),(S129))))</formula>
    </cfRule>
  </conditionalFormatting>
  <conditionalFormatting sqref="S128">
    <cfRule type="containsText" dxfId="4" priority="1043" operator="containsText" text="CANCELADA">
      <formula>NOT(ISERROR(SEARCH(("CANCELADA"),(S128))))</formula>
    </cfRule>
  </conditionalFormatting>
  <conditionalFormatting sqref="S128">
    <cfRule type="containsText" dxfId="4" priority="1044" operator="containsText" text="RETIRADA">
      <formula>NOT(ISERROR(SEARCH(("RETIRADA"),(S128))))</formula>
    </cfRule>
  </conditionalFormatting>
  <conditionalFormatting sqref="S128">
    <cfRule type="containsText" dxfId="4" priority="1045" operator="containsText" text="DECLINADO">
      <formula>NOT(ISERROR(SEARCH(("DECLINADO"),(S128))))</formula>
    </cfRule>
  </conditionalFormatting>
  <conditionalFormatting sqref="S128">
    <cfRule type="containsText" dxfId="3" priority="1046" operator="containsText" text="CARREGADO">
      <formula>NOT(ISERROR(SEARCH(("CARREGADO"),(S128))))</formula>
    </cfRule>
  </conditionalFormatting>
  <conditionalFormatting sqref="A128">
    <cfRule type="cellIs" dxfId="1" priority="1047" operator="greaterThan">
      <formula>100000000</formula>
    </cfRule>
  </conditionalFormatting>
  <conditionalFormatting sqref="A128">
    <cfRule type="expression" dxfId="0" priority="1048">
      <formula>COUNTIF(#REF!,A128)&gt;1</formula>
    </cfRule>
  </conditionalFormatting>
  <conditionalFormatting sqref="S127:S128">
    <cfRule type="containsText" dxfId="4" priority="1049" operator="containsText" text="CANCELADA">
      <formula>NOT(ISERROR(SEARCH(("CANCELADA"),(S127))))</formula>
    </cfRule>
  </conditionalFormatting>
  <conditionalFormatting sqref="S127:S128">
    <cfRule type="containsText" dxfId="4" priority="1050" operator="containsText" text="RETIRADA">
      <formula>NOT(ISERROR(SEARCH(("RETIRADA"),(S127))))</formula>
    </cfRule>
  </conditionalFormatting>
  <conditionalFormatting sqref="S127:S128">
    <cfRule type="containsText" dxfId="4" priority="1051" operator="containsText" text="DECLINADO">
      <formula>NOT(ISERROR(SEARCH(("DECLINADO"),(S127))))</formula>
    </cfRule>
  </conditionalFormatting>
  <conditionalFormatting sqref="S127:S128">
    <cfRule type="containsText" dxfId="3" priority="1052" operator="containsText" text="CARREGADO">
      <formula>NOT(ISERROR(SEARCH(("CARREGADO"),(S127))))</formula>
    </cfRule>
  </conditionalFormatting>
  <conditionalFormatting sqref="A127">
    <cfRule type="cellIs" dxfId="1" priority="1053" operator="greaterThan">
      <formula>100000000</formula>
    </cfRule>
  </conditionalFormatting>
  <conditionalFormatting sqref="A127">
    <cfRule type="expression" dxfId="0" priority="1054">
      <formula>COUNTIF(#REF!,A127)&gt;1</formula>
    </cfRule>
  </conditionalFormatting>
  <conditionalFormatting sqref="A125:A126">
    <cfRule type="expression" dxfId="0" priority="1055">
      <formula>COUNTIF(#REF!,A125)&gt;1</formula>
    </cfRule>
  </conditionalFormatting>
  <conditionalFormatting sqref="A125:A126">
    <cfRule type="cellIs" dxfId="1" priority="1056" operator="greaterThan">
      <formula>100000000</formula>
    </cfRule>
  </conditionalFormatting>
  <conditionalFormatting sqref="S125:S128">
    <cfRule type="containsText" dxfId="3" priority="1057" operator="containsText" text="CARREGADO">
      <formula>NOT(ISERROR(SEARCH(("CARREGADO"),(S125))))</formula>
    </cfRule>
  </conditionalFormatting>
  <conditionalFormatting sqref="S125:S128">
    <cfRule type="containsText" dxfId="4" priority="1058" operator="containsText" text="DECLINADO">
      <formula>NOT(ISERROR(SEARCH(("DECLINADO"),(S125))))</formula>
    </cfRule>
  </conditionalFormatting>
  <conditionalFormatting sqref="S125:S128">
    <cfRule type="containsText" dxfId="4" priority="1059" operator="containsText" text="RETIRADA">
      <formula>NOT(ISERROR(SEARCH(("RETIRADA"),(S125))))</formula>
    </cfRule>
  </conditionalFormatting>
  <conditionalFormatting sqref="S125:S128">
    <cfRule type="containsText" dxfId="4" priority="1060" operator="containsText" text="CANCELADA">
      <formula>NOT(ISERROR(SEARCH(("CANCELADA"),(S125))))</formula>
    </cfRule>
  </conditionalFormatting>
  <conditionalFormatting sqref="A124">
    <cfRule type="expression" dxfId="0" priority="1061">
      <formula>COUNTIF(#REF!,A124)&gt;1</formula>
    </cfRule>
  </conditionalFormatting>
  <conditionalFormatting sqref="A124">
    <cfRule type="cellIs" dxfId="1" priority="1062" operator="greaterThan">
      <formula>100000000</formula>
    </cfRule>
  </conditionalFormatting>
  <conditionalFormatting sqref="S124">
    <cfRule type="containsText" dxfId="3" priority="1063" operator="containsText" text="CARREGADO">
      <formula>NOT(ISERROR(SEARCH(("CARREGADO"),(S124))))</formula>
    </cfRule>
  </conditionalFormatting>
  <conditionalFormatting sqref="S124">
    <cfRule type="containsText" dxfId="4" priority="1064" operator="containsText" text="DECLINADO">
      <formula>NOT(ISERROR(SEARCH(("DECLINADO"),(S124))))</formula>
    </cfRule>
  </conditionalFormatting>
  <conditionalFormatting sqref="S124">
    <cfRule type="containsText" dxfId="4" priority="1065" operator="containsText" text="RETIRADA">
      <formula>NOT(ISERROR(SEARCH(("RETIRADA"),(S124))))</formula>
    </cfRule>
  </conditionalFormatting>
  <conditionalFormatting sqref="S124">
    <cfRule type="containsText" dxfId="4" priority="1066" operator="containsText" text="CANCELADA">
      <formula>NOT(ISERROR(SEARCH(("CANCELADA"),(S124))))</formula>
    </cfRule>
  </conditionalFormatting>
  <conditionalFormatting sqref="S123">
    <cfRule type="containsText" dxfId="4" priority="1067" operator="containsText" text="CANCELADA">
      <formula>NOT(ISERROR(SEARCH(("CANCELADA"),(S123))))</formula>
    </cfRule>
  </conditionalFormatting>
  <conditionalFormatting sqref="S123">
    <cfRule type="containsText" dxfId="4" priority="1068" operator="containsText" text="RETIRADA">
      <formula>NOT(ISERROR(SEARCH(("RETIRADA"),(S123))))</formula>
    </cfRule>
  </conditionalFormatting>
  <conditionalFormatting sqref="S123">
    <cfRule type="containsText" dxfId="4" priority="1069" operator="containsText" text="DECLINADO">
      <formula>NOT(ISERROR(SEARCH(("DECLINADO"),(S123))))</formula>
    </cfRule>
  </conditionalFormatting>
  <conditionalFormatting sqref="S123">
    <cfRule type="containsText" dxfId="3" priority="1070" operator="containsText" text="CARREGADO">
      <formula>NOT(ISERROR(SEARCH(("CARREGADO"),(S123))))</formula>
    </cfRule>
  </conditionalFormatting>
  <conditionalFormatting sqref="A123">
    <cfRule type="expression" dxfId="0" priority="1071">
      <formula>COUNTIF(#REF!,A123)&gt;1</formula>
    </cfRule>
  </conditionalFormatting>
  <conditionalFormatting sqref="A123">
    <cfRule type="cellIs" dxfId="1" priority="1072" operator="greaterThan">
      <formula>100000000</formula>
    </cfRule>
  </conditionalFormatting>
  <conditionalFormatting sqref="S119:S122">
    <cfRule type="containsText" dxfId="4" priority="1073" operator="containsText" text="CANCELADA">
      <formula>NOT(ISERROR(SEARCH(("CANCELADA"),(S119))))</formula>
    </cfRule>
  </conditionalFormatting>
  <conditionalFormatting sqref="S119:S122">
    <cfRule type="containsText" dxfId="4" priority="1074" operator="containsText" text="RETIRADA">
      <formula>NOT(ISERROR(SEARCH(("RETIRADA"),(S119))))</formula>
    </cfRule>
  </conditionalFormatting>
  <conditionalFormatting sqref="S119:S122">
    <cfRule type="containsText" dxfId="4" priority="1075" operator="containsText" text="DECLINADO">
      <formula>NOT(ISERROR(SEARCH(("DECLINADO"),(S119))))</formula>
    </cfRule>
  </conditionalFormatting>
  <conditionalFormatting sqref="S119:S122">
    <cfRule type="containsText" dxfId="3" priority="1076" operator="containsText" text="CARREGADO">
      <formula>NOT(ISERROR(SEARCH(("CARREGADO"),(S119))))</formula>
    </cfRule>
  </conditionalFormatting>
  <conditionalFormatting sqref="A119:A122">
    <cfRule type="expression" dxfId="0" priority="1077">
      <formula>COUNTIF(#REF!,A119)&gt;1</formula>
    </cfRule>
  </conditionalFormatting>
  <conditionalFormatting sqref="A119:A122">
    <cfRule type="cellIs" dxfId="1" priority="1078" operator="greaterThan">
      <formula>100000000</formula>
    </cfRule>
  </conditionalFormatting>
  <conditionalFormatting sqref="S117:S118">
    <cfRule type="containsText" dxfId="4" priority="1079" operator="containsText" text="CANCELADA">
      <formula>NOT(ISERROR(SEARCH(("CANCELADA"),(S117))))</formula>
    </cfRule>
  </conditionalFormatting>
  <conditionalFormatting sqref="S117:S118">
    <cfRule type="containsText" dxfId="4" priority="1080" operator="containsText" text="RETIRADA">
      <formula>NOT(ISERROR(SEARCH(("RETIRADA"),(S117))))</formula>
    </cfRule>
  </conditionalFormatting>
  <conditionalFormatting sqref="S117:S118">
    <cfRule type="containsText" dxfId="4" priority="1081" operator="containsText" text="DECLINADO">
      <formula>NOT(ISERROR(SEARCH(("DECLINADO"),(S117))))</formula>
    </cfRule>
  </conditionalFormatting>
  <conditionalFormatting sqref="S117:S118">
    <cfRule type="containsText" dxfId="3" priority="1082" operator="containsText" text="CARREGADO">
      <formula>NOT(ISERROR(SEARCH(("CARREGADO"),(S117))))</formula>
    </cfRule>
  </conditionalFormatting>
  <conditionalFormatting sqref="A117:A118">
    <cfRule type="expression" dxfId="0" priority="1083">
      <formula>COUNTIF(#REF!,A117)&gt;1</formula>
    </cfRule>
  </conditionalFormatting>
  <conditionalFormatting sqref="A117:A118">
    <cfRule type="cellIs" dxfId="1" priority="1084" operator="greaterThan">
      <formula>100000000</formula>
    </cfRule>
  </conditionalFormatting>
  <conditionalFormatting sqref="S116:S123">
    <cfRule type="containsText" dxfId="4" priority="1085" operator="containsText" text="CANCELADA">
      <formula>NOT(ISERROR(SEARCH(("CANCELADA"),(S116))))</formula>
    </cfRule>
  </conditionalFormatting>
  <conditionalFormatting sqref="S116:S123">
    <cfRule type="containsText" dxfId="4" priority="1086" operator="containsText" text="RETIRADA">
      <formula>NOT(ISERROR(SEARCH(("RETIRADA"),(S116))))</formula>
    </cfRule>
  </conditionalFormatting>
  <conditionalFormatting sqref="S116:S123">
    <cfRule type="containsText" dxfId="4" priority="1087" operator="containsText" text="DECLINADO">
      <formula>NOT(ISERROR(SEARCH(("DECLINADO"),(S116))))</formula>
    </cfRule>
  </conditionalFormatting>
  <conditionalFormatting sqref="S116:S123">
    <cfRule type="containsText" dxfId="3" priority="1088" operator="containsText" text="CARREGADO">
      <formula>NOT(ISERROR(SEARCH(("CARREGADO"),(S116))))</formula>
    </cfRule>
  </conditionalFormatting>
  <conditionalFormatting sqref="A116">
    <cfRule type="cellIs" dxfId="1" priority="1089" operator="greaterThan">
      <formula>100000000</formula>
    </cfRule>
  </conditionalFormatting>
  <conditionalFormatting sqref="A116">
    <cfRule type="expression" dxfId="0" priority="1090">
      <formula>COUNTIF(#REF!,A116)&gt;1</formula>
    </cfRule>
  </conditionalFormatting>
  <conditionalFormatting sqref="A114:A115 A117:A123">
    <cfRule type="expression" dxfId="0" priority="1091">
      <formula>COUNTIF(#REF!,A114)&gt;1</formula>
    </cfRule>
  </conditionalFormatting>
  <conditionalFormatting sqref="A114:A115 A117:A123">
    <cfRule type="cellIs" dxfId="1" priority="1092" operator="greaterThan">
      <formula>100000000</formula>
    </cfRule>
  </conditionalFormatting>
  <conditionalFormatting sqref="S114:S115">
    <cfRule type="containsText" dxfId="3" priority="1093" operator="containsText" text="CARREGADO">
      <formula>NOT(ISERROR(SEARCH(("CARREGADO"),(S114))))</formula>
    </cfRule>
  </conditionalFormatting>
  <conditionalFormatting sqref="S114:S115">
    <cfRule type="containsText" dxfId="4" priority="1094" operator="containsText" text="DECLINADO">
      <formula>NOT(ISERROR(SEARCH(("DECLINADO"),(S114))))</formula>
    </cfRule>
  </conditionalFormatting>
  <conditionalFormatting sqref="S114:S115">
    <cfRule type="containsText" dxfId="4" priority="1095" operator="containsText" text="RETIRADA">
      <formula>NOT(ISERROR(SEARCH(("RETIRADA"),(S114))))</formula>
    </cfRule>
  </conditionalFormatting>
  <conditionalFormatting sqref="S114:S115">
    <cfRule type="containsText" dxfId="4" priority="1096" operator="containsText" text="CANCELADA">
      <formula>NOT(ISERROR(SEARCH(("CANCELADA"),(S114))))</formula>
    </cfRule>
  </conditionalFormatting>
  <conditionalFormatting sqref="S109:S110 S114:S123">
    <cfRule type="containsText" dxfId="4" priority="1097" operator="containsText" text="CANCELADA">
      <formula>NOT(ISERROR(SEARCH(("CANCELADA"),(S109))))</formula>
    </cfRule>
  </conditionalFormatting>
  <conditionalFormatting sqref="S109:S110 S114:S123">
    <cfRule type="containsText" dxfId="4" priority="1098" operator="containsText" text="RETIRADA">
      <formula>NOT(ISERROR(SEARCH(("RETIRADA"),(S109))))</formula>
    </cfRule>
  </conditionalFormatting>
  <conditionalFormatting sqref="S109:S110 S114:S123">
    <cfRule type="containsText" dxfId="4" priority="1099" operator="containsText" text="DECLINADO">
      <formula>NOT(ISERROR(SEARCH(("DECLINADO"),(S109))))</formula>
    </cfRule>
  </conditionalFormatting>
  <conditionalFormatting sqref="S109:S110 S114:S123">
    <cfRule type="containsText" dxfId="3" priority="1100" operator="containsText" text="CARREGADO">
      <formula>NOT(ISERROR(SEARCH(("CARREGADO"),(S109))))</formula>
    </cfRule>
  </conditionalFormatting>
  <conditionalFormatting sqref="A109:A110">
    <cfRule type="cellIs" dxfId="1" priority="1101" operator="greaterThan">
      <formula>100000000</formula>
    </cfRule>
  </conditionalFormatting>
  <conditionalFormatting sqref="A109:A110">
    <cfRule type="expression" dxfId="0" priority="1102">
      <formula>COUNTIF(#REF!,A109)&gt;1</formula>
    </cfRule>
  </conditionalFormatting>
  <conditionalFormatting sqref="S103:S108">
    <cfRule type="containsText" dxfId="4" priority="1103" operator="containsText" text="CANCELADA">
      <formula>NOT(ISERROR(SEARCH(("CANCELADA"),(S103))))</formula>
    </cfRule>
  </conditionalFormatting>
  <conditionalFormatting sqref="S103:S108">
    <cfRule type="containsText" dxfId="4" priority="1104" operator="containsText" text="RETIRADA">
      <formula>NOT(ISERROR(SEARCH(("RETIRADA"),(S103))))</formula>
    </cfRule>
  </conditionalFormatting>
  <conditionalFormatting sqref="S103:S108">
    <cfRule type="containsText" dxfId="4" priority="1105" operator="containsText" text="DECLINADO">
      <formula>NOT(ISERROR(SEARCH(("DECLINADO"),(S103))))</formula>
    </cfRule>
  </conditionalFormatting>
  <conditionalFormatting sqref="S103:S108">
    <cfRule type="containsText" dxfId="3" priority="1106" operator="containsText" text="CARREGADO">
      <formula>NOT(ISERROR(SEARCH(("CARREGADO"),(S103))))</formula>
    </cfRule>
  </conditionalFormatting>
  <conditionalFormatting sqref="A103:A108">
    <cfRule type="cellIs" dxfId="1" priority="1107" operator="greaterThan">
      <formula>100000000</formula>
    </cfRule>
  </conditionalFormatting>
  <conditionalFormatting sqref="A103:A108">
    <cfRule type="expression" dxfId="0" priority="1108">
      <formula>COUNTIF(#REF!,A103)&gt;1</formula>
    </cfRule>
  </conditionalFormatting>
  <conditionalFormatting sqref="S99:S110 S114:S123">
    <cfRule type="containsText" dxfId="4" priority="1109" operator="containsText" text="CANCELADA">
      <formula>NOT(ISERROR(SEARCH(("CANCELADA"),(S99))))</formula>
    </cfRule>
  </conditionalFormatting>
  <conditionalFormatting sqref="S99:S110 S114:S123">
    <cfRule type="containsText" dxfId="4" priority="1110" operator="containsText" text="RETIRADA">
      <formula>NOT(ISERROR(SEARCH(("RETIRADA"),(S99))))</formula>
    </cfRule>
  </conditionalFormatting>
  <conditionalFormatting sqref="S99:S110 S114:S123">
    <cfRule type="containsText" dxfId="4" priority="1111" operator="containsText" text="DECLINADO">
      <formula>NOT(ISERROR(SEARCH(("DECLINADO"),(S99))))</formula>
    </cfRule>
  </conditionalFormatting>
  <conditionalFormatting sqref="S99:S110 S114:S123">
    <cfRule type="containsText" dxfId="3" priority="1112" operator="containsText" text="CARREGADO">
      <formula>NOT(ISERROR(SEARCH(("CARREGADO"),(S99))))</formula>
    </cfRule>
  </conditionalFormatting>
  <conditionalFormatting sqref="A99:A102">
    <cfRule type="cellIs" dxfId="1" priority="1113" operator="greaterThan">
      <formula>100000000</formula>
    </cfRule>
  </conditionalFormatting>
  <conditionalFormatting sqref="A99:A102">
    <cfRule type="expression" dxfId="0" priority="1114">
      <formula>COUNTIF(#REF!,A99)&gt;1</formula>
    </cfRule>
  </conditionalFormatting>
  <conditionalFormatting sqref="A98">
    <cfRule type="expression" dxfId="0" priority="1115">
      <formula>COUNTIF(#REF!,A98)&gt;1</formula>
    </cfRule>
  </conditionalFormatting>
  <conditionalFormatting sqref="A98">
    <cfRule type="cellIs" dxfId="1" priority="1116" operator="greaterThan">
      <formula>100000000</formula>
    </cfRule>
  </conditionalFormatting>
  <conditionalFormatting sqref="S98:S110 S114:S123">
    <cfRule type="containsText" dxfId="3" priority="1117" operator="containsText" text="CARREGADO">
      <formula>NOT(ISERROR(SEARCH(("CARREGADO"),(S98))))</formula>
    </cfRule>
  </conditionalFormatting>
  <conditionalFormatting sqref="S98:S110 S114:S123">
    <cfRule type="containsText" dxfId="4" priority="1118" operator="containsText" text="DECLINADO">
      <formula>NOT(ISERROR(SEARCH(("DECLINADO"),(S98))))</formula>
    </cfRule>
  </conditionalFormatting>
  <conditionalFormatting sqref="S98:S110 S114:S123">
    <cfRule type="containsText" dxfId="4" priority="1119" operator="containsText" text="RETIRADA">
      <formula>NOT(ISERROR(SEARCH(("RETIRADA"),(S98))))</formula>
    </cfRule>
  </conditionalFormatting>
  <conditionalFormatting sqref="S98:S110 S114:S123">
    <cfRule type="containsText" dxfId="4" priority="1120" operator="containsText" text="CANCELADA">
      <formula>NOT(ISERROR(SEARCH(("CANCELADA"),(S98))))</formula>
    </cfRule>
  </conditionalFormatting>
  <conditionalFormatting sqref="A97">
    <cfRule type="expression" dxfId="0" priority="1121">
      <formula>COUNTIF(#REF!,A97)&gt;1</formula>
    </cfRule>
  </conditionalFormatting>
  <conditionalFormatting sqref="A97">
    <cfRule type="cellIs" dxfId="1" priority="1122" operator="greaterThan">
      <formula>100000000</formula>
    </cfRule>
  </conditionalFormatting>
  <conditionalFormatting sqref="S97">
    <cfRule type="containsText" dxfId="3" priority="1123" operator="containsText" text="CARREGADO">
      <formula>NOT(ISERROR(SEARCH(("CARREGADO"),(S97))))</formula>
    </cfRule>
  </conditionalFormatting>
  <conditionalFormatting sqref="S97">
    <cfRule type="containsText" dxfId="4" priority="1124" operator="containsText" text="DECLINADO">
      <formula>NOT(ISERROR(SEARCH(("DECLINADO"),(S97))))</formula>
    </cfRule>
  </conditionalFormatting>
  <conditionalFormatting sqref="S97">
    <cfRule type="containsText" dxfId="4" priority="1125" operator="containsText" text="RETIRADA">
      <formula>NOT(ISERROR(SEARCH(("RETIRADA"),(S97))))</formula>
    </cfRule>
  </conditionalFormatting>
  <conditionalFormatting sqref="S97">
    <cfRule type="containsText" dxfId="4" priority="1126" operator="containsText" text="CANCELADA">
      <formula>NOT(ISERROR(SEARCH(("CANCELADA"),(S97))))</formula>
    </cfRule>
  </conditionalFormatting>
  <conditionalFormatting sqref="S96">
    <cfRule type="containsText" dxfId="4" priority="1127" operator="containsText" text="CANCELADA">
      <formula>NOT(ISERROR(SEARCH(("CANCELADA"),(S96))))</formula>
    </cfRule>
  </conditionalFormatting>
  <conditionalFormatting sqref="A96">
    <cfRule type="cellIs" dxfId="1" priority="1128" operator="greaterThan">
      <formula>100000000</formula>
    </cfRule>
  </conditionalFormatting>
  <conditionalFormatting sqref="A96">
    <cfRule type="expression" dxfId="0" priority="1129">
      <formula>COUNTIF(#REF!,A96)&gt;1</formula>
    </cfRule>
  </conditionalFormatting>
  <conditionalFormatting sqref="S96">
    <cfRule type="containsText" dxfId="4" priority="1130" operator="containsText" text="RETIRADA">
      <formula>NOT(ISERROR(SEARCH(("RETIRADA"),(S96))))</formula>
    </cfRule>
  </conditionalFormatting>
  <conditionalFormatting sqref="S96">
    <cfRule type="containsText" dxfId="4" priority="1131" operator="containsText" text="DECLINADO">
      <formula>NOT(ISERROR(SEARCH(("DECLINADO"),(S96))))</formula>
    </cfRule>
  </conditionalFormatting>
  <conditionalFormatting sqref="S96">
    <cfRule type="containsText" dxfId="3" priority="1132" operator="containsText" text="CARREGADO">
      <formula>NOT(ISERROR(SEARCH(("CARREGADO"),(S96))))</formula>
    </cfRule>
  </conditionalFormatting>
  <conditionalFormatting sqref="S95">
    <cfRule type="containsText" dxfId="4" priority="1133" operator="containsText" text="CANCELADA">
      <formula>NOT(ISERROR(SEARCH(("CANCELADA"),(S95))))</formula>
    </cfRule>
  </conditionalFormatting>
  <conditionalFormatting sqref="A95">
    <cfRule type="cellIs" dxfId="1" priority="1134" operator="greaterThan">
      <formula>100000000</formula>
    </cfRule>
  </conditionalFormatting>
  <conditionalFormatting sqref="A95">
    <cfRule type="expression" dxfId="0" priority="1135">
      <formula>COUNTIF(#REF!,A95)&gt;1</formula>
    </cfRule>
  </conditionalFormatting>
  <conditionalFormatting sqref="S95">
    <cfRule type="containsText" dxfId="4" priority="1136" operator="containsText" text="RETIRADA">
      <formula>NOT(ISERROR(SEARCH(("RETIRADA"),(S95))))</formula>
    </cfRule>
  </conditionalFormatting>
  <conditionalFormatting sqref="S95">
    <cfRule type="containsText" dxfId="4" priority="1137" operator="containsText" text="DECLINADO">
      <formula>NOT(ISERROR(SEARCH(("DECLINADO"),(S95))))</formula>
    </cfRule>
  </conditionalFormatting>
  <conditionalFormatting sqref="S95">
    <cfRule type="containsText" dxfId="3" priority="1138" operator="containsText" text="CARREGADO">
      <formula>NOT(ISERROR(SEARCH(("CARREGADO"),(S95))))</formula>
    </cfRule>
  </conditionalFormatting>
  <conditionalFormatting sqref="S94">
    <cfRule type="containsText" dxfId="4" priority="1139" operator="containsText" text="CANCELADA">
      <formula>NOT(ISERROR(SEARCH(("CANCELADA"),(S94))))</formula>
    </cfRule>
  </conditionalFormatting>
  <conditionalFormatting sqref="S94">
    <cfRule type="containsText" dxfId="4" priority="1140" operator="containsText" text="RETIRADA">
      <formula>NOT(ISERROR(SEARCH(("RETIRADA"),(S94))))</formula>
    </cfRule>
  </conditionalFormatting>
  <conditionalFormatting sqref="S94">
    <cfRule type="containsText" dxfId="4" priority="1141" operator="containsText" text="DECLINADO">
      <formula>NOT(ISERROR(SEARCH(("DECLINADO"),(S94))))</formula>
    </cfRule>
  </conditionalFormatting>
  <conditionalFormatting sqref="S94">
    <cfRule type="containsText" dxfId="3" priority="1142" operator="containsText" text="CARREGADO">
      <formula>NOT(ISERROR(SEARCH(("CARREGADO"),(S94))))</formula>
    </cfRule>
  </conditionalFormatting>
  <conditionalFormatting sqref="A94">
    <cfRule type="cellIs" dxfId="1" priority="1143" operator="greaterThan">
      <formula>100000000</formula>
    </cfRule>
  </conditionalFormatting>
  <conditionalFormatting sqref="A94">
    <cfRule type="expression" dxfId="0" priority="1144">
      <formula>COUNTIF(#REF!,A94)&gt;1</formula>
    </cfRule>
  </conditionalFormatting>
  <conditionalFormatting sqref="A92:A93">
    <cfRule type="expression" dxfId="0" priority="1145">
      <formula>COUNTIF(#REF!,A92)&gt;1</formula>
    </cfRule>
  </conditionalFormatting>
  <conditionalFormatting sqref="A92:A93">
    <cfRule type="cellIs" dxfId="1" priority="1146" operator="greaterThan">
      <formula>100000000</formula>
    </cfRule>
  </conditionalFormatting>
  <conditionalFormatting sqref="S92:S93">
    <cfRule type="containsText" dxfId="3" priority="1147" operator="containsText" text="CARREGADO">
      <formula>NOT(ISERROR(SEARCH(("CARREGADO"),(S92))))</formula>
    </cfRule>
  </conditionalFormatting>
  <conditionalFormatting sqref="S92:S93">
    <cfRule type="containsText" dxfId="4" priority="1148" operator="containsText" text="DECLINADO">
      <formula>NOT(ISERROR(SEARCH(("DECLINADO"),(S92))))</formula>
    </cfRule>
  </conditionalFormatting>
  <conditionalFormatting sqref="S92:S93">
    <cfRule type="containsText" dxfId="4" priority="1149" operator="containsText" text="RETIRADA">
      <formula>NOT(ISERROR(SEARCH(("RETIRADA"),(S92))))</formula>
    </cfRule>
  </conditionalFormatting>
  <conditionalFormatting sqref="S92:S93">
    <cfRule type="containsText" dxfId="4" priority="1150" operator="containsText" text="CANCELADA">
      <formula>NOT(ISERROR(SEARCH(("CANCELADA"),(S92))))</formula>
    </cfRule>
  </conditionalFormatting>
  <conditionalFormatting sqref="A90:A91">
    <cfRule type="expression" dxfId="0" priority="1151">
      <formula>COUNTIF(#REF!,A90)&gt;1</formula>
    </cfRule>
  </conditionalFormatting>
  <conditionalFormatting sqref="A90:A91">
    <cfRule type="cellIs" dxfId="1" priority="1152" operator="greaterThan">
      <formula>100000000</formula>
    </cfRule>
  </conditionalFormatting>
  <conditionalFormatting sqref="S90:S91">
    <cfRule type="containsText" dxfId="3" priority="1153" operator="containsText" text="CARREGADO">
      <formula>NOT(ISERROR(SEARCH(("CARREGADO"),(S90))))</formula>
    </cfRule>
  </conditionalFormatting>
  <conditionalFormatting sqref="S90:S91">
    <cfRule type="containsText" dxfId="4" priority="1154" operator="containsText" text="DECLINADO">
      <formula>NOT(ISERROR(SEARCH(("DECLINADO"),(S90))))</formula>
    </cfRule>
  </conditionalFormatting>
  <conditionalFormatting sqref="S90:S91">
    <cfRule type="containsText" dxfId="4" priority="1155" operator="containsText" text="RETIRADA">
      <formula>NOT(ISERROR(SEARCH(("RETIRADA"),(S90))))</formula>
    </cfRule>
  </conditionalFormatting>
  <conditionalFormatting sqref="S90:S91">
    <cfRule type="containsText" dxfId="4" priority="1156" operator="containsText" text="CANCELADA">
      <formula>NOT(ISERROR(SEARCH(("CANCELADA"),(S90))))</formula>
    </cfRule>
  </conditionalFormatting>
  <conditionalFormatting sqref="A89">
    <cfRule type="expression" dxfId="0" priority="1157">
      <formula>COUNTIF(#REF!,A89)&gt;1</formula>
    </cfRule>
  </conditionalFormatting>
  <conditionalFormatting sqref="A89">
    <cfRule type="cellIs" dxfId="1" priority="1158" operator="greaterThan">
      <formula>100000000</formula>
    </cfRule>
  </conditionalFormatting>
  <conditionalFormatting sqref="S89">
    <cfRule type="containsText" dxfId="4" priority="1159" operator="containsText" text="CANCELADA">
      <formula>NOT(ISERROR(SEARCH(("CANCELADA"),(S89))))</formula>
    </cfRule>
  </conditionalFormatting>
  <conditionalFormatting sqref="S89">
    <cfRule type="containsText" dxfId="3" priority="1160" operator="containsText" text="CARREGADO">
      <formula>NOT(ISERROR(SEARCH(("CARREGADO"),(S89))))</formula>
    </cfRule>
  </conditionalFormatting>
  <conditionalFormatting sqref="S89">
    <cfRule type="containsText" dxfId="4" priority="1161" operator="containsText" text="DECLINADO">
      <formula>NOT(ISERROR(SEARCH(("DECLINADO"),(S89))))</formula>
    </cfRule>
  </conditionalFormatting>
  <conditionalFormatting sqref="S89">
    <cfRule type="containsText" dxfId="4" priority="1162" operator="containsText" text="RETIRADA">
      <formula>NOT(ISERROR(SEARCH(("RETIRADA"),(S89))))</formula>
    </cfRule>
  </conditionalFormatting>
  <conditionalFormatting sqref="A87:A88">
    <cfRule type="expression" dxfId="0" priority="1163">
      <formula>COUNTIF(#REF!,A87)&gt;1</formula>
    </cfRule>
  </conditionalFormatting>
  <conditionalFormatting sqref="A87:A88">
    <cfRule type="cellIs" dxfId="1" priority="1164" operator="greaterThan">
      <formula>100000000</formula>
    </cfRule>
  </conditionalFormatting>
  <conditionalFormatting sqref="S87:S88">
    <cfRule type="containsText" dxfId="3" priority="1165" operator="containsText" text="CARREGADO">
      <formula>NOT(ISERROR(SEARCH(("CARREGADO"),(S87))))</formula>
    </cfRule>
  </conditionalFormatting>
  <conditionalFormatting sqref="S87:S88">
    <cfRule type="containsText" dxfId="4" priority="1166" operator="containsText" text="DECLINADO">
      <formula>NOT(ISERROR(SEARCH(("DECLINADO"),(S87))))</formula>
    </cfRule>
  </conditionalFormatting>
  <conditionalFormatting sqref="S87:S88">
    <cfRule type="containsText" dxfId="4" priority="1167" operator="containsText" text="RETIRADA">
      <formula>NOT(ISERROR(SEARCH(("RETIRADA"),(S87))))</formula>
    </cfRule>
  </conditionalFormatting>
  <conditionalFormatting sqref="S87:S88">
    <cfRule type="containsText" dxfId="4" priority="1168" operator="containsText" text="CANCELADA">
      <formula>NOT(ISERROR(SEARCH(("CANCELADA"),(S87))))</formula>
    </cfRule>
  </conditionalFormatting>
  <conditionalFormatting sqref="S84:S88 S111:S113 S134:S136 S138:S142 S144:S178 S182:S183 S189:S197 S220:S247 S258:S307 S396:S401 S406:S414 S420:S428 S455:S458 S488:S492 S499:S500 S502:S508 S532:S537 S592 S600:S1075">
    <cfRule type="containsText" dxfId="4" priority="1169" operator="containsText" text="CANCELADA">
      <formula>NOT(ISERROR(SEARCH(("CANCELADA"),(S84))))</formula>
    </cfRule>
  </conditionalFormatting>
  <conditionalFormatting sqref="A84:A86 A111:A113 A134 A136 A140 A150:A154 A160:A161 A182:A183 A189:A190 A194 A220:A268 A273:A274 A277:A286 A297:A298 A306:A307 A401 A409:A410 A414 A420:A428 A455:A458 A488:A492 A499:A500 A502:A508 A532:A537 A592 A600:A1076">
    <cfRule type="cellIs" dxfId="1" priority="1170" operator="greaterThan">
      <formula>100000000</formula>
    </cfRule>
  </conditionalFormatting>
  <conditionalFormatting sqref="A84:A86 A111:A113 A134 A136 A140 A150:A154 A160:A161 A182:A183 A189:A190 A194 A220:A268 A273:A274 A277:A286 A297:A298 A306:A307 A401 A409:A410 A414 A420:A428 A455:A458 A488:A492 A499:A500 A502:A508 A532:A537 A592 A600:A1076">
    <cfRule type="expression" dxfId="0" priority="1171">
      <formula>COUNTIF(#REF!,A84)&gt;1</formula>
    </cfRule>
  </conditionalFormatting>
  <conditionalFormatting sqref="S84:S88 S111:S113 S134:S136 S138:S142 S144:S178 S182:S183 S189:S197 S220:S247 S258:S307 S396:S401 S406:S414 S420:S428 S455:S458 S488:S492 S499:S500 S502:S508 S532:S537 S592 S600:S1075">
    <cfRule type="containsText" dxfId="4" priority="1172" operator="containsText" text="RETIRADA">
      <formula>NOT(ISERROR(SEARCH(("RETIRADA"),(S84))))</formula>
    </cfRule>
  </conditionalFormatting>
  <conditionalFormatting sqref="S84:S88 S111:S113 S134:S136 S138:S142 S144:S178 S182:S183 S189:S197 S220:S247 S258:S307 S396:S401 S406:S414 S420:S428 S455:S458 S488:S492 S499:S500 S502:S508 S532:S537 S592 S600:S1075">
    <cfRule type="containsText" dxfId="4" priority="1173" operator="containsText" text="DECLINADO">
      <formula>NOT(ISERROR(SEARCH(("DECLINADO"),(S84))))</formula>
    </cfRule>
  </conditionalFormatting>
  <conditionalFormatting sqref="S84:S88 S111:S113 S134:S136 S138:S142 S144:S178 S182:S183 S189:S197 S220:S247 S258:S307 S396:S401 S406:S414 S420:S428 S455:S458 S488:S492 S499:S500 S502:S508 S532:S537 S592 S600:S1075">
    <cfRule type="containsText" dxfId="3" priority="1174" operator="containsText" text="CARREGADO">
      <formula>NOT(ISERROR(SEARCH(("CARREGADO"),(S84))))</formula>
    </cfRule>
  </conditionalFormatting>
  <conditionalFormatting sqref="S82:S83">
    <cfRule type="containsText" dxfId="4" priority="1175" operator="containsText" text="CANCELADA">
      <formula>NOT(ISERROR(SEARCH(("CANCELADA"),(S82))))</formula>
    </cfRule>
  </conditionalFormatting>
  <conditionalFormatting sqref="S82:S83">
    <cfRule type="containsText" dxfId="4" priority="1176" operator="containsText" text="RETIRADA">
      <formula>NOT(ISERROR(SEARCH(("RETIRADA"),(S82))))</formula>
    </cfRule>
  </conditionalFormatting>
  <conditionalFormatting sqref="S82:S83">
    <cfRule type="containsText" dxfId="4" priority="1177" operator="containsText" text="DECLINADO">
      <formula>NOT(ISERROR(SEARCH(("DECLINADO"),(S82))))</formula>
    </cfRule>
  </conditionalFormatting>
  <conditionalFormatting sqref="S82:S83">
    <cfRule type="containsText" dxfId="3" priority="1178" operator="containsText" text="CARREGADO">
      <formula>NOT(ISERROR(SEARCH(("CARREGADO"),(S82))))</formula>
    </cfRule>
  </conditionalFormatting>
  <conditionalFormatting sqref="A82:A83">
    <cfRule type="cellIs" dxfId="1" priority="1179" operator="greaterThan">
      <formula>100000000</formula>
    </cfRule>
  </conditionalFormatting>
  <conditionalFormatting sqref="A82:A83">
    <cfRule type="expression" dxfId="0" priority="1180">
      <formula>COUNTIF(#REF!,A82)&gt;1</formula>
    </cfRule>
  </conditionalFormatting>
  <conditionalFormatting sqref="S79:S81">
    <cfRule type="containsText" dxfId="4" priority="1181" operator="containsText" text="CANCELADA">
      <formula>NOT(ISERROR(SEARCH(("CANCELADA"),(S79))))</formula>
    </cfRule>
  </conditionalFormatting>
  <conditionalFormatting sqref="S79:S81">
    <cfRule type="containsText" dxfId="4" priority="1182" operator="containsText" text="RETIRADA">
      <formula>NOT(ISERROR(SEARCH(("RETIRADA"),(S79))))</formula>
    </cfRule>
  </conditionalFormatting>
  <conditionalFormatting sqref="S79:S81">
    <cfRule type="containsText" dxfId="4" priority="1183" operator="containsText" text="DECLINADO">
      <formula>NOT(ISERROR(SEARCH(("DECLINADO"),(S79))))</formula>
    </cfRule>
  </conditionalFormatting>
  <conditionalFormatting sqref="S79:S81">
    <cfRule type="containsText" dxfId="3" priority="1184" operator="containsText" text="CARREGADO">
      <formula>NOT(ISERROR(SEARCH(("CARREGADO"),(S79))))</formula>
    </cfRule>
  </conditionalFormatting>
  <conditionalFormatting sqref="A79:A81">
    <cfRule type="cellIs" dxfId="1" priority="1185" operator="greaterThan">
      <formula>100000000</formula>
    </cfRule>
  </conditionalFormatting>
  <conditionalFormatting sqref="A79:A80">
    <cfRule type="expression" dxfId="0" priority="1186">
      <formula>COUNTIF(#REF!,A79)&gt;1</formula>
    </cfRule>
  </conditionalFormatting>
  <conditionalFormatting sqref="S78">
    <cfRule type="containsText" dxfId="4" priority="1187" operator="containsText" text="CANCELADA">
      <formula>NOT(ISERROR(SEARCH(("CANCELADA"),(S78))))</formula>
    </cfRule>
  </conditionalFormatting>
  <conditionalFormatting sqref="S78">
    <cfRule type="containsText" dxfId="4" priority="1188" operator="containsText" text="RETIRADA">
      <formula>NOT(ISERROR(SEARCH(("RETIRADA"),(S78))))</formula>
    </cfRule>
  </conditionalFormatting>
  <conditionalFormatting sqref="S78">
    <cfRule type="containsText" dxfId="4" priority="1189" operator="containsText" text="DECLINADO">
      <formula>NOT(ISERROR(SEARCH(("DECLINADO"),(S78))))</formula>
    </cfRule>
  </conditionalFormatting>
  <conditionalFormatting sqref="S78">
    <cfRule type="containsText" dxfId="3" priority="1190" operator="containsText" text="CARREGADO">
      <formula>NOT(ISERROR(SEARCH(("CARREGADO"),(S78))))</formula>
    </cfRule>
  </conditionalFormatting>
  <conditionalFormatting sqref="A78">
    <cfRule type="cellIs" dxfId="1" priority="1191" operator="greaterThan">
      <formula>100000000</formula>
    </cfRule>
  </conditionalFormatting>
  <conditionalFormatting sqref="A78">
    <cfRule type="expression" dxfId="0" priority="1192">
      <formula>COUNTIF(#REF!,A78)&gt;1</formula>
    </cfRule>
  </conditionalFormatting>
  <conditionalFormatting sqref="S77">
    <cfRule type="containsText" dxfId="4" priority="1193" operator="containsText" text="CANCELADA">
      <formula>NOT(ISERROR(SEARCH(("CANCELADA"),(S77))))</formula>
    </cfRule>
  </conditionalFormatting>
  <conditionalFormatting sqref="S77">
    <cfRule type="containsText" dxfId="4" priority="1194" operator="containsText" text="RETIRADA">
      <formula>NOT(ISERROR(SEARCH(("RETIRADA"),(S77))))</formula>
    </cfRule>
  </conditionalFormatting>
  <conditionalFormatting sqref="S77">
    <cfRule type="containsText" dxfId="4" priority="1195" operator="containsText" text="DECLINADO">
      <formula>NOT(ISERROR(SEARCH(("DECLINADO"),(S77))))</formula>
    </cfRule>
  </conditionalFormatting>
  <conditionalFormatting sqref="S77">
    <cfRule type="containsText" dxfId="3" priority="1196" operator="containsText" text="CARREGADO">
      <formula>NOT(ISERROR(SEARCH(("CARREGADO"),(S77))))</formula>
    </cfRule>
  </conditionalFormatting>
  <conditionalFormatting sqref="A77">
    <cfRule type="cellIs" dxfId="1" priority="1197" operator="greaterThan">
      <formula>100000000</formula>
    </cfRule>
  </conditionalFormatting>
  <conditionalFormatting sqref="A77">
    <cfRule type="expression" dxfId="0" priority="1198">
      <formula>COUNTIF(#REF!,A77)&gt;1</formula>
    </cfRule>
  </conditionalFormatting>
  <conditionalFormatting sqref="S76">
    <cfRule type="containsText" dxfId="4" priority="1199" operator="containsText" text="CANCELADA">
      <formula>NOT(ISERROR(SEARCH(("CANCELADA"),(S76))))</formula>
    </cfRule>
  </conditionalFormatting>
  <conditionalFormatting sqref="S76">
    <cfRule type="containsText" dxfId="4" priority="1200" operator="containsText" text="RETIRADA">
      <formula>NOT(ISERROR(SEARCH(("RETIRADA"),(S76))))</formula>
    </cfRule>
  </conditionalFormatting>
  <conditionalFormatting sqref="S76">
    <cfRule type="containsText" dxfId="4" priority="1201" operator="containsText" text="DECLINADO">
      <formula>NOT(ISERROR(SEARCH(("DECLINADO"),(S76))))</formula>
    </cfRule>
  </conditionalFormatting>
  <conditionalFormatting sqref="S76">
    <cfRule type="containsText" dxfId="3" priority="1202" operator="containsText" text="CARREGADO">
      <formula>NOT(ISERROR(SEARCH(("CARREGADO"),(S76))))</formula>
    </cfRule>
  </conditionalFormatting>
  <conditionalFormatting sqref="A76">
    <cfRule type="cellIs" dxfId="1" priority="1203" operator="greaterThan">
      <formula>100000000</formula>
    </cfRule>
  </conditionalFormatting>
  <conditionalFormatting sqref="A76">
    <cfRule type="expression" dxfId="0" priority="1204">
      <formula>COUNTIF(#REF!,A76)&gt;1</formula>
    </cfRule>
  </conditionalFormatting>
  <conditionalFormatting sqref="S75">
    <cfRule type="containsText" dxfId="4" priority="1205" operator="containsText" text="CANCELADA">
      <formula>NOT(ISERROR(SEARCH(("CANCELADA"),(S75))))</formula>
    </cfRule>
  </conditionalFormatting>
  <conditionalFormatting sqref="S75">
    <cfRule type="containsText" dxfId="4" priority="1206" operator="containsText" text="RETIRADA">
      <formula>NOT(ISERROR(SEARCH(("RETIRADA"),(S75))))</formula>
    </cfRule>
  </conditionalFormatting>
  <conditionalFormatting sqref="S75">
    <cfRule type="containsText" dxfId="4" priority="1207" operator="containsText" text="DECLINADO">
      <formula>NOT(ISERROR(SEARCH(("DECLINADO"),(S75))))</formula>
    </cfRule>
  </conditionalFormatting>
  <conditionalFormatting sqref="S75">
    <cfRule type="containsText" dxfId="3" priority="1208" operator="containsText" text="CARREGADO">
      <formula>NOT(ISERROR(SEARCH(("CARREGADO"),(S75))))</formula>
    </cfRule>
  </conditionalFormatting>
  <conditionalFormatting sqref="A75">
    <cfRule type="cellIs" dxfId="1" priority="1209" operator="greaterThan">
      <formula>100000000</formula>
    </cfRule>
  </conditionalFormatting>
  <conditionalFormatting sqref="A75">
    <cfRule type="expression" dxfId="0" priority="1210">
      <formula>COUNTIF(#REF!,A75)&gt;1</formula>
    </cfRule>
  </conditionalFormatting>
  <conditionalFormatting sqref="S74">
    <cfRule type="containsText" dxfId="4" priority="1211" operator="containsText" text="CANCELADA">
      <formula>NOT(ISERROR(SEARCH(("CANCELADA"),(S74))))</formula>
    </cfRule>
  </conditionalFormatting>
  <conditionalFormatting sqref="S74">
    <cfRule type="containsText" dxfId="4" priority="1212" operator="containsText" text="RETIRADA">
      <formula>NOT(ISERROR(SEARCH(("RETIRADA"),(S74))))</formula>
    </cfRule>
  </conditionalFormatting>
  <conditionalFormatting sqref="S74">
    <cfRule type="containsText" dxfId="4" priority="1213" operator="containsText" text="DECLINADO">
      <formula>NOT(ISERROR(SEARCH(("DECLINADO"),(S74))))</formula>
    </cfRule>
  </conditionalFormatting>
  <conditionalFormatting sqref="S74">
    <cfRule type="containsText" dxfId="3" priority="1214" operator="containsText" text="CARREGADO">
      <formula>NOT(ISERROR(SEARCH(("CARREGADO"),(S74))))</formula>
    </cfRule>
  </conditionalFormatting>
  <conditionalFormatting sqref="A74">
    <cfRule type="cellIs" dxfId="1" priority="1215" operator="greaterThan">
      <formula>100000000</formula>
    </cfRule>
  </conditionalFormatting>
  <conditionalFormatting sqref="A74">
    <cfRule type="expression" dxfId="0" priority="1216">
      <formula>COUNTIF(#REF!,A74)&gt;1</formula>
    </cfRule>
  </conditionalFormatting>
  <conditionalFormatting sqref="S63:S78">
    <cfRule type="containsText" dxfId="4" priority="1217" operator="containsText" text="CANCELADA">
      <formula>NOT(ISERROR(SEARCH(("CANCELADA"),(S63))))</formula>
    </cfRule>
  </conditionalFormatting>
  <conditionalFormatting sqref="A63:A73">
    <cfRule type="cellIs" dxfId="1" priority="1218" operator="greaterThan">
      <formula>100000000</formula>
    </cfRule>
  </conditionalFormatting>
  <conditionalFormatting sqref="A63">
    <cfRule type="expression" dxfId="0" priority="1219">
      <formula>COUNTIF(#REF!,A63)&gt;1</formula>
    </cfRule>
  </conditionalFormatting>
  <conditionalFormatting sqref="S63:S78">
    <cfRule type="containsText" dxfId="4" priority="1220" operator="containsText" text="RETIRADA">
      <formula>NOT(ISERROR(SEARCH(("RETIRADA"),(S63))))</formula>
    </cfRule>
  </conditionalFormatting>
  <conditionalFormatting sqref="S63:S78">
    <cfRule type="containsText" dxfId="4" priority="1221" operator="containsText" text="DECLINADO">
      <formula>NOT(ISERROR(SEARCH(("DECLINADO"),(S63))))</formula>
    </cfRule>
  </conditionalFormatting>
  <conditionalFormatting sqref="S63:S78">
    <cfRule type="containsText" dxfId="3" priority="1222" operator="containsText" text="CARREGADO">
      <formula>NOT(ISERROR(SEARCH(("CARREGADO"),(S63))))</formula>
    </cfRule>
  </conditionalFormatting>
  <conditionalFormatting sqref="S62">
    <cfRule type="containsText" dxfId="4" priority="1223" operator="containsText" text="CANCELADA">
      <formula>NOT(ISERROR(SEARCH(("CANCELADA"),(S62))))</formula>
    </cfRule>
  </conditionalFormatting>
  <conditionalFormatting sqref="S62">
    <cfRule type="containsText" dxfId="4" priority="1224" operator="containsText" text="RETIRADA">
      <formula>NOT(ISERROR(SEARCH(("RETIRADA"),(S62))))</formula>
    </cfRule>
  </conditionalFormatting>
  <conditionalFormatting sqref="S62">
    <cfRule type="containsText" dxfId="4" priority="1225" operator="containsText" text="DECLINADO">
      <formula>NOT(ISERROR(SEARCH(("DECLINADO"),(S62))))</formula>
    </cfRule>
  </conditionalFormatting>
  <conditionalFormatting sqref="S62">
    <cfRule type="containsText" dxfId="3" priority="1226" operator="containsText" text="CARREGADO">
      <formula>NOT(ISERROR(SEARCH(("CARREGADO"),(S62))))</formula>
    </cfRule>
  </conditionalFormatting>
  <conditionalFormatting sqref="A62">
    <cfRule type="cellIs" dxfId="1" priority="1227" operator="greaterThan">
      <formula>100000000</formula>
    </cfRule>
  </conditionalFormatting>
  <conditionalFormatting sqref="A62">
    <cfRule type="expression" dxfId="0" priority="1228">
      <formula>COUNTIF(#REF!,A62)&gt;1</formula>
    </cfRule>
  </conditionalFormatting>
  <conditionalFormatting sqref="S61:S62">
    <cfRule type="containsText" dxfId="4" priority="1229" operator="containsText" text="CANCELADA">
      <formula>NOT(ISERROR(SEARCH(("CANCELADA"),(S61))))</formula>
    </cfRule>
  </conditionalFormatting>
  <conditionalFormatting sqref="S61:S62">
    <cfRule type="containsText" dxfId="4" priority="1230" operator="containsText" text="RETIRADA">
      <formula>NOT(ISERROR(SEARCH(("RETIRADA"),(S61))))</formula>
    </cfRule>
  </conditionalFormatting>
  <conditionalFormatting sqref="S61:S62">
    <cfRule type="containsText" dxfId="4" priority="1231" operator="containsText" text="DECLINADO">
      <formula>NOT(ISERROR(SEARCH(("DECLINADO"),(S61))))</formula>
    </cfRule>
  </conditionalFormatting>
  <conditionalFormatting sqref="S61:S62">
    <cfRule type="containsText" dxfId="3" priority="1232" operator="containsText" text="CARREGADO">
      <formula>NOT(ISERROR(SEARCH(("CARREGADO"),(S61))))</formula>
    </cfRule>
  </conditionalFormatting>
  <conditionalFormatting sqref="A61">
    <cfRule type="cellIs" dxfId="1" priority="1233" operator="greaterThan">
      <formula>100000000</formula>
    </cfRule>
  </conditionalFormatting>
  <conditionalFormatting sqref="A61">
    <cfRule type="expression" dxfId="0" priority="1234">
      <formula>COUNTIF(#REF!,A61)&gt;1</formula>
    </cfRule>
  </conditionalFormatting>
  <conditionalFormatting sqref="S60">
    <cfRule type="containsText" dxfId="4" priority="1235" operator="containsText" text="CANCELADA">
      <formula>NOT(ISERROR(SEARCH(("CANCELADA"),(S60))))</formula>
    </cfRule>
  </conditionalFormatting>
  <conditionalFormatting sqref="S60">
    <cfRule type="containsText" dxfId="4" priority="1236" operator="containsText" text="RETIRADA">
      <formula>NOT(ISERROR(SEARCH(("RETIRADA"),(S60))))</formula>
    </cfRule>
  </conditionalFormatting>
  <conditionalFormatting sqref="S60">
    <cfRule type="containsText" dxfId="4" priority="1237" operator="containsText" text="DECLINADO">
      <formula>NOT(ISERROR(SEARCH(("DECLINADO"),(S60))))</formula>
    </cfRule>
  </conditionalFormatting>
  <conditionalFormatting sqref="S60">
    <cfRule type="containsText" dxfId="3" priority="1238" operator="containsText" text="CARREGADO">
      <formula>NOT(ISERROR(SEARCH(("CARREGADO"),(S60))))</formula>
    </cfRule>
  </conditionalFormatting>
  <conditionalFormatting sqref="A60">
    <cfRule type="cellIs" dxfId="1" priority="1239" operator="greaterThan">
      <formula>100000000</formula>
    </cfRule>
  </conditionalFormatting>
  <conditionalFormatting sqref="A60">
    <cfRule type="expression" dxfId="0" priority="1240">
      <formula>COUNTIF(#REF!,A60)&gt;1</formula>
    </cfRule>
  </conditionalFormatting>
  <conditionalFormatting sqref="S59:S60">
    <cfRule type="containsText" dxfId="4" priority="1241" operator="containsText" text="CANCELADA">
      <formula>NOT(ISERROR(SEARCH(("CANCELADA"),(S59))))</formula>
    </cfRule>
  </conditionalFormatting>
  <conditionalFormatting sqref="S59:S60">
    <cfRule type="containsText" dxfId="4" priority="1242" operator="containsText" text="RETIRADA">
      <formula>NOT(ISERROR(SEARCH(("RETIRADA"),(S59))))</formula>
    </cfRule>
  </conditionalFormatting>
  <conditionalFormatting sqref="S59:S60">
    <cfRule type="containsText" dxfId="4" priority="1243" operator="containsText" text="DECLINADO">
      <formula>NOT(ISERROR(SEARCH(("DECLINADO"),(S59))))</formula>
    </cfRule>
  </conditionalFormatting>
  <conditionalFormatting sqref="S59:S60">
    <cfRule type="containsText" dxfId="3" priority="1244" operator="containsText" text="CARREGADO">
      <formula>NOT(ISERROR(SEARCH(("CARREGADO"),(S59))))</formula>
    </cfRule>
  </conditionalFormatting>
  <conditionalFormatting sqref="A59">
    <cfRule type="cellIs" dxfId="1" priority="1245" operator="greaterThan">
      <formula>100000000</formula>
    </cfRule>
  </conditionalFormatting>
  <conditionalFormatting sqref="A59">
    <cfRule type="expression" dxfId="0" priority="1246">
      <formula>COUNTIF(#REF!,A59)&gt;1</formula>
    </cfRule>
  </conditionalFormatting>
  <conditionalFormatting sqref="S56:S60">
    <cfRule type="containsText" dxfId="3" priority="1247" operator="containsText" text="CARREGADO">
      <formula>NOT(ISERROR(SEARCH(("CARREGADO"),(S56))))</formula>
    </cfRule>
  </conditionalFormatting>
  <conditionalFormatting sqref="S56:S60">
    <cfRule type="containsText" dxfId="4" priority="1248" operator="containsText" text="DECLINADO">
      <formula>NOT(ISERROR(SEARCH(("DECLINADO"),(S56))))</formula>
    </cfRule>
  </conditionalFormatting>
  <conditionalFormatting sqref="S56:S60">
    <cfRule type="containsText" dxfId="4" priority="1249" operator="containsText" text="RETIRADA">
      <formula>NOT(ISERROR(SEARCH(("RETIRADA"),(S56))))</formula>
    </cfRule>
  </conditionalFormatting>
  <conditionalFormatting sqref="S56:S60">
    <cfRule type="containsText" dxfId="4" priority="1250" operator="containsText" text="CANCELADA">
      <formula>NOT(ISERROR(SEARCH(("CANCELADA"),(S56))))</formula>
    </cfRule>
  </conditionalFormatting>
  <conditionalFormatting sqref="A56">
    <cfRule type="expression" dxfId="0" priority="1251">
      <formula>COUNTIF(#REF!,A56)&gt;1</formula>
    </cfRule>
  </conditionalFormatting>
  <conditionalFormatting sqref="A56:A58">
    <cfRule type="cellIs" dxfId="1" priority="1252" operator="greaterThan">
      <formula>100000000</formula>
    </cfRule>
  </conditionalFormatting>
  <conditionalFormatting sqref="S55">
    <cfRule type="containsText" dxfId="4" priority="1253" operator="containsText" text="CANCELADA">
      <formula>NOT(ISERROR(SEARCH(("CANCELADA"),(S55))))</formula>
    </cfRule>
  </conditionalFormatting>
  <conditionalFormatting sqref="S55">
    <cfRule type="containsText" dxfId="4" priority="1254" operator="containsText" text="RETIRADA">
      <formula>NOT(ISERROR(SEARCH(("RETIRADA"),(S55))))</formula>
    </cfRule>
  </conditionalFormatting>
  <conditionalFormatting sqref="S55">
    <cfRule type="containsText" dxfId="4" priority="1255" operator="containsText" text="DECLINADO">
      <formula>NOT(ISERROR(SEARCH(("DECLINADO"),(S55))))</formula>
    </cfRule>
  </conditionalFormatting>
  <conditionalFormatting sqref="S55">
    <cfRule type="containsText" dxfId="3" priority="1256" operator="containsText" text="CARREGADO">
      <formula>NOT(ISERROR(SEARCH(("CARREGADO"),(S55))))</formula>
    </cfRule>
  </conditionalFormatting>
  <conditionalFormatting sqref="A55">
    <cfRule type="expression" dxfId="0" priority="1257">
      <formula>COUNTIF(#REF!,A55)&gt;1</formula>
    </cfRule>
  </conditionalFormatting>
  <conditionalFormatting sqref="A55">
    <cfRule type="cellIs" dxfId="1" priority="1258" operator="greaterThan">
      <formula>100000000</formula>
    </cfRule>
  </conditionalFormatting>
  <conditionalFormatting sqref="A54">
    <cfRule type="cellIs" dxfId="1" priority="1259" operator="greaterThan">
      <formula>100000000</formula>
    </cfRule>
  </conditionalFormatting>
  <conditionalFormatting sqref="A54">
    <cfRule type="expression" dxfId="0" priority="1260">
      <formula>COUNTIF(#REF!,A54)&gt;1</formula>
    </cfRule>
  </conditionalFormatting>
  <conditionalFormatting sqref="S54:S55">
    <cfRule type="containsText" dxfId="4" priority="1261" operator="containsText" text="CANCELADA">
      <formula>NOT(ISERROR(SEARCH(("CANCELADA"),(S54))))</formula>
    </cfRule>
  </conditionalFormatting>
  <conditionalFormatting sqref="S54:S55">
    <cfRule type="containsText" dxfId="4" priority="1262" operator="containsText" text="RETIRADA">
      <formula>NOT(ISERROR(SEARCH(("RETIRADA"),(S54))))</formula>
    </cfRule>
  </conditionalFormatting>
  <conditionalFormatting sqref="S54:S55">
    <cfRule type="containsText" dxfId="4" priority="1263" operator="containsText" text="DECLINADO">
      <formula>NOT(ISERROR(SEARCH(("DECLINADO"),(S54))))</formula>
    </cfRule>
  </conditionalFormatting>
  <conditionalFormatting sqref="S54:S55">
    <cfRule type="containsText" dxfId="3" priority="1264" operator="containsText" text="CARREGADO">
      <formula>NOT(ISERROR(SEARCH(("CARREGADO"),(S54))))</formula>
    </cfRule>
  </conditionalFormatting>
  <conditionalFormatting sqref="S53">
    <cfRule type="containsText" dxfId="4" priority="1265" operator="containsText" text="CANCELADA">
      <formula>NOT(ISERROR(SEARCH(("CANCELADA"),(S53))))</formula>
    </cfRule>
  </conditionalFormatting>
  <conditionalFormatting sqref="S53">
    <cfRule type="containsText" dxfId="4" priority="1266" operator="containsText" text="RETIRADA">
      <formula>NOT(ISERROR(SEARCH(("RETIRADA"),(S53))))</formula>
    </cfRule>
  </conditionalFormatting>
  <conditionalFormatting sqref="S53">
    <cfRule type="containsText" dxfId="4" priority="1267" operator="containsText" text="DECLINADO">
      <formula>NOT(ISERROR(SEARCH(("DECLINADO"),(S53))))</formula>
    </cfRule>
  </conditionalFormatting>
  <conditionalFormatting sqref="S53">
    <cfRule type="containsText" dxfId="3" priority="1268" operator="containsText" text="CARREGADO">
      <formula>NOT(ISERROR(SEARCH(("CARREGADO"),(S53))))</formula>
    </cfRule>
  </conditionalFormatting>
  <conditionalFormatting sqref="A53">
    <cfRule type="cellIs" dxfId="1" priority="1269" operator="greaterThan">
      <formula>100000000</formula>
    </cfRule>
  </conditionalFormatting>
  <conditionalFormatting sqref="A53">
    <cfRule type="expression" dxfId="0" priority="1270">
      <formula>COUNTIF(#REF!,A53)&gt;1</formula>
    </cfRule>
  </conditionalFormatting>
  <conditionalFormatting sqref="S52">
    <cfRule type="containsText" dxfId="3" priority="1271" operator="containsText" text="CARREGADO">
      <formula>NOT(ISERROR(SEARCH(("CARREGADO"),(S52))))</formula>
    </cfRule>
  </conditionalFormatting>
  <conditionalFormatting sqref="S52">
    <cfRule type="containsText" dxfId="4" priority="1272" operator="containsText" text="DECLINADO">
      <formula>NOT(ISERROR(SEARCH(("DECLINADO"),(S52))))</formula>
    </cfRule>
  </conditionalFormatting>
  <conditionalFormatting sqref="S52">
    <cfRule type="containsText" dxfId="4" priority="1273" operator="containsText" text="RETIRADA">
      <formula>NOT(ISERROR(SEARCH(("RETIRADA"),(S52))))</formula>
    </cfRule>
  </conditionalFormatting>
  <conditionalFormatting sqref="S52">
    <cfRule type="containsText" dxfId="4" priority="1274" operator="containsText" text="CANCELADA">
      <formula>NOT(ISERROR(SEARCH(("CANCELADA"),(S52))))</formula>
    </cfRule>
  </conditionalFormatting>
  <conditionalFormatting sqref="A52">
    <cfRule type="expression" dxfId="0" priority="1275">
      <formula>COUNTIF(#REF!,A52)&gt;1</formula>
    </cfRule>
  </conditionalFormatting>
  <conditionalFormatting sqref="A52">
    <cfRule type="cellIs" dxfId="1" priority="1276" operator="greaterThan">
      <formula>100000000</formula>
    </cfRule>
  </conditionalFormatting>
  <conditionalFormatting sqref="S51">
    <cfRule type="containsText" dxfId="4" priority="1277" operator="containsText" text="CANCELADA">
      <formula>NOT(ISERROR(SEARCH(("CANCELADA"),(S51))))</formula>
    </cfRule>
  </conditionalFormatting>
  <conditionalFormatting sqref="S51">
    <cfRule type="containsText" dxfId="4" priority="1278" operator="containsText" text="RETIRADA">
      <formula>NOT(ISERROR(SEARCH(("RETIRADA"),(S51))))</formula>
    </cfRule>
  </conditionalFormatting>
  <conditionalFormatting sqref="S51">
    <cfRule type="containsText" dxfId="4" priority="1279" operator="containsText" text="DECLINADO">
      <formula>NOT(ISERROR(SEARCH(("DECLINADO"),(S51))))</formula>
    </cfRule>
  </conditionalFormatting>
  <conditionalFormatting sqref="S51">
    <cfRule type="containsText" dxfId="3" priority="1280" operator="containsText" text="CARREGADO">
      <formula>NOT(ISERROR(SEARCH(("CARREGADO"),(S51))))</formula>
    </cfRule>
  </conditionalFormatting>
  <conditionalFormatting sqref="A51">
    <cfRule type="cellIs" dxfId="1" priority="1281" operator="greaterThan">
      <formula>100000000</formula>
    </cfRule>
  </conditionalFormatting>
  <conditionalFormatting sqref="A51">
    <cfRule type="expression" dxfId="0" priority="1282">
      <formula>COUNTIF(#REF!,A51)&gt;1</formula>
    </cfRule>
  </conditionalFormatting>
  <conditionalFormatting sqref="S49:S51">
    <cfRule type="containsText" dxfId="3" priority="1283" operator="containsText" text="CARREGADO">
      <formula>NOT(ISERROR(SEARCH(("CARREGADO"),(S49))))</formula>
    </cfRule>
  </conditionalFormatting>
  <conditionalFormatting sqref="S49:S51">
    <cfRule type="containsText" dxfId="4" priority="1284" operator="containsText" text="DECLINADO">
      <formula>NOT(ISERROR(SEARCH(("DECLINADO"),(S49))))</formula>
    </cfRule>
  </conditionalFormatting>
  <conditionalFormatting sqref="S49:S51">
    <cfRule type="containsText" dxfId="4" priority="1285" operator="containsText" text="RETIRADA">
      <formula>NOT(ISERROR(SEARCH(("RETIRADA"),(S49))))</formula>
    </cfRule>
  </conditionalFormatting>
  <conditionalFormatting sqref="S49:S51">
    <cfRule type="containsText" dxfId="4" priority="1286" operator="containsText" text="CANCELADA">
      <formula>NOT(ISERROR(SEARCH(("CANCELADA"),(S49))))</formula>
    </cfRule>
  </conditionalFormatting>
  <conditionalFormatting sqref="A49:A50">
    <cfRule type="expression" dxfId="0" priority="1287">
      <formula>COUNTIF(#REF!,A49)&gt;1</formula>
    </cfRule>
  </conditionalFormatting>
  <conditionalFormatting sqref="A49:A50">
    <cfRule type="cellIs" dxfId="1" priority="1288" operator="greaterThan">
      <formula>100000000</formula>
    </cfRule>
  </conditionalFormatting>
  <conditionalFormatting sqref="A39:A40">
    <cfRule type="expression" dxfId="0" priority="1289">
      <formula>COUNTIF(#REF!,A39)&gt;1</formula>
    </cfRule>
  </conditionalFormatting>
  <conditionalFormatting sqref="A39:A47">
    <cfRule type="cellIs" dxfId="1" priority="1290" operator="greaterThan">
      <formula>100000000</formula>
    </cfRule>
  </conditionalFormatting>
  <conditionalFormatting sqref="S37:S48">
    <cfRule type="containsText" dxfId="4" priority="1291" operator="containsText" text="CANCELADA">
      <formula>NOT(ISERROR(SEARCH(("CANCELADA"),(S37))))</formula>
    </cfRule>
  </conditionalFormatting>
  <conditionalFormatting sqref="A37:A38">
    <cfRule type="cellIs" dxfId="1" priority="1292" operator="greaterThan">
      <formula>100000000</formula>
    </cfRule>
  </conditionalFormatting>
  <conditionalFormatting sqref="A37">
    <cfRule type="expression" dxfId="0" priority="1293">
      <formula>COUNTIF(#REF!,A37)&gt;1</formula>
    </cfRule>
  </conditionalFormatting>
  <conditionalFormatting sqref="S37:S48">
    <cfRule type="containsText" dxfId="4" priority="1294" operator="containsText" text="RETIRADA">
      <formula>NOT(ISERROR(SEARCH(("RETIRADA"),(S37))))</formula>
    </cfRule>
  </conditionalFormatting>
  <conditionalFormatting sqref="S37:S48">
    <cfRule type="containsText" dxfId="4" priority="1295" operator="containsText" text="DECLINADO">
      <formula>NOT(ISERROR(SEARCH(("DECLINADO"),(S37))))</formula>
    </cfRule>
  </conditionalFormatting>
  <conditionalFormatting sqref="S37:S48">
    <cfRule type="containsText" dxfId="3" priority="1296" operator="containsText" text="CARREGADO">
      <formula>NOT(ISERROR(SEARCH(("CARREGADO"),(S37))))</formula>
    </cfRule>
  </conditionalFormatting>
  <conditionalFormatting sqref="A5:A36 A38 A41:A47 A57:A58 A64:A73 A81 A111:A113 A140 A146:A147 A150:A154 A160:A161 A182:A183 A189:A190 A220:A268 A273:A274 A277:A286 A297:A298 A306:A307 A401 A409:A410 A414 A491 A592">
    <cfRule type="expression" dxfId="0" priority="1297">
      <formula>COUNTIF(A:A,A5)&gt;1</formula>
    </cfRule>
  </conditionalFormatting>
  <conditionalFormatting sqref="S5:S36">
    <cfRule type="containsText" dxfId="3" priority="1298" operator="containsText" text="CARREGADO">
      <formula>NOT(ISERROR(SEARCH(("CARREGADO"),(S5))))</formula>
    </cfRule>
  </conditionalFormatting>
  <conditionalFormatting sqref="S5:S36">
    <cfRule type="containsText" dxfId="4" priority="1299" operator="containsText" text="DECLINADO">
      <formula>NOT(ISERROR(SEARCH(("DECLINADO"),(S5))))</formula>
    </cfRule>
  </conditionalFormatting>
  <conditionalFormatting sqref="S5:S36">
    <cfRule type="containsText" dxfId="4" priority="1300" operator="containsText" text="RETIRADA">
      <formula>NOT(ISERROR(SEARCH(("RETIRADA"),(S5))))</formula>
    </cfRule>
  </conditionalFormatting>
  <conditionalFormatting sqref="A5:A36">
    <cfRule type="cellIs" dxfId="1" priority="1301" operator="greaterThan">
      <formula>100000000</formula>
    </cfRule>
  </conditionalFormatting>
  <conditionalFormatting sqref="S5:S36">
    <cfRule type="containsText" dxfId="4" priority="1302" operator="containsText" text="CANCELADA">
      <formula>NOT(ISERROR(SEARCH(("CANCELADA"),(S5))))</formula>
    </cfRule>
  </conditionalFormatting>
  <dataValidations>
    <dataValidation type="list" allowBlank="1" showErrorMessage="1" sqref="G2:G21 G24:G33 G35:G122 G124:G270 G275:G310 G341:G1076">
      <formula1>Apoio!$A$96:$A$98</formula1>
    </dataValidation>
    <dataValidation type="list" allowBlank="1" showErrorMessage="1" sqref="S248:S255 S259:S307 S993 S1076">
      <formula1>"CARREGADO,RETIRADA,RECUSADA PALLETIZAÇÃO,RECUSADA FALTA ATIVOS,DECLINADA  FALTA DE VEICULO"</formula1>
    </dataValidation>
    <dataValidation type="list" allowBlank="1" showErrorMessage="1" sqref="L2:L21 L24:L34 L37 L39:L50 L52:L60 L63:L122 L124:L140 L143 L146:L149 L152:L153 L156:L161 L165:L177 L179:L226 L228:L237 L239:L268 L275:L301 L306:L310 L341:L1076">
      <formula1>Apoio!$A$78:$A$93</formula1>
    </dataValidation>
    <dataValidation type="list" allowBlank="1" showErrorMessage="1" sqref="S429:S599">
      <formula1>Apoio!$A$66:$A$72</formula1>
    </dataValidation>
    <dataValidation type="list" allowBlank="1" showErrorMessage="1" sqref="S2:S247 S256:S258 S308:S310 S341:S428 S600:S992 S994:S1075">
      <formula1>Apoio!$A$66:$A$72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7.88"/>
    <col customWidth="1" min="3" max="3" width="3.25"/>
    <col customWidth="1" min="4" max="4" width="7.88"/>
    <col customWidth="1" min="5" max="5" width="17.75"/>
    <col customWidth="1" min="6" max="6" width="21.88"/>
    <col customWidth="1" min="7" max="7" width="9.0"/>
    <col customWidth="1" min="8" max="8" width="6.13"/>
    <col customWidth="1" min="9" max="9" width="7.75"/>
    <col customWidth="1" min="10" max="10" width="9.0"/>
    <col customWidth="1" min="11" max="11" width="10.75"/>
    <col customWidth="1" min="12" max="12" width="20.5"/>
    <col customWidth="1" min="13" max="13" width="21.88"/>
    <col customWidth="1" min="14" max="14" width="5.75"/>
    <col customWidth="1" min="15" max="15" width="12.88"/>
    <col customWidth="1" min="16" max="16" width="9.88"/>
  </cols>
  <sheetData>
    <row r="1">
      <c r="A1" s="473" t="s">
        <v>3066</v>
      </c>
      <c r="B1" s="474" t="s">
        <v>2287</v>
      </c>
      <c r="C1" s="474" t="s">
        <v>3067</v>
      </c>
      <c r="D1" s="474" t="s">
        <v>3068</v>
      </c>
      <c r="E1" s="474" t="s">
        <v>3069</v>
      </c>
      <c r="F1" s="474" t="s">
        <v>2285</v>
      </c>
      <c r="G1" s="474" t="s">
        <v>2</v>
      </c>
      <c r="H1" s="474" t="s">
        <v>2530</v>
      </c>
      <c r="I1" s="474" t="s">
        <v>0</v>
      </c>
      <c r="J1" s="474" t="s">
        <v>2531</v>
      </c>
      <c r="K1" s="474" t="s">
        <v>2284</v>
      </c>
      <c r="L1" s="475" t="s">
        <v>2533</v>
      </c>
      <c r="M1" s="474" t="s">
        <v>3070</v>
      </c>
      <c r="N1" s="474" t="s">
        <v>3071</v>
      </c>
      <c r="O1" s="474" t="s">
        <v>3072</v>
      </c>
      <c r="P1" s="474" t="s">
        <v>3073</v>
      </c>
      <c r="Q1" s="156"/>
      <c r="R1" s="156"/>
      <c r="S1" s="156"/>
      <c r="T1" s="156"/>
      <c r="U1" s="156"/>
      <c r="V1" s="156"/>
      <c r="W1" s="156"/>
      <c r="X1" s="156"/>
      <c r="Y1" s="156"/>
    </row>
    <row r="2" hidden="1">
      <c r="A2" s="476" t="s">
        <v>3066</v>
      </c>
      <c r="B2" s="477" t="s">
        <v>3074</v>
      </c>
      <c r="C2" s="476">
        <v>57.0</v>
      </c>
      <c r="D2" s="476" t="s">
        <v>3075</v>
      </c>
      <c r="E2" s="476" t="s">
        <v>3076</v>
      </c>
      <c r="F2" s="476" t="s">
        <v>3077</v>
      </c>
      <c r="G2" s="476" t="s">
        <v>518</v>
      </c>
      <c r="H2" s="476">
        <v>493534.0</v>
      </c>
      <c r="I2" s="476">
        <v>1.0865886E7</v>
      </c>
      <c r="J2" s="476">
        <v>1432759.0</v>
      </c>
      <c r="K2" s="478">
        <v>728084.0</v>
      </c>
      <c r="L2" s="479" t="s">
        <v>2574</v>
      </c>
      <c r="M2" s="480" t="s">
        <v>2724</v>
      </c>
      <c r="N2" s="481"/>
      <c r="O2" s="478" t="s">
        <v>3078</v>
      </c>
      <c r="P2" s="150" t="s">
        <v>3079</v>
      </c>
      <c r="Q2" s="156"/>
      <c r="R2" s="156"/>
      <c r="S2" s="156"/>
      <c r="T2" s="156"/>
      <c r="U2" s="156"/>
      <c r="V2" s="156"/>
      <c r="W2" s="156"/>
      <c r="X2" s="156"/>
      <c r="Y2" s="156"/>
    </row>
    <row r="3" hidden="1">
      <c r="A3" s="476" t="s">
        <v>3066</v>
      </c>
      <c r="B3" s="477" t="s">
        <v>3074</v>
      </c>
      <c r="C3" s="476">
        <v>57.0</v>
      </c>
      <c r="D3" s="476" t="s">
        <v>3075</v>
      </c>
      <c r="E3" s="476" t="s">
        <v>3080</v>
      </c>
      <c r="F3" s="476" t="s">
        <v>2379</v>
      </c>
      <c r="G3" s="482"/>
      <c r="H3" s="476" t="s">
        <v>52</v>
      </c>
      <c r="I3" s="476" t="s">
        <v>52</v>
      </c>
      <c r="J3" s="476" t="s">
        <v>52</v>
      </c>
      <c r="K3" s="478"/>
      <c r="L3" s="483"/>
      <c r="M3" s="480" t="s">
        <v>2724</v>
      </c>
      <c r="N3" s="481"/>
      <c r="O3" s="478"/>
      <c r="P3" s="150" t="s">
        <v>3079</v>
      </c>
      <c r="Q3" s="156"/>
      <c r="R3" s="156"/>
      <c r="S3" s="156"/>
      <c r="T3" s="156"/>
      <c r="U3" s="156"/>
      <c r="V3" s="156"/>
      <c r="W3" s="156"/>
      <c r="X3" s="156"/>
      <c r="Y3" s="156"/>
    </row>
    <row r="4" hidden="1">
      <c r="A4" s="476" t="s">
        <v>3066</v>
      </c>
      <c r="B4" s="477" t="s">
        <v>2605</v>
      </c>
      <c r="C4" s="476">
        <v>86.0</v>
      </c>
      <c r="D4" s="476" t="s">
        <v>3081</v>
      </c>
      <c r="E4" s="476" t="s">
        <v>3082</v>
      </c>
      <c r="F4" s="476" t="s">
        <v>3083</v>
      </c>
      <c r="G4" s="484">
        <v>45302.0</v>
      </c>
      <c r="H4" s="476">
        <v>2010.0</v>
      </c>
      <c r="I4" s="476">
        <v>1.0917587E7</v>
      </c>
      <c r="J4" s="476">
        <v>1446846.0</v>
      </c>
      <c r="K4" s="478">
        <v>733273.0</v>
      </c>
      <c r="L4" s="479" t="s">
        <v>2574</v>
      </c>
      <c r="M4" s="480" t="s">
        <v>2724</v>
      </c>
      <c r="N4" s="481"/>
      <c r="O4" s="478" t="s">
        <v>3078</v>
      </c>
      <c r="P4" s="150" t="s">
        <v>3079</v>
      </c>
      <c r="Q4" s="156"/>
      <c r="R4" s="156"/>
      <c r="S4" s="156"/>
      <c r="T4" s="156"/>
      <c r="U4" s="156"/>
      <c r="V4" s="156"/>
      <c r="W4" s="156"/>
      <c r="X4" s="156"/>
      <c r="Y4" s="156"/>
    </row>
    <row r="5" hidden="1">
      <c r="A5" s="485" t="s">
        <v>3066</v>
      </c>
      <c r="B5" s="485" t="s">
        <v>2542</v>
      </c>
      <c r="C5" s="485">
        <v>6.0</v>
      </c>
      <c r="D5" s="485" t="s">
        <v>3081</v>
      </c>
      <c r="E5" s="485" t="s">
        <v>3082</v>
      </c>
      <c r="F5" s="485" t="s">
        <v>2379</v>
      </c>
      <c r="G5" s="485" t="s">
        <v>585</v>
      </c>
      <c r="H5" s="485">
        <v>2023.0</v>
      </c>
      <c r="I5" s="486">
        <v>1.0961677E7</v>
      </c>
      <c r="J5" s="485">
        <v>1463425.0</v>
      </c>
      <c r="K5" s="487">
        <v>759955.0</v>
      </c>
      <c r="L5" s="479" t="s">
        <v>2574</v>
      </c>
      <c r="M5" s="480" t="s">
        <v>2724</v>
      </c>
      <c r="N5" s="488"/>
      <c r="O5" s="478" t="s">
        <v>3078</v>
      </c>
      <c r="P5" s="150" t="s">
        <v>3079</v>
      </c>
      <c r="Q5" s="156"/>
      <c r="R5" s="156"/>
      <c r="S5" s="156"/>
      <c r="T5" s="156"/>
      <c r="U5" s="156"/>
      <c r="V5" s="156"/>
      <c r="W5" s="156"/>
      <c r="X5" s="156"/>
      <c r="Y5" s="156"/>
    </row>
    <row r="6" hidden="1">
      <c r="A6" s="150" t="s">
        <v>3066</v>
      </c>
      <c r="B6" s="181" t="s">
        <v>2348</v>
      </c>
      <c r="C6" s="150">
        <v>15.0</v>
      </c>
      <c r="D6" s="150" t="s">
        <v>3081</v>
      </c>
      <c r="E6" s="150" t="s">
        <v>3082</v>
      </c>
      <c r="F6" s="181" t="s">
        <v>2349</v>
      </c>
      <c r="G6" s="489">
        <v>45780.0</v>
      </c>
      <c r="H6" s="150">
        <v>43782.0</v>
      </c>
      <c r="I6" s="181">
        <v>1.1251333E7</v>
      </c>
      <c r="J6" s="150">
        <v>1540436.0</v>
      </c>
      <c r="K6" s="481">
        <v>828065.0</v>
      </c>
      <c r="L6" s="479" t="s">
        <v>3084</v>
      </c>
      <c r="M6" s="480" t="s">
        <v>2777</v>
      </c>
      <c r="N6" s="481"/>
      <c r="O6" s="478" t="s">
        <v>3078</v>
      </c>
      <c r="P6" s="150" t="s">
        <v>3079</v>
      </c>
      <c r="Q6" s="156"/>
      <c r="R6" s="156"/>
      <c r="S6" s="156"/>
      <c r="T6" s="156"/>
      <c r="U6" s="156"/>
      <c r="V6" s="156"/>
      <c r="W6" s="156"/>
      <c r="X6" s="156"/>
      <c r="Y6" s="156"/>
    </row>
    <row r="7" hidden="1">
      <c r="A7" s="490" t="s">
        <v>3066</v>
      </c>
      <c r="B7" s="490" t="s">
        <v>2427</v>
      </c>
      <c r="C7" s="490">
        <v>52.0</v>
      </c>
      <c r="D7" s="490" t="s">
        <v>3081</v>
      </c>
      <c r="E7" s="490" t="s">
        <v>3082</v>
      </c>
      <c r="F7" s="490" t="s">
        <v>2327</v>
      </c>
      <c r="G7" s="491">
        <v>45994.0</v>
      </c>
      <c r="H7" s="490">
        <v>512544.0</v>
      </c>
      <c r="I7" s="490">
        <v>1.1273314E7</v>
      </c>
      <c r="J7" s="490">
        <v>1544248.0</v>
      </c>
      <c r="K7" s="492">
        <v>832540.0</v>
      </c>
      <c r="L7" s="493" t="s">
        <v>2685</v>
      </c>
      <c r="M7" s="494" t="s">
        <v>3085</v>
      </c>
      <c r="N7" s="492"/>
      <c r="O7" s="495" t="s">
        <v>3078</v>
      </c>
      <c r="P7" s="150" t="s">
        <v>3079</v>
      </c>
      <c r="Q7" s="156"/>
      <c r="R7" s="156"/>
      <c r="S7" s="156"/>
      <c r="T7" s="156"/>
      <c r="U7" s="156"/>
      <c r="V7" s="156"/>
      <c r="W7" s="156"/>
      <c r="X7" s="156"/>
      <c r="Y7" s="156"/>
    </row>
    <row r="8" hidden="1">
      <c r="A8" s="150" t="s">
        <v>3066</v>
      </c>
      <c r="B8" s="150" t="s">
        <v>1974</v>
      </c>
      <c r="C8" s="150">
        <v>20.0</v>
      </c>
      <c r="D8" s="150" t="s">
        <v>3081</v>
      </c>
      <c r="E8" s="150" t="s">
        <v>3082</v>
      </c>
      <c r="F8" s="150" t="s">
        <v>2327</v>
      </c>
      <c r="G8" s="150" t="s">
        <v>1269</v>
      </c>
      <c r="H8" s="150">
        <v>513706.0</v>
      </c>
      <c r="I8" s="150">
        <v>1.1277554E7</v>
      </c>
      <c r="J8" s="150">
        <v>1548665.0</v>
      </c>
      <c r="K8" s="478">
        <v>836622.0</v>
      </c>
      <c r="L8" s="479" t="s">
        <v>2574</v>
      </c>
      <c r="M8" s="480" t="s">
        <v>2724</v>
      </c>
      <c r="N8" s="481"/>
      <c r="O8" s="478" t="s">
        <v>3078</v>
      </c>
      <c r="P8" s="150" t="s">
        <v>3079</v>
      </c>
      <c r="Q8" s="156"/>
      <c r="R8" s="156"/>
      <c r="S8" s="156"/>
      <c r="T8" s="156"/>
      <c r="U8" s="156"/>
      <c r="V8" s="156"/>
      <c r="W8" s="156"/>
      <c r="X8" s="156"/>
      <c r="Y8" s="156"/>
    </row>
    <row r="9" hidden="1">
      <c r="A9" s="150" t="s">
        <v>3066</v>
      </c>
      <c r="B9" s="150" t="s">
        <v>2639</v>
      </c>
      <c r="C9" s="150">
        <v>10.0</v>
      </c>
      <c r="D9" s="150" t="s">
        <v>3081</v>
      </c>
      <c r="E9" s="150" t="s">
        <v>3082</v>
      </c>
      <c r="F9" s="150" t="s">
        <v>2333</v>
      </c>
      <c r="G9" s="489">
        <v>45994.0</v>
      </c>
      <c r="H9" s="150">
        <v>2172.0</v>
      </c>
      <c r="I9" s="150">
        <v>1.126507E7</v>
      </c>
      <c r="J9" s="150">
        <v>1540397.0</v>
      </c>
      <c r="K9" s="478">
        <v>832415.0</v>
      </c>
      <c r="L9" s="479" t="s">
        <v>2683</v>
      </c>
      <c r="M9" s="494" t="s">
        <v>3085</v>
      </c>
      <c r="N9" s="481"/>
      <c r="O9" s="478" t="s">
        <v>3078</v>
      </c>
      <c r="P9" s="150" t="s">
        <v>3086</v>
      </c>
      <c r="Q9" s="156"/>
      <c r="R9" s="156"/>
      <c r="S9" s="156"/>
      <c r="T9" s="156"/>
      <c r="U9" s="156"/>
      <c r="V9" s="156"/>
      <c r="W9" s="156"/>
      <c r="X9" s="156"/>
      <c r="Y9" s="156"/>
    </row>
    <row r="10" hidden="1">
      <c r="A10" s="150" t="s">
        <v>3066</v>
      </c>
      <c r="B10" s="150" t="s">
        <v>2639</v>
      </c>
      <c r="C10" s="150">
        <v>10.0</v>
      </c>
      <c r="D10" s="150" t="s">
        <v>3081</v>
      </c>
      <c r="E10" s="150" t="s">
        <v>3082</v>
      </c>
      <c r="F10" s="150" t="s">
        <v>2327</v>
      </c>
      <c r="G10" s="150" t="s">
        <v>1337</v>
      </c>
      <c r="H10" s="150">
        <v>514707.0</v>
      </c>
      <c r="I10" s="150">
        <v>1.1300765E7</v>
      </c>
      <c r="J10" s="150">
        <v>1553352.0</v>
      </c>
      <c r="K10" s="478">
        <v>842290.0</v>
      </c>
      <c r="L10" s="493" t="s">
        <v>2685</v>
      </c>
      <c r="M10" s="494" t="s">
        <v>3085</v>
      </c>
      <c r="N10" s="496"/>
      <c r="O10" s="478" t="s">
        <v>3078</v>
      </c>
      <c r="P10" s="150" t="s">
        <v>3086</v>
      </c>
      <c r="Q10" s="156"/>
      <c r="R10" s="156"/>
      <c r="S10" s="156"/>
      <c r="T10" s="156"/>
      <c r="U10" s="156"/>
      <c r="V10" s="156"/>
      <c r="W10" s="156"/>
      <c r="X10" s="156"/>
      <c r="Y10" s="156"/>
    </row>
    <row r="11" hidden="1">
      <c r="A11" s="150" t="s">
        <v>3066</v>
      </c>
      <c r="B11" s="150" t="s">
        <v>2645</v>
      </c>
      <c r="C11" s="150">
        <v>70.0</v>
      </c>
      <c r="D11" s="150" t="s">
        <v>3081</v>
      </c>
      <c r="E11" s="150" t="s">
        <v>3082</v>
      </c>
      <c r="F11" s="150" t="s">
        <v>2327</v>
      </c>
      <c r="G11" s="489">
        <v>45720.0</v>
      </c>
      <c r="H11" s="150">
        <v>516223.0</v>
      </c>
      <c r="I11" s="150">
        <v>1.1328138E7</v>
      </c>
      <c r="J11" s="150">
        <v>1560724.0</v>
      </c>
      <c r="K11" s="478">
        <v>850072.0</v>
      </c>
      <c r="L11" s="479" t="s">
        <v>3087</v>
      </c>
      <c r="M11" s="480" t="s">
        <v>2724</v>
      </c>
      <c r="N11" s="481"/>
      <c r="O11" s="478" t="s">
        <v>3078</v>
      </c>
      <c r="P11" s="150" t="s">
        <v>3079</v>
      </c>
      <c r="Q11" s="156"/>
      <c r="R11" s="156"/>
      <c r="S11" s="156"/>
      <c r="T11" s="156"/>
      <c r="U11" s="156"/>
      <c r="V11" s="156"/>
      <c r="W11" s="156"/>
      <c r="X11" s="156"/>
      <c r="Y11" s="156"/>
    </row>
    <row r="12" hidden="1">
      <c r="A12" s="150" t="s">
        <v>3066</v>
      </c>
      <c r="B12" s="150" t="s">
        <v>2361</v>
      </c>
      <c r="C12" s="150">
        <v>86.0</v>
      </c>
      <c r="D12" s="150" t="s">
        <v>3081</v>
      </c>
      <c r="E12" s="150" t="s">
        <v>3082</v>
      </c>
      <c r="F12" s="150" t="s">
        <v>2333</v>
      </c>
      <c r="G12" s="489">
        <v>45841.0</v>
      </c>
      <c r="H12" s="150">
        <v>2171.0</v>
      </c>
      <c r="I12" s="265">
        <v>1.126493E7</v>
      </c>
      <c r="J12" s="150">
        <v>1540379.0</v>
      </c>
      <c r="K12" s="478">
        <v>829290.0</v>
      </c>
      <c r="L12" s="479"/>
      <c r="M12" s="480" t="s">
        <v>2724</v>
      </c>
      <c r="N12" s="481"/>
      <c r="O12" s="478" t="s">
        <v>3088</v>
      </c>
      <c r="P12" s="150" t="s">
        <v>3079</v>
      </c>
      <c r="Q12" s="156"/>
      <c r="R12" s="156"/>
      <c r="S12" s="156"/>
      <c r="T12" s="156"/>
      <c r="U12" s="156"/>
      <c r="V12" s="156"/>
      <c r="W12" s="156"/>
      <c r="X12" s="156"/>
      <c r="Y12" s="156"/>
    </row>
    <row r="13" hidden="1">
      <c r="A13" s="150" t="s">
        <v>3066</v>
      </c>
      <c r="B13" s="150" t="s">
        <v>1883</v>
      </c>
      <c r="C13" s="150">
        <v>98.0</v>
      </c>
      <c r="D13" s="150" t="s">
        <v>3081</v>
      </c>
      <c r="E13" s="150" t="s">
        <v>3082</v>
      </c>
      <c r="F13" s="150" t="s">
        <v>2327</v>
      </c>
      <c r="G13" s="150" t="s">
        <v>1337</v>
      </c>
      <c r="H13" s="150">
        <v>514820.0</v>
      </c>
      <c r="I13" s="150">
        <v>1.1325509E7</v>
      </c>
      <c r="J13" s="150">
        <v>1553802.0</v>
      </c>
      <c r="K13" s="478">
        <v>842686.0</v>
      </c>
      <c r="L13" s="479" t="s">
        <v>2574</v>
      </c>
      <c r="M13" s="480" t="s">
        <v>2724</v>
      </c>
      <c r="N13" s="481"/>
      <c r="O13" s="478" t="s">
        <v>3078</v>
      </c>
      <c r="P13" s="150" t="s">
        <v>3079</v>
      </c>
      <c r="Q13" s="156"/>
      <c r="R13" s="156"/>
      <c r="S13" s="156"/>
      <c r="T13" s="156"/>
      <c r="U13" s="156"/>
      <c r="V13" s="156"/>
      <c r="W13" s="156"/>
      <c r="X13" s="156"/>
      <c r="Y13" s="156"/>
    </row>
    <row r="14" hidden="1">
      <c r="A14" s="150" t="s">
        <v>3066</v>
      </c>
      <c r="B14" s="150" t="s">
        <v>1883</v>
      </c>
      <c r="C14" s="150">
        <v>98.0</v>
      </c>
      <c r="D14" s="150" t="s">
        <v>3081</v>
      </c>
      <c r="E14" s="150" t="s">
        <v>3082</v>
      </c>
      <c r="F14" s="150" t="s">
        <v>2327</v>
      </c>
      <c r="G14" s="489">
        <v>45720.0</v>
      </c>
      <c r="H14" s="150">
        <v>516270.0</v>
      </c>
      <c r="I14" s="150">
        <v>1.1328139E7</v>
      </c>
      <c r="J14" s="150">
        <v>1560932.0</v>
      </c>
      <c r="K14" s="478">
        <v>851230.0</v>
      </c>
      <c r="L14" s="479" t="s">
        <v>2697</v>
      </c>
      <c r="M14" s="480" t="s">
        <v>3089</v>
      </c>
      <c r="N14" s="481"/>
      <c r="O14" s="478" t="s">
        <v>3078</v>
      </c>
      <c r="P14" s="150" t="s">
        <v>3079</v>
      </c>
      <c r="Q14" s="156"/>
      <c r="R14" s="156"/>
      <c r="S14" s="156"/>
      <c r="T14" s="156"/>
      <c r="U14" s="156"/>
      <c r="V14" s="156"/>
      <c r="W14" s="156"/>
      <c r="X14" s="156"/>
      <c r="Y14" s="156"/>
    </row>
    <row r="15" hidden="1">
      <c r="A15" s="150" t="s">
        <v>3066</v>
      </c>
      <c r="B15" s="150" t="s">
        <v>1974</v>
      </c>
      <c r="C15" s="150">
        <v>20.0</v>
      </c>
      <c r="D15" s="150" t="s">
        <v>3081</v>
      </c>
      <c r="E15" s="150" t="s">
        <v>3082</v>
      </c>
      <c r="F15" s="150" t="s">
        <v>2327</v>
      </c>
      <c r="G15" s="489">
        <v>45812.0</v>
      </c>
      <c r="H15" s="150">
        <v>516540.0</v>
      </c>
      <c r="I15" s="150">
        <v>1.133916E7</v>
      </c>
      <c r="J15" s="150">
        <v>1562285.0</v>
      </c>
      <c r="K15" s="478">
        <v>851363.0</v>
      </c>
      <c r="L15" s="479" t="s">
        <v>2699</v>
      </c>
      <c r="M15" s="494" t="s">
        <v>3085</v>
      </c>
      <c r="N15" s="481"/>
      <c r="O15" s="478" t="s">
        <v>3078</v>
      </c>
      <c r="P15" s="150" t="s">
        <v>3079</v>
      </c>
      <c r="Q15" s="156"/>
      <c r="R15" s="156"/>
      <c r="S15" s="156"/>
      <c r="T15" s="156"/>
      <c r="U15" s="156"/>
      <c r="V15" s="156"/>
      <c r="W15" s="156"/>
      <c r="X15" s="156"/>
      <c r="Y15" s="156"/>
    </row>
    <row r="16" hidden="1">
      <c r="A16" s="150" t="s">
        <v>3066</v>
      </c>
      <c r="B16" s="150" t="s">
        <v>2361</v>
      </c>
      <c r="C16" s="150">
        <v>86.0</v>
      </c>
      <c r="D16" s="150" t="s">
        <v>3081</v>
      </c>
      <c r="E16" s="150" t="s">
        <v>3082</v>
      </c>
      <c r="F16" s="150" t="s">
        <v>2327</v>
      </c>
      <c r="G16" s="489">
        <v>45812.0</v>
      </c>
      <c r="H16" s="150">
        <v>516482.0</v>
      </c>
      <c r="I16" s="150">
        <v>1.1339161E7</v>
      </c>
      <c r="J16" s="150">
        <v>1561927.0</v>
      </c>
      <c r="K16" s="478">
        <v>851367.0</v>
      </c>
      <c r="L16" s="479" t="s">
        <v>2699</v>
      </c>
      <c r="M16" s="494" t="s">
        <v>3090</v>
      </c>
      <c r="N16" s="481"/>
      <c r="O16" s="478" t="s">
        <v>3078</v>
      </c>
      <c r="P16" s="150" t="s">
        <v>3079</v>
      </c>
      <c r="Q16" s="156"/>
      <c r="R16" s="156"/>
      <c r="S16" s="156"/>
      <c r="T16" s="156"/>
      <c r="U16" s="156"/>
      <c r="V16" s="156"/>
      <c r="W16" s="156"/>
      <c r="X16" s="156"/>
      <c r="Y16" s="156"/>
    </row>
    <row r="17" hidden="1">
      <c r="A17" s="150" t="s">
        <v>3066</v>
      </c>
      <c r="B17" s="150" t="s">
        <v>2645</v>
      </c>
      <c r="C17" s="150">
        <v>70.0</v>
      </c>
      <c r="D17" s="150" t="s">
        <v>3081</v>
      </c>
      <c r="E17" s="150" t="s">
        <v>3082</v>
      </c>
      <c r="F17" s="150" t="s">
        <v>2327</v>
      </c>
      <c r="G17" s="489">
        <v>45965.0</v>
      </c>
      <c r="H17" s="150">
        <v>516670.0</v>
      </c>
      <c r="I17" s="150">
        <v>1.1344828E7</v>
      </c>
      <c r="J17" s="150">
        <v>1563051.0</v>
      </c>
      <c r="K17" s="478">
        <v>855000.0</v>
      </c>
      <c r="L17" s="479" t="s">
        <v>2697</v>
      </c>
      <c r="M17" s="494" t="s">
        <v>3085</v>
      </c>
      <c r="N17" s="481"/>
      <c r="O17" s="478" t="s">
        <v>3078</v>
      </c>
      <c r="P17" s="150" t="s">
        <v>3079</v>
      </c>
      <c r="Q17" s="156"/>
      <c r="R17" s="156"/>
      <c r="S17" s="156"/>
      <c r="T17" s="156"/>
      <c r="U17" s="156"/>
      <c r="V17" s="156"/>
      <c r="W17" s="156"/>
      <c r="X17" s="156"/>
      <c r="Y17" s="156"/>
    </row>
    <row r="18" hidden="1">
      <c r="A18" s="150" t="s">
        <v>3066</v>
      </c>
      <c r="B18" s="150" t="s">
        <v>2663</v>
      </c>
      <c r="C18" s="150">
        <v>42.0</v>
      </c>
      <c r="D18" s="150" t="s">
        <v>3081</v>
      </c>
      <c r="E18" s="150" t="s">
        <v>3082</v>
      </c>
      <c r="F18" s="150" t="s">
        <v>2662</v>
      </c>
      <c r="G18" s="489">
        <v>45719.0</v>
      </c>
      <c r="H18" s="150"/>
      <c r="I18" s="150">
        <v>1.1256395E7</v>
      </c>
      <c r="J18" s="154"/>
      <c r="K18" s="478">
        <v>825446.0</v>
      </c>
      <c r="L18" s="479" t="s">
        <v>2564</v>
      </c>
      <c r="M18" s="480" t="s">
        <v>3091</v>
      </c>
      <c r="N18" s="481"/>
      <c r="O18" s="478" t="s">
        <v>3078</v>
      </c>
      <c r="P18" s="150" t="s">
        <v>3079</v>
      </c>
      <c r="Q18" s="156"/>
      <c r="R18" s="156"/>
      <c r="S18" s="156"/>
      <c r="T18" s="156"/>
      <c r="U18" s="156"/>
      <c r="V18" s="156"/>
      <c r="W18" s="156"/>
      <c r="X18" s="156"/>
      <c r="Y18" s="156"/>
    </row>
    <row r="19" hidden="1">
      <c r="A19" s="150" t="s">
        <v>3066</v>
      </c>
      <c r="B19" s="150" t="s">
        <v>2645</v>
      </c>
      <c r="C19" s="150">
        <v>70.0</v>
      </c>
      <c r="D19" s="150" t="s">
        <v>3081</v>
      </c>
      <c r="E19" s="150" t="s">
        <v>3082</v>
      </c>
      <c r="F19" s="150" t="s">
        <v>2327</v>
      </c>
      <c r="G19" s="489">
        <v>45874.0</v>
      </c>
      <c r="H19" s="150">
        <v>520543.0</v>
      </c>
      <c r="I19" s="150">
        <v>1.1417243E7</v>
      </c>
      <c r="J19" s="150">
        <v>1586421.0</v>
      </c>
      <c r="K19" s="478">
        <v>872186.0</v>
      </c>
      <c r="L19" s="479" t="s">
        <v>2699</v>
      </c>
      <c r="M19" s="480" t="s">
        <v>2724</v>
      </c>
      <c r="N19" s="481"/>
      <c r="O19" s="478" t="s">
        <v>3078</v>
      </c>
      <c r="P19" s="150" t="s">
        <v>3079</v>
      </c>
      <c r="Q19" s="156"/>
      <c r="R19" s="156"/>
      <c r="S19" s="156"/>
      <c r="T19" s="156"/>
      <c r="U19" s="156"/>
      <c r="V19" s="156"/>
      <c r="W19" s="156"/>
      <c r="X19" s="156"/>
      <c r="Y19" s="156"/>
    </row>
    <row r="20" ht="13.5" hidden="1" customHeight="1">
      <c r="A20" s="150" t="s">
        <v>3066</v>
      </c>
      <c r="B20" s="150" t="s">
        <v>2427</v>
      </c>
      <c r="C20" s="150">
        <v>52.0</v>
      </c>
      <c r="D20" s="150" t="s">
        <v>3081</v>
      </c>
      <c r="E20" s="150" t="s">
        <v>3082</v>
      </c>
      <c r="F20" s="150" t="s">
        <v>2327</v>
      </c>
      <c r="G20" s="489">
        <v>45874.0</v>
      </c>
      <c r="H20" s="150">
        <v>520461.0</v>
      </c>
      <c r="I20" s="150">
        <v>1.1432484E7</v>
      </c>
      <c r="J20" s="150">
        <v>1586144.0</v>
      </c>
      <c r="K20" s="478">
        <v>872091.0</v>
      </c>
      <c r="L20" s="479" t="s">
        <v>2699</v>
      </c>
      <c r="M20" s="480" t="s">
        <v>2724</v>
      </c>
      <c r="N20" s="481"/>
      <c r="O20" s="478" t="s">
        <v>3078</v>
      </c>
      <c r="P20" s="150" t="s">
        <v>3079</v>
      </c>
      <c r="Q20" s="369"/>
      <c r="R20" s="369"/>
      <c r="S20" s="369"/>
      <c r="T20" s="369"/>
      <c r="U20" s="369"/>
      <c r="V20" s="369"/>
      <c r="W20" s="369"/>
      <c r="X20" s="369"/>
      <c r="Y20" s="369"/>
    </row>
    <row r="21" hidden="1">
      <c r="A21" s="150" t="s">
        <v>3066</v>
      </c>
      <c r="B21" s="150" t="s">
        <v>2713</v>
      </c>
      <c r="C21" s="150">
        <v>70.0</v>
      </c>
      <c r="D21" s="150" t="s">
        <v>3081</v>
      </c>
      <c r="E21" s="150" t="s">
        <v>1154</v>
      </c>
      <c r="F21" s="150" t="s">
        <v>2712</v>
      </c>
      <c r="G21" s="150" t="s">
        <v>1489</v>
      </c>
      <c r="H21" s="150">
        <v>2226.0</v>
      </c>
      <c r="I21" s="150">
        <v>1.1392188E7</v>
      </c>
      <c r="J21" s="150">
        <v>1576116.0</v>
      </c>
      <c r="K21" s="478">
        <v>863945.0</v>
      </c>
      <c r="L21" s="479"/>
      <c r="M21" s="480" t="s">
        <v>2716</v>
      </c>
      <c r="N21" s="497"/>
      <c r="O21" s="478" t="s">
        <v>3092</v>
      </c>
      <c r="P21" s="150" t="s">
        <v>3079</v>
      </c>
      <c r="Q21" s="369"/>
      <c r="R21" s="369"/>
      <c r="S21" s="369"/>
      <c r="T21" s="369"/>
      <c r="U21" s="369"/>
      <c r="V21" s="369"/>
      <c r="W21" s="369"/>
      <c r="X21" s="369"/>
      <c r="Y21" s="369"/>
    </row>
    <row r="22" hidden="1">
      <c r="A22" s="150" t="s">
        <v>3066</v>
      </c>
      <c r="B22" s="150" t="s">
        <v>2732</v>
      </c>
      <c r="C22" s="150">
        <v>20.0</v>
      </c>
      <c r="D22" s="150" t="s">
        <v>3081</v>
      </c>
      <c r="E22" s="150" t="s">
        <v>3082</v>
      </c>
      <c r="F22" s="150" t="s">
        <v>2421</v>
      </c>
      <c r="G22" s="150" t="s">
        <v>2731</v>
      </c>
      <c r="H22" s="150">
        <v>522000.0</v>
      </c>
      <c r="I22" s="150">
        <v>1.1445917E7</v>
      </c>
      <c r="J22" s="150">
        <v>1593490.0</v>
      </c>
      <c r="K22" s="478">
        <v>877078.0</v>
      </c>
      <c r="L22" s="479" t="s">
        <v>2699</v>
      </c>
      <c r="M22" s="494" t="s">
        <v>3085</v>
      </c>
      <c r="N22" s="497"/>
      <c r="O22" s="478" t="s">
        <v>3078</v>
      </c>
      <c r="P22" s="498" t="s">
        <v>3093</v>
      </c>
      <c r="Q22" s="369"/>
      <c r="R22" s="369"/>
      <c r="S22" s="369"/>
      <c r="T22" s="369"/>
      <c r="U22" s="369"/>
      <c r="V22" s="369"/>
      <c r="W22" s="369"/>
      <c r="X22" s="369"/>
      <c r="Y22" s="369"/>
    </row>
    <row r="23" hidden="1">
      <c r="A23" s="150" t="s">
        <v>3066</v>
      </c>
      <c r="B23" s="150" t="s">
        <v>1883</v>
      </c>
      <c r="C23" s="150">
        <v>98.0</v>
      </c>
      <c r="D23" s="150" t="s">
        <v>3081</v>
      </c>
      <c r="E23" s="150" t="s">
        <v>3082</v>
      </c>
      <c r="F23" s="150" t="s">
        <v>2327</v>
      </c>
      <c r="G23" s="150" t="s">
        <v>2736</v>
      </c>
      <c r="H23" s="150">
        <v>521648.0</v>
      </c>
      <c r="I23" s="150">
        <v>1.1441022E7</v>
      </c>
      <c r="J23" s="150">
        <v>1592119.0</v>
      </c>
      <c r="K23" s="478">
        <v>872186.0</v>
      </c>
      <c r="L23" s="479" t="s">
        <v>2699</v>
      </c>
      <c r="M23" s="494" t="s">
        <v>3085</v>
      </c>
      <c r="N23" s="497"/>
      <c r="O23" s="478" t="s">
        <v>3078</v>
      </c>
      <c r="P23" s="498" t="s">
        <v>3093</v>
      </c>
      <c r="Q23" s="369"/>
      <c r="R23" s="369"/>
      <c r="S23" s="369"/>
      <c r="T23" s="369"/>
      <c r="U23" s="369"/>
      <c r="V23" s="369"/>
      <c r="W23" s="369"/>
      <c r="X23" s="369"/>
      <c r="Y23" s="369"/>
    </row>
    <row r="24" hidden="1">
      <c r="A24" s="150" t="s">
        <v>3066</v>
      </c>
      <c r="B24" s="150" t="s">
        <v>2429</v>
      </c>
      <c r="C24" s="150">
        <v>39.0</v>
      </c>
      <c r="D24" s="150" t="s">
        <v>3081</v>
      </c>
      <c r="E24" s="150" t="s">
        <v>3082</v>
      </c>
      <c r="F24" s="150" t="s">
        <v>2421</v>
      </c>
      <c r="G24" s="150" t="s">
        <v>2731</v>
      </c>
      <c r="H24" s="150">
        <v>521898.0</v>
      </c>
      <c r="I24" s="150">
        <v>1.1445909E7</v>
      </c>
      <c r="J24" s="150">
        <v>1593073.0</v>
      </c>
      <c r="K24" s="478">
        <v>876826.0</v>
      </c>
      <c r="L24" s="479" t="s">
        <v>2574</v>
      </c>
      <c r="M24" s="480" t="s">
        <v>2724</v>
      </c>
      <c r="N24" s="497"/>
      <c r="O24" s="478" t="s">
        <v>3078</v>
      </c>
      <c r="P24" s="498" t="s">
        <v>3093</v>
      </c>
      <c r="Q24" s="369"/>
      <c r="R24" s="369"/>
      <c r="S24" s="369"/>
      <c r="T24" s="369"/>
      <c r="U24" s="369"/>
      <c r="V24" s="369"/>
      <c r="W24" s="369"/>
      <c r="X24" s="369"/>
      <c r="Y24" s="369"/>
    </row>
    <row r="25" hidden="1">
      <c r="A25" s="150" t="s">
        <v>3066</v>
      </c>
      <c r="B25" s="150" t="s">
        <v>2645</v>
      </c>
      <c r="C25" s="150">
        <v>70.0</v>
      </c>
      <c r="D25" s="150" t="s">
        <v>3081</v>
      </c>
      <c r="E25" s="150" t="s">
        <v>1084</v>
      </c>
      <c r="F25" s="150" t="s">
        <v>2327</v>
      </c>
      <c r="G25" s="150" t="s">
        <v>1381</v>
      </c>
      <c r="H25" s="150">
        <v>516670.0</v>
      </c>
      <c r="I25" s="150">
        <v>1.1370424E7</v>
      </c>
      <c r="J25" s="150">
        <v>1569174.0</v>
      </c>
      <c r="K25" s="478">
        <v>858980.0</v>
      </c>
      <c r="L25" s="479" t="s">
        <v>2759</v>
      </c>
      <c r="M25" s="499"/>
      <c r="N25" s="497"/>
      <c r="O25" s="478" t="s">
        <v>3094</v>
      </c>
      <c r="P25" s="499"/>
      <c r="Q25" s="369"/>
      <c r="R25" s="369"/>
      <c r="S25" s="369"/>
      <c r="T25" s="369"/>
      <c r="U25" s="369"/>
      <c r="V25" s="369"/>
      <c r="W25" s="369"/>
      <c r="X25" s="369"/>
      <c r="Y25" s="369"/>
    </row>
    <row r="26" hidden="1">
      <c r="A26" s="150" t="s">
        <v>3066</v>
      </c>
      <c r="B26" s="150" t="s">
        <v>2454</v>
      </c>
      <c r="C26" s="150">
        <v>74.0</v>
      </c>
      <c r="D26" s="150" t="s">
        <v>3081</v>
      </c>
      <c r="E26" s="150" t="s">
        <v>1154</v>
      </c>
      <c r="F26" s="150" t="s">
        <v>2379</v>
      </c>
      <c r="G26" s="150" t="s">
        <v>1415</v>
      </c>
      <c r="H26" s="150">
        <v>2216.0</v>
      </c>
      <c r="I26" s="150">
        <v>1.1367914E7</v>
      </c>
      <c r="J26" s="150">
        <v>1568386.0</v>
      </c>
      <c r="K26" s="478">
        <v>858141.0</v>
      </c>
      <c r="L26" s="479" t="s">
        <v>3095</v>
      </c>
      <c r="M26" s="499"/>
      <c r="N26" s="497"/>
      <c r="O26" s="478" t="s">
        <v>3078</v>
      </c>
      <c r="P26" s="499"/>
      <c r="Q26" s="369"/>
      <c r="R26" s="369"/>
      <c r="S26" s="369"/>
      <c r="T26" s="369"/>
      <c r="U26" s="369"/>
      <c r="V26" s="369"/>
      <c r="W26" s="369"/>
      <c r="X26" s="369"/>
      <c r="Y26" s="369"/>
    </row>
    <row r="27" hidden="1">
      <c r="A27" s="150" t="s">
        <v>3066</v>
      </c>
      <c r="B27" s="150" t="s">
        <v>2740</v>
      </c>
      <c r="C27" s="150">
        <v>79.0</v>
      </c>
      <c r="D27" s="150" t="s">
        <v>3081</v>
      </c>
      <c r="E27" s="150" t="s">
        <v>1154</v>
      </c>
      <c r="F27" s="150" t="s">
        <v>2403</v>
      </c>
      <c r="G27" s="150" t="s">
        <v>1692</v>
      </c>
      <c r="H27" s="150">
        <v>2252.0</v>
      </c>
      <c r="I27" s="150">
        <v>1.1455383E7</v>
      </c>
      <c r="J27" s="150">
        <v>1598295.0</v>
      </c>
      <c r="K27" s="478">
        <v>883868.0</v>
      </c>
      <c r="L27" s="479" t="s">
        <v>2745</v>
      </c>
      <c r="M27" s="499"/>
      <c r="N27" s="497"/>
      <c r="O27" s="478" t="s">
        <v>3078</v>
      </c>
      <c r="P27" s="499"/>
      <c r="Q27" s="156"/>
      <c r="R27" s="156"/>
      <c r="S27" s="156"/>
      <c r="T27" s="156"/>
      <c r="U27" s="156"/>
      <c r="V27" s="156"/>
      <c r="W27" s="156"/>
      <c r="X27" s="156"/>
      <c r="Y27" s="156"/>
    </row>
    <row r="28" hidden="1">
      <c r="A28" s="150" t="s">
        <v>3066</v>
      </c>
      <c r="B28" s="150" t="s">
        <v>2381</v>
      </c>
      <c r="C28" s="161">
        <v>51.0</v>
      </c>
      <c r="D28" s="150" t="s">
        <v>3081</v>
      </c>
      <c r="E28" s="150" t="s">
        <v>1154</v>
      </c>
      <c r="F28" s="150" t="s">
        <v>2403</v>
      </c>
      <c r="G28" s="150" t="s">
        <v>2754</v>
      </c>
      <c r="H28" s="150">
        <v>2247.0</v>
      </c>
      <c r="I28" s="150">
        <v>1.1450898E7</v>
      </c>
      <c r="J28" s="150">
        <v>1595703.0</v>
      </c>
      <c r="K28" s="478">
        <v>885447.0</v>
      </c>
      <c r="L28" s="479" t="s">
        <v>2635</v>
      </c>
      <c r="M28" s="499"/>
      <c r="N28" s="497"/>
      <c r="O28" s="478" t="s">
        <v>3078</v>
      </c>
      <c r="P28" s="499"/>
      <c r="Q28" s="156"/>
      <c r="R28" s="156"/>
      <c r="S28" s="156"/>
      <c r="T28" s="156"/>
      <c r="U28" s="156"/>
      <c r="V28" s="156"/>
      <c r="W28" s="156"/>
      <c r="X28" s="156"/>
      <c r="Y28" s="156"/>
    </row>
    <row r="29" hidden="1">
      <c r="A29" s="150" t="s">
        <v>3066</v>
      </c>
      <c r="B29" s="150" t="s">
        <v>2764</v>
      </c>
      <c r="C29" s="150">
        <v>72.0</v>
      </c>
      <c r="D29" s="150" t="s">
        <v>3081</v>
      </c>
      <c r="E29" s="150" t="s">
        <v>1084</v>
      </c>
      <c r="F29" s="150" t="s">
        <v>2407</v>
      </c>
      <c r="G29" s="84" t="s">
        <v>1697</v>
      </c>
      <c r="H29" s="150"/>
      <c r="I29" s="150">
        <v>1.1483185E7</v>
      </c>
      <c r="J29" s="150">
        <v>1607107.0</v>
      </c>
      <c r="K29" s="478">
        <v>888933.0</v>
      </c>
      <c r="L29" s="479">
        <v>909.09</v>
      </c>
      <c r="M29" s="480" t="s">
        <v>2724</v>
      </c>
      <c r="N29" s="497"/>
      <c r="O29" s="478" t="s">
        <v>3078</v>
      </c>
      <c r="P29" s="498" t="s">
        <v>3093</v>
      </c>
      <c r="Q29" s="156"/>
      <c r="R29" s="156"/>
      <c r="S29" s="156"/>
      <c r="T29" s="156"/>
      <c r="U29" s="156"/>
      <c r="V29" s="156"/>
      <c r="W29" s="156"/>
      <c r="X29" s="156"/>
      <c r="Y29" s="156"/>
    </row>
    <row r="30" hidden="1">
      <c r="A30" s="150" t="s">
        <v>3066</v>
      </c>
      <c r="B30" s="150" t="s">
        <v>2713</v>
      </c>
      <c r="C30" s="150">
        <v>70.0</v>
      </c>
      <c r="D30" s="150" t="s">
        <v>3081</v>
      </c>
      <c r="E30" s="150" t="s">
        <v>1154</v>
      </c>
      <c r="F30" s="150" t="s">
        <v>2783</v>
      </c>
      <c r="G30" s="489">
        <v>45876.0</v>
      </c>
      <c r="H30" s="150">
        <v>2279.0</v>
      </c>
      <c r="I30" s="150">
        <v>1.1566124E7</v>
      </c>
      <c r="J30" s="150">
        <v>1633595.0</v>
      </c>
      <c r="K30" s="478">
        <v>907780.0</v>
      </c>
      <c r="L30" s="479" t="s">
        <v>2787</v>
      </c>
      <c r="M30" s="479" t="s">
        <v>2787</v>
      </c>
      <c r="N30" s="497"/>
      <c r="O30" s="478" t="s">
        <v>3078</v>
      </c>
      <c r="P30" s="498" t="s">
        <v>3093</v>
      </c>
      <c r="Q30" s="156"/>
      <c r="R30" s="156"/>
      <c r="S30" s="156"/>
      <c r="T30" s="156"/>
      <c r="U30" s="156"/>
      <c r="V30" s="156"/>
      <c r="W30" s="156"/>
      <c r="X30" s="156"/>
      <c r="Y30" s="156"/>
    </row>
    <row r="31" hidden="1">
      <c r="A31" s="120" t="s">
        <v>3066</v>
      </c>
      <c r="B31" s="374" t="s">
        <v>2429</v>
      </c>
      <c r="C31" s="120">
        <v>39.0</v>
      </c>
      <c r="D31" s="120" t="s">
        <v>3081</v>
      </c>
      <c r="E31" s="120" t="s">
        <v>3082</v>
      </c>
      <c r="F31" s="374" t="s">
        <v>2421</v>
      </c>
      <c r="G31" s="375" t="s">
        <v>1449</v>
      </c>
      <c r="H31" s="500"/>
      <c r="I31" s="374">
        <v>1.1459595E7</v>
      </c>
      <c r="J31" s="374">
        <v>1600671.0</v>
      </c>
      <c r="K31" s="123">
        <v>882034.0</v>
      </c>
      <c r="L31" s="501">
        <v>909.09</v>
      </c>
      <c r="M31" s="126" t="s">
        <v>2724</v>
      </c>
      <c r="N31" s="425"/>
      <c r="O31" s="123" t="s">
        <v>3078</v>
      </c>
      <c r="P31" s="498" t="s">
        <v>3093</v>
      </c>
      <c r="Q31" s="502"/>
      <c r="R31" s="502"/>
      <c r="S31" s="502"/>
      <c r="T31" s="502"/>
      <c r="U31" s="502"/>
      <c r="V31" s="502"/>
      <c r="W31" s="502"/>
      <c r="X31" s="502"/>
      <c r="Y31" s="502"/>
    </row>
    <row r="32" hidden="1">
      <c r="A32" s="120" t="s">
        <v>3066</v>
      </c>
      <c r="B32" s="150" t="s">
        <v>2021</v>
      </c>
      <c r="C32" s="150">
        <v>32.0</v>
      </c>
      <c r="D32" s="120" t="s">
        <v>3081</v>
      </c>
      <c r="E32" s="120" t="s">
        <v>3082</v>
      </c>
      <c r="F32" s="273" t="s">
        <v>2327</v>
      </c>
      <c r="G32" s="150" t="s">
        <v>3096</v>
      </c>
      <c r="H32" s="265">
        <v>523747.0</v>
      </c>
      <c r="I32" s="265">
        <v>1.1460143E7</v>
      </c>
      <c r="J32" s="265">
        <v>1602869.0</v>
      </c>
      <c r="K32" s="265">
        <v>884676.0</v>
      </c>
      <c r="L32" s="480" t="s">
        <v>2751</v>
      </c>
      <c r="M32" s="494" t="s">
        <v>2752</v>
      </c>
      <c r="N32" s="497"/>
      <c r="O32" s="123" t="s">
        <v>3078</v>
      </c>
      <c r="P32" s="498" t="s">
        <v>3093</v>
      </c>
      <c r="Q32" s="156"/>
      <c r="R32" s="156"/>
      <c r="S32" s="156"/>
      <c r="T32" s="156"/>
      <c r="U32" s="156"/>
      <c r="V32" s="156"/>
      <c r="W32" s="156"/>
      <c r="X32" s="156"/>
      <c r="Y32" s="156"/>
    </row>
    <row r="33">
      <c r="A33" s="120" t="s">
        <v>3066</v>
      </c>
      <c r="B33" s="150" t="s">
        <v>1936</v>
      </c>
      <c r="C33" s="150">
        <v>21.0</v>
      </c>
      <c r="D33" s="150" t="s">
        <v>3081</v>
      </c>
      <c r="E33" s="150" t="s">
        <v>1949</v>
      </c>
      <c r="F33" s="150" t="s">
        <v>2327</v>
      </c>
      <c r="G33" s="150" t="s">
        <v>1847</v>
      </c>
      <c r="H33" s="150">
        <v>2288.0</v>
      </c>
      <c r="I33" s="150">
        <v>1.1665805E7</v>
      </c>
      <c r="J33" s="150">
        <v>1669523.0</v>
      </c>
      <c r="K33" s="478">
        <v>38270.0</v>
      </c>
      <c r="L33" s="479" t="s">
        <v>2701</v>
      </c>
      <c r="M33" s="480"/>
      <c r="N33" s="497"/>
      <c r="O33" s="478" t="s">
        <v>3078</v>
      </c>
      <c r="P33" s="150" t="s">
        <v>3097</v>
      </c>
      <c r="Q33" s="156"/>
      <c r="R33" s="156"/>
      <c r="S33" s="156"/>
      <c r="T33" s="156"/>
      <c r="U33" s="156"/>
      <c r="V33" s="156"/>
      <c r="W33" s="156"/>
      <c r="X33" s="156"/>
      <c r="Y33" s="156"/>
    </row>
    <row r="34">
      <c r="A34" s="150" t="s">
        <v>3066</v>
      </c>
      <c r="B34" s="150" t="s">
        <v>1860</v>
      </c>
      <c r="C34" s="150">
        <v>97.0</v>
      </c>
      <c r="D34" s="150" t="s">
        <v>3081</v>
      </c>
      <c r="E34" s="150" t="s">
        <v>1154</v>
      </c>
      <c r="F34" s="150" t="s">
        <v>3098</v>
      </c>
      <c r="G34" s="150" t="s">
        <v>1858</v>
      </c>
      <c r="H34" s="150">
        <v>2294.0</v>
      </c>
      <c r="I34" s="150">
        <v>1.1680324E7</v>
      </c>
      <c r="J34" s="150">
        <v>1675410.0</v>
      </c>
      <c r="K34" s="478">
        <v>43546.0</v>
      </c>
      <c r="L34" s="479" t="s">
        <v>2791</v>
      </c>
      <c r="M34" s="480"/>
      <c r="N34" s="497"/>
      <c r="O34" s="478" t="s">
        <v>3078</v>
      </c>
      <c r="P34" s="150" t="s">
        <v>3097</v>
      </c>
      <c r="Q34" s="156"/>
      <c r="R34" s="156"/>
      <c r="S34" s="156"/>
      <c r="T34" s="156"/>
      <c r="U34" s="156"/>
      <c r="V34" s="156"/>
      <c r="W34" s="156"/>
      <c r="X34" s="156"/>
      <c r="Y34" s="156"/>
    </row>
    <row r="35">
      <c r="A35" s="150" t="s">
        <v>3066</v>
      </c>
      <c r="B35" s="150" t="s">
        <v>1921</v>
      </c>
      <c r="C35" s="150">
        <v>66.0</v>
      </c>
      <c r="D35" s="150" t="s">
        <v>3081</v>
      </c>
      <c r="E35" s="150" t="s">
        <v>1154</v>
      </c>
      <c r="F35" s="150" t="s">
        <v>2481</v>
      </c>
      <c r="G35" s="150" t="s">
        <v>1868</v>
      </c>
      <c r="H35" s="150">
        <v>2290.0</v>
      </c>
      <c r="I35" s="150">
        <v>1.1684093E7</v>
      </c>
      <c r="J35" s="150">
        <v>1674761.0</v>
      </c>
      <c r="K35" s="478">
        <v>43093.0</v>
      </c>
      <c r="L35" s="479" t="s">
        <v>2678</v>
      </c>
      <c r="M35" s="480"/>
      <c r="N35" s="497"/>
      <c r="O35" s="478" t="s">
        <v>3078</v>
      </c>
      <c r="P35" s="150" t="s">
        <v>3097</v>
      </c>
      <c r="Q35" s="156"/>
      <c r="R35" s="156"/>
      <c r="S35" s="156"/>
      <c r="T35" s="156"/>
      <c r="U35" s="156"/>
      <c r="V35" s="156"/>
      <c r="W35" s="156"/>
      <c r="X35" s="156"/>
      <c r="Y35" s="156"/>
    </row>
    <row r="36">
      <c r="A36" s="150" t="s">
        <v>3066</v>
      </c>
      <c r="B36" s="150" t="s">
        <v>2454</v>
      </c>
      <c r="C36" s="150">
        <v>74.0</v>
      </c>
      <c r="D36" s="150" t="s">
        <v>3081</v>
      </c>
      <c r="E36" s="150" t="s">
        <v>3082</v>
      </c>
      <c r="F36" s="150" t="s">
        <v>2465</v>
      </c>
      <c r="G36" s="489">
        <v>45665.0</v>
      </c>
      <c r="H36" s="150">
        <v>2284.0</v>
      </c>
      <c r="I36" s="150">
        <v>1.1631881E7</v>
      </c>
      <c r="J36" s="150">
        <v>1657830.0</v>
      </c>
      <c r="K36" s="478">
        <v>25634.0</v>
      </c>
      <c r="L36" s="479" t="s">
        <v>2776</v>
      </c>
      <c r="M36" s="480" t="s">
        <v>2777</v>
      </c>
      <c r="N36" s="497"/>
      <c r="O36" s="478" t="s">
        <v>3078</v>
      </c>
      <c r="P36" s="150" t="s">
        <v>3093</v>
      </c>
      <c r="Q36" s="156"/>
      <c r="R36" s="156"/>
      <c r="S36" s="156"/>
      <c r="T36" s="156"/>
      <c r="U36" s="156"/>
      <c r="V36" s="156"/>
      <c r="W36" s="156"/>
      <c r="X36" s="156"/>
      <c r="Y36" s="156"/>
    </row>
    <row r="37">
      <c r="A37" s="150" t="s">
        <v>3066</v>
      </c>
      <c r="B37" s="150" t="s">
        <v>2466</v>
      </c>
      <c r="C37" s="150">
        <v>32.0</v>
      </c>
      <c r="D37" s="150" t="s">
        <v>3081</v>
      </c>
      <c r="E37" s="150" t="s">
        <v>3082</v>
      </c>
      <c r="F37" s="150" t="s">
        <v>2465</v>
      </c>
      <c r="G37" s="489">
        <v>45665.0</v>
      </c>
      <c r="H37" s="150">
        <v>2283.0</v>
      </c>
      <c r="I37" s="150">
        <v>1.1631962E7</v>
      </c>
      <c r="J37" s="150">
        <v>1657832.0</v>
      </c>
      <c r="K37" s="478">
        <v>25552.0</v>
      </c>
      <c r="L37" s="479" t="s">
        <v>2776</v>
      </c>
      <c r="M37" s="480" t="s">
        <v>2777</v>
      </c>
      <c r="N37" s="497"/>
      <c r="O37" s="478" t="s">
        <v>3078</v>
      </c>
      <c r="P37" s="150" t="s">
        <v>3093</v>
      </c>
      <c r="Q37" s="156"/>
      <c r="R37" s="156"/>
      <c r="S37" s="156"/>
      <c r="T37" s="156"/>
      <c r="U37" s="156"/>
      <c r="V37" s="156"/>
      <c r="W37" s="156"/>
      <c r="X37" s="156"/>
      <c r="Y37" s="156"/>
    </row>
    <row r="38">
      <c r="A38" s="150" t="s">
        <v>3066</v>
      </c>
      <c r="B38" s="150" t="s">
        <v>1883</v>
      </c>
      <c r="C38" s="150">
        <v>98.0</v>
      </c>
      <c r="D38" s="150" t="s">
        <v>3081</v>
      </c>
      <c r="E38" s="150" t="s">
        <v>1154</v>
      </c>
      <c r="F38" s="150" t="s">
        <v>2407</v>
      </c>
      <c r="G38" s="150" t="s">
        <v>1858</v>
      </c>
      <c r="H38" s="150">
        <v>2292.0</v>
      </c>
      <c r="I38" s="150">
        <v>1.1689753E7</v>
      </c>
      <c r="J38" s="150">
        <v>1675193.0</v>
      </c>
      <c r="K38" s="478">
        <v>46561.0</v>
      </c>
      <c r="L38" s="479" t="s">
        <v>3099</v>
      </c>
      <c r="M38" s="480"/>
      <c r="N38" s="497"/>
      <c r="O38" s="478" t="s">
        <v>3078</v>
      </c>
      <c r="P38" s="150" t="s">
        <v>3097</v>
      </c>
      <c r="Q38" s="156"/>
      <c r="R38" s="156"/>
      <c r="S38" s="156"/>
      <c r="T38" s="156"/>
      <c r="U38" s="156"/>
      <c r="V38" s="156"/>
      <c r="W38" s="156"/>
      <c r="X38" s="156"/>
      <c r="Y38" s="156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478"/>
      <c r="L39" s="479"/>
      <c r="M39" s="480"/>
      <c r="N39" s="497"/>
      <c r="O39" s="478"/>
      <c r="P39" s="150"/>
      <c r="Q39" s="156"/>
      <c r="R39" s="156"/>
      <c r="S39" s="156"/>
      <c r="T39" s="156"/>
      <c r="U39" s="156"/>
      <c r="V39" s="156"/>
      <c r="W39" s="156"/>
      <c r="X39" s="156"/>
      <c r="Y39" s="156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478"/>
      <c r="L40" s="479"/>
      <c r="M40" s="480"/>
      <c r="N40" s="497"/>
      <c r="O40" s="478"/>
      <c r="P40" s="150"/>
      <c r="Q40" s="156"/>
      <c r="R40" s="156"/>
      <c r="S40" s="156"/>
      <c r="T40" s="156"/>
      <c r="U40" s="156"/>
      <c r="V40" s="156"/>
      <c r="W40" s="156"/>
      <c r="X40" s="156"/>
      <c r="Y40" s="156"/>
    </row>
    <row r="4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478"/>
      <c r="L41" s="479"/>
      <c r="M41" s="480"/>
      <c r="N41" s="497"/>
      <c r="O41" s="478"/>
      <c r="P41" s="150"/>
      <c r="Q41" s="156"/>
      <c r="R41" s="156"/>
      <c r="S41" s="156"/>
      <c r="T41" s="156"/>
      <c r="U41" s="156"/>
      <c r="V41" s="156"/>
      <c r="W41" s="156"/>
      <c r="X41" s="156"/>
      <c r="Y41" s="156"/>
    </row>
    <row r="4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478"/>
      <c r="L42" s="479"/>
      <c r="M42" s="480"/>
      <c r="N42" s="497"/>
      <c r="O42" s="478"/>
      <c r="P42" s="150"/>
      <c r="Q42" s="156"/>
      <c r="R42" s="156"/>
      <c r="S42" s="156"/>
      <c r="T42" s="156"/>
      <c r="U42" s="156"/>
      <c r="V42" s="156"/>
      <c r="W42" s="156"/>
      <c r="X42" s="156"/>
      <c r="Y42" s="156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478"/>
      <c r="L43" s="479"/>
      <c r="M43" s="480"/>
      <c r="N43" s="497"/>
      <c r="O43" s="478"/>
      <c r="P43" s="150"/>
      <c r="Q43" s="156"/>
      <c r="R43" s="156"/>
      <c r="S43" s="156"/>
      <c r="T43" s="156"/>
      <c r="U43" s="156"/>
      <c r="V43" s="156"/>
      <c r="W43" s="156"/>
      <c r="X43" s="156"/>
      <c r="Y43" s="156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478"/>
      <c r="L44" s="479"/>
      <c r="M44" s="480"/>
      <c r="N44" s="497"/>
      <c r="O44" s="478"/>
      <c r="P44" s="150"/>
      <c r="Q44" s="156"/>
      <c r="R44" s="156"/>
      <c r="S44" s="156"/>
      <c r="T44" s="156"/>
      <c r="U44" s="156"/>
      <c r="V44" s="156"/>
      <c r="W44" s="156"/>
      <c r="X44" s="156"/>
      <c r="Y44" s="156"/>
    </row>
    <row r="4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478"/>
      <c r="L45" s="479"/>
      <c r="M45" s="480"/>
      <c r="N45" s="497"/>
      <c r="O45" s="478"/>
      <c r="P45" s="150"/>
      <c r="Q45" s="156"/>
      <c r="R45" s="156"/>
      <c r="S45" s="156"/>
      <c r="T45" s="156"/>
      <c r="U45" s="156"/>
      <c r="V45" s="156"/>
      <c r="W45" s="156"/>
      <c r="X45" s="156"/>
      <c r="Y45" s="156"/>
    </row>
    <row r="46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478"/>
      <c r="L46" s="479"/>
      <c r="M46" s="480"/>
      <c r="N46" s="497"/>
      <c r="O46" s="478"/>
      <c r="P46" s="150"/>
      <c r="Q46" s="156"/>
      <c r="R46" s="156"/>
      <c r="S46" s="156"/>
      <c r="T46" s="156"/>
      <c r="U46" s="156"/>
      <c r="V46" s="156"/>
      <c r="W46" s="156"/>
      <c r="X46" s="156"/>
      <c r="Y46" s="156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478"/>
      <c r="L47" s="479"/>
      <c r="M47" s="480"/>
      <c r="N47" s="497"/>
      <c r="O47" s="478"/>
      <c r="P47" s="150"/>
      <c r="Q47" s="156"/>
      <c r="R47" s="156"/>
      <c r="S47" s="156"/>
      <c r="T47" s="156"/>
      <c r="U47" s="156"/>
      <c r="V47" s="156"/>
      <c r="W47" s="156"/>
      <c r="X47" s="156"/>
      <c r="Y47" s="156"/>
    </row>
    <row r="48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478"/>
      <c r="L48" s="479"/>
      <c r="M48" s="480"/>
      <c r="N48" s="497"/>
      <c r="O48" s="478"/>
      <c r="P48" s="150"/>
      <c r="Q48" s="156"/>
      <c r="R48" s="156"/>
      <c r="S48" s="156"/>
      <c r="T48" s="156"/>
      <c r="U48" s="156"/>
      <c r="V48" s="156"/>
      <c r="W48" s="156"/>
      <c r="X48" s="156"/>
      <c r="Y48" s="156"/>
    </row>
    <row r="49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503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</row>
    <row r="50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503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</row>
    <row r="5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503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</row>
    <row r="52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503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</row>
    <row r="53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503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</row>
    <row r="54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503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</row>
    <row r="55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503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</row>
    <row r="56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503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</row>
    <row r="57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503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</row>
    <row r="58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503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</row>
    <row r="59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503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</row>
    <row r="60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503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</row>
    <row r="61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503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</row>
    <row r="62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503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</row>
    <row r="63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503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</row>
    <row r="64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503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</row>
    <row r="65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503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</row>
    <row r="66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503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</row>
    <row r="67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503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</row>
    <row r="68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503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</row>
    <row r="69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503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</row>
    <row r="70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503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</row>
    <row r="7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503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</row>
    <row r="72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503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</row>
    <row r="73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503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</row>
    <row r="74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503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</row>
    <row r="7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503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</row>
    <row r="76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503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</row>
    <row r="77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503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</row>
    <row r="78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503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</row>
    <row r="79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503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</row>
    <row r="80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503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</row>
    <row r="8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503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</row>
    <row r="82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503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</row>
    <row r="83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503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</row>
    <row r="84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503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</row>
    <row r="8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503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</row>
    <row r="86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503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</row>
    <row r="87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503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</row>
    <row r="88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503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</row>
    <row r="89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503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</row>
    <row r="90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503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</row>
    <row r="9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503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</row>
    <row r="92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503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</row>
    <row r="93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503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</row>
    <row r="94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503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</row>
    <row r="9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503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</row>
    <row r="96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503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</row>
    <row r="97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503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</row>
    <row r="98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503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</row>
    <row r="99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503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</row>
    <row r="100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503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</row>
    <row r="10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503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</row>
    <row r="102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503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</row>
    <row r="103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503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</row>
    <row r="104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503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</row>
    <row r="10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503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</row>
    <row r="106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503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</row>
    <row r="107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503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</row>
    <row r="108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503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</row>
    <row r="109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503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</row>
    <row r="110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503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</row>
    <row r="11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503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</row>
    <row r="112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503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</row>
    <row r="113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503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</row>
    <row r="114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503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</row>
    <row r="115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503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</row>
    <row r="116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503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</row>
    <row r="117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503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</row>
    <row r="118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503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</row>
    <row r="119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503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</row>
    <row r="120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503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</row>
    <row r="12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503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</row>
    <row r="122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503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</row>
    <row r="123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503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</row>
    <row r="124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503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</row>
    <row r="125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503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</row>
    <row r="126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503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</row>
    <row r="127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503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</row>
    <row r="128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503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</row>
    <row r="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503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</row>
    <row r="130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503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</row>
    <row r="13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503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</row>
    <row r="132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503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</row>
    <row r="133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503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</row>
    <row r="134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503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</row>
    <row r="13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503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</row>
    <row r="136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503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</row>
    <row r="137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503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</row>
    <row r="138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503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</row>
    <row r="139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503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</row>
    <row r="140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503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</row>
    <row r="14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503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</row>
    <row r="142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503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</row>
    <row r="14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503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</row>
    <row r="144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503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</row>
    <row r="14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503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</row>
    <row r="146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503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</row>
    <row r="147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503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</row>
    <row r="148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503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503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503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</row>
    <row r="15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503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</row>
    <row r="152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503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</row>
    <row r="1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503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</row>
    <row r="154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503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</row>
    <row r="15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503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</row>
    <row r="15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503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</row>
    <row r="157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503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</row>
    <row r="15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503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</row>
    <row r="159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503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</row>
    <row r="160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503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</row>
    <row r="16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503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</row>
    <row r="162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503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</row>
    <row r="16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503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</row>
    <row r="164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503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</row>
    <row r="16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503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</row>
    <row r="16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503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</row>
    <row r="167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503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</row>
    <row r="16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503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</row>
    <row r="169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503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</row>
    <row r="170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503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</row>
    <row r="17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503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</row>
    <row r="172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503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</row>
    <row r="17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503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</row>
    <row r="174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503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</row>
    <row r="17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503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</row>
    <row r="17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503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</row>
    <row r="177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503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</row>
    <row r="17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503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</row>
    <row r="179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503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</row>
    <row r="180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503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</row>
    <row r="18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503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</row>
    <row r="182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503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</row>
    <row r="18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503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</row>
    <row r="184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503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503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</row>
    <row r="18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503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</row>
    <row r="187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503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</row>
    <row r="18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503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</row>
    <row r="189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503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</row>
    <row r="190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503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</row>
    <row r="19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503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</row>
    <row r="19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503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</row>
    <row r="19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503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</row>
    <row r="194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503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</row>
    <row r="19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503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</row>
    <row r="19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503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</row>
    <row r="197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503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503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</row>
    <row r="199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503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</row>
    <row r="200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503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</row>
    <row r="20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503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</row>
    <row r="202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503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</row>
    <row r="20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503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503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</row>
    <row r="20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503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</row>
    <row r="20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503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</row>
    <row r="207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503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</row>
    <row r="20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503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</row>
    <row r="209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503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</row>
    <row r="210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503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503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</row>
    <row r="212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503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503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503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503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503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503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503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503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503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503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503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503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503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503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503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503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503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503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503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503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503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503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503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503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503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503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503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503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503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503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503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503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503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503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503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503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503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503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503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503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503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503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503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503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503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503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503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503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503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503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503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503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503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503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503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503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503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503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503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503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503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503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503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503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503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503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503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503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503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503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503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503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503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503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503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503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503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503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503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503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503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503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503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503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503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503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503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503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503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503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503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503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503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503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503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503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503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503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503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503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503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503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503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503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503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503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503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503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503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503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503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503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503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503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503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503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503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503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503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503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503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503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503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503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503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503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503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503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503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503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503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503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503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503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503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503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503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503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503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503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503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503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503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503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503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503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503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503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503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503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503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503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503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503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503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503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503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503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503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503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503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503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503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503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503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503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503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503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503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503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503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503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503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503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503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503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503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503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503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503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503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503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503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503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503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503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503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503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503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503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503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503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503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503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503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503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503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503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503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503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503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503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503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503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503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503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503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503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503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503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503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503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503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503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503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503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503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503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503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503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503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503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503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503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503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503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503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503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503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503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503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503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503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503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503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503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503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503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503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503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503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503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503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503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503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503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503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503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503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503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503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503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503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503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503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503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503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503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503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503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503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503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503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503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503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503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503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503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503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503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503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503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503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503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503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503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503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503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503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503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503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503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503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503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503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503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503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503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503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503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503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503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503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503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503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503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503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503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503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503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503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503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503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503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503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503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503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503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503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503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503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503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503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503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503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503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503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503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503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503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503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503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503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503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503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503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503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503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503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503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503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503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503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503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503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503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503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503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503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503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503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503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503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503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503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503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503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503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503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503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503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503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503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503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503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503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503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503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503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503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503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503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503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503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503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503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503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503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503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503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503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503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503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503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503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503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503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503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503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503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503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503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503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503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503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503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503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503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503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503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503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503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503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503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503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503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503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503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503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503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503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503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503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503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503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503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503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503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503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503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503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503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503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503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503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503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503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503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503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503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503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503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503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503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503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503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503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503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503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503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503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503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503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503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503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503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503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503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503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503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503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503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503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503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503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503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503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503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503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503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503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503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503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503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503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503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503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503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503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503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503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503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503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503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503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503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503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503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503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503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503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503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503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503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503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503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503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503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503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503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503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503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503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503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503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503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503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503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503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503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503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503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503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503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503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503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503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503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503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503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503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503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503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503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503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503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503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503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503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503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503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503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503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503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503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503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503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503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503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503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503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503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503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503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503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503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503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503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503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503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503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503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503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503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503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503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503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503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503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503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503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503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503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503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503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503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503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503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503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503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503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503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503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503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503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503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503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503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503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503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503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503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503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503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503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503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503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503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503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503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503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503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503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503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503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503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503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503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503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503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503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503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503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503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503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503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503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503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503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503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503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503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503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503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503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503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503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503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503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503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503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503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503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503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503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503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503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503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503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503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503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503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503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503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503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503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503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503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503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503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503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503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503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503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503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503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503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503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503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503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503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503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503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503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503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503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503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503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503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503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503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503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503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503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503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503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503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503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503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503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503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503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503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503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503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503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503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503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503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503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503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503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503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503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503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503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503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503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503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503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503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503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503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503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503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503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503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503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503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503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503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503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503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503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503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503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503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503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503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503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503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503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503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503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503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503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503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503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503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503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503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503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503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503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503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503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503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503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503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503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503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503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503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503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503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503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503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503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503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503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503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503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503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503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503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503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503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503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503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503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503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503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503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503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503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503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503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503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503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503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503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503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503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503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503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503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503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503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503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503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503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503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503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503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503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503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503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503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503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503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503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503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503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503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503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503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503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503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503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503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503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503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503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503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503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503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11.25"/>
    <col customWidth="1" min="3" max="3" width="13.88"/>
    <col customWidth="1" min="4" max="4" width="17.0"/>
    <col customWidth="1" min="5" max="5" width="11.38"/>
    <col customWidth="1" min="6" max="6" width="19.25"/>
    <col customWidth="1" min="7" max="7" width="3.0"/>
    <col customWidth="1" min="8" max="8" width="16.13"/>
    <col customWidth="1" min="9" max="9" width="2.75"/>
    <col customWidth="1" min="10" max="10" width="16.75"/>
    <col customWidth="1" min="11" max="11" width="2.75"/>
    <col customWidth="1" min="12" max="12" width="28.38"/>
    <col customWidth="1" min="13" max="13" width="28.5"/>
    <col customWidth="1" min="14" max="14" width="24.38"/>
    <col customWidth="1" min="16" max="16" width="14.88"/>
  </cols>
  <sheetData>
    <row r="1" ht="20.25" customHeight="1">
      <c r="A1" s="504" t="s">
        <v>3100</v>
      </c>
      <c r="B1" s="505" t="s">
        <v>3066</v>
      </c>
      <c r="C1" s="506" t="s">
        <v>3101</v>
      </c>
      <c r="D1" s="506" t="s">
        <v>3102</v>
      </c>
      <c r="E1" s="506" t="s">
        <v>3103</v>
      </c>
      <c r="F1" s="507" t="s">
        <v>3104</v>
      </c>
      <c r="G1" s="508" t="s">
        <v>11</v>
      </c>
      <c r="H1" s="508" t="s">
        <v>3105</v>
      </c>
      <c r="I1" s="508" t="s">
        <v>11</v>
      </c>
      <c r="J1" s="508" t="s">
        <v>3106</v>
      </c>
      <c r="K1" s="508" t="s">
        <v>11</v>
      </c>
      <c r="L1" s="509" t="s">
        <v>3107</v>
      </c>
      <c r="M1" s="510" t="s">
        <v>3108</v>
      </c>
      <c r="N1" s="511" t="s">
        <v>2535</v>
      </c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</row>
    <row r="2">
      <c r="A2" s="513">
        <v>1.0</v>
      </c>
      <c r="B2" s="514" t="s">
        <v>913</v>
      </c>
      <c r="C2" s="514" t="s">
        <v>2454</v>
      </c>
      <c r="D2" s="514" t="s">
        <v>3109</v>
      </c>
      <c r="E2" s="514" t="s">
        <v>3110</v>
      </c>
      <c r="F2" s="514" t="s">
        <v>3111</v>
      </c>
      <c r="G2" s="514" t="s">
        <v>48</v>
      </c>
      <c r="H2" s="514" t="s">
        <v>3111</v>
      </c>
      <c r="I2" s="514" t="s">
        <v>48</v>
      </c>
      <c r="J2" s="514" t="s">
        <v>47</v>
      </c>
      <c r="K2" s="514" t="s">
        <v>48</v>
      </c>
      <c r="L2" s="515" t="s">
        <v>2909</v>
      </c>
      <c r="M2" s="516" t="s">
        <v>2909</v>
      </c>
      <c r="N2" s="514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</row>
    <row r="3" hidden="1">
      <c r="A3" s="513">
        <v>2.0</v>
      </c>
      <c r="B3" s="514" t="s">
        <v>1204</v>
      </c>
      <c r="C3" s="514" t="s">
        <v>2429</v>
      </c>
      <c r="D3" s="514" t="s">
        <v>3112</v>
      </c>
      <c r="E3" s="514" t="s">
        <v>3113</v>
      </c>
      <c r="F3" s="518" t="s">
        <v>47</v>
      </c>
      <c r="G3" s="514" t="s">
        <v>48</v>
      </c>
      <c r="H3" s="514"/>
      <c r="I3" s="514"/>
      <c r="J3" s="519"/>
      <c r="K3" s="514"/>
      <c r="L3" s="515" t="s">
        <v>3114</v>
      </c>
      <c r="M3" s="516" t="s">
        <v>3115</v>
      </c>
      <c r="N3" s="514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0"/>
    </row>
    <row r="4" ht="15.0" customHeight="1">
      <c r="A4" s="521">
        <v>4.0</v>
      </c>
      <c r="B4" s="518" t="s">
        <v>1286</v>
      </c>
      <c r="C4" s="518" t="s">
        <v>1883</v>
      </c>
      <c r="D4" s="518" t="s">
        <v>3116</v>
      </c>
      <c r="E4" s="518" t="s">
        <v>3117</v>
      </c>
      <c r="F4" s="518" t="s">
        <v>673</v>
      </c>
      <c r="G4" s="514" t="s">
        <v>48</v>
      </c>
      <c r="H4" s="514"/>
      <c r="I4" s="514"/>
      <c r="J4" s="518"/>
      <c r="K4" s="518"/>
      <c r="L4" s="515" t="s">
        <v>3118</v>
      </c>
      <c r="M4" s="516" t="s">
        <v>3119</v>
      </c>
      <c r="N4" s="518"/>
      <c r="O4" s="522"/>
      <c r="P4" s="522"/>
      <c r="Q4" s="522"/>
      <c r="R4" s="522"/>
      <c r="S4" s="522"/>
      <c r="T4" s="522"/>
      <c r="U4" s="522"/>
      <c r="V4" s="522"/>
      <c r="W4" s="522"/>
      <c r="X4" s="522"/>
      <c r="Y4" s="522"/>
      <c r="Z4" s="522"/>
      <c r="AA4" s="522"/>
    </row>
    <row r="5">
      <c r="A5" s="521">
        <v>5.0</v>
      </c>
      <c r="B5" s="518" t="s">
        <v>1225</v>
      </c>
      <c r="C5" s="518" t="s">
        <v>1974</v>
      </c>
      <c r="D5" s="518" t="s">
        <v>3120</v>
      </c>
      <c r="E5" s="518"/>
      <c r="F5" s="518" t="s">
        <v>63</v>
      </c>
      <c r="G5" s="518" t="s">
        <v>59</v>
      </c>
      <c r="H5" s="514"/>
      <c r="I5" s="518"/>
      <c r="J5" s="518"/>
      <c r="K5" s="518"/>
      <c r="L5" s="515" t="s">
        <v>3114</v>
      </c>
      <c r="M5" s="516" t="s">
        <v>3121</v>
      </c>
      <c r="N5" s="518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2"/>
    </row>
    <row r="6" ht="15.75" customHeight="1">
      <c r="A6" s="521">
        <v>6.0</v>
      </c>
      <c r="B6" s="518" t="s">
        <v>2790</v>
      </c>
      <c r="C6" s="518" t="s">
        <v>1860</v>
      </c>
      <c r="D6" s="518" t="s">
        <v>3122</v>
      </c>
      <c r="E6" s="518" t="s">
        <v>3123</v>
      </c>
      <c r="F6" s="518" t="s">
        <v>3111</v>
      </c>
      <c r="G6" s="518" t="s">
        <v>48</v>
      </c>
      <c r="H6" s="514" t="s">
        <v>3111</v>
      </c>
      <c r="I6" s="518" t="s">
        <v>48</v>
      </c>
      <c r="J6" s="518" t="s">
        <v>47</v>
      </c>
      <c r="K6" s="518" t="s">
        <v>48</v>
      </c>
      <c r="L6" s="515" t="s">
        <v>2909</v>
      </c>
      <c r="M6" s="516" t="s">
        <v>2909</v>
      </c>
      <c r="N6" s="518"/>
      <c r="O6" s="512"/>
      <c r="P6" s="512"/>
      <c r="Q6" s="512"/>
      <c r="R6" s="512"/>
      <c r="S6" s="512"/>
      <c r="T6" s="512"/>
      <c r="U6" s="512"/>
      <c r="V6" s="512"/>
      <c r="W6" s="512"/>
      <c r="X6" s="512"/>
      <c r="Y6" s="512"/>
      <c r="Z6" s="512"/>
      <c r="AA6" s="512"/>
    </row>
    <row r="7" hidden="1">
      <c r="A7" s="521">
        <v>7.0</v>
      </c>
      <c r="B7" s="518" t="s">
        <v>1811</v>
      </c>
      <c r="C7" s="518" t="s">
        <v>3124</v>
      </c>
      <c r="D7" s="518" t="s">
        <v>3125</v>
      </c>
      <c r="E7" s="518" t="s">
        <v>3126</v>
      </c>
      <c r="F7" s="518" t="s">
        <v>35</v>
      </c>
      <c r="G7" s="518" t="s">
        <v>48</v>
      </c>
      <c r="H7" s="514"/>
      <c r="I7" s="518"/>
      <c r="J7" s="518"/>
      <c r="K7" s="518"/>
      <c r="L7" s="515" t="s">
        <v>3118</v>
      </c>
      <c r="M7" s="516" t="s">
        <v>3115</v>
      </c>
      <c r="N7" s="518"/>
      <c r="O7" s="512"/>
      <c r="P7" s="156"/>
      <c r="Q7" s="512"/>
      <c r="R7" s="512"/>
      <c r="S7" s="512"/>
      <c r="T7" s="512"/>
      <c r="U7" s="512"/>
      <c r="V7" s="512"/>
      <c r="W7" s="512"/>
      <c r="X7" s="512"/>
      <c r="Y7" s="512"/>
      <c r="Z7" s="512"/>
      <c r="AA7" s="512"/>
      <c r="AB7" s="512"/>
      <c r="AC7" s="512"/>
    </row>
    <row r="8">
      <c r="A8" s="521">
        <v>8.0</v>
      </c>
      <c r="B8" s="518" t="s">
        <v>1842</v>
      </c>
      <c r="C8" s="518" t="s">
        <v>2466</v>
      </c>
      <c r="D8" s="518" t="s">
        <v>3127</v>
      </c>
      <c r="E8" s="518" t="s">
        <v>3128</v>
      </c>
      <c r="F8" s="518" t="s">
        <v>47</v>
      </c>
      <c r="G8" s="518" t="s">
        <v>48</v>
      </c>
      <c r="H8" s="514" t="s">
        <v>3129</v>
      </c>
      <c r="I8" s="518" t="s">
        <v>48</v>
      </c>
      <c r="J8" s="518" t="s">
        <v>3111</v>
      </c>
      <c r="K8" s="518" t="s">
        <v>48</v>
      </c>
      <c r="L8" s="515" t="s">
        <v>2909</v>
      </c>
      <c r="M8" s="516" t="s">
        <v>3130</v>
      </c>
      <c r="N8" s="518" t="s">
        <v>3131</v>
      </c>
      <c r="O8" s="512"/>
      <c r="P8" s="156"/>
      <c r="Q8" s="512"/>
      <c r="R8" s="512"/>
      <c r="S8" s="512"/>
      <c r="T8" s="512"/>
      <c r="U8" s="512"/>
      <c r="V8" s="512"/>
      <c r="W8" s="512"/>
      <c r="X8" s="512"/>
      <c r="Y8" s="512"/>
      <c r="Z8" s="512"/>
      <c r="AA8" s="512"/>
      <c r="AB8" s="512"/>
      <c r="AC8" s="512"/>
    </row>
    <row r="9" hidden="1">
      <c r="A9" s="521">
        <v>9.0</v>
      </c>
      <c r="B9" s="518" t="s">
        <v>3132</v>
      </c>
      <c r="C9" s="518" t="s">
        <v>3133</v>
      </c>
      <c r="D9" s="518" t="s">
        <v>3134</v>
      </c>
      <c r="E9" s="518" t="s">
        <v>3135</v>
      </c>
      <c r="F9" s="518" t="s">
        <v>35</v>
      </c>
      <c r="G9" s="518" t="s">
        <v>48</v>
      </c>
      <c r="H9" s="514"/>
      <c r="I9" s="518"/>
      <c r="J9" s="518"/>
      <c r="K9" s="518"/>
      <c r="L9" s="515" t="s">
        <v>3114</v>
      </c>
      <c r="M9" s="516" t="s">
        <v>3136</v>
      </c>
      <c r="N9" s="518"/>
      <c r="O9" s="512"/>
      <c r="P9" s="156"/>
      <c r="Q9" s="512"/>
      <c r="R9" s="512"/>
      <c r="S9" s="512"/>
      <c r="T9" s="512"/>
      <c r="U9" s="512"/>
      <c r="V9" s="512"/>
      <c r="W9" s="512"/>
      <c r="X9" s="512"/>
      <c r="Y9" s="512"/>
      <c r="Z9" s="512"/>
      <c r="AA9" s="512"/>
      <c r="AB9" s="512"/>
      <c r="AC9" s="512"/>
    </row>
    <row r="10" hidden="1">
      <c r="A10" s="521">
        <v>10.0</v>
      </c>
      <c r="B10" s="518" t="s">
        <v>3137</v>
      </c>
      <c r="C10" s="518" t="s">
        <v>2462</v>
      </c>
      <c r="D10" s="518" t="s">
        <v>3138</v>
      </c>
      <c r="E10" s="518" t="s">
        <v>3139</v>
      </c>
      <c r="F10" s="518" t="s">
        <v>35</v>
      </c>
      <c r="G10" s="518" t="s">
        <v>48</v>
      </c>
      <c r="H10" s="514"/>
      <c r="I10" s="518"/>
      <c r="J10" s="518"/>
      <c r="K10" s="518"/>
      <c r="L10" s="515" t="s">
        <v>3114</v>
      </c>
      <c r="M10" s="516" t="s">
        <v>3140</v>
      </c>
      <c r="N10" s="518"/>
      <c r="O10" s="512"/>
      <c r="P10" s="156"/>
      <c r="Q10" s="512"/>
      <c r="R10" s="512"/>
      <c r="S10" s="512"/>
      <c r="T10" s="512"/>
      <c r="U10" s="512"/>
      <c r="V10" s="512"/>
      <c r="W10" s="512"/>
      <c r="X10" s="512"/>
      <c r="Y10" s="512"/>
      <c r="Z10" s="512"/>
      <c r="AA10" s="512"/>
      <c r="AB10" s="512"/>
      <c r="AC10" s="512"/>
    </row>
    <row r="11">
      <c r="A11" s="512"/>
      <c r="B11" s="512"/>
      <c r="C11" s="512"/>
      <c r="D11" s="512"/>
      <c r="E11" s="512"/>
      <c r="F11" s="512"/>
      <c r="G11" s="512"/>
      <c r="H11" s="512"/>
      <c r="I11" s="512"/>
      <c r="J11" s="512"/>
      <c r="K11" s="512"/>
      <c r="L11" s="512"/>
      <c r="M11" s="512"/>
      <c r="N11" s="512"/>
      <c r="O11" s="512"/>
      <c r="P11" s="156"/>
      <c r="Q11" s="512"/>
      <c r="R11" s="512"/>
      <c r="S11" s="512"/>
      <c r="T11" s="512"/>
      <c r="U11" s="512"/>
      <c r="V11" s="512"/>
      <c r="W11" s="512"/>
      <c r="X11" s="512"/>
      <c r="Y11" s="512"/>
      <c r="Z11" s="512"/>
      <c r="AA11" s="512"/>
      <c r="AB11" s="512"/>
      <c r="AC11" s="512"/>
    </row>
    <row r="12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156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</row>
    <row r="13">
      <c r="A13" s="512"/>
      <c r="B13" s="512"/>
      <c r="C13" s="512"/>
      <c r="D13" s="512"/>
      <c r="E13" s="512"/>
      <c r="F13" s="512"/>
      <c r="G13" s="512"/>
      <c r="H13" s="512"/>
      <c r="I13" s="512"/>
      <c r="J13" s="512"/>
      <c r="K13" s="512"/>
      <c r="L13" s="512"/>
      <c r="M13" s="512"/>
      <c r="N13" s="512"/>
      <c r="O13" s="512"/>
      <c r="P13" s="156"/>
      <c r="Q13" s="512"/>
      <c r="R13" s="512"/>
      <c r="S13" s="512"/>
      <c r="T13" s="512"/>
      <c r="U13" s="512"/>
      <c r="V13" s="512"/>
      <c r="W13" s="512"/>
      <c r="X13" s="512"/>
      <c r="Y13" s="512"/>
      <c r="Z13" s="512"/>
      <c r="AA13" s="512"/>
      <c r="AB13" s="512"/>
      <c r="AC13" s="512"/>
    </row>
    <row r="14">
      <c r="A14" s="512"/>
      <c r="B14" s="512"/>
      <c r="C14" s="512"/>
      <c r="D14" s="512"/>
      <c r="E14" s="512"/>
      <c r="F14" s="512"/>
      <c r="G14" s="512"/>
      <c r="H14" s="512"/>
      <c r="I14" s="512"/>
      <c r="J14" s="512"/>
      <c r="K14" s="512"/>
      <c r="L14" s="512"/>
      <c r="M14" s="512"/>
      <c r="N14" s="512"/>
      <c r="O14" s="512"/>
      <c r="P14" s="156"/>
      <c r="Q14" s="512"/>
      <c r="R14" s="512"/>
      <c r="S14" s="512"/>
      <c r="T14" s="512"/>
      <c r="U14" s="512"/>
      <c r="V14" s="512"/>
      <c r="W14" s="512"/>
      <c r="X14" s="512"/>
      <c r="Y14" s="512"/>
      <c r="Z14" s="512"/>
      <c r="AA14" s="512"/>
      <c r="AB14" s="512"/>
      <c r="AC14" s="512"/>
    </row>
    <row r="15">
      <c r="A15" s="512"/>
      <c r="B15" s="512"/>
      <c r="C15" s="512"/>
      <c r="D15" s="523"/>
      <c r="E15" s="512"/>
      <c r="F15" s="512"/>
      <c r="G15" s="512"/>
      <c r="H15" s="512"/>
      <c r="I15" s="512"/>
      <c r="J15" s="512"/>
      <c r="K15" s="512"/>
      <c r="L15" s="512"/>
      <c r="M15" s="512"/>
      <c r="N15" s="512"/>
      <c r="O15" s="512"/>
      <c r="P15" s="156"/>
      <c r="Q15" s="512"/>
      <c r="R15" s="512"/>
      <c r="S15" s="512"/>
      <c r="T15" s="512"/>
      <c r="U15" s="512"/>
      <c r="V15" s="512"/>
      <c r="W15" s="512"/>
      <c r="X15" s="512"/>
      <c r="Y15" s="512"/>
      <c r="Z15" s="512"/>
      <c r="AA15" s="512"/>
      <c r="AB15" s="512"/>
      <c r="AC15" s="512"/>
    </row>
    <row r="16">
      <c r="A16" s="512"/>
      <c r="B16" s="512"/>
      <c r="C16" s="512"/>
      <c r="D16" s="512"/>
      <c r="E16" s="512"/>
      <c r="F16" s="512"/>
      <c r="G16" s="512"/>
      <c r="H16" s="512"/>
      <c r="I16" s="512"/>
      <c r="J16" s="512"/>
      <c r="K16" s="512"/>
      <c r="L16" s="512"/>
      <c r="M16" s="512"/>
      <c r="N16" s="512"/>
      <c r="O16" s="512"/>
      <c r="P16" s="156"/>
      <c r="Q16" s="512"/>
      <c r="R16" s="512"/>
      <c r="S16" s="512"/>
      <c r="T16" s="512"/>
      <c r="U16" s="512"/>
      <c r="V16" s="512"/>
      <c r="W16" s="512"/>
      <c r="X16" s="512"/>
      <c r="Y16" s="512"/>
      <c r="Z16" s="512"/>
      <c r="AA16" s="512"/>
      <c r="AB16" s="512"/>
      <c r="AC16" s="512"/>
    </row>
    <row r="17">
      <c r="A17" s="512"/>
      <c r="B17" s="512"/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2"/>
      <c r="N17" s="512"/>
      <c r="O17" s="512"/>
      <c r="P17" s="156"/>
      <c r="Q17" s="512"/>
      <c r="R17" s="512"/>
      <c r="S17" s="512"/>
      <c r="T17" s="512"/>
      <c r="U17" s="512"/>
      <c r="V17" s="512"/>
      <c r="W17" s="512"/>
      <c r="X17" s="512"/>
      <c r="Y17" s="512"/>
      <c r="Z17" s="512"/>
      <c r="AA17" s="512"/>
      <c r="AB17" s="512"/>
      <c r="AC17" s="512"/>
    </row>
    <row r="18">
      <c r="A18" s="512"/>
      <c r="B18" s="512"/>
      <c r="C18" s="512"/>
      <c r="D18" s="512"/>
      <c r="E18" s="512"/>
      <c r="F18" s="512"/>
      <c r="G18" s="512"/>
      <c r="H18" s="512"/>
      <c r="I18" s="512"/>
      <c r="J18" s="523" t="s">
        <v>3141</v>
      </c>
      <c r="K18" s="512"/>
      <c r="L18" s="512"/>
      <c r="M18" s="512"/>
      <c r="N18" s="512"/>
      <c r="O18" s="512"/>
      <c r="P18" s="156"/>
      <c r="Q18" s="512"/>
      <c r="R18" s="512"/>
      <c r="S18" s="512"/>
      <c r="T18" s="512"/>
      <c r="U18" s="512"/>
      <c r="V18" s="512"/>
      <c r="W18" s="512"/>
      <c r="X18" s="512"/>
      <c r="Y18" s="512"/>
      <c r="Z18" s="512"/>
      <c r="AA18" s="512"/>
      <c r="AB18" s="512"/>
      <c r="AC18" s="512"/>
    </row>
    <row r="19">
      <c r="A19" s="512"/>
      <c r="B19" s="512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  <c r="O19" s="512"/>
      <c r="P19" s="156"/>
      <c r="Q19" s="512"/>
      <c r="R19" s="512"/>
      <c r="S19" s="512"/>
      <c r="T19" s="512"/>
      <c r="U19" s="512"/>
      <c r="V19" s="512"/>
      <c r="W19" s="512"/>
      <c r="X19" s="512"/>
      <c r="Y19" s="512"/>
      <c r="Z19" s="512"/>
      <c r="AA19" s="512"/>
      <c r="AB19" s="512"/>
      <c r="AC19" s="512"/>
    </row>
    <row r="20">
      <c r="A20" s="512"/>
      <c r="B20" s="512"/>
      <c r="C20" s="512"/>
      <c r="D20" s="512"/>
      <c r="E20" s="512"/>
      <c r="F20" s="512"/>
      <c r="G20" s="512"/>
      <c r="H20" s="512"/>
      <c r="I20" s="512"/>
      <c r="J20" s="512"/>
      <c r="K20" s="512"/>
      <c r="L20" s="512"/>
      <c r="M20" s="512"/>
      <c r="N20" s="512"/>
      <c r="O20" s="512"/>
      <c r="P20" s="156"/>
      <c r="Q20" s="512"/>
      <c r="R20" s="512"/>
      <c r="S20" s="512"/>
      <c r="T20" s="512"/>
      <c r="U20" s="512"/>
      <c r="V20" s="512"/>
      <c r="W20" s="512"/>
      <c r="X20" s="512"/>
      <c r="Y20" s="512"/>
      <c r="Z20" s="512"/>
      <c r="AA20" s="512"/>
      <c r="AB20" s="512"/>
      <c r="AC20" s="512"/>
    </row>
    <row r="21">
      <c r="A21" s="512"/>
      <c r="B21" s="512"/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156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2"/>
      <c r="AB21" s="512"/>
      <c r="AC21" s="512"/>
    </row>
    <row r="22">
      <c r="A22" s="512"/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2"/>
      <c r="O22" s="512"/>
      <c r="P22" s="156"/>
      <c r="Q22" s="512"/>
      <c r="R22" s="512"/>
      <c r="S22" s="512"/>
      <c r="T22" s="512"/>
      <c r="U22" s="512"/>
      <c r="V22" s="512"/>
      <c r="W22" s="512"/>
      <c r="X22" s="512"/>
      <c r="Y22" s="512"/>
      <c r="Z22" s="512"/>
      <c r="AA22" s="512"/>
      <c r="AB22" s="512"/>
      <c r="AC22" s="512"/>
    </row>
    <row r="23">
      <c r="A23" s="512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156"/>
      <c r="Q23" s="512"/>
      <c r="R23" s="512"/>
      <c r="S23" s="512"/>
      <c r="T23" s="512"/>
      <c r="U23" s="512"/>
      <c r="V23" s="512"/>
      <c r="W23" s="512"/>
      <c r="X23" s="512"/>
      <c r="Y23" s="512"/>
      <c r="Z23" s="512"/>
      <c r="AA23" s="512"/>
      <c r="AB23" s="512"/>
      <c r="AC23" s="512"/>
    </row>
    <row r="24">
      <c r="A24" s="512"/>
      <c r="B24" s="512"/>
      <c r="C24" s="512"/>
      <c r="D24" s="512"/>
      <c r="E24" s="512"/>
      <c r="F24" s="512"/>
      <c r="G24" s="512"/>
      <c r="H24" s="512"/>
      <c r="I24" s="512"/>
      <c r="J24" s="512"/>
      <c r="K24" s="512"/>
      <c r="L24" s="512"/>
      <c r="M24" s="512"/>
      <c r="N24" s="512"/>
      <c r="O24" s="512"/>
      <c r="P24" s="156"/>
      <c r="Q24" s="512"/>
      <c r="R24" s="512"/>
      <c r="S24" s="512"/>
      <c r="T24" s="512"/>
      <c r="U24" s="512"/>
      <c r="V24" s="512"/>
      <c r="W24" s="512"/>
      <c r="X24" s="512"/>
      <c r="Y24" s="512"/>
      <c r="Z24" s="512"/>
      <c r="AA24" s="512"/>
      <c r="AB24" s="512"/>
      <c r="AC24" s="512"/>
    </row>
    <row r="25">
      <c r="A25" s="512"/>
      <c r="B25" s="512"/>
      <c r="C25" s="512"/>
      <c r="D25" s="512"/>
      <c r="E25" s="512"/>
      <c r="F25" s="512"/>
      <c r="G25" s="512"/>
      <c r="H25" s="512"/>
      <c r="I25" s="512"/>
      <c r="J25" s="512"/>
      <c r="K25" s="512"/>
      <c r="L25" s="512"/>
      <c r="M25" s="512"/>
      <c r="N25" s="512"/>
      <c r="O25" s="512"/>
      <c r="P25" s="156"/>
      <c r="Q25" s="512"/>
      <c r="R25" s="512"/>
      <c r="S25" s="512"/>
      <c r="T25" s="512"/>
      <c r="U25" s="512"/>
      <c r="V25" s="512"/>
      <c r="W25" s="512"/>
      <c r="X25" s="512"/>
      <c r="Y25" s="512"/>
      <c r="Z25" s="512"/>
      <c r="AA25" s="512"/>
      <c r="AB25" s="512"/>
      <c r="AC25" s="512"/>
    </row>
    <row r="26">
      <c r="A26" s="512"/>
      <c r="B26" s="512"/>
      <c r="C26" s="512"/>
      <c r="D26" s="512"/>
      <c r="E26" s="512"/>
      <c r="F26" s="512"/>
      <c r="G26" s="512"/>
      <c r="H26" s="512"/>
      <c r="I26" s="512"/>
      <c r="J26" s="512"/>
      <c r="K26" s="512"/>
      <c r="L26" s="512"/>
      <c r="M26" s="512"/>
      <c r="N26" s="512"/>
      <c r="O26" s="512"/>
      <c r="P26" s="156"/>
      <c r="Q26" s="512"/>
      <c r="R26" s="512"/>
      <c r="S26" s="512"/>
      <c r="T26" s="512"/>
      <c r="U26" s="512"/>
      <c r="V26" s="512"/>
      <c r="W26" s="512"/>
      <c r="X26" s="512"/>
      <c r="Y26" s="512"/>
      <c r="Z26" s="512"/>
      <c r="AA26" s="512"/>
      <c r="AB26" s="512"/>
      <c r="AC26" s="512"/>
    </row>
    <row r="27">
      <c r="A27" s="512"/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2"/>
      <c r="N27" s="512"/>
      <c r="O27" s="512"/>
      <c r="P27" s="156"/>
      <c r="Q27" s="512"/>
      <c r="R27" s="512"/>
      <c r="S27" s="512"/>
      <c r="T27" s="512"/>
      <c r="U27" s="512"/>
      <c r="V27" s="512"/>
      <c r="W27" s="512"/>
      <c r="X27" s="512"/>
      <c r="Y27" s="512"/>
      <c r="Z27" s="512"/>
      <c r="AA27" s="512"/>
      <c r="AB27" s="512"/>
      <c r="AC27" s="512"/>
    </row>
    <row r="28">
      <c r="A28" s="512"/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2"/>
      <c r="O28" s="512"/>
      <c r="P28" s="156"/>
      <c r="Q28" s="512"/>
      <c r="R28" s="512"/>
      <c r="S28" s="512"/>
      <c r="T28" s="512"/>
      <c r="U28" s="512"/>
      <c r="V28" s="512"/>
      <c r="W28" s="512"/>
      <c r="X28" s="512"/>
      <c r="Y28" s="512"/>
      <c r="Z28" s="512"/>
      <c r="AA28" s="512"/>
      <c r="AB28" s="512"/>
      <c r="AC28" s="512"/>
    </row>
    <row r="29">
      <c r="A29" s="512"/>
      <c r="B29" s="512"/>
      <c r="C29" s="512"/>
      <c r="D29" s="512"/>
      <c r="E29" s="512"/>
      <c r="F29" s="512"/>
      <c r="G29" s="512"/>
      <c r="H29" s="512"/>
      <c r="I29" s="512"/>
      <c r="J29" s="512"/>
      <c r="K29" s="512"/>
      <c r="L29" s="512"/>
      <c r="M29" s="512"/>
      <c r="N29" s="512"/>
      <c r="O29" s="512"/>
      <c r="P29" s="156"/>
      <c r="Q29" s="512"/>
      <c r="R29" s="512"/>
      <c r="S29" s="512"/>
      <c r="T29" s="512"/>
      <c r="U29" s="512"/>
      <c r="V29" s="512"/>
      <c r="W29" s="512"/>
      <c r="X29" s="512"/>
      <c r="Y29" s="512"/>
      <c r="Z29" s="512"/>
      <c r="AA29" s="512"/>
      <c r="AB29" s="512"/>
      <c r="AC29" s="512"/>
    </row>
    <row r="30">
      <c r="A30" s="512"/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156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2"/>
      <c r="AB30" s="512"/>
      <c r="AC30" s="512"/>
    </row>
    <row r="31">
      <c r="A31" s="512"/>
      <c r="B31" s="512"/>
      <c r="C31" s="512"/>
      <c r="D31" s="512"/>
      <c r="E31" s="512"/>
      <c r="F31" s="512"/>
      <c r="G31" s="512"/>
      <c r="H31" s="512"/>
      <c r="I31" s="512"/>
      <c r="J31" s="512"/>
      <c r="K31" s="512"/>
      <c r="L31" s="512"/>
      <c r="M31" s="512"/>
      <c r="N31" s="512"/>
      <c r="O31" s="512"/>
      <c r="P31" s="156"/>
      <c r="Q31" s="512"/>
      <c r="R31" s="512"/>
      <c r="S31" s="512"/>
      <c r="T31" s="512"/>
      <c r="U31" s="512"/>
      <c r="V31" s="512"/>
      <c r="W31" s="512"/>
      <c r="X31" s="512"/>
      <c r="Y31" s="512"/>
      <c r="Z31" s="512"/>
      <c r="AA31" s="512"/>
      <c r="AB31" s="512"/>
      <c r="AC31" s="512"/>
    </row>
    <row r="32">
      <c r="A32" s="512"/>
      <c r="B32" s="512"/>
      <c r="C32" s="512"/>
      <c r="D32" s="512"/>
      <c r="E32" s="512"/>
      <c r="F32" s="512"/>
      <c r="G32" s="512"/>
      <c r="H32" s="512"/>
      <c r="I32" s="512"/>
      <c r="J32" s="512"/>
      <c r="K32" s="512"/>
      <c r="L32" s="512"/>
      <c r="M32" s="512"/>
      <c r="N32" s="512"/>
      <c r="O32" s="512"/>
      <c r="P32" s="156"/>
      <c r="Q32" s="512"/>
      <c r="R32" s="512"/>
      <c r="S32" s="512"/>
      <c r="T32" s="512"/>
      <c r="U32" s="512"/>
      <c r="V32" s="512"/>
      <c r="W32" s="512"/>
      <c r="X32" s="512"/>
      <c r="Y32" s="512"/>
      <c r="Z32" s="512"/>
      <c r="AA32" s="512"/>
      <c r="AB32" s="512"/>
      <c r="AC32" s="512"/>
    </row>
    <row r="33">
      <c r="A33" s="512"/>
      <c r="B33" s="512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  <c r="P33" s="156"/>
      <c r="Q33" s="512"/>
      <c r="R33" s="512"/>
      <c r="S33" s="512"/>
      <c r="T33" s="512"/>
      <c r="U33" s="512"/>
      <c r="V33" s="512"/>
      <c r="W33" s="512"/>
      <c r="X33" s="512"/>
      <c r="Y33" s="512"/>
      <c r="Z33" s="512"/>
      <c r="AA33" s="512"/>
      <c r="AB33" s="512"/>
      <c r="AC33" s="512"/>
    </row>
    <row r="34">
      <c r="A34" s="512"/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2"/>
      <c r="O34" s="512"/>
      <c r="P34" s="156"/>
      <c r="Q34" s="512"/>
      <c r="R34" s="512"/>
      <c r="S34" s="512"/>
      <c r="T34" s="512"/>
      <c r="U34" s="512"/>
      <c r="V34" s="512"/>
      <c r="W34" s="512"/>
      <c r="X34" s="512"/>
      <c r="Y34" s="512"/>
      <c r="Z34" s="512"/>
      <c r="AA34" s="512"/>
      <c r="AB34" s="512"/>
      <c r="AC34" s="512"/>
    </row>
    <row r="35">
      <c r="A35" s="512"/>
      <c r="B35" s="512"/>
      <c r="C35" s="512"/>
      <c r="D35" s="512"/>
      <c r="E35" s="512"/>
      <c r="F35" s="512"/>
      <c r="G35" s="512"/>
      <c r="H35" s="512"/>
      <c r="I35" s="512"/>
      <c r="J35" s="512"/>
      <c r="K35" s="512"/>
      <c r="L35" s="512"/>
      <c r="M35" s="512"/>
      <c r="N35" s="512"/>
      <c r="O35" s="512"/>
      <c r="P35" s="156"/>
      <c r="Q35" s="512"/>
      <c r="R35" s="512"/>
      <c r="S35" s="512"/>
      <c r="T35" s="512"/>
      <c r="U35" s="512"/>
      <c r="V35" s="512"/>
      <c r="W35" s="512"/>
      <c r="X35" s="512"/>
      <c r="Y35" s="512"/>
      <c r="Z35" s="512"/>
      <c r="AA35" s="512"/>
      <c r="AB35" s="512"/>
      <c r="AC35" s="512"/>
    </row>
    <row r="36">
      <c r="A36" s="512"/>
      <c r="B36" s="512"/>
      <c r="C36" s="512"/>
      <c r="D36" s="512"/>
      <c r="E36" s="512"/>
      <c r="F36" s="512"/>
      <c r="G36" s="512"/>
      <c r="H36" s="512"/>
      <c r="I36" s="512"/>
      <c r="J36" s="512"/>
      <c r="K36" s="512"/>
      <c r="L36" s="512"/>
      <c r="M36" s="512"/>
      <c r="N36" s="512"/>
      <c r="O36" s="512"/>
      <c r="P36" s="156"/>
      <c r="Q36" s="512"/>
      <c r="R36" s="512"/>
      <c r="S36" s="512"/>
      <c r="T36" s="512"/>
      <c r="U36" s="512"/>
      <c r="V36" s="512"/>
      <c r="W36" s="512"/>
      <c r="X36" s="512"/>
      <c r="Y36" s="512"/>
      <c r="Z36" s="512"/>
      <c r="AA36" s="512"/>
      <c r="AB36" s="512"/>
      <c r="AC36" s="512"/>
    </row>
    <row r="37">
      <c r="A37" s="512"/>
      <c r="B37" s="512"/>
      <c r="C37" s="512"/>
      <c r="D37" s="512"/>
      <c r="E37" s="512"/>
      <c r="F37" s="512"/>
      <c r="G37" s="512"/>
      <c r="H37" s="512"/>
      <c r="I37" s="512"/>
      <c r="J37" s="512"/>
      <c r="K37" s="512"/>
      <c r="L37" s="512"/>
      <c r="M37" s="512"/>
      <c r="N37" s="512"/>
      <c r="O37" s="512"/>
      <c r="P37" s="156"/>
      <c r="Q37" s="512"/>
      <c r="R37" s="512"/>
      <c r="S37" s="512"/>
      <c r="T37" s="512"/>
      <c r="U37" s="512"/>
      <c r="V37" s="512"/>
      <c r="W37" s="512"/>
      <c r="X37" s="512"/>
      <c r="Y37" s="512"/>
      <c r="Z37" s="512"/>
      <c r="AA37" s="512"/>
      <c r="AB37" s="512"/>
      <c r="AC37" s="512"/>
    </row>
    <row r="38">
      <c r="A38" s="512"/>
      <c r="B38" s="512"/>
      <c r="C38" s="512"/>
      <c r="D38" s="512"/>
      <c r="E38" s="512"/>
      <c r="F38" s="512"/>
      <c r="G38" s="512"/>
      <c r="H38" s="512"/>
      <c r="I38" s="512"/>
      <c r="J38" s="512"/>
      <c r="K38" s="512"/>
      <c r="L38" s="512"/>
      <c r="M38" s="512"/>
      <c r="N38" s="512"/>
      <c r="O38" s="512"/>
      <c r="P38" s="156"/>
      <c r="Q38" s="512"/>
      <c r="R38" s="512"/>
      <c r="S38" s="512"/>
      <c r="T38" s="512"/>
      <c r="U38" s="512"/>
      <c r="V38" s="512"/>
      <c r="W38" s="512"/>
      <c r="X38" s="512"/>
      <c r="Y38" s="512"/>
      <c r="Z38" s="512"/>
      <c r="AA38" s="512"/>
      <c r="AB38" s="512"/>
      <c r="AC38" s="512"/>
    </row>
    <row r="39">
      <c r="A39" s="512"/>
      <c r="B39" s="512"/>
      <c r="C39" s="512"/>
      <c r="D39" s="512"/>
      <c r="E39" s="512"/>
      <c r="F39" s="512"/>
      <c r="G39" s="512"/>
      <c r="H39" s="512"/>
      <c r="I39" s="512"/>
      <c r="J39" s="512"/>
      <c r="K39" s="512"/>
      <c r="L39" s="512"/>
      <c r="M39" s="512"/>
      <c r="N39" s="512"/>
      <c r="O39" s="512"/>
      <c r="P39" s="156"/>
      <c r="Q39" s="512"/>
      <c r="R39" s="512"/>
      <c r="S39" s="512"/>
      <c r="T39" s="512"/>
      <c r="U39" s="512"/>
      <c r="V39" s="512"/>
      <c r="W39" s="512"/>
      <c r="X39" s="512"/>
      <c r="Y39" s="512"/>
      <c r="Z39" s="512"/>
      <c r="AA39" s="512"/>
      <c r="AB39" s="512"/>
      <c r="AC39" s="512"/>
    </row>
    <row r="40">
      <c r="A40" s="512"/>
      <c r="B40" s="512"/>
      <c r="C40" s="512"/>
      <c r="D40" s="512"/>
      <c r="E40" s="512"/>
      <c r="F40" s="512"/>
      <c r="G40" s="512"/>
      <c r="H40" s="512"/>
      <c r="I40" s="512"/>
      <c r="J40" s="512"/>
      <c r="K40" s="512"/>
      <c r="L40" s="512"/>
      <c r="M40" s="512"/>
      <c r="N40" s="512"/>
      <c r="O40" s="512"/>
      <c r="P40" s="156"/>
      <c r="Q40" s="512"/>
      <c r="R40" s="512"/>
      <c r="S40" s="512"/>
      <c r="T40" s="512"/>
      <c r="U40" s="512"/>
      <c r="V40" s="512"/>
      <c r="W40" s="512"/>
      <c r="X40" s="512"/>
      <c r="Y40" s="512"/>
      <c r="Z40" s="512"/>
      <c r="AA40" s="512"/>
      <c r="AB40" s="512"/>
      <c r="AC40" s="512"/>
    </row>
    <row r="41">
      <c r="A41" s="512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156"/>
      <c r="Q41" s="512"/>
      <c r="R41" s="512"/>
      <c r="S41" s="512"/>
      <c r="T41" s="512"/>
      <c r="U41" s="512"/>
      <c r="V41" s="512"/>
      <c r="W41" s="512"/>
      <c r="X41" s="512"/>
      <c r="Y41" s="512"/>
      <c r="Z41" s="512"/>
      <c r="AA41" s="512"/>
      <c r="AB41" s="512"/>
      <c r="AC41" s="512"/>
    </row>
    <row r="42">
      <c r="A42" s="512"/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156"/>
      <c r="Q42" s="512"/>
      <c r="R42" s="512"/>
      <c r="S42" s="512"/>
      <c r="T42" s="512"/>
      <c r="U42" s="512"/>
      <c r="V42" s="512"/>
      <c r="W42" s="512"/>
      <c r="X42" s="512"/>
      <c r="Y42" s="512"/>
      <c r="Z42" s="512"/>
      <c r="AA42" s="512"/>
      <c r="AB42" s="512"/>
      <c r="AC42" s="512"/>
    </row>
    <row r="43">
      <c r="A43" s="512"/>
      <c r="B43" s="512"/>
      <c r="C43" s="512"/>
      <c r="D43" s="512"/>
      <c r="E43" s="512"/>
      <c r="F43" s="512"/>
      <c r="G43" s="512"/>
      <c r="H43" s="512"/>
      <c r="I43" s="512"/>
      <c r="J43" s="512"/>
      <c r="K43" s="512"/>
      <c r="L43" s="512"/>
      <c r="M43" s="512"/>
      <c r="N43" s="512"/>
      <c r="O43" s="512"/>
      <c r="P43" s="156"/>
      <c r="Q43" s="512"/>
      <c r="R43" s="512"/>
      <c r="S43" s="512"/>
      <c r="T43" s="512"/>
      <c r="U43" s="512"/>
      <c r="V43" s="512"/>
      <c r="W43" s="512"/>
      <c r="X43" s="512"/>
      <c r="Y43" s="512"/>
      <c r="Z43" s="512"/>
      <c r="AA43" s="512"/>
      <c r="AB43" s="512"/>
      <c r="AC43" s="512"/>
    </row>
    <row r="44">
      <c r="A44" s="512"/>
      <c r="B44" s="512"/>
      <c r="C44" s="512"/>
      <c r="D44" s="512"/>
      <c r="E44" s="512"/>
      <c r="F44" s="512"/>
      <c r="G44" s="512"/>
      <c r="H44" s="512"/>
      <c r="I44" s="512"/>
      <c r="J44" s="512"/>
      <c r="K44" s="512"/>
      <c r="L44" s="512"/>
      <c r="M44" s="512"/>
      <c r="N44" s="512"/>
      <c r="O44" s="512"/>
      <c r="P44" s="156"/>
      <c r="Q44" s="512"/>
      <c r="R44" s="512"/>
      <c r="S44" s="512"/>
      <c r="T44" s="512"/>
      <c r="U44" s="512"/>
      <c r="V44" s="512"/>
      <c r="W44" s="512"/>
      <c r="X44" s="512"/>
      <c r="Y44" s="512"/>
      <c r="Z44" s="512"/>
      <c r="AA44" s="512"/>
      <c r="AB44" s="512"/>
      <c r="AC44" s="512"/>
    </row>
    <row r="45">
      <c r="A45" s="512"/>
      <c r="B45" s="512"/>
      <c r="C45" s="512"/>
      <c r="D45" s="512"/>
      <c r="E45" s="512"/>
      <c r="F45" s="512"/>
      <c r="G45" s="512"/>
      <c r="H45" s="512"/>
      <c r="I45" s="512"/>
      <c r="J45" s="512"/>
      <c r="K45" s="512"/>
      <c r="L45" s="512"/>
      <c r="M45" s="512"/>
      <c r="N45" s="512"/>
      <c r="O45" s="512"/>
      <c r="P45" s="156"/>
      <c r="Q45" s="512"/>
      <c r="R45" s="512"/>
      <c r="S45" s="512"/>
      <c r="T45" s="512"/>
      <c r="U45" s="512"/>
      <c r="V45" s="512"/>
      <c r="W45" s="512"/>
      <c r="X45" s="512"/>
      <c r="Y45" s="512"/>
      <c r="Z45" s="512"/>
      <c r="AA45" s="512"/>
      <c r="AB45" s="512"/>
      <c r="AC45" s="512"/>
    </row>
    <row r="46">
      <c r="A46" s="512"/>
      <c r="B46" s="512"/>
      <c r="C46" s="512"/>
      <c r="D46" s="512"/>
      <c r="E46" s="512"/>
      <c r="F46" s="512"/>
      <c r="G46" s="512"/>
      <c r="H46" s="512"/>
      <c r="I46" s="512"/>
      <c r="J46" s="512"/>
      <c r="K46" s="512"/>
      <c r="L46" s="512"/>
      <c r="M46" s="512"/>
      <c r="N46" s="512"/>
      <c r="O46" s="512"/>
      <c r="P46" s="156"/>
      <c r="Q46" s="512"/>
      <c r="R46" s="512"/>
      <c r="S46" s="512"/>
      <c r="T46" s="512"/>
      <c r="U46" s="512"/>
      <c r="V46" s="512"/>
      <c r="W46" s="512"/>
      <c r="X46" s="512"/>
      <c r="Y46" s="512"/>
      <c r="Z46" s="512"/>
      <c r="AA46" s="512"/>
      <c r="AB46" s="512"/>
      <c r="AC46" s="512"/>
    </row>
    <row r="47">
      <c r="A47" s="512"/>
      <c r="B47" s="512"/>
      <c r="C47" s="512"/>
      <c r="D47" s="512"/>
      <c r="E47" s="512"/>
      <c r="F47" s="512"/>
      <c r="G47" s="512"/>
      <c r="H47" s="512"/>
      <c r="I47" s="512"/>
      <c r="J47" s="512"/>
      <c r="K47" s="512"/>
      <c r="L47" s="512"/>
      <c r="M47" s="512"/>
      <c r="N47" s="512"/>
      <c r="O47" s="512"/>
      <c r="P47" s="156"/>
      <c r="Q47" s="512"/>
      <c r="R47" s="512"/>
      <c r="S47" s="512"/>
      <c r="T47" s="512"/>
      <c r="U47" s="512"/>
      <c r="V47" s="512"/>
      <c r="W47" s="512"/>
      <c r="X47" s="512"/>
      <c r="Y47" s="512"/>
      <c r="Z47" s="512"/>
      <c r="AA47" s="512"/>
      <c r="AB47" s="512"/>
      <c r="AC47" s="512"/>
    </row>
    <row r="48">
      <c r="A48" s="512"/>
      <c r="B48" s="512"/>
      <c r="C48" s="512"/>
      <c r="D48" s="512"/>
      <c r="E48" s="512"/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156"/>
      <c r="Q48" s="512"/>
      <c r="R48" s="512"/>
      <c r="S48" s="512"/>
      <c r="T48" s="512"/>
      <c r="U48" s="512"/>
      <c r="V48" s="512"/>
      <c r="W48" s="512"/>
      <c r="X48" s="512"/>
      <c r="Y48" s="512"/>
      <c r="Z48" s="512"/>
      <c r="AA48" s="512"/>
      <c r="AB48" s="512"/>
      <c r="AC48" s="512"/>
    </row>
    <row r="49">
      <c r="A49" s="512"/>
      <c r="B49" s="512"/>
      <c r="C49" s="512"/>
      <c r="D49" s="512"/>
      <c r="E49" s="512"/>
      <c r="F49" s="512"/>
      <c r="G49" s="512"/>
      <c r="H49" s="512"/>
      <c r="I49" s="512"/>
      <c r="J49" s="512"/>
      <c r="K49" s="512"/>
      <c r="L49" s="512"/>
      <c r="M49" s="512"/>
      <c r="N49" s="512"/>
      <c r="O49" s="512"/>
      <c r="P49" s="156"/>
      <c r="Q49" s="512"/>
      <c r="R49" s="512"/>
      <c r="S49" s="512"/>
      <c r="T49" s="512"/>
      <c r="U49" s="512"/>
      <c r="V49" s="512"/>
      <c r="W49" s="512"/>
      <c r="X49" s="512"/>
      <c r="Y49" s="512"/>
      <c r="Z49" s="512"/>
      <c r="AA49" s="512"/>
      <c r="AB49" s="512"/>
      <c r="AC49" s="512"/>
    </row>
    <row r="50">
      <c r="A50" s="512"/>
      <c r="B50" s="512"/>
      <c r="C50" s="512"/>
      <c r="D50" s="512"/>
      <c r="E50" s="512"/>
      <c r="F50" s="512"/>
      <c r="G50" s="512"/>
      <c r="H50" s="512"/>
      <c r="I50" s="512"/>
      <c r="J50" s="512"/>
      <c r="K50" s="512"/>
      <c r="L50" s="512"/>
      <c r="M50" s="512"/>
      <c r="N50" s="512"/>
      <c r="O50" s="512"/>
      <c r="P50" s="156"/>
      <c r="Q50" s="512"/>
      <c r="R50" s="512"/>
      <c r="S50" s="512"/>
      <c r="T50" s="512"/>
      <c r="U50" s="512"/>
      <c r="V50" s="512"/>
      <c r="W50" s="512"/>
      <c r="X50" s="512"/>
      <c r="Y50" s="512"/>
      <c r="Z50" s="512"/>
      <c r="AA50" s="512"/>
      <c r="AB50" s="512"/>
      <c r="AC50" s="512"/>
    </row>
    <row r="51">
      <c r="A51" s="512"/>
      <c r="B51" s="512"/>
      <c r="C51" s="512"/>
      <c r="D51" s="512"/>
      <c r="E51" s="512"/>
      <c r="F51" s="512"/>
      <c r="G51" s="512"/>
      <c r="H51" s="512"/>
      <c r="I51" s="512"/>
      <c r="J51" s="512"/>
      <c r="K51" s="512"/>
      <c r="L51" s="512"/>
      <c r="M51" s="512"/>
      <c r="N51" s="512"/>
      <c r="O51" s="512"/>
      <c r="P51" s="156"/>
      <c r="Q51" s="512"/>
      <c r="R51" s="512"/>
      <c r="S51" s="512"/>
      <c r="T51" s="512"/>
      <c r="U51" s="512"/>
      <c r="V51" s="512"/>
      <c r="W51" s="512"/>
      <c r="X51" s="512"/>
      <c r="Y51" s="512"/>
      <c r="Z51" s="512"/>
      <c r="AA51" s="512"/>
      <c r="AB51" s="512"/>
      <c r="AC51" s="512"/>
    </row>
    <row r="52">
      <c r="A52" s="512"/>
      <c r="B52" s="512"/>
      <c r="C52" s="512"/>
      <c r="D52" s="512"/>
      <c r="E52" s="512"/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156"/>
      <c r="Q52" s="512"/>
      <c r="R52" s="512"/>
      <c r="S52" s="512"/>
      <c r="T52" s="512"/>
      <c r="U52" s="512"/>
      <c r="V52" s="512"/>
      <c r="W52" s="512"/>
      <c r="X52" s="512"/>
      <c r="Y52" s="512"/>
      <c r="Z52" s="512"/>
      <c r="AA52" s="512"/>
      <c r="AB52" s="512"/>
      <c r="AC52" s="512"/>
    </row>
    <row r="53">
      <c r="A53" s="512"/>
      <c r="B53" s="512"/>
      <c r="C53" s="512"/>
      <c r="D53" s="512"/>
      <c r="E53" s="512"/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156"/>
      <c r="Q53" s="512"/>
      <c r="R53" s="512"/>
      <c r="S53" s="512"/>
      <c r="T53" s="512"/>
      <c r="U53" s="512"/>
      <c r="V53" s="512"/>
      <c r="W53" s="512"/>
      <c r="X53" s="512"/>
      <c r="Y53" s="512"/>
      <c r="Z53" s="512"/>
      <c r="AA53" s="512"/>
      <c r="AB53" s="512"/>
      <c r="AC53" s="512"/>
    </row>
    <row r="54">
      <c r="A54" s="512"/>
      <c r="B54" s="512"/>
      <c r="C54" s="512"/>
      <c r="D54" s="512"/>
      <c r="E54" s="512"/>
      <c r="F54" s="512"/>
      <c r="G54" s="512"/>
      <c r="H54" s="512"/>
      <c r="I54" s="512"/>
      <c r="J54" s="512"/>
      <c r="K54" s="512"/>
      <c r="L54" s="512"/>
      <c r="M54" s="512"/>
      <c r="N54" s="512"/>
      <c r="O54" s="512"/>
      <c r="P54" s="156"/>
      <c r="Q54" s="512"/>
      <c r="R54" s="512"/>
      <c r="S54" s="512"/>
      <c r="T54" s="512"/>
      <c r="U54" s="512"/>
      <c r="V54" s="512"/>
      <c r="W54" s="512"/>
      <c r="X54" s="512"/>
      <c r="Y54" s="512"/>
      <c r="Z54" s="512"/>
      <c r="AA54" s="512"/>
      <c r="AB54" s="512"/>
      <c r="AC54" s="512"/>
    </row>
    <row r="55">
      <c r="A55" s="512"/>
      <c r="B55" s="512"/>
      <c r="C55" s="512"/>
      <c r="D55" s="512"/>
      <c r="E55" s="512"/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156"/>
      <c r="Q55" s="512"/>
      <c r="R55" s="512"/>
      <c r="S55" s="512"/>
      <c r="T55" s="512"/>
      <c r="U55" s="512"/>
      <c r="V55" s="512"/>
      <c r="W55" s="512"/>
      <c r="X55" s="512"/>
      <c r="Y55" s="512"/>
      <c r="Z55" s="512"/>
      <c r="AA55" s="512"/>
      <c r="AB55" s="512"/>
      <c r="AC55" s="512"/>
    </row>
    <row r="56">
      <c r="A56" s="512"/>
      <c r="B56" s="512"/>
      <c r="C56" s="512"/>
      <c r="D56" s="512"/>
      <c r="E56" s="512"/>
      <c r="F56" s="512"/>
      <c r="G56" s="512"/>
      <c r="H56" s="512"/>
      <c r="I56" s="512"/>
      <c r="J56" s="512"/>
      <c r="K56" s="512"/>
      <c r="L56" s="512"/>
      <c r="M56" s="512"/>
      <c r="N56" s="512"/>
      <c r="O56" s="512"/>
      <c r="P56" s="156"/>
      <c r="Q56" s="512"/>
      <c r="R56" s="512"/>
      <c r="S56" s="512"/>
      <c r="T56" s="512"/>
      <c r="U56" s="512"/>
      <c r="V56" s="512"/>
      <c r="W56" s="512"/>
      <c r="X56" s="512"/>
      <c r="Y56" s="512"/>
      <c r="Z56" s="512"/>
      <c r="AA56" s="512"/>
      <c r="AB56" s="512"/>
      <c r="AC56" s="512"/>
    </row>
    <row r="57">
      <c r="A57" s="512"/>
      <c r="B57" s="512"/>
      <c r="C57" s="512"/>
      <c r="D57" s="512"/>
      <c r="E57" s="512"/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156"/>
      <c r="Q57" s="512"/>
      <c r="R57" s="512"/>
      <c r="S57" s="512"/>
      <c r="T57" s="512"/>
      <c r="U57" s="512"/>
      <c r="V57" s="512"/>
      <c r="W57" s="512"/>
      <c r="X57" s="512"/>
      <c r="Y57" s="512"/>
      <c r="Z57" s="512"/>
      <c r="AA57" s="512"/>
      <c r="AB57" s="512"/>
      <c r="AC57" s="512"/>
    </row>
    <row r="58">
      <c r="A58" s="512"/>
      <c r="B58" s="512"/>
      <c r="C58" s="512"/>
      <c r="D58" s="512"/>
      <c r="E58" s="512"/>
      <c r="F58" s="512"/>
      <c r="G58" s="512"/>
      <c r="H58" s="512"/>
      <c r="I58" s="512"/>
      <c r="J58" s="512"/>
      <c r="K58" s="512"/>
      <c r="L58" s="512"/>
      <c r="M58" s="512"/>
      <c r="N58" s="512"/>
      <c r="O58" s="512"/>
      <c r="P58" s="156"/>
      <c r="Q58" s="512"/>
      <c r="R58" s="512"/>
      <c r="S58" s="512"/>
      <c r="T58" s="512"/>
      <c r="U58" s="512"/>
      <c r="V58" s="512"/>
      <c r="W58" s="512"/>
      <c r="X58" s="512"/>
      <c r="Y58" s="512"/>
      <c r="Z58" s="512"/>
      <c r="AA58" s="512"/>
      <c r="AB58" s="512"/>
      <c r="AC58" s="512"/>
    </row>
    <row r="59">
      <c r="A59" s="512"/>
      <c r="B59" s="512"/>
      <c r="C59" s="512"/>
      <c r="D59" s="512"/>
      <c r="E59" s="512"/>
      <c r="F59" s="512"/>
      <c r="G59" s="512"/>
      <c r="H59" s="512"/>
      <c r="I59" s="512"/>
      <c r="J59" s="512"/>
      <c r="K59" s="512"/>
      <c r="L59" s="512"/>
      <c r="M59" s="512"/>
      <c r="N59" s="512"/>
      <c r="O59" s="512"/>
      <c r="P59" s="156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2"/>
      <c r="AB59" s="512"/>
      <c r="AC59" s="512"/>
    </row>
    <row r="60">
      <c r="A60" s="512"/>
      <c r="B60" s="512"/>
      <c r="C60" s="512"/>
      <c r="D60" s="512"/>
      <c r="E60" s="512"/>
      <c r="F60" s="512"/>
      <c r="G60" s="512"/>
      <c r="H60" s="512"/>
      <c r="I60" s="512"/>
      <c r="J60" s="512"/>
      <c r="K60" s="512"/>
      <c r="L60" s="512"/>
      <c r="M60" s="512"/>
      <c r="N60" s="512"/>
      <c r="O60" s="512"/>
      <c r="P60" s="156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2"/>
      <c r="AB60" s="512"/>
      <c r="AC60" s="512"/>
    </row>
    <row r="61">
      <c r="A61" s="512"/>
      <c r="B61" s="512"/>
      <c r="C61" s="512"/>
      <c r="D61" s="512"/>
      <c r="E61" s="512"/>
      <c r="F61" s="512"/>
      <c r="G61" s="512"/>
      <c r="H61" s="512"/>
      <c r="I61" s="512"/>
      <c r="J61" s="512"/>
      <c r="K61" s="512"/>
      <c r="L61" s="512"/>
      <c r="M61" s="512"/>
      <c r="N61" s="512"/>
      <c r="O61" s="512"/>
      <c r="P61" s="156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2"/>
      <c r="AB61" s="512"/>
      <c r="AC61" s="512"/>
    </row>
    <row r="62">
      <c r="A62" s="512"/>
      <c r="B62" s="512"/>
      <c r="C62" s="512"/>
      <c r="D62" s="512"/>
      <c r="E62" s="512"/>
      <c r="F62" s="512"/>
      <c r="G62" s="512"/>
      <c r="H62" s="512"/>
      <c r="I62" s="512"/>
      <c r="J62" s="512"/>
      <c r="K62" s="512"/>
      <c r="L62" s="512"/>
      <c r="M62" s="512"/>
      <c r="N62" s="512"/>
      <c r="O62" s="512"/>
      <c r="P62" s="156"/>
      <c r="Q62" s="512"/>
      <c r="R62" s="512"/>
      <c r="S62" s="512"/>
      <c r="T62" s="512"/>
      <c r="U62" s="512"/>
      <c r="V62" s="512"/>
      <c r="W62" s="512"/>
      <c r="X62" s="512"/>
      <c r="Y62" s="512"/>
      <c r="Z62" s="512"/>
      <c r="AA62" s="512"/>
      <c r="AB62" s="512"/>
      <c r="AC62" s="512"/>
    </row>
    <row r="63">
      <c r="A63" s="512"/>
      <c r="B63" s="512"/>
      <c r="C63" s="512"/>
      <c r="D63" s="512"/>
      <c r="E63" s="512"/>
      <c r="F63" s="512"/>
      <c r="G63" s="512"/>
      <c r="H63" s="512"/>
      <c r="I63" s="512"/>
      <c r="J63" s="512"/>
      <c r="K63" s="512"/>
      <c r="L63" s="512"/>
      <c r="M63" s="512"/>
      <c r="N63" s="512"/>
      <c r="O63" s="512"/>
      <c r="P63" s="156"/>
      <c r="Q63" s="512"/>
      <c r="R63" s="512"/>
      <c r="S63" s="512"/>
      <c r="T63" s="512"/>
      <c r="U63" s="512"/>
      <c r="V63" s="512"/>
      <c r="W63" s="512"/>
      <c r="X63" s="512"/>
      <c r="Y63" s="512"/>
      <c r="Z63" s="512"/>
      <c r="AA63" s="512"/>
      <c r="AB63" s="512"/>
      <c r="AC63" s="512"/>
    </row>
    <row r="64">
      <c r="A64" s="512"/>
      <c r="B64" s="512"/>
      <c r="C64" s="512"/>
      <c r="D64" s="512"/>
      <c r="E64" s="512"/>
      <c r="F64" s="512"/>
      <c r="G64" s="512"/>
      <c r="H64" s="512"/>
      <c r="I64" s="512"/>
      <c r="J64" s="512"/>
      <c r="K64" s="512"/>
      <c r="L64" s="512"/>
      <c r="M64" s="512"/>
      <c r="N64" s="512"/>
      <c r="O64" s="512"/>
      <c r="P64" s="156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2"/>
      <c r="AB64" s="512"/>
      <c r="AC64" s="512"/>
    </row>
    <row r="65">
      <c r="A65" s="512"/>
      <c r="B65" s="512"/>
      <c r="C65" s="512"/>
      <c r="D65" s="512"/>
      <c r="E65" s="512"/>
      <c r="F65" s="512"/>
      <c r="G65" s="512"/>
      <c r="H65" s="512"/>
      <c r="I65" s="512"/>
      <c r="J65" s="512"/>
      <c r="K65" s="512"/>
      <c r="L65" s="512"/>
      <c r="M65" s="512"/>
      <c r="N65" s="512"/>
      <c r="O65" s="512"/>
      <c r="P65" s="156"/>
      <c r="Q65" s="512"/>
      <c r="R65" s="512"/>
      <c r="S65" s="512"/>
      <c r="T65" s="512"/>
      <c r="U65" s="512"/>
      <c r="V65" s="512"/>
      <c r="W65" s="512"/>
      <c r="X65" s="512"/>
      <c r="Y65" s="512"/>
      <c r="Z65" s="512"/>
      <c r="AA65" s="512"/>
      <c r="AB65" s="512"/>
      <c r="AC65" s="512"/>
    </row>
    <row r="66">
      <c r="A66" s="512"/>
      <c r="B66" s="512"/>
      <c r="C66" s="512"/>
      <c r="D66" s="512"/>
      <c r="E66" s="512"/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156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2"/>
      <c r="AB66" s="512"/>
      <c r="AC66" s="512"/>
    </row>
    <row r="67">
      <c r="A67" s="512"/>
      <c r="B67" s="512"/>
      <c r="C67" s="512"/>
      <c r="D67" s="512"/>
      <c r="E67" s="512"/>
      <c r="F67" s="512"/>
      <c r="G67" s="512"/>
      <c r="H67" s="512"/>
      <c r="I67" s="512"/>
      <c r="J67" s="512"/>
      <c r="K67" s="512"/>
      <c r="L67" s="512"/>
      <c r="M67" s="512"/>
      <c r="N67" s="512"/>
      <c r="O67" s="512"/>
      <c r="P67" s="156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2"/>
      <c r="AB67" s="512"/>
      <c r="AC67" s="512"/>
    </row>
    <row r="68">
      <c r="A68" s="512"/>
      <c r="B68" s="512"/>
      <c r="C68" s="512"/>
      <c r="D68" s="512"/>
      <c r="E68" s="512"/>
      <c r="F68" s="512"/>
      <c r="G68" s="512"/>
      <c r="H68" s="512"/>
      <c r="I68" s="512"/>
      <c r="J68" s="512"/>
      <c r="K68" s="512"/>
      <c r="L68" s="512"/>
      <c r="M68" s="512"/>
      <c r="N68" s="512"/>
      <c r="O68" s="512"/>
      <c r="P68" s="156"/>
      <c r="Q68" s="512"/>
      <c r="R68" s="512"/>
      <c r="S68" s="512"/>
      <c r="T68" s="512"/>
      <c r="U68" s="512"/>
      <c r="V68" s="512"/>
      <c r="W68" s="512"/>
      <c r="X68" s="512"/>
      <c r="Y68" s="512"/>
      <c r="Z68" s="512"/>
      <c r="AA68" s="512"/>
      <c r="AB68" s="512"/>
      <c r="AC68" s="512"/>
    </row>
    <row r="69">
      <c r="A69" s="512"/>
      <c r="B69" s="512"/>
      <c r="C69" s="512"/>
      <c r="D69" s="512"/>
      <c r="E69" s="512"/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156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2"/>
      <c r="AB69" s="512"/>
      <c r="AC69" s="512"/>
    </row>
    <row r="70">
      <c r="A70" s="512"/>
      <c r="B70" s="512"/>
      <c r="C70" s="512"/>
      <c r="D70" s="512"/>
      <c r="E70" s="512"/>
      <c r="F70" s="512"/>
      <c r="G70" s="512"/>
      <c r="H70" s="512"/>
      <c r="I70" s="512"/>
      <c r="J70" s="512"/>
      <c r="K70" s="512"/>
      <c r="L70" s="512"/>
      <c r="M70" s="512"/>
      <c r="N70" s="512"/>
      <c r="O70" s="512"/>
      <c r="P70" s="156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2"/>
      <c r="AB70" s="512"/>
      <c r="AC70" s="512"/>
    </row>
    <row r="71">
      <c r="A71" s="512"/>
      <c r="B71" s="512"/>
      <c r="C71" s="512"/>
      <c r="D71" s="512"/>
      <c r="E71" s="512"/>
      <c r="F71" s="512"/>
      <c r="G71" s="512"/>
      <c r="H71" s="512"/>
      <c r="I71" s="512"/>
      <c r="J71" s="512"/>
      <c r="K71" s="512"/>
      <c r="L71" s="512"/>
      <c r="M71" s="512"/>
      <c r="N71" s="512"/>
      <c r="O71" s="512"/>
      <c r="P71" s="156"/>
      <c r="Q71" s="512"/>
      <c r="R71" s="512"/>
      <c r="S71" s="512"/>
      <c r="T71" s="512"/>
      <c r="U71" s="512"/>
      <c r="V71" s="512"/>
      <c r="W71" s="512"/>
      <c r="X71" s="512"/>
      <c r="Y71" s="512"/>
      <c r="Z71" s="512"/>
      <c r="AA71" s="512"/>
      <c r="AB71" s="512"/>
      <c r="AC71" s="512"/>
    </row>
    <row r="72">
      <c r="A72" s="512"/>
      <c r="B72" s="512"/>
      <c r="C72" s="512"/>
      <c r="D72" s="512"/>
      <c r="E72" s="512"/>
      <c r="F72" s="512"/>
      <c r="G72" s="512"/>
      <c r="H72" s="512"/>
      <c r="I72" s="512"/>
      <c r="J72" s="512"/>
      <c r="K72" s="512"/>
      <c r="L72" s="512"/>
      <c r="M72" s="512"/>
      <c r="N72" s="512"/>
      <c r="O72" s="512"/>
      <c r="P72" s="156"/>
      <c r="Q72" s="512"/>
      <c r="R72" s="512"/>
      <c r="S72" s="512"/>
      <c r="T72" s="512"/>
      <c r="U72" s="512"/>
      <c r="V72" s="512"/>
      <c r="W72" s="512"/>
      <c r="X72" s="512"/>
      <c r="Y72" s="512"/>
      <c r="Z72" s="512"/>
      <c r="AA72" s="512"/>
      <c r="AB72" s="512"/>
      <c r="AC72" s="512"/>
    </row>
    <row r="73">
      <c r="A73" s="512"/>
      <c r="B73" s="512"/>
      <c r="C73" s="512"/>
      <c r="D73" s="512"/>
      <c r="E73" s="512"/>
      <c r="F73" s="512"/>
      <c r="G73" s="512"/>
      <c r="H73" s="512"/>
      <c r="I73" s="512"/>
      <c r="J73" s="512"/>
      <c r="K73" s="512"/>
      <c r="L73" s="512"/>
      <c r="M73" s="512"/>
      <c r="N73" s="512"/>
      <c r="O73" s="512"/>
      <c r="P73" s="156"/>
      <c r="Q73" s="512"/>
      <c r="R73" s="512"/>
      <c r="S73" s="512"/>
      <c r="T73" s="512"/>
      <c r="U73" s="512"/>
      <c r="V73" s="512"/>
      <c r="W73" s="512"/>
      <c r="X73" s="512"/>
      <c r="Y73" s="512"/>
      <c r="Z73" s="512"/>
      <c r="AA73" s="512"/>
      <c r="AB73" s="512"/>
      <c r="AC73" s="512"/>
    </row>
    <row r="74">
      <c r="A74" s="512"/>
      <c r="B74" s="512"/>
      <c r="C74" s="512"/>
      <c r="D74" s="512"/>
      <c r="E74" s="512"/>
      <c r="F74" s="512"/>
      <c r="G74" s="512"/>
      <c r="H74" s="512"/>
      <c r="I74" s="512"/>
      <c r="J74" s="512"/>
      <c r="K74" s="512"/>
      <c r="L74" s="512"/>
      <c r="M74" s="512"/>
      <c r="N74" s="512"/>
      <c r="O74" s="512"/>
      <c r="P74" s="156"/>
      <c r="Q74" s="512"/>
      <c r="R74" s="512"/>
      <c r="S74" s="512"/>
      <c r="T74" s="512"/>
      <c r="U74" s="512"/>
      <c r="V74" s="512"/>
      <c r="W74" s="512"/>
      <c r="X74" s="512"/>
      <c r="Y74" s="512"/>
      <c r="Z74" s="512"/>
      <c r="AA74" s="512"/>
      <c r="AB74" s="512"/>
      <c r="AC74" s="512"/>
    </row>
    <row r="75">
      <c r="A75" s="512"/>
      <c r="B75" s="512"/>
      <c r="C75" s="512"/>
      <c r="D75" s="512"/>
      <c r="E75" s="512"/>
      <c r="F75" s="512"/>
      <c r="G75" s="512"/>
      <c r="H75" s="512"/>
      <c r="I75" s="512"/>
      <c r="J75" s="512"/>
      <c r="K75" s="512"/>
      <c r="L75" s="512"/>
      <c r="M75" s="512"/>
      <c r="N75" s="512"/>
      <c r="O75" s="512"/>
      <c r="P75" s="156"/>
      <c r="Q75" s="512"/>
      <c r="R75" s="512"/>
      <c r="S75" s="512"/>
      <c r="T75" s="512"/>
      <c r="U75" s="512"/>
      <c r="V75" s="512"/>
      <c r="W75" s="512"/>
      <c r="X75" s="512"/>
      <c r="Y75" s="512"/>
      <c r="Z75" s="512"/>
      <c r="AA75" s="512"/>
      <c r="AB75" s="512"/>
      <c r="AC75" s="512"/>
    </row>
    <row r="76">
      <c r="A76" s="512"/>
      <c r="B76" s="512"/>
      <c r="C76" s="512"/>
      <c r="D76" s="512"/>
      <c r="E76" s="512"/>
      <c r="F76" s="512"/>
      <c r="G76" s="512"/>
      <c r="H76" s="512"/>
      <c r="I76" s="512"/>
      <c r="J76" s="512"/>
      <c r="K76" s="512"/>
      <c r="L76" s="512"/>
      <c r="M76" s="512"/>
      <c r="N76" s="512"/>
      <c r="O76" s="512"/>
      <c r="P76" s="156"/>
      <c r="Q76" s="512"/>
      <c r="R76" s="512"/>
      <c r="S76" s="512"/>
      <c r="T76" s="512"/>
      <c r="U76" s="512"/>
      <c r="V76" s="512"/>
      <c r="W76" s="512"/>
      <c r="X76" s="512"/>
      <c r="Y76" s="512"/>
      <c r="Z76" s="512"/>
      <c r="AA76" s="512"/>
      <c r="AB76" s="512"/>
      <c r="AC76" s="512"/>
    </row>
    <row r="77">
      <c r="A77" s="512"/>
      <c r="B77" s="512"/>
      <c r="C77" s="512"/>
      <c r="D77" s="512"/>
      <c r="E77" s="512"/>
      <c r="F77" s="512"/>
      <c r="G77" s="512"/>
      <c r="H77" s="512"/>
      <c r="I77" s="512"/>
      <c r="J77" s="512"/>
      <c r="K77" s="512"/>
      <c r="L77" s="512"/>
      <c r="M77" s="512"/>
      <c r="N77" s="512"/>
      <c r="O77" s="512"/>
      <c r="P77" s="156"/>
      <c r="Q77" s="512"/>
      <c r="R77" s="512"/>
      <c r="S77" s="512"/>
      <c r="T77" s="512"/>
      <c r="U77" s="512"/>
      <c r="V77" s="512"/>
      <c r="W77" s="512"/>
      <c r="X77" s="512"/>
      <c r="Y77" s="512"/>
      <c r="Z77" s="512"/>
      <c r="AA77" s="512"/>
      <c r="AB77" s="512"/>
      <c r="AC77" s="512"/>
    </row>
    <row r="78">
      <c r="A78" s="512"/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156"/>
      <c r="Q78" s="512"/>
      <c r="R78" s="512"/>
      <c r="S78" s="512"/>
      <c r="T78" s="512"/>
      <c r="U78" s="512"/>
      <c r="V78" s="512"/>
      <c r="W78" s="512"/>
      <c r="X78" s="512"/>
      <c r="Y78" s="512"/>
      <c r="Z78" s="512"/>
      <c r="AA78" s="512"/>
      <c r="AB78" s="512"/>
      <c r="AC78" s="512"/>
    </row>
    <row r="79">
      <c r="A79" s="512"/>
      <c r="B79" s="512"/>
      <c r="C79" s="512"/>
      <c r="D79" s="512"/>
      <c r="E79" s="512"/>
      <c r="F79" s="512"/>
      <c r="G79" s="512"/>
      <c r="H79" s="512"/>
      <c r="I79" s="512"/>
      <c r="J79" s="512"/>
      <c r="K79" s="512"/>
      <c r="L79" s="512"/>
      <c r="M79" s="512"/>
      <c r="N79" s="512"/>
      <c r="O79" s="512"/>
      <c r="P79" s="156"/>
      <c r="Q79" s="512"/>
      <c r="R79" s="512"/>
      <c r="S79" s="512"/>
      <c r="T79" s="512"/>
      <c r="U79" s="512"/>
      <c r="V79" s="512"/>
      <c r="W79" s="512"/>
      <c r="X79" s="512"/>
      <c r="Y79" s="512"/>
      <c r="Z79" s="512"/>
      <c r="AA79" s="512"/>
      <c r="AB79" s="512"/>
      <c r="AC79" s="512"/>
    </row>
    <row r="80">
      <c r="A80" s="512"/>
      <c r="B80" s="512"/>
      <c r="C80" s="512"/>
      <c r="D80" s="512"/>
      <c r="E80" s="512"/>
      <c r="F80" s="512"/>
      <c r="G80" s="512"/>
      <c r="H80" s="512"/>
      <c r="I80" s="512"/>
      <c r="J80" s="512"/>
      <c r="K80" s="512"/>
      <c r="L80" s="512"/>
      <c r="M80" s="512"/>
      <c r="N80" s="512"/>
      <c r="O80" s="512"/>
      <c r="P80" s="156"/>
      <c r="Q80" s="512"/>
      <c r="R80" s="512"/>
      <c r="S80" s="512"/>
      <c r="T80" s="512"/>
      <c r="U80" s="512"/>
      <c r="V80" s="512"/>
      <c r="W80" s="512"/>
      <c r="X80" s="512"/>
      <c r="Y80" s="512"/>
      <c r="Z80" s="512"/>
      <c r="AA80" s="512"/>
      <c r="AB80" s="512"/>
      <c r="AC80" s="512"/>
    </row>
    <row r="81">
      <c r="A81" s="512"/>
      <c r="B81" s="512"/>
      <c r="C81" s="512"/>
      <c r="D81" s="512"/>
      <c r="E81" s="512"/>
      <c r="F81" s="512"/>
      <c r="G81" s="512"/>
      <c r="H81" s="512"/>
      <c r="I81" s="512"/>
      <c r="J81" s="512"/>
      <c r="K81" s="512"/>
      <c r="L81" s="512"/>
      <c r="M81" s="512"/>
      <c r="N81" s="512"/>
      <c r="O81" s="512"/>
      <c r="P81" s="156"/>
      <c r="Q81" s="512"/>
      <c r="R81" s="512"/>
      <c r="S81" s="512"/>
      <c r="T81" s="512"/>
      <c r="U81" s="512"/>
      <c r="V81" s="512"/>
      <c r="W81" s="512"/>
      <c r="X81" s="512"/>
      <c r="Y81" s="512"/>
      <c r="Z81" s="512"/>
      <c r="AA81" s="512"/>
      <c r="AB81" s="512"/>
      <c r="AC81" s="512"/>
    </row>
    <row r="82">
      <c r="A82" s="512"/>
      <c r="B82" s="512"/>
      <c r="C82" s="512"/>
      <c r="D82" s="512"/>
      <c r="E82" s="512"/>
      <c r="F82" s="512"/>
      <c r="G82" s="512"/>
      <c r="H82" s="512"/>
      <c r="I82" s="512"/>
      <c r="J82" s="512"/>
      <c r="K82" s="512"/>
      <c r="L82" s="512"/>
      <c r="M82" s="512"/>
      <c r="N82" s="512"/>
      <c r="O82" s="512"/>
      <c r="P82" s="156"/>
      <c r="Q82" s="512"/>
      <c r="R82" s="512"/>
      <c r="S82" s="512"/>
      <c r="T82" s="512"/>
      <c r="U82" s="512"/>
      <c r="V82" s="512"/>
      <c r="W82" s="512"/>
      <c r="X82" s="512"/>
      <c r="Y82" s="512"/>
      <c r="Z82" s="512"/>
      <c r="AA82" s="512"/>
      <c r="AB82" s="512"/>
      <c r="AC82" s="512"/>
    </row>
    <row r="83">
      <c r="A83" s="512"/>
      <c r="B83" s="512"/>
      <c r="C83" s="512"/>
      <c r="D83" s="512"/>
      <c r="E83" s="512"/>
      <c r="F83" s="512"/>
      <c r="G83" s="512"/>
      <c r="H83" s="512"/>
      <c r="I83" s="512"/>
      <c r="J83" s="512"/>
      <c r="K83" s="512"/>
      <c r="L83" s="512"/>
      <c r="M83" s="512"/>
      <c r="N83" s="512"/>
      <c r="O83" s="512"/>
      <c r="P83" s="156"/>
      <c r="Q83" s="512"/>
      <c r="R83" s="512"/>
      <c r="S83" s="512"/>
      <c r="T83" s="512"/>
      <c r="U83" s="512"/>
      <c r="V83" s="512"/>
      <c r="W83" s="512"/>
      <c r="X83" s="512"/>
      <c r="Y83" s="512"/>
      <c r="Z83" s="512"/>
      <c r="AA83" s="512"/>
      <c r="AB83" s="512"/>
      <c r="AC83" s="512"/>
    </row>
    <row r="84">
      <c r="A84" s="512"/>
      <c r="B84" s="512"/>
      <c r="C84" s="512"/>
      <c r="D84" s="512"/>
      <c r="E84" s="512"/>
      <c r="F84" s="512"/>
      <c r="G84" s="512"/>
      <c r="H84" s="512"/>
      <c r="I84" s="512"/>
      <c r="J84" s="512"/>
      <c r="K84" s="512"/>
      <c r="L84" s="512"/>
      <c r="M84" s="512"/>
      <c r="N84" s="512"/>
      <c r="O84" s="512"/>
      <c r="P84" s="156"/>
      <c r="Q84" s="512"/>
      <c r="R84" s="512"/>
      <c r="S84" s="512"/>
      <c r="T84" s="512"/>
      <c r="U84" s="512"/>
      <c r="V84" s="512"/>
      <c r="W84" s="512"/>
      <c r="X84" s="512"/>
      <c r="Y84" s="512"/>
      <c r="Z84" s="512"/>
      <c r="AA84" s="512"/>
      <c r="AB84" s="512"/>
      <c r="AC84" s="512"/>
    </row>
    <row r="85">
      <c r="A85" s="512"/>
      <c r="B85" s="512"/>
      <c r="C85" s="512"/>
      <c r="D85" s="512"/>
      <c r="E85" s="512"/>
      <c r="F85" s="512"/>
      <c r="G85" s="512"/>
      <c r="H85" s="512"/>
      <c r="I85" s="512"/>
      <c r="J85" s="512"/>
      <c r="K85" s="512"/>
      <c r="L85" s="512"/>
      <c r="M85" s="512"/>
      <c r="N85" s="512"/>
      <c r="O85" s="512"/>
      <c r="P85" s="156"/>
      <c r="Q85" s="512"/>
      <c r="R85" s="512"/>
      <c r="S85" s="512"/>
      <c r="T85" s="512"/>
      <c r="U85" s="512"/>
      <c r="V85" s="512"/>
      <c r="W85" s="512"/>
      <c r="X85" s="512"/>
      <c r="Y85" s="512"/>
      <c r="Z85" s="512"/>
      <c r="AA85" s="512"/>
      <c r="AB85" s="512"/>
      <c r="AC85" s="512"/>
    </row>
    <row r="86">
      <c r="A86" s="512"/>
      <c r="B86" s="512"/>
      <c r="C86" s="512"/>
      <c r="D86" s="512"/>
      <c r="E86" s="512"/>
      <c r="F86" s="512"/>
      <c r="G86" s="512"/>
      <c r="H86" s="512"/>
      <c r="I86" s="512"/>
      <c r="J86" s="512"/>
      <c r="K86" s="512"/>
      <c r="L86" s="512"/>
      <c r="M86" s="512"/>
      <c r="N86" s="512"/>
      <c r="O86" s="512"/>
      <c r="P86" s="156"/>
      <c r="Q86" s="512"/>
      <c r="R86" s="512"/>
      <c r="S86" s="512"/>
      <c r="T86" s="512"/>
      <c r="U86" s="512"/>
      <c r="V86" s="512"/>
      <c r="W86" s="512"/>
      <c r="X86" s="512"/>
      <c r="Y86" s="512"/>
      <c r="Z86" s="512"/>
      <c r="AA86" s="512"/>
      <c r="AB86" s="512"/>
      <c r="AC86" s="512"/>
    </row>
    <row r="87">
      <c r="A87" s="512"/>
      <c r="B87" s="512"/>
      <c r="C87" s="512"/>
      <c r="D87" s="512"/>
      <c r="E87" s="512"/>
      <c r="F87" s="512"/>
      <c r="G87" s="512"/>
      <c r="H87" s="512"/>
      <c r="I87" s="512"/>
      <c r="J87" s="512"/>
      <c r="K87" s="512"/>
      <c r="L87" s="512"/>
      <c r="M87" s="512"/>
      <c r="N87" s="512"/>
      <c r="O87" s="512"/>
      <c r="P87" s="156"/>
      <c r="Q87" s="512"/>
      <c r="R87" s="512"/>
      <c r="S87" s="512"/>
      <c r="T87" s="512"/>
      <c r="U87" s="512"/>
      <c r="V87" s="512"/>
      <c r="W87" s="512"/>
      <c r="X87" s="512"/>
      <c r="Y87" s="512"/>
      <c r="Z87" s="512"/>
      <c r="AA87" s="512"/>
      <c r="AB87" s="512"/>
      <c r="AC87" s="512"/>
    </row>
    <row r="88">
      <c r="A88" s="512"/>
      <c r="B88" s="512"/>
      <c r="C88" s="512"/>
      <c r="D88" s="512"/>
      <c r="E88" s="512"/>
      <c r="F88" s="512"/>
      <c r="G88" s="512"/>
      <c r="H88" s="512"/>
      <c r="I88" s="512"/>
      <c r="J88" s="512"/>
      <c r="K88" s="512"/>
      <c r="L88" s="512"/>
      <c r="M88" s="512"/>
      <c r="N88" s="512"/>
      <c r="O88" s="512"/>
      <c r="P88" s="156"/>
      <c r="Q88" s="512"/>
      <c r="R88" s="512"/>
      <c r="S88" s="512"/>
      <c r="T88" s="512"/>
      <c r="U88" s="512"/>
      <c r="V88" s="512"/>
      <c r="W88" s="512"/>
      <c r="X88" s="512"/>
      <c r="Y88" s="512"/>
      <c r="Z88" s="512"/>
      <c r="AA88" s="512"/>
      <c r="AB88" s="512"/>
      <c r="AC88" s="512"/>
    </row>
    <row r="89">
      <c r="A89" s="512"/>
      <c r="B89" s="512"/>
      <c r="C89" s="512"/>
      <c r="D89" s="512"/>
      <c r="E89" s="512"/>
      <c r="F89" s="512"/>
      <c r="G89" s="512"/>
      <c r="H89" s="512"/>
      <c r="I89" s="512"/>
      <c r="J89" s="512"/>
      <c r="K89" s="512"/>
      <c r="L89" s="512"/>
      <c r="M89" s="512"/>
      <c r="N89" s="512"/>
      <c r="O89" s="512"/>
      <c r="P89" s="156"/>
      <c r="Q89" s="512"/>
      <c r="R89" s="512"/>
      <c r="S89" s="512"/>
      <c r="T89" s="512"/>
      <c r="U89" s="512"/>
      <c r="V89" s="512"/>
      <c r="W89" s="512"/>
      <c r="X89" s="512"/>
      <c r="Y89" s="512"/>
      <c r="Z89" s="512"/>
      <c r="AA89" s="512"/>
      <c r="AB89" s="512"/>
      <c r="AC89" s="512"/>
    </row>
    <row r="90">
      <c r="A90" s="512"/>
      <c r="B90" s="512"/>
      <c r="C90" s="512"/>
      <c r="D90" s="512"/>
      <c r="E90" s="512"/>
      <c r="F90" s="512"/>
      <c r="G90" s="512"/>
      <c r="H90" s="512"/>
      <c r="I90" s="512"/>
      <c r="J90" s="512"/>
      <c r="K90" s="512"/>
      <c r="L90" s="512"/>
      <c r="M90" s="512"/>
      <c r="N90" s="512"/>
      <c r="O90" s="512"/>
      <c r="P90" s="156"/>
      <c r="Q90" s="512"/>
      <c r="R90" s="512"/>
      <c r="S90" s="512"/>
      <c r="T90" s="512"/>
      <c r="U90" s="512"/>
      <c r="V90" s="512"/>
      <c r="W90" s="512"/>
      <c r="X90" s="512"/>
      <c r="Y90" s="512"/>
      <c r="Z90" s="512"/>
      <c r="AA90" s="512"/>
      <c r="AB90" s="512"/>
      <c r="AC90" s="512"/>
    </row>
    <row r="91">
      <c r="A91" s="512"/>
      <c r="B91" s="512"/>
      <c r="C91" s="512"/>
      <c r="D91" s="512"/>
      <c r="E91" s="512"/>
      <c r="F91" s="512"/>
      <c r="G91" s="512"/>
      <c r="H91" s="512"/>
      <c r="I91" s="512"/>
      <c r="J91" s="512"/>
      <c r="K91" s="512"/>
      <c r="L91" s="512"/>
      <c r="M91" s="512"/>
      <c r="N91" s="512"/>
      <c r="O91" s="512"/>
      <c r="P91" s="156"/>
      <c r="Q91" s="512"/>
      <c r="R91" s="512"/>
      <c r="S91" s="512"/>
      <c r="T91" s="512"/>
      <c r="U91" s="512"/>
      <c r="V91" s="512"/>
      <c r="W91" s="512"/>
      <c r="X91" s="512"/>
      <c r="Y91" s="512"/>
      <c r="Z91" s="512"/>
      <c r="AA91" s="512"/>
      <c r="AB91" s="512"/>
      <c r="AC91" s="512"/>
    </row>
    <row r="92">
      <c r="A92" s="512"/>
      <c r="B92" s="512"/>
      <c r="C92" s="512"/>
      <c r="D92" s="512"/>
      <c r="E92" s="512"/>
      <c r="F92" s="512"/>
      <c r="G92" s="512"/>
      <c r="H92" s="512"/>
      <c r="I92" s="512"/>
      <c r="J92" s="512"/>
      <c r="K92" s="512"/>
      <c r="L92" s="512"/>
      <c r="M92" s="512"/>
      <c r="N92" s="512"/>
      <c r="O92" s="512"/>
      <c r="P92" s="156"/>
      <c r="Q92" s="512"/>
      <c r="R92" s="512"/>
      <c r="S92" s="512"/>
      <c r="T92" s="512"/>
      <c r="U92" s="512"/>
      <c r="V92" s="512"/>
      <c r="W92" s="512"/>
      <c r="X92" s="512"/>
      <c r="Y92" s="512"/>
      <c r="Z92" s="512"/>
      <c r="AA92" s="512"/>
      <c r="AB92" s="512"/>
      <c r="AC92" s="512"/>
    </row>
    <row r="93">
      <c r="A93" s="512"/>
      <c r="B93" s="512"/>
      <c r="C93" s="512"/>
      <c r="D93" s="512"/>
      <c r="E93" s="512"/>
      <c r="F93" s="512"/>
      <c r="G93" s="512"/>
      <c r="H93" s="512"/>
      <c r="I93" s="512"/>
      <c r="J93" s="512"/>
      <c r="K93" s="512"/>
      <c r="L93" s="512"/>
      <c r="M93" s="512"/>
      <c r="N93" s="512"/>
      <c r="O93" s="512"/>
      <c r="P93" s="156"/>
      <c r="Q93" s="512"/>
      <c r="R93" s="512"/>
      <c r="S93" s="512"/>
      <c r="T93" s="512"/>
      <c r="U93" s="512"/>
      <c r="V93" s="512"/>
      <c r="W93" s="512"/>
      <c r="X93" s="512"/>
      <c r="Y93" s="512"/>
      <c r="Z93" s="512"/>
      <c r="AA93" s="512"/>
      <c r="AB93" s="512"/>
      <c r="AC93" s="512"/>
    </row>
    <row r="94">
      <c r="A94" s="512"/>
      <c r="B94" s="512"/>
      <c r="C94" s="512"/>
      <c r="D94" s="512"/>
      <c r="E94" s="512"/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156"/>
      <c r="Q94" s="512"/>
      <c r="R94" s="512"/>
      <c r="S94" s="512"/>
      <c r="T94" s="512"/>
      <c r="U94" s="512"/>
      <c r="V94" s="512"/>
      <c r="W94" s="512"/>
      <c r="X94" s="512"/>
      <c r="Y94" s="512"/>
      <c r="Z94" s="512"/>
      <c r="AA94" s="512"/>
      <c r="AB94" s="512"/>
      <c r="AC94" s="512"/>
    </row>
    <row r="95">
      <c r="A95" s="512"/>
      <c r="B95" s="512"/>
      <c r="C95" s="512"/>
      <c r="D95" s="512"/>
      <c r="E95" s="512"/>
      <c r="F95" s="512"/>
      <c r="G95" s="512"/>
      <c r="H95" s="512"/>
      <c r="I95" s="512"/>
      <c r="J95" s="512"/>
      <c r="K95" s="512"/>
      <c r="L95" s="512"/>
      <c r="M95" s="512"/>
      <c r="N95" s="512"/>
      <c r="O95" s="512"/>
      <c r="P95" s="156"/>
      <c r="Q95" s="512"/>
      <c r="R95" s="512"/>
      <c r="S95" s="512"/>
      <c r="T95" s="512"/>
      <c r="U95" s="512"/>
      <c r="V95" s="512"/>
      <c r="W95" s="512"/>
      <c r="X95" s="512"/>
      <c r="Y95" s="512"/>
      <c r="Z95" s="512"/>
      <c r="AA95" s="512"/>
      <c r="AB95" s="512"/>
      <c r="AC95" s="512"/>
    </row>
    <row r="96">
      <c r="A96" s="512"/>
      <c r="B96" s="512"/>
      <c r="C96" s="512"/>
      <c r="D96" s="512"/>
      <c r="E96" s="512"/>
      <c r="F96" s="512"/>
      <c r="G96" s="512"/>
      <c r="H96" s="512"/>
      <c r="I96" s="512"/>
      <c r="J96" s="512"/>
      <c r="K96" s="512"/>
      <c r="L96" s="512"/>
      <c r="M96" s="512"/>
      <c r="N96" s="512"/>
      <c r="O96" s="512"/>
      <c r="P96" s="156"/>
      <c r="Q96" s="512"/>
      <c r="R96" s="512"/>
      <c r="S96" s="512"/>
      <c r="T96" s="512"/>
      <c r="U96" s="512"/>
      <c r="V96" s="512"/>
      <c r="W96" s="512"/>
      <c r="X96" s="512"/>
      <c r="Y96" s="512"/>
      <c r="Z96" s="512"/>
      <c r="AA96" s="512"/>
      <c r="AB96" s="512"/>
      <c r="AC96" s="512"/>
    </row>
    <row r="97">
      <c r="A97" s="512"/>
      <c r="B97" s="512"/>
      <c r="C97" s="512"/>
      <c r="D97" s="512"/>
      <c r="E97" s="512"/>
      <c r="F97" s="512"/>
      <c r="G97" s="512"/>
      <c r="H97" s="512"/>
      <c r="I97" s="512"/>
      <c r="J97" s="512"/>
      <c r="K97" s="512"/>
      <c r="L97" s="512"/>
      <c r="M97" s="512"/>
      <c r="N97" s="512"/>
      <c r="O97" s="512"/>
      <c r="P97" s="156"/>
      <c r="Q97" s="512"/>
      <c r="R97" s="512"/>
      <c r="S97" s="512"/>
      <c r="T97" s="512"/>
      <c r="U97" s="512"/>
      <c r="V97" s="512"/>
      <c r="W97" s="512"/>
      <c r="X97" s="512"/>
      <c r="Y97" s="512"/>
      <c r="Z97" s="512"/>
      <c r="AA97" s="512"/>
      <c r="AB97" s="512"/>
      <c r="AC97" s="512"/>
    </row>
    <row r="98">
      <c r="A98" s="512"/>
      <c r="B98" s="512"/>
      <c r="C98" s="512"/>
      <c r="D98" s="512"/>
      <c r="E98" s="512"/>
      <c r="F98" s="512"/>
      <c r="G98" s="512"/>
      <c r="H98" s="512"/>
      <c r="I98" s="512"/>
      <c r="J98" s="512"/>
      <c r="K98" s="512"/>
      <c r="L98" s="512"/>
      <c r="M98" s="512"/>
      <c r="N98" s="512"/>
      <c r="O98" s="512"/>
      <c r="P98" s="156"/>
      <c r="Q98" s="512"/>
      <c r="R98" s="512"/>
      <c r="S98" s="512"/>
      <c r="T98" s="512"/>
      <c r="U98" s="512"/>
      <c r="V98" s="512"/>
      <c r="W98" s="512"/>
      <c r="X98" s="512"/>
      <c r="Y98" s="512"/>
      <c r="Z98" s="512"/>
      <c r="AA98" s="512"/>
      <c r="AB98" s="512"/>
      <c r="AC98" s="512"/>
    </row>
    <row r="99">
      <c r="A99" s="512"/>
      <c r="B99" s="512"/>
      <c r="C99" s="512"/>
      <c r="D99" s="512"/>
      <c r="E99" s="512"/>
      <c r="F99" s="512"/>
      <c r="G99" s="512"/>
      <c r="H99" s="512"/>
      <c r="I99" s="512"/>
      <c r="J99" s="512"/>
      <c r="K99" s="512"/>
      <c r="L99" s="512"/>
      <c r="M99" s="512"/>
      <c r="N99" s="512"/>
      <c r="O99" s="512"/>
      <c r="P99" s="156"/>
      <c r="Q99" s="512"/>
      <c r="R99" s="512"/>
      <c r="S99" s="512"/>
      <c r="T99" s="512"/>
      <c r="U99" s="512"/>
      <c r="V99" s="512"/>
      <c r="W99" s="512"/>
      <c r="X99" s="512"/>
      <c r="Y99" s="512"/>
      <c r="Z99" s="512"/>
      <c r="AA99" s="512"/>
      <c r="AB99" s="512"/>
      <c r="AC99" s="512"/>
    </row>
    <row r="100">
      <c r="A100" s="512"/>
      <c r="B100" s="512"/>
      <c r="C100" s="512"/>
      <c r="D100" s="512"/>
      <c r="E100" s="512"/>
      <c r="F100" s="512"/>
      <c r="G100" s="512"/>
      <c r="H100" s="512"/>
      <c r="I100" s="512"/>
      <c r="J100" s="512"/>
      <c r="K100" s="512"/>
      <c r="L100" s="512"/>
      <c r="M100" s="512"/>
      <c r="N100" s="512"/>
      <c r="O100" s="512"/>
      <c r="P100" s="156"/>
      <c r="Q100" s="512"/>
      <c r="R100" s="512"/>
      <c r="S100" s="512"/>
      <c r="T100" s="512"/>
      <c r="U100" s="512"/>
      <c r="V100" s="512"/>
      <c r="W100" s="512"/>
      <c r="X100" s="512"/>
      <c r="Y100" s="512"/>
      <c r="Z100" s="512"/>
      <c r="AA100" s="512"/>
      <c r="AB100" s="512"/>
      <c r="AC100" s="512"/>
    </row>
    <row r="101">
      <c r="A101" s="512"/>
      <c r="B101" s="512"/>
      <c r="C101" s="512"/>
      <c r="D101" s="512"/>
      <c r="E101" s="512"/>
      <c r="F101" s="512"/>
      <c r="G101" s="512"/>
      <c r="H101" s="512"/>
      <c r="I101" s="512"/>
      <c r="J101" s="512"/>
      <c r="K101" s="512"/>
      <c r="L101" s="512"/>
      <c r="M101" s="512"/>
      <c r="N101" s="512"/>
      <c r="O101" s="512"/>
      <c r="P101" s="156"/>
      <c r="Q101" s="512"/>
      <c r="R101" s="512"/>
      <c r="S101" s="512"/>
      <c r="T101" s="512"/>
      <c r="U101" s="512"/>
      <c r="V101" s="512"/>
      <c r="W101" s="512"/>
      <c r="X101" s="512"/>
      <c r="Y101" s="512"/>
      <c r="Z101" s="512"/>
      <c r="AA101" s="512"/>
      <c r="AB101" s="512"/>
      <c r="AC101" s="512"/>
    </row>
    <row r="102">
      <c r="A102" s="512"/>
      <c r="B102" s="512"/>
      <c r="C102" s="512"/>
      <c r="D102" s="512"/>
      <c r="E102" s="512"/>
      <c r="F102" s="512"/>
      <c r="G102" s="512"/>
      <c r="H102" s="512"/>
      <c r="I102" s="512"/>
      <c r="J102" s="512"/>
      <c r="K102" s="512"/>
      <c r="L102" s="512"/>
      <c r="M102" s="512"/>
      <c r="N102" s="512"/>
      <c r="O102" s="512"/>
      <c r="P102" s="156"/>
      <c r="Q102" s="512"/>
      <c r="R102" s="512"/>
      <c r="S102" s="512"/>
      <c r="T102" s="512"/>
      <c r="U102" s="512"/>
      <c r="V102" s="512"/>
      <c r="W102" s="512"/>
      <c r="X102" s="512"/>
      <c r="Y102" s="512"/>
      <c r="Z102" s="512"/>
      <c r="AA102" s="512"/>
      <c r="AB102" s="512"/>
      <c r="AC102" s="512"/>
    </row>
    <row r="103">
      <c r="A103" s="512"/>
      <c r="B103" s="512"/>
      <c r="C103" s="512"/>
      <c r="D103" s="512"/>
      <c r="E103" s="512"/>
      <c r="F103" s="512"/>
      <c r="G103" s="512"/>
      <c r="H103" s="512"/>
      <c r="I103" s="512"/>
      <c r="J103" s="512"/>
      <c r="K103" s="512"/>
      <c r="L103" s="512"/>
      <c r="M103" s="512"/>
      <c r="N103" s="512"/>
      <c r="O103" s="512"/>
      <c r="P103" s="156"/>
      <c r="Q103" s="512"/>
      <c r="R103" s="512"/>
      <c r="S103" s="512"/>
      <c r="T103" s="512"/>
      <c r="U103" s="512"/>
      <c r="V103" s="512"/>
      <c r="W103" s="512"/>
      <c r="X103" s="512"/>
      <c r="Y103" s="512"/>
      <c r="Z103" s="512"/>
      <c r="AA103" s="512"/>
      <c r="AB103" s="512"/>
      <c r="AC103" s="512"/>
    </row>
    <row r="104">
      <c r="A104" s="512"/>
      <c r="B104" s="512"/>
      <c r="C104" s="512"/>
      <c r="D104" s="512"/>
      <c r="E104" s="512"/>
      <c r="F104" s="512"/>
      <c r="G104" s="512"/>
      <c r="H104" s="512"/>
      <c r="I104" s="512"/>
      <c r="J104" s="512"/>
      <c r="K104" s="512"/>
      <c r="L104" s="512"/>
      <c r="M104" s="512"/>
      <c r="N104" s="512"/>
      <c r="O104" s="512"/>
      <c r="P104" s="156"/>
      <c r="Q104" s="512"/>
      <c r="R104" s="512"/>
      <c r="S104" s="512"/>
      <c r="T104" s="512"/>
      <c r="U104" s="512"/>
      <c r="V104" s="512"/>
      <c r="W104" s="512"/>
      <c r="X104" s="512"/>
      <c r="Y104" s="512"/>
      <c r="Z104" s="512"/>
      <c r="AA104" s="512"/>
      <c r="AB104" s="512"/>
      <c r="AC104" s="512"/>
    </row>
    <row r="105">
      <c r="A105" s="512"/>
      <c r="B105" s="512"/>
      <c r="C105" s="512"/>
      <c r="D105" s="512"/>
      <c r="E105" s="512"/>
      <c r="F105" s="512"/>
      <c r="G105" s="512"/>
      <c r="H105" s="512"/>
      <c r="I105" s="512"/>
      <c r="J105" s="512"/>
      <c r="K105" s="512"/>
      <c r="L105" s="512"/>
      <c r="M105" s="512"/>
      <c r="N105" s="512"/>
      <c r="O105" s="512"/>
      <c r="P105" s="156"/>
      <c r="Q105" s="512"/>
      <c r="R105" s="512"/>
      <c r="S105" s="512"/>
      <c r="T105" s="512"/>
      <c r="U105" s="512"/>
      <c r="V105" s="512"/>
      <c r="W105" s="512"/>
      <c r="X105" s="512"/>
      <c r="Y105" s="512"/>
      <c r="Z105" s="512"/>
      <c r="AA105" s="512"/>
      <c r="AB105" s="512"/>
      <c r="AC105" s="512"/>
    </row>
    <row r="106">
      <c r="A106" s="512"/>
      <c r="B106" s="512"/>
      <c r="C106" s="512"/>
      <c r="D106" s="512"/>
      <c r="E106" s="512"/>
      <c r="F106" s="512"/>
      <c r="G106" s="512"/>
      <c r="H106" s="512"/>
      <c r="I106" s="512"/>
      <c r="J106" s="512"/>
      <c r="K106" s="512"/>
      <c r="L106" s="512"/>
      <c r="M106" s="512"/>
      <c r="N106" s="512"/>
      <c r="O106" s="512"/>
      <c r="P106" s="156"/>
      <c r="Q106" s="512"/>
      <c r="R106" s="512"/>
      <c r="S106" s="512"/>
      <c r="T106" s="512"/>
      <c r="U106" s="512"/>
      <c r="V106" s="512"/>
      <c r="W106" s="512"/>
      <c r="X106" s="512"/>
      <c r="Y106" s="512"/>
      <c r="Z106" s="512"/>
      <c r="AA106" s="512"/>
      <c r="AB106" s="512"/>
      <c r="AC106" s="512"/>
    </row>
    <row r="107">
      <c r="A107" s="512"/>
      <c r="B107" s="512"/>
      <c r="C107" s="512"/>
      <c r="D107" s="512"/>
      <c r="E107" s="512"/>
      <c r="F107" s="512"/>
      <c r="G107" s="512"/>
      <c r="H107" s="512"/>
      <c r="I107" s="512"/>
      <c r="J107" s="512"/>
      <c r="K107" s="512"/>
      <c r="L107" s="512"/>
      <c r="M107" s="512"/>
      <c r="N107" s="512"/>
      <c r="O107" s="512"/>
      <c r="P107" s="156"/>
      <c r="Q107" s="512"/>
      <c r="R107" s="512"/>
      <c r="S107" s="512"/>
      <c r="T107" s="512"/>
      <c r="U107" s="512"/>
      <c r="V107" s="512"/>
      <c r="W107" s="512"/>
      <c r="X107" s="512"/>
      <c r="Y107" s="512"/>
      <c r="Z107" s="512"/>
      <c r="AA107" s="512"/>
      <c r="AB107" s="512"/>
      <c r="AC107" s="512"/>
    </row>
    <row r="108">
      <c r="A108" s="512"/>
      <c r="B108" s="512"/>
      <c r="C108" s="512"/>
      <c r="D108" s="512"/>
      <c r="E108" s="512"/>
      <c r="F108" s="512"/>
      <c r="G108" s="512"/>
      <c r="H108" s="512"/>
      <c r="I108" s="512"/>
      <c r="J108" s="512"/>
      <c r="K108" s="512"/>
      <c r="L108" s="512"/>
      <c r="M108" s="512"/>
      <c r="N108" s="512"/>
      <c r="O108" s="512"/>
      <c r="P108" s="156"/>
      <c r="Q108" s="512"/>
      <c r="R108" s="512"/>
      <c r="S108" s="512"/>
      <c r="T108" s="512"/>
      <c r="U108" s="512"/>
      <c r="V108" s="512"/>
      <c r="W108" s="512"/>
      <c r="X108" s="512"/>
      <c r="Y108" s="512"/>
      <c r="Z108" s="512"/>
      <c r="AA108" s="512"/>
      <c r="AB108" s="512"/>
      <c r="AC108" s="512"/>
    </row>
    <row r="109">
      <c r="A109" s="512"/>
      <c r="B109" s="512"/>
      <c r="C109" s="512"/>
      <c r="D109" s="512"/>
      <c r="E109" s="512"/>
      <c r="F109" s="512"/>
      <c r="G109" s="512"/>
      <c r="H109" s="512"/>
      <c r="I109" s="512"/>
      <c r="J109" s="512"/>
      <c r="K109" s="512"/>
      <c r="L109" s="512"/>
      <c r="M109" s="512"/>
      <c r="N109" s="512"/>
      <c r="O109" s="512"/>
      <c r="P109" s="156"/>
      <c r="Q109" s="512"/>
      <c r="R109" s="512"/>
      <c r="S109" s="512"/>
      <c r="T109" s="512"/>
      <c r="U109" s="512"/>
      <c r="V109" s="512"/>
      <c r="W109" s="512"/>
      <c r="X109" s="512"/>
      <c r="Y109" s="512"/>
      <c r="Z109" s="512"/>
      <c r="AA109" s="512"/>
      <c r="AB109" s="512"/>
      <c r="AC109" s="512"/>
    </row>
    <row r="110">
      <c r="A110" s="512"/>
      <c r="B110" s="512"/>
      <c r="C110" s="512"/>
      <c r="D110" s="512"/>
      <c r="E110" s="512"/>
      <c r="F110" s="512"/>
      <c r="G110" s="512"/>
      <c r="H110" s="512"/>
      <c r="I110" s="512"/>
      <c r="J110" s="512"/>
      <c r="K110" s="512"/>
      <c r="L110" s="512"/>
      <c r="M110" s="512"/>
      <c r="N110" s="512"/>
      <c r="O110" s="512"/>
      <c r="P110" s="156"/>
      <c r="Q110" s="512"/>
      <c r="R110" s="512"/>
      <c r="S110" s="512"/>
      <c r="T110" s="512"/>
      <c r="U110" s="512"/>
      <c r="V110" s="512"/>
      <c r="W110" s="512"/>
      <c r="X110" s="512"/>
      <c r="Y110" s="512"/>
      <c r="Z110" s="512"/>
      <c r="AA110" s="512"/>
      <c r="AB110" s="512"/>
      <c r="AC110" s="512"/>
    </row>
    <row r="111">
      <c r="A111" s="512"/>
      <c r="B111" s="512"/>
      <c r="C111" s="512"/>
      <c r="D111" s="512"/>
      <c r="E111" s="512"/>
      <c r="F111" s="512"/>
      <c r="G111" s="512"/>
      <c r="H111" s="512"/>
      <c r="I111" s="512"/>
      <c r="J111" s="512"/>
      <c r="K111" s="512"/>
      <c r="L111" s="512"/>
      <c r="M111" s="512"/>
      <c r="N111" s="512"/>
      <c r="O111" s="512"/>
      <c r="P111" s="156"/>
      <c r="Q111" s="512"/>
      <c r="R111" s="512"/>
      <c r="S111" s="512"/>
      <c r="T111" s="512"/>
      <c r="U111" s="512"/>
      <c r="V111" s="512"/>
      <c r="W111" s="512"/>
      <c r="X111" s="512"/>
      <c r="Y111" s="512"/>
      <c r="Z111" s="512"/>
      <c r="AA111" s="512"/>
      <c r="AB111" s="512"/>
      <c r="AC111" s="512"/>
    </row>
    <row r="112">
      <c r="A112" s="512"/>
      <c r="B112" s="512"/>
      <c r="C112" s="512"/>
      <c r="D112" s="512"/>
      <c r="E112" s="512"/>
      <c r="F112" s="512"/>
      <c r="G112" s="512"/>
      <c r="H112" s="512"/>
      <c r="I112" s="512"/>
      <c r="J112" s="512"/>
      <c r="K112" s="512"/>
      <c r="L112" s="512"/>
      <c r="M112" s="512"/>
      <c r="N112" s="512"/>
      <c r="O112" s="512"/>
      <c r="P112" s="156"/>
      <c r="Q112" s="512"/>
      <c r="R112" s="512"/>
      <c r="S112" s="512"/>
      <c r="T112" s="512"/>
      <c r="U112" s="512"/>
      <c r="V112" s="512"/>
      <c r="W112" s="512"/>
      <c r="X112" s="512"/>
      <c r="Y112" s="512"/>
      <c r="Z112" s="512"/>
      <c r="AA112" s="512"/>
      <c r="AB112" s="512"/>
      <c r="AC112" s="512"/>
    </row>
    <row r="113">
      <c r="A113" s="512"/>
      <c r="B113" s="512"/>
      <c r="C113" s="512"/>
      <c r="D113" s="512"/>
      <c r="E113" s="512"/>
      <c r="F113" s="512"/>
      <c r="G113" s="512"/>
      <c r="H113" s="512"/>
      <c r="I113" s="512"/>
      <c r="J113" s="512"/>
      <c r="K113" s="512"/>
      <c r="L113" s="512"/>
      <c r="M113" s="512"/>
      <c r="N113" s="512"/>
      <c r="O113" s="512"/>
      <c r="P113" s="156"/>
      <c r="Q113" s="512"/>
      <c r="R113" s="512"/>
      <c r="S113" s="512"/>
      <c r="T113" s="512"/>
      <c r="U113" s="512"/>
      <c r="V113" s="512"/>
      <c r="W113" s="512"/>
      <c r="X113" s="512"/>
      <c r="Y113" s="512"/>
      <c r="Z113" s="512"/>
      <c r="AA113" s="512"/>
      <c r="AB113" s="512"/>
      <c r="AC113" s="512"/>
    </row>
    <row r="114">
      <c r="A114" s="512"/>
      <c r="B114" s="512"/>
      <c r="C114" s="512"/>
      <c r="D114" s="512"/>
      <c r="E114" s="512"/>
      <c r="F114" s="512"/>
      <c r="G114" s="512"/>
      <c r="H114" s="512"/>
      <c r="I114" s="512"/>
      <c r="J114" s="512"/>
      <c r="K114" s="512"/>
      <c r="L114" s="512"/>
      <c r="M114" s="512"/>
      <c r="N114" s="512"/>
      <c r="O114" s="512"/>
      <c r="P114" s="156"/>
      <c r="Q114" s="512"/>
      <c r="R114" s="512"/>
      <c r="S114" s="512"/>
      <c r="T114" s="512"/>
      <c r="U114" s="512"/>
      <c r="V114" s="512"/>
      <c r="W114" s="512"/>
      <c r="X114" s="512"/>
      <c r="Y114" s="512"/>
      <c r="Z114" s="512"/>
      <c r="AA114" s="512"/>
      <c r="AB114" s="512"/>
      <c r="AC114" s="512"/>
    </row>
    <row r="115">
      <c r="A115" s="512"/>
      <c r="B115" s="512"/>
      <c r="C115" s="512"/>
      <c r="D115" s="512"/>
      <c r="E115" s="512"/>
      <c r="F115" s="512"/>
      <c r="G115" s="512"/>
      <c r="H115" s="512"/>
      <c r="I115" s="512"/>
      <c r="J115" s="512"/>
      <c r="K115" s="512"/>
      <c r="L115" s="512"/>
      <c r="M115" s="512"/>
      <c r="N115" s="512"/>
      <c r="O115" s="512"/>
      <c r="P115" s="156"/>
      <c r="Q115" s="512"/>
      <c r="R115" s="512"/>
      <c r="S115" s="512"/>
      <c r="T115" s="512"/>
      <c r="U115" s="512"/>
      <c r="V115" s="512"/>
      <c r="W115" s="512"/>
      <c r="X115" s="512"/>
      <c r="Y115" s="512"/>
      <c r="Z115" s="512"/>
      <c r="AA115" s="512"/>
      <c r="AB115" s="512"/>
      <c r="AC115" s="512"/>
    </row>
    <row r="116">
      <c r="A116" s="512"/>
      <c r="B116" s="512"/>
      <c r="C116" s="512"/>
      <c r="D116" s="512"/>
      <c r="E116" s="512"/>
      <c r="F116" s="512"/>
      <c r="G116" s="512"/>
      <c r="H116" s="512"/>
      <c r="I116" s="512"/>
      <c r="J116" s="512"/>
      <c r="K116" s="512"/>
      <c r="L116" s="512"/>
      <c r="M116" s="512"/>
      <c r="N116" s="512"/>
      <c r="O116" s="512"/>
      <c r="P116" s="156"/>
      <c r="Q116" s="512"/>
      <c r="R116" s="512"/>
      <c r="S116" s="512"/>
      <c r="T116" s="512"/>
      <c r="U116" s="512"/>
      <c r="V116" s="512"/>
      <c r="W116" s="512"/>
      <c r="X116" s="512"/>
      <c r="Y116" s="512"/>
      <c r="Z116" s="512"/>
      <c r="AA116" s="512"/>
      <c r="AB116" s="512"/>
      <c r="AC116" s="512"/>
    </row>
    <row r="117">
      <c r="A117" s="512"/>
      <c r="B117" s="512"/>
      <c r="C117" s="512"/>
      <c r="D117" s="512"/>
      <c r="E117" s="512"/>
      <c r="F117" s="512"/>
      <c r="G117" s="512"/>
      <c r="H117" s="512"/>
      <c r="I117" s="512"/>
      <c r="J117" s="512"/>
      <c r="K117" s="512"/>
      <c r="L117" s="512"/>
      <c r="M117" s="512"/>
      <c r="N117" s="512"/>
      <c r="O117" s="512"/>
      <c r="P117" s="156"/>
      <c r="Q117" s="512"/>
      <c r="R117" s="512"/>
      <c r="S117" s="512"/>
      <c r="T117" s="512"/>
      <c r="U117" s="512"/>
      <c r="V117" s="512"/>
      <c r="W117" s="512"/>
      <c r="X117" s="512"/>
      <c r="Y117" s="512"/>
      <c r="Z117" s="512"/>
      <c r="AA117" s="512"/>
      <c r="AB117" s="512"/>
      <c r="AC117" s="512"/>
    </row>
    <row r="118">
      <c r="A118" s="512"/>
      <c r="B118" s="512"/>
      <c r="C118" s="512"/>
      <c r="D118" s="512"/>
      <c r="E118" s="512"/>
      <c r="F118" s="512"/>
      <c r="G118" s="512"/>
      <c r="H118" s="512"/>
      <c r="I118" s="512"/>
      <c r="J118" s="512"/>
      <c r="K118" s="512"/>
      <c r="L118" s="512"/>
      <c r="M118" s="512"/>
      <c r="N118" s="512"/>
      <c r="O118" s="512"/>
      <c r="P118" s="156"/>
      <c r="Q118" s="512"/>
      <c r="R118" s="512"/>
      <c r="S118" s="512"/>
      <c r="T118" s="512"/>
      <c r="U118" s="512"/>
      <c r="V118" s="512"/>
      <c r="W118" s="512"/>
      <c r="X118" s="512"/>
      <c r="Y118" s="512"/>
      <c r="Z118" s="512"/>
      <c r="AA118" s="512"/>
      <c r="AB118" s="512"/>
      <c r="AC118" s="512"/>
    </row>
    <row r="119">
      <c r="A119" s="512"/>
      <c r="B119" s="512"/>
      <c r="C119" s="512"/>
      <c r="D119" s="512"/>
      <c r="E119" s="512"/>
      <c r="F119" s="512"/>
      <c r="G119" s="512"/>
      <c r="H119" s="512"/>
      <c r="I119" s="512"/>
      <c r="J119" s="512"/>
      <c r="K119" s="512"/>
      <c r="L119" s="512"/>
      <c r="M119" s="512"/>
      <c r="N119" s="512"/>
      <c r="O119" s="512"/>
      <c r="P119" s="156"/>
      <c r="Q119" s="512"/>
      <c r="R119" s="512"/>
      <c r="S119" s="512"/>
      <c r="T119" s="512"/>
      <c r="U119" s="512"/>
      <c r="V119" s="512"/>
      <c r="W119" s="512"/>
      <c r="X119" s="512"/>
      <c r="Y119" s="512"/>
      <c r="Z119" s="512"/>
      <c r="AA119" s="512"/>
      <c r="AB119" s="512"/>
      <c r="AC119" s="512"/>
    </row>
    <row r="120">
      <c r="A120" s="512"/>
      <c r="B120" s="512"/>
      <c r="C120" s="512"/>
      <c r="D120" s="512"/>
      <c r="E120" s="512"/>
      <c r="F120" s="512"/>
      <c r="G120" s="512"/>
      <c r="H120" s="512"/>
      <c r="I120" s="512"/>
      <c r="J120" s="512"/>
      <c r="K120" s="512"/>
      <c r="L120" s="512"/>
      <c r="M120" s="512"/>
      <c r="N120" s="512"/>
      <c r="O120" s="512"/>
      <c r="P120" s="156"/>
      <c r="Q120" s="512"/>
      <c r="R120" s="512"/>
      <c r="S120" s="512"/>
      <c r="T120" s="512"/>
      <c r="U120" s="512"/>
      <c r="V120" s="512"/>
      <c r="W120" s="512"/>
      <c r="X120" s="512"/>
      <c r="Y120" s="512"/>
      <c r="Z120" s="512"/>
      <c r="AA120" s="512"/>
      <c r="AB120" s="512"/>
      <c r="AC120" s="512"/>
    </row>
    <row r="121">
      <c r="A121" s="512"/>
      <c r="B121" s="512"/>
      <c r="C121" s="512"/>
      <c r="D121" s="512"/>
      <c r="E121" s="512"/>
      <c r="F121" s="512"/>
      <c r="G121" s="512"/>
      <c r="H121" s="512"/>
      <c r="I121" s="512"/>
      <c r="J121" s="512"/>
      <c r="K121" s="512"/>
      <c r="L121" s="512"/>
      <c r="M121" s="512"/>
      <c r="N121" s="512"/>
      <c r="O121" s="512"/>
      <c r="P121" s="156"/>
      <c r="Q121" s="512"/>
      <c r="R121" s="512"/>
      <c r="S121" s="512"/>
      <c r="T121" s="512"/>
      <c r="U121" s="512"/>
      <c r="V121" s="512"/>
      <c r="W121" s="512"/>
      <c r="X121" s="512"/>
      <c r="Y121" s="512"/>
      <c r="Z121" s="512"/>
      <c r="AA121" s="512"/>
      <c r="AB121" s="512"/>
      <c r="AC121" s="512"/>
    </row>
    <row r="122">
      <c r="A122" s="512"/>
      <c r="B122" s="512"/>
      <c r="C122" s="512"/>
      <c r="D122" s="512"/>
      <c r="E122" s="512"/>
      <c r="F122" s="512"/>
      <c r="G122" s="512"/>
      <c r="H122" s="512"/>
      <c r="I122" s="512"/>
      <c r="J122" s="512"/>
      <c r="K122" s="512"/>
      <c r="L122" s="512"/>
      <c r="M122" s="512"/>
      <c r="N122" s="512"/>
      <c r="O122" s="512"/>
      <c r="P122" s="156"/>
      <c r="Q122" s="512"/>
      <c r="R122" s="512"/>
      <c r="S122" s="512"/>
      <c r="T122" s="512"/>
      <c r="U122" s="512"/>
      <c r="V122" s="512"/>
      <c r="W122" s="512"/>
      <c r="X122" s="512"/>
      <c r="Y122" s="512"/>
      <c r="Z122" s="512"/>
      <c r="AA122" s="512"/>
      <c r="AB122" s="512"/>
      <c r="AC122" s="512"/>
    </row>
    <row r="123">
      <c r="A123" s="512"/>
      <c r="B123" s="512"/>
      <c r="C123" s="512"/>
      <c r="D123" s="512"/>
      <c r="E123" s="512"/>
      <c r="F123" s="512"/>
      <c r="G123" s="512"/>
      <c r="H123" s="512"/>
      <c r="I123" s="512"/>
      <c r="J123" s="512"/>
      <c r="K123" s="512"/>
      <c r="L123" s="512"/>
      <c r="M123" s="512"/>
      <c r="N123" s="512"/>
      <c r="O123" s="512"/>
      <c r="P123" s="156"/>
      <c r="Q123" s="512"/>
      <c r="R123" s="512"/>
      <c r="S123" s="512"/>
      <c r="T123" s="512"/>
      <c r="U123" s="512"/>
      <c r="V123" s="512"/>
      <c r="W123" s="512"/>
      <c r="X123" s="512"/>
      <c r="Y123" s="512"/>
      <c r="Z123" s="512"/>
      <c r="AA123" s="512"/>
      <c r="AB123" s="512"/>
      <c r="AC123" s="512"/>
    </row>
    <row r="124">
      <c r="A124" s="512"/>
      <c r="B124" s="512"/>
      <c r="C124" s="512"/>
      <c r="D124" s="512"/>
      <c r="E124" s="512"/>
      <c r="F124" s="512"/>
      <c r="G124" s="512"/>
      <c r="H124" s="512"/>
      <c r="I124" s="512"/>
      <c r="J124" s="512"/>
      <c r="K124" s="512"/>
      <c r="L124" s="512"/>
      <c r="M124" s="512"/>
      <c r="N124" s="512"/>
      <c r="O124" s="512"/>
      <c r="P124" s="156"/>
      <c r="Q124" s="512"/>
      <c r="R124" s="512"/>
      <c r="S124" s="512"/>
      <c r="T124" s="512"/>
      <c r="U124" s="512"/>
      <c r="V124" s="512"/>
      <c r="W124" s="512"/>
      <c r="X124" s="512"/>
      <c r="Y124" s="512"/>
      <c r="Z124" s="512"/>
      <c r="AA124" s="512"/>
      <c r="AB124" s="512"/>
      <c r="AC124" s="512"/>
    </row>
    <row r="125">
      <c r="A125" s="512"/>
      <c r="B125" s="512"/>
      <c r="C125" s="512"/>
      <c r="D125" s="512"/>
      <c r="E125" s="512"/>
      <c r="F125" s="512"/>
      <c r="G125" s="512"/>
      <c r="H125" s="512"/>
      <c r="I125" s="512"/>
      <c r="J125" s="512"/>
      <c r="K125" s="512"/>
      <c r="L125" s="512"/>
      <c r="M125" s="512"/>
      <c r="N125" s="512"/>
      <c r="O125" s="512"/>
      <c r="P125" s="156"/>
      <c r="Q125" s="512"/>
      <c r="R125" s="512"/>
      <c r="S125" s="512"/>
      <c r="T125" s="512"/>
      <c r="U125" s="512"/>
      <c r="V125" s="512"/>
      <c r="W125" s="512"/>
      <c r="X125" s="512"/>
      <c r="Y125" s="512"/>
      <c r="Z125" s="512"/>
      <c r="AA125" s="512"/>
      <c r="AB125" s="512"/>
      <c r="AC125" s="512"/>
    </row>
    <row r="126">
      <c r="A126" s="512"/>
      <c r="B126" s="512"/>
      <c r="C126" s="512"/>
      <c r="D126" s="512"/>
      <c r="E126" s="512"/>
      <c r="F126" s="512"/>
      <c r="G126" s="512"/>
      <c r="H126" s="512"/>
      <c r="I126" s="512"/>
      <c r="J126" s="512"/>
      <c r="K126" s="512"/>
      <c r="L126" s="512"/>
      <c r="M126" s="512"/>
      <c r="N126" s="512"/>
      <c r="O126" s="512"/>
      <c r="P126" s="156"/>
      <c r="Q126" s="512"/>
      <c r="R126" s="512"/>
      <c r="S126" s="512"/>
      <c r="T126" s="512"/>
      <c r="U126" s="512"/>
      <c r="V126" s="512"/>
      <c r="W126" s="512"/>
      <c r="X126" s="512"/>
      <c r="Y126" s="512"/>
      <c r="Z126" s="512"/>
      <c r="AA126" s="512"/>
      <c r="AB126" s="512"/>
      <c r="AC126" s="512"/>
    </row>
    <row r="127">
      <c r="A127" s="512"/>
      <c r="B127" s="512"/>
      <c r="C127" s="512"/>
      <c r="D127" s="512"/>
      <c r="E127" s="512"/>
      <c r="F127" s="512"/>
      <c r="G127" s="512"/>
      <c r="H127" s="512"/>
      <c r="I127" s="512"/>
      <c r="J127" s="512"/>
      <c r="K127" s="512"/>
      <c r="L127" s="512"/>
      <c r="M127" s="512"/>
      <c r="N127" s="512"/>
      <c r="O127" s="512"/>
      <c r="P127" s="156"/>
      <c r="Q127" s="512"/>
      <c r="R127" s="512"/>
      <c r="S127" s="512"/>
      <c r="T127" s="512"/>
      <c r="U127" s="512"/>
      <c r="V127" s="512"/>
      <c r="W127" s="512"/>
      <c r="X127" s="512"/>
      <c r="Y127" s="512"/>
      <c r="Z127" s="512"/>
      <c r="AA127" s="512"/>
      <c r="AB127" s="512"/>
      <c r="AC127" s="512"/>
    </row>
    <row r="128">
      <c r="A128" s="512"/>
      <c r="B128" s="512"/>
      <c r="C128" s="512"/>
      <c r="D128" s="512"/>
      <c r="E128" s="512"/>
      <c r="F128" s="512"/>
      <c r="G128" s="512"/>
      <c r="H128" s="512"/>
      <c r="I128" s="512"/>
      <c r="J128" s="512"/>
      <c r="K128" s="512"/>
      <c r="L128" s="512"/>
      <c r="M128" s="512"/>
      <c r="N128" s="512"/>
      <c r="O128" s="512"/>
      <c r="P128" s="156"/>
      <c r="Q128" s="512"/>
      <c r="R128" s="512"/>
      <c r="S128" s="512"/>
      <c r="T128" s="512"/>
      <c r="U128" s="512"/>
      <c r="V128" s="512"/>
      <c r="W128" s="512"/>
      <c r="X128" s="512"/>
      <c r="Y128" s="512"/>
      <c r="Z128" s="512"/>
      <c r="AA128" s="512"/>
      <c r="AB128" s="512"/>
      <c r="AC128" s="512"/>
    </row>
    <row r="129">
      <c r="A129" s="512"/>
      <c r="B129" s="512"/>
      <c r="C129" s="512"/>
      <c r="D129" s="512"/>
      <c r="E129" s="512"/>
      <c r="F129" s="512"/>
      <c r="G129" s="512"/>
      <c r="H129" s="512"/>
      <c r="I129" s="512"/>
      <c r="J129" s="512"/>
      <c r="K129" s="512"/>
      <c r="L129" s="512"/>
      <c r="M129" s="512"/>
      <c r="N129" s="512"/>
      <c r="O129" s="512"/>
      <c r="P129" s="156"/>
      <c r="Q129" s="512"/>
      <c r="R129" s="512"/>
      <c r="S129" s="512"/>
      <c r="T129" s="512"/>
      <c r="U129" s="512"/>
      <c r="V129" s="512"/>
      <c r="W129" s="512"/>
      <c r="X129" s="512"/>
      <c r="Y129" s="512"/>
      <c r="Z129" s="512"/>
      <c r="AA129" s="512"/>
      <c r="AB129" s="512"/>
      <c r="AC129" s="512"/>
    </row>
    <row r="130">
      <c r="A130" s="512"/>
      <c r="B130" s="512"/>
      <c r="C130" s="512"/>
      <c r="D130" s="512"/>
      <c r="E130" s="512"/>
      <c r="F130" s="512"/>
      <c r="G130" s="512"/>
      <c r="H130" s="512"/>
      <c r="I130" s="512"/>
      <c r="J130" s="512"/>
      <c r="K130" s="512"/>
      <c r="L130" s="512"/>
      <c r="M130" s="512"/>
      <c r="N130" s="512"/>
      <c r="O130" s="512"/>
      <c r="P130" s="156"/>
      <c r="Q130" s="512"/>
      <c r="R130" s="512"/>
      <c r="S130" s="512"/>
      <c r="T130" s="512"/>
      <c r="U130" s="512"/>
      <c r="V130" s="512"/>
      <c r="W130" s="512"/>
      <c r="X130" s="512"/>
      <c r="Y130" s="512"/>
      <c r="Z130" s="512"/>
      <c r="AA130" s="512"/>
      <c r="AB130" s="512"/>
      <c r="AC130" s="512"/>
    </row>
    <row r="131">
      <c r="A131" s="512"/>
      <c r="B131" s="512"/>
      <c r="C131" s="512"/>
      <c r="D131" s="512"/>
      <c r="E131" s="512"/>
      <c r="F131" s="512"/>
      <c r="G131" s="512"/>
      <c r="H131" s="512"/>
      <c r="I131" s="512"/>
      <c r="J131" s="512"/>
      <c r="K131" s="512"/>
      <c r="L131" s="512"/>
      <c r="M131" s="512"/>
      <c r="N131" s="512"/>
      <c r="O131" s="512"/>
      <c r="P131" s="156"/>
      <c r="Q131" s="512"/>
      <c r="R131" s="512"/>
      <c r="S131" s="512"/>
      <c r="T131" s="512"/>
      <c r="U131" s="512"/>
      <c r="V131" s="512"/>
      <c r="W131" s="512"/>
      <c r="X131" s="512"/>
      <c r="Y131" s="512"/>
      <c r="Z131" s="512"/>
      <c r="AA131" s="512"/>
      <c r="AB131" s="512"/>
      <c r="AC131" s="512"/>
    </row>
    <row r="132">
      <c r="A132" s="512"/>
      <c r="B132" s="512"/>
      <c r="C132" s="512"/>
      <c r="D132" s="512"/>
      <c r="E132" s="512"/>
      <c r="F132" s="512"/>
      <c r="G132" s="512"/>
      <c r="H132" s="512"/>
      <c r="I132" s="512"/>
      <c r="J132" s="512"/>
      <c r="K132" s="512"/>
      <c r="L132" s="512"/>
      <c r="M132" s="512"/>
      <c r="N132" s="512"/>
      <c r="O132" s="512"/>
      <c r="P132" s="156"/>
      <c r="Q132" s="512"/>
      <c r="R132" s="512"/>
      <c r="S132" s="512"/>
      <c r="T132" s="512"/>
      <c r="U132" s="512"/>
      <c r="V132" s="512"/>
      <c r="W132" s="512"/>
      <c r="X132" s="512"/>
      <c r="Y132" s="512"/>
      <c r="Z132" s="512"/>
      <c r="AA132" s="512"/>
      <c r="AB132" s="512"/>
      <c r="AC132" s="512"/>
    </row>
    <row r="133">
      <c r="A133" s="512"/>
      <c r="B133" s="512"/>
      <c r="C133" s="512"/>
      <c r="D133" s="512"/>
      <c r="E133" s="512"/>
      <c r="F133" s="512"/>
      <c r="G133" s="512"/>
      <c r="H133" s="512"/>
      <c r="I133" s="512"/>
      <c r="J133" s="512"/>
      <c r="K133" s="512"/>
      <c r="L133" s="512"/>
      <c r="M133" s="512"/>
      <c r="N133" s="512"/>
      <c r="O133" s="512"/>
      <c r="P133" s="156"/>
      <c r="Q133" s="512"/>
      <c r="R133" s="512"/>
      <c r="S133" s="512"/>
      <c r="T133" s="512"/>
      <c r="U133" s="512"/>
      <c r="V133" s="512"/>
      <c r="W133" s="512"/>
      <c r="X133" s="512"/>
      <c r="Y133" s="512"/>
      <c r="Z133" s="512"/>
      <c r="AA133" s="512"/>
      <c r="AB133" s="512"/>
      <c r="AC133" s="512"/>
    </row>
    <row r="134">
      <c r="A134" s="512"/>
      <c r="B134" s="512"/>
      <c r="C134" s="512"/>
      <c r="D134" s="512"/>
      <c r="E134" s="512"/>
      <c r="F134" s="512"/>
      <c r="G134" s="512"/>
      <c r="H134" s="512"/>
      <c r="I134" s="512"/>
      <c r="J134" s="512"/>
      <c r="K134" s="512"/>
      <c r="L134" s="512"/>
      <c r="M134" s="512"/>
      <c r="N134" s="512"/>
      <c r="O134" s="512"/>
      <c r="P134" s="156"/>
      <c r="Q134" s="512"/>
      <c r="R134" s="512"/>
      <c r="S134" s="512"/>
      <c r="T134" s="512"/>
      <c r="U134" s="512"/>
      <c r="V134" s="512"/>
      <c r="W134" s="512"/>
      <c r="X134" s="512"/>
      <c r="Y134" s="512"/>
      <c r="Z134" s="512"/>
      <c r="AA134" s="512"/>
      <c r="AB134" s="512"/>
      <c r="AC134" s="512"/>
    </row>
    <row r="135">
      <c r="A135" s="512"/>
      <c r="B135" s="512"/>
      <c r="C135" s="512"/>
      <c r="D135" s="512"/>
      <c r="E135" s="512"/>
      <c r="F135" s="512"/>
      <c r="G135" s="512"/>
      <c r="H135" s="512"/>
      <c r="I135" s="512"/>
      <c r="J135" s="512"/>
      <c r="K135" s="512"/>
      <c r="L135" s="512"/>
      <c r="M135" s="512"/>
      <c r="N135" s="512"/>
      <c r="O135" s="512"/>
      <c r="P135" s="156"/>
      <c r="Q135" s="512"/>
      <c r="R135" s="512"/>
      <c r="S135" s="512"/>
      <c r="T135" s="512"/>
      <c r="U135" s="512"/>
      <c r="V135" s="512"/>
      <c r="W135" s="512"/>
      <c r="X135" s="512"/>
      <c r="Y135" s="512"/>
      <c r="Z135" s="512"/>
      <c r="AA135" s="512"/>
      <c r="AB135" s="512"/>
      <c r="AC135" s="512"/>
    </row>
    <row r="136">
      <c r="A136" s="512"/>
      <c r="B136" s="512"/>
      <c r="C136" s="512"/>
      <c r="D136" s="512"/>
      <c r="E136" s="512"/>
      <c r="F136" s="512"/>
      <c r="G136" s="512"/>
      <c r="H136" s="512"/>
      <c r="I136" s="512"/>
      <c r="J136" s="512"/>
      <c r="K136" s="512"/>
      <c r="L136" s="512"/>
      <c r="M136" s="512"/>
      <c r="N136" s="512"/>
      <c r="O136" s="512"/>
      <c r="P136" s="156"/>
      <c r="Q136" s="512"/>
      <c r="R136" s="512"/>
      <c r="S136" s="512"/>
      <c r="T136" s="512"/>
      <c r="U136" s="512"/>
      <c r="V136" s="512"/>
      <c r="W136" s="512"/>
      <c r="X136" s="512"/>
      <c r="Y136" s="512"/>
      <c r="Z136" s="512"/>
      <c r="AA136" s="512"/>
      <c r="AB136" s="512"/>
      <c r="AC136" s="512"/>
    </row>
    <row r="137">
      <c r="A137" s="512"/>
      <c r="B137" s="512"/>
      <c r="C137" s="512"/>
      <c r="D137" s="512"/>
      <c r="E137" s="512"/>
      <c r="F137" s="512"/>
      <c r="G137" s="512"/>
      <c r="H137" s="512"/>
      <c r="I137" s="512"/>
      <c r="J137" s="512"/>
      <c r="K137" s="512"/>
      <c r="L137" s="512"/>
      <c r="M137" s="512"/>
      <c r="N137" s="512"/>
      <c r="O137" s="512"/>
      <c r="P137" s="156"/>
      <c r="Q137" s="512"/>
      <c r="R137" s="512"/>
      <c r="S137" s="512"/>
      <c r="T137" s="512"/>
      <c r="U137" s="512"/>
      <c r="V137" s="512"/>
      <c r="W137" s="512"/>
      <c r="X137" s="512"/>
      <c r="Y137" s="512"/>
      <c r="Z137" s="512"/>
      <c r="AA137" s="512"/>
      <c r="AB137" s="512"/>
      <c r="AC137" s="512"/>
    </row>
    <row r="138">
      <c r="A138" s="512"/>
      <c r="B138" s="512"/>
      <c r="C138" s="512"/>
      <c r="D138" s="512"/>
      <c r="E138" s="512"/>
      <c r="F138" s="512"/>
      <c r="G138" s="512"/>
      <c r="H138" s="512"/>
      <c r="I138" s="512"/>
      <c r="J138" s="512"/>
      <c r="K138" s="512"/>
      <c r="L138" s="512"/>
      <c r="M138" s="512"/>
      <c r="N138" s="512"/>
      <c r="O138" s="512"/>
      <c r="P138" s="156"/>
      <c r="Q138" s="512"/>
      <c r="R138" s="512"/>
      <c r="S138" s="512"/>
      <c r="T138" s="512"/>
      <c r="U138" s="512"/>
      <c r="V138" s="512"/>
      <c r="W138" s="512"/>
      <c r="X138" s="512"/>
      <c r="Y138" s="512"/>
      <c r="Z138" s="512"/>
      <c r="AA138" s="512"/>
      <c r="AB138" s="512"/>
      <c r="AC138" s="512"/>
    </row>
    <row r="139">
      <c r="A139" s="512"/>
      <c r="B139" s="512"/>
      <c r="C139" s="512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156"/>
      <c r="Q139" s="512"/>
      <c r="R139" s="512"/>
      <c r="S139" s="512"/>
      <c r="T139" s="512"/>
      <c r="U139" s="512"/>
      <c r="V139" s="512"/>
      <c r="W139" s="512"/>
      <c r="X139" s="512"/>
      <c r="Y139" s="512"/>
      <c r="Z139" s="512"/>
      <c r="AA139" s="512"/>
      <c r="AB139" s="512"/>
      <c r="AC139" s="512"/>
    </row>
    <row r="140">
      <c r="A140" s="512"/>
      <c r="B140" s="512"/>
      <c r="C140" s="512"/>
      <c r="D140" s="512"/>
      <c r="E140" s="512"/>
      <c r="F140" s="512"/>
      <c r="G140" s="512"/>
      <c r="H140" s="512"/>
      <c r="I140" s="512"/>
      <c r="J140" s="512"/>
      <c r="K140" s="512"/>
      <c r="L140" s="512"/>
      <c r="M140" s="512"/>
      <c r="N140" s="512"/>
      <c r="O140" s="512"/>
      <c r="P140" s="156"/>
      <c r="Q140" s="512"/>
      <c r="R140" s="512"/>
      <c r="S140" s="512"/>
      <c r="T140" s="512"/>
      <c r="U140" s="512"/>
      <c r="V140" s="512"/>
      <c r="W140" s="512"/>
      <c r="X140" s="512"/>
      <c r="Y140" s="512"/>
      <c r="Z140" s="512"/>
      <c r="AA140" s="512"/>
      <c r="AB140" s="512"/>
      <c r="AC140" s="512"/>
    </row>
    <row r="141">
      <c r="A141" s="512"/>
      <c r="B141" s="512"/>
      <c r="C141" s="512"/>
      <c r="D141" s="512"/>
      <c r="E141" s="512"/>
      <c r="F141" s="512"/>
      <c r="G141" s="512"/>
      <c r="H141" s="512"/>
      <c r="I141" s="512"/>
      <c r="J141" s="512"/>
      <c r="K141" s="512"/>
      <c r="L141" s="512"/>
      <c r="M141" s="512"/>
      <c r="N141" s="512"/>
      <c r="O141" s="512"/>
      <c r="P141" s="156"/>
      <c r="Q141" s="512"/>
      <c r="R141" s="512"/>
      <c r="S141" s="512"/>
      <c r="T141" s="512"/>
      <c r="U141" s="512"/>
      <c r="V141" s="512"/>
      <c r="W141" s="512"/>
      <c r="X141" s="512"/>
      <c r="Y141" s="512"/>
      <c r="Z141" s="512"/>
      <c r="AA141" s="512"/>
      <c r="AB141" s="512"/>
      <c r="AC141" s="512"/>
    </row>
    <row r="142">
      <c r="A142" s="512"/>
      <c r="B142" s="512"/>
      <c r="C142" s="512"/>
      <c r="D142" s="512"/>
      <c r="E142" s="512"/>
      <c r="F142" s="512"/>
      <c r="G142" s="512"/>
      <c r="H142" s="512"/>
      <c r="I142" s="512"/>
      <c r="J142" s="512"/>
      <c r="K142" s="512"/>
      <c r="L142" s="512"/>
      <c r="M142" s="512"/>
      <c r="N142" s="512"/>
      <c r="O142" s="512"/>
      <c r="P142" s="156"/>
      <c r="Q142" s="512"/>
      <c r="R142" s="512"/>
      <c r="S142" s="512"/>
      <c r="T142" s="512"/>
      <c r="U142" s="512"/>
      <c r="V142" s="512"/>
      <c r="W142" s="512"/>
      <c r="X142" s="512"/>
      <c r="Y142" s="512"/>
      <c r="Z142" s="512"/>
      <c r="AA142" s="512"/>
      <c r="AB142" s="512"/>
      <c r="AC142" s="512"/>
    </row>
    <row r="143">
      <c r="A143" s="512"/>
      <c r="B143" s="512"/>
      <c r="C143" s="512"/>
      <c r="D143" s="512"/>
      <c r="E143" s="512"/>
      <c r="F143" s="512"/>
      <c r="G143" s="512"/>
      <c r="H143" s="512"/>
      <c r="I143" s="512"/>
      <c r="J143" s="512"/>
      <c r="K143" s="512"/>
      <c r="L143" s="512"/>
      <c r="M143" s="512"/>
      <c r="N143" s="512"/>
      <c r="O143" s="512"/>
      <c r="P143" s="156"/>
      <c r="Q143" s="512"/>
      <c r="R143" s="512"/>
      <c r="S143" s="512"/>
      <c r="T143" s="512"/>
      <c r="U143" s="512"/>
      <c r="V143" s="512"/>
      <c r="W143" s="512"/>
      <c r="X143" s="512"/>
      <c r="Y143" s="512"/>
      <c r="Z143" s="512"/>
      <c r="AA143" s="512"/>
      <c r="AB143" s="512"/>
      <c r="AC143" s="512"/>
    </row>
    <row r="144">
      <c r="A144" s="512"/>
      <c r="B144" s="512"/>
      <c r="C144" s="512"/>
      <c r="D144" s="512"/>
      <c r="E144" s="512"/>
      <c r="F144" s="512"/>
      <c r="G144" s="512"/>
      <c r="H144" s="512"/>
      <c r="I144" s="512"/>
      <c r="J144" s="512"/>
      <c r="K144" s="512"/>
      <c r="L144" s="512"/>
      <c r="M144" s="512"/>
      <c r="N144" s="512"/>
      <c r="O144" s="512"/>
      <c r="P144" s="156"/>
      <c r="Q144" s="512"/>
      <c r="R144" s="512"/>
      <c r="S144" s="512"/>
      <c r="T144" s="512"/>
      <c r="U144" s="512"/>
      <c r="V144" s="512"/>
      <c r="W144" s="512"/>
      <c r="X144" s="512"/>
      <c r="Y144" s="512"/>
      <c r="Z144" s="512"/>
      <c r="AA144" s="512"/>
      <c r="AB144" s="512"/>
      <c r="AC144" s="512"/>
    </row>
    <row r="145">
      <c r="A145" s="512"/>
      <c r="B145" s="512"/>
      <c r="C145" s="512"/>
      <c r="D145" s="512"/>
      <c r="E145" s="512"/>
      <c r="F145" s="512"/>
      <c r="G145" s="512"/>
      <c r="H145" s="512"/>
      <c r="I145" s="512"/>
      <c r="J145" s="512"/>
      <c r="K145" s="512"/>
      <c r="L145" s="512"/>
      <c r="M145" s="512"/>
      <c r="N145" s="512"/>
      <c r="O145" s="512"/>
      <c r="P145" s="156"/>
      <c r="Q145" s="512"/>
      <c r="R145" s="512"/>
      <c r="S145" s="512"/>
      <c r="T145" s="512"/>
      <c r="U145" s="512"/>
      <c r="V145" s="512"/>
      <c r="W145" s="512"/>
      <c r="X145" s="512"/>
      <c r="Y145" s="512"/>
      <c r="Z145" s="512"/>
      <c r="AA145" s="512"/>
      <c r="AB145" s="512"/>
      <c r="AC145" s="512"/>
    </row>
    <row r="146">
      <c r="A146" s="512"/>
      <c r="B146" s="512"/>
      <c r="C146" s="512"/>
      <c r="D146" s="512"/>
      <c r="E146" s="512"/>
      <c r="F146" s="512"/>
      <c r="G146" s="512"/>
      <c r="H146" s="512"/>
      <c r="I146" s="512"/>
      <c r="J146" s="512"/>
      <c r="K146" s="512"/>
      <c r="L146" s="512"/>
      <c r="M146" s="512"/>
      <c r="N146" s="512"/>
      <c r="O146" s="512"/>
      <c r="P146" s="156"/>
      <c r="Q146" s="512"/>
      <c r="R146" s="512"/>
      <c r="S146" s="512"/>
      <c r="T146" s="512"/>
      <c r="U146" s="512"/>
      <c r="V146" s="512"/>
      <c r="W146" s="512"/>
      <c r="X146" s="512"/>
      <c r="Y146" s="512"/>
      <c r="Z146" s="512"/>
      <c r="AA146" s="512"/>
      <c r="AB146" s="512"/>
      <c r="AC146" s="512"/>
    </row>
    <row r="147">
      <c r="A147" s="512"/>
      <c r="B147" s="512"/>
      <c r="C147" s="512"/>
      <c r="D147" s="512"/>
      <c r="E147" s="512"/>
      <c r="F147" s="512"/>
      <c r="G147" s="512"/>
      <c r="H147" s="512"/>
      <c r="I147" s="512"/>
      <c r="J147" s="512"/>
      <c r="K147" s="512"/>
      <c r="L147" s="512"/>
      <c r="M147" s="512"/>
      <c r="N147" s="512"/>
      <c r="O147" s="512"/>
      <c r="P147" s="156"/>
      <c r="Q147" s="512"/>
      <c r="R147" s="512"/>
      <c r="S147" s="512"/>
      <c r="T147" s="512"/>
      <c r="U147" s="512"/>
      <c r="V147" s="512"/>
      <c r="W147" s="512"/>
      <c r="X147" s="512"/>
      <c r="Y147" s="512"/>
      <c r="Z147" s="512"/>
      <c r="AA147" s="512"/>
      <c r="AB147" s="512"/>
      <c r="AC147" s="512"/>
    </row>
    <row r="148">
      <c r="A148" s="512"/>
      <c r="B148" s="512"/>
      <c r="C148" s="512"/>
      <c r="D148" s="512"/>
      <c r="E148" s="512"/>
      <c r="F148" s="512"/>
      <c r="G148" s="512"/>
      <c r="H148" s="512"/>
      <c r="I148" s="512"/>
      <c r="J148" s="512"/>
      <c r="K148" s="512"/>
      <c r="L148" s="512"/>
      <c r="M148" s="512"/>
      <c r="N148" s="512"/>
      <c r="O148" s="512"/>
      <c r="P148" s="156"/>
      <c r="Q148" s="512"/>
      <c r="R148" s="512"/>
      <c r="S148" s="512"/>
      <c r="T148" s="512"/>
      <c r="U148" s="512"/>
      <c r="V148" s="512"/>
      <c r="W148" s="512"/>
      <c r="X148" s="512"/>
      <c r="Y148" s="512"/>
      <c r="Z148" s="512"/>
      <c r="AA148" s="512"/>
      <c r="AB148" s="512"/>
      <c r="AC148" s="512"/>
    </row>
    <row r="149">
      <c r="A149" s="512"/>
      <c r="B149" s="512"/>
      <c r="C149" s="512"/>
      <c r="D149" s="512"/>
      <c r="E149" s="512"/>
      <c r="F149" s="512"/>
      <c r="G149" s="512"/>
      <c r="H149" s="512"/>
      <c r="I149" s="512"/>
      <c r="J149" s="512"/>
      <c r="K149" s="512"/>
      <c r="L149" s="512"/>
      <c r="M149" s="512"/>
      <c r="N149" s="512"/>
      <c r="O149" s="512"/>
      <c r="P149" s="156"/>
      <c r="Q149" s="512"/>
      <c r="R149" s="512"/>
      <c r="S149" s="512"/>
      <c r="T149" s="512"/>
      <c r="U149" s="512"/>
      <c r="V149" s="512"/>
      <c r="W149" s="512"/>
      <c r="X149" s="512"/>
      <c r="Y149" s="512"/>
      <c r="Z149" s="512"/>
      <c r="AA149" s="512"/>
      <c r="AB149" s="512"/>
      <c r="AC149" s="512"/>
    </row>
    <row r="150">
      <c r="A150" s="512"/>
      <c r="B150" s="512"/>
      <c r="C150" s="512"/>
      <c r="D150" s="512"/>
      <c r="E150" s="512"/>
      <c r="F150" s="512"/>
      <c r="G150" s="512"/>
      <c r="H150" s="512"/>
      <c r="I150" s="512"/>
      <c r="J150" s="512"/>
      <c r="K150" s="512"/>
      <c r="L150" s="512"/>
      <c r="M150" s="512"/>
      <c r="N150" s="512"/>
      <c r="O150" s="512"/>
      <c r="P150" s="156"/>
      <c r="Q150" s="512"/>
      <c r="R150" s="512"/>
      <c r="S150" s="512"/>
      <c r="T150" s="512"/>
      <c r="U150" s="512"/>
      <c r="V150" s="512"/>
      <c r="W150" s="512"/>
      <c r="X150" s="512"/>
      <c r="Y150" s="512"/>
      <c r="Z150" s="512"/>
      <c r="AA150" s="512"/>
      <c r="AB150" s="512"/>
      <c r="AC150" s="512"/>
    </row>
    <row r="151">
      <c r="A151" s="512"/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2"/>
      <c r="M151" s="512"/>
      <c r="N151" s="512"/>
      <c r="O151" s="512"/>
      <c r="P151" s="156"/>
      <c r="Q151" s="512"/>
      <c r="R151" s="512"/>
      <c r="S151" s="512"/>
      <c r="T151" s="512"/>
      <c r="U151" s="512"/>
      <c r="V151" s="512"/>
      <c r="W151" s="512"/>
      <c r="X151" s="512"/>
      <c r="Y151" s="512"/>
      <c r="Z151" s="512"/>
      <c r="AA151" s="512"/>
      <c r="AB151" s="512"/>
      <c r="AC151" s="512"/>
    </row>
    <row r="152">
      <c r="A152" s="512"/>
      <c r="B152" s="512"/>
      <c r="C152" s="512"/>
      <c r="D152" s="512"/>
      <c r="E152" s="512"/>
      <c r="F152" s="512"/>
      <c r="G152" s="512"/>
      <c r="H152" s="512"/>
      <c r="I152" s="512"/>
      <c r="J152" s="512"/>
      <c r="K152" s="512"/>
      <c r="L152" s="512"/>
      <c r="M152" s="512"/>
      <c r="N152" s="512"/>
      <c r="O152" s="512"/>
      <c r="P152" s="156"/>
      <c r="Q152" s="512"/>
      <c r="R152" s="512"/>
      <c r="S152" s="512"/>
      <c r="T152" s="512"/>
      <c r="U152" s="512"/>
      <c r="V152" s="512"/>
      <c r="W152" s="512"/>
      <c r="X152" s="512"/>
      <c r="Y152" s="512"/>
      <c r="Z152" s="512"/>
      <c r="AA152" s="512"/>
      <c r="AB152" s="512"/>
      <c r="AC152" s="512"/>
    </row>
    <row r="153">
      <c r="A153" s="512"/>
      <c r="B153" s="512"/>
      <c r="C153" s="512"/>
      <c r="D153" s="512"/>
      <c r="E153" s="512"/>
      <c r="F153" s="512"/>
      <c r="G153" s="512"/>
      <c r="H153" s="512"/>
      <c r="I153" s="512"/>
      <c r="J153" s="512"/>
      <c r="K153" s="512"/>
      <c r="L153" s="512"/>
      <c r="M153" s="512"/>
      <c r="N153" s="512"/>
      <c r="O153" s="512"/>
      <c r="P153" s="156"/>
      <c r="Q153" s="512"/>
      <c r="R153" s="512"/>
      <c r="S153" s="512"/>
      <c r="T153" s="512"/>
      <c r="U153" s="512"/>
      <c r="V153" s="512"/>
      <c r="W153" s="512"/>
      <c r="X153" s="512"/>
      <c r="Y153" s="512"/>
      <c r="Z153" s="512"/>
      <c r="AA153" s="512"/>
      <c r="AB153" s="512"/>
      <c r="AC153" s="512"/>
    </row>
    <row r="154">
      <c r="A154" s="512"/>
      <c r="B154" s="512"/>
      <c r="C154" s="512"/>
      <c r="D154" s="512"/>
      <c r="E154" s="512"/>
      <c r="F154" s="512"/>
      <c r="G154" s="512"/>
      <c r="H154" s="512"/>
      <c r="I154" s="512"/>
      <c r="J154" s="512"/>
      <c r="K154" s="512"/>
      <c r="L154" s="512"/>
      <c r="M154" s="512"/>
      <c r="N154" s="512"/>
      <c r="O154" s="512"/>
      <c r="P154" s="156"/>
      <c r="Q154" s="512"/>
      <c r="R154" s="512"/>
      <c r="S154" s="512"/>
      <c r="T154" s="512"/>
      <c r="U154" s="512"/>
      <c r="V154" s="512"/>
      <c r="W154" s="512"/>
      <c r="X154" s="512"/>
      <c r="Y154" s="512"/>
      <c r="Z154" s="512"/>
      <c r="AA154" s="512"/>
      <c r="AB154" s="512"/>
      <c r="AC154" s="512"/>
    </row>
    <row r="155">
      <c r="A155" s="512"/>
      <c r="B155" s="512"/>
      <c r="C155" s="512"/>
      <c r="D155" s="512"/>
      <c r="E155" s="512"/>
      <c r="F155" s="512"/>
      <c r="G155" s="512"/>
      <c r="H155" s="512"/>
      <c r="I155" s="512"/>
      <c r="J155" s="512"/>
      <c r="K155" s="512"/>
      <c r="L155" s="512"/>
      <c r="M155" s="512"/>
      <c r="N155" s="512"/>
      <c r="O155" s="512"/>
      <c r="P155" s="156"/>
      <c r="Q155" s="512"/>
      <c r="R155" s="512"/>
      <c r="S155" s="512"/>
      <c r="T155" s="512"/>
      <c r="U155" s="512"/>
      <c r="V155" s="512"/>
      <c r="W155" s="512"/>
      <c r="X155" s="512"/>
      <c r="Y155" s="512"/>
      <c r="Z155" s="512"/>
      <c r="AA155" s="512"/>
      <c r="AB155" s="512"/>
      <c r="AC155" s="512"/>
    </row>
    <row r="156">
      <c r="A156" s="512"/>
      <c r="B156" s="512"/>
      <c r="C156" s="512"/>
      <c r="D156" s="512"/>
      <c r="E156" s="512"/>
      <c r="F156" s="512"/>
      <c r="G156" s="512"/>
      <c r="H156" s="512"/>
      <c r="I156" s="512"/>
      <c r="J156" s="512"/>
      <c r="K156" s="512"/>
      <c r="L156" s="512"/>
      <c r="M156" s="512"/>
      <c r="N156" s="512"/>
      <c r="O156" s="512"/>
      <c r="P156" s="156"/>
      <c r="Q156" s="512"/>
      <c r="R156" s="512"/>
      <c r="S156" s="512"/>
      <c r="T156" s="512"/>
      <c r="U156" s="512"/>
      <c r="V156" s="512"/>
      <c r="W156" s="512"/>
      <c r="X156" s="512"/>
      <c r="Y156" s="512"/>
      <c r="Z156" s="512"/>
      <c r="AA156" s="512"/>
      <c r="AB156" s="512"/>
      <c r="AC156" s="512"/>
    </row>
    <row r="157">
      <c r="A157" s="512"/>
      <c r="B157" s="512"/>
      <c r="C157" s="512"/>
      <c r="D157" s="512"/>
      <c r="E157" s="512"/>
      <c r="F157" s="512"/>
      <c r="G157" s="512"/>
      <c r="H157" s="512"/>
      <c r="I157" s="512"/>
      <c r="J157" s="512"/>
      <c r="K157" s="512"/>
      <c r="L157" s="512"/>
      <c r="M157" s="512"/>
      <c r="N157" s="512"/>
      <c r="O157" s="512"/>
      <c r="P157" s="156"/>
      <c r="Q157" s="512"/>
      <c r="R157" s="512"/>
      <c r="S157" s="512"/>
      <c r="T157" s="512"/>
      <c r="U157" s="512"/>
      <c r="V157" s="512"/>
      <c r="W157" s="512"/>
      <c r="X157" s="512"/>
      <c r="Y157" s="512"/>
      <c r="Z157" s="512"/>
      <c r="AA157" s="512"/>
      <c r="AB157" s="512"/>
      <c r="AC157" s="512"/>
    </row>
    <row r="158">
      <c r="A158" s="512"/>
      <c r="B158" s="512"/>
      <c r="C158" s="512"/>
      <c r="D158" s="512"/>
      <c r="E158" s="512"/>
      <c r="F158" s="512"/>
      <c r="G158" s="512"/>
      <c r="H158" s="512"/>
      <c r="I158" s="512"/>
      <c r="J158" s="512"/>
      <c r="K158" s="512"/>
      <c r="L158" s="512"/>
      <c r="M158" s="512"/>
      <c r="N158" s="512"/>
      <c r="O158" s="512"/>
      <c r="P158" s="156"/>
      <c r="Q158" s="512"/>
      <c r="R158" s="512"/>
      <c r="S158" s="512"/>
      <c r="T158" s="512"/>
      <c r="U158" s="512"/>
      <c r="V158" s="512"/>
      <c r="W158" s="512"/>
      <c r="X158" s="512"/>
      <c r="Y158" s="512"/>
      <c r="Z158" s="512"/>
      <c r="AA158" s="512"/>
      <c r="AB158" s="512"/>
      <c r="AC158" s="512"/>
    </row>
    <row r="159">
      <c r="A159" s="512"/>
      <c r="B159" s="512"/>
      <c r="C159" s="512"/>
      <c r="D159" s="512"/>
      <c r="E159" s="512"/>
      <c r="F159" s="512"/>
      <c r="G159" s="512"/>
      <c r="H159" s="512"/>
      <c r="I159" s="512"/>
      <c r="J159" s="512"/>
      <c r="K159" s="512"/>
      <c r="L159" s="512"/>
      <c r="M159" s="512"/>
      <c r="N159" s="512"/>
      <c r="O159" s="512"/>
      <c r="P159" s="156"/>
      <c r="Q159" s="512"/>
      <c r="R159" s="512"/>
      <c r="S159" s="512"/>
      <c r="T159" s="512"/>
      <c r="U159" s="512"/>
      <c r="V159" s="512"/>
      <c r="W159" s="512"/>
      <c r="X159" s="512"/>
      <c r="Y159" s="512"/>
      <c r="Z159" s="512"/>
      <c r="AA159" s="512"/>
      <c r="AB159" s="512"/>
      <c r="AC159" s="512"/>
    </row>
    <row r="160">
      <c r="A160" s="512"/>
      <c r="B160" s="512"/>
      <c r="C160" s="512"/>
      <c r="D160" s="512"/>
      <c r="E160" s="512"/>
      <c r="F160" s="512"/>
      <c r="G160" s="512"/>
      <c r="H160" s="512"/>
      <c r="I160" s="512"/>
      <c r="J160" s="512"/>
      <c r="K160" s="512"/>
      <c r="L160" s="512"/>
      <c r="M160" s="512"/>
      <c r="N160" s="512"/>
      <c r="O160" s="512"/>
      <c r="P160" s="156"/>
      <c r="Q160" s="512"/>
      <c r="R160" s="512"/>
      <c r="S160" s="512"/>
      <c r="T160" s="512"/>
      <c r="U160" s="512"/>
      <c r="V160" s="512"/>
      <c r="W160" s="512"/>
      <c r="X160" s="512"/>
      <c r="Y160" s="512"/>
      <c r="Z160" s="512"/>
      <c r="AA160" s="512"/>
      <c r="AB160" s="512"/>
      <c r="AC160" s="512"/>
    </row>
    <row r="161">
      <c r="A161" s="512"/>
      <c r="B161" s="512"/>
      <c r="C161" s="512"/>
      <c r="D161" s="512"/>
      <c r="E161" s="512"/>
      <c r="F161" s="512"/>
      <c r="G161" s="512"/>
      <c r="H161" s="512"/>
      <c r="I161" s="512"/>
      <c r="J161" s="512"/>
      <c r="K161" s="512"/>
      <c r="L161" s="512"/>
      <c r="M161" s="512"/>
      <c r="N161" s="512"/>
      <c r="O161" s="512"/>
      <c r="P161" s="156"/>
      <c r="Q161" s="512"/>
      <c r="R161" s="512"/>
      <c r="S161" s="512"/>
      <c r="T161" s="512"/>
      <c r="U161" s="512"/>
      <c r="V161" s="512"/>
      <c r="W161" s="512"/>
      <c r="X161" s="512"/>
      <c r="Y161" s="512"/>
      <c r="Z161" s="512"/>
      <c r="AA161" s="512"/>
      <c r="AB161" s="512"/>
      <c r="AC161" s="512"/>
    </row>
    <row r="162">
      <c r="A162" s="512"/>
      <c r="B162" s="512"/>
      <c r="C162" s="512"/>
      <c r="D162" s="512"/>
      <c r="E162" s="512"/>
      <c r="F162" s="512"/>
      <c r="G162" s="512"/>
      <c r="H162" s="512"/>
      <c r="I162" s="512"/>
      <c r="J162" s="512"/>
      <c r="K162" s="512"/>
      <c r="L162" s="512"/>
      <c r="M162" s="512"/>
      <c r="N162" s="512"/>
      <c r="O162" s="512"/>
      <c r="P162" s="156"/>
      <c r="Q162" s="512"/>
      <c r="R162" s="512"/>
      <c r="S162" s="512"/>
      <c r="T162" s="512"/>
      <c r="U162" s="512"/>
      <c r="V162" s="512"/>
      <c r="W162" s="512"/>
      <c r="X162" s="512"/>
      <c r="Y162" s="512"/>
      <c r="Z162" s="512"/>
      <c r="AA162" s="512"/>
      <c r="AB162" s="512"/>
      <c r="AC162" s="512"/>
    </row>
    <row r="163">
      <c r="A163" s="512"/>
      <c r="B163" s="512"/>
      <c r="C163" s="512"/>
      <c r="D163" s="512"/>
      <c r="E163" s="512"/>
      <c r="F163" s="512"/>
      <c r="G163" s="512"/>
      <c r="H163" s="512"/>
      <c r="I163" s="512"/>
      <c r="J163" s="512"/>
      <c r="K163" s="512"/>
      <c r="L163" s="512"/>
      <c r="M163" s="512"/>
      <c r="N163" s="512"/>
      <c r="O163" s="512"/>
      <c r="P163" s="156"/>
      <c r="Q163" s="512"/>
      <c r="R163" s="512"/>
      <c r="S163" s="512"/>
      <c r="T163" s="512"/>
      <c r="U163" s="512"/>
      <c r="V163" s="512"/>
      <c r="W163" s="512"/>
      <c r="X163" s="512"/>
      <c r="Y163" s="512"/>
      <c r="Z163" s="512"/>
      <c r="AA163" s="512"/>
      <c r="AB163" s="512"/>
      <c r="AC163" s="512"/>
    </row>
    <row r="164">
      <c r="A164" s="512"/>
      <c r="B164" s="512"/>
      <c r="C164" s="512"/>
      <c r="D164" s="512"/>
      <c r="E164" s="512"/>
      <c r="F164" s="512"/>
      <c r="G164" s="512"/>
      <c r="H164" s="512"/>
      <c r="I164" s="512"/>
      <c r="J164" s="512"/>
      <c r="K164" s="512"/>
      <c r="L164" s="512"/>
      <c r="M164" s="512"/>
      <c r="N164" s="512"/>
      <c r="O164" s="512"/>
      <c r="P164" s="156"/>
      <c r="Q164" s="512"/>
      <c r="R164" s="512"/>
      <c r="S164" s="512"/>
      <c r="T164" s="512"/>
      <c r="U164" s="512"/>
      <c r="V164" s="512"/>
      <c r="W164" s="512"/>
      <c r="X164" s="512"/>
      <c r="Y164" s="512"/>
      <c r="Z164" s="512"/>
      <c r="AA164" s="512"/>
      <c r="AB164" s="512"/>
      <c r="AC164" s="512"/>
    </row>
    <row r="165">
      <c r="A165" s="512"/>
      <c r="B165" s="512"/>
      <c r="C165" s="512"/>
      <c r="D165" s="512"/>
      <c r="E165" s="512"/>
      <c r="F165" s="512"/>
      <c r="G165" s="512"/>
      <c r="H165" s="512"/>
      <c r="I165" s="512"/>
      <c r="J165" s="512"/>
      <c r="K165" s="512"/>
      <c r="L165" s="512"/>
      <c r="M165" s="512"/>
      <c r="N165" s="512"/>
      <c r="O165" s="512"/>
      <c r="P165" s="156"/>
      <c r="Q165" s="512"/>
      <c r="R165" s="512"/>
      <c r="S165" s="512"/>
      <c r="T165" s="512"/>
      <c r="U165" s="512"/>
      <c r="V165" s="512"/>
      <c r="W165" s="512"/>
      <c r="X165" s="512"/>
      <c r="Y165" s="512"/>
      <c r="Z165" s="512"/>
      <c r="AA165" s="512"/>
      <c r="AB165" s="512"/>
      <c r="AC165" s="512"/>
    </row>
    <row r="166">
      <c r="A166" s="512"/>
      <c r="B166" s="512"/>
      <c r="C166" s="512"/>
      <c r="D166" s="512"/>
      <c r="E166" s="512"/>
      <c r="F166" s="512"/>
      <c r="G166" s="512"/>
      <c r="H166" s="512"/>
      <c r="I166" s="512"/>
      <c r="J166" s="512"/>
      <c r="K166" s="512"/>
      <c r="L166" s="512"/>
      <c r="M166" s="512"/>
      <c r="N166" s="512"/>
      <c r="O166" s="512"/>
      <c r="P166" s="156"/>
      <c r="Q166" s="512"/>
      <c r="R166" s="512"/>
      <c r="S166" s="512"/>
      <c r="T166" s="512"/>
      <c r="U166" s="512"/>
      <c r="V166" s="512"/>
      <c r="W166" s="512"/>
      <c r="X166" s="512"/>
      <c r="Y166" s="512"/>
      <c r="Z166" s="512"/>
      <c r="AA166" s="512"/>
      <c r="AB166" s="512"/>
      <c r="AC166" s="512"/>
    </row>
    <row r="167">
      <c r="A167" s="512"/>
      <c r="B167" s="512"/>
      <c r="C167" s="512"/>
      <c r="D167" s="512"/>
      <c r="E167" s="512"/>
      <c r="F167" s="512"/>
      <c r="G167" s="512"/>
      <c r="H167" s="512"/>
      <c r="I167" s="512"/>
      <c r="J167" s="512"/>
      <c r="K167" s="512"/>
      <c r="L167" s="512"/>
      <c r="M167" s="512"/>
      <c r="N167" s="512"/>
      <c r="O167" s="512"/>
      <c r="P167" s="156"/>
      <c r="Q167" s="512"/>
      <c r="R167" s="512"/>
      <c r="S167" s="512"/>
      <c r="T167" s="512"/>
      <c r="U167" s="512"/>
      <c r="V167" s="512"/>
      <c r="W167" s="512"/>
      <c r="X167" s="512"/>
      <c r="Y167" s="512"/>
      <c r="Z167" s="512"/>
      <c r="AA167" s="512"/>
      <c r="AB167" s="512"/>
      <c r="AC167" s="512"/>
    </row>
    <row r="168">
      <c r="A168" s="512"/>
      <c r="B168" s="512"/>
      <c r="C168" s="512"/>
      <c r="D168" s="512"/>
      <c r="E168" s="512"/>
      <c r="F168" s="512"/>
      <c r="G168" s="512"/>
      <c r="H168" s="512"/>
      <c r="I168" s="512"/>
      <c r="J168" s="512"/>
      <c r="K168" s="512"/>
      <c r="L168" s="512"/>
      <c r="M168" s="512"/>
      <c r="N168" s="512"/>
      <c r="O168" s="512"/>
      <c r="P168" s="156"/>
      <c r="Q168" s="512"/>
      <c r="R168" s="512"/>
      <c r="S168" s="512"/>
      <c r="T168" s="512"/>
      <c r="U168" s="512"/>
      <c r="V168" s="512"/>
      <c r="W168" s="512"/>
      <c r="X168" s="512"/>
      <c r="Y168" s="512"/>
      <c r="Z168" s="512"/>
      <c r="AA168" s="512"/>
      <c r="AB168" s="512"/>
      <c r="AC168" s="512"/>
    </row>
    <row r="169">
      <c r="A169" s="512"/>
      <c r="B169" s="512"/>
      <c r="C169" s="512"/>
      <c r="D169" s="512"/>
      <c r="E169" s="512"/>
      <c r="F169" s="512"/>
      <c r="G169" s="512"/>
      <c r="H169" s="512"/>
      <c r="I169" s="512"/>
      <c r="J169" s="512"/>
      <c r="K169" s="512"/>
      <c r="L169" s="512"/>
      <c r="M169" s="512"/>
      <c r="N169" s="512"/>
      <c r="O169" s="512"/>
      <c r="P169" s="156"/>
      <c r="Q169" s="512"/>
      <c r="R169" s="512"/>
      <c r="S169" s="512"/>
      <c r="T169" s="512"/>
      <c r="U169" s="512"/>
      <c r="V169" s="512"/>
      <c r="W169" s="512"/>
      <c r="X169" s="512"/>
      <c r="Y169" s="512"/>
      <c r="Z169" s="512"/>
      <c r="AA169" s="512"/>
      <c r="AB169" s="512"/>
      <c r="AC169" s="512"/>
    </row>
    <row r="170">
      <c r="A170" s="512"/>
      <c r="B170" s="512"/>
      <c r="C170" s="512"/>
      <c r="D170" s="512"/>
      <c r="E170" s="512"/>
      <c r="F170" s="512"/>
      <c r="G170" s="512"/>
      <c r="H170" s="512"/>
      <c r="I170" s="512"/>
      <c r="J170" s="512"/>
      <c r="K170" s="512"/>
      <c r="L170" s="512"/>
      <c r="M170" s="512"/>
      <c r="N170" s="512"/>
      <c r="O170" s="512"/>
      <c r="P170" s="156"/>
      <c r="Q170" s="512"/>
      <c r="R170" s="512"/>
      <c r="S170" s="512"/>
      <c r="T170" s="512"/>
      <c r="U170" s="512"/>
      <c r="V170" s="512"/>
      <c r="W170" s="512"/>
      <c r="X170" s="512"/>
      <c r="Y170" s="512"/>
      <c r="Z170" s="512"/>
      <c r="AA170" s="512"/>
      <c r="AB170" s="512"/>
      <c r="AC170" s="512"/>
    </row>
    <row r="171">
      <c r="A171" s="512"/>
      <c r="B171" s="512"/>
      <c r="C171" s="512"/>
      <c r="D171" s="512"/>
      <c r="E171" s="512"/>
      <c r="F171" s="512"/>
      <c r="G171" s="512"/>
      <c r="H171" s="512"/>
      <c r="I171" s="512"/>
      <c r="J171" s="512"/>
      <c r="K171" s="512"/>
      <c r="L171" s="512"/>
      <c r="M171" s="512"/>
      <c r="N171" s="512"/>
      <c r="O171" s="512"/>
      <c r="P171" s="156"/>
      <c r="Q171" s="512"/>
      <c r="R171" s="512"/>
      <c r="S171" s="512"/>
      <c r="T171" s="512"/>
      <c r="U171" s="512"/>
      <c r="V171" s="512"/>
      <c r="W171" s="512"/>
      <c r="X171" s="512"/>
      <c r="Y171" s="512"/>
      <c r="Z171" s="512"/>
      <c r="AA171" s="512"/>
      <c r="AB171" s="512"/>
      <c r="AC171" s="512"/>
    </row>
    <row r="172">
      <c r="A172" s="512"/>
      <c r="B172" s="512"/>
      <c r="C172" s="512"/>
      <c r="D172" s="512"/>
      <c r="E172" s="512"/>
      <c r="F172" s="512"/>
      <c r="G172" s="512"/>
      <c r="H172" s="512"/>
      <c r="I172" s="512"/>
      <c r="J172" s="512"/>
      <c r="K172" s="512"/>
      <c r="L172" s="512"/>
      <c r="M172" s="512"/>
      <c r="N172" s="512"/>
      <c r="O172" s="512"/>
      <c r="P172" s="156"/>
      <c r="Q172" s="512"/>
      <c r="R172" s="512"/>
      <c r="S172" s="512"/>
      <c r="T172" s="512"/>
      <c r="U172" s="512"/>
      <c r="V172" s="512"/>
      <c r="W172" s="512"/>
      <c r="X172" s="512"/>
      <c r="Y172" s="512"/>
      <c r="Z172" s="512"/>
      <c r="AA172" s="512"/>
      <c r="AB172" s="512"/>
      <c r="AC172" s="512"/>
    </row>
    <row r="173">
      <c r="A173" s="512"/>
      <c r="B173" s="512"/>
      <c r="C173" s="512"/>
      <c r="D173" s="512"/>
      <c r="E173" s="512"/>
      <c r="F173" s="512"/>
      <c r="G173" s="512"/>
      <c r="H173" s="512"/>
      <c r="I173" s="512"/>
      <c r="J173" s="512"/>
      <c r="K173" s="512"/>
      <c r="L173" s="512"/>
      <c r="M173" s="512"/>
      <c r="N173" s="512"/>
      <c r="O173" s="512"/>
      <c r="P173" s="156"/>
      <c r="Q173" s="512"/>
      <c r="R173" s="512"/>
      <c r="S173" s="512"/>
      <c r="T173" s="512"/>
      <c r="U173" s="512"/>
      <c r="V173" s="512"/>
      <c r="W173" s="512"/>
      <c r="X173" s="512"/>
      <c r="Y173" s="512"/>
      <c r="Z173" s="512"/>
      <c r="AA173" s="512"/>
      <c r="AB173" s="512"/>
      <c r="AC173" s="512"/>
    </row>
    <row r="174">
      <c r="A174" s="512"/>
      <c r="B174" s="512"/>
      <c r="C174" s="512"/>
      <c r="D174" s="512"/>
      <c r="E174" s="512"/>
      <c r="F174" s="512"/>
      <c r="G174" s="512"/>
      <c r="H174" s="512"/>
      <c r="I174" s="512"/>
      <c r="J174" s="512"/>
      <c r="K174" s="512"/>
      <c r="L174" s="512"/>
      <c r="M174" s="512"/>
      <c r="N174" s="512"/>
      <c r="O174" s="512"/>
      <c r="P174" s="156"/>
      <c r="Q174" s="512"/>
      <c r="R174" s="512"/>
      <c r="S174" s="512"/>
      <c r="T174" s="512"/>
      <c r="U174" s="512"/>
      <c r="V174" s="512"/>
      <c r="W174" s="512"/>
      <c r="X174" s="512"/>
      <c r="Y174" s="512"/>
      <c r="Z174" s="512"/>
      <c r="AA174" s="512"/>
      <c r="AB174" s="512"/>
      <c r="AC174" s="512"/>
    </row>
    <row r="175">
      <c r="A175" s="512"/>
      <c r="B175" s="512"/>
      <c r="C175" s="512"/>
      <c r="D175" s="512"/>
      <c r="E175" s="512"/>
      <c r="F175" s="512"/>
      <c r="G175" s="512"/>
      <c r="H175" s="512"/>
      <c r="I175" s="512"/>
      <c r="J175" s="512"/>
      <c r="K175" s="512"/>
      <c r="L175" s="512"/>
      <c r="M175" s="512"/>
      <c r="N175" s="512"/>
      <c r="O175" s="512"/>
      <c r="P175" s="156"/>
      <c r="Q175" s="512"/>
      <c r="R175" s="512"/>
      <c r="S175" s="512"/>
      <c r="T175" s="512"/>
      <c r="U175" s="512"/>
      <c r="V175" s="512"/>
      <c r="W175" s="512"/>
      <c r="X175" s="512"/>
      <c r="Y175" s="512"/>
      <c r="Z175" s="512"/>
      <c r="AA175" s="512"/>
      <c r="AB175" s="512"/>
      <c r="AC175" s="512"/>
    </row>
    <row r="176">
      <c r="A176" s="512"/>
      <c r="B176" s="512"/>
      <c r="C176" s="512"/>
      <c r="D176" s="512"/>
      <c r="E176" s="512"/>
      <c r="F176" s="512"/>
      <c r="G176" s="512"/>
      <c r="H176" s="512"/>
      <c r="I176" s="512"/>
      <c r="J176" s="512"/>
      <c r="K176" s="512"/>
      <c r="L176" s="512"/>
      <c r="M176" s="512"/>
      <c r="N176" s="512"/>
      <c r="O176" s="512"/>
      <c r="P176" s="156"/>
      <c r="Q176" s="512"/>
      <c r="R176" s="512"/>
      <c r="S176" s="512"/>
      <c r="T176" s="512"/>
      <c r="U176" s="512"/>
      <c r="V176" s="512"/>
      <c r="W176" s="512"/>
      <c r="X176" s="512"/>
      <c r="Y176" s="512"/>
      <c r="Z176" s="512"/>
      <c r="AA176" s="512"/>
      <c r="AB176" s="512"/>
      <c r="AC176" s="512"/>
    </row>
    <row r="177">
      <c r="A177" s="512"/>
      <c r="B177" s="512"/>
      <c r="C177" s="512"/>
      <c r="D177" s="512"/>
      <c r="E177" s="512"/>
      <c r="F177" s="512"/>
      <c r="G177" s="512"/>
      <c r="H177" s="512"/>
      <c r="I177" s="512"/>
      <c r="J177" s="512"/>
      <c r="K177" s="512"/>
      <c r="L177" s="512"/>
      <c r="M177" s="512"/>
      <c r="N177" s="512"/>
      <c r="O177" s="512"/>
      <c r="P177" s="156"/>
      <c r="Q177" s="512"/>
      <c r="R177" s="512"/>
      <c r="S177" s="512"/>
      <c r="T177" s="512"/>
      <c r="U177" s="512"/>
      <c r="V177" s="512"/>
      <c r="W177" s="512"/>
      <c r="X177" s="512"/>
      <c r="Y177" s="512"/>
      <c r="Z177" s="512"/>
      <c r="AA177" s="512"/>
      <c r="AB177" s="512"/>
      <c r="AC177" s="512"/>
    </row>
    <row r="178">
      <c r="A178" s="512"/>
      <c r="B178" s="512"/>
      <c r="C178" s="512"/>
      <c r="D178" s="512"/>
      <c r="E178" s="512"/>
      <c r="F178" s="512"/>
      <c r="G178" s="512"/>
      <c r="H178" s="512"/>
      <c r="I178" s="512"/>
      <c r="J178" s="512"/>
      <c r="K178" s="512"/>
      <c r="L178" s="512"/>
      <c r="M178" s="512"/>
      <c r="N178" s="512"/>
      <c r="O178" s="512"/>
      <c r="P178" s="156"/>
      <c r="Q178" s="512"/>
      <c r="R178" s="512"/>
      <c r="S178" s="512"/>
      <c r="T178" s="512"/>
      <c r="U178" s="512"/>
      <c r="V178" s="512"/>
      <c r="W178" s="512"/>
      <c r="X178" s="512"/>
      <c r="Y178" s="512"/>
      <c r="Z178" s="512"/>
      <c r="AA178" s="512"/>
      <c r="AB178" s="512"/>
      <c r="AC178" s="512"/>
    </row>
    <row r="179">
      <c r="A179" s="512"/>
      <c r="B179" s="512"/>
      <c r="C179" s="512"/>
      <c r="D179" s="512"/>
      <c r="E179" s="512"/>
      <c r="F179" s="512"/>
      <c r="G179" s="512"/>
      <c r="H179" s="512"/>
      <c r="I179" s="512"/>
      <c r="J179" s="512"/>
      <c r="K179" s="512"/>
      <c r="L179" s="512"/>
      <c r="M179" s="512"/>
      <c r="N179" s="512"/>
      <c r="O179" s="512"/>
      <c r="P179" s="156"/>
      <c r="Q179" s="512"/>
      <c r="R179" s="512"/>
      <c r="S179" s="512"/>
      <c r="T179" s="512"/>
      <c r="U179" s="512"/>
      <c r="V179" s="512"/>
      <c r="W179" s="512"/>
      <c r="X179" s="512"/>
      <c r="Y179" s="512"/>
      <c r="Z179" s="512"/>
      <c r="AA179" s="512"/>
      <c r="AB179" s="512"/>
      <c r="AC179" s="512"/>
    </row>
    <row r="180">
      <c r="A180" s="512"/>
      <c r="B180" s="512"/>
      <c r="C180" s="512"/>
      <c r="D180" s="512"/>
      <c r="E180" s="512"/>
      <c r="F180" s="512"/>
      <c r="G180" s="512"/>
      <c r="H180" s="512"/>
      <c r="I180" s="512"/>
      <c r="J180" s="512"/>
      <c r="K180" s="512"/>
      <c r="L180" s="512"/>
      <c r="M180" s="512"/>
      <c r="N180" s="512"/>
      <c r="O180" s="512"/>
      <c r="P180" s="156"/>
      <c r="Q180" s="512"/>
      <c r="R180" s="512"/>
      <c r="S180" s="512"/>
      <c r="T180" s="512"/>
      <c r="U180" s="512"/>
      <c r="V180" s="512"/>
      <c r="W180" s="512"/>
      <c r="X180" s="512"/>
      <c r="Y180" s="512"/>
      <c r="Z180" s="512"/>
      <c r="AA180" s="512"/>
      <c r="AB180" s="512"/>
      <c r="AC180" s="512"/>
    </row>
    <row r="181">
      <c r="A181" s="512"/>
      <c r="B181" s="512"/>
      <c r="C181" s="512"/>
      <c r="D181" s="512"/>
      <c r="E181" s="512"/>
      <c r="F181" s="512"/>
      <c r="G181" s="512"/>
      <c r="H181" s="512"/>
      <c r="I181" s="512"/>
      <c r="J181" s="512"/>
      <c r="K181" s="512"/>
      <c r="L181" s="512"/>
      <c r="M181" s="512"/>
      <c r="N181" s="512"/>
      <c r="O181" s="512"/>
      <c r="P181" s="156"/>
      <c r="Q181" s="512"/>
      <c r="R181" s="512"/>
      <c r="S181" s="512"/>
      <c r="T181" s="512"/>
      <c r="U181" s="512"/>
      <c r="V181" s="512"/>
      <c r="W181" s="512"/>
      <c r="X181" s="512"/>
      <c r="Y181" s="512"/>
      <c r="Z181" s="512"/>
      <c r="AA181" s="512"/>
      <c r="AB181" s="512"/>
      <c r="AC181" s="512"/>
    </row>
    <row r="182">
      <c r="A182" s="512"/>
      <c r="B182" s="512"/>
      <c r="C182" s="512"/>
      <c r="D182" s="512"/>
      <c r="E182" s="512"/>
      <c r="F182" s="512"/>
      <c r="G182" s="512"/>
      <c r="H182" s="512"/>
      <c r="I182" s="512"/>
      <c r="J182" s="512"/>
      <c r="K182" s="512"/>
      <c r="L182" s="512"/>
      <c r="M182" s="512"/>
      <c r="N182" s="512"/>
      <c r="O182" s="512"/>
      <c r="P182" s="156"/>
      <c r="Q182" s="512"/>
      <c r="R182" s="512"/>
      <c r="S182" s="512"/>
      <c r="T182" s="512"/>
      <c r="U182" s="512"/>
      <c r="V182" s="512"/>
      <c r="W182" s="512"/>
      <c r="X182" s="512"/>
      <c r="Y182" s="512"/>
      <c r="Z182" s="512"/>
      <c r="AA182" s="512"/>
      <c r="AB182" s="512"/>
      <c r="AC182" s="512"/>
    </row>
    <row r="183">
      <c r="A183" s="512"/>
      <c r="B183" s="512"/>
      <c r="C183" s="512"/>
      <c r="D183" s="512"/>
      <c r="E183" s="512"/>
      <c r="F183" s="512"/>
      <c r="G183" s="512"/>
      <c r="H183" s="512"/>
      <c r="I183" s="512"/>
      <c r="J183" s="512"/>
      <c r="K183" s="512"/>
      <c r="L183" s="512"/>
      <c r="M183" s="512"/>
      <c r="N183" s="512"/>
      <c r="O183" s="512"/>
      <c r="P183" s="156"/>
      <c r="Q183" s="512"/>
      <c r="R183" s="512"/>
      <c r="S183" s="512"/>
      <c r="T183" s="512"/>
      <c r="U183" s="512"/>
      <c r="V183" s="512"/>
      <c r="W183" s="512"/>
      <c r="X183" s="512"/>
      <c r="Y183" s="512"/>
      <c r="Z183" s="512"/>
      <c r="AA183" s="512"/>
      <c r="AB183" s="512"/>
      <c r="AC183" s="512"/>
    </row>
    <row r="184">
      <c r="A184" s="512"/>
      <c r="B184" s="512"/>
      <c r="C184" s="512"/>
      <c r="D184" s="512"/>
      <c r="E184" s="512"/>
      <c r="F184" s="512"/>
      <c r="G184" s="512"/>
      <c r="H184" s="512"/>
      <c r="I184" s="512"/>
      <c r="J184" s="512"/>
      <c r="K184" s="512"/>
      <c r="L184" s="512"/>
      <c r="M184" s="512"/>
      <c r="N184" s="512"/>
      <c r="O184" s="512"/>
      <c r="P184" s="156"/>
      <c r="Q184" s="512"/>
      <c r="R184" s="512"/>
      <c r="S184" s="512"/>
      <c r="T184" s="512"/>
      <c r="U184" s="512"/>
      <c r="V184" s="512"/>
      <c r="W184" s="512"/>
      <c r="X184" s="512"/>
      <c r="Y184" s="512"/>
      <c r="Z184" s="512"/>
      <c r="AA184" s="512"/>
      <c r="AB184" s="512"/>
      <c r="AC184" s="512"/>
    </row>
    <row r="185">
      <c r="A185" s="512"/>
      <c r="B185" s="512"/>
      <c r="C185" s="512"/>
      <c r="D185" s="512"/>
      <c r="E185" s="512"/>
      <c r="F185" s="512"/>
      <c r="G185" s="512"/>
      <c r="H185" s="512"/>
      <c r="I185" s="512"/>
      <c r="J185" s="512"/>
      <c r="K185" s="512"/>
      <c r="L185" s="512"/>
      <c r="M185" s="512"/>
      <c r="N185" s="512"/>
      <c r="O185" s="512"/>
      <c r="P185" s="156"/>
      <c r="Q185" s="512"/>
      <c r="R185" s="512"/>
      <c r="S185" s="512"/>
      <c r="T185" s="512"/>
      <c r="U185" s="512"/>
      <c r="V185" s="512"/>
      <c r="W185" s="512"/>
      <c r="X185" s="512"/>
      <c r="Y185" s="512"/>
      <c r="Z185" s="512"/>
      <c r="AA185" s="512"/>
      <c r="AB185" s="512"/>
      <c r="AC185" s="512"/>
    </row>
    <row r="186">
      <c r="A186" s="512"/>
      <c r="B186" s="512"/>
      <c r="C186" s="512"/>
      <c r="D186" s="512"/>
      <c r="E186" s="512"/>
      <c r="F186" s="512"/>
      <c r="G186" s="512"/>
      <c r="H186" s="512"/>
      <c r="I186" s="512"/>
      <c r="J186" s="512"/>
      <c r="K186" s="512"/>
      <c r="L186" s="512"/>
      <c r="M186" s="512"/>
      <c r="N186" s="512"/>
      <c r="O186" s="512"/>
      <c r="P186" s="156"/>
      <c r="Q186" s="512"/>
      <c r="R186" s="512"/>
      <c r="S186" s="512"/>
      <c r="T186" s="512"/>
      <c r="U186" s="512"/>
      <c r="V186" s="512"/>
      <c r="W186" s="512"/>
      <c r="X186" s="512"/>
      <c r="Y186" s="512"/>
      <c r="Z186" s="512"/>
      <c r="AA186" s="512"/>
      <c r="AB186" s="512"/>
      <c r="AC186" s="512"/>
    </row>
    <row r="187">
      <c r="A187" s="512"/>
      <c r="B187" s="512"/>
      <c r="C187" s="512"/>
      <c r="D187" s="512"/>
      <c r="E187" s="512"/>
      <c r="F187" s="512"/>
      <c r="G187" s="512"/>
      <c r="H187" s="512"/>
      <c r="I187" s="512"/>
      <c r="J187" s="512"/>
      <c r="K187" s="512"/>
      <c r="L187" s="512"/>
      <c r="M187" s="512"/>
      <c r="N187" s="512"/>
      <c r="O187" s="512"/>
      <c r="P187" s="156"/>
      <c r="Q187" s="512"/>
      <c r="R187" s="512"/>
      <c r="S187" s="512"/>
      <c r="T187" s="512"/>
      <c r="U187" s="512"/>
      <c r="V187" s="512"/>
      <c r="W187" s="512"/>
      <c r="X187" s="512"/>
      <c r="Y187" s="512"/>
      <c r="Z187" s="512"/>
      <c r="AA187" s="512"/>
      <c r="AB187" s="512"/>
      <c r="AC187" s="512"/>
    </row>
    <row r="188">
      <c r="A188" s="512"/>
      <c r="B188" s="512"/>
      <c r="C188" s="512"/>
      <c r="D188" s="512"/>
      <c r="E188" s="512"/>
      <c r="F188" s="512"/>
      <c r="G188" s="512"/>
      <c r="H188" s="512"/>
      <c r="I188" s="512"/>
      <c r="J188" s="512"/>
      <c r="K188" s="512"/>
      <c r="L188" s="512"/>
      <c r="M188" s="512"/>
      <c r="N188" s="512"/>
      <c r="O188" s="512"/>
      <c r="P188" s="156"/>
      <c r="Q188" s="512"/>
      <c r="R188" s="512"/>
      <c r="S188" s="512"/>
      <c r="T188" s="512"/>
      <c r="U188" s="512"/>
      <c r="V188" s="512"/>
      <c r="W188" s="512"/>
      <c r="X188" s="512"/>
      <c r="Y188" s="512"/>
      <c r="Z188" s="512"/>
      <c r="AA188" s="512"/>
      <c r="AB188" s="512"/>
      <c r="AC188" s="512"/>
    </row>
    <row r="189">
      <c r="A189" s="512"/>
      <c r="B189" s="512"/>
      <c r="C189" s="512"/>
      <c r="D189" s="512"/>
      <c r="E189" s="512"/>
      <c r="F189" s="512"/>
      <c r="G189" s="512"/>
      <c r="H189" s="512"/>
      <c r="I189" s="512"/>
      <c r="J189" s="512"/>
      <c r="K189" s="512"/>
      <c r="L189" s="512"/>
      <c r="M189" s="512"/>
      <c r="N189" s="512"/>
      <c r="O189" s="512"/>
      <c r="P189" s="156"/>
      <c r="Q189" s="512"/>
      <c r="R189" s="512"/>
      <c r="S189" s="512"/>
      <c r="T189" s="512"/>
      <c r="U189" s="512"/>
      <c r="V189" s="512"/>
      <c r="W189" s="512"/>
      <c r="X189" s="512"/>
      <c r="Y189" s="512"/>
      <c r="Z189" s="512"/>
      <c r="AA189" s="512"/>
      <c r="AB189" s="512"/>
      <c r="AC189" s="512"/>
    </row>
    <row r="190">
      <c r="A190" s="512"/>
      <c r="B190" s="512"/>
      <c r="C190" s="512"/>
      <c r="D190" s="512"/>
      <c r="E190" s="512"/>
      <c r="F190" s="512"/>
      <c r="G190" s="512"/>
      <c r="H190" s="512"/>
      <c r="I190" s="512"/>
      <c r="J190" s="512"/>
      <c r="K190" s="512"/>
      <c r="L190" s="512"/>
      <c r="M190" s="512"/>
      <c r="N190" s="512"/>
      <c r="O190" s="512"/>
      <c r="P190" s="156"/>
      <c r="Q190" s="512"/>
      <c r="R190" s="512"/>
      <c r="S190" s="512"/>
      <c r="T190" s="512"/>
      <c r="U190" s="512"/>
      <c r="V190" s="512"/>
      <c r="W190" s="512"/>
      <c r="X190" s="512"/>
      <c r="Y190" s="512"/>
      <c r="Z190" s="512"/>
      <c r="AA190" s="512"/>
      <c r="AB190" s="512"/>
      <c r="AC190" s="512"/>
    </row>
    <row r="191">
      <c r="A191" s="512"/>
      <c r="B191" s="512"/>
      <c r="C191" s="512"/>
      <c r="D191" s="512"/>
      <c r="E191" s="512"/>
      <c r="F191" s="512"/>
      <c r="G191" s="512"/>
      <c r="H191" s="512"/>
      <c r="I191" s="512"/>
      <c r="J191" s="512"/>
      <c r="K191" s="512"/>
      <c r="L191" s="512"/>
      <c r="M191" s="512"/>
      <c r="N191" s="512"/>
      <c r="O191" s="512"/>
      <c r="P191" s="156"/>
      <c r="Q191" s="512"/>
      <c r="R191" s="512"/>
      <c r="S191" s="512"/>
      <c r="T191" s="512"/>
      <c r="U191" s="512"/>
      <c r="V191" s="512"/>
      <c r="W191" s="512"/>
      <c r="X191" s="512"/>
      <c r="Y191" s="512"/>
      <c r="Z191" s="512"/>
      <c r="AA191" s="512"/>
      <c r="AB191" s="512"/>
      <c r="AC191" s="512"/>
    </row>
    <row r="192">
      <c r="A192" s="512"/>
      <c r="B192" s="512"/>
      <c r="C192" s="512"/>
      <c r="D192" s="512"/>
      <c r="E192" s="512"/>
      <c r="F192" s="512"/>
      <c r="G192" s="512"/>
      <c r="H192" s="512"/>
      <c r="I192" s="512"/>
      <c r="J192" s="512"/>
      <c r="K192" s="512"/>
      <c r="L192" s="512"/>
      <c r="M192" s="512"/>
      <c r="N192" s="512"/>
      <c r="O192" s="512"/>
      <c r="P192" s="156"/>
      <c r="Q192" s="512"/>
      <c r="R192" s="512"/>
      <c r="S192" s="512"/>
      <c r="T192" s="512"/>
      <c r="U192" s="512"/>
      <c r="V192" s="512"/>
      <c r="W192" s="512"/>
      <c r="X192" s="512"/>
      <c r="Y192" s="512"/>
      <c r="Z192" s="512"/>
      <c r="AA192" s="512"/>
      <c r="AB192" s="512"/>
      <c r="AC192" s="512"/>
    </row>
    <row r="193">
      <c r="A193" s="512"/>
      <c r="B193" s="512"/>
      <c r="C193" s="512"/>
      <c r="D193" s="512"/>
      <c r="E193" s="512"/>
      <c r="F193" s="512"/>
      <c r="G193" s="512"/>
      <c r="H193" s="512"/>
      <c r="I193" s="512"/>
      <c r="J193" s="512"/>
      <c r="K193" s="512"/>
      <c r="L193" s="512"/>
      <c r="M193" s="512"/>
      <c r="N193" s="512"/>
      <c r="O193" s="512"/>
      <c r="P193" s="156"/>
      <c r="Q193" s="512"/>
      <c r="R193" s="512"/>
      <c r="S193" s="512"/>
      <c r="T193" s="512"/>
      <c r="U193" s="512"/>
      <c r="V193" s="512"/>
      <c r="W193" s="512"/>
      <c r="X193" s="512"/>
      <c r="Y193" s="512"/>
      <c r="Z193" s="512"/>
      <c r="AA193" s="512"/>
      <c r="AB193" s="512"/>
      <c r="AC193" s="512"/>
    </row>
    <row r="194">
      <c r="A194" s="512"/>
      <c r="B194" s="512"/>
      <c r="C194" s="512"/>
      <c r="D194" s="512"/>
      <c r="E194" s="512"/>
      <c r="F194" s="512"/>
      <c r="G194" s="512"/>
      <c r="H194" s="512"/>
      <c r="I194" s="512"/>
      <c r="J194" s="512"/>
      <c r="K194" s="512"/>
      <c r="L194" s="512"/>
      <c r="M194" s="512"/>
      <c r="N194" s="512"/>
      <c r="O194" s="512"/>
      <c r="P194" s="156"/>
      <c r="Q194" s="512"/>
      <c r="R194" s="512"/>
      <c r="S194" s="512"/>
      <c r="T194" s="512"/>
      <c r="U194" s="512"/>
      <c r="V194" s="512"/>
      <c r="W194" s="512"/>
      <c r="X194" s="512"/>
      <c r="Y194" s="512"/>
      <c r="Z194" s="512"/>
      <c r="AA194" s="512"/>
      <c r="AB194" s="512"/>
      <c r="AC194" s="512"/>
    </row>
    <row r="195">
      <c r="A195" s="512"/>
      <c r="B195" s="512"/>
      <c r="C195" s="512"/>
      <c r="D195" s="512"/>
      <c r="E195" s="512"/>
      <c r="F195" s="512"/>
      <c r="G195" s="512"/>
      <c r="H195" s="512"/>
      <c r="I195" s="512"/>
      <c r="J195" s="512"/>
      <c r="K195" s="512"/>
      <c r="L195" s="512"/>
      <c r="M195" s="512"/>
      <c r="N195" s="512"/>
      <c r="O195" s="512"/>
      <c r="P195" s="156"/>
      <c r="Q195" s="512"/>
      <c r="R195" s="512"/>
      <c r="S195" s="512"/>
      <c r="T195" s="512"/>
      <c r="U195" s="512"/>
      <c r="V195" s="512"/>
      <c r="W195" s="512"/>
      <c r="X195" s="512"/>
      <c r="Y195" s="512"/>
      <c r="Z195" s="512"/>
      <c r="AA195" s="512"/>
      <c r="AB195" s="512"/>
      <c r="AC195" s="512"/>
    </row>
    <row r="196">
      <c r="A196" s="512"/>
      <c r="B196" s="512"/>
      <c r="C196" s="512"/>
      <c r="D196" s="512"/>
      <c r="E196" s="512"/>
      <c r="F196" s="512"/>
      <c r="G196" s="512"/>
      <c r="H196" s="512"/>
      <c r="I196" s="512"/>
      <c r="J196" s="512"/>
      <c r="K196" s="512"/>
      <c r="L196" s="512"/>
      <c r="M196" s="512"/>
      <c r="N196" s="512"/>
      <c r="O196" s="512"/>
      <c r="P196" s="156"/>
      <c r="Q196" s="512"/>
      <c r="R196" s="512"/>
      <c r="S196" s="512"/>
      <c r="T196" s="512"/>
      <c r="U196" s="512"/>
      <c r="V196" s="512"/>
      <c r="W196" s="512"/>
      <c r="X196" s="512"/>
      <c r="Y196" s="512"/>
      <c r="Z196" s="512"/>
      <c r="AA196" s="512"/>
      <c r="AB196" s="512"/>
      <c r="AC196" s="512"/>
    </row>
    <row r="197">
      <c r="A197" s="512"/>
      <c r="B197" s="512"/>
      <c r="C197" s="512"/>
      <c r="D197" s="512"/>
      <c r="E197" s="512"/>
      <c r="F197" s="512"/>
      <c r="G197" s="512"/>
      <c r="H197" s="512"/>
      <c r="I197" s="512"/>
      <c r="J197" s="512"/>
      <c r="K197" s="512"/>
      <c r="L197" s="512"/>
      <c r="M197" s="512"/>
      <c r="N197" s="512"/>
      <c r="O197" s="512"/>
      <c r="P197" s="156"/>
      <c r="Q197" s="512"/>
      <c r="R197" s="512"/>
      <c r="S197" s="512"/>
      <c r="T197" s="512"/>
      <c r="U197" s="512"/>
      <c r="V197" s="512"/>
      <c r="W197" s="512"/>
      <c r="X197" s="512"/>
      <c r="Y197" s="512"/>
      <c r="Z197" s="512"/>
      <c r="AA197" s="512"/>
      <c r="AB197" s="512"/>
      <c r="AC197" s="512"/>
    </row>
    <row r="198">
      <c r="A198" s="512"/>
      <c r="B198" s="512"/>
      <c r="C198" s="512"/>
      <c r="D198" s="512"/>
      <c r="E198" s="512"/>
      <c r="F198" s="512"/>
      <c r="G198" s="512"/>
      <c r="H198" s="512"/>
      <c r="I198" s="512"/>
      <c r="J198" s="512"/>
      <c r="K198" s="512"/>
      <c r="L198" s="512"/>
      <c r="M198" s="512"/>
      <c r="N198" s="512"/>
      <c r="O198" s="512"/>
      <c r="P198" s="156"/>
      <c r="Q198" s="512"/>
      <c r="R198" s="512"/>
      <c r="S198" s="512"/>
      <c r="T198" s="512"/>
      <c r="U198" s="512"/>
      <c r="V198" s="512"/>
      <c r="W198" s="512"/>
      <c r="X198" s="512"/>
      <c r="Y198" s="512"/>
      <c r="Z198" s="512"/>
      <c r="AA198" s="512"/>
      <c r="AB198" s="512"/>
      <c r="AC198" s="512"/>
    </row>
    <row r="199">
      <c r="A199" s="512"/>
      <c r="B199" s="512"/>
      <c r="C199" s="512"/>
      <c r="D199" s="512"/>
      <c r="E199" s="512"/>
      <c r="F199" s="512"/>
      <c r="G199" s="512"/>
      <c r="H199" s="512"/>
      <c r="I199" s="512"/>
      <c r="J199" s="512"/>
      <c r="K199" s="512"/>
      <c r="L199" s="512"/>
      <c r="M199" s="512"/>
      <c r="N199" s="512"/>
      <c r="O199" s="512"/>
      <c r="P199" s="156"/>
      <c r="Q199" s="512"/>
      <c r="R199" s="512"/>
      <c r="S199" s="512"/>
      <c r="T199" s="512"/>
      <c r="U199" s="512"/>
      <c r="V199" s="512"/>
      <c r="W199" s="512"/>
      <c r="X199" s="512"/>
      <c r="Y199" s="512"/>
      <c r="Z199" s="512"/>
      <c r="AA199" s="512"/>
      <c r="AB199" s="512"/>
      <c r="AC199" s="512"/>
    </row>
    <row r="200">
      <c r="A200" s="512"/>
      <c r="B200" s="512"/>
      <c r="C200" s="512"/>
      <c r="D200" s="512"/>
      <c r="E200" s="512"/>
      <c r="F200" s="512"/>
      <c r="G200" s="512"/>
      <c r="H200" s="512"/>
      <c r="I200" s="512"/>
      <c r="J200" s="512"/>
      <c r="K200" s="512"/>
      <c r="L200" s="512"/>
      <c r="M200" s="512"/>
      <c r="N200" s="512"/>
      <c r="O200" s="512"/>
      <c r="P200" s="156"/>
      <c r="Q200" s="512"/>
      <c r="R200" s="512"/>
      <c r="S200" s="512"/>
      <c r="T200" s="512"/>
      <c r="U200" s="512"/>
      <c r="V200" s="512"/>
      <c r="W200" s="512"/>
      <c r="X200" s="512"/>
      <c r="Y200" s="512"/>
      <c r="Z200" s="512"/>
      <c r="AA200" s="512"/>
      <c r="AB200" s="512"/>
      <c r="AC200" s="512"/>
    </row>
    <row r="201">
      <c r="A201" s="512"/>
      <c r="B201" s="512"/>
      <c r="C201" s="512"/>
      <c r="D201" s="512"/>
      <c r="E201" s="512"/>
      <c r="F201" s="512"/>
      <c r="G201" s="512"/>
      <c r="H201" s="512"/>
      <c r="I201" s="512"/>
      <c r="J201" s="512"/>
      <c r="K201" s="512"/>
      <c r="L201" s="512"/>
      <c r="M201" s="512"/>
      <c r="N201" s="512"/>
      <c r="O201" s="512"/>
      <c r="P201" s="156"/>
      <c r="Q201" s="512"/>
      <c r="R201" s="512"/>
      <c r="S201" s="512"/>
      <c r="T201" s="512"/>
      <c r="U201" s="512"/>
      <c r="V201" s="512"/>
      <c r="W201" s="512"/>
      <c r="X201" s="512"/>
      <c r="Y201" s="512"/>
      <c r="Z201" s="512"/>
      <c r="AA201" s="512"/>
      <c r="AB201" s="512"/>
      <c r="AC201" s="512"/>
    </row>
    <row r="202">
      <c r="A202" s="512"/>
      <c r="B202" s="512"/>
      <c r="C202" s="512"/>
      <c r="D202" s="512"/>
      <c r="E202" s="512"/>
      <c r="F202" s="512"/>
      <c r="G202" s="512"/>
      <c r="H202" s="512"/>
      <c r="I202" s="512"/>
      <c r="J202" s="512"/>
      <c r="K202" s="512"/>
      <c r="L202" s="512"/>
      <c r="M202" s="512"/>
      <c r="N202" s="512"/>
      <c r="O202" s="512"/>
      <c r="P202" s="156"/>
      <c r="Q202" s="512"/>
      <c r="R202" s="512"/>
      <c r="S202" s="512"/>
      <c r="T202" s="512"/>
      <c r="U202" s="512"/>
      <c r="V202" s="512"/>
      <c r="W202" s="512"/>
      <c r="X202" s="512"/>
      <c r="Y202" s="512"/>
      <c r="Z202" s="512"/>
      <c r="AA202" s="512"/>
      <c r="AB202" s="512"/>
      <c r="AC202" s="512"/>
    </row>
    <row r="203">
      <c r="A203" s="512"/>
      <c r="B203" s="512"/>
      <c r="C203" s="512"/>
      <c r="D203" s="512"/>
      <c r="E203" s="512"/>
      <c r="F203" s="512"/>
      <c r="G203" s="512"/>
      <c r="H203" s="512"/>
      <c r="I203" s="512"/>
      <c r="J203" s="512"/>
      <c r="K203" s="512"/>
      <c r="L203" s="512"/>
      <c r="M203" s="512"/>
      <c r="N203" s="512"/>
      <c r="O203" s="512"/>
      <c r="P203" s="156"/>
      <c r="Q203" s="512"/>
      <c r="R203" s="512"/>
      <c r="S203" s="512"/>
      <c r="T203" s="512"/>
      <c r="U203" s="512"/>
      <c r="V203" s="512"/>
      <c r="W203" s="512"/>
      <c r="X203" s="512"/>
      <c r="Y203" s="512"/>
      <c r="Z203" s="512"/>
      <c r="AA203" s="512"/>
      <c r="AB203" s="512"/>
      <c r="AC203" s="512"/>
    </row>
    <row r="204">
      <c r="A204" s="512"/>
      <c r="B204" s="512"/>
      <c r="C204" s="512"/>
      <c r="D204" s="512"/>
      <c r="E204" s="512"/>
      <c r="F204" s="512"/>
      <c r="G204" s="512"/>
      <c r="H204" s="512"/>
      <c r="I204" s="512"/>
      <c r="J204" s="512"/>
      <c r="K204" s="512"/>
      <c r="L204" s="512"/>
      <c r="M204" s="512"/>
      <c r="N204" s="512"/>
      <c r="O204" s="512"/>
      <c r="P204" s="156"/>
      <c r="Q204" s="512"/>
      <c r="R204" s="512"/>
      <c r="S204" s="512"/>
      <c r="T204" s="512"/>
      <c r="U204" s="512"/>
      <c r="V204" s="512"/>
      <c r="W204" s="512"/>
      <c r="X204" s="512"/>
      <c r="Y204" s="512"/>
      <c r="Z204" s="512"/>
      <c r="AA204" s="512"/>
      <c r="AB204" s="512"/>
      <c r="AC204" s="512"/>
    </row>
    <row r="205">
      <c r="A205" s="512"/>
      <c r="B205" s="512"/>
      <c r="C205" s="512"/>
      <c r="D205" s="512"/>
      <c r="E205" s="512"/>
      <c r="F205" s="512"/>
      <c r="G205" s="512"/>
      <c r="H205" s="512"/>
      <c r="I205" s="512"/>
      <c r="J205" s="512"/>
      <c r="K205" s="512"/>
      <c r="L205" s="512"/>
      <c r="M205" s="512"/>
      <c r="N205" s="512"/>
      <c r="O205" s="512"/>
      <c r="P205" s="156"/>
      <c r="Q205" s="512"/>
      <c r="R205" s="512"/>
      <c r="S205" s="512"/>
      <c r="T205" s="512"/>
      <c r="U205" s="512"/>
      <c r="V205" s="512"/>
      <c r="W205" s="512"/>
      <c r="X205" s="512"/>
      <c r="Y205" s="512"/>
      <c r="Z205" s="512"/>
      <c r="AA205" s="512"/>
      <c r="AB205" s="512"/>
      <c r="AC205" s="512"/>
    </row>
    <row r="206">
      <c r="A206" s="512"/>
      <c r="B206" s="512"/>
      <c r="C206" s="512"/>
      <c r="D206" s="512"/>
      <c r="E206" s="512"/>
      <c r="F206" s="512"/>
      <c r="G206" s="512"/>
      <c r="H206" s="512"/>
      <c r="I206" s="512"/>
      <c r="J206" s="512"/>
      <c r="K206" s="512"/>
      <c r="L206" s="512"/>
      <c r="M206" s="512"/>
      <c r="N206" s="512"/>
      <c r="O206" s="512"/>
      <c r="P206" s="156"/>
      <c r="Q206" s="512"/>
      <c r="R206" s="512"/>
      <c r="S206" s="512"/>
      <c r="T206" s="512"/>
      <c r="U206" s="512"/>
      <c r="V206" s="512"/>
      <c r="W206" s="512"/>
      <c r="X206" s="512"/>
      <c r="Y206" s="512"/>
      <c r="Z206" s="512"/>
      <c r="AA206" s="512"/>
      <c r="AB206" s="512"/>
      <c r="AC206" s="512"/>
    </row>
    <row r="207">
      <c r="A207" s="512"/>
      <c r="B207" s="512"/>
      <c r="C207" s="512"/>
      <c r="D207" s="512"/>
      <c r="E207" s="512"/>
      <c r="F207" s="512"/>
      <c r="G207" s="512"/>
      <c r="H207" s="512"/>
      <c r="I207" s="512"/>
      <c r="J207" s="512"/>
      <c r="K207" s="512"/>
      <c r="L207" s="512"/>
      <c r="M207" s="512"/>
      <c r="N207" s="512"/>
      <c r="O207" s="512"/>
      <c r="P207" s="156"/>
      <c r="Q207" s="512"/>
      <c r="R207" s="512"/>
      <c r="S207" s="512"/>
      <c r="T207" s="512"/>
      <c r="U207" s="512"/>
      <c r="V207" s="512"/>
      <c r="W207" s="512"/>
      <c r="X207" s="512"/>
      <c r="Y207" s="512"/>
      <c r="Z207" s="512"/>
      <c r="AA207" s="512"/>
      <c r="AB207" s="512"/>
      <c r="AC207" s="512"/>
    </row>
    <row r="208">
      <c r="A208" s="512"/>
      <c r="B208" s="512"/>
      <c r="C208" s="512"/>
      <c r="D208" s="512"/>
      <c r="E208" s="512"/>
      <c r="F208" s="512"/>
      <c r="G208" s="512"/>
      <c r="H208" s="512"/>
      <c r="I208" s="512"/>
      <c r="J208" s="512"/>
      <c r="K208" s="512"/>
      <c r="L208" s="512"/>
      <c r="M208" s="512"/>
      <c r="N208" s="512"/>
      <c r="O208" s="512"/>
      <c r="P208" s="156"/>
      <c r="Q208" s="512"/>
      <c r="R208" s="512"/>
      <c r="S208" s="512"/>
      <c r="T208" s="512"/>
      <c r="U208" s="512"/>
      <c r="V208" s="512"/>
      <c r="W208" s="512"/>
      <c r="X208" s="512"/>
      <c r="Y208" s="512"/>
      <c r="Z208" s="512"/>
      <c r="AA208" s="512"/>
      <c r="AB208" s="512"/>
      <c r="AC208" s="512"/>
    </row>
    <row r="209">
      <c r="A209" s="512"/>
      <c r="B209" s="512"/>
      <c r="C209" s="512"/>
      <c r="D209" s="512"/>
      <c r="E209" s="512"/>
      <c r="F209" s="512"/>
      <c r="G209" s="512"/>
      <c r="H209" s="512"/>
      <c r="I209" s="512"/>
      <c r="J209" s="512"/>
      <c r="K209" s="512"/>
      <c r="L209" s="512"/>
      <c r="M209" s="512"/>
      <c r="N209" s="512"/>
      <c r="O209" s="512"/>
      <c r="P209" s="156"/>
      <c r="Q209" s="512"/>
      <c r="R209" s="512"/>
      <c r="S209" s="512"/>
      <c r="T209" s="512"/>
      <c r="U209" s="512"/>
      <c r="V209" s="512"/>
      <c r="W209" s="512"/>
      <c r="X209" s="512"/>
      <c r="Y209" s="512"/>
      <c r="Z209" s="512"/>
      <c r="AA209" s="512"/>
      <c r="AB209" s="512"/>
      <c r="AC209" s="512"/>
    </row>
    <row r="210">
      <c r="A210" s="512"/>
      <c r="B210" s="512"/>
      <c r="C210" s="512"/>
      <c r="D210" s="512"/>
      <c r="E210" s="512"/>
      <c r="F210" s="512"/>
      <c r="G210" s="512"/>
      <c r="H210" s="512"/>
      <c r="I210" s="512"/>
      <c r="J210" s="512"/>
      <c r="K210" s="512"/>
      <c r="L210" s="512"/>
      <c r="M210" s="512"/>
      <c r="N210" s="512"/>
      <c r="O210" s="512"/>
      <c r="P210" s="156"/>
      <c r="Q210" s="512"/>
      <c r="R210" s="512"/>
      <c r="S210" s="512"/>
      <c r="T210" s="512"/>
      <c r="U210" s="512"/>
      <c r="V210" s="512"/>
      <c r="W210" s="512"/>
      <c r="X210" s="512"/>
      <c r="Y210" s="512"/>
      <c r="Z210" s="512"/>
      <c r="AA210" s="512"/>
      <c r="AB210" s="512"/>
      <c r="AC210" s="512"/>
    </row>
    <row r="211">
      <c r="A211" s="512"/>
      <c r="B211" s="512"/>
      <c r="C211" s="512"/>
      <c r="D211" s="512"/>
      <c r="E211" s="512"/>
      <c r="F211" s="512"/>
      <c r="G211" s="512"/>
      <c r="H211" s="512"/>
      <c r="I211" s="512"/>
      <c r="J211" s="512"/>
      <c r="K211" s="512"/>
      <c r="L211" s="512"/>
      <c r="M211" s="512"/>
      <c r="N211" s="512"/>
      <c r="O211" s="512"/>
      <c r="P211" s="156"/>
      <c r="Q211" s="512"/>
      <c r="R211" s="512"/>
      <c r="S211" s="512"/>
      <c r="T211" s="512"/>
      <c r="U211" s="512"/>
      <c r="V211" s="512"/>
      <c r="W211" s="512"/>
      <c r="X211" s="512"/>
      <c r="Y211" s="512"/>
      <c r="Z211" s="512"/>
      <c r="AA211" s="512"/>
      <c r="AB211" s="512"/>
      <c r="AC211" s="512"/>
    </row>
    <row r="212">
      <c r="A212" s="512"/>
      <c r="B212" s="512"/>
      <c r="C212" s="512"/>
      <c r="D212" s="512"/>
      <c r="E212" s="512"/>
      <c r="F212" s="512"/>
      <c r="G212" s="512"/>
      <c r="H212" s="512"/>
      <c r="I212" s="512"/>
      <c r="J212" s="512"/>
      <c r="K212" s="512"/>
      <c r="L212" s="512"/>
      <c r="M212" s="512"/>
      <c r="N212" s="512"/>
      <c r="O212" s="512"/>
      <c r="P212" s="156"/>
      <c r="Q212" s="512"/>
      <c r="R212" s="512"/>
      <c r="S212" s="512"/>
      <c r="T212" s="512"/>
      <c r="U212" s="512"/>
      <c r="V212" s="512"/>
      <c r="W212" s="512"/>
      <c r="X212" s="512"/>
      <c r="Y212" s="512"/>
      <c r="Z212" s="512"/>
      <c r="AA212" s="512"/>
      <c r="AB212" s="512"/>
      <c r="AC212" s="512"/>
    </row>
    <row r="213">
      <c r="A213" s="512"/>
      <c r="B213" s="512"/>
      <c r="C213" s="512"/>
      <c r="D213" s="512"/>
      <c r="E213" s="512"/>
      <c r="F213" s="512"/>
      <c r="G213" s="512"/>
      <c r="H213" s="512"/>
      <c r="I213" s="512"/>
      <c r="J213" s="512"/>
      <c r="K213" s="512"/>
      <c r="L213" s="512"/>
      <c r="M213" s="512"/>
      <c r="N213" s="512"/>
      <c r="O213" s="512"/>
      <c r="P213" s="156"/>
      <c r="Q213" s="512"/>
      <c r="R213" s="512"/>
      <c r="S213" s="512"/>
      <c r="T213" s="512"/>
      <c r="U213" s="512"/>
      <c r="V213" s="512"/>
      <c r="W213" s="512"/>
      <c r="X213" s="512"/>
      <c r="Y213" s="512"/>
      <c r="Z213" s="512"/>
      <c r="AA213" s="512"/>
      <c r="AB213" s="512"/>
      <c r="AC213" s="512"/>
    </row>
    <row r="214">
      <c r="A214" s="512"/>
      <c r="B214" s="512"/>
      <c r="C214" s="512"/>
      <c r="D214" s="512"/>
      <c r="E214" s="512"/>
      <c r="F214" s="512"/>
      <c r="G214" s="512"/>
      <c r="H214" s="512"/>
      <c r="I214" s="512"/>
      <c r="J214" s="512"/>
      <c r="K214" s="512"/>
      <c r="L214" s="512"/>
      <c r="M214" s="512"/>
      <c r="N214" s="512"/>
      <c r="O214" s="512"/>
      <c r="P214" s="156"/>
      <c r="Q214" s="512"/>
      <c r="R214" s="512"/>
      <c r="S214" s="512"/>
      <c r="T214" s="512"/>
      <c r="U214" s="512"/>
      <c r="V214" s="512"/>
      <c r="W214" s="512"/>
      <c r="X214" s="512"/>
      <c r="Y214" s="512"/>
      <c r="Z214" s="512"/>
      <c r="AA214" s="512"/>
      <c r="AB214" s="512"/>
      <c r="AC214" s="512"/>
    </row>
    <row r="215">
      <c r="A215" s="512"/>
      <c r="B215" s="512"/>
      <c r="C215" s="512"/>
      <c r="D215" s="512"/>
      <c r="E215" s="512"/>
      <c r="F215" s="512"/>
      <c r="G215" s="512"/>
      <c r="H215" s="512"/>
      <c r="I215" s="512"/>
      <c r="J215" s="512"/>
      <c r="K215" s="512"/>
      <c r="L215" s="512"/>
      <c r="M215" s="512"/>
      <c r="N215" s="512"/>
      <c r="O215" s="512"/>
      <c r="P215" s="156"/>
      <c r="Q215" s="512"/>
      <c r="R215" s="512"/>
      <c r="S215" s="512"/>
      <c r="T215" s="512"/>
      <c r="U215" s="512"/>
      <c r="V215" s="512"/>
      <c r="W215" s="512"/>
      <c r="X215" s="512"/>
      <c r="Y215" s="512"/>
      <c r="Z215" s="512"/>
      <c r="AA215" s="512"/>
      <c r="AB215" s="512"/>
      <c r="AC215" s="512"/>
    </row>
    <row r="216">
      <c r="A216" s="512"/>
      <c r="B216" s="512"/>
      <c r="C216" s="512"/>
      <c r="D216" s="512"/>
      <c r="E216" s="512"/>
      <c r="F216" s="512"/>
      <c r="G216" s="512"/>
      <c r="H216" s="512"/>
      <c r="I216" s="512"/>
      <c r="J216" s="512"/>
      <c r="K216" s="512"/>
      <c r="L216" s="512"/>
      <c r="M216" s="512"/>
      <c r="N216" s="512"/>
      <c r="O216" s="512"/>
      <c r="P216" s="156"/>
      <c r="Q216" s="512"/>
      <c r="R216" s="512"/>
      <c r="S216" s="512"/>
      <c r="T216" s="512"/>
      <c r="U216" s="512"/>
      <c r="V216" s="512"/>
      <c r="W216" s="512"/>
      <c r="X216" s="512"/>
      <c r="Y216" s="512"/>
      <c r="Z216" s="512"/>
      <c r="AA216" s="512"/>
      <c r="AB216" s="512"/>
      <c r="AC216" s="512"/>
    </row>
    <row r="217">
      <c r="A217" s="512"/>
      <c r="B217" s="512"/>
      <c r="C217" s="512"/>
      <c r="D217" s="512"/>
      <c r="E217" s="512"/>
      <c r="F217" s="512"/>
      <c r="G217" s="512"/>
      <c r="H217" s="512"/>
      <c r="I217" s="512"/>
      <c r="J217" s="512"/>
      <c r="K217" s="512"/>
      <c r="L217" s="512"/>
      <c r="M217" s="512"/>
      <c r="N217" s="512"/>
      <c r="O217" s="512"/>
      <c r="P217" s="156"/>
      <c r="Q217" s="512"/>
      <c r="R217" s="512"/>
      <c r="S217" s="512"/>
      <c r="T217" s="512"/>
      <c r="U217" s="512"/>
      <c r="V217" s="512"/>
      <c r="W217" s="512"/>
      <c r="X217" s="512"/>
      <c r="Y217" s="512"/>
      <c r="Z217" s="512"/>
      <c r="AA217" s="512"/>
      <c r="AB217" s="512"/>
      <c r="AC217" s="512"/>
    </row>
    <row r="218">
      <c r="A218" s="512"/>
      <c r="B218" s="512"/>
      <c r="C218" s="512"/>
      <c r="D218" s="512"/>
      <c r="E218" s="512"/>
      <c r="F218" s="512"/>
      <c r="G218" s="512"/>
      <c r="H218" s="512"/>
      <c r="I218" s="512"/>
      <c r="J218" s="512"/>
      <c r="K218" s="512"/>
      <c r="L218" s="512"/>
      <c r="M218" s="512"/>
      <c r="N218" s="512"/>
      <c r="O218" s="512"/>
      <c r="P218" s="156"/>
      <c r="Q218" s="512"/>
      <c r="R218" s="512"/>
      <c r="S218" s="512"/>
      <c r="T218" s="512"/>
      <c r="U218" s="512"/>
      <c r="V218" s="512"/>
      <c r="W218" s="512"/>
      <c r="X218" s="512"/>
      <c r="Y218" s="512"/>
      <c r="Z218" s="512"/>
      <c r="AA218" s="512"/>
      <c r="AB218" s="512"/>
      <c r="AC218" s="512"/>
    </row>
    <row r="219">
      <c r="A219" s="512"/>
      <c r="B219" s="512"/>
      <c r="C219" s="512"/>
      <c r="D219" s="512"/>
      <c r="E219" s="512"/>
      <c r="F219" s="512"/>
      <c r="G219" s="512"/>
      <c r="H219" s="512"/>
      <c r="I219" s="512"/>
      <c r="J219" s="512"/>
      <c r="K219" s="512"/>
      <c r="L219" s="512"/>
      <c r="M219" s="512"/>
      <c r="N219" s="512"/>
      <c r="O219" s="512"/>
      <c r="P219" s="156"/>
      <c r="Q219" s="512"/>
      <c r="R219" s="512"/>
      <c r="S219" s="512"/>
      <c r="T219" s="512"/>
      <c r="U219" s="512"/>
      <c r="V219" s="512"/>
      <c r="W219" s="512"/>
      <c r="X219" s="512"/>
      <c r="Y219" s="512"/>
      <c r="Z219" s="512"/>
      <c r="AA219" s="512"/>
      <c r="AB219" s="512"/>
      <c r="AC219" s="512"/>
    </row>
    <row r="220">
      <c r="A220" s="512"/>
      <c r="B220" s="512"/>
      <c r="C220" s="512"/>
      <c r="D220" s="512"/>
      <c r="E220" s="512"/>
      <c r="F220" s="512"/>
      <c r="G220" s="512"/>
      <c r="H220" s="512"/>
      <c r="I220" s="512"/>
      <c r="J220" s="512"/>
      <c r="K220" s="512"/>
      <c r="L220" s="512"/>
      <c r="M220" s="512"/>
      <c r="N220" s="512"/>
      <c r="O220" s="512"/>
      <c r="P220" s="156"/>
      <c r="Q220" s="512"/>
      <c r="R220" s="512"/>
      <c r="S220" s="512"/>
      <c r="T220" s="512"/>
      <c r="U220" s="512"/>
      <c r="V220" s="512"/>
      <c r="W220" s="512"/>
      <c r="X220" s="512"/>
      <c r="Y220" s="512"/>
      <c r="Z220" s="512"/>
      <c r="AA220" s="512"/>
      <c r="AB220" s="512"/>
      <c r="AC220" s="512"/>
    </row>
    <row r="221">
      <c r="A221" s="512"/>
      <c r="B221" s="512"/>
      <c r="C221" s="512"/>
      <c r="D221" s="512"/>
      <c r="E221" s="512"/>
      <c r="F221" s="512"/>
      <c r="G221" s="512"/>
      <c r="H221" s="512"/>
      <c r="I221" s="512"/>
      <c r="J221" s="512"/>
      <c r="K221" s="512"/>
      <c r="L221" s="512"/>
      <c r="M221" s="512"/>
      <c r="N221" s="512"/>
      <c r="O221" s="512"/>
      <c r="P221" s="156"/>
      <c r="Q221" s="512"/>
      <c r="R221" s="512"/>
      <c r="S221" s="512"/>
      <c r="T221" s="512"/>
      <c r="U221" s="512"/>
      <c r="V221" s="512"/>
      <c r="W221" s="512"/>
      <c r="X221" s="512"/>
      <c r="Y221" s="512"/>
      <c r="Z221" s="512"/>
      <c r="AA221" s="512"/>
      <c r="AB221" s="512"/>
      <c r="AC221" s="512"/>
    </row>
    <row r="222">
      <c r="A222" s="512"/>
      <c r="B222" s="512"/>
      <c r="C222" s="512"/>
      <c r="D222" s="512"/>
      <c r="E222" s="512"/>
      <c r="F222" s="512"/>
      <c r="G222" s="512"/>
      <c r="H222" s="512"/>
      <c r="I222" s="512"/>
      <c r="J222" s="512"/>
      <c r="K222" s="512"/>
      <c r="L222" s="512"/>
      <c r="M222" s="512"/>
      <c r="N222" s="512"/>
      <c r="O222" s="512"/>
      <c r="P222" s="156"/>
      <c r="Q222" s="512"/>
      <c r="R222" s="512"/>
      <c r="S222" s="512"/>
      <c r="T222" s="512"/>
      <c r="U222" s="512"/>
      <c r="V222" s="512"/>
      <c r="W222" s="512"/>
      <c r="X222" s="512"/>
      <c r="Y222" s="512"/>
      <c r="Z222" s="512"/>
      <c r="AA222" s="512"/>
      <c r="AB222" s="512"/>
      <c r="AC222" s="512"/>
    </row>
    <row r="223">
      <c r="A223" s="512"/>
      <c r="B223" s="512"/>
      <c r="C223" s="512"/>
      <c r="D223" s="512"/>
      <c r="E223" s="512"/>
      <c r="F223" s="512"/>
      <c r="G223" s="512"/>
      <c r="H223" s="512"/>
      <c r="I223" s="512"/>
      <c r="J223" s="512"/>
      <c r="K223" s="512"/>
      <c r="L223" s="512"/>
      <c r="M223" s="512"/>
      <c r="N223" s="512"/>
      <c r="O223" s="512"/>
      <c r="P223" s="156"/>
      <c r="Q223" s="512"/>
      <c r="R223" s="512"/>
      <c r="S223" s="512"/>
      <c r="T223" s="512"/>
      <c r="U223" s="512"/>
      <c r="V223" s="512"/>
      <c r="W223" s="512"/>
      <c r="X223" s="512"/>
      <c r="Y223" s="512"/>
      <c r="Z223" s="512"/>
      <c r="AA223" s="512"/>
      <c r="AB223" s="512"/>
      <c r="AC223" s="512"/>
    </row>
    <row r="224">
      <c r="A224" s="512"/>
      <c r="B224" s="512"/>
      <c r="C224" s="512"/>
      <c r="D224" s="512"/>
      <c r="E224" s="512"/>
      <c r="F224" s="512"/>
      <c r="G224" s="512"/>
      <c r="H224" s="512"/>
      <c r="I224" s="512"/>
      <c r="J224" s="512"/>
      <c r="K224" s="512"/>
      <c r="L224" s="512"/>
      <c r="M224" s="512"/>
      <c r="N224" s="512"/>
      <c r="O224" s="512"/>
      <c r="P224" s="156"/>
      <c r="Q224" s="512"/>
      <c r="R224" s="512"/>
      <c r="S224" s="512"/>
      <c r="T224" s="512"/>
      <c r="U224" s="512"/>
      <c r="V224" s="512"/>
      <c r="W224" s="512"/>
      <c r="X224" s="512"/>
      <c r="Y224" s="512"/>
      <c r="Z224" s="512"/>
      <c r="AA224" s="512"/>
      <c r="AB224" s="512"/>
      <c r="AC224" s="512"/>
    </row>
    <row r="225">
      <c r="A225" s="512"/>
      <c r="B225" s="512"/>
      <c r="C225" s="512"/>
      <c r="D225" s="512"/>
      <c r="E225" s="512"/>
      <c r="F225" s="512"/>
      <c r="G225" s="512"/>
      <c r="H225" s="512"/>
      <c r="I225" s="512"/>
      <c r="J225" s="512"/>
      <c r="K225" s="512"/>
      <c r="L225" s="512"/>
      <c r="M225" s="512"/>
      <c r="N225" s="512"/>
      <c r="O225" s="512"/>
      <c r="P225" s="156"/>
      <c r="Q225" s="512"/>
      <c r="R225" s="512"/>
      <c r="S225" s="512"/>
      <c r="T225" s="512"/>
      <c r="U225" s="512"/>
      <c r="V225" s="512"/>
      <c r="W225" s="512"/>
      <c r="X225" s="512"/>
      <c r="Y225" s="512"/>
      <c r="Z225" s="512"/>
      <c r="AA225" s="512"/>
      <c r="AB225" s="512"/>
      <c r="AC225" s="512"/>
    </row>
    <row r="226">
      <c r="A226" s="512"/>
      <c r="B226" s="512"/>
      <c r="C226" s="512"/>
      <c r="D226" s="512"/>
      <c r="E226" s="512"/>
      <c r="F226" s="512"/>
      <c r="G226" s="512"/>
      <c r="H226" s="512"/>
      <c r="I226" s="512"/>
      <c r="J226" s="512"/>
      <c r="K226" s="512"/>
      <c r="L226" s="512"/>
      <c r="M226" s="512"/>
      <c r="N226" s="512"/>
      <c r="O226" s="512"/>
      <c r="P226" s="156"/>
      <c r="Q226" s="512"/>
      <c r="R226" s="512"/>
      <c r="S226" s="512"/>
      <c r="T226" s="512"/>
      <c r="U226" s="512"/>
      <c r="V226" s="512"/>
      <c r="W226" s="512"/>
      <c r="X226" s="512"/>
      <c r="Y226" s="512"/>
      <c r="Z226" s="512"/>
      <c r="AA226" s="512"/>
      <c r="AB226" s="512"/>
      <c r="AC226" s="512"/>
    </row>
    <row r="227">
      <c r="A227" s="512"/>
      <c r="B227" s="512"/>
      <c r="C227" s="512"/>
      <c r="D227" s="512"/>
      <c r="E227" s="512"/>
      <c r="F227" s="512"/>
      <c r="G227" s="512"/>
      <c r="H227" s="512"/>
      <c r="I227" s="512"/>
      <c r="J227" s="512"/>
      <c r="K227" s="512"/>
      <c r="L227" s="512"/>
      <c r="M227" s="512"/>
      <c r="N227" s="512"/>
      <c r="O227" s="512"/>
      <c r="P227" s="156"/>
      <c r="Q227" s="512"/>
      <c r="R227" s="512"/>
      <c r="S227" s="512"/>
      <c r="T227" s="512"/>
      <c r="U227" s="512"/>
      <c r="V227" s="512"/>
      <c r="W227" s="512"/>
      <c r="X227" s="512"/>
      <c r="Y227" s="512"/>
      <c r="Z227" s="512"/>
      <c r="AA227" s="512"/>
      <c r="AB227" s="512"/>
      <c r="AC227" s="512"/>
    </row>
    <row r="228">
      <c r="A228" s="512"/>
      <c r="B228" s="512"/>
      <c r="C228" s="512"/>
      <c r="D228" s="512"/>
      <c r="E228" s="512"/>
      <c r="F228" s="512"/>
      <c r="G228" s="512"/>
      <c r="H228" s="512"/>
      <c r="I228" s="512"/>
      <c r="J228" s="512"/>
      <c r="K228" s="512"/>
      <c r="L228" s="512"/>
      <c r="M228" s="512"/>
      <c r="N228" s="512"/>
      <c r="O228" s="512"/>
      <c r="P228" s="156"/>
      <c r="Q228" s="512"/>
      <c r="R228" s="512"/>
      <c r="S228" s="512"/>
      <c r="T228" s="512"/>
      <c r="U228" s="512"/>
      <c r="V228" s="512"/>
      <c r="W228" s="512"/>
      <c r="X228" s="512"/>
      <c r="Y228" s="512"/>
      <c r="Z228" s="512"/>
      <c r="AA228" s="512"/>
      <c r="AB228" s="512"/>
      <c r="AC228" s="512"/>
    </row>
    <row r="229">
      <c r="A229" s="512"/>
      <c r="B229" s="512"/>
      <c r="C229" s="512"/>
      <c r="D229" s="512"/>
      <c r="E229" s="512"/>
      <c r="F229" s="512"/>
      <c r="G229" s="512"/>
      <c r="H229" s="512"/>
      <c r="I229" s="512"/>
      <c r="J229" s="512"/>
      <c r="K229" s="512"/>
      <c r="L229" s="512"/>
      <c r="M229" s="512"/>
      <c r="N229" s="512"/>
      <c r="O229" s="512"/>
      <c r="P229" s="156"/>
      <c r="Q229" s="512"/>
      <c r="R229" s="512"/>
      <c r="S229" s="512"/>
      <c r="T229" s="512"/>
      <c r="U229" s="512"/>
      <c r="V229" s="512"/>
      <c r="W229" s="512"/>
      <c r="X229" s="512"/>
      <c r="Y229" s="512"/>
      <c r="Z229" s="512"/>
      <c r="AA229" s="512"/>
      <c r="AB229" s="512"/>
      <c r="AC229" s="512"/>
    </row>
    <row r="230">
      <c r="A230" s="512"/>
      <c r="B230" s="512"/>
      <c r="C230" s="512"/>
      <c r="D230" s="512"/>
      <c r="E230" s="512"/>
      <c r="F230" s="512"/>
      <c r="G230" s="512"/>
      <c r="H230" s="512"/>
      <c r="I230" s="512"/>
      <c r="J230" s="512"/>
      <c r="K230" s="512"/>
      <c r="L230" s="512"/>
      <c r="M230" s="512"/>
      <c r="N230" s="512"/>
      <c r="O230" s="512"/>
      <c r="P230" s="156"/>
      <c r="Q230" s="512"/>
      <c r="R230" s="512"/>
      <c r="S230" s="512"/>
      <c r="T230" s="512"/>
      <c r="U230" s="512"/>
      <c r="V230" s="512"/>
      <c r="W230" s="512"/>
      <c r="X230" s="512"/>
      <c r="Y230" s="512"/>
      <c r="Z230" s="512"/>
      <c r="AA230" s="512"/>
      <c r="AB230" s="512"/>
      <c r="AC230" s="512"/>
    </row>
    <row r="231">
      <c r="A231" s="512"/>
      <c r="B231" s="512"/>
      <c r="C231" s="512"/>
      <c r="D231" s="512"/>
      <c r="E231" s="512"/>
      <c r="F231" s="512"/>
      <c r="G231" s="512"/>
      <c r="H231" s="512"/>
      <c r="I231" s="512"/>
      <c r="J231" s="512"/>
      <c r="K231" s="512"/>
      <c r="L231" s="512"/>
      <c r="M231" s="512"/>
      <c r="N231" s="512"/>
      <c r="O231" s="512"/>
      <c r="P231" s="156"/>
      <c r="Q231" s="512"/>
      <c r="R231" s="512"/>
      <c r="S231" s="512"/>
      <c r="T231" s="512"/>
      <c r="U231" s="512"/>
      <c r="V231" s="512"/>
      <c r="W231" s="512"/>
      <c r="X231" s="512"/>
      <c r="Y231" s="512"/>
      <c r="Z231" s="512"/>
      <c r="AA231" s="512"/>
      <c r="AB231" s="512"/>
      <c r="AC231" s="512"/>
    </row>
    <row r="232">
      <c r="A232" s="512"/>
      <c r="B232" s="512"/>
      <c r="C232" s="512"/>
      <c r="D232" s="512"/>
      <c r="E232" s="512"/>
      <c r="F232" s="512"/>
      <c r="G232" s="512"/>
      <c r="H232" s="512"/>
      <c r="I232" s="512"/>
      <c r="J232" s="512"/>
      <c r="K232" s="512"/>
      <c r="L232" s="512"/>
      <c r="M232" s="512"/>
      <c r="N232" s="512"/>
      <c r="O232" s="512"/>
      <c r="P232" s="156"/>
      <c r="Q232" s="512"/>
      <c r="R232" s="512"/>
      <c r="S232" s="512"/>
      <c r="T232" s="512"/>
      <c r="U232" s="512"/>
      <c r="V232" s="512"/>
      <c r="W232" s="512"/>
      <c r="X232" s="512"/>
      <c r="Y232" s="512"/>
      <c r="Z232" s="512"/>
      <c r="AA232" s="512"/>
      <c r="AB232" s="512"/>
      <c r="AC232" s="512"/>
    </row>
    <row r="233">
      <c r="A233" s="512"/>
      <c r="B233" s="512"/>
      <c r="C233" s="512"/>
      <c r="D233" s="512"/>
      <c r="E233" s="512"/>
      <c r="F233" s="512"/>
      <c r="G233" s="512"/>
      <c r="H233" s="512"/>
      <c r="I233" s="512"/>
      <c r="J233" s="512"/>
      <c r="K233" s="512"/>
      <c r="L233" s="512"/>
      <c r="M233" s="512"/>
      <c r="N233" s="512"/>
      <c r="O233" s="512"/>
      <c r="P233" s="156"/>
      <c r="Q233" s="512"/>
      <c r="R233" s="512"/>
      <c r="S233" s="512"/>
      <c r="T233" s="512"/>
      <c r="U233" s="512"/>
      <c r="V233" s="512"/>
      <c r="W233" s="512"/>
      <c r="X233" s="512"/>
      <c r="Y233" s="512"/>
      <c r="Z233" s="512"/>
      <c r="AA233" s="512"/>
      <c r="AB233" s="512"/>
      <c r="AC233" s="512"/>
    </row>
    <row r="234">
      <c r="A234" s="512"/>
      <c r="B234" s="512"/>
      <c r="C234" s="512"/>
      <c r="D234" s="512"/>
      <c r="E234" s="512"/>
      <c r="F234" s="512"/>
      <c r="G234" s="512"/>
      <c r="H234" s="512"/>
      <c r="I234" s="512"/>
      <c r="J234" s="512"/>
      <c r="K234" s="512"/>
      <c r="L234" s="512"/>
      <c r="M234" s="512"/>
      <c r="N234" s="512"/>
      <c r="O234" s="512"/>
      <c r="P234" s="156"/>
      <c r="Q234" s="512"/>
      <c r="R234" s="512"/>
      <c r="S234" s="512"/>
      <c r="T234" s="512"/>
      <c r="U234" s="512"/>
      <c r="V234" s="512"/>
      <c r="W234" s="512"/>
      <c r="X234" s="512"/>
      <c r="Y234" s="512"/>
      <c r="Z234" s="512"/>
      <c r="AA234" s="512"/>
      <c r="AB234" s="512"/>
      <c r="AC234" s="512"/>
    </row>
    <row r="235">
      <c r="A235" s="512"/>
      <c r="B235" s="512"/>
      <c r="C235" s="512"/>
      <c r="D235" s="512"/>
      <c r="E235" s="512"/>
      <c r="F235" s="512"/>
      <c r="G235" s="512"/>
      <c r="H235" s="512"/>
      <c r="I235" s="512"/>
      <c r="J235" s="512"/>
      <c r="K235" s="512"/>
      <c r="L235" s="512"/>
      <c r="M235" s="512"/>
      <c r="N235" s="512"/>
      <c r="O235" s="512"/>
      <c r="P235" s="156"/>
      <c r="Q235" s="512"/>
      <c r="R235" s="512"/>
      <c r="S235" s="512"/>
      <c r="T235" s="512"/>
      <c r="U235" s="512"/>
      <c r="V235" s="512"/>
      <c r="W235" s="512"/>
      <c r="X235" s="512"/>
      <c r="Y235" s="512"/>
      <c r="Z235" s="512"/>
      <c r="AA235" s="512"/>
      <c r="AB235" s="512"/>
      <c r="AC235" s="512"/>
    </row>
    <row r="236">
      <c r="A236" s="512"/>
      <c r="B236" s="512"/>
      <c r="C236" s="512"/>
      <c r="D236" s="512"/>
      <c r="E236" s="512"/>
      <c r="F236" s="512"/>
      <c r="G236" s="512"/>
      <c r="H236" s="512"/>
      <c r="I236" s="512"/>
      <c r="J236" s="512"/>
      <c r="K236" s="512"/>
      <c r="L236" s="512"/>
      <c r="M236" s="512"/>
      <c r="N236" s="512"/>
      <c r="O236" s="512"/>
      <c r="P236" s="156"/>
      <c r="Q236" s="512"/>
      <c r="R236" s="512"/>
      <c r="S236" s="512"/>
      <c r="T236" s="512"/>
      <c r="U236" s="512"/>
      <c r="V236" s="512"/>
      <c r="W236" s="512"/>
      <c r="X236" s="512"/>
      <c r="Y236" s="512"/>
      <c r="Z236" s="512"/>
      <c r="AA236" s="512"/>
      <c r="AB236" s="512"/>
      <c r="AC236" s="512"/>
    </row>
    <row r="237">
      <c r="A237" s="512"/>
      <c r="B237" s="512"/>
      <c r="C237" s="512"/>
      <c r="D237" s="512"/>
      <c r="E237" s="512"/>
      <c r="F237" s="512"/>
      <c r="G237" s="512"/>
      <c r="H237" s="512"/>
      <c r="I237" s="512"/>
      <c r="J237" s="512"/>
      <c r="K237" s="512"/>
      <c r="L237" s="512"/>
      <c r="M237" s="512"/>
      <c r="N237" s="512"/>
      <c r="O237" s="512"/>
      <c r="P237" s="156"/>
      <c r="Q237" s="512"/>
      <c r="R237" s="512"/>
      <c r="S237" s="512"/>
      <c r="T237" s="512"/>
      <c r="U237" s="512"/>
      <c r="V237" s="512"/>
      <c r="W237" s="512"/>
      <c r="X237" s="512"/>
      <c r="Y237" s="512"/>
      <c r="Z237" s="512"/>
      <c r="AA237" s="512"/>
      <c r="AB237" s="512"/>
      <c r="AC237" s="512"/>
    </row>
    <row r="238">
      <c r="A238" s="512"/>
      <c r="B238" s="512"/>
      <c r="C238" s="512"/>
      <c r="D238" s="512"/>
      <c r="E238" s="512"/>
      <c r="F238" s="512"/>
      <c r="G238" s="512"/>
      <c r="H238" s="512"/>
      <c r="I238" s="512"/>
      <c r="J238" s="512"/>
      <c r="K238" s="512"/>
      <c r="L238" s="512"/>
      <c r="M238" s="512"/>
      <c r="N238" s="512"/>
      <c r="O238" s="512"/>
      <c r="P238" s="156"/>
      <c r="Q238" s="512"/>
      <c r="R238" s="512"/>
      <c r="S238" s="512"/>
      <c r="T238" s="512"/>
      <c r="U238" s="512"/>
      <c r="V238" s="512"/>
      <c r="W238" s="512"/>
      <c r="X238" s="512"/>
      <c r="Y238" s="512"/>
      <c r="Z238" s="512"/>
      <c r="AA238" s="512"/>
      <c r="AB238" s="512"/>
      <c r="AC238" s="512"/>
    </row>
    <row r="239">
      <c r="A239" s="512"/>
      <c r="B239" s="512"/>
      <c r="C239" s="512"/>
      <c r="D239" s="512"/>
      <c r="E239" s="512"/>
      <c r="F239" s="512"/>
      <c r="G239" s="512"/>
      <c r="H239" s="512"/>
      <c r="I239" s="512"/>
      <c r="J239" s="512"/>
      <c r="K239" s="512"/>
      <c r="L239" s="512"/>
      <c r="M239" s="512"/>
      <c r="N239" s="512"/>
      <c r="O239" s="512"/>
      <c r="P239" s="156"/>
      <c r="Q239" s="512"/>
      <c r="R239" s="512"/>
      <c r="S239" s="512"/>
      <c r="T239" s="512"/>
      <c r="U239" s="512"/>
      <c r="V239" s="512"/>
      <c r="W239" s="512"/>
      <c r="X239" s="512"/>
      <c r="Y239" s="512"/>
      <c r="Z239" s="512"/>
      <c r="AA239" s="512"/>
      <c r="AB239" s="512"/>
      <c r="AC239" s="512"/>
    </row>
    <row r="240">
      <c r="A240" s="512"/>
      <c r="B240" s="512"/>
      <c r="C240" s="512"/>
      <c r="D240" s="512"/>
      <c r="E240" s="512"/>
      <c r="F240" s="512"/>
      <c r="G240" s="512"/>
      <c r="H240" s="512"/>
      <c r="I240" s="512"/>
      <c r="J240" s="512"/>
      <c r="K240" s="512"/>
      <c r="L240" s="512"/>
      <c r="M240" s="512"/>
      <c r="N240" s="512"/>
      <c r="O240" s="512"/>
      <c r="P240" s="156"/>
      <c r="Q240" s="512"/>
      <c r="R240" s="512"/>
      <c r="S240" s="512"/>
      <c r="T240" s="512"/>
      <c r="U240" s="512"/>
      <c r="V240" s="512"/>
      <c r="W240" s="512"/>
      <c r="X240" s="512"/>
      <c r="Y240" s="512"/>
      <c r="Z240" s="512"/>
      <c r="AA240" s="512"/>
      <c r="AB240" s="512"/>
      <c r="AC240" s="512"/>
    </row>
    <row r="241">
      <c r="A241" s="512"/>
      <c r="B241" s="512"/>
      <c r="C241" s="512"/>
      <c r="D241" s="512"/>
      <c r="E241" s="512"/>
      <c r="F241" s="512"/>
      <c r="G241" s="512"/>
      <c r="H241" s="512"/>
      <c r="I241" s="512"/>
      <c r="J241" s="512"/>
      <c r="K241" s="512"/>
      <c r="L241" s="512"/>
      <c r="M241" s="512"/>
      <c r="N241" s="512"/>
      <c r="O241" s="512"/>
      <c r="P241" s="156"/>
      <c r="Q241" s="512"/>
      <c r="R241" s="512"/>
      <c r="S241" s="512"/>
      <c r="T241" s="512"/>
      <c r="U241" s="512"/>
      <c r="V241" s="512"/>
      <c r="W241" s="512"/>
      <c r="X241" s="512"/>
      <c r="Y241" s="512"/>
      <c r="Z241" s="512"/>
      <c r="AA241" s="512"/>
      <c r="AB241" s="512"/>
      <c r="AC241" s="512"/>
    </row>
    <row r="242">
      <c r="A242" s="512"/>
      <c r="B242" s="512"/>
      <c r="C242" s="512"/>
      <c r="D242" s="512"/>
      <c r="E242" s="512"/>
      <c r="F242" s="512"/>
      <c r="G242" s="512"/>
      <c r="H242" s="512"/>
      <c r="I242" s="512"/>
      <c r="J242" s="512"/>
      <c r="K242" s="512"/>
      <c r="L242" s="512"/>
      <c r="M242" s="512"/>
      <c r="N242" s="512"/>
      <c r="O242" s="512"/>
      <c r="P242" s="156"/>
      <c r="Q242" s="512"/>
      <c r="R242" s="512"/>
      <c r="S242" s="512"/>
      <c r="T242" s="512"/>
      <c r="U242" s="512"/>
      <c r="V242" s="512"/>
      <c r="W242" s="512"/>
      <c r="X242" s="512"/>
      <c r="Y242" s="512"/>
      <c r="Z242" s="512"/>
      <c r="AA242" s="512"/>
      <c r="AB242" s="512"/>
      <c r="AC242" s="512"/>
    </row>
    <row r="243">
      <c r="A243" s="512"/>
      <c r="B243" s="512"/>
      <c r="C243" s="512"/>
      <c r="D243" s="512"/>
      <c r="E243" s="512"/>
      <c r="F243" s="512"/>
      <c r="G243" s="512"/>
      <c r="H243" s="512"/>
      <c r="I243" s="512"/>
      <c r="J243" s="512"/>
      <c r="K243" s="512"/>
      <c r="L243" s="512"/>
      <c r="M243" s="512"/>
      <c r="N243" s="512"/>
      <c r="O243" s="512"/>
      <c r="P243" s="156"/>
      <c r="Q243" s="512"/>
      <c r="R243" s="512"/>
      <c r="S243" s="512"/>
      <c r="T243" s="512"/>
      <c r="U243" s="512"/>
      <c r="V243" s="512"/>
      <c r="W243" s="512"/>
      <c r="X243" s="512"/>
      <c r="Y243" s="512"/>
      <c r="Z243" s="512"/>
      <c r="AA243" s="512"/>
      <c r="AB243" s="512"/>
      <c r="AC243" s="512"/>
    </row>
    <row r="244">
      <c r="A244" s="512"/>
      <c r="B244" s="512"/>
      <c r="C244" s="512"/>
      <c r="D244" s="512"/>
      <c r="E244" s="512"/>
      <c r="F244" s="512"/>
      <c r="G244" s="512"/>
      <c r="H244" s="512"/>
      <c r="I244" s="512"/>
      <c r="J244" s="512"/>
      <c r="K244" s="512"/>
      <c r="L244" s="512"/>
      <c r="M244" s="512"/>
      <c r="N244" s="512"/>
      <c r="O244" s="512"/>
      <c r="P244" s="156"/>
      <c r="Q244" s="512"/>
      <c r="R244" s="512"/>
      <c r="S244" s="512"/>
      <c r="T244" s="512"/>
      <c r="U244" s="512"/>
      <c r="V244" s="512"/>
      <c r="W244" s="512"/>
      <c r="X244" s="512"/>
      <c r="Y244" s="512"/>
      <c r="Z244" s="512"/>
      <c r="AA244" s="512"/>
      <c r="AB244" s="512"/>
      <c r="AC244" s="512"/>
    </row>
    <row r="245">
      <c r="A245" s="512"/>
      <c r="B245" s="512"/>
      <c r="C245" s="512"/>
      <c r="D245" s="512"/>
      <c r="E245" s="512"/>
      <c r="F245" s="512"/>
      <c r="G245" s="512"/>
      <c r="H245" s="512"/>
      <c r="I245" s="512"/>
      <c r="J245" s="512"/>
      <c r="K245" s="512"/>
      <c r="L245" s="512"/>
      <c r="M245" s="512"/>
      <c r="N245" s="512"/>
      <c r="O245" s="512"/>
      <c r="P245" s="156"/>
      <c r="Q245" s="512"/>
      <c r="R245" s="512"/>
      <c r="S245" s="512"/>
      <c r="T245" s="512"/>
      <c r="U245" s="512"/>
      <c r="V245" s="512"/>
      <c r="W245" s="512"/>
      <c r="X245" s="512"/>
      <c r="Y245" s="512"/>
      <c r="Z245" s="512"/>
      <c r="AA245" s="512"/>
      <c r="AB245" s="512"/>
      <c r="AC245" s="512"/>
    </row>
    <row r="246">
      <c r="A246" s="512"/>
      <c r="B246" s="512"/>
      <c r="C246" s="512"/>
      <c r="D246" s="512"/>
      <c r="E246" s="512"/>
      <c r="F246" s="512"/>
      <c r="G246" s="512"/>
      <c r="H246" s="512"/>
      <c r="I246" s="512"/>
      <c r="J246" s="512"/>
      <c r="K246" s="512"/>
      <c r="L246" s="512"/>
      <c r="M246" s="512"/>
      <c r="N246" s="512"/>
      <c r="O246" s="512"/>
      <c r="P246" s="156"/>
      <c r="Q246" s="512"/>
      <c r="R246" s="512"/>
      <c r="S246" s="512"/>
      <c r="T246" s="512"/>
      <c r="U246" s="512"/>
      <c r="V246" s="512"/>
      <c r="W246" s="512"/>
      <c r="X246" s="512"/>
      <c r="Y246" s="512"/>
      <c r="Z246" s="512"/>
      <c r="AA246" s="512"/>
      <c r="AB246" s="512"/>
      <c r="AC246" s="512"/>
    </row>
    <row r="247">
      <c r="A247" s="512"/>
      <c r="B247" s="512"/>
      <c r="C247" s="512"/>
      <c r="D247" s="512"/>
      <c r="E247" s="512"/>
      <c r="F247" s="512"/>
      <c r="G247" s="512"/>
      <c r="H247" s="512"/>
      <c r="I247" s="512"/>
      <c r="J247" s="512"/>
      <c r="K247" s="512"/>
      <c r="L247" s="512"/>
      <c r="M247" s="512"/>
      <c r="N247" s="512"/>
      <c r="O247" s="512"/>
      <c r="P247" s="156"/>
      <c r="Q247" s="512"/>
      <c r="R247" s="512"/>
      <c r="S247" s="512"/>
      <c r="T247" s="512"/>
      <c r="U247" s="512"/>
      <c r="V247" s="512"/>
      <c r="W247" s="512"/>
      <c r="X247" s="512"/>
      <c r="Y247" s="512"/>
      <c r="Z247" s="512"/>
      <c r="AA247" s="512"/>
      <c r="AB247" s="512"/>
      <c r="AC247" s="512"/>
    </row>
    <row r="248">
      <c r="A248" s="512"/>
      <c r="B248" s="512"/>
      <c r="C248" s="512"/>
      <c r="D248" s="512"/>
      <c r="E248" s="512"/>
      <c r="F248" s="512"/>
      <c r="G248" s="512"/>
      <c r="H248" s="512"/>
      <c r="I248" s="512"/>
      <c r="J248" s="512"/>
      <c r="K248" s="512"/>
      <c r="L248" s="512"/>
      <c r="M248" s="512"/>
      <c r="N248" s="512"/>
      <c r="O248" s="512"/>
      <c r="P248" s="156"/>
      <c r="Q248" s="512"/>
      <c r="R248" s="512"/>
      <c r="S248" s="512"/>
      <c r="T248" s="512"/>
      <c r="U248" s="512"/>
      <c r="V248" s="512"/>
      <c r="W248" s="512"/>
      <c r="X248" s="512"/>
      <c r="Y248" s="512"/>
      <c r="Z248" s="512"/>
      <c r="AA248" s="512"/>
      <c r="AB248" s="512"/>
      <c r="AC248" s="512"/>
    </row>
    <row r="249">
      <c r="A249" s="512"/>
      <c r="B249" s="512"/>
      <c r="C249" s="512"/>
      <c r="D249" s="512"/>
      <c r="E249" s="512"/>
      <c r="F249" s="512"/>
      <c r="G249" s="512"/>
      <c r="H249" s="512"/>
      <c r="I249" s="512"/>
      <c r="J249" s="512"/>
      <c r="K249" s="512"/>
      <c r="L249" s="512"/>
      <c r="M249" s="512"/>
      <c r="N249" s="512"/>
      <c r="O249" s="512"/>
      <c r="P249" s="156"/>
      <c r="Q249" s="512"/>
      <c r="R249" s="512"/>
      <c r="S249" s="512"/>
      <c r="T249" s="512"/>
      <c r="U249" s="512"/>
      <c r="V249" s="512"/>
      <c r="W249" s="512"/>
      <c r="X249" s="512"/>
      <c r="Y249" s="512"/>
      <c r="Z249" s="512"/>
      <c r="AA249" s="512"/>
      <c r="AB249" s="512"/>
      <c r="AC249" s="512"/>
    </row>
    <row r="250">
      <c r="A250" s="512"/>
      <c r="B250" s="512"/>
      <c r="C250" s="512"/>
      <c r="D250" s="512"/>
      <c r="E250" s="512"/>
      <c r="F250" s="512"/>
      <c r="G250" s="512"/>
      <c r="H250" s="512"/>
      <c r="I250" s="512"/>
      <c r="J250" s="512"/>
      <c r="K250" s="512"/>
      <c r="L250" s="512"/>
      <c r="M250" s="512"/>
      <c r="N250" s="512"/>
      <c r="O250" s="512"/>
      <c r="P250" s="156"/>
      <c r="Q250" s="512"/>
      <c r="R250" s="512"/>
      <c r="S250" s="512"/>
      <c r="T250" s="512"/>
      <c r="U250" s="512"/>
      <c r="V250" s="512"/>
      <c r="W250" s="512"/>
      <c r="X250" s="512"/>
      <c r="Y250" s="512"/>
      <c r="Z250" s="512"/>
      <c r="AA250" s="512"/>
      <c r="AB250" s="512"/>
      <c r="AC250" s="512"/>
    </row>
    <row r="251">
      <c r="A251" s="512"/>
      <c r="B251" s="512"/>
      <c r="C251" s="512"/>
      <c r="D251" s="512"/>
      <c r="E251" s="512"/>
      <c r="F251" s="512"/>
      <c r="G251" s="512"/>
      <c r="H251" s="512"/>
      <c r="I251" s="512"/>
      <c r="J251" s="512"/>
      <c r="K251" s="512"/>
      <c r="L251" s="512"/>
      <c r="M251" s="512"/>
      <c r="N251" s="512"/>
      <c r="O251" s="512"/>
      <c r="P251" s="156"/>
      <c r="Q251" s="512"/>
      <c r="R251" s="512"/>
      <c r="S251" s="512"/>
      <c r="T251" s="512"/>
      <c r="U251" s="512"/>
      <c r="V251" s="512"/>
      <c r="W251" s="512"/>
      <c r="X251" s="512"/>
      <c r="Y251" s="512"/>
      <c r="Z251" s="512"/>
      <c r="AA251" s="512"/>
      <c r="AB251" s="512"/>
      <c r="AC251" s="512"/>
    </row>
    <row r="252">
      <c r="A252" s="512"/>
      <c r="B252" s="512"/>
      <c r="C252" s="512"/>
      <c r="D252" s="512"/>
      <c r="E252" s="512"/>
      <c r="F252" s="512"/>
      <c r="G252" s="512"/>
      <c r="H252" s="512"/>
      <c r="I252" s="512"/>
      <c r="J252" s="512"/>
      <c r="K252" s="512"/>
      <c r="L252" s="512"/>
      <c r="M252" s="512"/>
      <c r="N252" s="512"/>
      <c r="O252" s="512"/>
      <c r="P252" s="156"/>
      <c r="Q252" s="512"/>
      <c r="R252" s="512"/>
      <c r="S252" s="512"/>
      <c r="T252" s="512"/>
      <c r="U252" s="512"/>
      <c r="V252" s="512"/>
      <c r="W252" s="512"/>
      <c r="X252" s="512"/>
      <c r="Y252" s="512"/>
      <c r="Z252" s="512"/>
      <c r="AA252" s="512"/>
      <c r="AB252" s="512"/>
      <c r="AC252" s="512"/>
    </row>
    <row r="253">
      <c r="A253" s="512"/>
      <c r="B253" s="512"/>
      <c r="C253" s="512"/>
      <c r="D253" s="512"/>
      <c r="E253" s="512"/>
      <c r="F253" s="512"/>
      <c r="G253" s="512"/>
      <c r="H253" s="512"/>
      <c r="I253" s="512"/>
      <c r="J253" s="512"/>
      <c r="K253" s="512"/>
      <c r="L253" s="512"/>
      <c r="M253" s="512"/>
      <c r="N253" s="512"/>
      <c r="O253" s="512"/>
      <c r="P253" s="156"/>
      <c r="Q253" s="512"/>
      <c r="R253" s="512"/>
      <c r="S253" s="512"/>
      <c r="T253" s="512"/>
      <c r="U253" s="512"/>
      <c r="V253" s="512"/>
      <c r="W253" s="512"/>
      <c r="X253" s="512"/>
      <c r="Y253" s="512"/>
      <c r="Z253" s="512"/>
      <c r="AA253" s="512"/>
      <c r="AB253" s="512"/>
      <c r="AC253" s="512"/>
    </row>
    <row r="254">
      <c r="A254" s="512"/>
      <c r="B254" s="512"/>
      <c r="C254" s="512"/>
      <c r="D254" s="512"/>
      <c r="E254" s="512"/>
      <c r="F254" s="512"/>
      <c r="G254" s="512"/>
      <c r="H254" s="512"/>
      <c r="I254" s="512"/>
      <c r="J254" s="512"/>
      <c r="K254" s="512"/>
      <c r="L254" s="512"/>
      <c r="M254" s="512"/>
      <c r="N254" s="512"/>
      <c r="O254" s="512"/>
      <c r="P254" s="156"/>
      <c r="Q254" s="512"/>
      <c r="R254" s="512"/>
      <c r="S254" s="512"/>
      <c r="T254" s="512"/>
      <c r="U254" s="512"/>
      <c r="V254" s="512"/>
      <c r="W254" s="512"/>
      <c r="X254" s="512"/>
      <c r="Y254" s="512"/>
      <c r="Z254" s="512"/>
      <c r="AA254" s="512"/>
      <c r="AB254" s="512"/>
      <c r="AC254" s="512"/>
    </row>
    <row r="255">
      <c r="A255" s="512"/>
      <c r="B255" s="512"/>
      <c r="C255" s="512"/>
      <c r="D255" s="512"/>
      <c r="E255" s="512"/>
      <c r="F255" s="512"/>
      <c r="G255" s="512"/>
      <c r="H255" s="512"/>
      <c r="I255" s="512"/>
      <c r="J255" s="512"/>
      <c r="K255" s="512"/>
      <c r="L255" s="512"/>
      <c r="M255" s="512"/>
      <c r="N255" s="512"/>
      <c r="O255" s="512"/>
      <c r="P255" s="156"/>
      <c r="Q255" s="512"/>
      <c r="R255" s="512"/>
      <c r="S255" s="512"/>
      <c r="T255" s="512"/>
      <c r="U255" s="512"/>
      <c r="V255" s="512"/>
      <c r="W255" s="512"/>
      <c r="X255" s="512"/>
      <c r="Y255" s="512"/>
      <c r="Z255" s="512"/>
      <c r="AA255" s="512"/>
      <c r="AB255" s="512"/>
      <c r="AC255" s="512"/>
    </row>
    <row r="256">
      <c r="A256" s="512"/>
      <c r="B256" s="512"/>
      <c r="C256" s="512"/>
      <c r="D256" s="512"/>
      <c r="E256" s="512"/>
      <c r="F256" s="512"/>
      <c r="G256" s="512"/>
      <c r="H256" s="512"/>
      <c r="I256" s="512"/>
      <c r="J256" s="512"/>
      <c r="K256" s="512"/>
      <c r="L256" s="512"/>
      <c r="M256" s="512"/>
      <c r="N256" s="512"/>
      <c r="O256" s="512"/>
      <c r="P256" s="156"/>
      <c r="Q256" s="512"/>
      <c r="R256" s="512"/>
      <c r="S256" s="512"/>
      <c r="T256" s="512"/>
      <c r="U256" s="512"/>
      <c r="V256" s="512"/>
      <c r="W256" s="512"/>
      <c r="X256" s="512"/>
      <c r="Y256" s="512"/>
      <c r="Z256" s="512"/>
      <c r="AA256" s="512"/>
      <c r="AB256" s="512"/>
      <c r="AC256" s="512"/>
    </row>
    <row r="257">
      <c r="A257" s="512"/>
      <c r="B257" s="512"/>
      <c r="C257" s="512"/>
      <c r="D257" s="512"/>
      <c r="E257" s="512"/>
      <c r="F257" s="512"/>
      <c r="G257" s="512"/>
      <c r="H257" s="512"/>
      <c r="I257" s="512"/>
      <c r="J257" s="512"/>
      <c r="K257" s="512"/>
      <c r="L257" s="512"/>
      <c r="M257" s="512"/>
      <c r="N257" s="512"/>
      <c r="O257" s="512"/>
      <c r="P257" s="156"/>
      <c r="Q257" s="512"/>
      <c r="R257" s="512"/>
      <c r="S257" s="512"/>
      <c r="T257" s="512"/>
      <c r="U257" s="512"/>
      <c r="V257" s="512"/>
      <c r="W257" s="512"/>
      <c r="X257" s="512"/>
      <c r="Y257" s="512"/>
      <c r="Z257" s="512"/>
      <c r="AA257" s="512"/>
      <c r="AB257" s="512"/>
      <c r="AC257" s="512"/>
    </row>
    <row r="258">
      <c r="A258" s="512"/>
      <c r="B258" s="512"/>
      <c r="C258" s="512"/>
      <c r="D258" s="512"/>
      <c r="E258" s="512"/>
      <c r="F258" s="512"/>
      <c r="G258" s="512"/>
      <c r="H258" s="512"/>
      <c r="I258" s="512"/>
      <c r="J258" s="512"/>
      <c r="K258" s="512"/>
      <c r="L258" s="512"/>
      <c r="M258" s="512"/>
      <c r="N258" s="512"/>
      <c r="O258" s="512"/>
      <c r="P258" s="156"/>
      <c r="Q258" s="512"/>
      <c r="R258" s="512"/>
      <c r="S258" s="512"/>
      <c r="T258" s="512"/>
      <c r="U258" s="512"/>
      <c r="V258" s="512"/>
      <c r="W258" s="512"/>
      <c r="X258" s="512"/>
      <c r="Y258" s="512"/>
      <c r="Z258" s="512"/>
      <c r="AA258" s="512"/>
      <c r="AB258" s="512"/>
      <c r="AC258" s="512"/>
    </row>
    <row r="259">
      <c r="A259" s="512"/>
      <c r="B259" s="512"/>
      <c r="C259" s="512"/>
      <c r="D259" s="512"/>
      <c r="E259" s="512"/>
      <c r="F259" s="512"/>
      <c r="G259" s="512"/>
      <c r="H259" s="512"/>
      <c r="I259" s="512"/>
      <c r="J259" s="512"/>
      <c r="K259" s="512"/>
      <c r="L259" s="512"/>
      <c r="M259" s="512"/>
      <c r="N259" s="512"/>
      <c r="O259" s="512"/>
      <c r="P259" s="156"/>
      <c r="Q259" s="512"/>
      <c r="R259" s="512"/>
      <c r="S259" s="512"/>
      <c r="T259" s="512"/>
      <c r="U259" s="512"/>
      <c r="V259" s="512"/>
      <c r="W259" s="512"/>
      <c r="X259" s="512"/>
      <c r="Y259" s="512"/>
      <c r="Z259" s="512"/>
      <c r="AA259" s="512"/>
      <c r="AB259" s="512"/>
      <c r="AC259" s="512"/>
    </row>
    <row r="260">
      <c r="A260" s="512"/>
      <c r="B260" s="512"/>
      <c r="C260" s="512"/>
      <c r="D260" s="512"/>
      <c r="E260" s="512"/>
      <c r="F260" s="512"/>
      <c r="G260" s="512"/>
      <c r="H260" s="512"/>
      <c r="I260" s="512"/>
      <c r="J260" s="512"/>
      <c r="K260" s="512"/>
      <c r="L260" s="512"/>
      <c r="M260" s="512"/>
      <c r="N260" s="512"/>
      <c r="O260" s="512"/>
      <c r="P260" s="156"/>
      <c r="Q260" s="512"/>
      <c r="R260" s="512"/>
      <c r="S260" s="512"/>
      <c r="T260" s="512"/>
      <c r="U260" s="512"/>
      <c r="V260" s="512"/>
      <c r="W260" s="512"/>
      <c r="X260" s="512"/>
      <c r="Y260" s="512"/>
      <c r="Z260" s="512"/>
      <c r="AA260" s="512"/>
      <c r="AB260" s="512"/>
      <c r="AC260" s="512"/>
    </row>
    <row r="261">
      <c r="A261" s="512"/>
      <c r="B261" s="512"/>
      <c r="C261" s="512"/>
      <c r="D261" s="512"/>
      <c r="E261" s="512"/>
      <c r="F261" s="512"/>
      <c r="G261" s="512"/>
      <c r="H261" s="512"/>
      <c r="I261" s="512"/>
      <c r="J261" s="512"/>
      <c r="K261" s="512"/>
      <c r="L261" s="512"/>
      <c r="M261" s="512"/>
      <c r="N261" s="512"/>
      <c r="O261" s="512"/>
      <c r="P261" s="156"/>
      <c r="Q261" s="512"/>
      <c r="R261" s="512"/>
      <c r="S261" s="512"/>
      <c r="T261" s="512"/>
      <c r="U261" s="512"/>
      <c r="V261" s="512"/>
      <c r="W261" s="512"/>
      <c r="X261" s="512"/>
      <c r="Y261" s="512"/>
      <c r="Z261" s="512"/>
      <c r="AA261" s="512"/>
      <c r="AB261" s="512"/>
      <c r="AC261" s="512"/>
    </row>
    <row r="262">
      <c r="A262" s="512"/>
      <c r="B262" s="512"/>
      <c r="C262" s="512"/>
      <c r="D262" s="512"/>
      <c r="E262" s="512"/>
      <c r="F262" s="512"/>
      <c r="G262" s="512"/>
      <c r="H262" s="512"/>
      <c r="I262" s="512"/>
      <c r="J262" s="512"/>
      <c r="K262" s="512"/>
      <c r="L262" s="512"/>
      <c r="M262" s="512"/>
      <c r="N262" s="512"/>
      <c r="O262" s="512"/>
      <c r="P262" s="156"/>
      <c r="Q262" s="512"/>
      <c r="R262" s="512"/>
      <c r="S262" s="512"/>
      <c r="T262" s="512"/>
      <c r="U262" s="512"/>
      <c r="V262" s="512"/>
      <c r="W262" s="512"/>
      <c r="X262" s="512"/>
      <c r="Y262" s="512"/>
      <c r="Z262" s="512"/>
      <c r="AA262" s="512"/>
      <c r="AB262" s="512"/>
      <c r="AC262" s="512"/>
    </row>
    <row r="263">
      <c r="A263" s="512"/>
      <c r="B263" s="512"/>
      <c r="C263" s="512"/>
      <c r="D263" s="512"/>
      <c r="E263" s="512"/>
      <c r="F263" s="512"/>
      <c r="G263" s="512"/>
      <c r="H263" s="512"/>
      <c r="I263" s="512"/>
      <c r="J263" s="512"/>
      <c r="K263" s="512"/>
      <c r="L263" s="512"/>
      <c r="M263" s="512"/>
      <c r="N263" s="512"/>
      <c r="O263" s="512"/>
      <c r="P263" s="156"/>
      <c r="Q263" s="512"/>
      <c r="R263" s="512"/>
      <c r="S263" s="512"/>
      <c r="T263" s="512"/>
      <c r="U263" s="512"/>
      <c r="V263" s="512"/>
      <c r="W263" s="512"/>
      <c r="X263" s="512"/>
      <c r="Y263" s="512"/>
      <c r="Z263" s="512"/>
      <c r="AA263" s="512"/>
      <c r="AB263" s="512"/>
      <c r="AC263" s="512"/>
    </row>
    <row r="264">
      <c r="A264" s="512"/>
      <c r="B264" s="512"/>
      <c r="C264" s="512"/>
      <c r="D264" s="512"/>
      <c r="E264" s="512"/>
      <c r="F264" s="512"/>
      <c r="G264" s="512"/>
      <c r="H264" s="512"/>
      <c r="I264" s="512"/>
      <c r="J264" s="512"/>
      <c r="K264" s="512"/>
      <c r="L264" s="512"/>
      <c r="M264" s="512"/>
      <c r="N264" s="512"/>
      <c r="O264" s="512"/>
      <c r="P264" s="156"/>
      <c r="Q264" s="512"/>
      <c r="R264" s="512"/>
      <c r="S264" s="512"/>
      <c r="T264" s="512"/>
      <c r="U264" s="512"/>
      <c r="V264" s="512"/>
      <c r="W264" s="512"/>
      <c r="X264" s="512"/>
      <c r="Y264" s="512"/>
      <c r="Z264" s="512"/>
      <c r="AA264" s="512"/>
      <c r="AB264" s="512"/>
      <c r="AC264" s="512"/>
    </row>
    <row r="265">
      <c r="A265" s="512"/>
      <c r="B265" s="512"/>
      <c r="C265" s="512"/>
      <c r="D265" s="512"/>
      <c r="E265" s="512"/>
      <c r="F265" s="512"/>
      <c r="G265" s="512"/>
      <c r="H265" s="512"/>
      <c r="I265" s="512"/>
      <c r="J265" s="512"/>
      <c r="K265" s="512"/>
      <c r="L265" s="512"/>
      <c r="M265" s="512"/>
      <c r="N265" s="512"/>
      <c r="O265" s="512"/>
      <c r="P265" s="156"/>
      <c r="Q265" s="512"/>
      <c r="R265" s="512"/>
      <c r="S265" s="512"/>
      <c r="T265" s="512"/>
      <c r="U265" s="512"/>
      <c r="V265" s="512"/>
      <c r="W265" s="512"/>
      <c r="X265" s="512"/>
      <c r="Y265" s="512"/>
      <c r="Z265" s="512"/>
      <c r="AA265" s="512"/>
      <c r="AB265" s="512"/>
      <c r="AC265" s="512"/>
    </row>
    <row r="266">
      <c r="A266" s="512"/>
      <c r="B266" s="512"/>
      <c r="C266" s="512"/>
      <c r="D266" s="512"/>
      <c r="E266" s="512"/>
      <c r="F266" s="512"/>
      <c r="G266" s="512"/>
      <c r="H266" s="512"/>
      <c r="I266" s="512"/>
      <c r="J266" s="512"/>
      <c r="K266" s="512"/>
      <c r="L266" s="512"/>
      <c r="M266" s="512"/>
      <c r="N266" s="512"/>
      <c r="O266" s="512"/>
      <c r="P266" s="156"/>
      <c r="Q266" s="512"/>
      <c r="R266" s="512"/>
      <c r="S266" s="512"/>
      <c r="T266" s="512"/>
      <c r="U266" s="512"/>
      <c r="V266" s="512"/>
      <c r="W266" s="512"/>
      <c r="X266" s="512"/>
      <c r="Y266" s="512"/>
      <c r="Z266" s="512"/>
      <c r="AA266" s="512"/>
      <c r="AB266" s="512"/>
      <c r="AC266" s="512"/>
    </row>
    <row r="267">
      <c r="A267" s="512"/>
      <c r="B267" s="512"/>
      <c r="C267" s="512"/>
      <c r="D267" s="512"/>
      <c r="E267" s="512"/>
      <c r="F267" s="512"/>
      <c r="G267" s="512"/>
      <c r="H267" s="512"/>
      <c r="I267" s="512"/>
      <c r="J267" s="512"/>
      <c r="K267" s="512"/>
      <c r="L267" s="512"/>
      <c r="M267" s="512"/>
      <c r="N267" s="512"/>
      <c r="O267" s="512"/>
      <c r="P267" s="156"/>
      <c r="Q267" s="512"/>
      <c r="R267" s="512"/>
      <c r="S267" s="512"/>
      <c r="T267" s="512"/>
      <c r="U267" s="512"/>
      <c r="V267" s="512"/>
      <c r="W267" s="512"/>
      <c r="X267" s="512"/>
      <c r="Y267" s="512"/>
      <c r="Z267" s="512"/>
      <c r="AA267" s="512"/>
      <c r="AB267" s="512"/>
      <c r="AC267" s="512"/>
    </row>
    <row r="268">
      <c r="A268" s="512"/>
      <c r="B268" s="512"/>
      <c r="C268" s="512"/>
      <c r="D268" s="512"/>
      <c r="E268" s="512"/>
      <c r="F268" s="512"/>
      <c r="G268" s="512"/>
      <c r="H268" s="512"/>
      <c r="I268" s="512"/>
      <c r="J268" s="512"/>
      <c r="K268" s="512"/>
      <c r="L268" s="512"/>
      <c r="M268" s="512"/>
      <c r="N268" s="512"/>
      <c r="O268" s="512"/>
      <c r="P268" s="156"/>
      <c r="Q268" s="512"/>
      <c r="R268" s="512"/>
      <c r="S268" s="512"/>
      <c r="T268" s="512"/>
      <c r="U268" s="512"/>
      <c r="V268" s="512"/>
      <c r="W268" s="512"/>
      <c r="X268" s="512"/>
      <c r="Y268" s="512"/>
      <c r="Z268" s="512"/>
      <c r="AA268" s="512"/>
      <c r="AB268" s="512"/>
      <c r="AC268" s="512"/>
    </row>
    <row r="269">
      <c r="A269" s="512"/>
      <c r="B269" s="512"/>
      <c r="C269" s="512"/>
      <c r="D269" s="512"/>
      <c r="E269" s="512"/>
      <c r="F269" s="512"/>
      <c r="G269" s="512"/>
      <c r="H269" s="512"/>
      <c r="I269" s="512"/>
      <c r="J269" s="512"/>
      <c r="K269" s="512"/>
      <c r="L269" s="512"/>
      <c r="M269" s="512"/>
      <c r="N269" s="512"/>
      <c r="O269" s="512"/>
      <c r="P269" s="156"/>
      <c r="Q269" s="512"/>
      <c r="R269" s="512"/>
      <c r="S269" s="512"/>
      <c r="T269" s="512"/>
      <c r="U269" s="512"/>
      <c r="V269" s="512"/>
      <c r="W269" s="512"/>
      <c r="X269" s="512"/>
      <c r="Y269" s="512"/>
      <c r="Z269" s="512"/>
      <c r="AA269" s="512"/>
      <c r="AB269" s="512"/>
      <c r="AC269" s="512"/>
    </row>
    <row r="270">
      <c r="A270" s="512"/>
      <c r="B270" s="512"/>
      <c r="C270" s="512"/>
      <c r="D270" s="512"/>
      <c r="E270" s="512"/>
      <c r="F270" s="512"/>
      <c r="G270" s="512"/>
      <c r="H270" s="512"/>
      <c r="I270" s="512"/>
      <c r="J270" s="512"/>
      <c r="K270" s="512"/>
      <c r="L270" s="512"/>
      <c r="M270" s="512"/>
      <c r="N270" s="512"/>
      <c r="O270" s="512"/>
      <c r="P270" s="156"/>
      <c r="Q270" s="512"/>
      <c r="R270" s="512"/>
      <c r="S270" s="512"/>
      <c r="T270" s="512"/>
      <c r="U270" s="512"/>
      <c r="V270" s="512"/>
      <c r="W270" s="512"/>
      <c r="X270" s="512"/>
      <c r="Y270" s="512"/>
      <c r="Z270" s="512"/>
      <c r="AA270" s="512"/>
      <c r="AB270" s="512"/>
      <c r="AC270" s="512"/>
    </row>
    <row r="271">
      <c r="A271" s="512"/>
      <c r="B271" s="512"/>
      <c r="C271" s="512"/>
      <c r="D271" s="512"/>
      <c r="E271" s="512"/>
      <c r="F271" s="512"/>
      <c r="G271" s="512"/>
      <c r="H271" s="512"/>
      <c r="I271" s="512"/>
      <c r="J271" s="512"/>
      <c r="K271" s="512"/>
      <c r="L271" s="512"/>
      <c r="M271" s="512"/>
      <c r="N271" s="512"/>
      <c r="O271" s="512"/>
      <c r="P271" s="156"/>
      <c r="Q271" s="512"/>
      <c r="R271" s="512"/>
      <c r="S271" s="512"/>
      <c r="T271" s="512"/>
      <c r="U271" s="512"/>
      <c r="V271" s="512"/>
      <c r="W271" s="512"/>
      <c r="X271" s="512"/>
      <c r="Y271" s="512"/>
      <c r="Z271" s="512"/>
      <c r="AA271" s="512"/>
      <c r="AB271" s="512"/>
      <c r="AC271" s="512"/>
    </row>
    <row r="272">
      <c r="A272" s="512"/>
      <c r="B272" s="512"/>
      <c r="C272" s="512"/>
      <c r="D272" s="512"/>
      <c r="E272" s="512"/>
      <c r="F272" s="512"/>
      <c r="G272" s="512"/>
      <c r="H272" s="512"/>
      <c r="I272" s="512"/>
      <c r="J272" s="512"/>
      <c r="K272" s="512"/>
      <c r="L272" s="512"/>
      <c r="M272" s="512"/>
      <c r="N272" s="512"/>
      <c r="O272" s="512"/>
      <c r="P272" s="156"/>
      <c r="Q272" s="512"/>
      <c r="R272" s="512"/>
      <c r="S272" s="512"/>
      <c r="T272" s="512"/>
      <c r="U272" s="512"/>
      <c r="V272" s="512"/>
      <c r="W272" s="512"/>
      <c r="X272" s="512"/>
      <c r="Y272" s="512"/>
      <c r="Z272" s="512"/>
      <c r="AA272" s="512"/>
      <c r="AB272" s="512"/>
      <c r="AC272" s="512"/>
    </row>
    <row r="273">
      <c r="A273" s="512"/>
      <c r="B273" s="512"/>
      <c r="C273" s="512"/>
      <c r="D273" s="512"/>
      <c r="E273" s="512"/>
      <c r="F273" s="512"/>
      <c r="G273" s="512"/>
      <c r="H273" s="512"/>
      <c r="I273" s="512"/>
      <c r="J273" s="512"/>
      <c r="K273" s="512"/>
      <c r="L273" s="512"/>
      <c r="M273" s="512"/>
      <c r="N273" s="512"/>
      <c r="O273" s="512"/>
      <c r="P273" s="156"/>
      <c r="Q273" s="512"/>
      <c r="R273" s="512"/>
      <c r="S273" s="512"/>
      <c r="T273" s="512"/>
      <c r="U273" s="512"/>
      <c r="V273" s="512"/>
      <c r="W273" s="512"/>
      <c r="X273" s="512"/>
      <c r="Y273" s="512"/>
      <c r="Z273" s="512"/>
      <c r="AA273" s="512"/>
      <c r="AB273" s="512"/>
      <c r="AC273" s="512"/>
    </row>
    <row r="274">
      <c r="A274" s="512"/>
      <c r="B274" s="512"/>
      <c r="C274" s="512"/>
      <c r="D274" s="512"/>
      <c r="E274" s="512"/>
      <c r="F274" s="512"/>
      <c r="G274" s="512"/>
      <c r="H274" s="512"/>
      <c r="I274" s="512"/>
      <c r="J274" s="512"/>
      <c r="K274" s="512"/>
      <c r="L274" s="512"/>
      <c r="M274" s="512"/>
      <c r="N274" s="512"/>
      <c r="O274" s="512"/>
      <c r="P274" s="156"/>
      <c r="Q274" s="512"/>
      <c r="R274" s="512"/>
      <c r="S274" s="512"/>
      <c r="T274" s="512"/>
      <c r="U274" s="512"/>
      <c r="V274" s="512"/>
      <c r="W274" s="512"/>
      <c r="X274" s="512"/>
      <c r="Y274" s="512"/>
      <c r="Z274" s="512"/>
      <c r="AA274" s="512"/>
      <c r="AB274" s="512"/>
      <c r="AC274" s="512"/>
    </row>
    <row r="275">
      <c r="A275" s="512"/>
      <c r="B275" s="512"/>
      <c r="C275" s="512"/>
      <c r="D275" s="512"/>
      <c r="E275" s="512"/>
      <c r="F275" s="512"/>
      <c r="G275" s="512"/>
      <c r="H275" s="512"/>
      <c r="I275" s="512"/>
      <c r="J275" s="512"/>
      <c r="K275" s="512"/>
      <c r="L275" s="512"/>
      <c r="M275" s="512"/>
      <c r="N275" s="512"/>
      <c r="O275" s="512"/>
      <c r="P275" s="156"/>
      <c r="Q275" s="512"/>
      <c r="R275" s="512"/>
      <c r="S275" s="512"/>
      <c r="T275" s="512"/>
      <c r="U275" s="512"/>
      <c r="V275" s="512"/>
      <c r="W275" s="512"/>
      <c r="X275" s="512"/>
      <c r="Y275" s="512"/>
      <c r="Z275" s="512"/>
      <c r="AA275" s="512"/>
      <c r="AB275" s="512"/>
      <c r="AC275" s="512"/>
    </row>
    <row r="276">
      <c r="A276" s="512"/>
      <c r="B276" s="512"/>
      <c r="C276" s="512"/>
      <c r="D276" s="512"/>
      <c r="E276" s="512"/>
      <c r="F276" s="512"/>
      <c r="G276" s="512"/>
      <c r="H276" s="512"/>
      <c r="I276" s="512"/>
      <c r="J276" s="512"/>
      <c r="K276" s="512"/>
      <c r="L276" s="512"/>
      <c r="M276" s="512"/>
      <c r="N276" s="512"/>
      <c r="O276" s="512"/>
      <c r="P276" s="156"/>
      <c r="Q276" s="512"/>
      <c r="R276" s="512"/>
      <c r="S276" s="512"/>
      <c r="T276" s="512"/>
      <c r="U276" s="512"/>
      <c r="V276" s="512"/>
      <c r="W276" s="512"/>
      <c r="X276" s="512"/>
      <c r="Y276" s="512"/>
      <c r="Z276" s="512"/>
      <c r="AA276" s="512"/>
      <c r="AB276" s="512"/>
      <c r="AC276" s="512"/>
    </row>
    <row r="277">
      <c r="A277" s="512"/>
      <c r="B277" s="512"/>
      <c r="C277" s="512"/>
      <c r="D277" s="512"/>
      <c r="E277" s="512"/>
      <c r="F277" s="512"/>
      <c r="G277" s="512"/>
      <c r="H277" s="512"/>
      <c r="I277" s="512"/>
      <c r="J277" s="512"/>
      <c r="K277" s="512"/>
      <c r="L277" s="512"/>
      <c r="M277" s="512"/>
      <c r="N277" s="512"/>
      <c r="O277" s="512"/>
      <c r="P277" s="156"/>
      <c r="Q277" s="512"/>
      <c r="R277" s="512"/>
      <c r="S277" s="512"/>
      <c r="T277" s="512"/>
      <c r="U277" s="512"/>
      <c r="V277" s="512"/>
      <c r="W277" s="512"/>
      <c r="X277" s="512"/>
      <c r="Y277" s="512"/>
      <c r="Z277" s="512"/>
      <c r="AA277" s="512"/>
      <c r="AB277" s="512"/>
      <c r="AC277" s="512"/>
    </row>
    <row r="278">
      <c r="A278" s="512"/>
      <c r="B278" s="512"/>
      <c r="C278" s="512"/>
      <c r="D278" s="512"/>
      <c r="E278" s="512"/>
      <c r="F278" s="512"/>
      <c r="G278" s="512"/>
      <c r="H278" s="512"/>
      <c r="I278" s="512"/>
      <c r="J278" s="512"/>
      <c r="K278" s="512"/>
      <c r="L278" s="512"/>
      <c r="M278" s="512"/>
      <c r="N278" s="512"/>
      <c r="O278" s="512"/>
      <c r="P278" s="156"/>
      <c r="Q278" s="512"/>
      <c r="R278" s="512"/>
      <c r="S278" s="512"/>
      <c r="T278" s="512"/>
      <c r="U278" s="512"/>
      <c r="V278" s="512"/>
      <c r="W278" s="512"/>
      <c r="X278" s="512"/>
      <c r="Y278" s="512"/>
      <c r="Z278" s="512"/>
      <c r="AA278" s="512"/>
      <c r="AB278" s="512"/>
      <c r="AC278" s="512"/>
    </row>
    <row r="279">
      <c r="A279" s="512"/>
      <c r="B279" s="512"/>
      <c r="C279" s="512"/>
      <c r="D279" s="512"/>
      <c r="E279" s="512"/>
      <c r="F279" s="512"/>
      <c r="G279" s="512"/>
      <c r="H279" s="512"/>
      <c r="I279" s="512"/>
      <c r="J279" s="512"/>
      <c r="K279" s="512"/>
      <c r="L279" s="512"/>
      <c r="M279" s="512"/>
      <c r="N279" s="512"/>
      <c r="O279" s="512"/>
      <c r="P279" s="156"/>
      <c r="Q279" s="512"/>
      <c r="R279" s="512"/>
      <c r="S279" s="512"/>
      <c r="T279" s="512"/>
      <c r="U279" s="512"/>
      <c r="V279" s="512"/>
      <c r="W279" s="512"/>
      <c r="X279" s="512"/>
      <c r="Y279" s="512"/>
      <c r="Z279" s="512"/>
      <c r="AA279" s="512"/>
      <c r="AB279" s="512"/>
      <c r="AC279" s="512"/>
    </row>
    <row r="280">
      <c r="A280" s="512"/>
      <c r="B280" s="512"/>
      <c r="C280" s="512"/>
      <c r="D280" s="512"/>
      <c r="E280" s="512"/>
      <c r="F280" s="512"/>
      <c r="G280" s="512"/>
      <c r="H280" s="512"/>
      <c r="I280" s="512"/>
      <c r="J280" s="512"/>
      <c r="K280" s="512"/>
      <c r="L280" s="512"/>
      <c r="M280" s="512"/>
      <c r="N280" s="512"/>
      <c r="O280" s="512"/>
      <c r="P280" s="156"/>
      <c r="Q280" s="512"/>
      <c r="R280" s="512"/>
      <c r="S280" s="512"/>
      <c r="T280" s="512"/>
      <c r="U280" s="512"/>
      <c r="V280" s="512"/>
      <c r="W280" s="512"/>
      <c r="X280" s="512"/>
      <c r="Y280" s="512"/>
      <c r="Z280" s="512"/>
      <c r="AA280" s="512"/>
      <c r="AB280" s="512"/>
      <c r="AC280" s="512"/>
    </row>
    <row r="281">
      <c r="A281" s="512"/>
      <c r="B281" s="512"/>
      <c r="C281" s="512"/>
      <c r="D281" s="512"/>
      <c r="E281" s="512"/>
      <c r="F281" s="512"/>
      <c r="G281" s="512"/>
      <c r="H281" s="512"/>
      <c r="I281" s="512"/>
      <c r="J281" s="512"/>
      <c r="K281" s="512"/>
      <c r="L281" s="512"/>
      <c r="M281" s="512"/>
      <c r="N281" s="512"/>
      <c r="O281" s="512"/>
      <c r="P281" s="156"/>
      <c r="Q281" s="512"/>
      <c r="R281" s="512"/>
      <c r="S281" s="512"/>
      <c r="T281" s="512"/>
      <c r="U281" s="512"/>
      <c r="V281" s="512"/>
      <c r="W281" s="512"/>
      <c r="X281" s="512"/>
      <c r="Y281" s="512"/>
      <c r="Z281" s="512"/>
      <c r="AA281" s="512"/>
      <c r="AB281" s="512"/>
      <c r="AC281" s="512"/>
    </row>
    <row r="282">
      <c r="A282" s="512"/>
      <c r="B282" s="512"/>
      <c r="C282" s="512"/>
      <c r="D282" s="512"/>
      <c r="E282" s="512"/>
      <c r="F282" s="512"/>
      <c r="G282" s="512"/>
      <c r="H282" s="512"/>
      <c r="I282" s="512"/>
      <c r="J282" s="512"/>
      <c r="K282" s="512"/>
      <c r="L282" s="512"/>
      <c r="M282" s="512"/>
      <c r="N282" s="512"/>
      <c r="O282" s="512"/>
      <c r="P282" s="156"/>
      <c r="Q282" s="512"/>
      <c r="R282" s="512"/>
      <c r="S282" s="512"/>
      <c r="T282" s="512"/>
      <c r="U282" s="512"/>
      <c r="V282" s="512"/>
      <c r="W282" s="512"/>
      <c r="X282" s="512"/>
      <c r="Y282" s="512"/>
      <c r="Z282" s="512"/>
      <c r="AA282" s="512"/>
      <c r="AB282" s="512"/>
      <c r="AC282" s="512"/>
    </row>
    <row r="283">
      <c r="A283" s="512"/>
      <c r="B283" s="512"/>
      <c r="C283" s="512"/>
      <c r="D283" s="512"/>
      <c r="E283" s="512"/>
      <c r="F283" s="512"/>
      <c r="G283" s="512"/>
      <c r="H283" s="512"/>
      <c r="I283" s="512"/>
      <c r="J283" s="512"/>
      <c r="K283" s="512"/>
      <c r="L283" s="512"/>
      <c r="M283" s="512"/>
      <c r="N283" s="512"/>
      <c r="O283" s="512"/>
      <c r="P283" s="156"/>
      <c r="Q283" s="512"/>
      <c r="R283" s="512"/>
      <c r="S283" s="512"/>
      <c r="T283" s="512"/>
      <c r="U283" s="512"/>
      <c r="V283" s="512"/>
      <c r="W283" s="512"/>
      <c r="X283" s="512"/>
      <c r="Y283" s="512"/>
      <c r="Z283" s="512"/>
      <c r="AA283" s="512"/>
      <c r="AB283" s="512"/>
      <c r="AC283" s="512"/>
    </row>
    <row r="284">
      <c r="A284" s="512"/>
      <c r="B284" s="512"/>
      <c r="C284" s="512"/>
      <c r="D284" s="512"/>
      <c r="E284" s="512"/>
      <c r="F284" s="512"/>
      <c r="G284" s="512"/>
      <c r="H284" s="512"/>
      <c r="I284" s="512"/>
      <c r="J284" s="512"/>
      <c r="K284" s="512"/>
      <c r="L284" s="512"/>
      <c r="M284" s="512"/>
      <c r="N284" s="512"/>
      <c r="O284" s="512"/>
      <c r="P284" s="156"/>
      <c r="Q284" s="512"/>
      <c r="R284" s="512"/>
      <c r="S284" s="512"/>
      <c r="T284" s="512"/>
      <c r="U284" s="512"/>
      <c r="V284" s="512"/>
      <c r="W284" s="512"/>
      <c r="X284" s="512"/>
      <c r="Y284" s="512"/>
      <c r="Z284" s="512"/>
      <c r="AA284" s="512"/>
      <c r="AB284" s="512"/>
      <c r="AC284" s="512"/>
    </row>
    <row r="285">
      <c r="A285" s="512"/>
      <c r="B285" s="512"/>
      <c r="C285" s="512"/>
      <c r="D285" s="512"/>
      <c r="E285" s="512"/>
      <c r="F285" s="512"/>
      <c r="G285" s="512"/>
      <c r="H285" s="512"/>
      <c r="I285" s="512"/>
      <c r="J285" s="512"/>
      <c r="K285" s="512"/>
      <c r="L285" s="512"/>
      <c r="M285" s="512"/>
      <c r="N285" s="512"/>
      <c r="O285" s="512"/>
      <c r="P285" s="156"/>
      <c r="Q285" s="512"/>
      <c r="R285" s="512"/>
      <c r="S285" s="512"/>
      <c r="T285" s="512"/>
      <c r="U285" s="512"/>
      <c r="V285" s="512"/>
      <c r="W285" s="512"/>
      <c r="X285" s="512"/>
      <c r="Y285" s="512"/>
      <c r="Z285" s="512"/>
      <c r="AA285" s="512"/>
      <c r="AB285" s="512"/>
      <c r="AC285" s="512"/>
    </row>
    <row r="286">
      <c r="A286" s="512"/>
      <c r="B286" s="512"/>
      <c r="C286" s="512"/>
      <c r="D286" s="512"/>
      <c r="E286" s="512"/>
      <c r="F286" s="512"/>
      <c r="G286" s="512"/>
      <c r="H286" s="512"/>
      <c r="I286" s="512"/>
      <c r="J286" s="512"/>
      <c r="K286" s="512"/>
      <c r="L286" s="512"/>
      <c r="M286" s="512"/>
      <c r="N286" s="512"/>
      <c r="O286" s="512"/>
      <c r="P286" s="156"/>
      <c r="Q286" s="512"/>
      <c r="R286" s="512"/>
      <c r="S286" s="512"/>
      <c r="T286" s="512"/>
      <c r="U286" s="512"/>
      <c r="V286" s="512"/>
      <c r="W286" s="512"/>
      <c r="X286" s="512"/>
      <c r="Y286" s="512"/>
      <c r="Z286" s="512"/>
      <c r="AA286" s="512"/>
      <c r="AB286" s="512"/>
      <c r="AC286" s="512"/>
    </row>
    <row r="287">
      <c r="A287" s="512"/>
      <c r="B287" s="512"/>
      <c r="C287" s="512"/>
      <c r="D287" s="512"/>
      <c r="E287" s="512"/>
      <c r="F287" s="512"/>
      <c r="G287" s="512"/>
      <c r="H287" s="512"/>
      <c r="I287" s="512"/>
      <c r="J287" s="512"/>
      <c r="K287" s="512"/>
      <c r="L287" s="512"/>
      <c r="M287" s="512"/>
      <c r="N287" s="512"/>
      <c r="O287" s="512"/>
      <c r="P287" s="156"/>
      <c r="Q287" s="512"/>
      <c r="R287" s="512"/>
      <c r="S287" s="512"/>
      <c r="T287" s="512"/>
      <c r="U287" s="512"/>
      <c r="V287" s="512"/>
      <c r="W287" s="512"/>
      <c r="X287" s="512"/>
      <c r="Y287" s="512"/>
      <c r="Z287" s="512"/>
      <c r="AA287" s="512"/>
      <c r="AB287" s="512"/>
      <c r="AC287" s="512"/>
    </row>
    <row r="288">
      <c r="A288" s="512"/>
      <c r="B288" s="512"/>
      <c r="C288" s="512"/>
      <c r="D288" s="512"/>
      <c r="E288" s="512"/>
      <c r="F288" s="512"/>
      <c r="G288" s="512"/>
      <c r="H288" s="512"/>
      <c r="I288" s="512"/>
      <c r="J288" s="512"/>
      <c r="K288" s="512"/>
      <c r="L288" s="512"/>
      <c r="M288" s="512"/>
      <c r="N288" s="512"/>
      <c r="O288" s="512"/>
      <c r="P288" s="156"/>
      <c r="Q288" s="512"/>
      <c r="R288" s="512"/>
      <c r="S288" s="512"/>
      <c r="T288" s="512"/>
      <c r="U288" s="512"/>
      <c r="V288" s="512"/>
      <c r="W288" s="512"/>
      <c r="X288" s="512"/>
      <c r="Y288" s="512"/>
      <c r="Z288" s="512"/>
      <c r="AA288" s="512"/>
      <c r="AB288" s="512"/>
      <c r="AC288" s="512"/>
    </row>
    <row r="289">
      <c r="A289" s="512"/>
      <c r="B289" s="512"/>
      <c r="C289" s="512"/>
      <c r="D289" s="512"/>
      <c r="E289" s="512"/>
      <c r="F289" s="512"/>
      <c r="G289" s="512"/>
      <c r="H289" s="512"/>
      <c r="I289" s="512"/>
      <c r="J289" s="512"/>
      <c r="K289" s="512"/>
      <c r="L289" s="512"/>
      <c r="M289" s="512"/>
      <c r="N289" s="512"/>
      <c r="O289" s="512"/>
      <c r="P289" s="156"/>
      <c r="Q289" s="512"/>
      <c r="R289" s="512"/>
      <c r="S289" s="512"/>
      <c r="T289" s="512"/>
      <c r="U289" s="512"/>
      <c r="V289" s="512"/>
      <c r="W289" s="512"/>
      <c r="X289" s="512"/>
      <c r="Y289" s="512"/>
      <c r="Z289" s="512"/>
      <c r="AA289" s="512"/>
      <c r="AB289" s="512"/>
      <c r="AC289" s="512"/>
    </row>
    <row r="290">
      <c r="A290" s="512"/>
      <c r="B290" s="512"/>
      <c r="C290" s="512"/>
      <c r="D290" s="512"/>
      <c r="E290" s="512"/>
      <c r="F290" s="512"/>
      <c r="G290" s="512"/>
      <c r="H290" s="512"/>
      <c r="I290" s="512"/>
      <c r="J290" s="512"/>
      <c r="K290" s="512"/>
      <c r="L290" s="512"/>
      <c r="M290" s="512"/>
      <c r="N290" s="512"/>
      <c r="O290" s="512"/>
      <c r="P290" s="156"/>
      <c r="Q290" s="512"/>
      <c r="R290" s="512"/>
      <c r="S290" s="512"/>
      <c r="T290" s="512"/>
      <c r="U290" s="512"/>
      <c r="V290" s="512"/>
      <c r="W290" s="512"/>
      <c r="X290" s="512"/>
      <c r="Y290" s="512"/>
      <c r="Z290" s="512"/>
      <c r="AA290" s="512"/>
      <c r="AB290" s="512"/>
      <c r="AC290" s="512"/>
    </row>
    <row r="291">
      <c r="A291" s="512"/>
      <c r="B291" s="512"/>
      <c r="C291" s="512"/>
      <c r="D291" s="512"/>
      <c r="E291" s="512"/>
      <c r="F291" s="512"/>
      <c r="G291" s="512"/>
      <c r="H291" s="512"/>
      <c r="I291" s="512"/>
      <c r="J291" s="512"/>
      <c r="K291" s="512"/>
      <c r="L291" s="512"/>
      <c r="M291" s="512"/>
      <c r="N291" s="512"/>
      <c r="O291" s="512"/>
      <c r="P291" s="156"/>
      <c r="Q291" s="512"/>
      <c r="R291" s="512"/>
      <c r="S291" s="512"/>
      <c r="T291" s="512"/>
      <c r="U291" s="512"/>
      <c r="V291" s="512"/>
      <c r="W291" s="512"/>
      <c r="X291" s="512"/>
      <c r="Y291" s="512"/>
      <c r="Z291" s="512"/>
      <c r="AA291" s="512"/>
      <c r="AB291" s="512"/>
      <c r="AC291" s="512"/>
    </row>
    <row r="292">
      <c r="A292" s="512"/>
      <c r="B292" s="512"/>
      <c r="C292" s="512"/>
      <c r="D292" s="512"/>
      <c r="E292" s="512"/>
      <c r="F292" s="512"/>
      <c r="G292" s="512"/>
      <c r="H292" s="512"/>
      <c r="I292" s="512"/>
      <c r="J292" s="512"/>
      <c r="K292" s="512"/>
      <c r="L292" s="512"/>
      <c r="M292" s="512"/>
      <c r="N292" s="512"/>
      <c r="O292" s="512"/>
      <c r="P292" s="156"/>
      <c r="Q292" s="512"/>
      <c r="R292" s="512"/>
      <c r="S292" s="512"/>
      <c r="T292" s="512"/>
      <c r="U292" s="512"/>
      <c r="V292" s="512"/>
      <c r="W292" s="512"/>
      <c r="X292" s="512"/>
      <c r="Y292" s="512"/>
      <c r="Z292" s="512"/>
      <c r="AA292" s="512"/>
      <c r="AB292" s="512"/>
      <c r="AC292" s="512"/>
    </row>
    <row r="293">
      <c r="A293" s="512"/>
      <c r="B293" s="512"/>
      <c r="C293" s="512"/>
      <c r="D293" s="512"/>
      <c r="E293" s="512"/>
      <c r="F293" s="512"/>
      <c r="G293" s="512"/>
      <c r="H293" s="512"/>
      <c r="I293" s="512"/>
      <c r="J293" s="512"/>
      <c r="K293" s="512"/>
      <c r="L293" s="512"/>
      <c r="M293" s="512"/>
      <c r="N293" s="512"/>
      <c r="O293" s="512"/>
      <c r="P293" s="156"/>
      <c r="Q293" s="512"/>
      <c r="R293" s="512"/>
      <c r="S293" s="512"/>
      <c r="T293" s="512"/>
      <c r="U293" s="512"/>
      <c r="V293" s="512"/>
      <c r="W293" s="512"/>
      <c r="X293" s="512"/>
      <c r="Y293" s="512"/>
      <c r="Z293" s="512"/>
      <c r="AA293" s="512"/>
      <c r="AB293" s="512"/>
      <c r="AC293" s="512"/>
    </row>
    <row r="294">
      <c r="A294" s="512"/>
      <c r="B294" s="512"/>
      <c r="C294" s="512"/>
      <c r="D294" s="512"/>
      <c r="E294" s="512"/>
      <c r="F294" s="512"/>
      <c r="G294" s="512"/>
      <c r="H294" s="512"/>
      <c r="I294" s="512"/>
      <c r="J294" s="512"/>
      <c r="K294" s="512"/>
      <c r="L294" s="512"/>
      <c r="M294" s="512"/>
      <c r="N294" s="512"/>
      <c r="O294" s="512"/>
      <c r="P294" s="156"/>
      <c r="Q294" s="512"/>
      <c r="R294" s="512"/>
      <c r="S294" s="512"/>
      <c r="T294" s="512"/>
      <c r="U294" s="512"/>
      <c r="V294" s="512"/>
      <c r="W294" s="512"/>
      <c r="X294" s="512"/>
      <c r="Y294" s="512"/>
      <c r="Z294" s="512"/>
      <c r="AA294" s="512"/>
      <c r="AB294" s="512"/>
      <c r="AC294" s="512"/>
    </row>
    <row r="295">
      <c r="A295" s="512"/>
      <c r="B295" s="512"/>
      <c r="C295" s="512"/>
      <c r="D295" s="512"/>
      <c r="E295" s="512"/>
      <c r="F295" s="512"/>
      <c r="G295" s="512"/>
      <c r="H295" s="512"/>
      <c r="I295" s="512"/>
      <c r="J295" s="512"/>
      <c r="K295" s="512"/>
      <c r="L295" s="512"/>
      <c r="M295" s="512"/>
      <c r="N295" s="512"/>
      <c r="O295" s="512"/>
      <c r="P295" s="156"/>
      <c r="Q295" s="512"/>
      <c r="R295" s="512"/>
      <c r="S295" s="512"/>
      <c r="T295" s="512"/>
      <c r="U295" s="512"/>
      <c r="V295" s="512"/>
      <c r="W295" s="512"/>
      <c r="X295" s="512"/>
      <c r="Y295" s="512"/>
      <c r="Z295" s="512"/>
      <c r="AA295" s="512"/>
      <c r="AB295" s="512"/>
      <c r="AC295" s="512"/>
    </row>
    <row r="296">
      <c r="A296" s="512"/>
      <c r="B296" s="512"/>
      <c r="C296" s="512"/>
      <c r="D296" s="512"/>
      <c r="E296" s="512"/>
      <c r="F296" s="512"/>
      <c r="G296" s="512"/>
      <c r="H296" s="512"/>
      <c r="I296" s="512"/>
      <c r="J296" s="512"/>
      <c r="K296" s="512"/>
      <c r="L296" s="512"/>
      <c r="M296" s="512"/>
      <c r="N296" s="512"/>
      <c r="O296" s="512"/>
      <c r="P296" s="156"/>
      <c r="Q296" s="512"/>
      <c r="R296" s="512"/>
      <c r="S296" s="512"/>
      <c r="T296" s="512"/>
      <c r="U296" s="512"/>
      <c r="V296" s="512"/>
      <c r="W296" s="512"/>
      <c r="X296" s="512"/>
      <c r="Y296" s="512"/>
      <c r="Z296" s="512"/>
      <c r="AA296" s="512"/>
      <c r="AB296" s="512"/>
      <c r="AC296" s="512"/>
    </row>
    <row r="297">
      <c r="A297" s="512"/>
      <c r="B297" s="512"/>
      <c r="C297" s="512"/>
      <c r="D297" s="512"/>
      <c r="E297" s="512"/>
      <c r="F297" s="512"/>
      <c r="G297" s="512"/>
      <c r="H297" s="512"/>
      <c r="I297" s="512"/>
      <c r="J297" s="512"/>
      <c r="K297" s="512"/>
      <c r="L297" s="512"/>
      <c r="M297" s="512"/>
      <c r="N297" s="512"/>
      <c r="O297" s="512"/>
      <c r="P297" s="156"/>
      <c r="Q297" s="512"/>
      <c r="R297" s="512"/>
      <c r="S297" s="512"/>
      <c r="T297" s="512"/>
      <c r="U297" s="512"/>
      <c r="V297" s="512"/>
      <c r="W297" s="512"/>
      <c r="X297" s="512"/>
      <c r="Y297" s="512"/>
      <c r="Z297" s="512"/>
      <c r="AA297" s="512"/>
      <c r="AB297" s="512"/>
      <c r="AC297" s="512"/>
    </row>
    <row r="298">
      <c r="A298" s="512"/>
      <c r="B298" s="512"/>
      <c r="C298" s="512"/>
      <c r="D298" s="512"/>
      <c r="E298" s="512"/>
      <c r="F298" s="512"/>
      <c r="G298" s="512"/>
      <c r="H298" s="512"/>
      <c r="I298" s="512"/>
      <c r="J298" s="512"/>
      <c r="K298" s="512"/>
      <c r="L298" s="512"/>
      <c r="M298" s="512"/>
      <c r="N298" s="512"/>
      <c r="O298" s="512"/>
      <c r="P298" s="156"/>
      <c r="Q298" s="512"/>
      <c r="R298" s="512"/>
      <c r="S298" s="512"/>
      <c r="T298" s="512"/>
      <c r="U298" s="512"/>
      <c r="V298" s="512"/>
      <c r="W298" s="512"/>
      <c r="X298" s="512"/>
      <c r="Y298" s="512"/>
      <c r="Z298" s="512"/>
      <c r="AA298" s="512"/>
      <c r="AB298" s="512"/>
      <c r="AC298" s="512"/>
    </row>
    <row r="299">
      <c r="A299" s="512"/>
      <c r="B299" s="512"/>
      <c r="C299" s="512"/>
      <c r="D299" s="512"/>
      <c r="E299" s="512"/>
      <c r="F299" s="512"/>
      <c r="G299" s="512"/>
      <c r="H299" s="512"/>
      <c r="I299" s="512"/>
      <c r="J299" s="512"/>
      <c r="K299" s="512"/>
      <c r="L299" s="512"/>
      <c r="M299" s="512"/>
      <c r="N299" s="512"/>
      <c r="O299" s="512"/>
      <c r="P299" s="156"/>
      <c r="Q299" s="512"/>
      <c r="R299" s="512"/>
      <c r="S299" s="512"/>
      <c r="T299" s="512"/>
      <c r="U299" s="512"/>
      <c r="V299" s="512"/>
      <c r="W299" s="512"/>
      <c r="X299" s="512"/>
      <c r="Y299" s="512"/>
      <c r="Z299" s="512"/>
      <c r="AA299" s="512"/>
      <c r="AB299" s="512"/>
      <c r="AC299" s="512"/>
    </row>
    <row r="300">
      <c r="A300" s="512"/>
      <c r="B300" s="512"/>
      <c r="C300" s="512"/>
      <c r="D300" s="512"/>
      <c r="E300" s="512"/>
      <c r="F300" s="512"/>
      <c r="G300" s="512"/>
      <c r="H300" s="512"/>
      <c r="I300" s="512"/>
      <c r="J300" s="512"/>
      <c r="K300" s="512"/>
      <c r="L300" s="512"/>
      <c r="M300" s="512"/>
      <c r="N300" s="512"/>
      <c r="O300" s="512"/>
      <c r="P300" s="156"/>
      <c r="Q300" s="512"/>
      <c r="R300" s="512"/>
      <c r="S300" s="512"/>
      <c r="T300" s="512"/>
      <c r="U300" s="512"/>
      <c r="V300" s="512"/>
      <c r="W300" s="512"/>
      <c r="X300" s="512"/>
      <c r="Y300" s="512"/>
      <c r="Z300" s="512"/>
      <c r="AA300" s="512"/>
      <c r="AB300" s="512"/>
      <c r="AC300" s="512"/>
    </row>
    <row r="301">
      <c r="A301" s="512"/>
      <c r="B301" s="512"/>
      <c r="C301" s="512"/>
      <c r="D301" s="512"/>
      <c r="E301" s="512"/>
      <c r="F301" s="512"/>
      <c r="G301" s="512"/>
      <c r="H301" s="512"/>
      <c r="I301" s="512"/>
      <c r="J301" s="512"/>
      <c r="K301" s="512"/>
      <c r="L301" s="512"/>
      <c r="M301" s="512"/>
      <c r="N301" s="512"/>
      <c r="O301" s="512"/>
      <c r="P301" s="156"/>
      <c r="Q301" s="512"/>
      <c r="R301" s="512"/>
      <c r="S301" s="512"/>
      <c r="T301" s="512"/>
      <c r="U301" s="512"/>
      <c r="V301" s="512"/>
      <c r="W301" s="512"/>
      <c r="X301" s="512"/>
      <c r="Y301" s="512"/>
      <c r="Z301" s="512"/>
      <c r="AA301" s="512"/>
      <c r="AB301" s="512"/>
      <c r="AC301" s="512"/>
    </row>
    <row r="302">
      <c r="A302" s="512"/>
      <c r="B302" s="512"/>
      <c r="C302" s="512"/>
      <c r="D302" s="512"/>
      <c r="E302" s="512"/>
      <c r="F302" s="512"/>
      <c r="G302" s="512"/>
      <c r="H302" s="512"/>
      <c r="I302" s="512"/>
      <c r="J302" s="512"/>
      <c r="K302" s="512"/>
      <c r="L302" s="512"/>
      <c r="M302" s="512"/>
      <c r="N302" s="512"/>
      <c r="O302" s="512"/>
      <c r="P302" s="156"/>
      <c r="Q302" s="512"/>
      <c r="R302" s="512"/>
      <c r="S302" s="512"/>
      <c r="T302" s="512"/>
      <c r="U302" s="512"/>
      <c r="V302" s="512"/>
      <c r="W302" s="512"/>
      <c r="X302" s="512"/>
      <c r="Y302" s="512"/>
      <c r="Z302" s="512"/>
      <c r="AA302" s="512"/>
      <c r="AB302" s="512"/>
      <c r="AC302" s="512"/>
    </row>
    <row r="303">
      <c r="A303" s="512"/>
      <c r="B303" s="512"/>
      <c r="C303" s="512"/>
      <c r="D303" s="512"/>
      <c r="E303" s="512"/>
      <c r="F303" s="512"/>
      <c r="G303" s="512"/>
      <c r="H303" s="512"/>
      <c r="I303" s="512"/>
      <c r="J303" s="512"/>
      <c r="K303" s="512"/>
      <c r="L303" s="512"/>
      <c r="M303" s="512"/>
      <c r="N303" s="512"/>
      <c r="O303" s="512"/>
      <c r="P303" s="156"/>
      <c r="Q303" s="512"/>
      <c r="R303" s="512"/>
      <c r="S303" s="512"/>
      <c r="T303" s="512"/>
      <c r="U303" s="512"/>
      <c r="V303" s="512"/>
      <c r="W303" s="512"/>
      <c r="X303" s="512"/>
      <c r="Y303" s="512"/>
      <c r="Z303" s="512"/>
      <c r="AA303" s="512"/>
      <c r="AB303" s="512"/>
      <c r="AC303" s="512"/>
    </row>
    <row r="304">
      <c r="A304" s="512"/>
      <c r="B304" s="512"/>
      <c r="C304" s="512"/>
      <c r="D304" s="512"/>
      <c r="E304" s="512"/>
      <c r="F304" s="512"/>
      <c r="G304" s="512"/>
      <c r="H304" s="512"/>
      <c r="I304" s="512"/>
      <c r="J304" s="512"/>
      <c r="K304" s="512"/>
      <c r="L304" s="512"/>
      <c r="M304" s="512"/>
      <c r="N304" s="512"/>
      <c r="O304" s="512"/>
      <c r="P304" s="156"/>
      <c r="Q304" s="512"/>
      <c r="R304" s="512"/>
      <c r="S304" s="512"/>
      <c r="T304" s="512"/>
      <c r="U304" s="512"/>
      <c r="V304" s="512"/>
      <c r="W304" s="512"/>
      <c r="X304" s="512"/>
      <c r="Y304" s="512"/>
      <c r="Z304" s="512"/>
      <c r="AA304" s="512"/>
      <c r="AB304" s="512"/>
      <c r="AC304" s="512"/>
    </row>
    <row r="305">
      <c r="A305" s="512"/>
      <c r="B305" s="512"/>
      <c r="C305" s="512"/>
      <c r="D305" s="512"/>
      <c r="E305" s="512"/>
      <c r="F305" s="512"/>
      <c r="G305" s="512"/>
      <c r="H305" s="512"/>
      <c r="I305" s="512"/>
      <c r="J305" s="512"/>
      <c r="K305" s="512"/>
      <c r="L305" s="512"/>
      <c r="M305" s="512"/>
      <c r="N305" s="512"/>
      <c r="O305" s="512"/>
      <c r="P305" s="156"/>
      <c r="Q305" s="512"/>
      <c r="R305" s="512"/>
      <c r="S305" s="512"/>
      <c r="T305" s="512"/>
      <c r="U305" s="512"/>
      <c r="V305" s="512"/>
      <c r="W305" s="512"/>
      <c r="X305" s="512"/>
      <c r="Y305" s="512"/>
      <c r="Z305" s="512"/>
      <c r="AA305" s="512"/>
      <c r="AB305" s="512"/>
      <c r="AC305" s="512"/>
    </row>
    <row r="306">
      <c r="A306" s="512"/>
      <c r="B306" s="512"/>
      <c r="C306" s="512"/>
      <c r="D306" s="512"/>
      <c r="E306" s="512"/>
      <c r="F306" s="512"/>
      <c r="G306" s="512"/>
      <c r="H306" s="512"/>
      <c r="I306" s="512"/>
      <c r="J306" s="512"/>
      <c r="K306" s="512"/>
      <c r="L306" s="512"/>
      <c r="M306" s="512"/>
      <c r="N306" s="512"/>
      <c r="O306" s="512"/>
      <c r="P306" s="156"/>
      <c r="Q306" s="512"/>
      <c r="R306" s="512"/>
      <c r="S306" s="512"/>
      <c r="T306" s="512"/>
      <c r="U306" s="512"/>
      <c r="V306" s="512"/>
      <c r="W306" s="512"/>
      <c r="X306" s="512"/>
      <c r="Y306" s="512"/>
      <c r="Z306" s="512"/>
      <c r="AA306" s="512"/>
      <c r="AB306" s="512"/>
      <c r="AC306" s="512"/>
    </row>
    <row r="307">
      <c r="A307" s="512"/>
      <c r="B307" s="512"/>
      <c r="C307" s="512"/>
      <c r="D307" s="512"/>
      <c r="E307" s="512"/>
      <c r="F307" s="512"/>
      <c r="G307" s="512"/>
      <c r="H307" s="512"/>
      <c r="I307" s="512"/>
      <c r="J307" s="512"/>
      <c r="K307" s="512"/>
      <c r="L307" s="512"/>
      <c r="M307" s="512"/>
      <c r="N307" s="512"/>
      <c r="O307" s="512"/>
      <c r="P307" s="156"/>
      <c r="Q307" s="512"/>
      <c r="R307" s="512"/>
      <c r="S307" s="512"/>
      <c r="T307" s="512"/>
      <c r="U307" s="512"/>
      <c r="V307" s="512"/>
      <c r="W307" s="512"/>
      <c r="X307" s="512"/>
      <c r="Y307" s="512"/>
      <c r="Z307" s="512"/>
      <c r="AA307" s="512"/>
      <c r="AB307" s="512"/>
      <c r="AC307" s="512"/>
    </row>
    <row r="308">
      <c r="A308" s="512"/>
      <c r="B308" s="512"/>
      <c r="C308" s="512"/>
      <c r="D308" s="512"/>
      <c r="E308" s="512"/>
      <c r="F308" s="512"/>
      <c r="G308" s="512"/>
      <c r="H308" s="512"/>
      <c r="I308" s="512"/>
      <c r="J308" s="512"/>
      <c r="K308" s="512"/>
      <c r="L308" s="512"/>
      <c r="M308" s="512"/>
      <c r="N308" s="512"/>
      <c r="O308" s="512"/>
      <c r="P308" s="156"/>
      <c r="Q308" s="512"/>
      <c r="R308" s="512"/>
      <c r="S308" s="512"/>
      <c r="T308" s="512"/>
      <c r="U308" s="512"/>
      <c r="V308" s="512"/>
      <c r="W308" s="512"/>
      <c r="X308" s="512"/>
      <c r="Y308" s="512"/>
      <c r="Z308" s="512"/>
      <c r="AA308" s="512"/>
      <c r="AB308" s="512"/>
      <c r="AC308" s="512"/>
    </row>
    <row r="309">
      <c r="A309" s="512"/>
      <c r="B309" s="512"/>
      <c r="C309" s="512"/>
      <c r="D309" s="512"/>
      <c r="E309" s="512"/>
      <c r="F309" s="512"/>
      <c r="G309" s="512"/>
      <c r="H309" s="512"/>
      <c r="I309" s="512"/>
      <c r="J309" s="512"/>
      <c r="K309" s="512"/>
      <c r="L309" s="512"/>
      <c r="M309" s="512"/>
      <c r="N309" s="512"/>
      <c r="O309" s="512"/>
      <c r="P309" s="156"/>
      <c r="Q309" s="512"/>
      <c r="R309" s="512"/>
      <c r="S309" s="512"/>
      <c r="T309" s="512"/>
      <c r="U309" s="512"/>
      <c r="V309" s="512"/>
      <c r="W309" s="512"/>
      <c r="X309" s="512"/>
      <c r="Y309" s="512"/>
      <c r="Z309" s="512"/>
      <c r="AA309" s="512"/>
      <c r="AB309" s="512"/>
      <c r="AC309" s="512"/>
    </row>
    <row r="310">
      <c r="A310" s="512"/>
      <c r="B310" s="512"/>
      <c r="C310" s="512"/>
      <c r="D310" s="512"/>
      <c r="E310" s="512"/>
      <c r="F310" s="512"/>
      <c r="G310" s="512"/>
      <c r="H310" s="512"/>
      <c r="I310" s="512"/>
      <c r="J310" s="512"/>
      <c r="K310" s="512"/>
      <c r="L310" s="512"/>
      <c r="M310" s="512"/>
      <c r="N310" s="512"/>
      <c r="O310" s="512"/>
      <c r="P310" s="156"/>
      <c r="Q310" s="512"/>
      <c r="R310" s="512"/>
      <c r="S310" s="512"/>
      <c r="T310" s="512"/>
      <c r="U310" s="512"/>
      <c r="V310" s="512"/>
      <c r="W310" s="512"/>
      <c r="X310" s="512"/>
      <c r="Y310" s="512"/>
      <c r="Z310" s="512"/>
      <c r="AA310" s="512"/>
      <c r="AB310" s="512"/>
      <c r="AC310" s="512"/>
    </row>
    <row r="311">
      <c r="A311" s="512"/>
      <c r="B311" s="512"/>
      <c r="C311" s="512"/>
      <c r="D311" s="512"/>
      <c r="E311" s="512"/>
      <c r="F311" s="512"/>
      <c r="G311" s="512"/>
      <c r="H311" s="512"/>
      <c r="I311" s="512"/>
      <c r="J311" s="512"/>
      <c r="K311" s="512"/>
      <c r="L311" s="512"/>
      <c r="M311" s="512"/>
      <c r="N311" s="512"/>
      <c r="O311" s="512"/>
      <c r="P311" s="156"/>
      <c r="Q311" s="512"/>
      <c r="R311" s="512"/>
      <c r="S311" s="512"/>
      <c r="T311" s="512"/>
      <c r="U311" s="512"/>
      <c r="V311" s="512"/>
      <c r="W311" s="512"/>
      <c r="X311" s="512"/>
      <c r="Y311" s="512"/>
      <c r="Z311" s="512"/>
      <c r="AA311" s="512"/>
      <c r="AB311" s="512"/>
      <c r="AC311" s="512"/>
    </row>
    <row r="312">
      <c r="A312" s="512"/>
      <c r="B312" s="512"/>
      <c r="C312" s="512"/>
      <c r="D312" s="512"/>
      <c r="E312" s="512"/>
      <c r="F312" s="512"/>
      <c r="G312" s="512"/>
      <c r="H312" s="512"/>
      <c r="I312" s="512"/>
      <c r="J312" s="512"/>
      <c r="K312" s="512"/>
      <c r="L312" s="512"/>
      <c r="M312" s="512"/>
      <c r="N312" s="512"/>
      <c r="O312" s="512"/>
      <c r="P312" s="156"/>
      <c r="Q312" s="512"/>
      <c r="R312" s="512"/>
      <c r="S312" s="512"/>
      <c r="T312" s="512"/>
      <c r="U312" s="512"/>
      <c r="V312" s="512"/>
      <c r="W312" s="512"/>
      <c r="X312" s="512"/>
      <c r="Y312" s="512"/>
      <c r="Z312" s="512"/>
      <c r="AA312" s="512"/>
      <c r="AB312" s="512"/>
      <c r="AC312" s="512"/>
    </row>
    <row r="313">
      <c r="A313" s="512"/>
      <c r="B313" s="512"/>
      <c r="C313" s="512"/>
      <c r="D313" s="512"/>
      <c r="E313" s="512"/>
      <c r="F313" s="512"/>
      <c r="G313" s="512"/>
      <c r="H313" s="512"/>
      <c r="I313" s="512"/>
      <c r="J313" s="512"/>
      <c r="K313" s="512"/>
      <c r="L313" s="512"/>
      <c r="M313" s="512"/>
      <c r="N313" s="512"/>
      <c r="O313" s="512"/>
      <c r="P313" s="156"/>
      <c r="Q313" s="512"/>
      <c r="R313" s="512"/>
      <c r="S313" s="512"/>
      <c r="T313" s="512"/>
      <c r="U313" s="512"/>
      <c r="V313" s="512"/>
      <c r="W313" s="512"/>
      <c r="X313" s="512"/>
      <c r="Y313" s="512"/>
      <c r="Z313" s="512"/>
      <c r="AA313" s="512"/>
      <c r="AB313" s="512"/>
      <c r="AC313" s="512"/>
    </row>
    <row r="314">
      <c r="A314" s="512"/>
      <c r="B314" s="512"/>
      <c r="C314" s="512"/>
      <c r="D314" s="512"/>
      <c r="E314" s="512"/>
      <c r="F314" s="512"/>
      <c r="G314" s="512"/>
      <c r="H314" s="512"/>
      <c r="I314" s="512"/>
      <c r="J314" s="512"/>
      <c r="K314" s="512"/>
      <c r="L314" s="512"/>
      <c r="M314" s="512"/>
      <c r="N314" s="512"/>
      <c r="O314" s="512"/>
      <c r="P314" s="156"/>
      <c r="Q314" s="512"/>
      <c r="R314" s="512"/>
      <c r="S314" s="512"/>
      <c r="T314" s="512"/>
      <c r="U314" s="512"/>
      <c r="V314" s="512"/>
      <c r="W314" s="512"/>
      <c r="X314" s="512"/>
      <c r="Y314" s="512"/>
      <c r="Z314" s="512"/>
      <c r="AA314" s="512"/>
      <c r="AB314" s="512"/>
      <c r="AC314" s="512"/>
    </row>
    <row r="315">
      <c r="A315" s="512"/>
      <c r="B315" s="512"/>
      <c r="C315" s="512"/>
      <c r="D315" s="512"/>
      <c r="E315" s="512"/>
      <c r="F315" s="512"/>
      <c r="G315" s="512"/>
      <c r="H315" s="512"/>
      <c r="I315" s="512"/>
      <c r="J315" s="512"/>
      <c r="K315" s="512"/>
      <c r="L315" s="512"/>
      <c r="M315" s="512"/>
      <c r="N315" s="512"/>
      <c r="O315" s="512"/>
      <c r="P315" s="156"/>
      <c r="Q315" s="512"/>
      <c r="R315" s="512"/>
      <c r="S315" s="512"/>
      <c r="T315" s="512"/>
      <c r="U315" s="512"/>
      <c r="V315" s="512"/>
      <c r="W315" s="512"/>
      <c r="X315" s="512"/>
      <c r="Y315" s="512"/>
      <c r="Z315" s="512"/>
      <c r="AA315" s="512"/>
      <c r="AB315" s="512"/>
      <c r="AC315" s="512"/>
    </row>
    <row r="316">
      <c r="A316" s="512"/>
      <c r="B316" s="512"/>
      <c r="C316" s="512"/>
      <c r="D316" s="512"/>
      <c r="E316" s="512"/>
      <c r="F316" s="512"/>
      <c r="G316" s="512"/>
      <c r="H316" s="512"/>
      <c r="I316" s="512"/>
      <c r="J316" s="512"/>
      <c r="K316" s="512"/>
      <c r="L316" s="512"/>
      <c r="M316" s="512"/>
      <c r="N316" s="512"/>
      <c r="O316" s="512"/>
      <c r="P316" s="156"/>
      <c r="Q316" s="512"/>
      <c r="R316" s="512"/>
      <c r="S316" s="512"/>
      <c r="T316" s="512"/>
      <c r="U316" s="512"/>
      <c r="V316" s="512"/>
      <c r="W316" s="512"/>
      <c r="X316" s="512"/>
      <c r="Y316" s="512"/>
      <c r="Z316" s="512"/>
      <c r="AA316" s="512"/>
      <c r="AB316" s="512"/>
      <c r="AC316" s="512"/>
    </row>
    <row r="317">
      <c r="A317" s="512"/>
      <c r="B317" s="512"/>
      <c r="C317" s="512"/>
      <c r="D317" s="512"/>
      <c r="E317" s="512"/>
      <c r="F317" s="512"/>
      <c r="G317" s="512"/>
      <c r="H317" s="512"/>
      <c r="I317" s="512"/>
      <c r="J317" s="512"/>
      <c r="K317" s="512"/>
      <c r="L317" s="512"/>
      <c r="M317" s="512"/>
      <c r="N317" s="512"/>
      <c r="O317" s="512"/>
      <c r="P317" s="156"/>
      <c r="Q317" s="512"/>
      <c r="R317" s="512"/>
      <c r="S317" s="512"/>
      <c r="T317" s="512"/>
      <c r="U317" s="512"/>
      <c r="V317" s="512"/>
      <c r="W317" s="512"/>
      <c r="X317" s="512"/>
      <c r="Y317" s="512"/>
      <c r="Z317" s="512"/>
      <c r="AA317" s="512"/>
      <c r="AB317" s="512"/>
      <c r="AC317" s="512"/>
    </row>
    <row r="318">
      <c r="A318" s="512"/>
      <c r="B318" s="512"/>
      <c r="C318" s="512"/>
      <c r="D318" s="512"/>
      <c r="E318" s="512"/>
      <c r="F318" s="512"/>
      <c r="G318" s="512"/>
      <c r="H318" s="512"/>
      <c r="I318" s="512"/>
      <c r="J318" s="512"/>
      <c r="K318" s="512"/>
      <c r="L318" s="512"/>
      <c r="M318" s="512"/>
      <c r="N318" s="512"/>
      <c r="O318" s="512"/>
      <c r="P318" s="156"/>
      <c r="Q318" s="512"/>
      <c r="R318" s="512"/>
      <c r="S318" s="512"/>
      <c r="T318" s="512"/>
      <c r="U318" s="512"/>
      <c r="V318" s="512"/>
      <c r="W318" s="512"/>
      <c r="X318" s="512"/>
      <c r="Y318" s="512"/>
      <c r="Z318" s="512"/>
      <c r="AA318" s="512"/>
      <c r="AB318" s="512"/>
      <c r="AC318" s="512"/>
    </row>
    <row r="319">
      <c r="A319" s="512"/>
      <c r="B319" s="512"/>
      <c r="C319" s="512"/>
      <c r="D319" s="512"/>
      <c r="E319" s="512"/>
      <c r="F319" s="512"/>
      <c r="G319" s="512"/>
      <c r="H319" s="512"/>
      <c r="I319" s="512"/>
      <c r="J319" s="512"/>
      <c r="K319" s="512"/>
      <c r="L319" s="512"/>
      <c r="M319" s="512"/>
      <c r="N319" s="512"/>
      <c r="O319" s="512"/>
      <c r="P319" s="156"/>
      <c r="Q319" s="512"/>
      <c r="R319" s="512"/>
      <c r="S319" s="512"/>
      <c r="T319" s="512"/>
      <c r="U319" s="512"/>
      <c r="V319" s="512"/>
      <c r="W319" s="512"/>
      <c r="X319" s="512"/>
      <c r="Y319" s="512"/>
      <c r="Z319" s="512"/>
      <c r="AA319" s="512"/>
      <c r="AB319" s="512"/>
      <c r="AC319" s="512"/>
    </row>
    <row r="320">
      <c r="A320" s="512"/>
      <c r="B320" s="512"/>
      <c r="C320" s="512"/>
      <c r="D320" s="512"/>
      <c r="E320" s="512"/>
      <c r="F320" s="512"/>
      <c r="G320" s="512"/>
      <c r="H320" s="512"/>
      <c r="I320" s="512"/>
      <c r="J320" s="512"/>
      <c r="K320" s="512"/>
      <c r="L320" s="512"/>
      <c r="M320" s="512"/>
      <c r="N320" s="512"/>
      <c r="O320" s="512"/>
      <c r="P320" s="156"/>
      <c r="Q320" s="512"/>
      <c r="R320" s="512"/>
      <c r="S320" s="512"/>
      <c r="T320" s="512"/>
      <c r="U320" s="512"/>
      <c r="V320" s="512"/>
      <c r="W320" s="512"/>
      <c r="X320" s="512"/>
      <c r="Y320" s="512"/>
      <c r="Z320" s="512"/>
      <c r="AA320" s="512"/>
      <c r="AB320" s="512"/>
      <c r="AC320" s="512"/>
    </row>
    <row r="321">
      <c r="A321" s="512"/>
      <c r="B321" s="512"/>
      <c r="C321" s="512"/>
      <c r="D321" s="512"/>
      <c r="E321" s="512"/>
      <c r="F321" s="512"/>
      <c r="G321" s="512"/>
      <c r="H321" s="512"/>
      <c r="I321" s="512"/>
      <c r="J321" s="512"/>
      <c r="K321" s="512"/>
      <c r="L321" s="512"/>
      <c r="M321" s="512"/>
      <c r="N321" s="512"/>
      <c r="O321" s="512"/>
      <c r="P321" s="156"/>
      <c r="Q321" s="512"/>
      <c r="R321" s="512"/>
      <c r="S321" s="512"/>
      <c r="T321" s="512"/>
      <c r="U321" s="512"/>
      <c r="V321" s="512"/>
      <c r="W321" s="512"/>
      <c r="X321" s="512"/>
      <c r="Y321" s="512"/>
      <c r="Z321" s="512"/>
      <c r="AA321" s="512"/>
      <c r="AB321" s="512"/>
      <c r="AC321" s="512"/>
    </row>
    <row r="322">
      <c r="A322" s="512"/>
      <c r="B322" s="512"/>
      <c r="C322" s="512"/>
      <c r="D322" s="512"/>
      <c r="E322" s="512"/>
      <c r="F322" s="512"/>
      <c r="G322" s="512"/>
      <c r="H322" s="512"/>
      <c r="I322" s="512"/>
      <c r="J322" s="512"/>
      <c r="K322" s="512"/>
      <c r="L322" s="512"/>
      <c r="M322" s="512"/>
      <c r="N322" s="512"/>
      <c r="O322" s="512"/>
      <c r="P322" s="156"/>
      <c r="Q322" s="512"/>
      <c r="R322" s="512"/>
      <c r="S322" s="512"/>
      <c r="T322" s="512"/>
      <c r="U322" s="512"/>
      <c r="V322" s="512"/>
      <c r="W322" s="512"/>
      <c r="X322" s="512"/>
      <c r="Y322" s="512"/>
      <c r="Z322" s="512"/>
      <c r="AA322" s="512"/>
      <c r="AB322" s="512"/>
      <c r="AC322" s="512"/>
    </row>
    <row r="323">
      <c r="A323" s="512"/>
      <c r="B323" s="512"/>
      <c r="C323" s="512"/>
      <c r="D323" s="512"/>
      <c r="E323" s="512"/>
      <c r="F323" s="512"/>
      <c r="G323" s="512"/>
      <c r="H323" s="512"/>
      <c r="I323" s="512"/>
      <c r="J323" s="512"/>
      <c r="K323" s="512"/>
      <c r="L323" s="512"/>
      <c r="M323" s="512"/>
      <c r="N323" s="512"/>
      <c r="O323" s="512"/>
      <c r="P323" s="156"/>
      <c r="Q323" s="512"/>
      <c r="R323" s="512"/>
      <c r="S323" s="512"/>
      <c r="T323" s="512"/>
      <c r="U323" s="512"/>
      <c r="V323" s="512"/>
      <c r="W323" s="512"/>
      <c r="X323" s="512"/>
      <c r="Y323" s="512"/>
      <c r="Z323" s="512"/>
      <c r="AA323" s="512"/>
      <c r="AB323" s="512"/>
      <c r="AC323" s="512"/>
    </row>
    <row r="324">
      <c r="A324" s="512"/>
      <c r="B324" s="512"/>
      <c r="C324" s="512"/>
      <c r="D324" s="512"/>
      <c r="E324" s="512"/>
      <c r="F324" s="512"/>
      <c r="G324" s="512"/>
      <c r="H324" s="512"/>
      <c r="I324" s="512"/>
      <c r="J324" s="512"/>
      <c r="K324" s="512"/>
      <c r="L324" s="512"/>
      <c r="M324" s="512"/>
      <c r="N324" s="512"/>
      <c r="O324" s="512"/>
      <c r="P324" s="156"/>
      <c r="Q324" s="512"/>
      <c r="R324" s="512"/>
      <c r="S324" s="512"/>
      <c r="T324" s="512"/>
      <c r="U324" s="512"/>
      <c r="V324" s="512"/>
      <c r="W324" s="512"/>
      <c r="X324" s="512"/>
      <c r="Y324" s="512"/>
      <c r="Z324" s="512"/>
      <c r="AA324" s="512"/>
      <c r="AB324" s="512"/>
      <c r="AC324" s="512"/>
    </row>
    <row r="325">
      <c r="A325" s="512"/>
      <c r="B325" s="512"/>
      <c r="C325" s="512"/>
      <c r="D325" s="512"/>
      <c r="E325" s="512"/>
      <c r="F325" s="512"/>
      <c r="G325" s="512"/>
      <c r="H325" s="512"/>
      <c r="I325" s="512"/>
      <c r="J325" s="512"/>
      <c r="K325" s="512"/>
      <c r="L325" s="512"/>
      <c r="M325" s="512"/>
      <c r="N325" s="512"/>
      <c r="O325" s="512"/>
      <c r="P325" s="156"/>
      <c r="Q325" s="512"/>
      <c r="R325" s="512"/>
      <c r="S325" s="512"/>
      <c r="T325" s="512"/>
      <c r="U325" s="512"/>
      <c r="V325" s="512"/>
      <c r="W325" s="512"/>
      <c r="X325" s="512"/>
      <c r="Y325" s="512"/>
      <c r="Z325" s="512"/>
      <c r="AA325" s="512"/>
      <c r="AB325" s="512"/>
      <c r="AC325" s="512"/>
    </row>
    <row r="326">
      <c r="A326" s="512"/>
      <c r="B326" s="512"/>
      <c r="C326" s="512"/>
      <c r="D326" s="512"/>
      <c r="E326" s="512"/>
      <c r="F326" s="512"/>
      <c r="G326" s="512"/>
      <c r="H326" s="512"/>
      <c r="I326" s="512"/>
      <c r="J326" s="512"/>
      <c r="K326" s="512"/>
      <c r="L326" s="512"/>
      <c r="M326" s="512"/>
      <c r="N326" s="512"/>
      <c r="O326" s="512"/>
      <c r="P326" s="156"/>
      <c r="Q326" s="512"/>
      <c r="R326" s="512"/>
      <c r="S326" s="512"/>
      <c r="T326" s="512"/>
      <c r="U326" s="512"/>
      <c r="V326" s="512"/>
      <c r="W326" s="512"/>
      <c r="X326" s="512"/>
      <c r="Y326" s="512"/>
      <c r="Z326" s="512"/>
      <c r="AA326" s="512"/>
      <c r="AB326" s="512"/>
      <c r="AC326" s="512"/>
    </row>
    <row r="327">
      <c r="A327" s="512"/>
      <c r="B327" s="512"/>
      <c r="C327" s="512"/>
      <c r="D327" s="512"/>
      <c r="E327" s="512"/>
      <c r="F327" s="512"/>
      <c r="G327" s="512"/>
      <c r="H327" s="512"/>
      <c r="I327" s="512"/>
      <c r="J327" s="512"/>
      <c r="K327" s="512"/>
      <c r="L327" s="512"/>
      <c r="M327" s="512"/>
      <c r="N327" s="512"/>
      <c r="O327" s="512"/>
      <c r="P327" s="156"/>
      <c r="Q327" s="512"/>
      <c r="R327" s="512"/>
      <c r="S327" s="512"/>
      <c r="T327" s="512"/>
      <c r="U327" s="512"/>
      <c r="V327" s="512"/>
      <c r="W327" s="512"/>
      <c r="X327" s="512"/>
      <c r="Y327" s="512"/>
      <c r="Z327" s="512"/>
      <c r="AA327" s="512"/>
      <c r="AB327" s="512"/>
      <c r="AC327" s="512"/>
    </row>
    <row r="328">
      <c r="A328" s="512"/>
      <c r="B328" s="512"/>
      <c r="C328" s="512"/>
      <c r="D328" s="512"/>
      <c r="E328" s="512"/>
      <c r="F328" s="512"/>
      <c r="G328" s="512"/>
      <c r="H328" s="512"/>
      <c r="I328" s="512"/>
      <c r="J328" s="512"/>
      <c r="K328" s="512"/>
      <c r="L328" s="512"/>
      <c r="M328" s="512"/>
      <c r="N328" s="512"/>
      <c r="O328" s="512"/>
      <c r="P328" s="156"/>
      <c r="Q328" s="512"/>
      <c r="R328" s="512"/>
      <c r="S328" s="512"/>
      <c r="T328" s="512"/>
      <c r="U328" s="512"/>
      <c r="V328" s="512"/>
      <c r="W328" s="512"/>
      <c r="X328" s="512"/>
      <c r="Y328" s="512"/>
      <c r="Z328" s="512"/>
      <c r="AA328" s="512"/>
      <c r="AB328" s="512"/>
      <c r="AC328" s="512"/>
    </row>
    <row r="329">
      <c r="A329" s="512"/>
      <c r="B329" s="512"/>
      <c r="C329" s="512"/>
      <c r="D329" s="512"/>
      <c r="E329" s="512"/>
      <c r="F329" s="512"/>
      <c r="G329" s="512"/>
      <c r="H329" s="512"/>
      <c r="I329" s="512"/>
      <c r="J329" s="512"/>
      <c r="K329" s="512"/>
      <c r="L329" s="512"/>
      <c r="M329" s="512"/>
      <c r="N329" s="512"/>
      <c r="O329" s="512"/>
      <c r="P329" s="156"/>
      <c r="Q329" s="512"/>
      <c r="R329" s="512"/>
      <c r="S329" s="512"/>
      <c r="T329" s="512"/>
      <c r="U329" s="512"/>
      <c r="V329" s="512"/>
      <c r="W329" s="512"/>
      <c r="X329" s="512"/>
      <c r="Y329" s="512"/>
      <c r="Z329" s="512"/>
      <c r="AA329" s="512"/>
      <c r="AB329" s="512"/>
      <c r="AC329" s="512"/>
    </row>
    <row r="330">
      <c r="A330" s="512"/>
      <c r="B330" s="512"/>
      <c r="C330" s="512"/>
      <c r="D330" s="512"/>
      <c r="E330" s="512"/>
      <c r="F330" s="512"/>
      <c r="G330" s="512"/>
      <c r="H330" s="512"/>
      <c r="I330" s="512"/>
      <c r="J330" s="512"/>
      <c r="K330" s="512"/>
      <c r="L330" s="512"/>
      <c r="M330" s="512"/>
      <c r="N330" s="512"/>
      <c r="O330" s="512"/>
      <c r="P330" s="156"/>
      <c r="Q330" s="512"/>
      <c r="R330" s="512"/>
      <c r="S330" s="512"/>
      <c r="T330" s="512"/>
      <c r="U330" s="512"/>
      <c r="V330" s="512"/>
      <c r="W330" s="512"/>
      <c r="X330" s="512"/>
      <c r="Y330" s="512"/>
      <c r="Z330" s="512"/>
      <c r="AA330" s="512"/>
      <c r="AB330" s="512"/>
      <c r="AC330" s="512"/>
    </row>
    <row r="331">
      <c r="A331" s="512"/>
      <c r="B331" s="512"/>
      <c r="C331" s="512"/>
      <c r="D331" s="512"/>
      <c r="E331" s="512"/>
      <c r="F331" s="512"/>
      <c r="G331" s="512"/>
      <c r="H331" s="512"/>
      <c r="I331" s="512"/>
      <c r="J331" s="512"/>
      <c r="K331" s="512"/>
      <c r="L331" s="512"/>
      <c r="M331" s="512"/>
      <c r="N331" s="512"/>
      <c r="O331" s="512"/>
      <c r="P331" s="156"/>
      <c r="Q331" s="512"/>
      <c r="R331" s="512"/>
      <c r="S331" s="512"/>
      <c r="T331" s="512"/>
      <c r="U331" s="512"/>
      <c r="V331" s="512"/>
      <c r="W331" s="512"/>
      <c r="X331" s="512"/>
      <c r="Y331" s="512"/>
      <c r="Z331" s="512"/>
      <c r="AA331" s="512"/>
      <c r="AB331" s="512"/>
      <c r="AC331" s="512"/>
    </row>
    <row r="332">
      <c r="A332" s="512"/>
      <c r="B332" s="512"/>
      <c r="C332" s="512"/>
      <c r="D332" s="512"/>
      <c r="E332" s="512"/>
      <c r="F332" s="512"/>
      <c r="G332" s="512"/>
      <c r="H332" s="512"/>
      <c r="I332" s="512"/>
      <c r="J332" s="512"/>
      <c r="K332" s="512"/>
      <c r="L332" s="512"/>
      <c r="M332" s="512"/>
      <c r="N332" s="512"/>
      <c r="O332" s="512"/>
      <c r="P332" s="156"/>
      <c r="Q332" s="512"/>
      <c r="R332" s="512"/>
      <c r="S332" s="512"/>
      <c r="T332" s="512"/>
      <c r="U332" s="512"/>
      <c r="V332" s="512"/>
      <c r="W332" s="512"/>
      <c r="X332" s="512"/>
      <c r="Y332" s="512"/>
      <c r="Z332" s="512"/>
      <c r="AA332" s="512"/>
      <c r="AB332" s="512"/>
      <c r="AC332" s="512"/>
    </row>
    <row r="333">
      <c r="A333" s="512"/>
      <c r="B333" s="512"/>
      <c r="C333" s="512"/>
      <c r="D333" s="512"/>
      <c r="E333" s="512"/>
      <c r="F333" s="512"/>
      <c r="G333" s="512"/>
      <c r="H333" s="512"/>
      <c r="I333" s="512"/>
      <c r="J333" s="512"/>
      <c r="K333" s="512"/>
      <c r="L333" s="512"/>
      <c r="M333" s="512"/>
      <c r="N333" s="512"/>
      <c r="O333" s="512"/>
      <c r="P333" s="156"/>
      <c r="Q333" s="512"/>
      <c r="R333" s="512"/>
      <c r="S333" s="512"/>
      <c r="T333" s="512"/>
      <c r="U333" s="512"/>
      <c r="V333" s="512"/>
      <c r="W333" s="512"/>
      <c r="X333" s="512"/>
      <c r="Y333" s="512"/>
      <c r="Z333" s="512"/>
      <c r="AA333" s="512"/>
      <c r="AB333" s="512"/>
      <c r="AC333" s="512"/>
    </row>
    <row r="334">
      <c r="A334" s="512"/>
      <c r="B334" s="512"/>
      <c r="C334" s="512"/>
      <c r="D334" s="512"/>
      <c r="E334" s="512"/>
      <c r="F334" s="512"/>
      <c r="G334" s="512"/>
      <c r="H334" s="512"/>
      <c r="I334" s="512"/>
      <c r="J334" s="512"/>
      <c r="K334" s="512"/>
      <c r="L334" s="512"/>
      <c r="M334" s="512"/>
      <c r="N334" s="512"/>
      <c r="O334" s="512"/>
      <c r="P334" s="156"/>
      <c r="Q334" s="512"/>
      <c r="R334" s="512"/>
      <c r="S334" s="512"/>
      <c r="T334" s="512"/>
      <c r="U334" s="512"/>
      <c r="V334" s="512"/>
      <c r="W334" s="512"/>
      <c r="X334" s="512"/>
      <c r="Y334" s="512"/>
      <c r="Z334" s="512"/>
      <c r="AA334" s="512"/>
      <c r="AB334" s="512"/>
      <c r="AC334" s="512"/>
    </row>
    <row r="335">
      <c r="A335" s="512"/>
      <c r="B335" s="512"/>
      <c r="C335" s="512"/>
      <c r="D335" s="512"/>
      <c r="E335" s="512"/>
      <c r="F335" s="512"/>
      <c r="G335" s="512"/>
      <c r="H335" s="512"/>
      <c r="I335" s="512"/>
      <c r="J335" s="512"/>
      <c r="K335" s="512"/>
      <c r="L335" s="512"/>
      <c r="M335" s="512"/>
      <c r="N335" s="512"/>
      <c r="O335" s="512"/>
      <c r="P335" s="156"/>
      <c r="Q335" s="512"/>
      <c r="R335" s="512"/>
      <c r="S335" s="512"/>
      <c r="T335" s="512"/>
      <c r="U335" s="512"/>
      <c r="V335" s="512"/>
      <c r="W335" s="512"/>
      <c r="X335" s="512"/>
      <c r="Y335" s="512"/>
      <c r="Z335" s="512"/>
      <c r="AA335" s="512"/>
      <c r="AB335" s="512"/>
      <c r="AC335" s="512"/>
    </row>
    <row r="336">
      <c r="A336" s="512"/>
      <c r="B336" s="512"/>
      <c r="C336" s="512"/>
      <c r="D336" s="512"/>
      <c r="E336" s="512"/>
      <c r="F336" s="512"/>
      <c r="G336" s="512"/>
      <c r="H336" s="512"/>
      <c r="I336" s="512"/>
      <c r="J336" s="512"/>
      <c r="K336" s="512"/>
      <c r="L336" s="512"/>
      <c r="M336" s="512"/>
      <c r="N336" s="512"/>
      <c r="O336" s="512"/>
      <c r="P336" s="156"/>
      <c r="Q336" s="512"/>
      <c r="R336" s="512"/>
      <c r="S336" s="512"/>
      <c r="T336" s="512"/>
      <c r="U336" s="512"/>
      <c r="V336" s="512"/>
      <c r="W336" s="512"/>
      <c r="X336" s="512"/>
      <c r="Y336" s="512"/>
      <c r="Z336" s="512"/>
      <c r="AA336" s="512"/>
      <c r="AB336" s="512"/>
      <c r="AC336" s="512"/>
    </row>
    <row r="337">
      <c r="A337" s="512"/>
      <c r="B337" s="512"/>
      <c r="C337" s="512"/>
      <c r="D337" s="512"/>
      <c r="E337" s="512"/>
      <c r="F337" s="512"/>
      <c r="G337" s="512"/>
      <c r="H337" s="512"/>
      <c r="I337" s="512"/>
      <c r="J337" s="512"/>
      <c r="K337" s="512"/>
      <c r="L337" s="512"/>
      <c r="M337" s="512"/>
      <c r="N337" s="512"/>
      <c r="O337" s="512"/>
      <c r="P337" s="156"/>
      <c r="Q337" s="512"/>
      <c r="R337" s="512"/>
      <c r="S337" s="512"/>
      <c r="T337" s="512"/>
      <c r="U337" s="512"/>
      <c r="V337" s="512"/>
      <c r="W337" s="512"/>
      <c r="X337" s="512"/>
      <c r="Y337" s="512"/>
      <c r="Z337" s="512"/>
      <c r="AA337" s="512"/>
      <c r="AB337" s="512"/>
      <c r="AC337" s="512"/>
    </row>
    <row r="338">
      <c r="A338" s="512"/>
      <c r="B338" s="512"/>
      <c r="C338" s="512"/>
      <c r="D338" s="512"/>
      <c r="E338" s="512"/>
      <c r="F338" s="512"/>
      <c r="G338" s="512"/>
      <c r="H338" s="512"/>
      <c r="I338" s="512"/>
      <c r="J338" s="512"/>
      <c r="K338" s="512"/>
      <c r="L338" s="512"/>
      <c r="M338" s="512"/>
      <c r="N338" s="512"/>
      <c r="O338" s="512"/>
      <c r="P338" s="156"/>
      <c r="Q338" s="512"/>
      <c r="R338" s="512"/>
      <c r="S338" s="512"/>
      <c r="T338" s="512"/>
      <c r="U338" s="512"/>
      <c r="V338" s="512"/>
      <c r="W338" s="512"/>
      <c r="X338" s="512"/>
      <c r="Y338" s="512"/>
      <c r="Z338" s="512"/>
      <c r="AA338" s="512"/>
      <c r="AB338" s="512"/>
      <c r="AC338" s="512"/>
    </row>
    <row r="339">
      <c r="A339" s="512"/>
      <c r="B339" s="512"/>
      <c r="C339" s="512"/>
      <c r="D339" s="512"/>
      <c r="E339" s="512"/>
      <c r="F339" s="512"/>
      <c r="G339" s="512"/>
      <c r="H339" s="512"/>
      <c r="I339" s="512"/>
      <c r="J339" s="512"/>
      <c r="K339" s="512"/>
      <c r="L339" s="512"/>
      <c r="M339" s="512"/>
      <c r="N339" s="512"/>
      <c r="O339" s="512"/>
      <c r="P339" s="156"/>
      <c r="Q339" s="512"/>
      <c r="R339" s="512"/>
      <c r="S339" s="512"/>
      <c r="T339" s="512"/>
      <c r="U339" s="512"/>
      <c r="V339" s="512"/>
      <c r="W339" s="512"/>
      <c r="X339" s="512"/>
      <c r="Y339" s="512"/>
      <c r="Z339" s="512"/>
      <c r="AA339" s="512"/>
      <c r="AB339" s="512"/>
      <c r="AC339" s="512"/>
    </row>
    <row r="340">
      <c r="A340" s="512"/>
      <c r="B340" s="512"/>
      <c r="C340" s="512"/>
      <c r="D340" s="512"/>
      <c r="E340" s="512"/>
      <c r="F340" s="512"/>
      <c r="G340" s="512"/>
      <c r="H340" s="512"/>
      <c r="I340" s="512"/>
      <c r="J340" s="512"/>
      <c r="K340" s="512"/>
      <c r="L340" s="512"/>
      <c r="M340" s="512"/>
      <c r="N340" s="512"/>
      <c r="O340" s="512"/>
      <c r="P340" s="156"/>
      <c r="Q340" s="512"/>
      <c r="R340" s="512"/>
      <c r="S340" s="512"/>
      <c r="T340" s="512"/>
      <c r="U340" s="512"/>
      <c r="V340" s="512"/>
      <c r="W340" s="512"/>
      <c r="X340" s="512"/>
      <c r="Y340" s="512"/>
      <c r="Z340" s="512"/>
      <c r="AA340" s="512"/>
      <c r="AB340" s="512"/>
      <c r="AC340" s="512"/>
    </row>
    <row r="341">
      <c r="A341" s="512"/>
      <c r="B341" s="512"/>
      <c r="C341" s="512"/>
      <c r="D341" s="512"/>
      <c r="E341" s="512"/>
      <c r="F341" s="512"/>
      <c r="G341" s="512"/>
      <c r="H341" s="512"/>
      <c r="I341" s="512"/>
      <c r="J341" s="512"/>
      <c r="K341" s="512"/>
      <c r="L341" s="512"/>
      <c r="M341" s="512"/>
      <c r="N341" s="512"/>
      <c r="O341" s="512"/>
      <c r="P341" s="156"/>
      <c r="Q341" s="512"/>
      <c r="R341" s="512"/>
      <c r="S341" s="512"/>
      <c r="T341" s="512"/>
      <c r="U341" s="512"/>
      <c r="V341" s="512"/>
      <c r="W341" s="512"/>
      <c r="X341" s="512"/>
      <c r="Y341" s="512"/>
      <c r="Z341" s="512"/>
      <c r="AA341" s="512"/>
      <c r="AB341" s="512"/>
      <c r="AC341" s="512"/>
    </row>
    <row r="342">
      <c r="A342" s="512"/>
      <c r="B342" s="512"/>
      <c r="C342" s="512"/>
      <c r="D342" s="512"/>
      <c r="E342" s="512"/>
      <c r="F342" s="512"/>
      <c r="G342" s="512"/>
      <c r="H342" s="512"/>
      <c r="I342" s="512"/>
      <c r="J342" s="512"/>
      <c r="K342" s="512"/>
      <c r="L342" s="512"/>
      <c r="M342" s="512"/>
      <c r="N342" s="512"/>
      <c r="O342" s="512"/>
      <c r="P342" s="156"/>
      <c r="Q342" s="512"/>
      <c r="R342" s="512"/>
      <c r="S342" s="512"/>
      <c r="T342" s="512"/>
      <c r="U342" s="512"/>
      <c r="V342" s="512"/>
      <c r="W342" s="512"/>
      <c r="X342" s="512"/>
      <c r="Y342" s="512"/>
      <c r="Z342" s="512"/>
      <c r="AA342" s="512"/>
      <c r="AB342" s="512"/>
      <c r="AC342" s="512"/>
    </row>
    <row r="343">
      <c r="A343" s="512"/>
      <c r="B343" s="512"/>
      <c r="C343" s="512"/>
      <c r="D343" s="512"/>
      <c r="E343" s="512"/>
      <c r="F343" s="512"/>
      <c r="G343" s="512"/>
      <c r="H343" s="512"/>
      <c r="I343" s="512"/>
      <c r="J343" s="512"/>
      <c r="K343" s="512"/>
      <c r="L343" s="512"/>
      <c r="M343" s="512"/>
      <c r="N343" s="512"/>
      <c r="O343" s="512"/>
      <c r="P343" s="156"/>
      <c r="Q343" s="512"/>
      <c r="R343" s="512"/>
      <c r="S343" s="512"/>
      <c r="T343" s="512"/>
      <c r="U343" s="512"/>
      <c r="V343" s="512"/>
      <c r="W343" s="512"/>
      <c r="X343" s="512"/>
      <c r="Y343" s="512"/>
      <c r="Z343" s="512"/>
      <c r="AA343" s="512"/>
      <c r="AB343" s="512"/>
      <c r="AC343" s="512"/>
    </row>
    <row r="344">
      <c r="A344" s="512"/>
      <c r="B344" s="512"/>
      <c r="C344" s="512"/>
      <c r="D344" s="512"/>
      <c r="E344" s="512"/>
      <c r="F344" s="512"/>
      <c r="G344" s="512"/>
      <c r="H344" s="512"/>
      <c r="I344" s="512"/>
      <c r="J344" s="512"/>
      <c r="K344" s="512"/>
      <c r="L344" s="512"/>
      <c r="M344" s="512"/>
      <c r="N344" s="512"/>
      <c r="O344" s="512"/>
      <c r="P344" s="156"/>
      <c r="Q344" s="512"/>
      <c r="R344" s="512"/>
      <c r="S344" s="512"/>
      <c r="T344" s="512"/>
      <c r="U344" s="512"/>
      <c r="V344" s="512"/>
      <c r="W344" s="512"/>
      <c r="X344" s="512"/>
      <c r="Y344" s="512"/>
      <c r="Z344" s="512"/>
      <c r="AA344" s="512"/>
      <c r="AB344" s="512"/>
      <c r="AC344" s="512"/>
    </row>
    <row r="345">
      <c r="A345" s="512"/>
      <c r="B345" s="512"/>
      <c r="C345" s="512"/>
      <c r="D345" s="512"/>
      <c r="E345" s="512"/>
      <c r="F345" s="512"/>
      <c r="G345" s="512"/>
      <c r="H345" s="512"/>
      <c r="I345" s="512"/>
      <c r="J345" s="512"/>
      <c r="K345" s="512"/>
      <c r="L345" s="512"/>
      <c r="M345" s="512"/>
      <c r="N345" s="512"/>
      <c r="O345" s="512"/>
      <c r="P345" s="156"/>
      <c r="Q345" s="512"/>
      <c r="R345" s="512"/>
      <c r="S345" s="512"/>
      <c r="T345" s="512"/>
      <c r="U345" s="512"/>
      <c r="V345" s="512"/>
      <c r="W345" s="512"/>
      <c r="X345" s="512"/>
      <c r="Y345" s="512"/>
      <c r="Z345" s="512"/>
      <c r="AA345" s="512"/>
      <c r="AB345" s="512"/>
      <c r="AC345" s="512"/>
    </row>
    <row r="346">
      <c r="A346" s="512"/>
      <c r="B346" s="512"/>
      <c r="C346" s="512"/>
      <c r="D346" s="512"/>
      <c r="E346" s="512"/>
      <c r="F346" s="512"/>
      <c r="G346" s="512"/>
      <c r="H346" s="512"/>
      <c r="I346" s="512"/>
      <c r="J346" s="512"/>
      <c r="K346" s="512"/>
      <c r="L346" s="512"/>
      <c r="M346" s="512"/>
      <c r="N346" s="512"/>
      <c r="O346" s="512"/>
      <c r="P346" s="156"/>
      <c r="Q346" s="512"/>
      <c r="R346" s="512"/>
      <c r="S346" s="512"/>
      <c r="T346" s="512"/>
      <c r="U346" s="512"/>
      <c r="V346" s="512"/>
      <c r="W346" s="512"/>
      <c r="X346" s="512"/>
      <c r="Y346" s="512"/>
      <c r="Z346" s="512"/>
      <c r="AA346" s="512"/>
      <c r="AB346" s="512"/>
      <c r="AC346" s="512"/>
    </row>
    <row r="347">
      <c r="A347" s="512"/>
      <c r="B347" s="512"/>
      <c r="C347" s="512"/>
      <c r="D347" s="512"/>
      <c r="E347" s="512"/>
      <c r="F347" s="512"/>
      <c r="G347" s="512"/>
      <c r="H347" s="512"/>
      <c r="I347" s="512"/>
      <c r="J347" s="512"/>
      <c r="K347" s="512"/>
      <c r="L347" s="512"/>
      <c r="M347" s="512"/>
      <c r="N347" s="512"/>
      <c r="O347" s="512"/>
      <c r="P347" s="156"/>
      <c r="Q347" s="512"/>
      <c r="R347" s="512"/>
      <c r="S347" s="512"/>
      <c r="T347" s="512"/>
      <c r="U347" s="512"/>
      <c r="V347" s="512"/>
      <c r="W347" s="512"/>
      <c r="X347" s="512"/>
      <c r="Y347" s="512"/>
      <c r="Z347" s="512"/>
      <c r="AA347" s="512"/>
      <c r="AB347" s="512"/>
      <c r="AC347" s="512"/>
    </row>
    <row r="348">
      <c r="A348" s="512"/>
      <c r="B348" s="512"/>
      <c r="C348" s="512"/>
      <c r="D348" s="512"/>
      <c r="E348" s="512"/>
      <c r="F348" s="512"/>
      <c r="G348" s="512"/>
      <c r="H348" s="512"/>
      <c r="I348" s="512"/>
      <c r="J348" s="512"/>
      <c r="K348" s="512"/>
      <c r="L348" s="512"/>
      <c r="M348" s="512"/>
      <c r="N348" s="512"/>
      <c r="O348" s="512"/>
      <c r="P348" s="156"/>
      <c r="Q348" s="512"/>
      <c r="R348" s="512"/>
      <c r="S348" s="512"/>
      <c r="T348" s="512"/>
      <c r="U348" s="512"/>
      <c r="V348" s="512"/>
      <c r="W348" s="512"/>
      <c r="X348" s="512"/>
      <c r="Y348" s="512"/>
      <c r="Z348" s="512"/>
      <c r="AA348" s="512"/>
      <c r="AB348" s="512"/>
      <c r="AC348" s="512"/>
    </row>
    <row r="349">
      <c r="A349" s="512"/>
      <c r="B349" s="512"/>
      <c r="C349" s="512"/>
      <c r="D349" s="512"/>
      <c r="E349" s="512"/>
      <c r="F349" s="512"/>
      <c r="G349" s="512"/>
      <c r="H349" s="512"/>
      <c r="I349" s="512"/>
      <c r="J349" s="512"/>
      <c r="K349" s="512"/>
      <c r="L349" s="512"/>
      <c r="M349" s="512"/>
      <c r="N349" s="512"/>
      <c r="O349" s="512"/>
      <c r="P349" s="156"/>
      <c r="Q349" s="512"/>
      <c r="R349" s="512"/>
      <c r="S349" s="512"/>
      <c r="T349" s="512"/>
      <c r="U349" s="512"/>
      <c r="V349" s="512"/>
      <c r="W349" s="512"/>
      <c r="X349" s="512"/>
      <c r="Y349" s="512"/>
      <c r="Z349" s="512"/>
      <c r="AA349" s="512"/>
      <c r="AB349" s="512"/>
      <c r="AC349" s="512"/>
    </row>
    <row r="350">
      <c r="A350" s="512"/>
      <c r="B350" s="512"/>
      <c r="C350" s="512"/>
      <c r="D350" s="512"/>
      <c r="E350" s="512"/>
      <c r="F350" s="512"/>
      <c r="G350" s="512"/>
      <c r="H350" s="512"/>
      <c r="I350" s="512"/>
      <c r="J350" s="512"/>
      <c r="K350" s="512"/>
      <c r="L350" s="512"/>
      <c r="M350" s="512"/>
      <c r="N350" s="512"/>
      <c r="O350" s="512"/>
      <c r="P350" s="156"/>
      <c r="Q350" s="512"/>
      <c r="R350" s="512"/>
      <c r="S350" s="512"/>
      <c r="T350" s="512"/>
      <c r="U350" s="512"/>
      <c r="V350" s="512"/>
      <c r="W350" s="512"/>
      <c r="X350" s="512"/>
      <c r="Y350" s="512"/>
      <c r="Z350" s="512"/>
      <c r="AA350" s="512"/>
      <c r="AB350" s="512"/>
      <c r="AC350" s="512"/>
    </row>
    <row r="351">
      <c r="A351" s="512"/>
      <c r="B351" s="512"/>
      <c r="C351" s="512"/>
      <c r="D351" s="512"/>
      <c r="E351" s="512"/>
      <c r="F351" s="512"/>
      <c r="G351" s="512"/>
      <c r="H351" s="512"/>
      <c r="I351" s="512"/>
      <c r="J351" s="512"/>
      <c r="K351" s="512"/>
      <c r="L351" s="512"/>
      <c r="M351" s="512"/>
      <c r="N351" s="512"/>
      <c r="O351" s="512"/>
      <c r="P351" s="156"/>
      <c r="Q351" s="512"/>
      <c r="R351" s="512"/>
      <c r="S351" s="512"/>
      <c r="T351" s="512"/>
      <c r="U351" s="512"/>
      <c r="V351" s="512"/>
      <c r="W351" s="512"/>
      <c r="X351" s="512"/>
      <c r="Y351" s="512"/>
      <c r="Z351" s="512"/>
      <c r="AA351" s="512"/>
      <c r="AB351" s="512"/>
      <c r="AC351" s="512"/>
    </row>
    <row r="352">
      <c r="A352" s="512"/>
      <c r="B352" s="512"/>
      <c r="C352" s="512"/>
      <c r="D352" s="512"/>
      <c r="E352" s="512"/>
      <c r="F352" s="512"/>
      <c r="G352" s="512"/>
      <c r="H352" s="512"/>
      <c r="I352" s="512"/>
      <c r="J352" s="512"/>
      <c r="K352" s="512"/>
      <c r="L352" s="512"/>
      <c r="M352" s="512"/>
      <c r="N352" s="512"/>
      <c r="O352" s="512"/>
      <c r="P352" s="156"/>
      <c r="Q352" s="512"/>
      <c r="R352" s="512"/>
      <c r="S352" s="512"/>
      <c r="T352" s="512"/>
      <c r="U352" s="512"/>
      <c r="V352" s="512"/>
      <c r="W352" s="512"/>
      <c r="X352" s="512"/>
      <c r="Y352" s="512"/>
      <c r="Z352" s="512"/>
      <c r="AA352" s="512"/>
      <c r="AB352" s="512"/>
      <c r="AC352" s="512"/>
    </row>
    <row r="353">
      <c r="A353" s="512"/>
      <c r="B353" s="512"/>
      <c r="C353" s="512"/>
      <c r="D353" s="512"/>
      <c r="E353" s="512"/>
      <c r="F353" s="512"/>
      <c r="G353" s="512"/>
      <c r="H353" s="512"/>
      <c r="I353" s="512"/>
      <c r="J353" s="512"/>
      <c r="K353" s="512"/>
      <c r="L353" s="512"/>
      <c r="M353" s="512"/>
      <c r="N353" s="512"/>
      <c r="O353" s="512"/>
      <c r="P353" s="156"/>
      <c r="Q353" s="512"/>
      <c r="R353" s="512"/>
      <c r="S353" s="512"/>
      <c r="T353" s="512"/>
      <c r="U353" s="512"/>
      <c r="V353" s="512"/>
      <c r="W353" s="512"/>
      <c r="X353" s="512"/>
      <c r="Y353" s="512"/>
      <c r="Z353" s="512"/>
      <c r="AA353" s="512"/>
      <c r="AB353" s="512"/>
      <c r="AC353" s="512"/>
    </row>
    <row r="354">
      <c r="A354" s="512"/>
      <c r="B354" s="512"/>
      <c r="C354" s="512"/>
      <c r="D354" s="512"/>
      <c r="E354" s="512"/>
      <c r="F354" s="512"/>
      <c r="G354" s="512"/>
      <c r="H354" s="512"/>
      <c r="I354" s="512"/>
      <c r="J354" s="512"/>
      <c r="K354" s="512"/>
      <c r="L354" s="512"/>
      <c r="M354" s="512"/>
      <c r="N354" s="512"/>
      <c r="O354" s="512"/>
      <c r="P354" s="156"/>
      <c r="Q354" s="512"/>
      <c r="R354" s="512"/>
      <c r="S354" s="512"/>
      <c r="T354" s="512"/>
      <c r="U354" s="512"/>
      <c r="V354" s="512"/>
      <c r="W354" s="512"/>
      <c r="X354" s="512"/>
      <c r="Y354" s="512"/>
      <c r="Z354" s="512"/>
      <c r="AA354" s="512"/>
      <c r="AB354" s="512"/>
      <c r="AC354" s="512"/>
    </row>
    <row r="355">
      <c r="A355" s="512"/>
      <c r="B355" s="512"/>
      <c r="C355" s="512"/>
      <c r="D355" s="512"/>
      <c r="E355" s="512"/>
      <c r="F355" s="512"/>
      <c r="G355" s="512"/>
      <c r="H355" s="512"/>
      <c r="I355" s="512"/>
      <c r="J355" s="512"/>
      <c r="K355" s="512"/>
      <c r="L355" s="512"/>
      <c r="M355" s="512"/>
      <c r="N355" s="512"/>
      <c r="O355" s="512"/>
      <c r="P355" s="156"/>
      <c r="Q355" s="512"/>
      <c r="R355" s="512"/>
      <c r="S355" s="512"/>
      <c r="T355" s="512"/>
      <c r="U355" s="512"/>
      <c r="V355" s="512"/>
      <c r="W355" s="512"/>
      <c r="X355" s="512"/>
      <c r="Y355" s="512"/>
      <c r="Z355" s="512"/>
      <c r="AA355" s="512"/>
      <c r="AB355" s="512"/>
      <c r="AC355" s="512"/>
    </row>
    <row r="356">
      <c r="A356" s="512"/>
      <c r="B356" s="512"/>
      <c r="C356" s="512"/>
      <c r="D356" s="512"/>
      <c r="E356" s="512"/>
      <c r="F356" s="512"/>
      <c r="G356" s="512"/>
      <c r="H356" s="512"/>
      <c r="I356" s="512"/>
      <c r="J356" s="512"/>
      <c r="K356" s="512"/>
      <c r="L356" s="512"/>
      <c r="M356" s="512"/>
      <c r="N356" s="512"/>
      <c r="O356" s="512"/>
      <c r="P356" s="156"/>
      <c r="Q356" s="512"/>
      <c r="R356" s="512"/>
      <c r="S356" s="512"/>
      <c r="T356" s="512"/>
      <c r="U356" s="512"/>
      <c r="V356" s="512"/>
      <c r="W356" s="512"/>
      <c r="X356" s="512"/>
      <c r="Y356" s="512"/>
      <c r="Z356" s="512"/>
      <c r="AA356" s="512"/>
      <c r="AB356" s="512"/>
      <c r="AC356" s="512"/>
    </row>
    <row r="357">
      <c r="A357" s="512"/>
      <c r="B357" s="512"/>
      <c r="C357" s="512"/>
      <c r="D357" s="512"/>
      <c r="E357" s="512"/>
      <c r="F357" s="512"/>
      <c r="G357" s="512"/>
      <c r="H357" s="512"/>
      <c r="I357" s="512"/>
      <c r="J357" s="512"/>
      <c r="K357" s="512"/>
      <c r="L357" s="512"/>
      <c r="M357" s="512"/>
      <c r="N357" s="512"/>
      <c r="O357" s="512"/>
      <c r="P357" s="156"/>
      <c r="Q357" s="512"/>
      <c r="R357" s="512"/>
      <c r="S357" s="512"/>
      <c r="T357" s="512"/>
      <c r="U357" s="512"/>
      <c r="V357" s="512"/>
      <c r="W357" s="512"/>
      <c r="X357" s="512"/>
      <c r="Y357" s="512"/>
      <c r="Z357" s="512"/>
      <c r="AA357" s="512"/>
      <c r="AB357" s="512"/>
      <c r="AC357" s="512"/>
    </row>
    <row r="358">
      <c r="A358" s="512"/>
      <c r="B358" s="512"/>
      <c r="C358" s="512"/>
      <c r="D358" s="512"/>
      <c r="E358" s="512"/>
      <c r="F358" s="512"/>
      <c r="G358" s="512"/>
      <c r="H358" s="512"/>
      <c r="I358" s="512"/>
      <c r="J358" s="512"/>
      <c r="K358" s="512"/>
      <c r="L358" s="512"/>
      <c r="M358" s="512"/>
      <c r="N358" s="512"/>
      <c r="O358" s="512"/>
      <c r="P358" s="156"/>
      <c r="Q358" s="512"/>
      <c r="R358" s="512"/>
      <c r="S358" s="512"/>
      <c r="T358" s="512"/>
      <c r="U358" s="512"/>
      <c r="V358" s="512"/>
      <c r="W358" s="512"/>
      <c r="X358" s="512"/>
      <c r="Y358" s="512"/>
      <c r="Z358" s="512"/>
      <c r="AA358" s="512"/>
      <c r="AB358" s="512"/>
      <c r="AC358" s="512"/>
    </row>
    <row r="359">
      <c r="A359" s="512"/>
      <c r="B359" s="512"/>
      <c r="C359" s="512"/>
      <c r="D359" s="512"/>
      <c r="E359" s="512"/>
      <c r="F359" s="512"/>
      <c r="G359" s="512"/>
      <c r="H359" s="512"/>
      <c r="I359" s="512"/>
      <c r="J359" s="512"/>
      <c r="K359" s="512"/>
      <c r="L359" s="512"/>
      <c r="M359" s="512"/>
      <c r="N359" s="512"/>
      <c r="O359" s="512"/>
      <c r="P359" s="156"/>
      <c r="Q359" s="512"/>
      <c r="R359" s="512"/>
      <c r="S359" s="512"/>
      <c r="T359" s="512"/>
      <c r="U359" s="512"/>
      <c r="V359" s="512"/>
      <c r="W359" s="512"/>
      <c r="X359" s="512"/>
      <c r="Y359" s="512"/>
      <c r="Z359" s="512"/>
      <c r="AA359" s="512"/>
      <c r="AB359" s="512"/>
      <c r="AC359" s="512"/>
    </row>
    <row r="360">
      <c r="A360" s="512"/>
      <c r="B360" s="512"/>
      <c r="C360" s="512"/>
      <c r="D360" s="512"/>
      <c r="E360" s="512"/>
      <c r="F360" s="512"/>
      <c r="G360" s="512"/>
      <c r="H360" s="512"/>
      <c r="I360" s="512"/>
      <c r="J360" s="512"/>
      <c r="K360" s="512"/>
      <c r="L360" s="512"/>
      <c r="M360" s="512"/>
      <c r="N360" s="512"/>
      <c r="O360" s="512"/>
      <c r="P360" s="156"/>
      <c r="Q360" s="512"/>
      <c r="R360" s="512"/>
      <c r="S360" s="512"/>
      <c r="T360" s="512"/>
      <c r="U360" s="512"/>
      <c r="V360" s="512"/>
      <c r="W360" s="512"/>
      <c r="X360" s="512"/>
      <c r="Y360" s="512"/>
      <c r="Z360" s="512"/>
      <c r="AA360" s="512"/>
      <c r="AB360" s="512"/>
      <c r="AC360" s="512"/>
    </row>
    <row r="361">
      <c r="A361" s="512"/>
      <c r="B361" s="512"/>
      <c r="C361" s="512"/>
      <c r="D361" s="512"/>
      <c r="E361" s="512"/>
      <c r="F361" s="512"/>
      <c r="G361" s="512"/>
      <c r="H361" s="512"/>
      <c r="I361" s="512"/>
      <c r="J361" s="512"/>
      <c r="K361" s="512"/>
      <c r="L361" s="512"/>
      <c r="M361" s="512"/>
      <c r="N361" s="512"/>
      <c r="O361" s="512"/>
      <c r="P361" s="156"/>
      <c r="Q361" s="512"/>
      <c r="R361" s="512"/>
      <c r="S361" s="512"/>
      <c r="T361" s="512"/>
      <c r="U361" s="512"/>
      <c r="V361" s="512"/>
      <c r="W361" s="512"/>
      <c r="X361" s="512"/>
      <c r="Y361" s="512"/>
      <c r="Z361" s="512"/>
      <c r="AA361" s="512"/>
      <c r="AB361" s="512"/>
      <c r="AC361" s="512"/>
    </row>
    <row r="362">
      <c r="A362" s="512"/>
      <c r="B362" s="512"/>
      <c r="C362" s="512"/>
      <c r="D362" s="512"/>
      <c r="E362" s="512"/>
      <c r="F362" s="512"/>
      <c r="G362" s="512"/>
      <c r="H362" s="512"/>
      <c r="I362" s="512"/>
      <c r="J362" s="512"/>
      <c r="K362" s="512"/>
      <c r="L362" s="512"/>
      <c r="M362" s="512"/>
      <c r="N362" s="512"/>
      <c r="O362" s="512"/>
      <c r="P362" s="156"/>
      <c r="Q362" s="512"/>
      <c r="R362" s="512"/>
      <c r="S362" s="512"/>
      <c r="T362" s="512"/>
      <c r="U362" s="512"/>
      <c r="V362" s="512"/>
      <c r="W362" s="512"/>
      <c r="X362" s="512"/>
      <c r="Y362" s="512"/>
      <c r="Z362" s="512"/>
      <c r="AA362" s="512"/>
      <c r="AB362" s="512"/>
      <c r="AC362" s="512"/>
    </row>
    <row r="363">
      <c r="A363" s="512"/>
      <c r="B363" s="512"/>
      <c r="C363" s="512"/>
      <c r="D363" s="512"/>
      <c r="E363" s="512"/>
      <c r="F363" s="512"/>
      <c r="G363" s="512"/>
      <c r="H363" s="512"/>
      <c r="I363" s="512"/>
      <c r="J363" s="512"/>
      <c r="K363" s="512"/>
      <c r="L363" s="512"/>
      <c r="M363" s="512"/>
      <c r="N363" s="512"/>
      <c r="O363" s="512"/>
      <c r="P363" s="156"/>
      <c r="Q363" s="512"/>
      <c r="R363" s="512"/>
      <c r="S363" s="512"/>
      <c r="T363" s="512"/>
      <c r="U363" s="512"/>
      <c r="V363" s="512"/>
      <c r="W363" s="512"/>
      <c r="X363" s="512"/>
      <c r="Y363" s="512"/>
      <c r="Z363" s="512"/>
      <c r="AA363" s="512"/>
      <c r="AB363" s="512"/>
      <c r="AC363" s="512"/>
    </row>
    <row r="364">
      <c r="A364" s="512"/>
      <c r="B364" s="512"/>
      <c r="C364" s="512"/>
      <c r="D364" s="512"/>
      <c r="E364" s="512"/>
      <c r="F364" s="512"/>
      <c r="G364" s="512"/>
      <c r="H364" s="512"/>
      <c r="I364" s="512"/>
      <c r="J364" s="512"/>
      <c r="K364" s="512"/>
      <c r="L364" s="512"/>
      <c r="M364" s="512"/>
      <c r="N364" s="512"/>
      <c r="O364" s="512"/>
      <c r="P364" s="156"/>
      <c r="Q364" s="512"/>
      <c r="R364" s="512"/>
      <c r="S364" s="512"/>
      <c r="T364" s="512"/>
      <c r="U364" s="512"/>
      <c r="V364" s="512"/>
      <c r="W364" s="512"/>
      <c r="X364" s="512"/>
      <c r="Y364" s="512"/>
      <c r="Z364" s="512"/>
      <c r="AA364" s="512"/>
      <c r="AB364" s="512"/>
      <c r="AC364" s="512"/>
    </row>
    <row r="365">
      <c r="A365" s="512"/>
      <c r="B365" s="512"/>
      <c r="C365" s="512"/>
      <c r="D365" s="512"/>
      <c r="E365" s="512"/>
      <c r="F365" s="512"/>
      <c r="G365" s="512"/>
      <c r="H365" s="512"/>
      <c r="I365" s="512"/>
      <c r="J365" s="512"/>
      <c r="K365" s="512"/>
      <c r="L365" s="512"/>
      <c r="M365" s="512"/>
      <c r="N365" s="512"/>
      <c r="O365" s="512"/>
      <c r="P365" s="156"/>
      <c r="Q365" s="512"/>
      <c r="R365" s="512"/>
      <c r="S365" s="512"/>
      <c r="T365" s="512"/>
      <c r="U365" s="512"/>
      <c r="V365" s="512"/>
      <c r="W365" s="512"/>
      <c r="X365" s="512"/>
      <c r="Y365" s="512"/>
      <c r="Z365" s="512"/>
      <c r="AA365" s="512"/>
      <c r="AB365" s="512"/>
      <c r="AC365" s="512"/>
    </row>
    <row r="366">
      <c r="A366" s="512"/>
      <c r="B366" s="512"/>
      <c r="C366" s="512"/>
      <c r="D366" s="512"/>
      <c r="E366" s="512"/>
      <c r="F366" s="512"/>
      <c r="G366" s="512"/>
      <c r="H366" s="512"/>
      <c r="I366" s="512"/>
      <c r="J366" s="512"/>
      <c r="K366" s="512"/>
      <c r="L366" s="512"/>
      <c r="M366" s="512"/>
      <c r="N366" s="512"/>
      <c r="O366" s="512"/>
      <c r="P366" s="156"/>
      <c r="Q366" s="512"/>
      <c r="R366" s="512"/>
      <c r="S366" s="512"/>
      <c r="T366" s="512"/>
      <c r="U366" s="512"/>
      <c r="V366" s="512"/>
      <c r="W366" s="512"/>
      <c r="X366" s="512"/>
      <c r="Y366" s="512"/>
      <c r="Z366" s="512"/>
      <c r="AA366" s="512"/>
      <c r="AB366" s="512"/>
      <c r="AC366" s="512"/>
    </row>
    <row r="367">
      <c r="A367" s="512"/>
      <c r="B367" s="512"/>
      <c r="C367" s="512"/>
      <c r="D367" s="512"/>
      <c r="E367" s="512"/>
      <c r="F367" s="512"/>
      <c r="G367" s="512"/>
      <c r="H367" s="512"/>
      <c r="I367" s="512"/>
      <c r="J367" s="512"/>
      <c r="K367" s="512"/>
      <c r="L367" s="512"/>
      <c r="M367" s="512"/>
      <c r="N367" s="512"/>
      <c r="O367" s="512"/>
      <c r="P367" s="156"/>
      <c r="Q367" s="512"/>
      <c r="R367" s="512"/>
      <c r="S367" s="512"/>
      <c r="T367" s="512"/>
      <c r="U367" s="512"/>
      <c r="V367" s="512"/>
      <c r="W367" s="512"/>
      <c r="X367" s="512"/>
      <c r="Y367" s="512"/>
      <c r="Z367" s="512"/>
      <c r="AA367" s="512"/>
      <c r="AB367" s="512"/>
      <c r="AC367" s="512"/>
    </row>
    <row r="368">
      <c r="A368" s="512"/>
      <c r="B368" s="512"/>
      <c r="C368" s="512"/>
      <c r="D368" s="512"/>
      <c r="E368" s="512"/>
      <c r="F368" s="512"/>
      <c r="G368" s="512"/>
      <c r="H368" s="512"/>
      <c r="I368" s="512"/>
      <c r="J368" s="512"/>
      <c r="K368" s="512"/>
      <c r="L368" s="512"/>
      <c r="M368" s="512"/>
      <c r="N368" s="512"/>
      <c r="O368" s="512"/>
      <c r="P368" s="156"/>
      <c r="Q368" s="512"/>
      <c r="R368" s="512"/>
      <c r="S368" s="512"/>
      <c r="T368" s="512"/>
      <c r="U368" s="512"/>
      <c r="V368" s="512"/>
      <c r="W368" s="512"/>
      <c r="X368" s="512"/>
      <c r="Y368" s="512"/>
      <c r="Z368" s="512"/>
      <c r="AA368" s="512"/>
      <c r="AB368" s="512"/>
      <c r="AC368" s="512"/>
    </row>
    <row r="369">
      <c r="A369" s="512"/>
      <c r="B369" s="512"/>
      <c r="C369" s="512"/>
      <c r="D369" s="512"/>
      <c r="E369" s="512"/>
      <c r="F369" s="512"/>
      <c r="G369" s="512"/>
      <c r="H369" s="512"/>
      <c r="I369" s="512"/>
      <c r="J369" s="512"/>
      <c r="K369" s="512"/>
      <c r="L369" s="512"/>
      <c r="M369" s="512"/>
      <c r="N369" s="512"/>
      <c r="O369" s="512"/>
      <c r="P369" s="156"/>
      <c r="Q369" s="512"/>
      <c r="R369" s="512"/>
      <c r="S369" s="512"/>
      <c r="T369" s="512"/>
      <c r="U369" s="512"/>
      <c r="V369" s="512"/>
      <c r="W369" s="512"/>
      <c r="X369" s="512"/>
      <c r="Y369" s="512"/>
      <c r="Z369" s="512"/>
      <c r="AA369" s="512"/>
      <c r="AB369" s="512"/>
      <c r="AC369" s="512"/>
    </row>
    <row r="370">
      <c r="A370" s="512"/>
      <c r="B370" s="512"/>
      <c r="C370" s="512"/>
      <c r="D370" s="512"/>
      <c r="E370" s="512"/>
      <c r="F370" s="512"/>
      <c r="G370" s="512"/>
      <c r="H370" s="512"/>
      <c r="I370" s="512"/>
      <c r="J370" s="512"/>
      <c r="K370" s="512"/>
      <c r="L370" s="512"/>
      <c r="M370" s="512"/>
      <c r="N370" s="512"/>
      <c r="O370" s="512"/>
      <c r="P370" s="156"/>
      <c r="Q370" s="512"/>
      <c r="R370" s="512"/>
      <c r="S370" s="512"/>
      <c r="T370" s="512"/>
      <c r="U370" s="512"/>
      <c r="V370" s="512"/>
      <c r="W370" s="512"/>
      <c r="X370" s="512"/>
      <c r="Y370" s="512"/>
      <c r="Z370" s="512"/>
      <c r="AA370" s="512"/>
      <c r="AB370" s="512"/>
      <c r="AC370" s="512"/>
    </row>
    <row r="371">
      <c r="A371" s="512"/>
      <c r="B371" s="512"/>
      <c r="C371" s="512"/>
      <c r="D371" s="512"/>
      <c r="E371" s="512"/>
      <c r="F371" s="512"/>
      <c r="G371" s="512"/>
      <c r="H371" s="512"/>
      <c r="I371" s="512"/>
      <c r="J371" s="512"/>
      <c r="K371" s="512"/>
      <c r="L371" s="512"/>
      <c r="M371" s="512"/>
      <c r="N371" s="512"/>
      <c r="O371" s="512"/>
      <c r="P371" s="156"/>
      <c r="Q371" s="512"/>
      <c r="R371" s="512"/>
      <c r="S371" s="512"/>
      <c r="T371" s="512"/>
      <c r="U371" s="512"/>
      <c r="V371" s="512"/>
      <c r="W371" s="512"/>
      <c r="X371" s="512"/>
      <c r="Y371" s="512"/>
      <c r="Z371" s="512"/>
      <c r="AA371" s="512"/>
      <c r="AB371" s="512"/>
      <c r="AC371" s="512"/>
    </row>
    <row r="372">
      <c r="A372" s="512"/>
      <c r="B372" s="512"/>
      <c r="C372" s="512"/>
      <c r="D372" s="512"/>
      <c r="E372" s="512"/>
      <c r="F372" s="512"/>
      <c r="G372" s="512"/>
      <c r="H372" s="512"/>
      <c r="I372" s="512"/>
      <c r="J372" s="512"/>
      <c r="K372" s="512"/>
      <c r="L372" s="512"/>
      <c r="M372" s="512"/>
      <c r="N372" s="512"/>
      <c r="O372" s="512"/>
      <c r="P372" s="156"/>
      <c r="Q372" s="512"/>
      <c r="R372" s="512"/>
      <c r="S372" s="512"/>
      <c r="T372" s="512"/>
      <c r="U372" s="512"/>
      <c r="V372" s="512"/>
      <c r="W372" s="512"/>
      <c r="X372" s="512"/>
      <c r="Y372" s="512"/>
      <c r="Z372" s="512"/>
      <c r="AA372" s="512"/>
      <c r="AB372" s="512"/>
      <c r="AC372" s="512"/>
    </row>
    <row r="373">
      <c r="A373" s="512"/>
      <c r="B373" s="512"/>
      <c r="C373" s="512"/>
      <c r="D373" s="512"/>
      <c r="E373" s="512"/>
      <c r="F373" s="512"/>
      <c r="G373" s="512"/>
      <c r="H373" s="512"/>
      <c r="I373" s="512"/>
      <c r="J373" s="512"/>
      <c r="K373" s="512"/>
      <c r="L373" s="512"/>
      <c r="M373" s="512"/>
      <c r="N373" s="512"/>
      <c r="O373" s="512"/>
      <c r="P373" s="156"/>
      <c r="Q373" s="512"/>
      <c r="R373" s="512"/>
      <c r="S373" s="512"/>
      <c r="T373" s="512"/>
      <c r="U373" s="512"/>
      <c r="V373" s="512"/>
      <c r="W373" s="512"/>
      <c r="X373" s="512"/>
      <c r="Y373" s="512"/>
      <c r="Z373" s="512"/>
      <c r="AA373" s="512"/>
      <c r="AB373" s="512"/>
      <c r="AC373" s="512"/>
    </row>
    <row r="374">
      <c r="A374" s="512"/>
      <c r="B374" s="512"/>
      <c r="C374" s="512"/>
      <c r="D374" s="512"/>
      <c r="E374" s="512"/>
      <c r="F374" s="512"/>
      <c r="G374" s="512"/>
      <c r="H374" s="512"/>
      <c r="I374" s="512"/>
      <c r="J374" s="512"/>
      <c r="K374" s="512"/>
      <c r="L374" s="512"/>
      <c r="M374" s="512"/>
      <c r="N374" s="512"/>
      <c r="O374" s="512"/>
      <c r="P374" s="156"/>
      <c r="Q374" s="512"/>
      <c r="R374" s="512"/>
      <c r="S374" s="512"/>
      <c r="T374" s="512"/>
      <c r="U374" s="512"/>
      <c r="V374" s="512"/>
      <c r="W374" s="512"/>
      <c r="X374" s="512"/>
      <c r="Y374" s="512"/>
      <c r="Z374" s="512"/>
      <c r="AA374" s="512"/>
      <c r="AB374" s="512"/>
      <c r="AC374" s="512"/>
    </row>
    <row r="375">
      <c r="A375" s="512"/>
      <c r="B375" s="512"/>
      <c r="C375" s="512"/>
      <c r="D375" s="512"/>
      <c r="E375" s="512"/>
      <c r="F375" s="512"/>
      <c r="G375" s="512"/>
      <c r="H375" s="512"/>
      <c r="I375" s="512"/>
      <c r="J375" s="512"/>
      <c r="K375" s="512"/>
      <c r="L375" s="512"/>
      <c r="M375" s="512"/>
      <c r="N375" s="512"/>
      <c r="O375" s="512"/>
      <c r="P375" s="156"/>
      <c r="Q375" s="512"/>
      <c r="R375" s="512"/>
      <c r="S375" s="512"/>
      <c r="T375" s="512"/>
      <c r="U375" s="512"/>
      <c r="V375" s="512"/>
      <c r="W375" s="512"/>
      <c r="X375" s="512"/>
      <c r="Y375" s="512"/>
      <c r="Z375" s="512"/>
      <c r="AA375" s="512"/>
      <c r="AB375" s="512"/>
      <c r="AC375" s="512"/>
    </row>
    <row r="376">
      <c r="A376" s="512"/>
      <c r="B376" s="512"/>
      <c r="C376" s="512"/>
      <c r="D376" s="512"/>
      <c r="E376" s="512"/>
      <c r="F376" s="512"/>
      <c r="G376" s="512"/>
      <c r="H376" s="512"/>
      <c r="I376" s="512"/>
      <c r="J376" s="512"/>
      <c r="K376" s="512"/>
      <c r="L376" s="512"/>
      <c r="M376" s="512"/>
      <c r="N376" s="512"/>
      <c r="O376" s="512"/>
      <c r="P376" s="156"/>
      <c r="Q376" s="512"/>
      <c r="R376" s="512"/>
      <c r="S376" s="512"/>
      <c r="T376" s="512"/>
      <c r="U376" s="512"/>
      <c r="V376" s="512"/>
      <c r="W376" s="512"/>
      <c r="X376" s="512"/>
      <c r="Y376" s="512"/>
      <c r="Z376" s="512"/>
      <c r="AA376" s="512"/>
      <c r="AB376" s="512"/>
      <c r="AC376" s="512"/>
    </row>
    <row r="377">
      <c r="A377" s="512"/>
      <c r="B377" s="512"/>
      <c r="C377" s="512"/>
      <c r="D377" s="512"/>
      <c r="E377" s="512"/>
      <c r="F377" s="512"/>
      <c r="G377" s="512"/>
      <c r="H377" s="512"/>
      <c r="I377" s="512"/>
      <c r="J377" s="512"/>
      <c r="K377" s="512"/>
      <c r="L377" s="512"/>
      <c r="M377" s="512"/>
      <c r="N377" s="512"/>
      <c r="O377" s="512"/>
      <c r="P377" s="156"/>
      <c r="Q377" s="512"/>
      <c r="R377" s="512"/>
      <c r="S377" s="512"/>
      <c r="T377" s="512"/>
      <c r="U377" s="512"/>
      <c r="V377" s="512"/>
      <c r="W377" s="512"/>
      <c r="X377" s="512"/>
      <c r="Y377" s="512"/>
      <c r="Z377" s="512"/>
      <c r="AA377" s="512"/>
      <c r="AB377" s="512"/>
      <c r="AC377" s="512"/>
    </row>
    <row r="378">
      <c r="A378" s="512"/>
      <c r="B378" s="512"/>
      <c r="C378" s="512"/>
      <c r="D378" s="512"/>
      <c r="E378" s="512"/>
      <c r="F378" s="512"/>
      <c r="G378" s="512"/>
      <c r="H378" s="512"/>
      <c r="I378" s="512"/>
      <c r="J378" s="512"/>
      <c r="K378" s="512"/>
      <c r="L378" s="512"/>
      <c r="M378" s="512"/>
      <c r="N378" s="512"/>
      <c r="O378" s="512"/>
      <c r="P378" s="156"/>
      <c r="Q378" s="512"/>
      <c r="R378" s="512"/>
      <c r="S378" s="512"/>
      <c r="T378" s="512"/>
      <c r="U378" s="512"/>
      <c r="V378" s="512"/>
      <c r="W378" s="512"/>
      <c r="X378" s="512"/>
      <c r="Y378" s="512"/>
      <c r="Z378" s="512"/>
      <c r="AA378" s="512"/>
      <c r="AB378" s="512"/>
      <c r="AC378" s="512"/>
    </row>
    <row r="379">
      <c r="A379" s="512"/>
      <c r="B379" s="512"/>
      <c r="C379" s="512"/>
      <c r="D379" s="512"/>
      <c r="E379" s="512"/>
      <c r="F379" s="512"/>
      <c r="G379" s="512"/>
      <c r="H379" s="512"/>
      <c r="I379" s="512"/>
      <c r="J379" s="512"/>
      <c r="K379" s="512"/>
      <c r="L379" s="512"/>
      <c r="M379" s="512"/>
      <c r="N379" s="512"/>
      <c r="O379" s="512"/>
      <c r="P379" s="156"/>
      <c r="Q379" s="512"/>
      <c r="R379" s="512"/>
      <c r="S379" s="512"/>
      <c r="T379" s="512"/>
      <c r="U379" s="512"/>
      <c r="V379" s="512"/>
      <c r="W379" s="512"/>
      <c r="X379" s="512"/>
      <c r="Y379" s="512"/>
      <c r="Z379" s="512"/>
      <c r="AA379" s="512"/>
      <c r="AB379" s="512"/>
      <c r="AC379" s="512"/>
    </row>
    <row r="380">
      <c r="A380" s="512"/>
      <c r="B380" s="512"/>
      <c r="C380" s="512"/>
      <c r="D380" s="512"/>
      <c r="E380" s="512"/>
      <c r="F380" s="512"/>
      <c r="G380" s="512"/>
      <c r="H380" s="512"/>
      <c r="I380" s="512"/>
      <c r="J380" s="512"/>
      <c r="K380" s="512"/>
      <c r="L380" s="512"/>
      <c r="M380" s="512"/>
      <c r="N380" s="512"/>
      <c r="O380" s="512"/>
      <c r="P380" s="156"/>
      <c r="Q380" s="512"/>
      <c r="R380" s="512"/>
      <c r="S380" s="512"/>
      <c r="T380" s="512"/>
      <c r="U380" s="512"/>
      <c r="V380" s="512"/>
      <c r="W380" s="512"/>
      <c r="X380" s="512"/>
      <c r="Y380" s="512"/>
      <c r="Z380" s="512"/>
      <c r="AA380" s="512"/>
      <c r="AB380" s="512"/>
      <c r="AC380" s="512"/>
    </row>
    <row r="381">
      <c r="A381" s="512"/>
      <c r="B381" s="512"/>
      <c r="C381" s="512"/>
      <c r="D381" s="512"/>
      <c r="E381" s="512"/>
      <c r="F381" s="512"/>
      <c r="G381" s="512"/>
      <c r="H381" s="512"/>
      <c r="I381" s="512"/>
      <c r="J381" s="512"/>
      <c r="K381" s="512"/>
      <c r="L381" s="512"/>
      <c r="M381" s="512"/>
      <c r="N381" s="512"/>
      <c r="O381" s="512"/>
      <c r="P381" s="156"/>
      <c r="Q381" s="512"/>
      <c r="R381" s="512"/>
      <c r="S381" s="512"/>
      <c r="T381" s="512"/>
      <c r="U381" s="512"/>
      <c r="V381" s="512"/>
      <c r="W381" s="512"/>
      <c r="X381" s="512"/>
      <c r="Y381" s="512"/>
      <c r="Z381" s="512"/>
      <c r="AA381" s="512"/>
      <c r="AB381" s="512"/>
      <c r="AC381" s="512"/>
    </row>
    <row r="382">
      <c r="A382" s="512"/>
      <c r="B382" s="512"/>
      <c r="C382" s="512"/>
      <c r="D382" s="512"/>
      <c r="E382" s="512"/>
      <c r="F382" s="512"/>
      <c r="G382" s="512"/>
      <c r="H382" s="512"/>
      <c r="I382" s="512"/>
      <c r="J382" s="512"/>
      <c r="K382" s="512"/>
      <c r="L382" s="512"/>
      <c r="M382" s="512"/>
      <c r="N382" s="512"/>
      <c r="O382" s="512"/>
      <c r="P382" s="156"/>
      <c r="Q382" s="512"/>
      <c r="R382" s="512"/>
      <c r="S382" s="512"/>
      <c r="T382" s="512"/>
      <c r="U382" s="512"/>
      <c r="V382" s="512"/>
      <c r="W382" s="512"/>
      <c r="X382" s="512"/>
      <c r="Y382" s="512"/>
      <c r="Z382" s="512"/>
      <c r="AA382" s="512"/>
      <c r="AB382" s="512"/>
      <c r="AC382" s="512"/>
    </row>
    <row r="383">
      <c r="A383" s="512"/>
      <c r="B383" s="512"/>
      <c r="C383" s="512"/>
      <c r="D383" s="512"/>
      <c r="E383" s="512"/>
      <c r="F383" s="512"/>
      <c r="G383" s="512"/>
      <c r="H383" s="512"/>
      <c r="I383" s="512"/>
      <c r="J383" s="512"/>
      <c r="K383" s="512"/>
      <c r="L383" s="512"/>
      <c r="M383" s="512"/>
      <c r="N383" s="512"/>
      <c r="O383" s="512"/>
      <c r="P383" s="156"/>
      <c r="Q383" s="512"/>
      <c r="R383" s="512"/>
      <c r="S383" s="512"/>
      <c r="T383" s="512"/>
      <c r="U383" s="512"/>
      <c r="V383" s="512"/>
      <c r="W383" s="512"/>
      <c r="X383" s="512"/>
      <c r="Y383" s="512"/>
      <c r="Z383" s="512"/>
      <c r="AA383" s="512"/>
      <c r="AB383" s="512"/>
      <c r="AC383" s="512"/>
    </row>
    <row r="384">
      <c r="A384" s="512"/>
      <c r="B384" s="512"/>
      <c r="C384" s="512"/>
      <c r="D384" s="512"/>
      <c r="E384" s="512"/>
      <c r="F384" s="512"/>
      <c r="G384" s="512"/>
      <c r="H384" s="512"/>
      <c r="I384" s="512"/>
      <c r="J384" s="512"/>
      <c r="K384" s="512"/>
      <c r="L384" s="512"/>
      <c r="M384" s="512"/>
      <c r="N384" s="512"/>
      <c r="O384" s="512"/>
      <c r="P384" s="156"/>
      <c r="Q384" s="512"/>
      <c r="R384" s="512"/>
      <c r="S384" s="512"/>
      <c r="T384" s="512"/>
      <c r="U384" s="512"/>
      <c r="V384" s="512"/>
      <c r="W384" s="512"/>
      <c r="X384" s="512"/>
      <c r="Y384" s="512"/>
      <c r="Z384" s="512"/>
      <c r="AA384" s="512"/>
      <c r="AB384" s="512"/>
      <c r="AC384" s="512"/>
    </row>
    <row r="385">
      <c r="A385" s="512"/>
      <c r="B385" s="512"/>
      <c r="C385" s="512"/>
      <c r="D385" s="512"/>
      <c r="E385" s="512"/>
      <c r="F385" s="512"/>
      <c r="G385" s="512"/>
      <c r="H385" s="512"/>
      <c r="I385" s="512"/>
      <c r="J385" s="512"/>
      <c r="K385" s="512"/>
      <c r="L385" s="512"/>
      <c r="M385" s="512"/>
      <c r="N385" s="512"/>
      <c r="O385" s="512"/>
      <c r="P385" s="156"/>
      <c r="Q385" s="512"/>
      <c r="R385" s="512"/>
      <c r="S385" s="512"/>
      <c r="T385" s="512"/>
      <c r="U385" s="512"/>
      <c r="V385" s="512"/>
      <c r="W385" s="512"/>
      <c r="X385" s="512"/>
      <c r="Y385" s="512"/>
      <c r="Z385" s="512"/>
      <c r="AA385" s="512"/>
      <c r="AB385" s="512"/>
      <c r="AC385" s="512"/>
    </row>
    <row r="386">
      <c r="A386" s="512"/>
      <c r="B386" s="512"/>
      <c r="C386" s="512"/>
      <c r="D386" s="512"/>
      <c r="E386" s="512"/>
      <c r="F386" s="512"/>
      <c r="G386" s="512"/>
      <c r="H386" s="512"/>
      <c r="I386" s="512"/>
      <c r="J386" s="512"/>
      <c r="K386" s="512"/>
      <c r="L386" s="512"/>
      <c r="M386" s="512"/>
      <c r="N386" s="512"/>
      <c r="O386" s="512"/>
      <c r="P386" s="156"/>
      <c r="Q386" s="512"/>
      <c r="R386" s="512"/>
      <c r="S386" s="512"/>
      <c r="T386" s="512"/>
      <c r="U386" s="512"/>
      <c r="V386" s="512"/>
      <c r="W386" s="512"/>
      <c r="X386" s="512"/>
      <c r="Y386" s="512"/>
      <c r="Z386" s="512"/>
      <c r="AA386" s="512"/>
      <c r="AB386" s="512"/>
      <c r="AC386" s="512"/>
    </row>
    <row r="387">
      <c r="A387" s="512"/>
      <c r="B387" s="512"/>
      <c r="C387" s="512"/>
      <c r="D387" s="512"/>
      <c r="E387" s="512"/>
      <c r="F387" s="512"/>
      <c r="G387" s="512"/>
      <c r="H387" s="512"/>
      <c r="I387" s="512"/>
      <c r="J387" s="512"/>
      <c r="K387" s="512"/>
      <c r="L387" s="512"/>
      <c r="M387" s="512"/>
      <c r="N387" s="512"/>
      <c r="O387" s="512"/>
      <c r="P387" s="156"/>
      <c r="Q387" s="512"/>
      <c r="R387" s="512"/>
      <c r="S387" s="512"/>
      <c r="T387" s="512"/>
      <c r="U387" s="512"/>
      <c r="V387" s="512"/>
      <c r="W387" s="512"/>
      <c r="X387" s="512"/>
      <c r="Y387" s="512"/>
      <c r="Z387" s="512"/>
      <c r="AA387" s="512"/>
      <c r="AB387" s="512"/>
      <c r="AC387" s="512"/>
    </row>
    <row r="388">
      <c r="A388" s="512"/>
      <c r="B388" s="512"/>
      <c r="C388" s="512"/>
      <c r="D388" s="512"/>
      <c r="E388" s="512"/>
      <c r="F388" s="512"/>
      <c r="G388" s="512"/>
      <c r="H388" s="512"/>
      <c r="I388" s="512"/>
      <c r="J388" s="512"/>
      <c r="K388" s="512"/>
      <c r="L388" s="512"/>
      <c r="M388" s="512"/>
      <c r="N388" s="512"/>
      <c r="O388" s="512"/>
      <c r="P388" s="156"/>
      <c r="Q388" s="512"/>
      <c r="R388" s="512"/>
      <c r="S388" s="512"/>
      <c r="T388" s="512"/>
      <c r="U388" s="512"/>
      <c r="V388" s="512"/>
      <c r="W388" s="512"/>
      <c r="X388" s="512"/>
      <c r="Y388" s="512"/>
      <c r="Z388" s="512"/>
      <c r="AA388" s="512"/>
      <c r="AB388" s="512"/>
      <c r="AC388" s="512"/>
    </row>
    <row r="389">
      <c r="A389" s="512"/>
      <c r="B389" s="512"/>
      <c r="C389" s="512"/>
      <c r="D389" s="512"/>
      <c r="E389" s="512"/>
      <c r="F389" s="512"/>
      <c r="G389" s="512"/>
      <c r="H389" s="512"/>
      <c r="I389" s="512"/>
      <c r="J389" s="512"/>
      <c r="K389" s="512"/>
      <c r="L389" s="512"/>
      <c r="M389" s="512"/>
      <c r="N389" s="512"/>
      <c r="O389" s="512"/>
      <c r="P389" s="156"/>
      <c r="Q389" s="512"/>
      <c r="R389" s="512"/>
      <c r="S389" s="512"/>
      <c r="T389" s="512"/>
      <c r="U389" s="512"/>
      <c r="V389" s="512"/>
      <c r="W389" s="512"/>
      <c r="X389" s="512"/>
      <c r="Y389" s="512"/>
      <c r="Z389" s="512"/>
      <c r="AA389" s="512"/>
      <c r="AB389" s="512"/>
      <c r="AC389" s="512"/>
    </row>
    <row r="390">
      <c r="A390" s="512"/>
      <c r="B390" s="512"/>
      <c r="C390" s="512"/>
      <c r="D390" s="512"/>
      <c r="E390" s="512"/>
      <c r="F390" s="512"/>
      <c r="G390" s="512"/>
      <c r="H390" s="512"/>
      <c r="I390" s="512"/>
      <c r="J390" s="512"/>
      <c r="K390" s="512"/>
      <c r="L390" s="512"/>
      <c r="M390" s="512"/>
      <c r="N390" s="512"/>
      <c r="O390" s="512"/>
      <c r="P390" s="156"/>
      <c r="Q390" s="512"/>
      <c r="R390" s="512"/>
      <c r="S390" s="512"/>
      <c r="T390" s="512"/>
      <c r="U390" s="512"/>
      <c r="V390" s="512"/>
      <c r="W390" s="512"/>
      <c r="X390" s="512"/>
      <c r="Y390" s="512"/>
      <c r="Z390" s="512"/>
      <c r="AA390" s="512"/>
      <c r="AB390" s="512"/>
      <c r="AC390" s="512"/>
    </row>
    <row r="391">
      <c r="A391" s="512"/>
      <c r="B391" s="512"/>
      <c r="C391" s="512"/>
      <c r="D391" s="512"/>
      <c r="E391" s="512"/>
      <c r="F391" s="512"/>
      <c r="G391" s="512"/>
      <c r="H391" s="512"/>
      <c r="I391" s="512"/>
      <c r="J391" s="512"/>
      <c r="K391" s="512"/>
      <c r="L391" s="512"/>
      <c r="M391" s="512"/>
      <c r="N391" s="512"/>
      <c r="O391" s="512"/>
      <c r="P391" s="156"/>
      <c r="Q391" s="512"/>
      <c r="R391" s="512"/>
      <c r="S391" s="512"/>
      <c r="T391" s="512"/>
      <c r="U391" s="512"/>
      <c r="V391" s="512"/>
      <c r="W391" s="512"/>
      <c r="X391" s="512"/>
      <c r="Y391" s="512"/>
      <c r="Z391" s="512"/>
      <c r="AA391" s="512"/>
      <c r="AB391" s="512"/>
      <c r="AC391" s="512"/>
    </row>
    <row r="392">
      <c r="A392" s="512"/>
      <c r="B392" s="512"/>
      <c r="C392" s="512"/>
      <c r="D392" s="512"/>
      <c r="E392" s="512"/>
      <c r="F392" s="512"/>
      <c r="G392" s="512"/>
      <c r="H392" s="512"/>
      <c r="I392" s="512"/>
      <c r="J392" s="512"/>
      <c r="K392" s="512"/>
      <c r="L392" s="512"/>
      <c r="M392" s="512"/>
      <c r="N392" s="512"/>
      <c r="O392" s="512"/>
      <c r="P392" s="156"/>
      <c r="Q392" s="512"/>
      <c r="R392" s="512"/>
      <c r="S392" s="512"/>
      <c r="T392" s="512"/>
      <c r="U392" s="512"/>
      <c r="V392" s="512"/>
      <c r="W392" s="512"/>
      <c r="X392" s="512"/>
      <c r="Y392" s="512"/>
      <c r="Z392" s="512"/>
      <c r="AA392" s="512"/>
      <c r="AB392" s="512"/>
      <c r="AC392" s="512"/>
    </row>
    <row r="393">
      <c r="A393" s="512"/>
      <c r="B393" s="512"/>
      <c r="C393" s="512"/>
      <c r="D393" s="512"/>
      <c r="E393" s="512"/>
      <c r="F393" s="512"/>
      <c r="G393" s="512"/>
      <c r="H393" s="512"/>
      <c r="I393" s="512"/>
      <c r="J393" s="512"/>
      <c r="K393" s="512"/>
      <c r="L393" s="512"/>
      <c r="M393" s="512"/>
      <c r="N393" s="512"/>
      <c r="O393" s="512"/>
      <c r="P393" s="156"/>
      <c r="Q393" s="512"/>
      <c r="R393" s="512"/>
      <c r="S393" s="512"/>
      <c r="T393" s="512"/>
      <c r="U393" s="512"/>
      <c r="V393" s="512"/>
      <c r="W393" s="512"/>
      <c r="X393" s="512"/>
      <c r="Y393" s="512"/>
      <c r="Z393" s="512"/>
      <c r="AA393" s="512"/>
      <c r="AB393" s="512"/>
      <c r="AC393" s="512"/>
    </row>
    <row r="394">
      <c r="A394" s="512"/>
      <c r="B394" s="512"/>
      <c r="C394" s="512"/>
      <c r="D394" s="512"/>
      <c r="E394" s="512"/>
      <c r="F394" s="512"/>
      <c r="G394" s="512"/>
      <c r="H394" s="512"/>
      <c r="I394" s="512"/>
      <c r="J394" s="512"/>
      <c r="K394" s="512"/>
      <c r="L394" s="512"/>
      <c r="M394" s="512"/>
      <c r="N394" s="512"/>
      <c r="O394" s="512"/>
      <c r="P394" s="156"/>
      <c r="Q394" s="512"/>
      <c r="R394" s="512"/>
      <c r="S394" s="512"/>
      <c r="T394" s="512"/>
      <c r="U394" s="512"/>
      <c r="V394" s="512"/>
      <c r="W394" s="512"/>
      <c r="X394" s="512"/>
      <c r="Y394" s="512"/>
      <c r="Z394" s="512"/>
      <c r="AA394" s="512"/>
      <c r="AB394" s="512"/>
      <c r="AC394" s="512"/>
    </row>
    <row r="395">
      <c r="A395" s="512"/>
      <c r="B395" s="512"/>
      <c r="C395" s="512"/>
      <c r="D395" s="512"/>
      <c r="E395" s="512"/>
      <c r="F395" s="512"/>
      <c r="G395" s="512"/>
      <c r="H395" s="512"/>
      <c r="I395" s="512"/>
      <c r="J395" s="512"/>
      <c r="K395" s="512"/>
      <c r="L395" s="512"/>
      <c r="M395" s="512"/>
      <c r="N395" s="512"/>
      <c r="O395" s="512"/>
      <c r="P395" s="156"/>
      <c r="Q395" s="512"/>
      <c r="R395" s="512"/>
      <c r="S395" s="512"/>
      <c r="T395" s="512"/>
      <c r="U395" s="512"/>
      <c r="V395" s="512"/>
      <c r="W395" s="512"/>
      <c r="X395" s="512"/>
      <c r="Y395" s="512"/>
      <c r="Z395" s="512"/>
      <c r="AA395" s="512"/>
      <c r="AB395" s="512"/>
      <c r="AC395" s="512"/>
    </row>
    <row r="396">
      <c r="A396" s="512"/>
      <c r="B396" s="512"/>
      <c r="C396" s="512"/>
      <c r="D396" s="512"/>
      <c r="E396" s="512"/>
      <c r="F396" s="512"/>
      <c r="G396" s="512"/>
      <c r="H396" s="512"/>
      <c r="I396" s="512"/>
      <c r="J396" s="512"/>
      <c r="K396" s="512"/>
      <c r="L396" s="512"/>
      <c r="M396" s="512"/>
      <c r="N396" s="512"/>
      <c r="O396" s="512"/>
      <c r="P396" s="156"/>
      <c r="Q396" s="512"/>
      <c r="R396" s="512"/>
      <c r="S396" s="512"/>
      <c r="T396" s="512"/>
      <c r="U396" s="512"/>
      <c r="V396" s="512"/>
      <c r="W396" s="512"/>
      <c r="X396" s="512"/>
      <c r="Y396" s="512"/>
      <c r="Z396" s="512"/>
      <c r="AA396" s="512"/>
      <c r="AB396" s="512"/>
      <c r="AC396" s="512"/>
    </row>
    <row r="397">
      <c r="A397" s="512"/>
      <c r="B397" s="512"/>
      <c r="C397" s="512"/>
      <c r="D397" s="512"/>
      <c r="E397" s="512"/>
      <c r="F397" s="512"/>
      <c r="G397" s="512"/>
      <c r="H397" s="512"/>
      <c r="I397" s="512"/>
      <c r="J397" s="512"/>
      <c r="K397" s="512"/>
      <c r="L397" s="512"/>
      <c r="M397" s="512"/>
      <c r="N397" s="512"/>
      <c r="O397" s="512"/>
      <c r="P397" s="156"/>
      <c r="Q397" s="512"/>
      <c r="R397" s="512"/>
      <c r="S397" s="512"/>
      <c r="T397" s="512"/>
      <c r="U397" s="512"/>
      <c r="V397" s="512"/>
      <c r="W397" s="512"/>
      <c r="X397" s="512"/>
      <c r="Y397" s="512"/>
      <c r="Z397" s="512"/>
      <c r="AA397" s="512"/>
      <c r="AB397" s="512"/>
      <c r="AC397" s="512"/>
    </row>
    <row r="398">
      <c r="A398" s="512"/>
      <c r="B398" s="512"/>
      <c r="C398" s="512"/>
      <c r="D398" s="512"/>
      <c r="E398" s="512"/>
      <c r="F398" s="512"/>
      <c r="G398" s="512"/>
      <c r="H398" s="512"/>
      <c r="I398" s="512"/>
      <c r="J398" s="512"/>
      <c r="K398" s="512"/>
      <c r="L398" s="512"/>
      <c r="M398" s="512"/>
      <c r="N398" s="512"/>
      <c r="O398" s="512"/>
      <c r="P398" s="156"/>
      <c r="Q398" s="512"/>
      <c r="R398" s="512"/>
      <c r="S398" s="512"/>
      <c r="T398" s="512"/>
      <c r="U398" s="512"/>
      <c r="V398" s="512"/>
      <c r="W398" s="512"/>
      <c r="X398" s="512"/>
      <c r="Y398" s="512"/>
      <c r="Z398" s="512"/>
      <c r="AA398" s="512"/>
      <c r="AB398" s="512"/>
      <c r="AC398" s="512"/>
    </row>
    <row r="399">
      <c r="A399" s="512"/>
      <c r="B399" s="512"/>
      <c r="C399" s="512"/>
      <c r="D399" s="512"/>
      <c r="E399" s="512"/>
      <c r="F399" s="512"/>
      <c r="G399" s="512"/>
      <c r="H399" s="512"/>
      <c r="I399" s="512"/>
      <c r="J399" s="512"/>
      <c r="K399" s="512"/>
      <c r="L399" s="512"/>
      <c r="M399" s="512"/>
      <c r="N399" s="512"/>
      <c r="O399" s="512"/>
      <c r="P399" s="156"/>
      <c r="Q399" s="512"/>
      <c r="R399" s="512"/>
      <c r="S399" s="512"/>
      <c r="T399" s="512"/>
      <c r="U399" s="512"/>
      <c r="V399" s="512"/>
      <c r="W399" s="512"/>
      <c r="X399" s="512"/>
      <c r="Y399" s="512"/>
      <c r="Z399" s="512"/>
      <c r="AA399" s="512"/>
      <c r="AB399" s="512"/>
      <c r="AC399" s="512"/>
    </row>
    <row r="400">
      <c r="A400" s="512"/>
      <c r="B400" s="512"/>
      <c r="C400" s="512"/>
      <c r="D400" s="512"/>
      <c r="E400" s="512"/>
      <c r="F400" s="512"/>
      <c r="G400" s="512"/>
      <c r="H400" s="512"/>
      <c r="I400" s="512"/>
      <c r="J400" s="512"/>
      <c r="K400" s="512"/>
      <c r="L400" s="512"/>
      <c r="M400" s="512"/>
      <c r="N400" s="512"/>
      <c r="O400" s="512"/>
      <c r="P400" s="156"/>
      <c r="Q400" s="512"/>
      <c r="R400" s="512"/>
      <c r="S400" s="512"/>
      <c r="T400" s="512"/>
      <c r="U400" s="512"/>
      <c r="V400" s="512"/>
      <c r="W400" s="512"/>
      <c r="X400" s="512"/>
      <c r="Y400" s="512"/>
      <c r="Z400" s="512"/>
      <c r="AA400" s="512"/>
      <c r="AB400" s="512"/>
      <c r="AC400" s="512"/>
    </row>
    <row r="401">
      <c r="A401" s="512"/>
      <c r="B401" s="512"/>
      <c r="C401" s="512"/>
      <c r="D401" s="512"/>
      <c r="E401" s="512"/>
      <c r="F401" s="512"/>
      <c r="G401" s="512"/>
      <c r="H401" s="512"/>
      <c r="I401" s="512"/>
      <c r="J401" s="512"/>
      <c r="K401" s="512"/>
      <c r="L401" s="512"/>
      <c r="M401" s="512"/>
      <c r="N401" s="512"/>
      <c r="O401" s="512"/>
      <c r="P401" s="156"/>
      <c r="Q401" s="512"/>
      <c r="R401" s="512"/>
      <c r="S401" s="512"/>
      <c r="T401" s="512"/>
      <c r="U401" s="512"/>
      <c r="V401" s="512"/>
      <c r="W401" s="512"/>
      <c r="X401" s="512"/>
      <c r="Y401" s="512"/>
      <c r="Z401" s="512"/>
      <c r="AA401" s="512"/>
      <c r="AB401" s="512"/>
      <c r="AC401" s="512"/>
    </row>
    <row r="402">
      <c r="A402" s="512"/>
      <c r="B402" s="512"/>
      <c r="C402" s="512"/>
      <c r="D402" s="512"/>
      <c r="E402" s="512"/>
      <c r="F402" s="512"/>
      <c r="G402" s="512"/>
      <c r="H402" s="512"/>
      <c r="I402" s="512"/>
      <c r="J402" s="512"/>
      <c r="K402" s="512"/>
      <c r="L402" s="512"/>
      <c r="M402" s="512"/>
      <c r="N402" s="512"/>
      <c r="O402" s="512"/>
      <c r="P402" s="156"/>
      <c r="Q402" s="512"/>
      <c r="R402" s="512"/>
      <c r="S402" s="512"/>
      <c r="T402" s="512"/>
      <c r="U402" s="512"/>
      <c r="V402" s="512"/>
      <c r="W402" s="512"/>
      <c r="X402" s="512"/>
      <c r="Y402" s="512"/>
      <c r="Z402" s="512"/>
      <c r="AA402" s="512"/>
      <c r="AB402" s="512"/>
      <c r="AC402" s="512"/>
    </row>
    <row r="403">
      <c r="A403" s="512"/>
      <c r="B403" s="512"/>
      <c r="C403" s="512"/>
      <c r="D403" s="512"/>
      <c r="E403" s="512"/>
      <c r="F403" s="512"/>
      <c r="G403" s="512"/>
      <c r="H403" s="512"/>
      <c r="I403" s="512"/>
      <c r="J403" s="512"/>
      <c r="K403" s="512"/>
      <c r="L403" s="512"/>
      <c r="M403" s="512"/>
      <c r="N403" s="512"/>
      <c r="O403" s="512"/>
      <c r="P403" s="156"/>
      <c r="Q403" s="512"/>
      <c r="R403" s="512"/>
      <c r="S403" s="512"/>
      <c r="T403" s="512"/>
      <c r="U403" s="512"/>
      <c r="V403" s="512"/>
      <c r="W403" s="512"/>
      <c r="X403" s="512"/>
      <c r="Y403" s="512"/>
      <c r="Z403" s="512"/>
      <c r="AA403" s="512"/>
      <c r="AB403" s="512"/>
      <c r="AC403" s="512"/>
    </row>
    <row r="404">
      <c r="A404" s="512"/>
      <c r="B404" s="512"/>
      <c r="C404" s="512"/>
      <c r="D404" s="512"/>
      <c r="E404" s="512"/>
      <c r="F404" s="512"/>
      <c r="G404" s="512"/>
      <c r="H404" s="512"/>
      <c r="I404" s="512"/>
      <c r="J404" s="512"/>
      <c r="K404" s="512"/>
      <c r="L404" s="512"/>
      <c r="M404" s="512"/>
      <c r="N404" s="512"/>
      <c r="O404" s="512"/>
      <c r="P404" s="156"/>
      <c r="Q404" s="512"/>
      <c r="R404" s="512"/>
      <c r="S404" s="512"/>
      <c r="T404" s="512"/>
      <c r="U404" s="512"/>
      <c r="V404" s="512"/>
      <c r="W404" s="512"/>
      <c r="X404" s="512"/>
      <c r="Y404" s="512"/>
      <c r="Z404" s="512"/>
      <c r="AA404" s="512"/>
      <c r="AB404" s="512"/>
      <c r="AC404" s="512"/>
    </row>
    <row r="405">
      <c r="A405" s="512"/>
      <c r="B405" s="512"/>
      <c r="C405" s="512"/>
      <c r="D405" s="512"/>
      <c r="E405" s="512"/>
      <c r="F405" s="512"/>
      <c r="G405" s="512"/>
      <c r="H405" s="512"/>
      <c r="I405" s="512"/>
      <c r="J405" s="512"/>
      <c r="K405" s="512"/>
      <c r="L405" s="512"/>
      <c r="M405" s="512"/>
      <c r="N405" s="512"/>
      <c r="O405" s="512"/>
      <c r="P405" s="156"/>
      <c r="Q405" s="512"/>
      <c r="R405" s="512"/>
      <c r="S405" s="512"/>
      <c r="T405" s="512"/>
      <c r="U405" s="512"/>
      <c r="V405" s="512"/>
      <c r="W405" s="512"/>
      <c r="X405" s="512"/>
      <c r="Y405" s="512"/>
      <c r="Z405" s="512"/>
      <c r="AA405" s="512"/>
      <c r="AB405" s="512"/>
      <c r="AC405" s="512"/>
    </row>
    <row r="406">
      <c r="A406" s="512"/>
      <c r="B406" s="512"/>
      <c r="C406" s="512"/>
      <c r="D406" s="512"/>
      <c r="E406" s="512"/>
      <c r="F406" s="512"/>
      <c r="G406" s="512"/>
      <c r="H406" s="512"/>
      <c r="I406" s="512"/>
      <c r="J406" s="512"/>
      <c r="K406" s="512"/>
      <c r="L406" s="512"/>
      <c r="M406" s="512"/>
      <c r="N406" s="512"/>
      <c r="O406" s="512"/>
      <c r="P406" s="156"/>
      <c r="Q406" s="512"/>
      <c r="R406" s="512"/>
      <c r="S406" s="512"/>
      <c r="T406" s="512"/>
      <c r="U406" s="512"/>
      <c r="V406" s="512"/>
      <c r="W406" s="512"/>
      <c r="X406" s="512"/>
      <c r="Y406" s="512"/>
      <c r="Z406" s="512"/>
      <c r="AA406" s="512"/>
      <c r="AB406" s="512"/>
      <c r="AC406" s="512"/>
    </row>
    <row r="407">
      <c r="A407" s="512"/>
      <c r="B407" s="512"/>
      <c r="C407" s="512"/>
      <c r="D407" s="512"/>
      <c r="E407" s="512"/>
      <c r="F407" s="512"/>
      <c r="G407" s="512"/>
      <c r="H407" s="512"/>
      <c r="I407" s="512"/>
      <c r="J407" s="512"/>
      <c r="K407" s="512"/>
      <c r="L407" s="512"/>
      <c r="M407" s="512"/>
      <c r="N407" s="512"/>
      <c r="O407" s="512"/>
      <c r="P407" s="156"/>
      <c r="Q407" s="512"/>
      <c r="R407" s="512"/>
      <c r="S407" s="512"/>
      <c r="T407" s="512"/>
      <c r="U407" s="512"/>
      <c r="V407" s="512"/>
      <c r="W407" s="512"/>
      <c r="X407" s="512"/>
      <c r="Y407" s="512"/>
      <c r="Z407" s="512"/>
      <c r="AA407" s="512"/>
      <c r="AB407" s="512"/>
      <c r="AC407" s="512"/>
    </row>
    <row r="408">
      <c r="A408" s="512"/>
      <c r="B408" s="512"/>
      <c r="C408" s="512"/>
      <c r="D408" s="512"/>
      <c r="E408" s="512"/>
      <c r="F408" s="512"/>
      <c r="G408" s="512"/>
      <c r="H408" s="512"/>
      <c r="I408" s="512"/>
      <c r="J408" s="512"/>
      <c r="K408" s="512"/>
      <c r="L408" s="512"/>
      <c r="M408" s="512"/>
      <c r="N408" s="512"/>
      <c r="O408" s="512"/>
      <c r="P408" s="156"/>
      <c r="Q408" s="512"/>
      <c r="R408" s="512"/>
      <c r="S408" s="512"/>
      <c r="T408" s="512"/>
      <c r="U408" s="512"/>
      <c r="V408" s="512"/>
      <c r="W408" s="512"/>
      <c r="X408" s="512"/>
      <c r="Y408" s="512"/>
      <c r="Z408" s="512"/>
      <c r="AA408" s="512"/>
      <c r="AB408" s="512"/>
      <c r="AC408" s="512"/>
    </row>
    <row r="409">
      <c r="A409" s="512"/>
      <c r="B409" s="512"/>
      <c r="C409" s="512"/>
      <c r="D409" s="512"/>
      <c r="E409" s="512"/>
      <c r="F409" s="512"/>
      <c r="G409" s="512"/>
      <c r="H409" s="512"/>
      <c r="I409" s="512"/>
      <c r="J409" s="512"/>
      <c r="K409" s="512"/>
      <c r="L409" s="512"/>
      <c r="M409" s="512"/>
      <c r="N409" s="512"/>
      <c r="O409" s="512"/>
      <c r="P409" s="156"/>
      <c r="Q409" s="512"/>
      <c r="R409" s="512"/>
      <c r="S409" s="512"/>
      <c r="T409" s="512"/>
      <c r="U409" s="512"/>
      <c r="V409" s="512"/>
      <c r="W409" s="512"/>
      <c r="X409" s="512"/>
      <c r="Y409" s="512"/>
      <c r="Z409" s="512"/>
      <c r="AA409" s="512"/>
      <c r="AB409" s="512"/>
      <c r="AC409" s="512"/>
    </row>
    <row r="410">
      <c r="A410" s="512"/>
      <c r="B410" s="512"/>
      <c r="C410" s="512"/>
      <c r="D410" s="512"/>
      <c r="E410" s="512"/>
      <c r="F410" s="512"/>
      <c r="G410" s="512"/>
      <c r="H410" s="512"/>
      <c r="I410" s="512"/>
      <c r="J410" s="512"/>
      <c r="K410" s="512"/>
      <c r="L410" s="512"/>
      <c r="M410" s="512"/>
      <c r="N410" s="512"/>
      <c r="O410" s="512"/>
      <c r="P410" s="156"/>
      <c r="Q410" s="512"/>
      <c r="R410" s="512"/>
      <c r="S410" s="512"/>
      <c r="T410" s="512"/>
      <c r="U410" s="512"/>
      <c r="V410" s="512"/>
      <c r="W410" s="512"/>
      <c r="X410" s="512"/>
      <c r="Y410" s="512"/>
      <c r="Z410" s="512"/>
      <c r="AA410" s="512"/>
      <c r="AB410" s="512"/>
      <c r="AC410" s="512"/>
    </row>
    <row r="411">
      <c r="A411" s="512"/>
      <c r="B411" s="512"/>
      <c r="C411" s="512"/>
      <c r="D411" s="512"/>
      <c r="E411" s="512"/>
      <c r="F411" s="512"/>
      <c r="G411" s="512"/>
      <c r="H411" s="512"/>
      <c r="I411" s="512"/>
      <c r="J411" s="512"/>
      <c r="K411" s="512"/>
      <c r="L411" s="512"/>
      <c r="M411" s="512"/>
      <c r="N411" s="512"/>
      <c r="O411" s="512"/>
      <c r="P411" s="156"/>
      <c r="Q411" s="512"/>
      <c r="R411" s="512"/>
      <c r="S411" s="512"/>
      <c r="T411" s="512"/>
      <c r="U411" s="512"/>
      <c r="V411" s="512"/>
      <c r="W411" s="512"/>
      <c r="X411" s="512"/>
      <c r="Y411" s="512"/>
      <c r="Z411" s="512"/>
      <c r="AA411" s="512"/>
      <c r="AB411" s="512"/>
      <c r="AC411" s="512"/>
    </row>
    <row r="412">
      <c r="A412" s="512"/>
      <c r="B412" s="512"/>
      <c r="C412" s="512"/>
      <c r="D412" s="512"/>
      <c r="E412" s="512"/>
      <c r="F412" s="512"/>
      <c r="G412" s="512"/>
      <c r="H412" s="512"/>
      <c r="I412" s="512"/>
      <c r="J412" s="512"/>
      <c r="K412" s="512"/>
      <c r="L412" s="512"/>
      <c r="M412" s="512"/>
      <c r="N412" s="512"/>
      <c r="O412" s="512"/>
      <c r="P412" s="156"/>
      <c r="Q412" s="512"/>
      <c r="R412" s="512"/>
      <c r="S412" s="512"/>
      <c r="T412" s="512"/>
      <c r="U412" s="512"/>
      <c r="V412" s="512"/>
      <c r="W412" s="512"/>
      <c r="X412" s="512"/>
      <c r="Y412" s="512"/>
      <c r="Z412" s="512"/>
      <c r="AA412" s="512"/>
      <c r="AB412" s="512"/>
      <c r="AC412" s="512"/>
    </row>
    <row r="413">
      <c r="A413" s="512"/>
      <c r="B413" s="512"/>
      <c r="C413" s="512"/>
      <c r="D413" s="512"/>
      <c r="E413" s="512"/>
      <c r="F413" s="512"/>
      <c r="G413" s="512"/>
      <c r="H413" s="512"/>
      <c r="I413" s="512"/>
      <c r="J413" s="512"/>
      <c r="K413" s="512"/>
      <c r="L413" s="512"/>
      <c r="M413" s="512"/>
      <c r="N413" s="512"/>
      <c r="O413" s="512"/>
      <c r="P413" s="156"/>
      <c r="Q413" s="512"/>
      <c r="R413" s="512"/>
      <c r="S413" s="512"/>
      <c r="T413" s="512"/>
      <c r="U413" s="512"/>
      <c r="V413" s="512"/>
      <c r="W413" s="512"/>
      <c r="X413" s="512"/>
      <c r="Y413" s="512"/>
      <c r="Z413" s="512"/>
      <c r="AA413" s="512"/>
      <c r="AB413" s="512"/>
      <c r="AC413" s="512"/>
    </row>
    <row r="414">
      <c r="A414" s="512"/>
      <c r="B414" s="512"/>
      <c r="C414" s="512"/>
      <c r="D414" s="512"/>
      <c r="E414" s="512"/>
      <c r="F414" s="512"/>
      <c r="G414" s="512"/>
      <c r="H414" s="512"/>
      <c r="I414" s="512"/>
      <c r="J414" s="512"/>
      <c r="K414" s="512"/>
      <c r="L414" s="512"/>
      <c r="M414" s="512"/>
      <c r="N414" s="512"/>
      <c r="O414" s="512"/>
      <c r="P414" s="156"/>
      <c r="Q414" s="512"/>
      <c r="R414" s="512"/>
      <c r="S414" s="512"/>
      <c r="T414" s="512"/>
      <c r="U414" s="512"/>
      <c r="V414" s="512"/>
      <c r="W414" s="512"/>
      <c r="X414" s="512"/>
      <c r="Y414" s="512"/>
      <c r="Z414" s="512"/>
      <c r="AA414" s="512"/>
      <c r="AB414" s="512"/>
      <c r="AC414" s="512"/>
    </row>
    <row r="415">
      <c r="A415" s="512"/>
      <c r="B415" s="512"/>
      <c r="C415" s="512"/>
      <c r="D415" s="512"/>
      <c r="E415" s="512"/>
      <c r="F415" s="512"/>
      <c r="G415" s="512"/>
      <c r="H415" s="512"/>
      <c r="I415" s="512"/>
      <c r="J415" s="512"/>
      <c r="K415" s="512"/>
      <c r="L415" s="512"/>
      <c r="M415" s="512"/>
      <c r="N415" s="512"/>
      <c r="O415" s="512"/>
      <c r="P415" s="156"/>
      <c r="Q415" s="51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</row>
    <row r="416">
      <c r="A416" s="512"/>
      <c r="B416" s="512"/>
      <c r="C416" s="512"/>
      <c r="D416" s="512"/>
      <c r="E416" s="512"/>
      <c r="F416" s="512"/>
      <c r="G416" s="512"/>
      <c r="H416" s="512"/>
      <c r="I416" s="512"/>
      <c r="J416" s="512"/>
      <c r="K416" s="512"/>
      <c r="L416" s="512"/>
      <c r="M416" s="512"/>
      <c r="N416" s="512"/>
      <c r="O416" s="512"/>
      <c r="P416" s="156"/>
      <c r="Q416" s="512"/>
      <c r="R416" s="512"/>
      <c r="S416" s="512"/>
      <c r="T416" s="512"/>
      <c r="U416" s="512"/>
      <c r="V416" s="512"/>
      <c r="W416" s="512"/>
      <c r="X416" s="512"/>
      <c r="Y416" s="512"/>
      <c r="Z416" s="512"/>
      <c r="AA416" s="512"/>
      <c r="AB416" s="512"/>
      <c r="AC416" s="512"/>
    </row>
    <row r="417">
      <c r="A417" s="512"/>
      <c r="B417" s="512"/>
      <c r="C417" s="512"/>
      <c r="D417" s="512"/>
      <c r="E417" s="512"/>
      <c r="F417" s="512"/>
      <c r="G417" s="512"/>
      <c r="H417" s="512"/>
      <c r="I417" s="512"/>
      <c r="J417" s="512"/>
      <c r="K417" s="512"/>
      <c r="L417" s="512"/>
      <c r="M417" s="512"/>
      <c r="N417" s="512"/>
      <c r="O417" s="512"/>
      <c r="P417" s="156"/>
      <c r="Q417" s="512"/>
      <c r="R417" s="512"/>
      <c r="S417" s="512"/>
      <c r="T417" s="512"/>
      <c r="U417" s="512"/>
      <c r="V417" s="512"/>
      <c r="W417" s="512"/>
      <c r="X417" s="512"/>
      <c r="Y417" s="512"/>
      <c r="Z417" s="512"/>
      <c r="AA417" s="512"/>
      <c r="AB417" s="512"/>
      <c r="AC417" s="512"/>
    </row>
    <row r="418">
      <c r="A418" s="512"/>
      <c r="B418" s="512"/>
      <c r="C418" s="512"/>
      <c r="D418" s="512"/>
      <c r="E418" s="512"/>
      <c r="F418" s="512"/>
      <c r="G418" s="512"/>
      <c r="H418" s="512"/>
      <c r="I418" s="512"/>
      <c r="J418" s="512"/>
      <c r="K418" s="512"/>
      <c r="L418" s="512"/>
      <c r="M418" s="512"/>
      <c r="N418" s="512"/>
      <c r="O418" s="512"/>
      <c r="P418" s="156"/>
      <c r="Q418" s="512"/>
      <c r="R418" s="512"/>
      <c r="S418" s="512"/>
      <c r="T418" s="512"/>
      <c r="U418" s="512"/>
      <c r="V418" s="512"/>
      <c r="W418" s="512"/>
      <c r="X418" s="512"/>
      <c r="Y418" s="512"/>
      <c r="Z418" s="512"/>
      <c r="AA418" s="512"/>
      <c r="AB418" s="512"/>
      <c r="AC418" s="512"/>
    </row>
    <row r="419">
      <c r="A419" s="512"/>
      <c r="B419" s="512"/>
      <c r="C419" s="512"/>
      <c r="D419" s="512"/>
      <c r="E419" s="512"/>
      <c r="F419" s="512"/>
      <c r="G419" s="512"/>
      <c r="H419" s="512"/>
      <c r="I419" s="512"/>
      <c r="J419" s="512"/>
      <c r="K419" s="512"/>
      <c r="L419" s="512"/>
      <c r="M419" s="512"/>
      <c r="N419" s="512"/>
      <c r="O419" s="512"/>
      <c r="P419" s="156"/>
      <c r="Q419" s="512"/>
      <c r="R419" s="512"/>
      <c r="S419" s="512"/>
      <c r="T419" s="512"/>
      <c r="U419" s="512"/>
      <c r="V419" s="512"/>
      <c r="W419" s="512"/>
      <c r="X419" s="512"/>
      <c r="Y419" s="512"/>
      <c r="Z419" s="512"/>
      <c r="AA419" s="512"/>
      <c r="AB419" s="512"/>
      <c r="AC419" s="512"/>
    </row>
    <row r="420">
      <c r="A420" s="512"/>
      <c r="B420" s="512"/>
      <c r="C420" s="512"/>
      <c r="D420" s="512"/>
      <c r="E420" s="512"/>
      <c r="F420" s="512"/>
      <c r="G420" s="512"/>
      <c r="H420" s="512"/>
      <c r="I420" s="512"/>
      <c r="J420" s="512"/>
      <c r="K420" s="512"/>
      <c r="L420" s="512"/>
      <c r="M420" s="512"/>
      <c r="N420" s="512"/>
      <c r="O420" s="512"/>
      <c r="P420" s="156"/>
      <c r="Q420" s="512"/>
      <c r="R420" s="512"/>
      <c r="S420" s="512"/>
      <c r="T420" s="512"/>
      <c r="U420" s="512"/>
      <c r="V420" s="512"/>
      <c r="W420" s="512"/>
      <c r="X420" s="512"/>
      <c r="Y420" s="512"/>
      <c r="Z420" s="512"/>
      <c r="AA420" s="512"/>
      <c r="AB420" s="512"/>
      <c r="AC420" s="512"/>
    </row>
    <row r="421">
      <c r="A421" s="512"/>
      <c r="B421" s="512"/>
      <c r="C421" s="512"/>
      <c r="D421" s="512"/>
      <c r="E421" s="512"/>
      <c r="F421" s="512"/>
      <c r="G421" s="512"/>
      <c r="H421" s="512"/>
      <c r="I421" s="512"/>
      <c r="J421" s="512"/>
      <c r="K421" s="512"/>
      <c r="L421" s="512"/>
      <c r="M421" s="512"/>
      <c r="N421" s="512"/>
      <c r="O421" s="512"/>
      <c r="P421" s="156"/>
      <c r="Q421" s="512"/>
      <c r="R421" s="512"/>
      <c r="S421" s="512"/>
      <c r="T421" s="512"/>
      <c r="U421" s="512"/>
      <c r="V421" s="512"/>
      <c r="W421" s="512"/>
      <c r="X421" s="512"/>
      <c r="Y421" s="512"/>
      <c r="Z421" s="512"/>
      <c r="AA421" s="512"/>
      <c r="AB421" s="512"/>
      <c r="AC421" s="512"/>
    </row>
    <row r="422">
      <c r="A422" s="512"/>
      <c r="B422" s="512"/>
      <c r="C422" s="512"/>
      <c r="D422" s="512"/>
      <c r="E422" s="512"/>
      <c r="F422" s="512"/>
      <c r="G422" s="512"/>
      <c r="H422" s="512"/>
      <c r="I422" s="512"/>
      <c r="J422" s="512"/>
      <c r="K422" s="512"/>
      <c r="L422" s="512"/>
      <c r="M422" s="512"/>
      <c r="N422" s="512"/>
      <c r="O422" s="512"/>
      <c r="P422" s="156"/>
      <c r="Q422" s="512"/>
      <c r="R422" s="512"/>
      <c r="S422" s="512"/>
      <c r="T422" s="512"/>
      <c r="U422" s="512"/>
      <c r="V422" s="512"/>
      <c r="W422" s="512"/>
      <c r="X422" s="512"/>
      <c r="Y422" s="512"/>
      <c r="Z422" s="512"/>
      <c r="AA422" s="512"/>
      <c r="AB422" s="512"/>
      <c r="AC422" s="512"/>
    </row>
    <row r="423">
      <c r="A423" s="512"/>
      <c r="B423" s="512"/>
      <c r="C423" s="512"/>
      <c r="D423" s="512"/>
      <c r="E423" s="512"/>
      <c r="F423" s="512"/>
      <c r="G423" s="512"/>
      <c r="H423" s="512"/>
      <c r="I423" s="512"/>
      <c r="J423" s="512"/>
      <c r="K423" s="512"/>
      <c r="L423" s="512"/>
      <c r="M423" s="512"/>
      <c r="N423" s="512"/>
      <c r="O423" s="512"/>
      <c r="P423" s="156"/>
      <c r="Q423" s="512"/>
      <c r="R423" s="512"/>
      <c r="S423" s="512"/>
      <c r="T423" s="512"/>
      <c r="U423" s="512"/>
      <c r="V423" s="512"/>
      <c r="W423" s="512"/>
      <c r="X423" s="512"/>
      <c r="Y423" s="512"/>
      <c r="Z423" s="512"/>
      <c r="AA423" s="512"/>
      <c r="AB423" s="512"/>
      <c r="AC423" s="512"/>
    </row>
    <row r="424">
      <c r="A424" s="512"/>
      <c r="B424" s="512"/>
      <c r="C424" s="512"/>
      <c r="D424" s="512"/>
      <c r="E424" s="512"/>
      <c r="F424" s="512"/>
      <c r="G424" s="512"/>
      <c r="H424" s="512"/>
      <c r="I424" s="512"/>
      <c r="J424" s="512"/>
      <c r="K424" s="512"/>
      <c r="L424" s="512"/>
      <c r="M424" s="512"/>
      <c r="N424" s="512"/>
      <c r="O424" s="512"/>
      <c r="P424" s="156"/>
      <c r="Q424" s="512"/>
      <c r="R424" s="512"/>
      <c r="S424" s="512"/>
      <c r="T424" s="512"/>
      <c r="U424" s="512"/>
      <c r="V424" s="512"/>
      <c r="W424" s="512"/>
      <c r="X424" s="512"/>
      <c r="Y424" s="512"/>
      <c r="Z424" s="512"/>
      <c r="AA424" s="512"/>
      <c r="AB424" s="512"/>
      <c r="AC424" s="512"/>
    </row>
    <row r="425">
      <c r="A425" s="512"/>
      <c r="B425" s="512"/>
      <c r="C425" s="512"/>
      <c r="D425" s="512"/>
      <c r="E425" s="512"/>
      <c r="F425" s="512"/>
      <c r="G425" s="512"/>
      <c r="H425" s="512"/>
      <c r="I425" s="512"/>
      <c r="J425" s="512"/>
      <c r="K425" s="512"/>
      <c r="L425" s="512"/>
      <c r="M425" s="512"/>
      <c r="N425" s="512"/>
      <c r="O425" s="512"/>
      <c r="P425" s="156"/>
      <c r="Q425" s="512"/>
      <c r="R425" s="512"/>
      <c r="S425" s="512"/>
      <c r="T425" s="512"/>
      <c r="U425" s="512"/>
      <c r="V425" s="512"/>
      <c r="W425" s="512"/>
      <c r="X425" s="512"/>
      <c r="Y425" s="512"/>
      <c r="Z425" s="512"/>
      <c r="AA425" s="512"/>
      <c r="AB425" s="512"/>
      <c r="AC425" s="512"/>
    </row>
    <row r="426">
      <c r="A426" s="512"/>
      <c r="B426" s="512"/>
      <c r="C426" s="512"/>
      <c r="D426" s="512"/>
      <c r="E426" s="512"/>
      <c r="F426" s="512"/>
      <c r="G426" s="512"/>
      <c r="H426" s="512"/>
      <c r="I426" s="512"/>
      <c r="J426" s="512"/>
      <c r="K426" s="512"/>
      <c r="L426" s="512"/>
      <c r="M426" s="512"/>
      <c r="N426" s="512"/>
      <c r="O426" s="512"/>
      <c r="P426" s="156"/>
      <c r="Q426" s="512"/>
      <c r="R426" s="512"/>
      <c r="S426" s="512"/>
      <c r="T426" s="512"/>
      <c r="U426" s="512"/>
      <c r="V426" s="512"/>
      <c r="W426" s="512"/>
      <c r="X426" s="512"/>
      <c r="Y426" s="512"/>
      <c r="Z426" s="512"/>
      <c r="AA426" s="512"/>
      <c r="AB426" s="512"/>
      <c r="AC426" s="512"/>
    </row>
    <row r="427">
      <c r="A427" s="512"/>
      <c r="B427" s="512"/>
      <c r="C427" s="512"/>
      <c r="D427" s="512"/>
      <c r="E427" s="512"/>
      <c r="F427" s="512"/>
      <c r="G427" s="512"/>
      <c r="H427" s="512"/>
      <c r="I427" s="512"/>
      <c r="J427" s="512"/>
      <c r="K427" s="512"/>
      <c r="L427" s="512"/>
      <c r="M427" s="512"/>
      <c r="N427" s="512"/>
      <c r="O427" s="512"/>
      <c r="P427" s="156"/>
      <c r="Q427" s="512"/>
      <c r="R427" s="512"/>
      <c r="S427" s="512"/>
      <c r="T427" s="512"/>
      <c r="U427" s="512"/>
      <c r="V427" s="512"/>
      <c r="W427" s="512"/>
      <c r="X427" s="512"/>
      <c r="Y427" s="512"/>
      <c r="Z427" s="512"/>
      <c r="AA427" s="512"/>
      <c r="AB427" s="512"/>
      <c r="AC427" s="512"/>
    </row>
    <row r="428">
      <c r="A428" s="512"/>
      <c r="B428" s="512"/>
      <c r="C428" s="512"/>
      <c r="D428" s="512"/>
      <c r="E428" s="512"/>
      <c r="F428" s="512"/>
      <c r="G428" s="512"/>
      <c r="H428" s="512"/>
      <c r="I428" s="512"/>
      <c r="J428" s="512"/>
      <c r="K428" s="512"/>
      <c r="L428" s="512"/>
      <c r="M428" s="512"/>
      <c r="N428" s="512"/>
      <c r="O428" s="512"/>
      <c r="P428" s="156"/>
      <c r="Q428" s="512"/>
      <c r="R428" s="512"/>
      <c r="S428" s="512"/>
      <c r="T428" s="512"/>
      <c r="U428" s="512"/>
      <c r="V428" s="512"/>
      <c r="W428" s="512"/>
      <c r="X428" s="512"/>
      <c r="Y428" s="512"/>
      <c r="Z428" s="512"/>
      <c r="AA428" s="512"/>
      <c r="AB428" s="512"/>
      <c r="AC428" s="512"/>
    </row>
    <row r="429">
      <c r="A429" s="512"/>
      <c r="B429" s="512"/>
      <c r="C429" s="512"/>
      <c r="D429" s="512"/>
      <c r="E429" s="512"/>
      <c r="F429" s="512"/>
      <c r="G429" s="512"/>
      <c r="H429" s="512"/>
      <c r="I429" s="512"/>
      <c r="J429" s="512"/>
      <c r="K429" s="512"/>
      <c r="L429" s="512"/>
      <c r="M429" s="512"/>
      <c r="N429" s="512"/>
      <c r="O429" s="512"/>
      <c r="P429" s="156"/>
      <c r="Q429" s="512"/>
      <c r="R429" s="512"/>
      <c r="S429" s="512"/>
      <c r="T429" s="512"/>
      <c r="U429" s="512"/>
      <c r="V429" s="512"/>
      <c r="W429" s="512"/>
      <c r="X429" s="512"/>
      <c r="Y429" s="512"/>
      <c r="Z429" s="512"/>
      <c r="AA429" s="512"/>
      <c r="AB429" s="512"/>
      <c r="AC429" s="512"/>
    </row>
    <row r="430">
      <c r="A430" s="512"/>
      <c r="B430" s="512"/>
      <c r="C430" s="512"/>
      <c r="D430" s="512"/>
      <c r="E430" s="512"/>
      <c r="F430" s="512"/>
      <c r="G430" s="512"/>
      <c r="H430" s="512"/>
      <c r="I430" s="512"/>
      <c r="J430" s="512"/>
      <c r="K430" s="512"/>
      <c r="L430" s="512"/>
      <c r="M430" s="512"/>
      <c r="N430" s="512"/>
      <c r="O430" s="512"/>
      <c r="P430" s="156"/>
      <c r="Q430" s="512"/>
      <c r="R430" s="512"/>
      <c r="S430" s="512"/>
      <c r="T430" s="512"/>
      <c r="U430" s="512"/>
      <c r="V430" s="512"/>
      <c r="W430" s="512"/>
      <c r="X430" s="512"/>
      <c r="Y430" s="512"/>
      <c r="Z430" s="512"/>
      <c r="AA430" s="512"/>
      <c r="AB430" s="512"/>
      <c r="AC430" s="512"/>
    </row>
    <row r="431">
      <c r="A431" s="512"/>
      <c r="B431" s="512"/>
      <c r="C431" s="512"/>
      <c r="D431" s="512"/>
      <c r="E431" s="512"/>
      <c r="F431" s="512"/>
      <c r="G431" s="512"/>
      <c r="H431" s="512"/>
      <c r="I431" s="512"/>
      <c r="J431" s="512"/>
      <c r="K431" s="512"/>
      <c r="L431" s="512"/>
      <c r="M431" s="512"/>
      <c r="N431" s="512"/>
      <c r="O431" s="512"/>
      <c r="P431" s="156"/>
      <c r="Q431" s="512"/>
      <c r="R431" s="512"/>
      <c r="S431" s="512"/>
      <c r="T431" s="512"/>
      <c r="U431" s="512"/>
      <c r="V431" s="512"/>
      <c r="W431" s="512"/>
      <c r="X431" s="512"/>
      <c r="Y431" s="512"/>
      <c r="Z431" s="512"/>
      <c r="AA431" s="512"/>
      <c r="AB431" s="512"/>
      <c r="AC431" s="512"/>
    </row>
    <row r="432">
      <c r="A432" s="512"/>
      <c r="B432" s="512"/>
      <c r="C432" s="512"/>
      <c r="D432" s="512"/>
      <c r="E432" s="512"/>
      <c r="F432" s="512"/>
      <c r="G432" s="512"/>
      <c r="H432" s="512"/>
      <c r="I432" s="512"/>
      <c r="J432" s="512"/>
      <c r="K432" s="512"/>
      <c r="L432" s="512"/>
      <c r="M432" s="512"/>
      <c r="N432" s="512"/>
      <c r="O432" s="512"/>
      <c r="P432" s="156"/>
      <c r="Q432" s="512"/>
      <c r="R432" s="512"/>
      <c r="S432" s="512"/>
      <c r="T432" s="512"/>
      <c r="U432" s="512"/>
      <c r="V432" s="512"/>
      <c r="W432" s="512"/>
      <c r="X432" s="512"/>
      <c r="Y432" s="512"/>
      <c r="Z432" s="512"/>
      <c r="AA432" s="512"/>
      <c r="AB432" s="512"/>
      <c r="AC432" s="512"/>
    </row>
    <row r="433">
      <c r="A433" s="512"/>
      <c r="B433" s="512"/>
      <c r="C433" s="512"/>
      <c r="D433" s="512"/>
      <c r="E433" s="512"/>
      <c r="F433" s="512"/>
      <c r="G433" s="512"/>
      <c r="H433" s="512"/>
      <c r="I433" s="512"/>
      <c r="J433" s="512"/>
      <c r="K433" s="512"/>
      <c r="L433" s="512"/>
      <c r="M433" s="512"/>
      <c r="N433" s="512"/>
      <c r="O433" s="512"/>
      <c r="P433" s="156"/>
      <c r="Q433" s="512"/>
      <c r="R433" s="512"/>
      <c r="S433" s="512"/>
      <c r="T433" s="512"/>
      <c r="U433" s="512"/>
      <c r="V433" s="512"/>
      <c r="W433" s="512"/>
      <c r="X433" s="512"/>
      <c r="Y433" s="512"/>
      <c r="Z433" s="512"/>
      <c r="AA433" s="512"/>
      <c r="AB433" s="512"/>
      <c r="AC433" s="512"/>
    </row>
    <row r="434">
      <c r="A434" s="512"/>
      <c r="B434" s="512"/>
      <c r="C434" s="512"/>
      <c r="D434" s="512"/>
      <c r="E434" s="512"/>
      <c r="F434" s="512"/>
      <c r="G434" s="512"/>
      <c r="H434" s="512"/>
      <c r="I434" s="512"/>
      <c r="J434" s="512"/>
      <c r="K434" s="512"/>
      <c r="L434" s="512"/>
      <c r="M434" s="512"/>
      <c r="N434" s="512"/>
      <c r="O434" s="512"/>
      <c r="P434" s="156"/>
      <c r="Q434" s="512"/>
      <c r="R434" s="512"/>
      <c r="S434" s="512"/>
      <c r="T434" s="512"/>
      <c r="U434" s="512"/>
      <c r="V434" s="512"/>
      <c r="W434" s="512"/>
      <c r="X434" s="512"/>
      <c r="Y434" s="512"/>
      <c r="Z434" s="512"/>
      <c r="AA434" s="512"/>
      <c r="AB434" s="512"/>
      <c r="AC434" s="512"/>
    </row>
    <row r="435">
      <c r="A435" s="512"/>
      <c r="B435" s="512"/>
      <c r="C435" s="512"/>
      <c r="D435" s="512"/>
      <c r="E435" s="512"/>
      <c r="F435" s="512"/>
      <c r="G435" s="512"/>
      <c r="H435" s="512"/>
      <c r="I435" s="512"/>
      <c r="J435" s="512"/>
      <c r="K435" s="512"/>
      <c r="L435" s="512"/>
      <c r="M435" s="512"/>
      <c r="N435" s="512"/>
      <c r="O435" s="512"/>
      <c r="P435" s="156"/>
      <c r="Q435" s="512"/>
      <c r="R435" s="512"/>
      <c r="S435" s="512"/>
      <c r="T435" s="512"/>
      <c r="U435" s="512"/>
      <c r="V435" s="512"/>
      <c r="W435" s="512"/>
      <c r="X435" s="512"/>
      <c r="Y435" s="512"/>
      <c r="Z435" s="512"/>
      <c r="AA435" s="512"/>
      <c r="AB435" s="512"/>
      <c r="AC435" s="512"/>
    </row>
    <row r="436">
      <c r="A436" s="512"/>
      <c r="B436" s="512"/>
      <c r="C436" s="512"/>
      <c r="D436" s="512"/>
      <c r="E436" s="512"/>
      <c r="F436" s="512"/>
      <c r="G436" s="512"/>
      <c r="H436" s="512"/>
      <c r="I436" s="512"/>
      <c r="J436" s="512"/>
      <c r="K436" s="512"/>
      <c r="L436" s="512"/>
      <c r="M436" s="512"/>
      <c r="N436" s="512"/>
      <c r="O436" s="512"/>
      <c r="P436" s="156"/>
      <c r="Q436" s="512"/>
      <c r="R436" s="512"/>
      <c r="S436" s="512"/>
      <c r="T436" s="512"/>
      <c r="U436" s="512"/>
      <c r="V436" s="512"/>
      <c r="W436" s="512"/>
      <c r="X436" s="512"/>
      <c r="Y436" s="512"/>
      <c r="Z436" s="512"/>
      <c r="AA436" s="512"/>
      <c r="AB436" s="512"/>
      <c r="AC436" s="512"/>
    </row>
    <row r="437">
      <c r="A437" s="512"/>
      <c r="B437" s="512"/>
      <c r="C437" s="512"/>
      <c r="D437" s="512"/>
      <c r="E437" s="512"/>
      <c r="F437" s="512"/>
      <c r="G437" s="512"/>
      <c r="H437" s="512"/>
      <c r="I437" s="512"/>
      <c r="J437" s="512"/>
      <c r="K437" s="512"/>
      <c r="L437" s="512"/>
      <c r="M437" s="512"/>
      <c r="N437" s="512"/>
      <c r="O437" s="512"/>
      <c r="P437" s="156"/>
      <c r="Q437" s="512"/>
      <c r="R437" s="512"/>
      <c r="S437" s="512"/>
      <c r="T437" s="512"/>
      <c r="U437" s="512"/>
      <c r="V437" s="512"/>
      <c r="W437" s="512"/>
      <c r="X437" s="512"/>
      <c r="Y437" s="512"/>
      <c r="Z437" s="512"/>
      <c r="AA437" s="512"/>
      <c r="AB437" s="512"/>
      <c r="AC437" s="512"/>
    </row>
    <row r="438">
      <c r="A438" s="512"/>
      <c r="B438" s="512"/>
      <c r="C438" s="512"/>
      <c r="D438" s="512"/>
      <c r="E438" s="512"/>
      <c r="F438" s="512"/>
      <c r="G438" s="512"/>
      <c r="H438" s="512"/>
      <c r="I438" s="512"/>
      <c r="J438" s="512"/>
      <c r="K438" s="512"/>
      <c r="L438" s="512"/>
      <c r="M438" s="512"/>
      <c r="N438" s="512"/>
      <c r="O438" s="512"/>
      <c r="P438" s="156"/>
      <c r="Q438" s="512"/>
      <c r="R438" s="512"/>
      <c r="S438" s="512"/>
      <c r="T438" s="512"/>
      <c r="U438" s="512"/>
      <c r="V438" s="512"/>
      <c r="W438" s="512"/>
      <c r="X438" s="512"/>
      <c r="Y438" s="512"/>
      <c r="Z438" s="512"/>
      <c r="AA438" s="512"/>
      <c r="AB438" s="512"/>
      <c r="AC438" s="512"/>
    </row>
    <row r="439">
      <c r="A439" s="512"/>
      <c r="B439" s="512"/>
      <c r="C439" s="512"/>
      <c r="D439" s="512"/>
      <c r="E439" s="512"/>
      <c r="F439" s="512"/>
      <c r="G439" s="512"/>
      <c r="H439" s="512"/>
      <c r="I439" s="512"/>
      <c r="J439" s="512"/>
      <c r="K439" s="512"/>
      <c r="L439" s="512"/>
      <c r="M439" s="512"/>
      <c r="N439" s="512"/>
      <c r="O439" s="512"/>
      <c r="P439" s="156"/>
      <c r="Q439" s="512"/>
      <c r="R439" s="512"/>
      <c r="S439" s="512"/>
      <c r="T439" s="512"/>
      <c r="U439" s="512"/>
      <c r="V439" s="512"/>
      <c r="W439" s="512"/>
      <c r="X439" s="512"/>
      <c r="Y439" s="512"/>
      <c r="Z439" s="512"/>
      <c r="AA439" s="512"/>
      <c r="AB439" s="512"/>
      <c r="AC439" s="512"/>
    </row>
    <row r="440">
      <c r="A440" s="512"/>
      <c r="B440" s="512"/>
      <c r="C440" s="512"/>
      <c r="D440" s="512"/>
      <c r="E440" s="512"/>
      <c r="F440" s="512"/>
      <c r="G440" s="512"/>
      <c r="H440" s="512"/>
      <c r="I440" s="512"/>
      <c r="J440" s="512"/>
      <c r="K440" s="512"/>
      <c r="L440" s="512"/>
      <c r="M440" s="512"/>
      <c r="N440" s="512"/>
      <c r="O440" s="512"/>
      <c r="P440" s="156"/>
      <c r="Q440" s="512"/>
      <c r="R440" s="512"/>
      <c r="S440" s="512"/>
      <c r="T440" s="512"/>
      <c r="U440" s="512"/>
      <c r="V440" s="512"/>
      <c r="W440" s="512"/>
      <c r="X440" s="512"/>
      <c r="Y440" s="512"/>
      <c r="Z440" s="512"/>
      <c r="AA440" s="512"/>
      <c r="AB440" s="512"/>
      <c r="AC440" s="512"/>
    </row>
    <row r="441">
      <c r="A441" s="512"/>
      <c r="B441" s="512"/>
      <c r="C441" s="512"/>
      <c r="D441" s="512"/>
      <c r="E441" s="512"/>
      <c r="F441" s="512"/>
      <c r="G441" s="512"/>
      <c r="H441" s="512"/>
      <c r="I441" s="512"/>
      <c r="J441" s="512"/>
      <c r="K441" s="512"/>
      <c r="L441" s="512"/>
      <c r="M441" s="512"/>
      <c r="N441" s="512"/>
      <c r="O441" s="512"/>
      <c r="P441" s="156"/>
      <c r="Q441" s="512"/>
      <c r="R441" s="512"/>
      <c r="S441" s="512"/>
      <c r="T441" s="512"/>
      <c r="U441" s="512"/>
      <c r="V441" s="512"/>
      <c r="W441" s="512"/>
      <c r="X441" s="512"/>
      <c r="Y441" s="512"/>
      <c r="Z441" s="512"/>
      <c r="AA441" s="512"/>
      <c r="AB441" s="512"/>
      <c r="AC441" s="512"/>
    </row>
    <row r="442">
      <c r="A442" s="512"/>
      <c r="B442" s="512"/>
      <c r="C442" s="512"/>
      <c r="D442" s="512"/>
      <c r="E442" s="512"/>
      <c r="F442" s="512"/>
      <c r="G442" s="512"/>
      <c r="H442" s="512"/>
      <c r="I442" s="512"/>
      <c r="J442" s="512"/>
      <c r="K442" s="512"/>
      <c r="L442" s="512"/>
      <c r="M442" s="512"/>
      <c r="N442" s="512"/>
      <c r="O442" s="512"/>
      <c r="P442" s="156"/>
      <c r="Q442" s="512"/>
      <c r="R442" s="512"/>
      <c r="S442" s="512"/>
      <c r="T442" s="512"/>
      <c r="U442" s="512"/>
      <c r="V442" s="512"/>
      <c r="W442" s="512"/>
      <c r="X442" s="512"/>
      <c r="Y442" s="512"/>
      <c r="Z442" s="512"/>
      <c r="AA442" s="512"/>
      <c r="AB442" s="512"/>
      <c r="AC442" s="512"/>
    </row>
    <row r="443">
      <c r="A443" s="512"/>
      <c r="B443" s="512"/>
      <c r="C443" s="512"/>
      <c r="D443" s="512"/>
      <c r="E443" s="512"/>
      <c r="F443" s="512"/>
      <c r="G443" s="512"/>
      <c r="H443" s="512"/>
      <c r="I443" s="512"/>
      <c r="J443" s="512"/>
      <c r="K443" s="512"/>
      <c r="L443" s="512"/>
      <c r="M443" s="512"/>
      <c r="N443" s="512"/>
      <c r="O443" s="512"/>
      <c r="P443" s="156"/>
      <c r="Q443" s="512"/>
      <c r="R443" s="512"/>
      <c r="S443" s="512"/>
      <c r="T443" s="512"/>
      <c r="U443" s="512"/>
      <c r="V443" s="512"/>
      <c r="W443" s="512"/>
      <c r="X443" s="512"/>
      <c r="Y443" s="512"/>
      <c r="Z443" s="512"/>
      <c r="AA443" s="512"/>
      <c r="AB443" s="512"/>
      <c r="AC443" s="512"/>
    </row>
    <row r="444">
      <c r="A444" s="512"/>
      <c r="B444" s="512"/>
      <c r="C444" s="512"/>
      <c r="D444" s="512"/>
      <c r="E444" s="512"/>
      <c r="F444" s="512"/>
      <c r="G444" s="512"/>
      <c r="H444" s="512"/>
      <c r="I444" s="512"/>
      <c r="J444" s="512"/>
      <c r="K444" s="512"/>
      <c r="L444" s="512"/>
      <c r="M444" s="512"/>
      <c r="N444" s="512"/>
      <c r="O444" s="512"/>
      <c r="P444" s="156"/>
      <c r="Q444" s="512"/>
      <c r="R444" s="512"/>
      <c r="S444" s="512"/>
      <c r="T444" s="512"/>
      <c r="U444" s="512"/>
      <c r="V444" s="512"/>
      <c r="W444" s="512"/>
      <c r="X444" s="512"/>
      <c r="Y444" s="512"/>
      <c r="Z444" s="512"/>
      <c r="AA444" s="512"/>
      <c r="AB444" s="512"/>
      <c r="AC444" s="512"/>
    </row>
    <row r="445">
      <c r="A445" s="512"/>
      <c r="B445" s="512"/>
      <c r="C445" s="512"/>
      <c r="D445" s="512"/>
      <c r="E445" s="512"/>
      <c r="F445" s="512"/>
      <c r="G445" s="512"/>
      <c r="H445" s="512"/>
      <c r="I445" s="512"/>
      <c r="J445" s="512"/>
      <c r="K445" s="512"/>
      <c r="L445" s="512"/>
      <c r="M445" s="512"/>
      <c r="N445" s="512"/>
      <c r="O445" s="512"/>
      <c r="P445" s="156"/>
      <c r="Q445" s="512"/>
      <c r="R445" s="512"/>
      <c r="S445" s="512"/>
      <c r="T445" s="512"/>
      <c r="U445" s="512"/>
      <c r="V445" s="512"/>
      <c r="W445" s="512"/>
      <c r="X445" s="512"/>
      <c r="Y445" s="512"/>
      <c r="Z445" s="512"/>
      <c r="AA445" s="512"/>
      <c r="AB445" s="512"/>
      <c r="AC445" s="512"/>
    </row>
    <row r="446">
      <c r="A446" s="512"/>
      <c r="B446" s="512"/>
      <c r="C446" s="512"/>
      <c r="D446" s="512"/>
      <c r="E446" s="512"/>
      <c r="F446" s="512"/>
      <c r="G446" s="512"/>
      <c r="H446" s="512"/>
      <c r="I446" s="512"/>
      <c r="J446" s="512"/>
      <c r="K446" s="512"/>
      <c r="L446" s="512"/>
      <c r="M446" s="512"/>
      <c r="N446" s="512"/>
      <c r="O446" s="512"/>
      <c r="P446" s="156"/>
      <c r="Q446" s="512"/>
      <c r="R446" s="512"/>
      <c r="S446" s="512"/>
      <c r="T446" s="512"/>
      <c r="U446" s="512"/>
      <c r="V446" s="512"/>
      <c r="W446" s="512"/>
      <c r="X446" s="512"/>
      <c r="Y446" s="512"/>
      <c r="Z446" s="512"/>
      <c r="AA446" s="512"/>
      <c r="AB446" s="512"/>
      <c r="AC446" s="512"/>
    </row>
    <row r="447">
      <c r="A447" s="512"/>
      <c r="B447" s="512"/>
      <c r="C447" s="512"/>
      <c r="D447" s="512"/>
      <c r="E447" s="512"/>
      <c r="F447" s="512"/>
      <c r="G447" s="512"/>
      <c r="H447" s="512"/>
      <c r="I447" s="512"/>
      <c r="J447" s="512"/>
      <c r="K447" s="512"/>
      <c r="L447" s="512"/>
      <c r="M447" s="512"/>
      <c r="N447" s="512"/>
      <c r="O447" s="512"/>
      <c r="P447" s="156"/>
      <c r="Q447" s="512"/>
      <c r="R447" s="512"/>
      <c r="S447" s="512"/>
      <c r="T447" s="512"/>
      <c r="U447" s="512"/>
      <c r="V447" s="512"/>
      <c r="W447" s="512"/>
      <c r="X447" s="512"/>
      <c r="Y447" s="512"/>
      <c r="Z447" s="512"/>
      <c r="AA447" s="512"/>
      <c r="AB447" s="512"/>
      <c r="AC447" s="512"/>
    </row>
    <row r="448">
      <c r="A448" s="512"/>
      <c r="B448" s="512"/>
      <c r="C448" s="512"/>
      <c r="D448" s="512"/>
      <c r="E448" s="512"/>
      <c r="F448" s="512"/>
      <c r="G448" s="512"/>
      <c r="H448" s="512"/>
      <c r="I448" s="512"/>
      <c r="J448" s="512"/>
      <c r="K448" s="512"/>
      <c r="L448" s="512"/>
      <c r="M448" s="512"/>
      <c r="N448" s="512"/>
      <c r="O448" s="512"/>
      <c r="P448" s="156"/>
      <c r="Q448" s="512"/>
      <c r="R448" s="512"/>
      <c r="S448" s="512"/>
      <c r="T448" s="512"/>
      <c r="U448" s="512"/>
      <c r="V448" s="512"/>
      <c r="W448" s="512"/>
      <c r="X448" s="512"/>
      <c r="Y448" s="512"/>
      <c r="Z448" s="512"/>
      <c r="AA448" s="512"/>
      <c r="AB448" s="512"/>
      <c r="AC448" s="512"/>
    </row>
    <row r="449">
      <c r="A449" s="512"/>
      <c r="B449" s="512"/>
      <c r="C449" s="512"/>
      <c r="D449" s="512"/>
      <c r="E449" s="512"/>
      <c r="F449" s="512"/>
      <c r="G449" s="512"/>
      <c r="H449" s="512"/>
      <c r="I449" s="512"/>
      <c r="J449" s="512"/>
      <c r="K449" s="512"/>
      <c r="L449" s="512"/>
      <c r="M449" s="512"/>
      <c r="N449" s="512"/>
      <c r="O449" s="512"/>
      <c r="P449" s="156"/>
      <c r="Q449" s="512"/>
      <c r="R449" s="512"/>
      <c r="S449" s="512"/>
      <c r="T449" s="512"/>
      <c r="U449" s="512"/>
      <c r="V449" s="512"/>
      <c r="W449" s="512"/>
      <c r="X449" s="512"/>
      <c r="Y449" s="512"/>
      <c r="Z449" s="512"/>
      <c r="AA449" s="512"/>
      <c r="AB449" s="512"/>
      <c r="AC449" s="512"/>
    </row>
    <row r="450">
      <c r="A450" s="512"/>
      <c r="B450" s="512"/>
      <c r="C450" s="512"/>
      <c r="D450" s="512"/>
      <c r="E450" s="512"/>
      <c r="F450" s="512"/>
      <c r="G450" s="512"/>
      <c r="H450" s="512"/>
      <c r="I450" s="512"/>
      <c r="J450" s="512"/>
      <c r="K450" s="512"/>
      <c r="L450" s="512"/>
      <c r="M450" s="512"/>
      <c r="N450" s="512"/>
      <c r="O450" s="512"/>
      <c r="P450" s="156"/>
      <c r="Q450" s="512"/>
      <c r="R450" s="512"/>
      <c r="S450" s="512"/>
      <c r="T450" s="512"/>
      <c r="U450" s="512"/>
      <c r="V450" s="512"/>
      <c r="W450" s="512"/>
      <c r="X450" s="512"/>
      <c r="Y450" s="512"/>
      <c r="Z450" s="512"/>
      <c r="AA450" s="512"/>
      <c r="AB450" s="512"/>
      <c r="AC450" s="512"/>
    </row>
    <row r="451">
      <c r="A451" s="512"/>
      <c r="B451" s="512"/>
      <c r="C451" s="512"/>
      <c r="D451" s="512"/>
      <c r="E451" s="512"/>
      <c r="F451" s="512"/>
      <c r="G451" s="512"/>
      <c r="H451" s="512"/>
      <c r="I451" s="512"/>
      <c r="J451" s="512"/>
      <c r="K451" s="512"/>
      <c r="L451" s="512"/>
      <c r="M451" s="512"/>
      <c r="N451" s="512"/>
      <c r="O451" s="512"/>
      <c r="P451" s="156"/>
      <c r="Q451" s="512"/>
      <c r="R451" s="512"/>
      <c r="S451" s="512"/>
      <c r="T451" s="512"/>
      <c r="U451" s="512"/>
      <c r="V451" s="512"/>
      <c r="W451" s="512"/>
      <c r="X451" s="512"/>
      <c r="Y451" s="512"/>
      <c r="Z451" s="512"/>
      <c r="AA451" s="512"/>
      <c r="AB451" s="512"/>
      <c r="AC451" s="512"/>
    </row>
    <row r="452">
      <c r="A452" s="512"/>
      <c r="B452" s="512"/>
      <c r="C452" s="512"/>
      <c r="D452" s="512"/>
      <c r="E452" s="512"/>
      <c r="F452" s="512"/>
      <c r="G452" s="512"/>
      <c r="H452" s="512"/>
      <c r="I452" s="512"/>
      <c r="J452" s="512"/>
      <c r="K452" s="512"/>
      <c r="L452" s="512"/>
      <c r="M452" s="512"/>
      <c r="N452" s="512"/>
      <c r="O452" s="512"/>
      <c r="P452" s="156"/>
      <c r="Q452" s="512"/>
      <c r="R452" s="512"/>
      <c r="S452" s="512"/>
      <c r="T452" s="512"/>
      <c r="U452" s="512"/>
      <c r="V452" s="512"/>
      <c r="W452" s="512"/>
      <c r="X452" s="512"/>
      <c r="Y452" s="512"/>
      <c r="Z452" s="512"/>
      <c r="AA452" s="512"/>
      <c r="AB452" s="512"/>
      <c r="AC452" s="512"/>
    </row>
    <row r="453">
      <c r="A453" s="512"/>
      <c r="B453" s="512"/>
      <c r="C453" s="512"/>
      <c r="D453" s="512"/>
      <c r="E453" s="512"/>
      <c r="F453" s="512"/>
      <c r="G453" s="512"/>
      <c r="H453" s="512"/>
      <c r="I453" s="512"/>
      <c r="J453" s="512"/>
      <c r="K453" s="512"/>
      <c r="L453" s="512"/>
      <c r="M453" s="512"/>
      <c r="N453" s="512"/>
      <c r="O453" s="512"/>
      <c r="P453" s="156"/>
      <c r="Q453" s="512"/>
      <c r="R453" s="512"/>
      <c r="S453" s="512"/>
      <c r="T453" s="512"/>
      <c r="U453" s="512"/>
      <c r="V453" s="512"/>
      <c r="W453" s="512"/>
      <c r="X453" s="512"/>
      <c r="Y453" s="512"/>
      <c r="Z453" s="512"/>
      <c r="AA453" s="512"/>
      <c r="AB453" s="512"/>
      <c r="AC453" s="512"/>
    </row>
    <row r="454">
      <c r="A454" s="512"/>
      <c r="B454" s="512"/>
      <c r="C454" s="512"/>
      <c r="D454" s="512"/>
      <c r="E454" s="512"/>
      <c r="F454" s="512"/>
      <c r="G454" s="512"/>
      <c r="H454" s="512"/>
      <c r="I454" s="512"/>
      <c r="J454" s="512"/>
      <c r="K454" s="512"/>
      <c r="L454" s="512"/>
      <c r="M454" s="512"/>
      <c r="N454" s="512"/>
      <c r="O454" s="512"/>
      <c r="P454" s="156"/>
      <c r="Q454" s="512"/>
      <c r="R454" s="512"/>
      <c r="S454" s="512"/>
      <c r="T454" s="512"/>
      <c r="U454" s="512"/>
      <c r="V454" s="512"/>
      <c r="W454" s="512"/>
      <c r="X454" s="512"/>
      <c r="Y454" s="512"/>
      <c r="Z454" s="512"/>
      <c r="AA454" s="512"/>
      <c r="AB454" s="512"/>
      <c r="AC454" s="512"/>
    </row>
    <row r="455">
      <c r="A455" s="512"/>
      <c r="B455" s="512"/>
      <c r="C455" s="512"/>
      <c r="D455" s="512"/>
      <c r="E455" s="512"/>
      <c r="F455" s="512"/>
      <c r="G455" s="512"/>
      <c r="H455" s="512"/>
      <c r="I455" s="512"/>
      <c r="J455" s="512"/>
      <c r="K455" s="512"/>
      <c r="L455" s="512"/>
      <c r="M455" s="512"/>
      <c r="N455" s="512"/>
      <c r="O455" s="512"/>
      <c r="P455" s="156"/>
      <c r="Q455" s="512"/>
      <c r="R455" s="512"/>
      <c r="S455" s="512"/>
      <c r="T455" s="512"/>
      <c r="U455" s="512"/>
      <c r="V455" s="512"/>
      <c r="W455" s="512"/>
      <c r="X455" s="512"/>
      <c r="Y455" s="512"/>
      <c r="Z455" s="512"/>
      <c r="AA455" s="512"/>
      <c r="AB455" s="512"/>
      <c r="AC455" s="512"/>
    </row>
    <row r="456">
      <c r="A456" s="512"/>
      <c r="B456" s="512"/>
      <c r="C456" s="512"/>
      <c r="D456" s="512"/>
      <c r="E456" s="512"/>
      <c r="F456" s="512"/>
      <c r="G456" s="512"/>
      <c r="H456" s="512"/>
      <c r="I456" s="512"/>
      <c r="J456" s="512"/>
      <c r="K456" s="512"/>
      <c r="L456" s="512"/>
      <c r="M456" s="512"/>
      <c r="N456" s="512"/>
      <c r="O456" s="512"/>
      <c r="P456" s="156"/>
      <c r="Q456" s="512"/>
      <c r="R456" s="512"/>
      <c r="S456" s="512"/>
      <c r="T456" s="512"/>
      <c r="U456" s="512"/>
      <c r="V456" s="512"/>
      <c r="W456" s="512"/>
      <c r="X456" s="512"/>
      <c r="Y456" s="512"/>
      <c r="Z456" s="512"/>
      <c r="AA456" s="512"/>
      <c r="AB456" s="512"/>
      <c r="AC456" s="512"/>
    </row>
    <row r="457">
      <c r="A457" s="512"/>
      <c r="B457" s="512"/>
      <c r="C457" s="512"/>
      <c r="D457" s="512"/>
      <c r="E457" s="512"/>
      <c r="F457" s="512"/>
      <c r="G457" s="512"/>
      <c r="H457" s="512"/>
      <c r="I457" s="512"/>
      <c r="J457" s="512"/>
      <c r="K457" s="512"/>
      <c r="L457" s="512"/>
      <c r="M457" s="512"/>
      <c r="N457" s="512"/>
      <c r="O457" s="512"/>
      <c r="P457" s="156"/>
      <c r="Q457" s="512"/>
      <c r="R457" s="512"/>
      <c r="S457" s="512"/>
      <c r="T457" s="512"/>
      <c r="U457" s="512"/>
      <c r="V457" s="512"/>
      <c r="W457" s="512"/>
      <c r="X457" s="512"/>
      <c r="Y457" s="512"/>
      <c r="Z457" s="512"/>
      <c r="AA457" s="512"/>
      <c r="AB457" s="512"/>
      <c r="AC457" s="512"/>
    </row>
    <row r="458">
      <c r="A458" s="512"/>
      <c r="B458" s="512"/>
      <c r="C458" s="512"/>
      <c r="D458" s="512"/>
      <c r="E458" s="512"/>
      <c r="F458" s="512"/>
      <c r="G458" s="512"/>
      <c r="H458" s="512"/>
      <c r="I458" s="512"/>
      <c r="J458" s="512"/>
      <c r="K458" s="512"/>
      <c r="L458" s="512"/>
      <c r="M458" s="512"/>
      <c r="N458" s="512"/>
      <c r="O458" s="512"/>
      <c r="P458" s="156"/>
      <c r="Q458" s="512"/>
      <c r="R458" s="512"/>
      <c r="S458" s="512"/>
      <c r="T458" s="512"/>
      <c r="U458" s="512"/>
      <c r="V458" s="512"/>
      <c r="W458" s="512"/>
      <c r="X458" s="512"/>
      <c r="Y458" s="512"/>
      <c r="Z458" s="512"/>
      <c r="AA458" s="512"/>
      <c r="AB458" s="512"/>
      <c r="AC458" s="512"/>
    </row>
    <row r="459">
      <c r="A459" s="512"/>
      <c r="B459" s="512"/>
      <c r="C459" s="512"/>
      <c r="D459" s="512"/>
      <c r="E459" s="512"/>
      <c r="F459" s="512"/>
      <c r="G459" s="512"/>
      <c r="H459" s="512"/>
      <c r="I459" s="512"/>
      <c r="J459" s="512"/>
      <c r="K459" s="512"/>
      <c r="L459" s="512"/>
      <c r="M459" s="512"/>
      <c r="N459" s="512"/>
      <c r="O459" s="512"/>
      <c r="P459" s="156"/>
      <c r="Q459" s="512"/>
      <c r="R459" s="512"/>
      <c r="S459" s="512"/>
      <c r="T459" s="512"/>
      <c r="U459" s="512"/>
      <c r="V459" s="512"/>
      <c r="W459" s="512"/>
      <c r="X459" s="512"/>
      <c r="Y459" s="512"/>
      <c r="Z459" s="512"/>
      <c r="AA459" s="512"/>
      <c r="AB459" s="512"/>
      <c r="AC459" s="512"/>
    </row>
    <row r="460">
      <c r="A460" s="512"/>
      <c r="B460" s="512"/>
      <c r="C460" s="512"/>
      <c r="D460" s="512"/>
      <c r="E460" s="512"/>
      <c r="F460" s="512"/>
      <c r="G460" s="512"/>
      <c r="H460" s="512"/>
      <c r="I460" s="512"/>
      <c r="J460" s="512"/>
      <c r="K460" s="512"/>
      <c r="L460" s="512"/>
      <c r="M460" s="512"/>
      <c r="N460" s="512"/>
      <c r="O460" s="512"/>
      <c r="P460" s="156"/>
      <c r="Q460" s="512"/>
      <c r="R460" s="512"/>
      <c r="S460" s="512"/>
      <c r="T460" s="512"/>
      <c r="U460" s="512"/>
      <c r="V460" s="512"/>
      <c r="W460" s="512"/>
      <c r="X460" s="512"/>
      <c r="Y460" s="512"/>
      <c r="Z460" s="512"/>
      <c r="AA460" s="512"/>
      <c r="AB460" s="512"/>
      <c r="AC460" s="512"/>
    </row>
    <row r="461">
      <c r="A461" s="512"/>
      <c r="B461" s="512"/>
      <c r="C461" s="512"/>
      <c r="D461" s="512"/>
      <c r="E461" s="512"/>
      <c r="F461" s="512"/>
      <c r="G461" s="512"/>
      <c r="H461" s="512"/>
      <c r="I461" s="512"/>
      <c r="J461" s="512"/>
      <c r="K461" s="512"/>
      <c r="L461" s="512"/>
      <c r="M461" s="512"/>
      <c r="N461" s="512"/>
      <c r="O461" s="512"/>
      <c r="P461" s="156"/>
      <c r="Q461" s="512"/>
      <c r="R461" s="512"/>
      <c r="S461" s="512"/>
      <c r="T461" s="512"/>
      <c r="U461" s="512"/>
      <c r="V461" s="512"/>
      <c r="W461" s="512"/>
      <c r="X461" s="512"/>
      <c r="Y461" s="512"/>
      <c r="Z461" s="512"/>
      <c r="AA461" s="512"/>
      <c r="AB461" s="512"/>
      <c r="AC461" s="512"/>
    </row>
    <row r="462">
      <c r="A462" s="512"/>
      <c r="B462" s="512"/>
      <c r="C462" s="512"/>
      <c r="D462" s="512"/>
      <c r="E462" s="512"/>
      <c r="F462" s="512"/>
      <c r="G462" s="512"/>
      <c r="H462" s="512"/>
      <c r="I462" s="512"/>
      <c r="J462" s="512"/>
      <c r="K462" s="512"/>
      <c r="L462" s="512"/>
      <c r="M462" s="512"/>
      <c r="N462" s="512"/>
      <c r="O462" s="512"/>
      <c r="P462" s="156"/>
      <c r="Q462" s="512"/>
      <c r="R462" s="512"/>
      <c r="S462" s="512"/>
      <c r="T462" s="512"/>
      <c r="U462" s="512"/>
      <c r="V462" s="512"/>
      <c r="W462" s="512"/>
      <c r="X462" s="512"/>
      <c r="Y462" s="512"/>
      <c r="Z462" s="512"/>
      <c r="AA462" s="512"/>
      <c r="AB462" s="512"/>
      <c r="AC462" s="512"/>
    </row>
    <row r="463">
      <c r="A463" s="512"/>
      <c r="B463" s="512"/>
      <c r="C463" s="512"/>
      <c r="D463" s="512"/>
      <c r="E463" s="512"/>
      <c r="F463" s="512"/>
      <c r="G463" s="512"/>
      <c r="H463" s="512"/>
      <c r="I463" s="512"/>
      <c r="J463" s="512"/>
      <c r="K463" s="512"/>
      <c r="L463" s="512"/>
      <c r="M463" s="512"/>
      <c r="N463" s="512"/>
      <c r="O463" s="512"/>
      <c r="P463" s="156"/>
      <c r="Q463" s="512"/>
      <c r="R463" s="512"/>
      <c r="S463" s="512"/>
      <c r="T463" s="512"/>
      <c r="U463" s="512"/>
      <c r="V463" s="512"/>
      <c r="W463" s="512"/>
      <c r="X463" s="512"/>
      <c r="Y463" s="512"/>
      <c r="Z463" s="512"/>
      <c r="AA463" s="512"/>
      <c r="AB463" s="512"/>
      <c r="AC463" s="512"/>
    </row>
    <row r="464">
      <c r="A464" s="512"/>
      <c r="B464" s="512"/>
      <c r="C464" s="512"/>
      <c r="D464" s="512"/>
      <c r="E464" s="512"/>
      <c r="F464" s="512"/>
      <c r="G464" s="512"/>
      <c r="H464" s="512"/>
      <c r="I464" s="512"/>
      <c r="J464" s="512"/>
      <c r="K464" s="512"/>
      <c r="L464" s="512"/>
      <c r="M464" s="512"/>
      <c r="N464" s="512"/>
      <c r="O464" s="512"/>
      <c r="P464" s="156"/>
      <c r="Q464" s="512"/>
      <c r="R464" s="512"/>
      <c r="S464" s="512"/>
      <c r="T464" s="512"/>
      <c r="U464" s="512"/>
      <c r="V464" s="512"/>
      <c r="W464" s="512"/>
      <c r="X464" s="512"/>
      <c r="Y464" s="512"/>
      <c r="Z464" s="512"/>
      <c r="AA464" s="512"/>
      <c r="AB464" s="512"/>
      <c r="AC464" s="512"/>
    </row>
    <row r="465">
      <c r="A465" s="512"/>
      <c r="B465" s="512"/>
      <c r="C465" s="512"/>
      <c r="D465" s="512"/>
      <c r="E465" s="512"/>
      <c r="F465" s="512"/>
      <c r="G465" s="512"/>
      <c r="H465" s="512"/>
      <c r="I465" s="512"/>
      <c r="J465" s="512"/>
      <c r="K465" s="512"/>
      <c r="L465" s="512"/>
      <c r="M465" s="512"/>
      <c r="N465" s="512"/>
      <c r="O465" s="512"/>
      <c r="P465" s="156"/>
      <c r="Q465" s="512"/>
      <c r="R465" s="512"/>
      <c r="S465" s="512"/>
      <c r="T465" s="512"/>
      <c r="U465" s="512"/>
      <c r="V465" s="512"/>
      <c r="W465" s="512"/>
      <c r="X465" s="512"/>
      <c r="Y465" s="512"/>
      <c r="Z465" s="512"/>
      <c r="AA465" s="512"/>
      <c r="AB465" s="512"/>
      <c r="AC465" s="512"/>
    </row>
    <row r="466">
      <c r="A466" s="512"/>
      <c r="B466" s="512"/>
      <c r="C466" s="512"/>
      <c r="D466" s="512"/>
      <c r="E466" s="512"/>
      <c r="F466" s="512"/>
      <c r="G466" s="512"/>
      <c r="H466" s="512"/>
      <c r="I466" s="512"/>
      <c r="J466" s="512"/>
      <c r="K466" s="512"/>
      <c r="L466" s="512"/>
      <c r="M466" s="512"/>
      <c r="N466" s="512"/>
      <c r="O466" s="512"/>
      <c r="P466" s="156"/>
      <c r="Q466" s="512"/>
      <c r="R466" s="512"/>
      <c r="S466" s="512"/>
      <c r="T466" s="512"/>
      <c r="U466" s="512"/>
      <c r="V466" s="512"/>
      <c r="W466" s="512"/>
      <c r="X466" s="512"/>
      <c r="Y466" s="512"/>
      <c r="Z466" s="512"/>
      <c r="AA466" s="512"/>
      <c r="AB466" s="512"/>
      <c r="AC466" s="512"/>
    </row>
    <row r="467">
      <c r="A467" s="512"/>
      <c r="B467" s="512"/>
      <c r="C467" s="512"/>
      <c r="D467" s="512"/>
      <c r="E467" s="512"/>
      <c r="F467" s="512"/>
      <c r="G467" s="512"/>
      <c r="H467" s="512"/>
      <c r="I467" s="512"/>
      <c r="J467" s="512"/>
      <c r="K467" s="512"/>
      <c r="L467" s="512"/>
      <c r="M467" s="512"/>
      <c r="N467" s="512"/>
      <c r="O467" s="512"/>
      <c r="P467" s="156"/>
      <c r="Q467" s="512"/>
      <c r="R467" s="512"/>
      <c r="S467" s="512"/>
      <c r="T467" s="512"/>
      <c r="U467" s="512"/>
      <c r="V467" s="512"/>
      <c r="W467" s="512"/>
      <c r="X467" s="512"/>
      <c r="Y467" s="512"/>
      <c r="Z467" s="512"/>
      <c r="AA467" s="512"/>
      <c r="AB467" s="512"/>
      <c r="AC467" s="512"/>
    </row>
    <row r="468">
      <c r="A468" s="512"/>
      <c r="B468" s="512"/>
      <c r="C468" s="512"/>
      <c r="D468" s="512"/>
      <c r="E468" s="512"/>
      <c r="F468" s="512"/>
      <c r="G468" s="512"/>
      <c r="H468" s="512"/>
      <c r="I468" s="512"/>
      <c r="J468" s="512"/>
      <c r="K468" s="512"/>
      <c r="L468" s="512"/>
      <c r="M468" s="512"/>
      <c r="N468" s="512"/>
      <c r="O468" s="512"/>
      <c r="P468" s="156"/>
      <c r="Q468" s="512"/>
      <c r="R468" s="512"/>
      <c r="S468" s="512"/>
      <c r="T468" s="512"/>
      <c r="U468" s="512"/>
      <c r="V468" s="512"/>
      <c r="W468" s="512"/>
      <c r="X468" s="512"/>
      <c r="Y468" s="512"/>
      <c r="Z468" s="512"/>
      <c r="AA468" s="512"/>
      <c r="AB468" s="512"/>
      <c r="AC468" s="512"/>
    </row>
    <row r="469">
      <c r="A469" s="512"/>
      <c r="B469" s="512"/>
      <c r="C469" s="512"/>
      <c r="D469" s="512"/>
      <c r="E469" s="512"/>
      <c r="F469" s="512"/>
      <c r="G469" s="512"/>
      <c r="H469" s="512"/>
      <c r="I469" s="512"/>
      <c r="J469" s="512"/>
      <c r="K469" s="512"/>
      <c r="L469" s="512"/>
      <c r="M469" s="512"/>
      <c r="N469" s="512"/>
      <c r="O469" s="512"/>
      <c r="P469" s="156"/>
      <c r="Q469" s="512"/>
      <c r="R469" s="512"/>
      <c r="S469" s="512"/>
      <c r="T469" s="512"/>
      <c r="U469" s="512"/>
      <c r="V469" s="512"/>
      <c r="W469" s="512"/>
      <c r="X469" s="512"/>
      <c r="Y469" s="512"/>
      <c r="Z469" s="512"/>
      <c r="AA469" s="512"/>
      <c r="AB469" s="512"/>
      <c r="AC469" s="512"/>
    </row>
    <row r="470">
      <c r="A470" s="512"/>
      <c r="B470" s="512"/>
      <c r="C470" s="512"/>
      <c r="D470" s="512"/>
      <c r="E470" s="512"/>
      <c r="F470" s="512"/>
      <c r="G470" s="512"/>
      <c r="H470" s="512"/>
      <c r="I470" s="512"/>
      <c r="J470" s="512"/>
      <c r="K470" s="512"/>
      <c r="L470" s="512"/>
      <c r="M470" s="512"/>
      <c r="N470" s="512"/>
      <c r="O470" s="512"/>
      <c r="P470" s="156"/>
      <c r="Q470" s="512"/>
      <c r="R470" s="512"/>
      <c r="S470" s="512"/>
      <c r="T470" s="512"/>
      <c r="U470" s="512"/>
      <c r="V470" s="512"/>
      <c r="W470" s="512"/>
      <c r="X470" s="512"/>
      <c r="Y470" s="512"/>
      <c r="Z470" s="512"/>
      <c r="AA470" s="512"/>
      <c r="AB470" s="512"/>
      <c r="AC470" s="512"/>
    </row>
    <row r="471">
      <c r="A471" s="512"/>
      <c r="B471" s="512"/>
      <c r="C471" s="512"/>
      <c r="D471" s="512"/>
      <c r="E471" s="512"/>
      <c r="F471" s="512"/>
      <c r="G471" s="512"/>
      <c r="H471" s="512"/>
      <c r="I471" s="512"/>
      <c r="J471" s="512"/>
      <c r="K471" s="512"/>
      <c r="L471" s="512"/>
      <c r="M471" s="512"/>
      <c r="N471" s="512"/>
      <c r="O471" s="512"/>
      <c r="P471" s="156"/>
      <c r="Q471" s="512"/>
      <c r="R471" s="512"/>
      <c r="S471" s="512"/>
      <c r="T471" s="512"/>
      <c r="U471" s="512"/>
      <c r="V471" s="512"/>
      <c r="W471" s="512"/>
      <c r="X471" s="512"/>
      <c r="Y471" s="512"/>
      <c r="Z471" s="512"/>
      <c r="AA471" s="512"/>
      <c r="AB471" s="512"/>
      <c r="AC471" s="512"/>
    </row>
    <row r="472">
      <c r="A472" s="512"/>
      <c r="B472" s="512"/>
      <c r="C472" s="512"/>
      <c r="D472" s="512"/>
      <c r="E472" s="512"/>
      <c r="F472" s="512"/>
      <c r="G472" s="512"/>
      <c r="H472" s="512"/>
      <c r="I472" s="512"/>
      <c r="J472" s="512"/>
      <c r="K472" s="512"/>
      <c r="L472" s="512"/>
      <c r="M472" s="512"/>
      <c r="N472" s="512"/>
      <c r="O472" s="512"/>
      <c r="P472" s="156"/>
      <c r="Q472" s="512"/>
      <c r="R472" s="512"/>
      <c r="S472" s="512"/>
      <c r="T472" s="512"/>
      <c r="U472" s="512"/>
      <c r="V472" s="512"/>
      <c r="W472" s="512"/>
      <c r="X472" s="512"/>
      <c r="Y472" s="512"/>
      <c r="Z472" s="512"/>
      <c r="AA472" s="512"/>
      <c r="AB472" s="512"/>
      <c r="AC472" s="512"/>
    </row>
    <row r="473">
      <c r="A473" s="512"/>
      <c r="B473" s="512"/>
      <c r="C473" s="512"/>
      <c r="D473" s="512"/>
      <c r="E473" s="512"/>
      <c r="F473" s="512"/>
      <c r="G473" s="512"/>
      <c r="H473" s="512"/>
      <c r="I473" s="512"/>
      <c r="J473" s="512"/>
      <c r="K473" s="512"/>
      <c r="L473" s="512"/>
      <c r="M473" s="512"/>
      <c r="N473" s="512"/>
      <c r="O473" s="512"/>
      <c r="P473" s="156"/>
      <c r="Q473" s="512"/>
      <c r="R473" s="512"/>
      <c r="S473" s="512"/>
      <c r="T473" s="512"/>
      <c r="U473" s="512"/>
      <c r="V473" s="512"/>
      <c r="W473" s="512"/>
      <c r="X473" s="512"/>
      <c r="Y473" s="512"/>
      <c r="Z473" s="512"/>
      <c r="AA473" s="512"/>
      <c r="AB473" s="512"/>
      <c r="AC473" s="512"/>
    </row>
    <row r="474">
      <c r="A474" s="512"/>
      <c r="B474" s="512"/>
      <c r="C474" s="512"/>
      <c r="D474" s="512"/>
      <c r="E474" s="512"/>
      <c r="F474" s="512"/>
      <c r="G474" s="512"/>
      <c r="H474" s="512"/>
      <c r="I474" s="512"/>
      <c r="J474" s="512"/>
      <c r="K474" s="512"/>
      <c r="L474" s="512"/>
      <c r="M474" s="512"/>
      <c r="N474" s="512"/>
      <c r="O474" s="512"/>
      <c r="P474" s="156"/>
      <c r="Q474" s="512"/>
      <c r="R474" s="512"/>
      <c r="S474" s="512"/>
      <c r="T474" s="512"/>
      <c r="U474" s="512"/>
      <c r="V474" s="512"/>
      <c r="W474" s="512"/>
      <c r="X474" s="512"/>
      <c r="Y474" s="512"/>
      <c r="Z474" s="512"/>
      <c r="AA474" s="512"/>
      <c r="AB474" s="512"/>
      <c r="AC474" s="512"/>
    </row>
    <row r="475">
      <c r="A475" s="512"/>
      <c r="B475" s="512"/>
      <c r="C475" s="512"/>
      <c r="D475" s="512"/>
      <c r="E475" s="512"/>
      <c r="F475" s="512"/>
      <c r="G475" s="512"/>
      <c r="H475" s="512"/>
      <c r="I475" s="512"/>
      <c r="J475" s="512"/>
      <c r="K475" s="512"/>
      <c r="L475" s="512"/>
      <c r="M475" s="512"/>
      <c r="N475" s="512"/>
      <c r="O475" s="512"/>
      <c r="P475" s="156"/>
      <c r="Q475" s="512"/>
      <c r="R475" s="512"/>
      <c r="S475" s="512"/>
      <c r="T475" s="512"/>
      <c r="U475" s="512"/>
      <c r="V475" s="512"/>
      <c r="W475" s="512"/>
      <c r="X475" s="512"/>
      <c r="Y475" s="512"/>
      <c r="Z475" s="512"/>
      <c r="AA475" s="512"/>
      <c r="AB475" s="512"/>
      <c r="AC475" s="512"/>
    </row>
    <row r="476">
      <c r="A476" s="512"/>
      <c r="B476" s="512"/>
      <c r="C476" s="512"/>
      <c r="D476" s="512"/>
      <c r="E476" s="512"/>
      <c r="F476" s="512"/>
      <c r="G476" s="512"/>
      <c r="H476" s="512"/>
      <c r="I476" s="512"/>
      <c r="J476" s="512"/>
      <c r="K476" s="512"/>
      <c r="L476" s="512"/>
      <c r="M476" s="512"/>
      <c r="N476" s="512"/>
      <c r="O476" s="512"/>
      <c r="P476" s="156"/>
      <c r="Q476" s="512"/>
      <c r="R476" s="512"/>
      <c r="S476" s="512"/>
      <c r="T476" s="512"/>
      <c r="U476" s="512"/>
      <c r="V476" s="512"/>
      <c r="W476" s="512"/>
      <c r="X476" s="512"/>
      <c r="Y476" s="512"/>
      <c r="Z476" s="512"/>
      <c r="AA476" s="512"/>
      <c r="AB476" s="512"/>
      <c r="AC476" s="512"/>
    </row>
    <row r="477">
      <c r="A477" s="512"/>
      <c r="B477" s="512"/>
      <c r="C477" s="512"/>
      <c r="D477" s="512"/>
      <c r="E477" s="512"/>
      <c r="F477" s="512"/>
      <c r="G477" s="512"/>
      <c r="H477" s="512"/>
      <c r="I477" s="512"/>
      <c r="J477" s="512"/>
      <c r="K477" s="512"/>
      <c r="L477" s="512"/>
      <c r="M477" s="512"/>
      <c r="N477" s="512"/>
      <c r="O477" s="512"/>
      <c r="P477" s="156"/>
      <c r="Q477" s="512"/>
      <c r="R477" s="512"/>
      <c r="S477" s="512"/>
      <c r="T477" s="512"/>
      <c r="U477" s="512"/>
      <c r="V477" s="512"/>
      <c r="W477" s="512"/>
      <c r="X477" s="512"/>
      <c r="Y477" s="512"/>
      <c r="Z477" s="512"/>
      <c r="AA477" s="512"/>
      <c r="AB477" s="512"/>
      <c r="AC477" s="512"/>
    </row>
    <row r="478">
      <c r="A478" s="512"/>
      <c r="B478" s="512"/>
      <c r="C478" s="512"/>
      <c r="D478" s="512"/>
      <c r="E478" s="512"/>
      <c r="F478" s="512"/>
      <c r="G478" s="512"/>
      <c r="H478" s="512"/>
      <c r="I478" s="512"/>
      <c r="J478" s="512"/>
      <c r="K478" s="512"/>
      <c r="L478" s="512"/>
      <c r="M478" s="512"/>
      <c r="N478" s="512"/>
      <c r="O478" s="512"/>
      <c r="P478" s="156"/>
      <c r="Q478" s="512"/>
      <c r="R478" s="512"/>
      <c r="S478" s="512"/>
      <c r="T478" s="512"/>
      <c r="U478" s="512"/>
      <c r="V478" s="512"/>
      <c r="W478" s="512"/>
      <c r="X478" s="512"/>
      <c r="Y478" s="512"/>
      <c r="Z478" s="512"/>
      <c r="AA478" s="512"/>
      <c r="AB478" s="512"/>
      <c r="AC478" s="512"/>
    </row>
    <row r="479">
      <c r="A479" s="512"/>
      <c r="B479" s="512"/>
      <c r="C479" s="512"/>
      <c r="D479" s="512"/>
      <c r="E479" s="512"/>
      <c r="F479" s="512"/>
      <c r="G479" s="512"/>
      <c r="H479" s="512"/>
      <c r="I479" s="512"/>
      <c r="J479" s="512"/>
      <c r="K479" s="512"/>
      <c r="L479" s="512"/>
      <c r="M479" s="512"/>
      <c r="N479" s="512"/>
      <c r="O479" s="512"/>
      <c r="P479" s="156"/>
      <c r="Q479" s="512"/>
      <c r="R479" s="512"/>
      <c r="S479" s="512"/>
      <c r="T479" s="512"/>
      <c r="U479" s="512"/>
      <c r="V479" s="512"/>
      <c r="W479" s="512"/>
      <c r="X479" s="512"/>
      <c r="Y479" s="512"/>
      <c r="Z479" s="512"/>
      <c r="AA479" s="512"/>
      <c r="AB479" s="512"/>
      <c r="AC479" s="512"/>
    </row>
    <row r="480">
      <c r="A480" s="512"/>
      <c r="B480" s="512"/>
      <c r="C480" s="512"/>
      <c r="D480" s="512"/>
      <c r="E480" s="512"/>
      <c r="F480" s="512"/>
      <c r="G480" s="512"/>
      <c r="H480" s="512"/>
      <c r="I480" s="512"/>
      <c r="J480" s="512"/>
      <c r="K480" s="512"/>
      <c r="L480" s="512"/>
      <c r="M480" s="512"/>
      <c r="N480" s="512"/>
      <c r="O480" s="512"/>
      <c r="P480" s="156"/>
      <c r="Q480" s="512"/>
      <c r="R480" s="512"/>
      <c r="S480" s="512"/>
      <c r="T480" s="512"/>
      <c r="U480" s="512"/>
      <c r="V480" s="512"/>
      <c r="W480" s="512"/>
      <c r="X480" s="512"/>
      <c r="Y480" s="512"/>
      <c r="Z480" s="512"/>
      <c r="AA480" s="512"/>
      <c r="AB480" s="512"/>
      <c r="AC480" s="512"/>
    </row>
    <row r="481">
      <c r="A481" s="512"/>
      <c r="B481" s="512"/>
      <c r="C481" s="512"/>
      <c r="D481" s="512"/>
      <c r="E481" s="512"/>
      <c r="F481" s="512"/>
      <c r="G481" s="512"/>
      <c r="H481" s="512"/>
      <c r="I481" s="512"/>
      <c r="J481" s="512"/>
      <c r="K481" s="512"/>
      <c r="L481" s="512"/>
      <c r="M481" s="512"/>
      <c r="N481" s="512"/>
      <c r="O481" s="512"/>
      <c r="P481" s="156"/>
      <c r="Q481" s="512"/>
      <c r="R481" s="512"/>
      <c r="S481" s="512"/>
      <c r="T481" s="512"/>
      <c r="U481" s="512"/>
      <c r="V481" s="512"/>
      <c r="W481" s="512"/>
      <c r="X481" s="512"/>
      <c r="Y481" s="512"/>
      <c r="Z481" s="512"/>
      <c r="AA481" s="512"/>
      <c r="AB481" s="512"/>
      <c r="AC481" s="512"/>
    </row>
    <row r="482">
      <c r="A482" s="512"/>
      <c r="B482" s="512"/>
      <c r="C482" s="512"/>
      <c r="D482" s="512"/>
      <c r="E482" s="512"/>
      <c r="F482" s="512"/>
      <c r="G482" s="512"/>
      <c r="H482" s="512"/>
      <c r="I482" s="512"/>
      <c r="J482" s="512"/>
      <c r="K482" s="512"/>
      <c r="L482" s="512"/>
      <c r="M482" s="512"/>
      <c r="N482" s="512"/>
      <c r="O482" s="512"/>
      <c r="P482" s="156"/>
      <c r="Q482" s="512"/>
      <c r="R482" s="512"/>
      <c r="S482" s="512"/>
      <c r="T482" s="512"/>
      <c r="U482" s="512"/>
      <c r="V482" s="512"/>
      <c r="W482" s="512"/>
      <c r="X482" s="512"/>
      <c r="Y482" s="512"/>
      <c r="Z482" s="512"/>
      <c r="AA482" s="512"/>
      <c r="AB482" s="512"/>
      <c r="AC482" s="512"/>
    </row>
    <row r="483">
      <c r="A483" s="512"/>
      <c r="B483" s="512"/>
      <c r="C483" s="512"/>
      <c r="D483" s="512"/>
      <c r="E483" s="512"/>
      <c r="F483" s="512"/>
      <c r="G483" s="512"/>
      <c r="H483" s="512"/>
      <c r="I483" s="512"/>
      <c r="J483" s="512"/>
      <c r="K483" s="512"/>
      <c r="L483" s="512"/>
      <c r="M483" s="512"/>
      <c r="N483" s="512"/>
      <c r="O483" s="512"/>
      <c r="P483" s="156"/>
      <c r="Q483" s="512"/>
      <c r="R483" s="512"/>
      <c r="S483" s="512"/>
      <c r="T483" s="512"/>
      <c r="U483" s="512"/>
      <c r="V483" s="512"/>
      <c r="W483" s="512"/>
      <c r="X483" s="512"/>
      <c r="Y483" s="512"/>
      <c r="Z483" s="512"/>
      <c r="AA483" s="512"/>
      <c r="AB483" s="512"/>
      <c r="AC483" s="512"/>
    </row>
    <row r="484">
      <c r="A484" s="512"/>
      <c r="B484" s="512"/>
      <c r="C484" s="512"/>
      <c r="D484" s="512"/>
      <c r="E484" s="512"/>
      <c r="F484" s="512"/>
      <c r="G484" s="512"/>
      <c r="H484" s="512"/>
      <c r="I484" s="512"/>
      <c r="J484" s="512"/>
      <c r="K484" s="512"/>
      <c r="L484" s="512"/>
      <c r="M484" s="512"/>
      <c r="N484" s="512"/>
      <c r="O484" s="512"/>
      <c r="P484" s="156"/>
      <c r="Q484" s="512"/>
      <c r="R484" s="512"/>
      <c r="S484" s="512"/>
      <c r="T484" s="512"/>
      <c r="U484" s="512"/>
      <c r="V484" s="512"/>
      <c r="W484" s="512"/>
      <c r="X484" s="512"/>
      <c r="Y484" s="512"/>
      <c r="Z484" s="512"/>
      <c r="AA484" s="512"/>
      <c r="AB484" s="512"/>
      <c r="AC484" s="512"/>
    </row>
    <row r="485">
      <c r="A485" s="512"/>
      <c r="B485" s="512"/>
      <c r="C485" s="512"/>
      <c r="D485" s="512"/>
      <c r="E485" s="512"/>
      <c r="F485" s="512"/>
      <c r="G485" s="512"/>
      <c r="H485" s="512"/>
      <c r="I485" s="512"/>
      <c r="J485" s="512"/>
      <c r="K485" s="512"/>
      <c r="L485" s="512"/>
      <c r="M485" s="512"/>
      <c r="N485" s="512"/>
      <c r="O485" s="512"/>
      <c r="P485" s="156"/>
      <c r="Q485" s="512"/>
      <c r="R485" s="512"/>
      <c r="S485" s="512"/>
      <c r="T485" s="512"/>
      <c r="U485" s="512"/>
      <c r="V485" s="512"/>
      <c r="W485" s="512"/>
      <c r="X485" s="512"/>
      <c r="Y485" s="512"/>
      <c r="Z485" s="512"/>
      <c r="AA485" s="512"/>
      <c r="AB485" s="512"/>
      <c r="AC485" s="512"/>
    </row>
    <row r="486">
      <c r="A486" s="512"/>
      <c r="B486" s="512"/>
      <c r="C486" s="512"/>
      <c r="D486" s="512"/>
      <c r="E486" s="512"/>
      <c r="F486" s="512"/>
      <c r="G486" s="512"/>
      <c r="H486" s="512"/>
      <c r="I486" s="512"/>
      <c r="J486" s="512"/>
      <c r="K486" s="512"/>
      <c r="L486" s="512"/>
      <c r="M486" s="512"/>
      <c r="N486" s="512"/>
      <c r="O486" s="512"/>
      <c r="P486" s="156"/>
      <c r="Q486" s="512"/>
      <c r="R486" s="512"/>
      <c r="S486" s="512"/>
      <c r="T486" s="512"/>
      <c r="U486" s="512"/>
      <c r="V486" s="512"/>
      <c r="W486" s="512"/>
      <c r="X486" s="512"/>
      <c r="Y486" s="512"/>
      <c r="Z486" s="512"/>
      <c r="AA486" s="512"/>
      <c r="AB486" s="512"/>
      <c r="AC486" s="512"/>
    </row>
    <row r="487">
      <c r="A487" s="512"/>
      <c r="B487" s="512"/>
      <c r="C487" s="512"/>
      <c r="D487" s="512"/>
      <c r="E487" s="512"/>
      <c r="F487" s="512"/>
      <c r="G487" s="512"/>
      <c r="H487" s="512"/>
      <c r="I487" s="512"/>
      <c r="J487" s="512"/>
      <c r="K487" s="512"/>
      <c r="L487" s="512"/>
      <c r="M487" s="512"/>
      <c r="N487" s="512"/>
      <c r="O487" s="512"/>
      <c r="P487" s="156"/>
      <c r="Q487" s="512"/>
      <c r="R487" s="512"/>
      <c r="S487" s="512"/>
      <c r="T487" s="512"/>
      <c r="U487" s="512"/>
      <c r="V487" s="512"/>
      <c r="W487" s="512"/>
      <c r="X487" s="512"/>
      <c r="Y487" s="512"/>
      <c r="Z487" s="512"/>
      <c r="AA487" s="512"/>
      <c r="AB487" s="512"/>
      <c r="AC487" s="512"/>
    </row>
    <row r="488">
      <c r="A488" s="512"/>
      <c r="B488" s="512"/>
      <c r="C488" s="512"/>
      <c r="D488" s="512"/>
      <c r="E488" s="512"/>
      <c r="F488" s="512"/>
      <c r="G488" s="512"/>
      <c r="H488" s="512"/>
      <c r="I488" s="512"/>
      <c r="J488" s="512"/>
      <c r="K488" s="512"/>
      <c r="L488" s="512"/>
      <c r="M488" s="512"/>
      <c r="N488" s="512"/>
      <c r="O488" s="512"/>
      <c r="P488" s="156"/>
      <c r="Q488" s="512"/>
      <c r="R488" s="512"/>
      <c r="S488" s="512"/>
      <c r="T488" s="512"/>
      <c r="U488" s="512"/>
      <c r="V488" s="512"/>
      <c r="W488" s="512"/>
      <c r="X488" s="512"/>
      <c r="Y488" s="512"/>
      <c r="Z488" s="512"/>
      <c r="AA488" s="512"/>
      <c r="AB488" s="512"/>
      <c r="AC488" s="512"/>
    </row>
    <row r="489">
      <c r="A489" s="512"/>
      <c r="B489" s="512"/>
      <c r="C489" s="512"/>
      <c r="D489" s="512"/>
      <c r="E489" s="512"/>
      <c r="F489" s="512"/>
      <c r="G489" s="512"/>
      <c r="H489" s="512"/>
      <c r="I489" s="512"/>
      <c r="J489" s="512"/>
      <c r="K489" s="512"/>
      <c r="L489" s="512"/>
      <c r="M489" s="512"/>
      <c r="N489" s="512"/>
      <c r="O489" s="512"/>
      <c r="P489" s="156"/>
      <c r="Q489" s="512"/>
      <c r="R489" s="512"/>
      <c r="S489" s="512"/>
      <c r="T489" s="512"/>
      <c r="U489" s="512"/>
      <c r="V489" s="512"/>
      <c r="W489" s="512"/>
      <c r="X489" s="512"/>
      <c r="Y489" s="512"/>
      <c r="Z489" s="512"/>
      <c r="AA489" s="512"/>
      <c r="AB489" s="512"/>
      <c r="AC489" s="512"/>
    </row>
    <row r="490">
      <c r="A490" s="512"/>
      <c r="B490" s="512"/>
      <c r="C490" s="512"/>
      <c r="D490" s="512"/>
      <c r="E490" s="512"/>
      <c r="F490" s="512"/>
      <c r="G490" s="512"/>
      <c r="H490" s="512"/>
      <c r="I490" s="512"/>
      <c r="J490" s="512"/>
      <c r="K490" s="512"/>
      <c r="L490" s="512"/>
      <c r="M490" s="512"/>
      <c r="N490" s="512"/>
      <c r="O490" s="512"/>
      <c r="P490" s="156"/>
      <c r="Q490" s="512"/>
      <c r="R490" s="512"/>
      <c r="S490" s="512"/>
      <c r="T490" s="512"/>
      <c r="U490" s="512"/>
      <c r="V490" s="512"/>
      <c r="W490" s="512"/>
      <c r="X490" s="512"/>
      <c r="Y490" s="512"/>
      <c r="Z490" s="512"/>
      <c r="AA490" s="512"/>
      <c r="AB490" s="512"/>
      <c r="AC490" s="512"/>
    </row>
    <row r="491">
      <c r="A491" s="512"/>
      <c r="B491" s="512"/>
      <c r="C491" s="512"/>
      <c r="D491" s="512"/>
      <c r="E491" s="512"/>
      <c r="F491" s="512"/>
      <c r="G491" s="512"/>
      <c r="H491" s="512"/>
      <c r="I491" s="512"/>
      <c r="J491" s="512"/>
      <c r="K491" s="512"/>
      <c r="L491" s="512"/>
      <c r="M491" s="512"/>
      <c r="N491" s="512"/>
      <c r="O491" s="512"/>
      <c r="P491" s="156"/>
      <c r="Q491" s="512"/>
      <c r="R491" s="512"/>
      <c r="S491" s="512"/>
      <c r="T491" s="512"/>
      <c r="U491" s="512"/>
      <c r="V491" s="512"/>
      <c r="W491" s="512"/>
      <c r="X491" s="512"/>
      <c r="Y491" s="512"/>
      <c r="Z491" s="512"/>
      <c r="AA491" s="512"/>
      <c r="AB491" s="512"/>
      <c r="AC491" s="512"/>
    </row>
    <row r="492">
      <c r="A492" s="512"/>
      <c r="B492" s="512"/>
      <c r="C492" s="512"/>
      <c r="D492" s="512"/>
      <c r="E492" s="512"/>
      <c r="F492" s="512"/>
      <c r="G492" s="512"/>
      <c r="H492" s="512"/>
      <c r="I492" s="512"/>
      <c r="J492" s="512"/>
      <c r="K492" s="512"/>
      <c r="L492" s="512"/>
      <c r="M492" s="512"/>
      <c r="N492" s="512"/>
      <c r="O492" s="512"/>
      <c r="P492" s="156"/>
      <c r="Q492" s="512"/>
      <c r="R492" s="512"/>
      <c r="S492" s="512"/>
      <c r="T492" s="512"/>
      <c r="U492" s="512"/>
      <c r="V492" s="512"/>
      <c r="W492" s="512"/>
      <c r="X492" s="512"/>
      <c r="Y492" s="512"/>
      <c r="Z492" s="512"/>
      <c r="AA492" s="512"/>
      <c r="AB492" s="512"/>
      <c r="AC492" s="512"/>
    </row>
    <row r="493">
      <c r="A493" s="512"/>
      <c r="B493" s="512"/>
      <c r="C493" s="512"/>
      <c r="D493" s="512"/>
      <c r="E493" s="512"/>
      <c r="F493" s="512"/>
      <c r="G493" s="512"/>
      <c r="H493" s="512"/>
      <c r="I493" s="512"/>
      <c r="J493" s="512"/>
      <c r="K493" s="512"/>
      <c r="L493" s="512"/>
      <c r="M493" s="512"/>
      <c r="N493" s="512"/>
      <c r="O493" s="512"/>
      <c r="P493" s="156"/>
      <c r="Q493" s="512"/>
      <c r="R493" s="512"/>
      <c r="S493" s="512"/>
      <c r="T493" s="512"/>
      <c r="U493" s="512"/>
      <c r="V493" s="512"/>
      <c r="W493" s="512"/>
      <c r="X493" s="512"/>
      <c r="Y493" s="512"/>
      <c r="Z493" s="512"/>
      <c r="AA493" s="512"/>
      <c r="AB493" s="512"/>
      <c r="AC493" s="512"/>
    </row>
    <row r="494">
      <c r="A494" s="512"/>
      <c r="B494" s="512"/>
      <c r="C494" s="512"/>
      <c r="D494" s="512"/>
      <c r="E494" s="512"/>
      <c r="F494" s="512"/>
      <c r="G494" s="512"/>
      <c r="H494" s="512"/>
      <c r="I494" s="512"/>
      <c r="J494" s="512"/>
      <c r="K494" s="512"/>
      <c r="L494" s="512"/>
      <c r="M494" s="512"/>
      <c r="N494" s="512"/>
      <c r="O494" s="512"/>
      <c r="P494" s="156"/>
      <c r="Q494" s="512"/>
      <c r="R494" s="512"/>
      <c r="S494" s="512"/>
      <c r="T494" s="512"/>
      <c r="U494" s="512"/>
      <c r="V494" s="512"/>
      <c r="W494" s="512"/>
      <c r="X494" s="512"/>
      <c r="Y494" s="512"/>
      <c r="Z494" s="512"/>
      <c r="AA494" s="512"/>
      <c r="AB494" s="512"/>
      <c r="AC494" s="512"/>
    </row>
    <row r="495">
      <c r="A495" s="512"/>
      <c r="B495" s="512"/>
      <c r="C495" s="512"/>
      <c r="D495" s="512"/>
      <c r="E495" s="512"/>
      <c r="F495" s="512"/>
      <c r="G495" s="512"/>
      <c r="H495" s="512"/>
      <c r="I495" s="512"/>
      <c r="J495" s="512"/>
      <c r="K495" s="512"/>
      <c r="L495" s="512"/>
      <c r="M495" s="512"/>
      <c r="N495" s="512"/>
      <c r="O495" s="512"/>
      <c r="P495" s="156"/>
      <c r="Q495" s="512"/>
      <c r="R495" s="512"/>
      <c r="S495" s="512"/>
      <c r="T495" s="512"/>
      <c r="U495" s="512"/>
      <c r="V495" s="512"/>
      <c r="W495" s="512"/>
      <c r="X495" s="512"/>
      <c r="Y495" s="512"/>
      <c r="Z495" s="512"/>
      <c r="AA495" s="512"/>
      <c r="AB495" s="512"/>
      <c r="AC495" s="512"/>
    </row>
    <row r="496">
      <c r="A496" s="512"/>
      <c r="B496" s="512"/>
      <c r="C496" s="512"/>
      <c r="D496" s="512"/>
      <c r="E496" s="512"/>
      <c r="F496" s="512"/>
      <c r="G496" s="512"/>
      <c r="H496" s="512"/>
      <c r="I496" s="512"/>
      <c r="J496" s="512"/>
      <c r="K496" s="512"/>
      <c r="L496" s="512"/>
      <c r="M496" s="512"/>
      <c r="N496" s="512"/>
      <c r="O496" s="512"/>
      <c r="P496" s="156"/>
      <c r="Q496" s="512"/>
      <c r="R496" s="512"/>
      <c r="S496" s="512"/>
      <c r="T496" s="512"/>
      <c r="U496" s="512"/>
      <c r="V496" s="512"/>
      <c r="W496" s="512"/>
      <c r="X496" s="512"/>
      <c r="Y496" s="512"/>
      <c r="Z496" s="512"/>
      <c r="AA496" s="512"/>
      <c r="AB496" s="512"/>
      <c r="AC496" s="512"/>
    </row>
    <row r="497">
      <c r="A497" s="512"/>
      <c r="B497" s="512"/>
      <c r="C497" s="512"/>
      <c r="D497" s="512"/>
      <c r="E497" s="512"/>
      <c r="F497" s="512"/>
      <c r="G497" s="512"/>
      <c r="H497" s="512"/>
      <c r="I497" s="512"/>
      <c r="J497" s="512"/>
      <c r="K497" s="512"/>
      <c r="L497" s="512"/>
      <c r="M497" s="512"/>
      <c r="N497" s="512"/>
      <c r="O497" s="512"/>
      <c r="P497" s="156"/>
      <c r="Q497" s="512"/>
      <c r="R497" s="512"/>
      <c r="S497" s="512"/>
      <c r="T497" s="512"/>
      <c r="U497" s="512"/>
      <c r="V497" s="512"/>
      <c r="W497" s="512"/>
      <c r="X497" s="512"/>
      <c r="Y497" s="512"/>
      <c r="Z497" s="512"/>
      <c r="AA497" s="512"/>
      <c r="AB497" s="512"/>
      <c r="AC497" s="512"/>
    </row>
    <row r="498">
      <c r="A498" s="512"/>
      <c r="B498" s="512"/>
      <c r="C498" s="512"/>
      <c r="D498" s="512"/>
      <c r="E498" s="512"/>
      <c r="F498" s="512"/>
      <c r="G498" s="512"/>
      <c r="H498" s="512"/>
      <c r="I498" s="512"/>
      <c r="J498" s="512"/>
      <c r="K498" s="512"/>
      <c r="L498" s="512"/>
      <c r="M498" s="512"/>
      <c r="N498" s="512"/>
      <c r="O498" s="512"/>
      <c r="P498" s="156"/>
      <c r="Q498" s="512"/>
      <c r="R498" s="512"/>
      <c r="S498" s="512"/>
      <c r="T498" s="512"/>
      <c r="U498" s="512"/>
      <c r="V498" s="512"/>
      <c r="W498" s="512"/>
      <c r="X498" s="512"/>
      <c r="Y498" s="512"/>
      <c r="Z498" s="512"/>
      <c r="AA498" s="512"/>
      <c r="AB498" s="512"/>
      <c r="AC498" s="512"/>
    </row>
    <row r="499">
      <c r="A499" s="512"/>
      <c r="B499" s="512"/>
      <c r="C499" s="512"/>
      <c r="D499" s="512"/>
      <c r="E499" s="512"/>
      <c r="F499" s="512"/>
      <c r="G499" s="512"/>
      <c r="H499" s="512"/>
      <c r="I499" s="512"/>
      <c r="J499" s="512"/>
      <c r="K499" s="512"/>
      <c r="L499" s="512"/>
      <c r="M499" s="512"/>
      <c r="N499" s="512"/>
      <c r="O499" s="512"/>
      <c r="P499" s="156"/>
      <c r="Q499" s="512"/>
      <c r="R499" s="512"/>
      <c r="S499" s="512"/>
      <c r="T499" s="512"/>
      <c r="U499" s="512"/>
      <c r="V499" s="512"/>
      <c r="W499" s="512"/>
      <c r="X499" s="512"/>
      <c r="Y499" s="512"/>
      <c r="Z499" s="512"/>
      <c r="AA499" s="512"/>
      <c r="AB499" s="512"/>
      <c r="AC499" s="512"/>
    </row>
    <row r="500">
      <c r="A500" s="512"/>
      <c r="B500" s="512"/>
      <c r="C500" s="512"/>
      <c r="D500" s="512"/>
      <c r="E500" s="512"/>
      <c r="F500" s="512"/>
      <c r="G500" s="512"/>
      <c r="H500" s="512"/>
      <c r="I500" s="512"/>
      <c r="J500" s="512"/>
      <c r="K500" s="512"/>
      <c r="L500" s="512"/>
      <c r="M500" s="512"/>
      <c r="N500" s="512"/>
      <c r="O500" s="512"/>
      <c r="P500" s="156"/>
      <c r="Q500" s="512"/>
      <c r="R500" s="512"/>
      <c r="S500" s="512"/>
      <c r="T500" s="512"/>
      <c r="U500" s="512"/>
      <c r="V500" s="512"/>
      <c r="W500" s="512"/>
      <c r="X500" s="512"/>
      <c r="Y500" s="512"/>
      <c r="Z500" s="512"/>
      <c r="AA500" s="512"/>
      <c r="AB500" s="512"/>
      <c r="AC500" s="512"/>
    </row>
    <row r="501">
      <c r="A501" s="512"/>
      <c r="B501" s="512"/>
      <c r="C501" s="512"/>
      <c r="D501" s="512"/>
      <c r="E501" s="512"/>
      <c r="F501" s="512"/>
      <c r="G501" s="512"/>
      <c r="H501" s="512"/>
      <c r="I501" s="512"/>
      <c r="J501" s="512"/>
      <c r="K501" s="512"/>
      <c r="L501" s="512"/>
      <c r="M501" s="512"/>
      <c r="N501" s="512"/>
      <c r="O501" s="512"/>
      <c r="P501" s="156"/>
      <c r="Q501" s="512"/>
      <c r="R501" s="512"/>
      <c r="S501" s="512"/>
      <c r="T501" s="512"/>
      <c r="U501" s="512"/>
      <c r="V501" s="512"/>
      <c r="W501" s="512"/>
      <c r="X501" s="512"/>
      <c r="Y501" s="512"/>
      <c r="Z501" s="512"/>
      <c r="AA501" s="512"/>
      <c r="AB501" s="512"/>
      <c r="AC501" s="512"/>
    </row>
    <row r="502">
      <c r="A502" s="512"/>
      <c r="B502" s="512"/>
      <c r="C502" s="512"/>
      <c r="D502" s="512"/>
      <c r="E502" s="512"/>
      <c r="F502" s="512"/>
      <c r="G502" s="512"/>
      <c r="H502" s="512"/>
      <c r="I502" s="512"/>
      <c r="J502" s="512"/>
      <c r="K502" s="512"/>
      <c r="L502" s="512"/>
      <c r="M502" s="512"/>
      <c r="N502" s="512"/>
      <c r="O502" s="512"/>
      <c r="P502" s="156"/>
      <c r="Q502" s="512"/>
      <c r="R502" s="512"/>
      <c r="S502" s="512"/>
      <c r="T502" s="512"/>
      <c r="U502" s="512"/>
      <c r="V502" s="512"/>
      <c r="W502" s="512"/>
      <c r="X502" s="512"/>
      <c r="Y502" s="512"/>
      <c r="Z502" s="512"/>
      <c r="AA502" s="512"/>
      <c r="AB502" s="512"/>
      <c r="AC502" s="512"/>
    </row>
    <row r="503">
      <c r="A503" s="512"/>
      <c r="B503" s="512"/>
      <c r="C503" s="512"/>
      <c r="D503" s="512"/>
      <c r="E503" s="512"/>
      <c r="F503" s="512"/>
      <c r="G503" s="512"/>
      <c r="H503" s="512"/>
      <c r="I503" s="512"/>
      <c r="J503" s="512"/>
      <c r="K503" s="512"/>
      <c r="L503" s="512"/>
      <c r="M503" s="512"/>
      <c r="N503" s="512"/>
      <c r="O503" s="512"/>
      <c r="P503" s="156"/>
      <c r="Q503" s="512"/>
      <c r="R503" s="512"/>
      <c r="S503" s="512"/>
      <c r="T503" s="512"/>
      <c r="U503" s="512"/>
      <c r="V503" s="512"/>
      <c r="W503" s="512"/>
      <c r="X503" s="512"/>
      <c r="Y503" s="512"/>
      <c r="Z503" s="512"/>
      <c r="AA503" s="512"/>
      <c r="AB503" s="512"/>
      <c r="AC503" s="512"/>
    </row>
    <row r="504">
      <c r="A504" s="512"/>
      <c r="B504" s="512"/>
      <c r="C504" s="512"/>
      <c r="D504" s="512"/>
      <c r="E504" s="512"/>
      <c r="F504" s="512"/>
      <c r="G504" s="512"/>
      <c r="H504" s="512"/>
      <c r="I504" s="512"/>
      <c r="J504" s="512"/>
      <c r="K504" s="512"/>
      <c r="L504" s="512"/>
      <c r="M504" s="512"/>
      <c r="N504" s="512"/>
      <c r="O504" s="512"/>
      <c r="P504" s="156"/>
      <c r="Q504" s="512"/>
      <c r="R504" s="512"/>
      <c r="S504" s="512"/>
      <c r="T504" s="512"/>
      <c r="U504" s="512"/>
      <c r="V504" s="512"/>
      <c r="W504" s="512"/>
      <c r="X504" s="512"/>
      <c r="Y504" s="512"/>
      <c r="Z504" s="512"/>
      <c r="AA504" s="512"/>
      <c r="AB504" s="512"/>
      <c r="AC504" s="512"/>
    </row>
    <row r="505">
      <c r="A505" s="512"/>
      <c r="B505" s="512"/>
      <c r="C505" s="512"/>
      <c r="D505" s="512"/>
      <c r="E505" s="512"/>
      <c r="F505" s="512"/>
      <c r="G505" s="512"/>
      <c r="H505" s="512"/>
      <c r="I505" s="512"/>
      <c r="J505" s="512"/>
      <c r="K505" s="512"/>
      <c r="L505" s="512"/>
      <c r="M505" s="512"/>
      <c r="N505" s="512"/>
      <c r="O505" s="512"/>
      <c r="P505" s="156"/>
      <c r="Q505" s="512"/>
      <c r="R505" s="512"/>
      <c r="S505" s="512"/>
      <c r="T505" s="512"/>
      <c r="U505" s="512"/>
      <c r="V505" s="512"/>
      <c r="W505" s="512"/>
      <c r="X505" s="512"/>
      <c r="Y505" s="512"/>
      <c r="Z505" s="512"/>
      <c r="AA505" s="512"/>
      <c r="AB505" s="512"/>
      <c r="AC505" s="512"/>
    </row>
    <row r="506">
      <c r="A506" s="512"/>
      <c r="B506" s="512"/>
      <c r="C506" s="512"/>
      <c r="D506" s="512"/>
      <c r="E506" s="512"/>
      <c r="F506" s="512"/>
      <c r="G506" s="512"/>
      <c r="H506" s="512"/>
      <c r="I506" s="512"/>
      <c r="J506" s="512"/>
      <c r="K506" s="512"/>
      <c r="L506" s="512"/>
      <c r="M506" s="512"/>
      <c r="N506" s="512"/>
      <c r="O506" s="512"/>
      <c r="P506" s="156"/>
      <c r="Q506" s="512"/>
      <c r="R506" s="512"/>
      <c r="S506" s="512"/>
      <c r="T506" s="512"/>
      <c r="U506" s="512"/>
      <c r="V506" s="512"/>
      <c r="W506" s="512"/>
      <c r="X506" s="512"/>
      <c r="Y506" s="512"/>
      <c r="Z506" s="512"/>
      <c r="AA506" s="512"/>
      <c r="AB506" s="512"/>
      <c r="AC506" s="512"/>
    </row>
    <row r="507">
      <c r="A507" s="512"/>
      <c r="B507" s="512"/>
      <c r="C507" s="512"/>
      <c r="D507" s="512"/>
      <c r="E507" s="512"/>
      <c r="F507" s="512"/>
      <c r="G507" s="512"/>
      <c r="H507" s="512"/>
      <c r="I507" s="512"/>
      <c r="J507" s="512"/>
      <c r="K507" s="512"/>
      <c r="L507" s="512"/>
      <c r="M507" s="512"/>
      <c r="N507" s="512"/>
      <c r="O507" s="512"/>
      <c r="P507" s="156"/>
      <c r="Q507" s="512"/>
      <c r="R507" s="512"/>
      <c r="S507" s="512"/>
      <c r="T507" s="512"/>
      <c r="U507" s="512"/>
      <c r="V507" s="512"/>
      <c r="W507" s="512"/>
      <c r="X507" s="512"/>
      <c r="Y507" s="512"/>
      <c r="Z507" s="512"/>
      <c r="AA507" s="512"/>
      <c r="AB507" s="512"/>
      <c r="AC507" s="512"/>
    </row>
    <row r="508">
      <c r="A508" s="512"/>
      <c r="B508" s="512"/>
      <c r="C508" s="512"/>
      <c r="D508" s="512"/>
      <c r="E508" s="512"/>
      <c r="F508" s="512"/>
      <c r="G508" s="512"/>
      <c r="H508" s="512"/>
      <c r="I508" s="512"/>
      <c r="J508" s="512"/>
      <c r="K508" s="512"/>
      <c r="L508" s="512"/>
      <c r="M508" s="512"/>
      <c r="N508" s="512"/>
      <c r="O508" s="512"/>
      <c r="P508" s="156"/>
      <c r="Q508" s="512"/>
      <c r="R508" s="512"/>
      <c r="S508" s="512"/>
      <c r="T508" s="512"/>
      <c r="U508" s="512"/>
      <c r="V508" s="512"/>
      <c r="W508" s="512"/>
      <c r="X508" s="512"/>
      <c r="Y508" s="512"/>
      <c r="Z508" s="512"/>
      <c r="AA508" s="512"/>
      <c r="AB508" s="512"/>
      <c r="AC508" s="512"/>
    </row>
    <row r="509">
      <c r="A509" s="512"/>
      <c r="B509" s="512"/>
      <c r="C509" s="512"/>
      <c r="D509" s="512"/>
      <c r="E509" s="512"/>
      <c r="F509" s="512"/>
      <c r="G509" s="512"/>
      <c r="H509" s="512"/>
      <c r="I509" s="512"/>
      <c r="J509" s="512"/>
      <c r="K509" s="512"/>
      <c r="L509" s="512"/>
      <c r="M509" s="512"/>
      <c r="N509" s="512"/>
      <c r="O509" s="512"/>
      <c r="P509" s="156"/>
      <c r="Q509" s="512"/>
      <c r="R509" s="512"/>
      <c r="S509" s="512"/>
      <c r="T509" s="512"/>
      <c r="U509" s="512"/>
      <c r="V509" s="512"/>
      <c r="W509" s="512"/>
      <c r="X509" s="512"/>
      <c r="Y509" s="512"/>
      <c r="Z509" s="512"/>
      <c r="AA509" s="512"/>
      <c r="AB509" s="512"/>
      <c r="AC509" s="512"/>
    </row>
    <row r="510">
      <c r="A510" s="512"/>
      <c r="B510" s="512"/>
      <c r="C510" s="512"/>
      <c r="D510" s="512"/>
      <c r="E510" s="512"/>
      <c r="F510" s="512"/>
      <c r="G510" s="512"/>
      <c r="H510" s="512"/>
      <c r="I510" s="512"/>
      <c r="J510" s="512"/>
      <c r="K510" s="512"/>
      <c r="L510" s="512"/>
      <c r="M510" s="512"/>
      <c r="N510" s="512"/>
      <c r="O510" s="512"/>
      <c r="P510" s="156"/>
      <c r="Q510" s="512"/>
      <c r="R510" s="512"/>
      <c r="S510" s="512"/>
      <c r="T510" s="512"/>
      <c r="U510" s="512"/>
      <c r="V510" s="512"/>
      <c r="W510" s="512"/>
      <c r="X510" s="512"/>
      <c r="Y510" s="512"/>
      <c r="Z510" s="512"/>
      <c r="AA510" s="512"/>
      <c r="AB510" s="512"/>
      <c r="AC510" s="512"/>
    </row>
    <row r="511">
      <c r="A511" s="512"/>
      <c r="B511" s="512"/>
      <c r="C511" s="512"/>
      <c r="D511" s="512"/>
      <c r="E511" s="512"/>
      <c r="F511" s="512"/>
      <c r="G511" s="512"/>
      <c r="H511" s="512"/>
      <c r="I511" s="512"/>
      <c r="J511" s="512"/>
      <c r="K511" s="512"/>
      <c r="L511" s="512"/>
      <c r="M511" s="512"/>
      <c r="N511" s="512"/>
      <c r="O511" s="512"/>
      <c r="P511" s="156"/>
      <c r="Q511" s="512"/>
      <c r="R511" s="512"/>
      <c r="S511" s="512"/>
      <c r="T511" s="512"/>
      <c r="U511" s="512"/>
      <c r="V511" s="512"/>
      <c r="W511" s="512"/>
      <c r="X511" s="512"/>
      <c r="Y511" s="512"/>
      <c r="Z511" s="512"/>
      <c r="AA511" s="512"/>
      <c r="AB511" s="512"/>
      <c r="AC511" s="512"/>
    </row>
    <row r="512">
      <c r="A512" s="512"/>
      <c r="B512" s="512"/>
      <c r="C512" s="512"/>
      <c r="D512" s="512"/>
      <c r="E512" s="512"/>
      <c r="F512" s="512"/>
      <c r="G512" s="512"/>
      <c r="H512" s="512"/>
      <c r="I512" s="512"/>
      <c r="J512" s="512"/>
      <c r="K512" s="512"/>
      <c r="L512" s="512"/>
      <c r="M512" s="512"/>
      <c r="N512" s="512"/>
      <c r="O512" s="512"/>
      <c r="P512" s="156"/>
      <c r="Q512" s="512"/>
      <c r="R512" s="512"/>
      <c r="S512" s="512"/>
      <c r="T512" s="512"/>
      <c r="U512" s="512"/>
      <c r="V512" s="512"/>
      <c r="W512" s="512"/>
      <c r="X512" s="512"/>
      <c r="Y512" s="512"/>
      <c r="Z512" s="512"/>
      <c r="AA512" s="512"/>
      <c r="AB512" s="512"/>
      <c r="AC512" s="512"/>
    </row>
    <row r="513">
      <c r="A513" s="512"/>
      <c r="B513" s="512"/>
      <c r="C513" s="512"/>
      <c r="D513" s="512"/>
      <c r="E513" s="512"/>
      <c r="F513" s="512"/>
      <c r="G513" s="512"/>
      <c r="H513" s="512"/>
      <c r="I513" s="512"/>
      <c r="J513" s="512"/>
      <c r="K513" s="512"/>
      <c r="L513" s="512"/>
      <c r="M513" s="512"/>
      <c r="N513" s="512"/>
      <c r="O513" s="512"/>
      <c r="P513" s="156"/>
      <c r="Q513" s="512"/>
      <c r="R513" s="512"/>
      <c r="S513" s="512"/>
      <c r="T513" s="512"/>
      <c r="U513" s="512"/>
      <c r="V513" s="512"/>
      <c r="W513" s="512"/>
      <c r="X513" s="512"/>
      <c r="Y513" s="512"/>
      <c r="Z513" s="512"/>
      <c r="AA513" s="512"/>
      <c r="AB513" s="512"/>
      <c r="AC513" s="512"/>
    </row>
    <row r="514">
      <c r="A514" s="512"/>
      <c r="B514" s="512"/>
      <c r="C514" s="512"/>
      <c r="D514" s="512"/>
      <c r="E514" s="512"/>
      <c r="F514" s="512"/>
      <c r="G514" s="512"/>
      <c r="H514" s="512"/>
      <c r="I514" s="512"/>
      <c r="J514" s="512"/>
      <c r="K514" s="512"/>
      <c r="L514" s="512"/>
      <c r="M514" s="512"/>
      <c r="N514" s="512"/>
      <c r="O514" s="512"/>
      <c r="P514" s="156"/>
      <c r="Q514" s="512"/>
      <c r="R514" s="512"/>
      <c r="S514" s="512"/>
      <c r="T514" s="512"/>
      <c r="U514" s="512"/>
      <c r="V514" s="512"/>
      <c r="W514" s="512"/>
      <c r="X514" s="512"/>
      <c r="Y514" s="512"/>
      <c r="Z514" s="512"/>
      <c r="AA514" s="512"/>
      <c r="AB514" s="512"/>
      <c r="AC514" s="512"/>
    </row>
    <row r="515">
      <c r="A515" s="512"/>
      <c r="B515" s="512"/>
      <c r="C515" s="512"/>
      <c r="D515" s="512"/>
      <c r="E515" s="512"/>
      <c r="F515" s="512"/>
      <c r="G515" s="512"/>
      <c r="H515" s="512"/>
      <c r="I515" s="512"/>
      <c r="J515" s="512"/>
      <c r="K515" s="512"/>
      <c r="L515" s="512"/>
      <c r="M515" s="512"/>
      <c r="N515" s="512"/>
      <c r="O515" s="512"/>
      <c r="P515" s="156"/>
      <c r="Q515" s="512"/>
      <c r="R515" s="512"/>
      <c r="S515" s="512"/>
      <c r="T515" s="512"/>
      <c r="U515" s="512"/>
      <c r="V515" s="512"/>
      <c r="W515" s="512"/>
      <c r="X515" s="512"/>
      <c r="Y515" s="512"/>
      <c r="Z515" s="512"/>
      <c r="AA515" s="512"/>
      <c r="AB515" s="512"/>
      <c r="AC515" s="512"/>
    </row>
    <row r="516">
      <c r="A516" s="512"/>
      <c r="B516" s="512"/>
      <c r="C516" s="512"/>
      <c r="D516" s="512"/>
      <c r="E516" s="512"/>
      <c r="F516" s="512"/>
      <c r="G516" s="512"/>
      <c r="H516" s="512"/>
      <c r="I516" s="512"/>
      <c r="J516" s="512"/>
      <c r="K516" s="512"/>
      <c r="L516" s="512"/>
      <c r="M516" s="512"/>
      <c r="N516" s="512"/>
      <c r="O516" s="512"/>
      <c r="P516" s="156"/>
      <c r="Q516" s="512"/>
      <c r="R516" s="512"/>
      <c r="S516" s="512"/>
      <c r="T516" s="512"/>
      <c r="U516" s="512"/>
      <c r="V516" s="512"/>
      <c r="W516" s="512"/>
      <c r="X516" s="512"/>
      <c r="Y516" s="512"/>
      <c r="Z516" s="512"/>
      <c r="AA516" s="512"/>
      <c r="AB516" s="512"/>
      <c r="AC516" s="512"/>
    </row>
    <row r="517">
      <c r="A517" s="512"/>
      <c r="B517" s="512"/>
      <c r="C517" s="512"/>
      <c r="D517" s="512"/>
      <c r="E517" s="512"/>
      <c r="F517" s="512"/>
      <c r="G517" s="512"/>
      <c r="H517" s="512"/>
      <c r="I517" s="512"/>
      <c r="J517" s="512"/>
      <c r="K517" s="512"/>
      <c r="L517" s="512"/>
      <c r="M517" s="512"/>
      <c r="N517" s="512"/>
      <c r="O517" s="512"/>
      <c r="P517" s="156"/>
      <c r="Q517" s="512"/>
      <c r="R517" s="512"/>
      <c r="S517" s="512"/>
      <c r="T517" s="512"/>
      <c r="U517" s="512"/>
      <c r="V517" s="512"/>
      <c r="W517" s="512"/>
      <c r="X517" s="512"/>
      <c r="Y517" s="512"/>
      <c r="Z517" s="512"/>
      <c r="AA517" s="512"/>
      <c r="AB517" s="512"/>
      <c r="AC517" s="512"/>
    </row>
    <row r="518">
      <c r="A518" s="512"/>
      <c r="B518" s="512"/>
      <c r="C518" s="512"/>
      <c r="D518" s="512"/>
      <c r="E518" s="512"/>
      <c r="F518" s="512"/>
      <c r="G518" s="512"/>
      <c r="H518" s="512"/>
      <c r="I518" s="512"/>
      <c r="J518" s="512"/>
      <c r="K518" s="512"/>
      <c r="L518" s="512"/>
      <c r="M518" s="512"/>
      <c r="N518" s="512"/>
      <c r="O518" s="512"/>
      <c r="P518" s="156"/>
      <c r="Q518" s="512"/>
      <c r="R518" s="512"/>
      <c r="S518" s="512"/>
      <c r="T518" s="512"/>
      <c r="U518" s="512"/>
      <c r="V518" s="512"/>
      <c r="W518" s="512"/>
      <c r="X518" s="512"/>
      <c r="Y518" s="512"/>
      <c r="Z518" s="512"/>
      <c r="AA518" s="512"/>
      <c r="AB518" s="512"/>
      <c r="AC518" s="512"/>
    </row>
    <row r="519">
      <c r="A519" s="512"/>
      <c r="B519" s="512"/>
      <c r="C519" s="512"/>
      <c r="D519" s="512"/>
      <c r="E519" s="512"/>
      <c r="F519" s="512"/>
      <c r="G519" s="512"/>
      <c r="H519" s="512"/>
      <c r="I519" s="512"/>
      <c r="J519" s="512"/>
      <c r="K519" s="512"/>
      <c r="L519" s="512"/>
      <c r="M519" s="512"/>
      <c r="N519" s="512"/>
      <c r="O519" s="512"/>
      <c r="P519" s="156"/>
      <c r="Q519" s="512"/>
      <c r="R519" s="512"/>
      <c r="S519" s="512"/>
      <c r="T519" s="512"/>
      <c r="U519" s="512"/>
      <c r="V519" s="512"/>
      <c r="W519" s="512"/>
      <c r="X519" s="512"/>
      <c r="Y519" s="512"/>
      <c r="Z519" s="512"/>
      <c r="AA519" s="512"/>
      <c r="AB519" s="512"/>
      <c r="AC519" s="512"/>
    </row>
    <row r="520">
      <c r="A520" s="512"/>
      <c r="B520" s="512"/>
      <c r="C520" s="512"/>
      <c r="D520" s="512"/>
      <c r="E520" s="512"/>
      <c r="F520" s="512"/>
      <c r="G520" s="512"/>
      <c r="H520" s="512"/>
      <c r="I520" s="512"/>
      <c r="J520" s="512"/>
      <c r="K520" s="512"/>
      <c r="L520" s="512"/>
      <c r="M520" s="512"/>
      <c r="N520" s="512"/>
      <c r="O520" s="512"/>
      <c r="P520" s="156"/>
      <c r="Q520" s="512"/>
      <c r="R520" s="512"/>
      <c r="S520" s="512"/>
      <c r="T520" s="512"/>
      <c r="U520" s="512"/>
      <c r="V520" s="512"/>
      <c r="W520" s="512"/>
      <c r="X520" s="512"/>
      <c r="Y520" s="512"/>
      <c r="Z520" s="512"/>
      <c r="AA520" s="512"/>
      <c r="AB520" s="512"/>
      <c r="AC520" s="512"/>
    </row>
    <row r="521">
      <c r="A521" s="512"/>
      <c r="B521" s="512"/>
      <c r="C521" s="512"/>
      <c r="D521" s="512"/>
      <c r="E521" s="512"/>
      <c r="F521" s="512"/>
      <c r="G521" s="512"/>
      <c r="H521" s="512"/>
      <c r="I521" s="512"/>
      <c r="J521" s="512"/>
      <c r="K521" s="512"/>
      <c r="L521" s="512"/>
      <c r="M521" s="512"/>
      <c r="N521" s="512"/>
      <c r="O521" s="512"/>
      <c r="P521" s="156"/>
      <c r="Q521" s="512"/>
      <c r="R521" s="512"/>
      <c r="S521" s="512"/>
      <c r="T521" s="512"/>
      <c r="U521" s="512"/>
      <c r="V521" s="512"/>
      <c r="W521" s="512"/>
      <c r="X521" s="512"/>
      <c r="Y521" s="512"/>
      <c r="Z521" s="512"/>
      <c r="AA521" s="512"/>
      <c r="AB521" s="512"/>
      <c r="AC521" s="512"/>
    </row>
    <row r="522">
      <c r="A522" s="512"/>
      <c r="B522" s="512"/>
      <c r="C522" s="512"/>
      <c r="D522" s="512"/>
      <c r="E522" s="512"/>
      <c r="F522" s="512"/>
      <c r="G522" s="512"/>
      <c r="H522" s="512"/>
      <c r="I522" s="512"/>
      <c r="J522" s="512"/>
      <c r="K522" s="512"/>
      <c r="L522" s="512"/>
      <c r="M522" s="512"/>
      <c r="N522" s="512"/>
      <c r="O522" s="512"/>
      <c r="P522" s="156"/>
      <c r="Q522" s="512"/>
      <c r="R522" s="512"/>
      <c r="S522" s="512"/>
      <c r="T522" s="512"/>
      <c r="U522" s="512"/>
      <c r="V522" s="512"/>
      <c r="W522" s="512"/>
      <c r="X522" s="512"/>
      <c r="Y522" s="512"/>
      <c r="Z522" s="512"/>
      <c r="AA522" s="512"/>
      <c r="AB522" s="512"/>
      <c r="AC522" s="512"/>
    </row>
    <row r="523">
      <c r="A523" s="512"/>
      <c r="B523" s="512"/>
      <c r="C523" s="512"/>
      <c r="D523" s="512"/>
      <c r="E523" s="512"/>
      <c r="F523" s="512"/>
      <c r="G523" s="512"/>
      <c r="H523" s="512"/>
      <c r="I523" s="512"/>
      <c r="J523" s="512"/>
      <c r="K523" s="512"/>
      <c r="L523" s="512"/>
      <c r="M523" s="512"/>
      <c r="N523" s="512"/>
      <c r="O523" s="512"/>
      <c r="P523" s="156"/>
      <c r="Q523" s="512"/>
      <c r="R523" s="512"/>
      <c r="S523" s="512"/>
      <c r="T523" s="512"/>
      <c r="U523" s="512"/>
      <c r="V523" s="512"/>
      <c r="W523" s="512"/>
      <c r="X523" s="512"/>
      <c r="Y523" s="512"/>
      <c r="Z523" s="512"/>
      <c r="AA523" s="512"/>
      <c r="AB523" s="512"/>
      <c r="AC523" s="512"/>
    </row>
    <row r="524">
      <c r="A524" s="512"/>
      <c r="B524" s="512"/>
      <c r="C524" s="512"/>
      <c r="D524" s="512"/>
      <c r="E524" s="512"/>
      <c r="F524" s="512"/>
      <c r="G524" s="512"/>
      <c r="H524" s="512"/>
      <c r="I524" s="512"/>
      <c r="J524" s="512"/>
      <c r="K524" s="512"/>
      <c r="L524" s="512"/>
      <c r="M524" s="512"/>
      <c r="N524" s="512"/>
      <c r="O524" s="512"/>
      <c r="P524" s="156"/>
      <c r="Q524" s="512"/>
      <c r="R524" s="512"/>
      <c r="S524" s="512"/>
      <c r="T524" s="512"/>
      <c r="U524" s="512"/>
      <c r="V524" s="512"/>
      <c r="W524" s="512"/>
      <c r="X524" s="512"/>
      <c r="Y524" s="512"/>
      <c r="Z524" s="512"/>
      <c r="AA524" s="512"/>
      <c r="AB524" s="512"/>
      <c r="AC524" s="512"/>
    </row>
    <row r="525">
      <c r="A525" s="512"/>
      <c r="B525" s="512"/>
      <c r="C525" s="512"/>
      <c r="D525" s="512"/>
      <c r="E525" s="512"/>
      <c r="F525" s="512"/>
      <c r="G525" s="512"/>
      <c r="H525" s="512"/>
      <c r="I525" s="512"/>
      <c r="J525" s="512"/>
      <c r="K525" s="512"/>
      <c r="L525" s="512"/>
      <c r="M525" s="512"/>
      <c r="N525" s="512"/>
      <c r="O525" s="512"/>
      <c r="P525" s="156"/>
      <c r="Q525" s="512"/>
      <c r="R525" s="512"/>
      <c r="S525" s="512"/>
      <c r="T525" s="512"/>
      <c r="U525" s="512"/>
      <c r="V525" s="512"/>
      <c r="W525" s="512"/>
      <c r="X525" s="512"/>
      <c r="Y525" s="512"/>
      <c r="Z525" s="512"/>
      <c r="AA525" s="512"/>
      <c r="AB525" s="512"/>
      <c r="AC525" s="512"/>
    </row>
    <row r="526">
      <c r="A526" s="512"/>
      <c r="B526" s="512"/>
      <c r="C526" s="512"/>
      <c r="D526" s="512"/>
      <c r="E526" s="512"/>
      <c r="F526" s="512"/>
      <c r="G526" s="512"/>
      <c r="H526" s="512"/>
      <c r="I526" s="512"/>
      <c r="J526" s="512"/>
      <c r="K526" s="512"/>
      <c r="L526" s="512"/>
      <c r="M526" s="512"/>
      <c r="N526" s="512"/>
      <c r="O526" s="512"/>
      <c r="P526" s="156"/>
      <c r="Q526" s="512"/>
      <c r="R526" s="512"/>
      <c r="S526" s="512"/>
      <c r="T526" s="512"/>
      <c r="U526" s="512"/>
      <c r="V526" s="512"/>
      <c r="W526" s="512"/>
      <c r="X526" s="512"/>
      <c r="Y526" s="512"/>
      <c r="Z526" s="512"/>
      <c r="AA526" s="512"/>
      <c r="AB526" s="512"/>
      <c r="AC526" s="512"/>
    </row>
    <row r="527">
      <c r="A527" s="512"/>
      <c r="B527" s="512"/>
      <c r="C527" s="512"/>
      <c r="D527" s="512"/>
      <c r="E527" s="512"/>
      <c r="F527" s="512"/>
      <c r="G527" s="512"/>
      <c r="H527" s="512"/>
      <c r="I527" s="512"/>
      <c r="J527" s="512"/>
      <c r="K527" s="512"/>
      <c r="L527" s="512"/>
      <c r="M527" s="512"/>
      <c r="N527" s="512"/>
      <c r="O527" s="512"/>
      <c r="P527" s="156"/>
      <c r="Q527" s="512"/>
      <c r="R527" s="512"/>
      <c r="S527" s="512"/>
      <c r="T527" s="512"/>
      <c r="U527" s="512"/>
      <c r="V527" s="512"/>
      <c r="W527" s="512"/>
      <c r="X527" s="512"/>
      <c r="Y527" s="512"/>
      <c r="Z527" s="512"/>
      <c r="AA527" s="512"/>
      <c r="AB527" s="512"/>
      <c r="AC527" s="512"/>
    </row>
    <row r="528">
      <c r="A528" s="512"/>
      <c r="B528" s="512"/>
      <c r="C528" s="512"/>
      <c r="D528" s="512"/>
      <c r="E528" s="512"/>
      <c r="F528" s="512"/>
      <c r="G528" s="512"/>
      <c r="H528" s="512"/>
      <c r="I528" s="512"/>
      <c r="J528" s="512"/>
      <c r="K528" s="512"/>
      <c r="L528" s="512"/>
      <c r="M528" s="512"/>
      <c r="N528" s="512"/>
      <c r="O528" s="512"/>
      <c r="P528" s="156"/>
      <c r="Q528" s="512"/>
      <c r="R528" s="512"/>
      <c r="S528" s="512"/>
      <c r="T528" s="512"/>
      <c r="U528" s="512"/>
      <c r="V528" s="512"/>
      <c r="W528" s="512"/>
      <c r="X528" s="512"/>
      <c r="Y528" s="512"/>
      <c r="Z528" s="512"/>
      <c r="AA528" s="512"/>
      <c r="AB528" s="512"/>
      <c r="AC528" s="512"/>
    </row>
    <row r="529">
      <c r="A529" s="512"/>
      <c r="B529" s="512"/>
      <c r="C529" s="512"/>
      <c r="D529" s="512"/>
      <c r="E529" s="512"/>
      <c r="F529" s="512"/>
      <c r="G529" s="512"/>
      <c r="H529" s="512"/>
      <c r="I529" s="512"/>
      <c r="J529" s="512"/>
      <c r="K529" s="512"/>
      <c r="L529" s="512"/>
      <c r="M529" s="512"/>
      <c r="N529" s="512"/>
      <c r="O529" s="512"/>
      <c r="P529" s="156"/>
      <c r="Q529" s="512"/>
      <c r="R529" s="512"/>
      <c r="S529" s="512"/>
      <c r="T529" s="512"/>
      <c r="U529" s="512"/>
      <c r="V529" s="512"/>
      <c r="W529" s="512"/>
      <c r="X529" s="512"/>
      <c r="Y529" s="512"/>
      <c r="Z529" s="512"/>
      <c r="AA529" s="512"/>
      <c r="AB529" s="512"/>
      <c r="AC529" s="512"/>
    </row>
    <row r="530">
      <c r="A530" s="512"/>
      <c r="B530" s="512"/>
      <c r="C530" s="512"/>
      <c r="D530" s="512"/>
      <c r="E530" s="512"/>
      <c r="F530" s="512"/>
      <c r="G530" s="512"/>
      <c r="H530" s="512"/>
      <c r="I530" s="512"/>
      <c r="J530" s="512"/>
      <c r="K530" s="512"/>
      <c r="L530" s="512"/>
      <c r="M530" s="512"/>
      <c r="N530" s="512"/>
      <c r="O530" s="512"/>
      <c r="P530" s="156"/>
      <c r="Q530" s="512"/>
      <c r="R530" s="512"/>
      <c r="S530" s="512"/>
      <c r="T530" s="512"/>
      <c r="U530" s="512"/>
      <c r="V530" s="512"/>
      <c r="W530" s="512"/>
      <c r="X530" s="512"/>
      <c r="Y530" s="512"/>
      <c r="Z530" s="512"/>
      <c r="AA530" s="512"/>
      <c r="AB530" s="512"/>
      <c r="AC530" s="512"/>
    </row>
    <row r="531">
      <c r="A531" s="512"/>
      <c r="B531" s="512"/>
      <c r="C531" s="512"/>
      <c r="D531" s="512"/>
      <c r="E531" s="512"/>
      <c r="F531" s="512"/>
      <c r="G531" s="512"/>
      <c r="H531" s="512"/>
      <c r="I531" s="512"/>
      <c r="J531" s="512"/>
      <c r="K531" s="512"/>
      <c r="L531" s="512"/>
      <c r="M531" s="512"/>
      <c r="N531" s="512"/>
      <c r="O531" s="512"/>
      <c r="P531" s="156"/>
      <c r="Q531" s="512"/>
      <c r="R531" s="512"/>
      <c r="S531" s="512"/>
      <c r="T531" s="512"/>
      <c r="U531" s="512"/>
      <c r="V531" s="512"/>
      <c r="W531" s="512"/>
      <c r="X531" s="512"/>
      <c r="Y531" s="512"/>
      <c r="Z531" s="512"/>
      <c r="AA531" s="512"/>
      <c r="AB531" s="512"/>
      <c r="AC531" s="512"/>
    </row>
    <row r="532">
      <c r="A532" s="512"/>
      <c r="B532" s="512"/>
      <c r="C532" s="512"/>
      <c r="D532" s="512"/>
      <c r="E532" s="512"/>
      <c r="F532" s="512"/>
      <c r="G532" s="512"/>
      <c r="H532" s="512"/>
      <c r="I532" s="512"/>
      <c r="J532" s="512"/>
      <c r="K532" s="512"/>
      <c r="L532" s="512"/>
      <c r="M532" s="512"/>
      <c r="N532" s="512"/>
      <c r="O532" s="512"/>
      <c r="P532" s="156"/>
      <c r="Q532" s="512"/>
      <c r="R532" s="512"/>
      <c r="S532" s="512"/>
      <c r="T532" s="512"/>
      <c r="U532" s="512"/>
      <c r="V532" s="512"/>
      <c r="W532" s="512"/>
      <c r="X532" s="512"/>
      <c r="Y532" s="512"/>
      <c r="Z532" s="512"/>
      <c r="AA532" s="512"/>
      <c r="AB532" s="512"/>
      <c r="AC532" s="512"/>
    </row>
    <row r="533">
      <c r="A533" s="512"/>
      <c r="B533" s="512"/>
      <c r="C533" s="512"/>
      <c r="D533" s="512"/>
      <c r="E533" s="512"/>
      <c r="F533" s="512"/>
      <c r="G533" s="512"/>
      <c r="H533" s="512"/>
      <c r="I533" s="512"/>
      <c r="J533" s="512"/>
      <c r="K533" s="512"/>
      <c r="L533" s="512"/>
      <c r="M533" s="512"/>
      <c r="N533" s="512"/>
      <c r="O533" s="512"/>
      <c r="P533" s="156"/>
      <c r="Q533" s="512"/>
      <c r="R533" s="512"/>
      <c r="S533" s="512"/>
      <c r="T533" s="512"/>
      <c r="U533" s="512"/>
      <c r="V533" s="512"/>
      <c r="W533" s="512"/>
      <c r="X533" s="512"/>
      <c r="Y533" s="512"/>
      <c r="Z533" s="512"/>
      <c r="AA533" s="512"/>
      <c r="AB533" s="512"/>
      <c r="AC533" s="512"/>
    </row>
    <row r="534">
      <c r="A534" s="512"/>
      <c r="B534" s="512"/>
      <c r="C534" s="512"/>
      <c r="D534" s="512"/>
      <c r="E534" s="512"/>
      <c r="F534" s="512"/>
      <c r="G534" s="512"/>
      <c r="H534" s="512"/>
      <c r="I534" s="512"/>
      <c r="J534" s="512"/>
      <c r="K534" s="512"/>
      <c r="L534" s="512"/>
      <c r="M534" s="512"/>
      <c r="N534" s="512"/>
      <c r="O534" s="512"/>
      <c r="P534" s="156"/>
      <c r="Q534" s="512"/>
      <c r="R534" s="512"/>
      <c r="S534" s="512"/>
      <c r="T534" s="512"/>
      <c r="U534" s="512"/>
      <c r="V534" s="512"/>
      <c r="W534" s="512"/>
      <c r="X534" s="512"/>
      <c r="Y534" s="512"/>
      <c r="Z534" s="512"/>
      <c r="AA534" s="512"/>
      <c r="AB534" s="512"/>
      <c r="AC534" s="512"/>
    </row>
    <row r="535">
      <c r="A535" s="512"/>
      <c r="B535" s="512"/>
      <c r="C535" s="512"/>
      <c r="D535" s="512"/>
      <c r="E535" s="512"/>
      <c r="F535" s="512"/>
      <c r="G535" s="512"/>
      <c r="H535" s="512"/>
      <c r="I535" s="512"/>
      <c r="J535" s="512"/>
      <c r="K535" s="512"/>
      <c r="L535" s="512"/>
      <c r="M535" s="512"/>
      <c r="N535" s="512"/>
      <c r="O535" s="512"/>
      <c r="P535" s="156"/>
      <c r="Q535" s="512"/>
      <c r="R535" s="512"/>
      <c r="S535" s="512"/>
      <c r="T535" s="512"/>
      <c r="U535" s="512"/>
      <c r="V535" s="512"/>
      <c r="W535" s="512"/>
      <c r="X535" s="512"/>
      <c r="Y535" s="512"/>
      <c r="Z535" s="512"/>
      <c r="AA535" s="512"/>
      <c r="AB535" s="512"/>
      <c r="AC535" s="512"/>
    </row>
    <row r="536">
      <c r="A536" s="512"/>
      <c r="B536" s="512"/>
      <c r="C536" s="512"/>
      <c r="D536" s="512"/>
      <c r="E536" s="512"/>
      <c r="F536" s="512"/>
      <c r="G536" s="512"/>
      <c r="H536" s="512"/>
      <c r="I536" s="512"/>
      <c r="J536" s="512"/>
      <c r="K536" s="512"/>
      <c r="L536" s="512"/>
      <c r="M536" s="512"/>
      <c r="N536" s="512"/>
      <c r="O536" s="512"/>
      <c r="P536" s="156"/>
      <c r="Q536" s="512"/>
      <c r="R536" s="512"/>
      <c r="S536" s="512"/>
      <c r="T536" s="512"/>
      <c r="U536" s="512"/>
      <c r="V536" s="512"/>
      <c r="W536" s="512"/>
      <c r="X536" s="512"/>
      <c r="Y536" s="512"/>
      <c r="Z536" s="512"/>
      <c r="AA536" s="512"/>
      <c r="AB536" s="512"/>
      <c r="AC536" s="512"/>
    </row>
    <row r="537">
      <c r="A537" s="512"/>
      <c r="B537" s="512"/>
      <c r="C537" s="512"/>
      <c r="D537" s="512"/>
      <c r="E537" s="512"/>
      <c r="F537" s="512"/>
      <c r="G537" s="512"/>
      <c r="H537" s="512"/>
      <c r="I537" s="512"/>
      <c r="J537" s="512"/>
      <c r="K537" s="512"/>
      <c r="L537" s="512"/>
      <c r="M537" s="512"/>
      <c r="N537" s="512"/>
      <c r="O537" s="512"/>
      <c r="P537" s="156"/>
      <c r="Q537" s="512"/>
      <c r="R537" s="512"/>
      <c r="S537" s="512"/>
      <c r="T537" s="512"/>
      <c r="U537" s="512"/>
      <c r="V537" s="512"/>
      <c r="W537" s="512"/>
      <c r="X537" s="512"/>
      <c r="Y537" s="512"/>
      <c r="Z537" s="512"/>
      <c r="AA537" s="512"/>
      <c r="AB537" s="512"/>
      <c r="AC537" s="512"/>
    </row>
    <row r="538">
      <c r="A538" s="512"/>
      <c r="B538" s="512"/>
      <c r="C538" s="512"/>
      <c r="D538" s="512"/>
      <c r="E538" s="512"/>
      <c r="F538" s="512"/>
      <c r="G538" s="512"/>
      <c r="H538" s="512"/>
      <c r="I538" s="512"/>
      <c r="J538" s="512"/>
      <c r="K538" s="512"/>
      <c r="L538" s="512"/>
      <c r="M538" s="512"/>
      <c r="N538" s="512"/>
      <c r="O538" s="512"/>
      <c r="P538" s="156"/>
      <c r="Q538" s="512"/>
      <c r="R538" s="512"/>
      <c r="S538" s="512"/>
      <c r="T538" s="512"/>
      <c r="U538" s="512"/>
      <c r="V538" s="512"/>
      <c r="W538" s="512"/>
      <c r="X538" s="512"/>
      <c r="Y538" s="512"/>
      <c r="Z538" s="512"/>
      <c r="AA538" s="512"/>
      <c r="AB538" s="512"/>
      <c r="AC538" s="512"/>
    </row>
    <row r="539">
      <c r="A539" s="512"/>
      <c r="B539" s="512"/>
      <c r="C539" s="512"/>
      <c r="D539" s="512"/>
      <c r="E539" s="512"/>
      <c r="F539" s="512"/>
      <c r="G539" s="512"/>
      <c r="H539" s="512"/>
      <c r="I539" s="512"/>
      <c r="J539" s="512"/>
      <c r="K539" s="512"/>
      <c r="L539" s="512"/>
      <c r="M539" s="512"/>
      <c r="N539" s="512"/>
      <c r="O539" s="512"/>
      <c r="P539" s="156"/>
      <c r="Q539" s="512"/>
      <c r="R539" s="512"/>
      <c r="S539" s="512"/>
      <c r="T539" s="512"/>
      <c r="U539" s="512"/>
      <c r="V539" s="512"/>
      <c r="W539" s="512"/>
      <c r="X539" s="512"/>
      <c r="Y539" s="512"/>
      <c r="Z539" s="512"/>
      <c r="AA539" s="512"/>
      <c r="AB539" s="512"/>
      <c r="AC539" s="512"/>
    </row>
    <row r="540">
      <c r="A540" s="512"/>
      <c r="B540" s="512"/>
      <c r="C540" s="512"/>
      <c r="D540" s="512"/>
      <c r="E540" s="512"/>
      <c r="F540" s="512"/>
      <c r="G540" s="512"/>
      <c r="H540" s="512"/>
      <c r="I540" s="512"/>
      <c r="J540" s="512"/>
      <c r="K540" s="512"/>
      <c r="L540" s="512"/>
      <c r="M540" s="512"/>
      <c r="N540" s="512"/>
      <c r="O540" s="512"/>
      <c r="P540" s="156"/>
      <c r="Q540" s="512"/>
      <c r="R540" s="512"/>
      <c r="S540" s="512"/>
      <c r="T540" s="512"/>
      <c r="U540" s="512"/>
      <c r="V540" s="512"/>
      <c r="W540" s="512"/>
      <c r="X540" s="512"/>
      <c r="Y540" s="512"/>
      <c r="Z540" s="512"/>
      <c r="AA540" s="512"/>
      <c r="AB540" s="512"/>
      <c r="AC540" s="512"/>
    </row>
    <row r="541">
      <c r="A541" s="512"/>
      <c r="B541" s="512"/>
      <c r="C541" s="512"/>
      <c r="D541" s="512"/>
      <c r="E541" s="512"/>
      <c r="F541" s="512"/>
      <c r="G541" s="512"/>
      <c r="H541" s="512"/>
      <c r="I541" s="512"/>
      <c r="J541" s="512"/>
      <c r="K541" s="512"/>
      <c r="L541" s="512"/>
      <c r="M541" s="512"/>
      <c r="N541" s="512"/>
      <c r="O541" s="512"/>
      <c r="P541" s="156"/>
      <c r="Q541" s="512"/>
      <c r="R541" s="512"/>
      <c r="S541" s="512"/>
      <c r="T541" s="512"/>
      <c r="U541" s="512"/>
      <c r="V541" s="512"/>
      <c r="W541" s="512"/>
      <c r="X541" s="512"/>
      <c r="Y541" s="512"/>
      <c r="Z541" s="512"/>
      <c r="AA541" s="512"/>
      <c r="AB541" s="512"/>
      <c r="AC541" s="512"/>
    </row>
    <row r="542">
      <c r="A542" s="512"/>
      <c r="B542" s="512"/>
      <c r="C542" s="512"/>
      <c r="D542" s="512"/>
      <c r="E542" s="512"/>
      <c r="F542" s="512"/>
      <c r="G542" s="512"/>
      <c r="H542" s="512"/>
      <c r="I542" s="512"/>
      <c r="J542" s="512"/>
      <c r="K542" s="512"/>
      <c r="L542" s="512"/>
      <c r="M542" s="512"/>
      <c r="N542" s="512"/>
      <c r="O542" s="512"/>
      <c r="P542" s="156"/>
      <c r="Q542" s="512"/>
      <c r="R542" s="512"/>
      <c r="S542" s="512"/>
      <c r="T542" s="512"/>
      <c r="U542" s="512"/>
      <c r="V542" s="512"/>
      <c r="W542" s="512"/>
      <c r="X542" s="512"/>
      <c r="Y542" s="512"/>
      <c r="Z542" s="512"/>
      <c r="AA542" s="512"/>
      <c r="AB542" s="512"/>
      <c r="AC542" s="512"/>
    </row>
    <row r="543">
      <c r="A543" s="512"/>
      <c r="B543" s="512"/>
      <c r="C543" s="512"/>
      <c r="D543" s="512"/>
      <c r="E543" s="512"/>
      <c r="F543" s="512"/>
      <c r="G543" s="512"/>
      <c r="H543" s="512"/>
      <c r="I543" s="512"/>
      <c r="J543" s="512"/>
      <c r="K543" s="512"/>
      <c r="L543" s="512"/>
      <c r="M543" s="512"/>
      <c r="N543" s="512"/>
      <c r="O543" s="512"/>
      <c r="P543" s="156"/>
      <c r="Q543" s="512"/>
      <c r="R543" s="512"/>
      <c r="S543" s="512"/>
      <c r="T543" s="512"/>
      <c r="U543" s="512"/>
      <c r="V543" s="512"/>
      <c r="W543" s="512"/>
      <c r="X543" s="512"/>
      <c r="Y543" s="512"/>
      <c r="Z543" s="512"/>
      <c r="AA543" s="512"/>
      <c r="AB543" s="512"/>
      <c r="AC543" s="512"/>
    </row>
    <row r="544">
      <c r="A544" s="512"/>
      <c r="B544" s="512"/>
      <c r="C544" s="512"/>
      <c r="D544" s="512"/>
      <c r="E544" s="512"/>
      <c r="F544" s="512"/>
      <c r="G544" s="512"/>
      <c r="H544" s="512"/>
      <c r="I544" s="512"/>
      <c r="J544" s="512"/>
      <c r="K544" s="512"/>
      <c r="L544" s="512"/>
      <c r="M544" s="512"/>
      <c r="N544" s="512"/>
      <c r="O544" s="512"/>
      <c r="P544" s="156"/>
      <c r="Q544" s="512"/>
      <c r="R544" s="512"/>
      <c r="S544" s="512"/>
      <c r="T544" s="512"/>
      <c r="U544" s="512"/>
      <c r="V544" s="512"/>
      <c r="W544" s="512"/>
      <c r="X544" s="512"/>
      <c r="Y544" s="512"/>
      <c r="Z544" s="512"/>
      <c r="AA544" s="512"/>
      <c r="AB544" s="512"/>
      <c r="AC544" s="512"/>
    </row>
    <row r="545">
      <c r="A545" s="512"/>
      <c r="B545" s="512"/>
      <c r="C545" s="512"/>
      <c r="D545" s="512"/>
      <c r="E545" s="512"/>
      <c r="F545" s="512"/>
      <c r="G545" s="512"/>
      <c r="H545" s="512"/>
      <c r="I545" s="512"/>
      <c r="J545" s="512"/>
      <c r="K545" s="512"/>
      <c r="L545" s="512"/>
      <c r="M545" s="512"/>
      <c r="N545" s="512"/>
      <c r="O545" s="512"/>
      <c r="P545" s="156"/>
      <c r="Q545" s="512"/>
      <c r="R545" s="512"/>
      <c r="S545" s="512"/>
      <c r="T545" s="512"/>
      <c r="U545" s="512"/>
      <c r="V545" s="512"/>
      <c r="W545" s="512"/>
      <c r="X545" s="512"/>
      <c r="Y545" s="512"/>
      <c r="Z545" s="512"/>
      <c r="AA545" s="512"/>
      <c r="AB545" s="512"/>
      <c r="AC545" s="512"/>
    </row>
    <row r="546">
      <c r="A546" s="512"/>
      <c r="B546" s="512"/>
      <c r="C546" s="512"/>
      <c r="D546" s="512"/>
      <c r="E546" s="512"/>
      <c r="F546" s="512"/>
      <c r="G546" s="512"/>
      <c r="H546" s="512"/>
      <c r="I546" s="512"/>
      <c r="J546" s="512"/>
      <c r="K546" s="512"/>
      <c r="L546" s="512"/>
      <c r="M546" s="512"/>
      <c r="N546" s="512"/>
      <c r="O546" s="512"/>
      <c r="P546" s="156"/>
      <c r="Q546" s="512"/>
      <c r="R546" s="512"/>
      <c r="S546" s="512"/>
      <c r="T546" s="512"/>
      <c r="U546" s="512"/>
      <c r="V546" s="512"/>
      <c r="W546" s="512"/>
      <c r="X546" s="512"/>
      <c r="Y546" s="512"/>
      <c r="Z546" s="512"/>
      <c r="AA546" s="512"/>
      <c r="AB546" s="512"/>
      <c r="AC546" s="512"/>
    </row>
    <row r="547">
      <c r="A547" s="512"/>
      <c r="B547" s="512"/>
      <c r="C547" s="512"/>
      <c r="D547" s="512"/>
      <c r="E547" s="512"/>
      <c r="F547" s="512"/>
      <c r="G547" s="512"/>
      <c r="H547" s="512"/>
      <c r="I547" s="512"/>
      <c r="J547" s="512"/>
      <c r="K547" s="512"/>
      <c r="L547" s="512"/>
      <c r="M547" s="512"/>
      <c r="N547" s="512"/>
      <c r="O547" s="512"/>
      <c r="P547" s="156"/>
      <c r="Q547" s="512"/>
      <c r="R547" s="512"/>
      <c r="S547" s="512"/>
      <c r="T547" s="512"/>
      <c r="U547" s="512"/>
      <c r="V547" s="512"/>
      <c r="W547" s="512"/>
      <c r="X547" s="512"/>
      <c r="Y547" s="512"/>
      <c r="Z547" s="512"/>
      <c r="AA547" s="512"/>
      <c r="AB547" s="512"/>
      <c r="AC547" s="512"/>
    </row>
    <row r="548">
      <c r="A548" s="512"/>
      <c r="B548" s="512"/>
      <c r="C548" s="512"/>
      <c r="D548" s="512"/>
      <c r="E548" s="512"/>
      <c r="F548" s="512"/>
      <c r="G548" s="512"/>
      <c r="H548" s="512"/>
      <c r="I548" s="512"/>
      <c r="J548" s="512"/>
      <c r="K548" s="512"/>
      <c r="L548" s="512"/>
      <c r="M548" s="512"/>
      <c r="N548" s="512"/>
      <c r="O548" s="512"/>
      <c r="P548" s="156"/>
      <c r="Q548" s="512"/>
      <c r="R548" s="512"/>
      <c r="S548" s="512"/>
      <c r="T548" s="512"/>
      <c r="U548" s="512"/>
      <c r="V548" s="512"/>
      <c r="W548" s="512"/>
      <c r="X548" s="512"/>
      <c r="Y548" s="512"/>
      <c r="Z548" s="512"/>
      <c r="AA548" s="512"/>
      <c r="AB548" s="512"/>
      <c r="AC548" s="512"/>
    </row>
    <row r="549">
      <c r="A549" s="512"/>
      <c r="B549" s="512"/>
      <c r="C549" s="512"/>
      <c r="D549" s="512"/>
      <c r="E549" s="512"/>
      <c r="F549" s="512"/>
      <c r="G549" s="512"/>
      <c r="H549" s="512"/>
      <c r="I549" s="512"/>
      <c r="J549" s="512"/>
      <c r="K549" s="512"/>
      <c r="L549" s="512"/>
      <c r="M549" s="512"/>
      <c r="N549" s="512"/>
      <c r="O549" s="512"/>
      <c r="P549" s="156"/>
      <c r="Q549" s="512"/>
      <c r="R549" s="512"/>
      <c r="S549" s="512"/>
      <c r="T549" s="512"/>
      <c r="U549" s="512"/>
      <c r="V549" s="512"/>
      <c r="W549" s="512"/>
      <c r="X549" s="512"/>
      <c r="Y549" s="512"/>
      <c r="Z549" s="512"/>
      <c r="AA549" s="512"/>
      <c r="AB549" s="512"/>
      <c r="AC549" s="512"/>
    </row>
    <row r="550">
      <c r="A550" s="512"/>
      <c r="B550" s="512"/>
      <c r="C550" s="512"/>
      <c r="D550" s="512"/>
      <c r="E550" s="512"/>
      <c r="F550" s="512"/>
      <c r="G550" s="512"/>
      <c r="H550" s="512"/>
      <c r="I550" s="512"/>
      <c r="J550" s="512"/>
      <c r="K550" s="512"/>
      <c r="L550" s="512"/>
      <c r="M550" s="512"/>
      <c r="N550" s="512"/>
      <c r="O550" s="512"/>
      <c r="P550" s="156"/>
      <c r="Q550" s="512"/>
      <c r="R550" s="512"/>
      <c r="S550" s="512"/>
      <c r="T550" s="512"/>
      <c r="U550" s="512"/>
      <c r="V550" s="512"/>
      <c r="W550" s="512"/>
      <c r="X550" s="512"/>
      <c r="Y550" s="512"/>
      <c r="Z550" s="512"/>
      <c r="AA550" s="512"/>
      <c r="AB550" s="512"/>
      <c r="AC550" s="512"/>
    </row>
    <row r="551">
      <c r="A551" s="512"/>
      <c r="B551" s="512"/>
      <c r="C551" s="512"/>
      <c r="D551" s="512"/>
      <c r="E551" s="512"/>
      <c r="F551" s="512"/>
      <c r="G551" s="512"/>
      <c r="H551" s="512"/>
      <c r="I551" s="512"/>
      <c r="J551" s="512"/>
      <c r="K551" s="512"/>
      <c r="L551" s="512"/>
      <c r="M551" s="512"/>
      <c r="N551" s="512"/>
      <c r="O551" s="512"/>
      <c r="P551" s="156"/>
      <c r="Q551" s="512"/>
      <c r="R551" s="512"/>
      <c r="S551" s="512"/>
      <c r="T551" s="512"/>
      <c r="U551" s="512"/>
      <c r="V551" s="512"/>
      <c r="W551" s="512"/>
      <c r="X551" s="512"/>
      <c r="Y551" s="512"/>
      <c r="Z551" s="512"/>
      <c r="AA551" s="512"/>
      <c r="AB551" s="512"/>
      <c r="AC551" s="512"/>
    </row>
    <row r="552">
      <c r="A552" s="512"/>
      <c r="B552" s="512"/>
      <c r="C552" s="512"/>
      <c r="D552" s="512"/>
      <c r="E552" s="512"/>
      <c r="F552" s="512"/>
      <c r="G552" s="512"/>
      <c r="H552" s="512"/>
      <c r="I552" s="512"/>
      <c r="J552" s="512"/>
      <c r="K552" s="512"/>
      <c r="L552" s="512"/>
      <c r="M552" s="512"/>
      <c r="N552" s="512"/>
      <c r="O552" s="512"/>
      <c r="P552" s="156"/>
      <c r="Q552" s="512"/>
      <c r="R552" s="512"/>
      <c r="S552" s="512"/>
      <c r="T552" s="512"/>
      <c r="U552" s="512"/>
      <c r="V552" s="512"/>
      <c r="W552" s="512"/>
      <c r="X552" s="512"/>
      <c r="Y552" s="512"/>
      <c r="Z552" s="512"/>
      <c r="AA552" s="512"/>
      <c r="AB552" s="512"/>
      <c r="AC552" s="512"/>
    </row>
    <row r="553">
      <c r="A553" s="512"/>
      <c r="B553" s="512"/>
      <c r="C553" s="512"/>
      <c r="D553" s="512"/>
      <c r="E553" s="512"/>
      <c r="F553" s="512"/>
      <c r="G553" s="512"/>
      <c r="H553" s="512"/>
      <c r="I553" s="512"/>
      <c r="J553" s="512"/>
      <c r="K553" s="512"/>
      <c r="L553" s="512"/>
      <c r="M553" s="512"/>
      <c r="N553" s="512"/>
      <c r="O553" s="512"/>
      <c r="P553" s="156"/>
      <c r="Q553" s="512"/>
      <c r="R553" s="512"/>
      <c r="S553" s="512"/>
      <c r="T553" s="512"/>
      <c r="U553" s="512"/>
      <c r="V553" s="512"/>
      <c r="W553" s="512"/>
      <c r="X553" s="512"/>
      <c r="Y553" s="512"/>
      <c r="Z553" s="512"/>
      <c r="AA553" s="512"/>
      <c r="AB553" s="512"/>
      <c r="AC553" s="512"/>
    </row>
    <row r="554">
      <c r="A554" s="512"/>
      <c r="B554" s="512"/>
      <c r="C554" s="512"/>
      <c r="D554" s="512"/>
      <c r="E554" s="512"/>
      <c r="F554" s="512"/>
      <c r="G554" s="512"/>
      <c r="H554" s="512"/>
      <c r="I554" s="512"/>
      <c r="J554" s="512"/>
      <c r="K554" s="512"/>
      <c r="L554" s="512"/>
      <c r="M554" s="512"/>
      <c r="N554" s="512"/>
      <c r="O554" s="512"/>
      <c r="P554" s="156"/>
      <c r="Q554" s="512"/>
      <c r="R554" s="512"/>
      <c r="S554" s="512"/>
      <c r="T554" s="512"/>
      <c r="U554" s="512"/>
      <c r="V554" s="512"/>
      <c r="W554" s="512"/>
      <c r="X554" s="512"/>
      <c r="Y554" s="512"/>
      <c r="Z554" s="512"/>
      <c r="AA554" s="512"/>
      <c r="AB554" s="512"/>
      <c r="AC554" s="512"/>
    </row>
    <row r="555">
      <c r="A555" s="512"/>
      <c r="B555" s="512"/>
      <c r="C555" s="512"/>
      <c r="D555" s="512"/>
      <c r="E555" s="512"/>
      <c r="F555" s="512"/>
      <c r="G555" s="512"/>
      <c r="H555" s="512"/>
      <c r="I555" s="512"/>
      <c r="J555" s="512"/>
      <c r="K555" s="512"/>
      <c r="L555" s="512"/>
      <c r="M555" s="512"/>
      <c r="N555" s="512"/>
      <c r="O555" s="512"/>
      <c r="P555" s="156"/>
      <c r="Q555" s="512"/>
      <c r="R555" s="512"/>
      <c r="S555" s="512"/>
      <c r="T555" s="512"/>
      <c r="U555" s="512"/>
      <c r="V555" s="512"/>
      <c r="W555" s="512"/>
      <c r="X555" s="512"/>
      <c r="Y555" s="512"/>
      <c r="Z555" s="512"/>
      <c r="AA555" s="512"/>
      <c r="AB555" s="512"/>
      <c r="AC555" s="512"/>
    </row>
    <row r="556">
      <c r="A556" s="512"/>
      <c r="B556" s="512"/>
      <c r="C556" s="512"/>
      <c r="D556" s="512"/>
      <c r="E556" s="512"/>
      <c r="F556" s="512"/>
      <c r="G556" s="512"/>
      <c r="H556" s="512"/>
      <c r="I556" s="512"/>
      <c r="J556" s="512"/>
      <c r="K556" s="512"/>
      <c r="L556" s="512"/>
      <c r="M556" s="512"/>
      <c r="N556" s="512"/>
      <c r="O556" s="512"/>
      <c r="P556" s="156"/>
      <c r="Q556" s="512"/>
      <c r="R556" s="512"/>
      <c r="S556" s="512"/>
      <c r="T556" s="512"/>
      <c r="U556" s="512"/>
      <c r="V556" s="512"/>
      <c r="W556" s="512"/>
      <c r="X556" s="512"/>
      <c r="Y556" s="512"/>
      <c r="Z556" s="512"/>
      <c r="AA556" s="512"/>
      <c r="AB556" s="512"/>
      <c r="AC556" s="512"/>
    </row>
    <row r="557">
      <c r="A557" s="512"/>
      <c r="B557" s="512"/>
      <c r="C557" s="512"/>
      <c r="D557" s="512"/>
      <c r="E557" s="512"/>
      <c r="F557" s="512"/>
      <c r="G557" s="512"/>
      <c r="H557" s="512"/>
      <c r="I557" s="512"/>
      <c r="J557" s="512"/>
      <c r="K557" s="512"/>
      <c r="L557" s="512"/>
      <c r="M557" s="512"/>
      <c r="N557" s="512"/>
      <c r="O557" s="512"/>
      <c r="P557" s="156"/>
      <c r="Q557" s="512"/>
      <c r="R557" s="512"/>
      <c r="S557" s="512"/>
      <c r="T557" s="512"/>
      <c r="U557" s="512"/>
      <c r="V557" s="512"/>
      <c r="W557" s="512"/>
      <c r="X557" s="512"/>
      <c r="Y557" s="512"/>
      <c r="Z557" s="512"/>
      <c r="AA557" s="512"/>
      <c r="AB557" s="512"/>
      <c r="AC557" s="512"/>
    </row>
    <row r="558">
      <c r="A558" s="512"/>
      <c r="B558" s="512"/>
      <c r="C558" s="512"/>
      <c r="D558" s="512"/>
      <c r="E558" s="512"/>
      <c r="F558" s="512"/>
      <c r="G558" s="512"/>
      <c r="H558" s="512"/>
      <c r="I558" s="512"/>
      <c r="J558" s="512"/>
      <c r="K558" s="512"/>
      <c r="L558" s="512"/>
      <c r="M558" s="512"/>
      <c r="N558" s="512"/>
      <c r="O558" s="512"/>
      <c r="P558" s="156"/>
      <c r="Q558" s="512"/>
      <c r="R558" s="512"/>
      <c r="S558" s="512"/>
      <c r="T558" s="512"/>
      <c r="U558" s="512"/>
      <c r="V558" s="512"/>
      <c r="W558" s="512"/>
      <c r="X558" s="512"/>
      <c r="Y558" s="512"/>
      <c r="Z558" s="512"/>
      <c r="AA558" s="512"/>
      <c r="AB558" s="512"/>
      <c r="AC558" s="512"/>
    </row>
    <row r="559">
      <c r="A559" s="512"/>
      <c r="B559" s="512"/>
      <c r="C559" s="512"/>
      <c r="D559" s="512"/>
      <c r="E559" s="512"/>
      <c r="F559" s="512"/>
      <c r="G559" s="512"/>
      <c r="H559" s="512"/>
      <c r="I559" s="512"/>
      <c r="J559" s="512"/>
      <c r="K559" s="512"/>
      <c r="L559" s="512"/>
      <c r="M559" s="512"/>
      <c r="N559" s="512"/>
      <c r="O559" s="512"/>
      <c r="P559" s="156"/>
      <c r="Q559" s="512"/>
      <c r="R559" s="512"/>
      <c r="S559" s="512"/>
      <c r="T559" s="512"/>
      <c r="U559" s="512"/>
      <c r="V559" s="512"/>
      <c r="W559" s="512"/>
      <c r="X559" s="512"/>
      <c r="Y559" s="512"/>
      <c r="Z559" s="512"/>
      <c r="AA559" s="512"/>
      <c r="AB559" s="512"/>
      <c r="AC559" s="512"/>
    </row>
    <row r="560">
      <c r="A560" s="512"/>
      <c r="B560" s="512"/>
      <c r="C560" s="512"/>
      <c r="D560" s="512"/>
      <c r="E560" s="512"/>
      <c r="F560" s="512"/>
      <c r="G560" s="512"/>
      <c r="H560" s="512"/>
      <c r="I560" s="512"/>
      <c r="J560" s="512"/>
      <c r="K560" s="512"/>
      <c r="L560" s="512"/>
      <c r="M560" s="512"/>
      <c r="N560" s="512"/>
      <c r="O560" s="512"/>
      <c r="P560" s="156"/>
      <c r="Q560" s="512"/>
      <c r="R560" s="512"/>
      <c r="S560" s="512"/>
      <c r="T560" s="512"/>
      <c r="U560" s="512"/>
      <c r="V560" s="512"/>
      <c r="W560" s="512"/>
      <c r="X560" s="512"/>
      <c r="Y560" s="512"/>
      <c r="Z560" s="512"/>
      <c r="AA560" s="512"/>
      <c r="AB560" s="512"/>
      <c r="AC560" s="512"/>
    </row>
    <row r="561">
      <c r="A561" s="512"/>
      <c r="B561" s="512"/>
      <c r="C561" s="512"/>
      <c r="D561" s="512"/>
      <c r="E561" s="512"/>
      <c r="F561" s="512"/>
      <c r="G561" s="512"/>
      <c r="H561" s="512"/>
      <c r="I561" s="512"/>
      <c r="J561" s="512"/>
      <c r="K561" s="512"/>
      <c r="L561" s="512"/>
      <c r="M561" s="512"/>
      <c r="N561" s="512"/>
      <c r="O561" s="512"/>
      <c r="P561" s="156"/>
      <c r="Q561" s="512"/>
      <c r="R561" s="512"/>
      <c r="S561" s="512"/>
      <c r="T561" s="512"/>
      <c r="U561" s="512"/>
      <c r="V561" s="512"/>
      <c r="W561" s="512"/>
      <c r="X561" s="512"/>
      <c r="Y561" s="512"/>
      <c r="Z561" s="512"/>
      <c r="AA561" s="512"/>
      <c r="AB561" s="512"/>
      <c r="AC561" s="512"/>
    </row>
    <row r="562">
      <c r="A562" s="512"/>
      <c r="B562" s="512"/>
      <c r="C562" s="512"/>
      <c r="D562" s="512"/>
      <c r="E562" s="512"/>
      <c r="F562" s="512"/>
      <c r="G562" s="512"/>
      <c r="H562" s="512"/>
      <c r="I562" s="512"/>
      <c r="J562" s="512"/>
      <c r="K562" s="512"/>
      <c r="L562" s="512"/>
      <c r="M562" s="512"/>
      <c r="N562" s="512"/>
      <c r="O562" s="512"/>
      <c r="P562" s="156"/>
      <c r="Q562" s="512"/>
      <c r="R562" s="512"/>
      <c r="S562" s="512"/>
      <c r="T562" s="512"/>
      <c r="U562" s="512"/>
      <c r="V562" s="512"/>
      <c r="W562" s="512"/>
      <c r="X562" s="512"/>
      <c r="Y562" s="512"/>
      <c r="Z562" s="512"/>
      <c r="AA562" s="512"/>
      <c r="AB562" s="512"/>
      <c r="AC562" s="512"/>
    </row>
    <row r="563">
      <c r="A563" s="512"/>
      <c r="B563" s="512"/>
      <c r="C563" s="512"/>
      <c r="D563" s="512"/>
      <c r="E563" s="512"/>
      <c r="F563" s="512"/>
      <c r="G563" s="512"/>
      <c r="H563" s="512"/>
      <c r="I563" s="512"/>
      <c r="J563" s="512"/>
      <c r="K563" s="512"/>
      <c r="L563" s="512"/>
      <c r="M563" s="512"/>
      <c r="N563" s="512"/>
      <c r="O563" s="512"/>
      <c r="P563" s="156"/>
      <c r="Q563" s="512"/>
      <c r="R563" s="512"/>
      <c r="S563" s="512"/>
      <c r="T563" s="512"/>
      <c r="U563" s="512"/>
      <c r="V563" s="512"/>
      <c r="W563" s="512"/>
      <c r="X563" s="512"/>
      <c r="Y563" s="512"/>
      <c r="Z563" s="512"/>
      <c r="AA563" s="512"/>
      <c r="AB563" s="512"/>
      <c r="AC563" s="512"/>
    </row>
    <row r="564">
      <c r="A564" s="512"/>
      <c r="B564" s="512"/>
      <c r="C564" s="512"/>
      <c r="D564" s="512"/>
      <c r="E564" s="512"/>
      <c r="F564" s="512"/>
      <c r="G564" s="512"/>
      <c r="H564" s="512"/>
      <c r="I564" s="512"/>
      <c r="J564" s="512"/>
      <c r="K564" s="512"/>
      <c r="L564" s="512"/>
      <c r="M564" s="512"/>
      <c r="N564" s="512"/>
      <c r="O564" s="512"/>
      <c r="P564" s="156"/>
      <c r="Q564" s="512"/>
      <c r="R564" s="512"/>
      <c r="S564" s="512"/>
      <c r="T564" s="512"/>
      <c r="U564" s="512"/>
      <c r="V564" s="512"/>
      <c r="W564" s="512"/>
      <c r="X564" s="512"/>
      <c r="Y564" s="512"/>
      <c r="Z564" s="512"/>
      <c r="AA564" s="512"/>
      <c r="AB564" s="512"/>
      <c r="AC564" s="512"/>
    </row>
    <row r="565">
      <c r="A565" s="512"/>
      <c r="B565" s="512"/>
      <c r="C565" s="512"/>
      <c r="D565" s="512"/>
      <c r="E565" s="512"/>
      <c r="F565" s="512"/>
      <c r="G565" s="512"/>
      <c r="H565" s="512"/>
      <c r="I565" s="512"/>
      <c r="J565" s="512"/>
      <c r="K565" s="512"/>
      <c r="L565" s="512"/>
      <c r="M565" s="512"/>
      <c r="N565" s="512"/>
      <c r="O565" s="512"/>
      <c r="P565" s="156"/>
      <c r="Q565" s="512"/>
      <c r="R565" s="512"/>
      <c r="S565" s="512"/>
      <c r="T565" s="512"/>
      <c r="U565" s="512"/>
      <c r="V565" s="512"/>
      <c r="W565" s="512"/>
      <c r="X565" s="512"/>
      <c r="Y565" s="512"/>
      <c r="Z565" s="512"/>
      <c r="AA565" s="512"/>
      <c r="AB565" s="512"/>
      <c r="AC565" s="512"/>
    </row>
    <row r="566">
      <c r="A566" s="512"/>
      <c r="B566" s="512"/>
      <c r="C566" s="512"/>
      <c r="D566" s="512"/>
      <c r="E566" s="512"/>
      <c r="F566" s="512"/>
      <c r="G566" s="512"/>
      <c r="H566" s="512"/>
      <c r="I566" s="512"/>
      <c r="J566" s="512"/>
      <c r="K566" s="512"/>
      <c r="L566" s="512"/>
      <c r="M566" s="512"/>
      <c r="N566" s="512"/>
      <c r="O566" s="512"/>
      <c r="P566" s="156"/>
      <c r="Q566" s="512"/>
      <c r="R566" s="512"/>
      <c r="S566" s="512"/>
      <c r="T566" s="512"/>
      <c r="U566" s="512"/>
      <c r="V566" s="512"/>
      <c r="W566" s="512"/>
      <c r="X566" s="512"/>
      <c r="Y566" s="512"/>
      <c r="Z566" s="512"/>
      <c r="AA566" s="512"/>
      <c r="AB566" s="512"/>
      <c r="AC566" s="512"/>
    </row>
    <row r="567">
      <c r="A567" s="512"/>
      <c r="B567" s="512"/>
      <c r="C567" s="512"/>
      <c r="D567" s="512"/>
      <c r="E567" s="512"/>
      <c r="F567" s="512"/>
      <c r="G567" s="512"/>
      <c r="H567" s="512"/>
      <c r="I567" s="512"/>
      <c r="J567" s="512"/>
      <c r="K567" s="512"/>
      <c r="L567" s="512"/>
      <c r="M567" s="512"/>
      <c r="N567" s="512"/>
      <c r="O567" s="512"/>
      <c r="P567" s="156"/>
      <c r="Q567" s="512"/>
      <c r="R567" s="512"/>
      <c r="S567" s="512"/>
      <c r="T567" s="512"/>
      <c r="U567" s="512"/>
      <c r="V567" s="512"/>
      <c r="W567" s="512"/>
      <c r="X567" s="512"/>
      <c r="Y567" s="512"/>
      <c r="Z567" s="512"/>
      <c r="AA567" s="512"/>
      <c r="AB567" s="512"/>
      <c r="AC567" s="512"/>
    </row>
    <row r="568">
      <c r="A568" s="512"/>
      <c r="B568" s="512"/>
      <c r="C568" s="512"/>
      <c r="D568" s="512"/>
      <c r="E568" s="512"/>
      <c r="F568" s="512"/>
      <c r="G568" s="512"/>
      <c r="H568" s="512"/>
      <c r="I568" s="512"/>
      <c r="J568" s="512"/>
      <c r="K568" s="512"/>
      <c r="L568" s="512"/>
      <c r="M568" s="512"/>
      <c r="N568" s="512"/>
      <c r="O568" s="512"/>
      <c r="P568" s="156"/>
      <c r="Q568" s="512"/>
      <c r="R568" s="512"/>
      <c r="S568" s="512"/>
      <c r="T568" s="512"/>
      <c r="U568" s="512"/>
      <c r="V568" s="512"/>
      <c r="W568" s="512"/>
      <c r="X568" s="512"/>
      <c r="Y568" s="512"/>
      <c r="Z568" s="512"/>
      <c r="AA568" s="512"/>
      <c r="AB568" s="512"/>
      <c r="AC568" s="512"/>
    </row>
    <row r="569">
      <c r="A569" s="512"/>
      <c r="B569" s="512"/>
      <c r="C569" s="512"/>
      <c r="D569" s="512"/>
      <c r="E569" s="512"/>
      <c r="F569" s="512"/>
      <c r="G569" s="512"/>
      <c r="H569" s="512"/>
      <c r="I569" s="512"/>
      <c r="J569" s="512"/>
      <c r="K569" s="512"/>
      <c r="L569" s="512"/>
      <c r="M569" s="512"/>
      <c r="N569" s="512"/>
      <c r="O569" s="512"/>
      <c r="P569" s="156"/>
      <c r="Q569" s="512"/>
      <c r="R569" s="512"/>
      <c r="S569" s="512"/>
      <c r="T569" s="512"/>
      <c r="U569" s="512"/>
      <c r="V569" s="512"/>
      <c r="W569" s="512"/>
      <c r="X569" s="512"/>
      <c r="Y569" s="512"/>
      <c r="Z569" s="512"/>
      <c r="AA569" s="512"/>
      <c r="AB569" s="512"/>
      <c r="AC569" s="512"/>
    </row>
    <row r="570">
      <c r="A570" s="512"/>
      <c r="B570" s="512"/>
      <c r="C570" s="512"/>
      <c r="D570" s="512"/>
      <c r="E570" s="512"/>
      <c r="F570" s="512"/>
      <c r="G570" s="512"/>
      <c r="H570" s="512"/>
      <c r="I570" s="512"/>
      <c r="J570" s="512"/>
      <c r="K570" s="512"/>
      <c r="L570" s="512"/>
      <c r="M570" s="512"/>
      <c r="N570" s="512"/>
      <c r="O570" s="512"/>
      <c r="P570" s="156"/>
      <c r="Q570" s="512"/>
      <c r="R570" s="512"/>
      <c r="S570" s="512"/>
      <c r="T570" s="512"/>
      <c r="U570" s="512"/>
      <c r="V570" s="512"/>
      <c r="W570" s="512"/>
      <c r="X570" s="512"/>
      <c r="Y570" s="512"/>
      <c r="Z570" s="512"/>
      <c r="AA570" s="512"/>
      <c r="AB570" s="512"/>
      <c r="AC570" s="512"/>
    </row>
    <row r="571">
      <c r="A571" s="512"/>
      <c r="B571" s="512"/>
      <c r="C571" s="512"/>
      <c r="D571" s="512"/>
      <c r="E571" s="512"/>
      <c r="F571" s="512"/>
      <c r="G571" s="512"/>
      <c r="H571" s="512"/>
      <c r="I571" s="512"/>
      <c r="J571" s="512"/>
      <c r="K571" s="512"/>
      <c r="L571" s="512"/>
      <c r="M571" s="512"/>
      <c r="N571" s="512"/>
      <c r="O571" s="512"/>
      <c r="P571" s="156"/>
      <c r="Q571" s="512"/>
      <c r="R571" s="512"/>
      <c r="S571" s="512"/>
      <c r="T571" s="512"/>
      <c r="U571" s="512"/>
      <c r="V571" s="512"/>
      <c r="W571" s="512"/>
      <c r="X571" s="512"/>
      <c r="Y571" s="512"/>
      <c r="Z571" s="512"/>
      <c r="AA571" s="512"/>
      <c r="AB571" s="512"/>
      <c r="AC571" s="512"/>
    </row>
    <row r="572">
      <c r="A572" s="512"/>
      <c r="B572" s="512"/>
      <c r="C572" s="512"/>
      <c r="D572" s="512"/>
      <c r="E572" s="512"/>
      <c r="F572" s="512"/>
      <c r="G572" s="512"/>
      <c r="H572" s="512"/>
      <c r="I572" s="512"/>
      <c r="J572" s="512"/>
      <c r="K572" s="512"/>
      <c r="L572" s="512"/>
      <c r="M572" s="512"/>
      <c r="N572" s="512"/>
      <c r="O572" s="512"/>
      <c r="P572" s="156"/>
      <c r="Q572" s="512"/>
      <c r="R572" s="512"/>
      <c r="S572" s="512"/>
      <c r="T572" s="512"/>
      <c r="U572" s="512"/>
      <c r="V572" s="512"/>
      <c r="W572" s="512"/>
      <c r="X572" s="512"/>
      <c r="Y572" s="512"/>
      <c r="Z572" s="512"/>
      <c r="AA572" s="512"/>
      <c r="AB572" s="512"/>
      <c r="AC572" s="512"/>
    </row>
    <row r="573">
      <c r="A573" s="512"/>
      <c r="B573" s="512"/>
      <c r="C573" s="512"/>
      <c r="D573" s="512"/>
      <c r="E573" s="512"/>
      <c r="F573" s="512"/>
      <c r="G573" s="512"/>
      <c r="H573" s="512"/>
      <c r="I573" s="512"/>
      <c r="J573" s="512"/>
      <c r="K573" s="512"/>
      <c r="L573" s="512"/>
      <c r="M573" s="512"/>
      <c r="N573" s="512"/>
      <c r="O573" s="512"/>
      <c r="P573" s="156"/>
      <c r="Q573" s="512"/>
      <c r="R573" s="512"/>
      <c r="S573" s="512"/>
      <c r="T573" s="512"/>
      <c r="U573" s="512"/>
      <c r="V573" s="512"/>
      <c r="W573" s="512"/>
      <c r="X573" s="512"/>
      <c r="Y573" s="512"/>
      <c r="Z573" s="512"/>
      <c r="AA573" s="512"/>
      <c r="AB573" s="512"/>
      <c r="AC573" s="512"/>
    </row>
    <row r="574">
      <c r="A574" s="512"/>
      <c r="B574" s="512"/>
      <c r="C574" s="512"/>
      <c r="D574" s="512"/>
      <c r="E574" s="512"/>
      <c r="F574" s="512"/>
      <c r="G574" s="512"/>
      <c r="H574" s="512"/>
      <c r="I574" s="512"/>
      <c r="J574" s="512"/>
      <c r="K574" s="512"/>
      <c r="L574" s="512"/>
      <c r="M574" s="512"/>
      <c r="N574" s="512"/>
      <c r="O574" s="512"/>
      <c r="P574" s="156"/>
      <c r="Q574" s="512"/>
      <c r="R574" s="512"/>
      <c r="S574" s="512"/>
      <c r="T574" s="512"/>
      <c r="U574" s="512"/>
      <c r="V574" s="512"/>
      <c r="W574" s="512"/>
      <c r="X574" s="512"/>
      <c r="Y574" s="512"/>
      <c r="Z574" s="512"/>
      <c r="AA574" s="512"/>
      <c r="AB574" s="512"/>
      <c r="AC574" s="512"/>
    </row>
    <row r="575">
      <c r="A575" s="512"/>
      <c r="B575" s="512"/>
      <c r="C575" s="512"/>
      <c r="D575" s="512"/>
      <c r="E575" s="512"/>
      <c r="F575" s="512"/>
      <c r="G575" s="512"/>
      <c r="H575" s="512"/>
      <c r="I575" s="512"/>
      <c r="J575" s="512"/>
      <c r="K575" s="512"/>
      <c r="L575" s="512"/>
      <c r="M575" s="512"/>
      <c r="N575" s="512"/>
      <c r="O575" s="512"/>
      <c r="P575" s="156"/>
      <c r="Q575" s="512"/>
      <c r="R575" s="512"/>
      <c r="S575" s="512"/>
      <c r="T575" s="512"/>
      <c r="U575" s="512"/>
      <c r="V575" s="512"/>
      <c r="W575" s="512"/>
      <c r="X575" s="512"/>
      <c r="Y575" s="512"/>
      <c r="Z575" s="512"/>
      <c r="AA575" s="512"/>
      <c r="AB575" s="512"/>
      <c r="AC575" s="512"/>
    </row>
    <row r="576">
      <c r="A576" s="512"/>
      <c r="B576" s="512"/>
      <c r="C576" s="512"/>
      <c r="D576" s="512"/>
      <c r="E576" s="512"/>
      <c r="F576" s="512"/>
      <c r="G576" s="512"/>
      <c r="H576" s="512"/>
      <c r="I576" s="512"/>
      <c r="J576" s="512"/>
      <c r="K576" s="512"/>
      <c r="L576" s="512"/>
      <c r="M576" s="512"/>
      <c r="N576" s="512"/>
      <c r="O576" s="512"/>
      <c r="P576" s="156"/>
      <c r="Q576" s="512"/>
      <c r="R576" s="512"/>
      <c r="S576" s="512"/>
      <c r="T576" s="512"/>
      <c r="U576" s="512"/>
      <c r="V576" s="512"/>
      <c r="W576" s="512"/>
      <c r="X576" s="512"/>
      <c r="Y576" s="512"/>
      <c r="Z576" s="512"/>
      <c r="AA576" s="512"/>
      <c r="AB576" s="512"/>
      <c r="AC576" s="512"/>
    </row>
    <row r="577">
      <c r="A577" s="512"/>
      <c r="B577" s="512"/>
      <c r="C577" s="512"/>
      <c r="D577" s="512"/>
      <c r="E577" s="512"/>
      <c r="F577" s="512"/>
      <c r="G577" s="512"/>
      <c r="H577" s="512"/>
      <c r="I577" s="512"/>
      <c r="J577" s="512"/>
      <c r="K577" s="512"/>
      <c r="L577" s="512"/>
      <c r="M577" s="512"/>
      <c r="N577" s="512"/>
      <c r="O577" s="512"/>
      <c r="P577" s="156"/>
      <c r="Q577" s="512"/>
      <c r="R577" s="512"/>
      <c r="S577" s="512"/>
      <c r="T577" s="512"/>
      <c r="U577" s="512"/>
      <c r="V577" s="512"/>
      <c r="W577" s="512"/>
      <c r="X577" s="512"/>
      <c r="Y577" s="512"/>
      <c r="Z577" s="512"/>
      <c r="AA577" s="512"/>
      <c r="AB577" s="512"/>
      <c r="AC577" s="512"/>
    </row>
    <row r="578">
      <c r="A578" s="512"/>
      <c r="B578" s="512"/>
      <c r="C578" s="512"/>
      <c r="D578" s="512"/>
      <c r="E578" s="512"/>
      <c r="F578" s="512"/>
      <c r="G578" s="512"/>
      <c r="H578" s="512"/>
      <c r="I578" s="512"/>
      <c r="J578" s="512"/>
      <c r="K578" s="512"/>
      <c r="L578" s="512"/>
      <c r="M578" s="512"/>
      <c r="N578" s="512"/>
      <c r="O578" s="512"/>
      <c r="P578" s="156"/>
      <c r="Q578" s="512"/>
      <c r="R578" s="512"/>
      <c r="S578" s="512"/>
      <c r="T578" s="512"/>
      <c r="U578" s="512"/>
      <c r="V578" s="512"/>
      <c r="W578" s="512"/>
      <c r="X578" s="512"/>
      <c r="Y578" s="512"/>
      <c r="Z578" s="512"/>
      <c r="AA578" s="512"/>
      <c r="AB578" s="512"/>
      <c r="AC578" s="512"/>
    </row>
    <row r="579">
      <c r="A579" s="512"/>
      <c r="B579" s="512"/>
      <c r="C579" s="512"/>
      <c r="D579" s="512"/>
      <c r="E579" s="512"/>
      <c r="F579" s="512"/>
      <c r="G579" s="512"/>
      <c r="H579" s="512"/>
      <c r="I579" s="512"/>
      <c r="J579" s="512"/>
      <c r="K579" s="512"/>
      <c r="L579" s="512"/>
      <c r="M579" s="512"/>
      <c r="N579" s="512"/>
      <c r="O579" s="512"/>
      <c r="P579" s="156"/>
      <c r="Q579" s="512"/>
      <c r="R579" s="512"/>
      <c r="S579" s="512"/>
      <c r="T579" s="512"/>
      <c r="U579" s="512"/>
      <c r="V579" s="512"/>
      <c r="W579" s="512"/>
      <c r="X579" s="512"/>
      <c r="Y579" s="512"/>
      <c r="Z579" s="512"/>
      <c r="AA579" s="512"/>
      <c r="AB579" s="512"/>
      <c r="AC579" s="512"/>
    </row>
    <row r="580">
      <c r="A580" s="512"/>
      <c r="B580" s="512"/>
      <c r="C580" s="512"/>
      <c r="D580" s="512"/>
      <c r="E580" s="512"/>
      <c r="F580" s="512"/>
      <c r="G580" s="512"/>
      <c r="H580" s="512"/>
      <c r="I580" s="512"/>
      <c r="J580" s="512"/>
      <c r="K580" s="512"/>
      <c r="L580" s="512"/>
      <c r="M580" s="512"/>
      <c r="N580" s="512"/>
      <c r="O580" s="512"/>
      <c r="P580" s="156"/>
      <c r="Q580" s="512"/>
      <c r="R580" s="512"/>
      <c r="S580" s="512"/>
      <c r="T580" s="512"/>
      <c r="U580" s="512"/>
      <c r="V580" s="512"/>
      <c r="W580" s="512"/>
      <c r="X580" s="512"/>
      <c r="Y580" s="512"/>
      <c r="Z580" s="512"/>
      <c r="AA580" s="512"/>
      <c r="AB580" s="512"/>
      <c r="AC580" s="512"/>
    </row>
    <row r="581">
      <c r="A581" s="512"/>
      <c r="B581" s="512"/>
      <c r="C581" s="512"/>
      <c r="D581" s="512"/>
      <c r="E581" s="512"/>
      <c r="F581" s="512"/>
      <c r="G581" s="512"/>
      <c r="H581" s="512"/>
      <c r="I581" s="512"/>
      <c r="J581" s="512"/>
      <c r="K581" s="512"/>
      <c r="L581" s="512"/>
      <c r="M581" s="512"/>
      <c r="N581" s="512"/>
      <c r="O581" s="512"/>
      <c r="P581" s="156"/>
      <c r="Q581" s="512"/>
      <c r="R581" s="512"/>
      <c r="S581" s="512"/>
      <c r="T581" s="512"/>
      <c r="U581" s="512"/>
      <c r="V581" s="512"/>
      <c r="W581" s="512"/>
      <c r="X581" s="512"/>
      <c r="Y581" s="512"/>
      <c r="Z581" s="512"/>
      <c r="AA581" s="512"/>
      <c r="AB581" s="512"/>
      <c r="AC581" s="512"/>
    </row>
    <row r="582">
      <c r="A582" s="512"/>
      <c r="B582" s="512"/>
      <c r="C582" s="512"/>
      <c r="D582" s="512"/>
      <c r="E582" s="512"/>
      <c r="F582" s="512"/>
      <c r="G582" s="512"/>
      <c r="H582" s="512"/>
      <c r="I582" s="512"/>
      <c r="J582" s="512"/>
      <c r="K582" s="512"/>
      <c r="L582" s="512"/>
      <c r="M582" s="512"/>
      <c r="N582" s="512"/>
      <c r="O582" s="512"/>
      <c r="P582" s="156"/>
      <c r="Q582" s="512"/>
      <c r="R582" s="512"/>
      <c r="S582" s="512"/>
      <c r="T582" s="512"/>
      <c r="U582" s="512"/>
      <c r="V582" s="512"/>
      <c r="W582" s="512"/>
      <c r="X582" s="512"/>
      <c r="Y582" s="512"/>
      <c r="Z582" s="512"/>
      <c r="AA582" s="512"/>
      <c r="AB582" s="512"/>
      <c r="AC582" s="512"/>
    </row>
    <row r="583">
      <c r="A583" s="512"/>
      <c r="B583" s="512"/>
      <c r="C583" s="512"/>
      <c r="D583" s="512"/>
      <c r="E583" s="512"/>
      <c r="F583" s="512"/>
      <c r="G583" s="512"/>
      <c r="H583" s="512"/>
      <c r="I583" s="512"/>
      <c r="J583" s="512"/>
      <c r="K583" s="512"/>
      <c r="L583" s="512"/>
      <c r="M583" s="512"/>
      <c r="N583" s="512"/>
      <c r="O583" s="512"/>
      <c r="P583" s="156"/>
      <c r="Q583" s="512"/>
      <c r="R583" s="512"/>
      <c r="S583" s="512"/>
      <c r="T583" s="512"/>
      <c r="U583" s="512"/>
      <c r="V583" s="512"/>
      <c r="W583" s="512"/>
      <c r="X583" s="512"/>
      <c r="Y583" s="512"/>
      <c r="Z583" s="512"/>
      <c r="AA583" s="512"/>
      <c r="AB583" s="512"/>
      <c r="AC583" s="512"/>
    </row>
    <row r="584">
      <c r="A584" s="512"/>
      <c r="B584" s="512"/>
      <c r="C584" s="512"/>
      <c r="D584" s="512"/>
      <c r="E584" s="512"/>
      <c r="F584" s="512"/>
      <c r="G584" s="512"/>
      <c r="H584" s="512"/>
      <c r="I584" s="512"/>
      <c r="J584" s="512"/>
      <c r="K584" s="512"/>
      <c r="L584" s="512"/>
      <c r="M584" s="512"/>
      <c r="N584" s="512"/>
      <c r="O584" s="512"/>
      <c r="P584" s="156"/>
      <c r="Q584" s="512"/>
      <c r="R584" s="512"/>
      <c r="S584" s="512"/>
      <c r="T584" s="512"/>
      <c r="U584" s="512"/>
      <c r="V584" s="512"/>
      <c r="W584" s="512"/>
      <c r="X584" s="512"/>
      <c r="Y584" s="512"/>
      <c r="Z584" s="512"/>
      <c r="AA584" s="512"/>
      <c r="AB584" s="512"/>
      <c r="AC584" s="512"/>
    </row>
    <row r="585">
      <c r="A585" s="512"/>
      <c r="B585" s="512"/>
      <c r="C585" s="512"/>
      <c r="D585" s="512"/>
      <c r="E585" s="512"/>
      <c r="F585" s="512"/>
      <c r="G585" s="512"/>
      <c r="H585" s="512"/>
      <c r="I585" s="512"/>
      <c r="J585" s="512"/>
      <c r="K585" s="512"/>
      <c r="L585" s="512"/>
      <c r="M585" s="512"/>
      <c r="N585" s="512"/>
      <c r="O585" s="512"/>
      <c r="P585" s="156"/>
      <c r="Q585" s="512"/>
      <c r="R585" s="512"/>
      <c r="S585" s="512"/>
      <c r="T585" s="512"/>
      <c r="U585" s="512"/>
      <c r="V585" s="512"/>
      <c r="W585" s="512"/>
      <c r="X585" s="512"/>
      <c r="Y585" s="512"/>
      <c r="Z585" s="512"/>
      <c r="AA585" s="512"/>
      <c r="AB585" s="512"/>
      <c r="AC585" s="512"/>
    </row>
    <row r="586">
      <c r="A586" s="512"/>
      <c r="B586" s="512"/>
      <c r="C586" s="512"/>
      <c r="D586" s="512"/>
      <c r="E586" s="512"/>
      <c r="F586" s="512"/>
      <c r="G586" s="512"/>
      <c r="H586" s="512"/>
      <c r="I586" s="512"/>
      <c r="J586" s="512"/>
      <c r="K586" s="512"/>
      <c r="L586" s="512"/>
      <c r="M586" s="512"/>
      <c r="N586" s="512"/>
      <c r="O586" s="512"/>
      <c r="P586" s="156"/>
      <c r="Q586" s="512"/>
      <c r="R586" s="512"/>
      <c r="S586" s="512"/>
      <c r="T586" s="512"/>
      <c r="U586" s="512"/>
      <c r="V586" s="512"/>
      <c r="W586" s="512"/>
      <c r="X586" s="512"/>
      <c r="Y586" s="512"/>
      <c r="Z586" s="512"/>
      <c r="AA586" s="512"/>
      <c r="AB586" s="512"/>
      <c r="AC586" s="512"/>
    </row>
    <row r="587">
      <c r="A587" s="512"/>
      <c r="B587" s="512"/>
      <c r="C587" s="512"/>
      <c r="D587" s="512"/>
      <c r="E587" s="512"/>
      <c r="F587" s="512"/>
      <c r="G587" s="512"/>
      <c r="H587" s="512"/>
      <c r="I587" s="512"/>
      <c r="J587" s="512"/>
      <c r="K587" s="512"/>
      <c r="L587" s="512"/>
      <c r="M587" s="512"/>
      <c r="N587" s="512"/>
      <c r="O587" s="512"/>
      <c r="P587" s="156"/>
      <c r="Q587" s="512"/>
      <c r="R587" s="512"/>
      <c r="S587" s="512"/>
      <c r="T587" s="512"/>
      <c r="U587" s="512"/>
      <c r="V587" s="512"/>
      <c r="W587" s="512"/>
      <c r="X587" s="512"/>
      <c r="Y587" s="512"/>
      <c r="Z587" s="512"/>
      <c r="AA587" s="512"/>
      <c r="AB587" s="512"/>
      <c r="AC587" s="512"/>
    </row>
    <row r="588">
      <c r="A588" s="512"/>
      <c r="B588" s="512"/>
      <c r="C588" s="512"/>
      <c r="D588" s="512"/>
      <c r="E588" s="512"/>
      <c r="F588" s="512"/>
      <c r="G588" s="512"/>
      <c r="H588" s="512"/>
      <c r="I588" s="512"/>
      <c r="J588" s="512"/>
      <c r="K588" s="512"/>
      <c r="L588" s="512"/>
      <c r="M588" s="512"/>
      <c r="N588" s="512"/>
      <c r="O588" s="512"/>
      <c r="P588" s="156"/>
      <c r="Q588" s="512"/>
      <c r="R588" s="512"/>
      <c r="S588" s="512"/>
      <c r="T588" s="512"/>
      <c r="U588" s="512"/>
      <c r="V588" s="512"/>
      <c r="W588" s="512"/>
      <c r="X588" s="512"/>
      <c r="Y588" s="512"/>
      <c r="Z588" s="512"/>
      <c r="AA588" s="512"/>
      <c r="AB588" s="512"/>
      <c r="AC588" s="512"/>
    </row>
    <row r="589">
      <c r="A589" s="512"/>
      <c r="B589" s="512"/>
      <c r="C589" s="512"/>
      <c r="D589" s="512"/>
      <c r="E589" s="512"/>
      <c r="F589" s="512"/>
      <c r="G589" s="512"/>
      <c r="H589" s="512"/>
      <c r="I589" s="512"/>
      <c r="J589" s="512"/>
      <c r="K589" s="512"/>
      <c r="L589" s="512"/>
      <c r="M589" s="512"/>
      <c r="N589" s="512"/>
      <c r="O589" s="512"/>
      <c r="P589" s="156"/>
      <c r="Q589" s="512"/>
      <c r="R589" s="512"/>
      <c r="S589" s="512"/>
      <c r="T589" s="512"/>
      <c r="U589" s="512"/>
      <c r="V589" s="512"/>
      <c r="W589" s="512"/>
      <c r="X589" s="512"/>
      <c r="Y589" s="512"/>
      <c r="Z589" s="512"/>
      <c r="AA589" s="512"/>
      <c r="AB589" s="512"/>
      <c r="AC589" s="512"/>
    </row>
    <row r="590">
      <c r="A590" s="512"/>
      <c r="B590" s="512"/>
      <c r="C590" s="512"/>
      <c r="D590" s="512"/>
      <c r="E590" s="512"/>
      <c r="F590" s="512"/>
      <c r="G590" s="512"/>
      <c r="H590" s="512"/>
      <c r="I590" s="512"/>
      <c r="J590" s="512"/>
      <c r="K590" s="512"/>
      <c r="L590" s="512"/>
      <c r="M590" s="512"/>
      <c r="N590" s="512"/>
      <c r="O590" s="512"/>
      <c r="P590" s="156"/>
      <c r="Q590" s="512"/>
      <c r="R590" s="512"/>
      <c r="S590" s="512"/>
      <c r="T590" s="512"/>
      <c r="U590" s="512"/>
      <c r="V590" s="512"/>
      <c r="W590" s="512"/>
      <c r="X590" s="512"/>
      <c r="Y590" s="512"/>
      <c r="Z590" s="512"/>
      <c r="AA590" s="512"/>
      <c r="AB590" s="512"/>
      <c r="AC590" s="512"/>
    </row>
    <row r="591">
      <c r="A591" s="512"/>
      <c r="B591" s="512"/>
      <c r="C591" s="512"/>
      <c r="D591" s="512"/>
      <c r="E591" s="512"/>
      <c r="F591" s="512"/>
      <c r="G591" s="512"/>
      <c r="H591" s="512"/>
      <c r="I591" s="512"/>
      <c r="J591" s="512"/>
      <c r="K591" s="512"/>
      <c r="L591" s="512"/>
      <c r="M591" s="512"/>
      <c r="N591" s="512"/>
      <c r="O591" s="512"/>
      <c r="P591" s="156"/>
      <c r="Q591" s="512"/>
      <c r="R591" s="512"/>
      <c r="S591" s="512"/>
      <c r="T591" s="512"/>
      <c r="U591" s="512"/>
      <c r="V591" s="512"/>
      <c r="W591" s="512"/>
      <c r="X591" s="512"/>
      <c r="Y591" s="512"/>
      <c r="Z591" s="512"/>
      <c r="AA591" s="512"/>
      <c r="AB591" s="512"/>
      <c r="AC591" s="512"/>
    </row>
    <row r="592">
      <c r="A592" s="512"/>
      <c r="B592" s="512"/>
      <c r="C592" s="512"/>
      <c r="D592" s="512"/>
      <c r="E592" s="512"/>
      <c r="F592" s="512"/>
      <c r="G592" s="512"/>
      <c r="H592" s="512"/>
      <c r="I592" s="512"/>
      <c r="J592" s="512"/>
      <c r="K592" s="512"/>
      <c r="L592" s="512"/>
      <c r="M592" s="512"/>
      <c r="N592" s="512"/>
      <c r="O592" s="512"/>
      <c r="P592" s="156"/>
      <c r="Q592" s="512"/>
      <c r="R592" s="512"/>
      <c r="S592" s="512"/>
      <c r="T592" s="512"/>
      <c r="U592" s="512"/>
      <c r="V592" s="512"/>
      <c r="W592" s="512"/>
      <c r="X592" s="512"/>
      <c r="Y592" s="512"/>
      <c r="Z592" s="512"/>
      <c r="AA592" s="512"/>
      <c r="AB592" s="512"/>
      <c r="AC592" s="512"/>
    </row>
    <row r="593">
      <c r="A593" s="512"/>
      <c r="B593" s="512"/>
      <c r="C593" s="512"/>
      <c r="D593" s="512"/>
      <c r="E593" s="512"/>
      <c r="F593" s="512"/>
      <c r="G593" s="512"/>
      <c r="H593" s="512"/>
      <c r="I593" s="512"/>
      <c r="J593" s="512"/>
      <c r="K593" s="512"/>
      <c r="L593" s="512"/>
      <c r="M593" s="512"/>
      <c r="N593" s="512"/>
      <c r="O593" s="512"/>
      <c r="P593" s="156"/>
      <c r="Q593" s="512"/>
      <c r="R593" s="512"/>
      <c r="S593" s="512"/>
      <c r="T593" s="512"/>
      <c r="U593" s="512"/>
      <c r="V593" s="512"/>
      <c r="W593" s="512"/>
      <c r="X593" s="512"/>
      <c r="Y593" s="512"/>
      <c r="Z593" s="512"/>
      <c r="AA593" s="512"/>
      <c r="AB593" s="512"/>
      <c r="AC593" s="512"/>
    </row>
    <row r="594">
      <c r="A594" s="512"/>
      <c r="B594" s="512"/>
      <c r="C594" s="512"/>
      <c r="D594" s="512"/>
      <c r="E594" s="512"/>
      <c r="F594" s="512"/>
      <c r="G594" s="512"/>
      <c r="H594" s="512"/>
      <c r="I594" s="512"/>
      <c r="J594" s="512"/>
      <c r="K594" s="512"/>
      <c r="L594" s="512"/>
      <c r="M594" s="512"/>
      <c r="N594" s="512"/>
      <c r="O594" s="512"/>
      <c r="P594" s="156"/>
      <c r="Q594" s="512"/>
      <c r="R594" s="512"/>
      <c r="S594" s="512"/>
      <c r="T594" s="512"/>
      <c r="U594" s="512"/>
      <c r="V594" s="512"/>
      <c r="W594" s="512"/>
      <c r="X594" s="512"/>
      <c r="Y594" s="512"/>
      <c r="Z594" s="512"/>
      <c r="AA594" s="512"/>
      <c r="AB594" s="512"/>
      <c r="AC594" s="512"/>
    </row>
    <row r="595">
      <c r="A595" s="512"/>
      <c r="B595" s="512"/>
      <c r="C595" s="512"/>
      <c r="D595" s="512"/>
      <c r="E595" s="512"/>
      <c r="F595" s="512"/>
      <c r="G595" s="512"/>
      <c r="H595" s="512"/>
      <c r="I595" s="512"/>
      <c r="J595" s="512"/>
      <c r="K595" s="512"/>
      <c r="L595" s="512"/>
      <c r="M595" s="512"/>
      <c r="N595" s="512"/>
      <c r="O595" s="512"/>
      <c r="P595" s="156"/>
      <c r="Q595" s="512"/>
      <c r="R595" s="512"/>
      <c r="S595" s="512"/>
      <c r="T595" s="512"/>
      <c r="U595" s="512"/>
      <c r="V595" s="512"/>
      <c r="W595" s="512"/>
      <c r="X595" s="512"/>
      <c r="Y595" s="512"/>
      <c r="Z595" s="512"/>
      <c r="AA595" s="512"/>
      <c r="AB595" s="512"/>
      <c r="AC595" s="512"/>
    </row>
    <row r="596">
      <c r="A596" s="512"/>
      <c r="B596" s="512"/>
      <c r="C596" s="512"/>
      <c r="D596" s="512"/>
      <c r="E596" s="512"/>
      <c r="F596" s="512"/>
      <c r="G596" s="512"/>
      <c r="H596" s="512"/>
      <c r="I596" s="512"/>
      <c r="J596" s="512"/>
      <c r="K596" s="512"/>
      <c r="L596" s="512"/>
      <c r="M596" s="512"/>
      <c r="N596" s="512"/>
      <c r="O596" s="512"/>
      <c r="P596" s="156"/>
      <c r="Q596" s="512"/>
      <c r="R596" s="512"/>
      <c r="S596" s="512"/>
      <c r="T596" s="512"/>
      <c r="U596" s="512"/>
      <c r="V596" s="512"/>
      <c r="W596" s="512"/>
      <c r="X596" s="512"/>
      <c r="Y596" s="512"/>
      <c r="Z596" s="512"/>
      <c r="AA596" s="512"/>
      <c r="AB596" s="512"/>
      <c r="AC596" s="512"/>
    </row>
    <row r="597">
      <c r="A597" s="512"/>
      <c r="B597" s="512"/>
      <c r="C597" s="512"/>
      <c r="D597" s="512"/>
      <c r="E597" s="512"/>
      <c r="F597" s="512"/>
      <c r="G597" s="512"/>
      <c r="H597" s="512"/>
      <c r="I597" s="512"/>
      <c r="J597" s="512"/>
      <c r="K597" s="512"/>
      <c r="L597" s="512"/>
      <c r="M597" s="512"/>
      <c r="N597" s="512"/>
      <c r="O597" s="512"/>
      <c r="P597" s="156"/>
      <c r="Q597" s="512"/>
      <c r="R597" s="512"/>
      <c r="S597" s="512"/>
      <c r="T597" s="512"/>
      <c r="U597" s="512"/>
      <c r="V597" s="512"/>
      <c r="W597" s="512"/>
      <c r="X597" s="512"/>
      <c r="Y597" s="512"/>
      <c r="Z597" s="512"/>
      <c r="AA597" s="512"/>
      <c r="AB597" s="512"/>
      <c r="AC597" s="512"/>
    </row>
    <row r="598">
      <c r="A598" s="512"/>
      <c r="B598" s="512"/>
      <c r="C598" s="512"/>
      <c r="D598" s="512"/>
      <c r="E598" s="512"/>
      <c r="F598" s="512"/>
      <c r="G598" s="512"/>
      <c r="H598" s="512"/>
      <c r="I598" s="512"/>
      <c r="J598" s="512"/>
      <c r="K598" s="512"/>
      <c r="L598" s="512"/>
      <c r="M598" s="512"/>
      <c r="N598" s="512"/>
      <c r="O598" s="512"/>
      <c r="P598" s="156"/>
      <c r="Q598" s="512"/>
      <c r="R598" s="512"/>
      <c r="S598" s="512"/>
      <c r="T598" s="512"/>
      <c r="U598" s="512"/>
      <c r="V598" s="512"/>
      <c r="W598" s="512"/>
      <c r="X598" s="512"/>
      <c r="Y598" s="512"/>
      <c r="Z598" s="512"/>
      <c r="AA598" s="512"/>
      <c r="AB598" s="512"/>
      <c r="AC598" s="512"/>
    </row>
    <row r="599">
      <c r="A599" s="512"/>
      <c r="B599" s="512"/>
      <c r="C599" s="512"/>
      <c r="D599" s="512"/>
      <c r="E599" s="512"/>
      <c r="F599" s="512"/>
      <c r="G599" s="512"/>
      <c r="H599" s="512"/>
      <c r="I599" s="512"/>
      <c r="J599" s="512"/>
      <c r="K599" s="512"/>
      <c r="L599" s="512"/>
      <c r="M599" s="512"/>
      <c r="N599" s="512"/>
      <c r="O599" s="512"/>
      <c r="P599" s="156"/>
      <c r="Q599" s="512"/>
      <c r="R599" s="512"/>
      <c r="S599" s="512"/>
      <c r="T599" s="512"/>
      <c r="U599" s="512"/>
      <c r="V599" s="512"/>
      <c r="W599" s="512"/>
      <c r="X599" s="512"/>
      <c r="Y599" s="512"/>
      <c r="Z599" s="512"/>
      <c r="AA599" s="512"/>
      <c r="AB599" s="512"/>
      <c r="AC599" s="512"/>
    </row>
    <row r="600">
      <c r="A600" s="512"/>
      <c r="B600" s="512"/>
      <c r="C600" s="512"/>
      <c r="D600" s="512"/>
      <c r="E600" s="512"/>
      <c r="F600" s="512"/>
      <c r="G600" s="512"/>
      <c r="H600" s="512"/>
      <c r="I600" s="512"/>
      <c r="J600" s="512"/>
      <c r="K600" s="512"/>
      <c r="L600" s="512"/>
      <c r="M600" s="512"/>
      <c r="N600" s="512"/>
      <c r="O600" s="512"/>
      <c r="P600" s="156"/>
      <c r="Q600" s="512"/>
      <c r="R600" s="512"/>
      <c r="S600" s="512"/>
      <c r="T600" s="512"/>
      <c r="U600" s="512"/>
      <c r="V600" s="512"/>
      <c r="W600" s="512"/>
      <c r="X600" s="512"/>
      <c r="Y600" s="512"/>
      <c r="Z600" s="512"/>
      <c r="AA600" s="512"/>
      <c r="AB600" s="512"/>
      <c r="AC600" s="512"/>
    </row>
    <row r="601">
      <c r="A601" s="512"/>
      <c r="B601" s="512"/>
      <c r="C601" s="512"/>
      <c r="D601" s="512"/>
      <c r="E601" s="512"/>
      <c r="F601" s="512"/>
      <c r="G601" s="512"/>
      <c r="H601" s="512"/>
      <c r="I601" s="512"/>
      <c r="J601" s="512"/>
      <c r="K601" s="512"/>
      <c r="L601" s="512"/>
      <c r="M601" s="512"/>
      <c r="N601" s="512"/>
      <c r="O601" s="512"/>
      <c r="P601" s="156"/>
      <c r="Q601" s="512"/>
      <c r="R601" s="512"/>
      <c r="S601" s="512"/>
      <c r="T601" s="512"/>
      <c r="U601" s="512"/>
      <c r="V601" s="512"/>
      <c r="W601" s="512"/>
      <c r="X601" s="512"/>
      <c r="Y601" s="512"/>
      <c r="Z601" s="512"/>
      <c r="AA601" s="512"/>
      <c r="AB601" s="512"/>
      <c r="AC601" s="512"/>
    </row>
    <row r="602">
      <c r="A602" s="512"/>
      <c r="B602" s="512"/>
      <c r="C602" s="512"/>
      <c r="D602" s="512"/>
      <c r="E602" s="512"/>
      <c r="F602" s="512"/>
      <c r="G602" s="512"/>
      <c r="H602" s="512"/>
      <c r="I602" s="512"/>
      <c r="J602" s="512"/>
      <c r="K602" s="512"/>
      <c r="L602" s="512"/>
      <c r="M602" s="512"/>
      <c r="N602" s="512"/>
      <c r="O602" s="512"/>
      <c r="P602" s="156"/>
      <c r="Q602" s="512"/>
      <c r="R602" s="512"/>
      <c r="S602" s="512"/>
      <c r="T602" s="512"/>
      <c r="U602" s="512"/>
      <c r="V602" s="512"/>
      <c r="W602" s="512"/>
      <c r="X602" s="512"/>
      <c r="Y602" s="512"/>
      <c r="Z602" s="512"/>
      <c r="AA602" s="512"/>
      <c r="AB602" s="512"/>
      <c r="AC602" s="512"/>
    </row>
    <row r="603">
      <c r="A603" s="512"/>
      <c r="B603" s="512"/>
      <c r="C603" s="512"/>
      <c r="D603" s="512"/>
      <c r="E603" s="512"/>
      <c r="F603" s="512"/>
      <c r="G603" s="512"/>
      <c r="H603" s="512"/>
      <c r="I603" s="512"/>
      <c r="J603" s="512"/>
      <c r="K603" s="512"/>
      <c r="L603" s="512"/>
      <c r="M603" s="512"/>
      <c r="N603" s="512"/>
      <c r="O603" s="512"/>
      <c r="P603" s="156"/>
      <c r="Q603" s="512"/>
      <c r="R603" s="512"/>
      <c r="S603" s="512"/>
      <c r="T603" s="512"/>
      <c r="U603" s="512"/>
      <c r="V603" s="512"/>
      <c r="W603" s="512"/>
      <c r="X603" s="512"/>
      <c r="Y603" s="512"/>
      <c r="Z603" s="512"/>
      <c r="AA603" s="512"/>
      <c r="AB603" s="512"/>
      <c r="AC603" s="512"/>
    </row>
    <row r="604">
      <c r="A604" s="512"/>
      <c r="B604" s="512"/>
      <c r="C604" s="512"/>
      <c r="D604" s="512"/>
      <c r="E604" s="512"/>
      <c r="F604" s="512"/>
      <c r="G604" s="512"/>
      <c r="H604" s="512"/>
      <c r="I604" s="512"/>
      <c r="J604" s="512"/>
      <c r="K604" s="512"/>
      <c r="L604" s="512"/>
      <c r="M604" s="512"/>
      <c r="N604" s="512"/>
      <c r="O604" s="512"/>
      <c r="P604" s="156"/>
      <c r="Q604" s="512"/>
      <c r="R604" s="512"/>
      <c r="S604" s="512"/>
      <c r="T604" s="512"/>
      <c r="U604" s="512"/>
      <c r="V604" s="512"/>
      <c r="W604" s="512"/>
      <c r="X604" s="512"/>
      <c r="Y604" s="512"/>
      <c r="Z604" s="512"/>
      <c r="AA604" s="512"/>
      <c r="AB604" s="512"/>
      <c r="AC604" s="512"/>
    </row>
    <row r="605">
      <c r="A605" s="512"/>
      <c r="B605" s="512"/>
      <c r="C605" s="512"/>
      <c r="D605" s="512"/>
      <c r="E605" s="512"/>
      <c r="F605" s="512"/>
      <c r="G605" s="512"/>
      <c r="H605" s="512"/>
      <c r="I605" s="512"/>
      <c r="J605" s="512"/>
      <c r="K605" s="512"/>
      <c r="L605" s="512"/>
      <c r="M605" s="512"/>
      <c r="N605" s="512"/>
      <c r="O605" s="512"/>
      <c r="P605" s="156"/>
      <c r="Q605" s="512"/>
      <c r="R605" s="512"/>
      <c r="S605" s="512"/>
      <c r="T605" s="512"/>
      <c r="U605" s="512"/>
      <c r="V605" s="512"/>
      <c r="W605" s="512"/>
      <c r="X605" s="512"/>
      <c r="Y605" s="512"/>
      <c r="Z605" s="512"/>
      <c r="AA605" s="512"/>
      <c r="AB605" s="512"/>
      <c r="AC605" s="512"/>
    </row>
    <row r="606">
      <c r="A606" s="512"/>
      <c r="B606" s="512"/>
      <c r="C606" s="512"/>
      <c r="D606" s="512"/>
      <c r="E606" s="512"/>
      <c r="F606" s="512"/>
      <c r="G606" s="512"/>
      <c r="H606" s="512"/>
      <c r="I606" s="512"/>
      <c r="J606" s="512"/>
      <c r="K606" s="512"/>
      <c r="L606" s="512"/>
      <c r="M606" s="512"/>
      <c r="N606" s="512"/>
      <c r="O606" s="512"/>
      <c r="P606" s="156"/>
      <c r="Q606" s="512"/>
      <c r="R606" s="512"/>
      <c r="S606" s="512"/>
      <c r="T606" s="512"/>
      <c r="U606" s="512"/>
      <c r="V606" s="512"/>
      <c r="W606" s="512"/>
      <c r="X606" s="512"/>
      <c r="Y606" s="512"/>
      <c r="Z606" s="512"/>
      <c r="AA606" s="512"/>
      <c r="AB606" s="512"/>
      <c r="AC606" s="512"/>
    </row>
    <row r="607">
      <c r="A607" s="512"/>
      <c r="B607" s="512"/>
      <c r="C607" s="512"/>
      <c r="D607" s="512"/>
      <c r="E607" s="512"/>
      <c r="F607" s="512"/>
      <c r="G607" s="512"/>
      <c r="H607" s="512"/>
      <c r="I607" s="512"/>
      <c r="J607" s="512"/>
      <c r="K607" s="512"/>
      <c r="L607" s="512"/>
      <c r="M607" s="512"/>
      <c r="N607" s="512"/>
      <c r="O607" s="512"/>
      <c r="P607" s="156"/>
      <c r="Q607" s="512"/>
      <c r="R607" s="512"/>
      <c r="S607" s="512"/>
      <c r="T607" s="512"/>
      <c r="U607" s="512"/>
      <c r="V607" s="512"/>
      <c r="W607" s="512"/>
      <c r="X607" s="512"/>
      <c r="Y607" s="512"/>
      <c r="Z607" s="512"/>
      <c r="AA607" s="512"/>
      <c r="AB607" s="512"/>
      <c r="AC607" s="512"/>
    </row>
    <row r="608">
      <c r="A608" s="512"/>
      <c r="B608" s="512"/>
      <c r="C608" s="512"/>
      <c r="D608" s="512"/>
      <c r="E608" s="512"/>
      <c r="F608" s="512"/>
      <c r="G608" s="512"/>
      <c r="H608" s="512"/>
      <c r="I608" s="512"/>
      <c r="J608" s="512"/>
      <c r="K608" s="512"/>
      <c r="L608" s="512"/>
      <c r="M608" s="512"/>
      <c r="N608" s="512"/>
      <c r="O608" s="512"/>
      <c r="P608" s="156"/>
      <c r="Q608" s="512"/>
      <c r="R608" s="512"/>
      <c r="S608" s="512"/>
      <c r="T608" s="512"/>
      <c r="U608" s="512"/>
      <c r="V608" s="512"/>
      <c r="W608" s="512"/>
      <c r="X608" s="512"/>
      <c r="Y608" s="512"/>
      <c r="Z608" s="512"/>
      <c r="AA608" s="512"/>
      <c r="AB608" s="512"/>
      <c r="AC608" s="512"/>
    </row>
    <row r="609">
      <c r="A609" s="512"/>
      <c r="B609" s="512"/>
      <c r="C609" s="512"/>
      <c r="D609" s="512"/>
      <c r="E609" s="512"/>
      <c r="F609" s="512"/>
      <c r="G609" s="512"/>
      <c r="H609" s="512"/>
      <c r="I609" s="512"/>
      <c r="J609" s="512"/>
      <c r="K609" s="512"/>
      <c r="L609" s="512"/>
      <c r="M609" s="512"/>
      <c r="N609" s="512"/>
      <c r="O609" s="512"/>
      <c r="P609" s="156"/>
      <c r="Q609" s="512"/>
      <c r="R609" s="512"/>
      <c r="S609" s="512"/>
      <c r="T609" s="512"/>
      <c r="U609" s="512"/>
      <c r="V609" s="512"/>
      <c r="W609" s="512"/>
      <c r="X609" s="512"/>
      <c r="Y609" s="512"/>
      <c r="Z609" s="512"/>
      <c r="AA609" s="512"/>
      <c r="AB609" s="512"/>
      <c r="AC609" s="512"/>
    </row>
    <row r="610">
      <c r="A610" s="512"/>
      <c r="B610" s="512"/>
      <c r="C610" s="512"/>
      <c r="D610" s="512"/>
      <c r="E610" s="512"/>
      <c r="F610" s="512"/>
      <c r="G610" s="512"/>
      <c r="H610" s="512"/>
      <c r="I610" s="512"/>
      <c r="J610" s="512"/>
      <c r="K610" s="512"/>
      <c r="L610" s="512"/>
      <c r="M610" s="512"/>
      <c r="N610" s="512"/>
      <c r="O610" s="512"/>
      <c r="P610" s="156"/>
      <c r="Q610" s="512"/>
      <c r="R610" s="512"/>
      <c r="S610" s="512"/>
      <c r="T610" s="512"/>
      <c r="U610" s="512"/>
      <c r="V610" s="512"/>
      <c r="W610" s="512"/>
      <c r="X610" s="512"/>
      <c r="Y610" s="512"/>
      <c r="Z610" s="512"/>
      <c r="AA610" s="512"/>
      <c r="AB610" s="512"/>
      <c r="AC610" s="512"/>
    </row>
    <row r="611">
      <c r="A611" s="512"/>
      <c r="B611" s="512"/>
      <c r="C611" s="512"/>
      <c r="D611" s="512"/>
      <c r="E611" s="512"/>
      <c r="F611" s="512"/>
      <c r="G611" s="512"/>
      <c r="H611" s="512"/>
      <c r="I611" s="512"/>
      <c r="J611" s="512"/>
      <c r="K611" s="512"/>
      <c r="L611" s="512"/>
      <c r="M611" s="512"/>
      <c r="N611" s="512"/>
      <c r="O611" s="512"/>
      <c r="P611" s="156"/>
      <c r="Q611" s="512"/>
      <c r="R611" s="512"/>
      <c r="S611" s="512"/>
      <c r="T611" s="512"/>
      <c r="U611" s="512"/>
      <c r="V611" s="512"/>
      <c r="W611" s="512"/>
      <c r="X611" s="512"/>
      <c r="Y611" s="512"/>
      <c r="Z611" s="512"/>
      <c r="AA611" s="512"/>
      <c r="AB611" s="512"/>
      <c r="AC611" s="512"/>
    </row>
    <row r="612">
      <c r="A612" s="512"/>
      <c r="B612" s="512"/>
      <c r="C612" s="512"/>
      <c r="D612" s="512"/>
      <c r="E612" s="512"/>
      <c r="F612" s="512"/>
      <c r="G612" s="512"/>
      <c r="H612" s="512"/>
      <c r="I612" s="512"/>
      <c r="J612" s="512"/>
      <c r="K612" s="512"/>
      <c r="L612" s="512"/>
      <c r="M612" s="512"/>
      <c r="N612" s="512"/>
      <c r="O612" s="512"/>
      <c r="P612" s="156"/>
      <c r="Q612" s="512"/>
      <c r="R612" s="512"/>
      <c r="S612" s="512"/>
      <c r="T612" s="512"/>
      <c r="U612" s="512"/>
      <c r="V612" s="512"/>
      <c r="W612" s="512"/>
      <c r="X612" s="512"/>
      <c r="Y612" s="512"/>
      <c r="Z612" s="512"/>
      <c r="AA612" s="512"/>
      <c r="AB612" s="512"/>
      <c r="AC612" s="512"/>
    </row>
    <row r="613">
      <c r="A613" s="512"/>
      <c r="B613" s="512"/>
      <c r="C613" s="512"/>
      <c r="D613" s="512"/>
      <c r="E613" s="512"/>
      <c r="F613" s="512"/>
      <c r="G613" s="512"/>
      <c r="H613" s="512"/>
      <c r="I613" s="512"/>
      <c r="J613" s="512"/>
      <c r="K613" s="512"/>
      <c r="L613" s="512"/>
      <c r="M613" s="512"/>
      <c r="N613" s="512"/>
      <c r="O613" s="512"/>
      <c r="P613" s="156"/>
      <c r="Q613" s="512"/>
      <c r="R613" s="512"/>
      <c r="S613" s="512"/>
      <c r="T613" s="512"/>
      <c r="U613" s="512"/>
      <c r="V613" s="512"/>
      <c r="W613" s="512"/>
      <c r="X613" s="512"/>
      <c r="Y613" s="512"/>
      <c r="Z613" s="512"/>
      <c r="AA613" s="512"/>
      <c r="AB613" s="512"/>
      <c r="AC613" s="512"/>
    </row>
    <row r="614">
      <c r="A614" s="512"/>
      <c r="B614" s="512"/>
      <c r="C614" s="512"/>
      <c r="D614" s="512"/>
      <c r="E614" s="512"/>
      <c r="F614" s="512"/>
      <c r="G614" s="512"/>
      <c r="H614" s="512"/>
      <c r="I614" s="512"/>
      <c r="J614" s="512"/>
      <c r="K614" s="512"/>
      <c r="L614" s="512"/>
      <c r="M614" s="512"/>
      <c r="N614" s="512"/>
      <c r="O614" s="512"/>
      <c r="P614" s="156"/>
      <c r="Q614" s="512"/>
      <c r="R614" s="512"/>
      <c r="S614" s="512"/>
      <c r="T614" s="512"/>
      <c r="U614" s="512"/>
      <c r="V614" s="512"/>
      <c r="W614" s="512"/>
      <c r="X614" s="512"/>
      <c r="Y614" s="512"/>
      <c r="Z614" s="512"/>
      <c r="AA614" s="512"/>
      <c r="AB614" s="512"/>
      <c r="AC614" s="512"/>
    </row>
    <row r="615">
      <c r="A615" s="512"/>
      <c r="B615" s="512"/>
      <c r="C615" s="512"/>
      <c r="D615" s="512"/>
      <c r="E615" s="512"/>
      <c r="F615" s="512"/>
      <c r="G615" s="512"/>
      <c r="H615" s="512"/>
      <c r="I615" s="512"/>
      <c r="J615" s="512"/>
      <c r="K615" s="512"/>
      <c r="L615" s="512"/>
      <c r="M615" s="512"/>
      <c r="N615" s="512"/>
      <c r="O615" s="512"/>
      <c r="P615" s="156"/>
      <c r="Q615" s="512"/>
      <c r="R615" s="512"/>
      <c r="S615" s="512"/>
      <c r="T615" s="512"/>
      <c r="U615" s="512"/>
      <c r="V615" s="512"/>
      <c r="W615" s="512"/>
      <c r="X615" s="512"/>
      <c r="Y615" s="512"/>
      <c r="Z615" s="512"/>
      <c r="AA615" s="512"/>
      <c r="AB615" s="512"/>
      <c r="AC615" s="512"/>
    </row>
    <row r="616">
      <c r="A616" s="512"/>
      <c r="B616" s="512"/>
      <c r="C616" s="512"/>
      <c r="D616" s="512"/>
      <c r="E616" s="512"/>
      <c r="F616" s="512"/>
      <c r="G616" s="512"/>
      <c r="H616" s="512"/>
      <c r="I616" s="512"/>
      <c r="J616" s="512"/>
      <c r="K616" s="512"/>
      <c r="L616" s="512"/>
      <c r="M616" s="512"/>
      <c r="N616" s="512"/>
      <c r="O616" s="512"/>
      <c r="P616" s="156"/>
      <c r="Q616" s="512"/>
      <c r="R616" s="512"/>
      <c r="S616" s="512"/>
      <c r="T616" s="512"/>
      <c r="U616" s="512"/>
      <c r="V616" s="512"/>
      <c r="W616" s="512"/>
      <c r="X616" s="512"/>
      <c r="Y616" s="512"/>
      <c r="Z616" s="512"/>
      <c r="AA616" s="512"/>
      <c r="AB616" s="512"/>
      <c r="AC616" s="512"/>
    </row>
    <row r="617">
      <c r="A617" s="512"/>
      <c r="B617" s="512"/>
      <c r="C617" s="512"/>
      <c r="D617" s="512"/>
      <c r="E617" s="512"/>
      <c r="F617" s="512"/>
      <c r="G617" s="512"/>
      <c r="H617" s="512"/>
      <c r="I617" s="512"/>
      <c r="J617" s="512"/>
      <c r="K617" s="512"/>
      <c r="L617" s="512"/>
      <c r="M617" s="512"/>
      <c r="N617" s="512"/>
      <c r="O617" s="512"/>
      <c r="P617" s="156"/>
      <c r="Q617" s="512"/>
      <c r="R617" s="512"/>
      <c r="S617" s="512"/>
      <c r="T617" s="512"/>
      <c r="U617" s="512"/>
      <c r="V617" s="512"/>
      <c r="W617" s="512"/>
      <c r="X617" s="512"/>
      <c r="Y617" s="512"/>
      <c r="Z617" s="512"/>
      <c r="AA617" s="512"/>
      <c r="AB617" s="512"/>
      <c r="AC617" s="512"/>
    </row>
    <row r="618">
      <c r="A618" s="512"/>
      <c r="B618" s="512"/>
      <c r="C618" s="512"/>
      <c r="D618" s="512"/>
      <c r="E618" s="512"/>
      <c r="F618" s="512"/>
      <c r="G618" s="512"/>
      <c r="H618" s="512"/>
      <c r="I618" s="512"/>
      <c r="J618" s="512"/>
      <c r="K618" s="512"/>
      <c r="L618" s="512"/>
      <c r="M618" s="512"/>
      <c r="N618" s="512"/>
      <c r="O618" s="512"/>
      <c r="P618" s="156"/>
      <c r="Q618" s="512"/>
      <c r="R618" s="512"/>
      <c r="S618" s="512"/>
      <c r="T618" s="512"/>
      <c r="U618" s="512"/>
      <c r="V618" s="512"/>
      <c r="W618" s="512"/>
      <c r="X618" s="512"/>
      <c r="Y618" s="512"/>
      <c r="Z618" s="512"/>
      <c r="AA618" s="512"/>
      <c r="AB618" s="512"/>
      <c r="AC618" s="512"/>
    </row>
    <row r="619">
      <c r="A619" s="512"/>
      <c r="B619" s="512"/>
      <c r="C619" s="512"/>
      <c r="D619" s="512"/>
      <c r="E619" s="512"/>
      <c r="F619" s="512"/>
      <c r="G619" s="512"/>
      <c r="H619" s="512"/>
      <c r="I619" s="512"/>
      <c r="J619" s="512"/>
      <c r="K619" s="512"/>
      <c r="L619" s="512"/>
      <c r="M619" s="512"/>
      <c r="N619" s="512"/>
      <c r="O619" s="512"/>
      <c r="P619" s="156"/>
      <c r="Q619" s="512"/>
      <c r="R619" s="512"/>
      <c r="S619" s="512"/>
      <c r="T619" s="512"/>
      <c r="U619" s="512"/>
      <c r="V619" s="512"/>
      <c r="W619" s="512"/>
      <c r="X619" s="512"/>
      <c r="Y619" s="512"/>
      <c r="Z619" s="512"/>
      <c r="AA619" s="512"/>
      <c r="AB619" s="512"/>
      <c r="AC619" s="512"/>
    </row>
    <row r="620">
      <c r="A620" s="512"/>
      <c r="B620" s="512"/>
      <c r="C620" s="512"/>
      <c r="D620" s="512"/>
      <c r="E620" s="512"/>
      <c r="F620" s="512"/>
      <c r="G620" s="512"/>
      <c r="H620" s="512"/>
      <c r="I620" s="512"/>
      <c r="J620" s="512"/>
      <c r="K620" s="512"/>
      <c r="L620" s="512"/>
      <c r="M620" s="512"/>
      <c r="N620" s="512"/>
      <c r="O620" s="512"/>
      <c r="P620" s="156"/>
      <c r="Q620" s="512"/>
      <c r="R620" s="512"/>
      <c r="S620" s="512"/>
      <c r="T620" s="512"/>
      <c r="U620" s="512"/>
      <c r="V620" s="512"/>
      <c r="W620" s="512"/>
      <c r="X620" s="512"/>
      <c r="Y620" s="512"/>
      <c r="Z620" s="512"/>
      <c r="AA620" s="512"/>
      <c r="AB620" s="512"/>
      <c r="AC620" s="512"/>
    </row>
    <row r="621">
      <c r="A621" s="512"/>
      <c r="B621" s="512"/>
      <c r="C621" s="512"/>
      <c r="D621" s="512"/>
      <c r="E621" s="512"/>
      <c r="F621" s="512"/>
      <c r="G621" s="512"/>
      <c r="H621" s="512"/>
      <c r="I621" s="512"/>
      <c r="J621" s="512"/>
      <c r="K621" s="512"/>
      <c r="L621" s="512"/>
      <c r="M621" s="512"/>
      <c r="N621" s="512"/>
      <c r="O621" s="512"/>
      <c r="P621" s="156"/>
      <c r="Q621" s="512"/>
      <c r="R621" s="512"/>
      <c r="S621" s="512"/>
      <c r="T621" s="512"/>
      <c r="U621" s="512"/>
      <c r="V621" s="512"/>
      <c r="W621" s="512"/>
      <c r="X621" s="512"/>
      <c r="Y621" s="512"/>
      <c r="Z621" s="512"/>
      <c r="AA621" s="512"/>
      <c r="AB621" s="512"/>
      <c r="AC621" s="512"/>
    </row>
    <row r="622">
      <c r="A622" s="512"/>
      <c r="B622" s="512"/>
      <c r="C622" s="512"/>
      <c r="D622" s="512"/>
      <c r="E622" s="512"/>
      <c r="F622" s="512"/>
      <c r="G622" s="512"/>
      <c r="H622" s="512"/>
      <c r="I622" s="512"/>
      <c r="J622" s="512"/>
      <c r="K622" s="512"/>
      <c r="L622" s="512"/>
      <c r="M622" s="512"/>
      <c r="N622" s="512"/>
      <c r="O622" s="512"/>
      <c r="P622" s="156"/>
      <c r="Q622" s="512"/>
      <c r="R622" s="512"/>
      <c r="S622" s="512"/>
      <c r="T622" s="512"/>
      <c r="U622" s="512"/>
      <c r="V622" s="512"/>
      <c r="W622" s="512"/>
      <c r="X622" s="512"/>
      <c r="Y622" s="512"/>
      <c r="Z622" s="512"/>
      <c r="AA622" s="512"/>
      <c r="AB622" s="512"/>
      <c r="AC622" s="512"/>
    </row>
    <row r="623">
      <c r="A623" s="512"/>
      <c r="B623" s="512"/>
      <c r="C623" s="512"/>
      <c r="D623" s="512"/>
      <c r="E623" s="512"/>
      <c r="F623" s="512"/>
      <c r="G623" s="512"/>
      <c r="H623" s="512"/>
      <c r="I623" s="512"/>
      <c r="J623" s="512"/>
      <c r="K623" s="512"/>
      <c r="L623" s="512"/>
      <c r="M623" s="512"/>
      <c r="N623" s="512"/>
      <c r="O623" s="512"/>
      <c r="P623" s="156"/>
      <c r="Q623" s="512"/>
      <c r="R623" s="512"/>
      <c r="S623" s="512"/>
      <c r="T623" s="512"/>
      <c r="U623" s="512"/>
      <c r="V623" s="512"/>
      <c r="W623" s="512"/>
      <c r="X623" s="512"/>
      <c r="Y623" s="512"/>
      <c r="Z623" s="512"/>
      <c r="AA623" s="512"/>
      <c r="AB623" s="512"/>
      <c r="AC623" s="512"/>
    </row>
    <row r="624">
      <c r="A624" s="512"/>
      <c r="B624" s="512"/>
      <c r="C624" s="512"/>
      <c r="D624" s="512"/>
      <c r="E624" s="512"/>
      <c r="F624" s="512"/>
      <c r="G624" s="512"/>
      <c r="H624" s="512"/>
      <c r="I624" s="512"/>
      <c r="J624" s="512"/>
      <c r="K624" s="512"/>
      <c r="L624" s="512"/>
      <c r="M624" s="512"/>
      <c r="N624" s="512"/>
      <c r="O624" s="512"/>
      <c r="P624" s="156"/>
      <c r="Q624" s="512"/>
      <c r="R624" s="512"/>
      <c r="S624" s="512"/>
      <c r="T624" s="512"/>
      <c r="U624" s="512"/>
      <c r="V624" s="512"/>
      <c r="W624" s="512"/>
      <c r="X624" s="512"/>
      <c r="Y624" s="512"/>
      <c r="Z624" s="512"/>
      <c r="AA624" s="512"/>
      <c r="AB624" s="512"/>
      <c r="AC624" s="512"/>
    </row>
    <row r="625">
      <c r="A625" s="512"/>
      <c r="B625" s="512"/>
      <c r="C625" s="512"/>
      <c r="D625" s="512"/>
      <c r="E625" s="512"/>
      <c r="F625" s="512"/>
      <c r="G625" s="512"/>
      <c r="H625" s="512"/>
      <c r="I625" s="512"/>
      <c r="J625" s="512"/>
      <c r="K625" s="512"/>
      <c r="L625" s="512"/>
      <c r="M625" s="512"/>
      <c r="N625" s="512"/>
      <c r="O625" s="512"/>
      <c r="P625" s="156"/>
      <c r="Q625" s="512"/>
      <c r="R625" s="512"/>
      <c r="S625" s="512"/>
      <c r="T625" s="512"/>
      <c r="U625" s="512"/>
      <c r="V625" s="512"/>
      <c r="W625" s="512"/>
      <c r="X625" s="512"/>
      <c r="Y625" s="512"/>
      <c r="Z625" s="512"/>
      <c r="AA625" s="512"/>
      <c r="AB625" s="512"/>
      <c r="AC625" s="512"/>
    </row>
    <row r="626">
      <c r="A626" s="512"/>
      <c r="B626" s="512"/>
      <c r="C626" s="512"/>
      <c r="D626" s="512"/>
      <c r="E626" s="512"/>
      <c r="F626" s="512"/>
      <c r="G626" s="512"/>
      <c r="H626" s="512"/>
      <c r="I626" s="512"/>
      <c r="J626" s="512"/>
      <c r="K626" s="512"/>
      <c r="L626" s="512"/>
      <c r="M626" s="512"/>
      <c r="N626" s="512"/>
      <c r="O626" s="512"/>
      <c r="P626" s="156"/>
      <c r="Q626" s="512"/>
      <c r="R626" s="512"/>
      <c r="S626" s="512"/>
      <c r="T626" s="512"/>
      <c r="U626" s="512"/>
      <c r="V626" s="512"/>
      <c r="W626" s="512"/>
      <c r="X626" s="512"/>
      <c r="Y626" s="512"/>
      <c r="Z626" s="512"/>
      <c r="AA626" s="512"/>
      <c r="AB626" s="512"/>
      <c r="AC626" s="512"/>
    </row>
    <row r="627">
      <c r="A627" s="512"/>
      <c r="B627" s="512"/>
      <c r="C627" s="512"/>
      <c r="D627" s="512"/>
      <c r="E627" s="512"/>
      <c r="F627" s="512"/>
      <c r="G627" s="512"/>
      <c r="H627" s="512"/>
      <c r="I627" s="512"/>
      <c r="J627" s="512"/>
      <c r="K627" s="512"/>
      <c r="L627" s="512"/>
      <c r="M627" s="512"/>
      <c r="N627" s="512"/>
      <c r="O627" s="512"/>
      <c r="P627" s="156"/>
      <c r="Q627" s="512"/>
      <c r="R627" s="512"/>
      <c r="S627" s="512"/>
      <c r="T627" s="512"/>
      <c r="U627" s="512"/>
      <c r="V627" s="512"/>
      <c r="W627" s="512"/>
      <c r="X627" s="512"/>
      <c r="Y627" s="512"/>
      <c r="Z627" s="512"/>
      <c r="AA627" s="512"/>
      <c r="AB627" s="512"/>
      <c r="AC627" s="512"/>
    </row>
    <row r="628">
      <c r="A628" s="512"/>
      <c r="B628" s="512"/>
      <c r="C628" s="512"/>
      <c r="D628" s="512"/>
      <c r="E628" s="512"/>
      <c r="F628" s="512"/>
      <c r="G628" s="512"/>
      <c r="H628" s="512"/>
      <c r="I628" s="512"/>
      <c r="J628" s="512"/>
      <c r="K628" s="512"/>
      <c r="L628" s="512"/>
      <c r="M628" s="512"/>
      <c r="N628" s="512"/>
      <c r="O628" s="512"/>
      <c r="P628" s="156"/>
      <c r="Q628" s="512"/>
      <c r="R628" s="512"/>
      <c r="S628" s="512"/>
      <c r="T628" s="512"/>
      <c r="U628" s="512"/>
      <c r="V628" s="512"/>
      <c r="W628" s="512"/>
      <c r="X628" s="512"/>
      <c r="Y628" s="512"/>
      <c r="Z628" s="512"/>
      <c r="AA628" s="512"/>
      <c r="AB628" s="512"/>
      <c r="AC628" s="512"/>
    </row>
    <row r="629">
      <c r="A629" s="512"/>
      <c r="B629" s="512"/>
      <c r="C629" s="512"/>
      <c r="D629" s="512"/>
      <c r="E629" s="512"/>
      <c r="F629" s="512"/>
      <c r="G629" s="512"/>
      <c r="H629" s="512"/>
      <c r="I629" s="512"/>
      <c r="J629" s="512"/>
      <c r="K629" s="512"/>
      <c r="L629" s="512"/>
      <c r="M629" s="512"/>
      <c r="N629" s="512"/>
      <c r="O629" s="512"/>
      <c r="P629" s="156"/>
      <c r="Q629" s="512"/>
      <c r="R629" s="512"/>
      <c r="S629" s="512"/>
      <c r="T629" s="512"/>
      <c r="U629" s="512"/>
      <c r="V629" s="512"/>
      <c r="W629" s="512"/>
      <c r="X629" s="512"/>
      <c r="Y629" s="512"/>
      <c r="Z629" s="512"/>
      <c r="AA629" s="512"/>
      <c r="AB629" s="512"/>
      <c r="AC629" s="512"/>
    </row>
    <row r="630">
      <c r="A630" s="512"/>
      <c r="B630" s="512"/>
      <c r="C630" s="512"/>
      <c r="D630" s="512"/>
      <c r="E630" s="512"/>
      <c r="F630" s="512"/>
      <c r="G630" s="512"/>
      <c r="H630" s="512"/>
      <c r="I630" s="512"/>
      <c r="J630" s="512"/>
      <c r="K630" s="512"/>
      <c r="L630" s="512"/>
      <c r="M630" s="512"/>
      <c r="N630" s="512"/>
      <c r="O630" s="512"/>
      <c r="P630" s="156"/>
      <c r="Q630" s="512"/>
      <c r="R630" s="512"/>
      <c r="S630" s="512"/>
      <c r="T630" s="512"/>
      <c r="U630" s="512"/>
      <c r="V630" s="512"/>
      <c r="W630" s="512"/>
      <c r="X630" s="512"/>
      <c r="Y630" s="512"/>
      <c r="Z630" s="512"/>
      <c r="AA630" s="512"/>
      <c r="AB630" s="512"/>
      <c r="AC630" s="512"/>
    </row>
    <row r="631">
      <c r="A631" s="512"/>
      <c r="B631" s="512"/>
      <c r="C631" s="512"/>
      <c r="D631" s="512"/>
      <c r="E631" s="512"/>
      <c r="F631" s="512"/>
      <c r="G631" s="512"/>
      <c r="H631" s="512"/>
      <c r="I631" s="512"/>
      <c r="J631" s="512"/>
      <c r="K631" s="512"/>
      <c r="L631" s="512"/>
      <c r="M631" s="512"/>
      <c r="N631" s="512"/>
      <c r="O631" s="512"/>
      <c r="P631" s="156"/>
      <c r="Q631" s="512"/>
      <c r="R631" s="512"/>
      <c r="S631" s="512"/>
      <c r="T631" s="512"/>
      <c r="U631" s="512"/>
      <c r="V631" s="512"/>
      <c r="W631" s="512"/>
      <c r="X631" s="512"/>
      <c r="Y631" s="512"/>
      <c r="Z631" s="512"/>
      <c r="AA631" s="512"/>
      <c r="AB631" s="512"/>
      <c r="AC631" s="512"/>
    </row>
    <row r="632">
      <c r="A632" s="512"/>
      <c r="B632" s="512"/>
      <c r="C632" s="512"/>
      <c r="D632" s="512"/>
      <c r="E632" s="512"/>
      <c r="F632" s="512"/>
      <c r="G632" s="512"/>
      <c r="H632" s="512"/>
      <c r="I632" s="512"/>
      <c r="J632" s="512"/>
      <c r="K632" s="512"/>
      <c r="L632" s="512"/>
      <c r="M632" s="512"/>
      <c r="N632" s="512"/>
      <c r="O632" s="512"/>
      <c r="P632" s="156"/>
      <c r="Q632" s="512"/>
      <c r="R632" s="512"/>
      <c r="S632" s="512"/>
      <c r="T632" s="512"/>
      <c r="U632" s="512"/>
      <c r="V632" s="512"/>
      <c r="W632" s="512"/>
      <c r="X632" s="512"/>
      <c r="Y632" s="512"/>
      <c r="Z632" s="512"/>
      <c r="AA632" s="512"/>
      <c r="AB632" s="512"/>
      <c r="AC632" s="512"/>
    </row>
    <row r="633">
      <c r="A633" s="512"/>
      <c r="B633" s="512"/>
      <c r="C633" s="512"/>
      <c r="D633" s="512"/>
      <c r="E633" s="512"/>
      <c r="F633" s="512"/>
      <c r="G633" s="512"/>
      <c r="H633" s="512"/>
      <c r="I633" s="512"/>
      <c r="J633" s="512"/>
      <c r="K633" s="512"/>
      <c r="L633" s="512"/>
      <c r="M633" s="512"/>
      <c r="N633" s="512"/>
      <c r="O633" s="512"/>
      <c r="P633" s="156"/>
      <c r="Q633" s="512"/>
      <c r="R633" s="512"/>
      <c r="S633" s="512"/>
      <c r="T633" s="512"/>
      <c r="U633" s="512"/>
      <c r="V633" s="512"/>
      <c r="W633" s="512"/>
      <c r="X633" s="512"/>
      <c r="Y633" s="512"/>
      <c r="Z633" s="512"/>
      <c r="AA633" s="512"/>
      <c r="AB633" s="512"/>
      <c r="AC633" s="512"/>
    </row>
    <row r="634">
      <c r="A634" s="512"/>
      <c r="B634" s="512"/>
      <c r="C634" s="512"/>
      <c r="D634" s="512"/>
      <c r="E634" s="512"/>
      <c r="F634" s="512"/>
      <c r="G634" s="512"/>
      <c r="H634" s="512"/>
      <c r="I634" s="512"/>
      <c r="J634" s="512"/>
      <c r="K634" s="512"/>
      <c r="L634" s="512"/>
      <c r="M634" s="512"/>
      <c r="N634" s="512"/>
      <c r="O634" s="512"/>
      <c r="P634" s="156"/>
      <c r="Q634" s="512"/>
      <c r="R634" s="512"/>
      <c r="S634" s="512"/>
      <c r="T634" s="512"/>
      <c r="U634" s="512"/>
      <c r="V634" s="512"/>
      <c r="W634" s="512"/>
      <c r="X634" s="512"/>
      <c r="Y634" s="512"/>
      <c r="Z634" s="512"/>
      <c r="AA634" s="512"/>
      <c r="AB634" s="512"/>
      <c r="AC634" s="512"/>
    </row>
    <row r="635">
      <c r="A635" s="512"/>
      <c r="B635" s="512"/>
      <c r="C635" s="512"/>
      <c r="D635" s="512"/>
      <c r="E635" s="512"/>
      <c r="F635" s="512"/>
      <c r="G635" s="512"/>
      <c r="H635" s="512"/>
      <c r="I635" s="512"/>
      <c r="J635" s="512"/>
      <c r="K635" s="512"/>
      <c r="L635" s="512"/>
      <c r="M635" s="512"/>
      <c r="N635" s="512"/>
      <c r="O635" s="512"/>
      <c r="P635" s="156"/>
      <c r="Q635" s="512"/>
      <c r="R635" s="512"/>
      <c r="S635" s="512"/>
      <c r="T635" s="512"/>
      <c r="U635" s="512"/>
      <c r="V635" s="512"/>
      <c r="W635" s="512"/>
      <c r="X635" s="512"/>
      <c r="Y635" s="512"/>
      <c r="Z635" s="512"/>
      <c r="AA635" s="512"/>
      <c r="AB635" s="512"/>
      <c r="AC635" s="512"/>
    </row>
    <row r="636">
      <c r="A636" s="512"/>
      <c r="B636" s="512"/>
      <c r="C636" s="512"/>
      <c r="D636" s="512"/>
      <c r="E636" s="512"/>
      <c r="F636" s="512"/>
      <c r="G636" s="512"/>
      <c r="H636" s="512"/>
      <c r="I636" s="512"/>
      <c r="J636" s="512"/>
      <c r="K636" s="512"/>
      <c r="L636" s="512"/>
      <c r="M636" s="512"/>
      <c r="N636" s="512"/>
      <c r="O636" s="512"/>
      <c r="P636" s="156"/>
      <c r="Q636" s="512"/>
      <c r="R636" s="512"/>
      <c r="S636" s="512"/>
      <c r="T636" s="512"/>
      <c r="U636" s="512"/>
      <c r="V636" s="512"/>
      <c r="W636" s="512"/>
      <c r="X636" s="512"/>
      <c r="Y636" s="512"/>
      <c r="Z636" s="512"/>
      <c r="AA636" s="512"/>
      <c r="AB636" s="512"/>
      <c r="AC636" s="512"/>
    </row>
    <row r="637">
      <c r="A637" s="512"/>
      <c r="B637" s="512"/>
      <c r="C637" s="512"/>
      <c r="D637" s="512"/>
      <c r="E637" s="512"/>
      <c r="F637" s="512"/>
      <c r="G637" s="512"/>
      <c r="H637" s="512"/>
      <c r="I637" s="512"/>
      <c r="J637" s="512"/>
      <c r="K637" s="512"/>
      <c r="L637" s="512"/>
      <c r="M637" s="512"/>
      <c r="N637" s="512"/>
      <c r="O637" s="512"/>
      <c r="P637" s="156"/>
      <c r="Q637" s="512"/>
      <c r="R637" s="512"/>
      <c r="S637" s="512"/>
      <c r="T637" s="512"/>
      <c r="U637" s="512"/>
      <c r="V637" s="512"/>
      <c r="W637" s="512"/>
      <c r="X637" s="512"/>
      <c r="Y637" s="512"/>
      <c r="Z637" s="512"/>
      <c r="AA637" s="512"/>
      <c r="AB637" s="512"/>
      <c r="AC637" s="512"/>
    </row>
    <row r="638">
      <c r="A638" s="512"/>
      <c r="B638" s="512"/>
      <c r="C638" s="512"/>
      <c r="D638" s="512"/>
      <c r="E638" s="512"/>
      <c r="F638" s="512"/>
      <c r="G638" s="512"/>
      <c r="H638" s="512"/>
      <c r="I638" s="512"/>
      <c r="J638" s="512"/>
      <c r="K638" s="512"/>
      <c r="L638" s="512"/>
      <c r="M638" s="512"/>
      <c r="N638" s="512"/>
      <c r="O638" s="512"/>
      <c r="P638" s="156"/>
      <c r="Q638" s="512"/>
      <c r="R638" s="512"/>
      <c r="S638" s="512"/>
      <c r="T638" s="512"/>
      <c r="U638" s="512"/>
      <c r="V638" s="512"/>
      <c r="W638" s="512"/>
      <c r="X638" s="512"/>
      <c r="Y638" s="512"/>
      <c r="Z638" s="512"/>
      <c r="AA638" s="512"/>
      <c r="AB638" s="512"/>
      <c r="AC638" s="512"/>
    </row>
    <row r="639">
      <c r="A639" s="512"/>
      <c r="B639" s="512"/>
      <c r="C639" s="512"/>
      <c r="D639" s="512"/>
      <c r="E639" s="512"/>
      <c r="F639" s="512"/>
      <c r="G639" s="512"/>
      <c r="H639" s="512"/>
      <c r="I639" s="512"/>
      <c r="J639" s="512"/>
      <c r="K639" s="512"/>
      <c r="L639" s="512"/>
      <c r="M639" s="512"/>
      <c r="N639" s="512"/>
      <c r="O639" s="512"/>
      <c r="P639" s="156"/>
      <c r="Q639" s="512"/>
      <c r="R639" s="512"/>
      <c r="S639" s="512"/>
      <c r="T639" s="512"/>
      <c r="U639" s="512"/>
      <c r="V639" s="512"/>
      <c r="W639" s="512"/>
      <c r="X639" s="512"/>
      <c r="Y639" s="512"/>
      <c r="Z639" s="512"/>
      <c r="AA639" s="512"/>
      <c r="AB639" s="512"/>
      <c r="AC639" s="512"/>
    </row>
    <row r="640">
      <c r="A640" s="512"/>
      <c r="B640" s="512"/>
      <c r="C640" s="512"/>
      <c r="D640" s="512"/>
      <c r="E640" s="512"/>
      <c r="F640" s="512"/>
      <c r="G640" s="512"/>
      <c r="H640" s="512"/>
      <c r="I640" s="512"/>
      <c r="J640" s="512"/>
      <c r="K640" s="512"/>
      <c r="L640" s="512"/>
      <c r="M640" s="512"/>
      <c r="N640" s="512"/>
      <c r="O640" s="512"/>
      <c r="P640" s="156"/>
      <c r="Q640" s="512"/>
      <c r="R640" s="512"/>
      <c r="S640" s="512"/>
      <c r="T640" s="512"/>
      <c r="U640" s="512"/>
      <c r="V640" s="512"/>
      <c r="W640" s="512"/>
      <c r="X640" s="512"/>
      <c r="Y640" s="512"/>
      <c r="Z640" s="512"/>
      <c r="AA640" s="512"/>
      <c r="AB640" s="512"/>
      <c r="AC640" s="512"/>
    </row>
    <row r="641">
      <c r="A641" s="512"/>
      <c r="B641" s="512"/>
      <c r="C641" s="512"/>
      <c r="D641" s="512"/>
      <c r="E641" s="512"/>
      <c r="F641" s="512"/>
      <c r="G641" s="512"/>
      <c r="H641" s="512"/>
      <c r="I641" s="512"/>
      <c r="J641" s="512"/>
      <c r="K641" s="512"/>
      <c r="L641" s="512"/>
      <c r="M641" s="512"/>
      <c r="N641" s="512"/>
      <c r="O641" s="512"/>
      <c r="P641" s="156"/>
      <c r="Q641" s="512"/>
      <c r="R641" s="512"/>
      <c r="S641" s="512"/>
      <c r="T641" s="512"/>
      <c r="U641" s="512"/>
      <c r="V641" s="512"/>
      <c r="W641" s="512"/>
      <c r="X641" s="512"/>
      <c r="Y641" s="512"/>
      <c r="Z641" s="512"/>
      <c r="AA641" s="512"/>
      <c r="AB641" s="512"/>
      <c r="AC641" s="512"/>
    </row>
    <row r="642">
      <c r="A642" s="512"/>
      <c r="B642" s="512"/>
      <c r="C642" s="512"/>
      <c r="D642" s="512"/>
      <c r="E642" s="512"/>
      <c r="F642" s="512"/>
      <c r="G642" s="512"/>
      <c r="H642" s="512"/>
      <c r="I642" s="512"/>
      <c r="J642" s="512"/>
      <c r="K642" s="512"/>
      <c r="L642" s="512"/>
      <c r="M642" s="512"/>
      <c r="N642" s="512"/>
      <c r="O642" s="512"/>
      <c r="P642" s="156"/>
      <c r="Q642" s="512"/>
      <c r="R642" s="512"/>
      <c r="S642" s="512"/>
      <c r="T642" s="512"/>
      <c r="U642" s="512"/>
      <c r="V642" s="512"/>
      <c r="W642" s="512"/>
      <c r="X642" s="512"/>
      <c r="Y642" s="512"/>
      <c r="Z642" s="512"/>
      <c r="AA642" s="512"/>
      <c r="AB642" s="512"/>
      <c r="AC642" s="512"/>
    </row>
    <row r="643">
      <c r="A643" s="512"/>
      <c r="B643" s="512"/>
      <c r="C643" s="512"/>
      <c r="D643" s="512"/>
      <c r="E643" s="512"/>
      <c r="F643" s="512"/>
      <c r="G643" s="512"/>
      <c r="H643" s="512"/>
      <c r="I643" s="512"/>
      <c r="J643" s="512"/>
      <c r="K643" s="512"/>
      <c r="L643" s="512"/>
      <c r="M643" s="512"/>
      <c r="N643" s="512"/>
      <c r="O643" s="512"/>
      <c r="P643" s="156"/>
      <c r="Q643" s="512"/>
      <c r="R643" s="512"/>
      <c r="S643" s="512"/>
      <c r="T643" s="512"/>
      <c r="U643" s="512"/>
      <c r="V643" s="512"/>
      <c r="W643" s="512"/>
      <c r="X643" s="512"/>
      <c r="Y643" s="512"/>
      <c r="Z643" s="512"/>
      <c r="AA643" s="512"/>
      <c r="AB643" s="512"/>
      <c r="AC643" s="512"/>
    </row>
    <row r="644">
      <c r="A644" s="512"/>
      <c r="B644" s="512"/>
      <c r="C644" s="512"/>
      <c r="D644" s="512"/>
      <c r="E644" s="512"/>
      <c r="F644" s="512"/>
      <c r="G644" s="512"/>
      <c r="H644" s="512"/>
      <c r="I644" s="512"/>
      <c r="J644" s="512"/>
      <c r="K644" s="512"/>
      <c r="L644" s="512"/>
      <c r="M644" s="512"/>
      <c r="N644" s="512"/>
      <c r="O644" s="512"/>
      <c r="P644" s="156"/>
      <c r="Q644" s="512"/>
      <c r="R644" s="512"/>
      <c r="S644" s="512"/>
      <c r="T644" s="512"/>
      <c r="U644" s="512"/>
      <c r="V644" s="512"/>
      <c r="W644" s="512"/>
      <c r="X644" s="512"/>
      <c r="Y644" s="512"/>
      <c r="Z644" s="512"/>
      <c r="AA644" s="512"/>
      <c r="AB644" s="512"/>
      <c r="AC644" s="512"/>
    </row>
    <row r="645">
      <c r="A645" s="512"/>
      <c r="B645" s="512"/>
      <c r="C645" s="512"/>
      <c r="D645" s="512"/>
      <c r="E645" s="512"/>
      <c r="F645" s="512"/>
      <c r="G645" s="512"/>
      <c r="H645" s="512"/>
      <c r="I645" s="512"/>
      <c r="J645" s="512"/>
      <c r="K645" s="512"/>
      <c r="L645" s="512"/>
      <c r="M645" s="512"/>
      <c r="N645" s="512"/>
      <c r="O645" s="512"/>
      <c r="P645" s="156"/>
      <c r="Q645" s="512"/>
      <c r="R645" s="512"/>
      <c r="S645" s="512"/>
      <c r="T645" s="512"/>
      <c r="U645" s="512"/>
      <c r="V645" s="512"/>
      <c r="W645" s="512"/>
      <c r="X645" s="512"/>
      <c r="Y645" s="512"/>
      <c r="Z645" s="512"/>
      <c r="AA645" s="512"/>
      <c r="AB645" s="512"/>
      <c r="AC645" s="512"/>
    </row>
    <row r="646">
      <c r="A646" s="512"/>
      <c r="B646" s="512"/>
      <c r="C646" s="512"/>
      <c r="D646" s="512"/>
      <c r="E646" s="512"/>
      <c r="F646" s="512"/>
      <c r="G646" s="512"/>
      <c r="H646" s="512"/>
      <c r="I646" s="512"/>
      <c r="J646" s="512"/>
      <c r="K646" s="512"/>
      <c r="L646" s="512"/>
      <c r="M646" s="512"/>
      <c r="N646" s="512"/>
      <c r="O646" s="512"/>
      <c r="P646" s="156"/>
      <c r="Q646" s="512"/>
      <c r="R646" s="512"/>
      <c r="S646" s="512"/>
      <c r="T646" s="512"/>
      <c r="U646" s="512"/>
      <c r="V646" s="512"/>
      <c r="W646" s="512"/>
      <c r="X646" s="512"/>
      <c r="Y646" s="512"/>
      <c r="Z646" s="512"/>
      <c r="AA646" s="512"/>
      <c r="AB646" s="512"/>
      <c r="AC646" s="512"/>
    </row>
    <row r="647">
      <c r="A647" s="512"/>
      <c r="B647" s="512"/>
      <c r="C647" s="512"/>
      <c r="D647" s="512"/>
      <c r="E647" s="512"/>
      <c r="F647" s="512"/>
      <c r="G647" s="512"/>
      <c r="H647" s="512"/>
      <c r="I647" s="512"/>
      <c r="J647" s="512"/>
      <c r="K647" s="512"/>
      <c r="L647" s="512"/>
      <c r="M647" s="512"/>
      <c r="N647" s="512"/>
      <c r="O647" s="512"/>
      <c r="P647" s="156"/>
      <c r="Q647" s="512"/>
      <c r="R647" s="512"/>
      <c r="S647" s="512"/>
      <c r="T647" s="512"/>
      <c r="U647" s="512"/>
      <c r="V647" s="512"/>
      <c r="W647" s="512"/>
      <c r="X647" s="512"/>
      <c r="Y647" s="512"/>
      <c r="Z647" s="512"/>
      <c r="AA647" s="512"/>
      <c r="AB647" s="512"/>
      <c r="AC647" s="512"/>
    </row>
    <row r="648">
      <c r="A648" s="512"/>
      <c r="B648" s="512"/>
      <c r="C648" s="512"/>
      <c r="D648" s="512"/>
      <c r="E648" s="512"/>
      <c r="F648" s="512"/>
      <c r="G648" s="512"/>
      <c r="H648" s="512"/>
      <c r="I648" s="512"/>
      <c r="J648" s="512"/>
      <c r="K648" s="512"/>
      <c r="L648" s="512"/>
      <c r="M648" s="512"/>
      <c r="N648" s="512"/>
      <c r="O648" s="512"/>
      <c r="P648" s="156"/>
      <c r="Q648" s="512"/>
      <c r="R648" s="512"/>
      <c r="S648" s="512"/>
      <c r="T648" s="512"/>
      <c r="U648" s="512"/>
      <c r="V648" s="512"/>
      <c r="W648" s="512"/>
      <c r="X648" s="512"/>
      <c r="Y648" s="512"/>
      <c r="Z648" s="512"/>
      <c r="AA648" s="512"/>
      <c r="AB648" s="512"/>
      <c r="AC648" s="512"/>
    </row>
    <row r="649">
      <c r="A649" s="512"/>
      <c r="B649" s="512"/>
      <c r="C649" s="512"/>
      <c r="D649" s="512"/>
      <c r="E649" s="512"/>
      <c r="F649" s="512"/>
      <c r="G649" s="512"/>
      <c r="H649" s="512"/>
      <c r="I649" s="512"/>
      <c r="J649" s="512"/>
      <c r="K649" s="512"/>
      <c r="L649" s="512"/>
      <c r="M649" s="512"/>
      <c r="N649" s="512"/>
      <c r="O649" s="512"/>
      <c r="P649" s="156"/>
      <c r="Q649" s="512"/>
      <c r="R649" s="512"/>
      <c r="S649" s="512"/>
      <c r="T649" s="512"/>
      <c r="U649" s="512"/>
      <c r="V649" s="512"/>
      <c r="W649" s="512"/>
      <c r="X649" s="512"/>
      <c r="Y649" s="512"/>
      <c r="Z649" s="512"/>
      <c r="AA649" s="512"/>
      <c r="AB649" s="512"/>
      <c r="AC649" s="512"/>
    </row>
    <row r="650">
      <c r="A650" s="512"/>
      <c r="B650" s="512"/>
      <c r="C650" s="512"/>
      <c r="D650" s="512"/>
      <c r="E650" s="512"/>
      <c r="F650" s="512"/>
      <c r="G650" s="512"/>
      <c r="H650" s="512"/>
      <c r="I650" s="512"/>
      <c r="J650" s="512"/>
      <c r="K650" s="512"/>
      <c r="L650" s="512"/>
      <c r="M650" s="512"/>
      <c r="N650" s="512"/>
      <c r="O650" s="512"/>
      <c r="P650" s="156"/>
      <c r="Q650" s="512"/>
      <c r="R650" s="512"/>
      <c r="S650" s="512"/>
      <c r="T650" s="512"/>
      <c r="U650" s="512"/>
      <c r="V650" s="512"/>
      <c r="W650" s="512"/>
      <c r="X650" s="512"/>
      <c r="Y650" s="512"/>
      <c r="Z650" s="512"/>
      <c r="AA650" s="512"/>
      <c r="AB650" s="512"/>
      <c r="AC650" s="512"/>
    </row>
    <row r="651">
      <c r="A651" s="512"/>
      <c r="B651" s="512"/>
      <c r="C651" s="512"/>
      <c r="D651" s="512"/>
      <c r="E651" s="512"/>
      <c r="F651" s="512"/>
      <c r="G651" s="512"/>
      <c r="H651" s="512"/>
      <c r="I651" s="512"/>
      <c r="J651" s="512"/>
      <c r="K651" s="512"/>
      <c r="L651" s="512"/>
      <c r="M651" s="512"/>
      <c r="N651" s="512"/>
      <c r="O651" s="512"/>
      <c r="P651" s="156"/>
      <c r="Q651" s="512"/>
      <c r="R651" s="512"/>
      <c r="S651" s="512"/>
      <c r="T651" s="512"/>
      <c r="U651" s="512"/>
      <c r="V651" s="512"/>
      <c r="W651" s="512"/>
      <c r="X651" s="512"/>
      <c r="Y651" s="512"/>
      <c r="Z651" s="512"/>
      <c r="AA651" s="512"/>
      <c r="AB651" s="512"/>
      <c r="AC651" s="512"/>
    </row>
    <row r="652">
      <c r="A652" s="512"/>
      <c r="B652" s="512"/>
      <c r="C652" s="512"/>
      <c r="D652" s="512"/>
      <c r="E652" s="512"/>
      <c r="F652" s="512"/>
      <c r="G652" s="512"/>
      <c r="H652" s="512"/>
      <c r="I652" s="512"/>
      <c r="J652" s="512"/>
      <c r="K652" s="512"/>
      <c r="L652" s="512"/>
      <c r="M652" s="512"/>
      <c r="N652" s="512"/>
      <c r="O652" s="512"/>
      <c r="P652" s="156"/>
      <c r="Q652" s="512"/>
      <c r="R652" s="512"/>
      <c r="S652" s="512"/>
      <c r="T652" s="512"/>
      <c r="U652" s="512"/>
      <c r="V652" s="512"/>
      <c r="W652" s="512"/>
      <c r="X652" s="512"/>
      <c r="Y652" s="512"/>
      <c r="Z652" s="512"/>
      <c r="AA652" s="512"/>
      <c r="AB652" s="512"/>
      <c r="AC652" s="512"/>
    </row>
    <row r="653">
      <c r="A653" s="512"/>
      <c r="B653" s="512"/>
      <c r="C653" s="512"/>
      <c r="D653" s="512"/>
      <c r="E653" s="512"/>
      <c r="F653" s="512"/>
      <c r="G653" s="512"/>
      <c r="H653" s="512"/>
      <c r="I653" s="512"/>
      <c r="J653" s="512"/>
      <c r="K653" s="512"/>
      <c r="L653" s="512"/>
      <c r="M653" s="512"/>
      <c r="N653" s="512"/>
      <c r="O653" s="512"/>
      <c r="P653" s="156"/>
      <c r="Q653" s="512"/>
      <c r="R653" s="512"/>
      <c r="S653" s="512"/>
      <c r="T653" s="512"/>
      <c r="U653" s="512"/>
      <c r="V653" s="512"/>
      <c r="W653" s="512"/>
      <c r="X653" s="512"/>
      <c r="Y653" s="512"/>
      <c r="Z653" s="512"/>
      <c r="AA653" s="512"/>
      <c r="AB653" s="512"/>
      <c r="AC653" s="512"/>
    </row>
    <row r="654">
      <c r="A654" s="512"/>
      <c r="B654" s="512"/>
      <c r="C654" s="512"/>
      <c r="D654" s="512"/>
      <c r="E654" s="512"/>
      <c r="F654" s="512"/>
      <c r="G654" s="512"/>
      <c r="H654" s="512"/>
      <c r="I654" s="512"/>
      <c r="J654" s="512"/>
      <c r="K654" s="512"/>
      <c r="L654" s="512"/>
      <c r="M654" s="512"/>
      <c r="N654" s="512"/>
      <c r="O654" s="512"/>
      <c r="P654" s="156"/>
      <c r="Q654" s="512"/>
      <c r="R654" s="512"/>
      <c r="S654" s="512"/>
      <c r="T654" s="512"/>
      <c r="U654" s="512"/>
      <c r="V654" s="512"/>
      <c r="W654" s="512"/>
      <c r="X654" s="512"/>
      <c r="Y654" s="512"/>
      <c r="Z654" s="512"/>
      <c r="AA654" s="512"/>
      <c r="AB654" s="512"/>
      <c r="AC654" s="512"/>
    </row>
    <row r="655">
      <c r="A655" s="512"/>
      <c r="B655" s="512"/>
      <c r="C655" s="512"/>
      <c r="D655" s="512"/>
      <c r="E655" s="512"/>
      <c r="F655" s="512"/>
      <c r="G655" s="512"/>
      <c r="H655" s="512"/>
      <c r="I655" s="512"/>
      <c r="J655" s="512"/>
      <c r="K655" s="512"/>
      <c r="L655" s="512"/>
      <c r="M655" s="512"/>
      <c r="N655" s="512"/>
      <c r="O655" s="512"/>
      <c r="P655" s="156"/>
      <c r="Q655" s="512"/>
      <c r="R655" s="512"/>
      <c r="S655" s="512"/>
      <c r="T655" s="512"/>
      <c r="U655" s="512"/>
      <c r="V655" s="512"/>
      <c r="W655" s="512"/>
      <c r="X655" s="512"/>
      <c r="Y655" s="512"/>
      <c r="Z655" s="512"/>
      <c r="AA655" s="512"/>
      <c r="AB655" s="512"/>
      <c r="AC655" s="512"/>
    </row>
    <row r="656">
      <c r="A656" s="512"/>
      <c r="B656" s="512"/>
      <c r="C656" s="512"/>
      <c r="D656" s="512"/>
      <c r="E656" s="512"/>
      <c r="F656" s="512"/>
      <c r="G656" s="512"/>
      <c r="H656" s="512"/>
      <c r="I656" s="512"/>
      <c r="J656" s="512"/>
      <c r="K656" s="512"/>
      <c r="L656" s="512"/>
      <c r="M656" s="512"/>
      <c r="N656" s="512"/>
      <c r="O656" s="512"/>
      <c r="P656" s="156"/>
      <c r="Q656" s="512"/>
      <c r="R656" s="512"/>
      <c r="S656" s="512"/>
      <c r="T656" s="512"/>
      <c r="U656" s="512"/>
      <c r="V656" s="512"/>
      <c r="W656" s="512"/>
      <c r="X656" s="512"/>
      <c r="Y656" s="512"/>
      <c r="Z656" s="512"/>
      <c r="AA656" s="512"/>
      <c r="AB656" s="512"/>
      <c r="AC656" s="512"/>
    </row>
    <row r="657">
      <c r="A657" s="512"/>
      <c r="B657" s="512"/>
      <c r="C657" s="512"/>
      <c r="D657" s="512"/>
      <c r="E657" s="512"/>
      <c r="F657" s="512"/>
      <c r="G657" s="512"/>
      <c r="H657" s="512"/>
      <c r="I657" s="512"/>
      <c r="J657" s="512"/>
      <c r="K657" s="512"/>
      <c r="L657" s="512"/>
      <c r="M657" s="512"/>
      <c r="N657" s="512"/>
      <c r="O657" s="512"/>
      <c r="P657" s="156"/>
      <c r="Q657" s="512"/>
      <c r="R657" s="512"/>
      <c r="S657" s="512"/>
      <c r="T657" s="512"/>
      <c r="U657" s="512"/>
      <c r="V657" s="512"/>
      <c r="W657" s="512"/>
      <c r="X657" s="512"/>
      <c r="Y657" s="512"/>
      <c r="Z657" s="512"/>
      <c r="AA657" s="512"/>
      <c r="AB657" s="512"/>
      <c r="AC657" s="512"/>
    </row>
    <row r="658">
      <c r="A658" s="512"/>
      <c r="B658" s="512"/>
      <c r="C658" s="512"/>
      <c r="D658" s="512"/>
      <c r="E658" s="512"/>
      <c r="F658" s="512"/>
      <c r="G658" s="512"/>
      <c r="H658" s="512"/>
      <c r="I658" s="512"/>
      <c r="J658" s="512"/>
      <c r="K658" s="512"/>
      <c r="L658" s="512"/>
      <c r="M658" s="512"/>
      <c r="N658" s="512"/>
      <c r="O658" s="512"/>
      <c r="P658" s="156"/>
      <c r="Q658" s="512"/>
      <c r="R658" s="512"/>
      <c r="S658" s="512"/>
      <c r="T658" s="512"/>
      <c r="U658" s="512"/>
      <c r="V658" s="512"/>
      <c r="W658" s="512"/>
      <c r="X658" s="512"/>
      <c r="Y658" s="512"/>
      <c r="Z658" s="512"/>
      <c r="AA658" s="512"/>
      <c r="AB658" s="512"/>
      <c r="AC658" s="512"/>
    </row>
    <row r="659">
      <c r="A659" s="512"/>
      <c r="B659" s="512"/>
      <c r="C659" s="512"/>
      <c r="D659" s="512"/>
      <c r="E659" s="512"/>
      <c r="F659" s="512"/>
      <c r="G659" s="512"/>
      <c r="H659" s="512"/>
      <c r="I659" s="512"/>
      <c r="J659" s="512"/>
      <c r="K659" s="512"/>
      <c r="L659" s="512"/>
      <c r="M659" s="512"/>
      <c r="N659" s="512"/>
      <c r="O659" s="512"/>
      <c r="P659" s="156"/>
      <c r="Q659" s="512"/>
      <c r="R659" s="512"/>
      <c r="S659" s="512"/>
      <c r="T659" s="512"/>
      <c r="U659" s="512"/>
      <c r="V659" s="512"/>
      <c r="W659" s="512"/>
      <c r="X659" s="512"/>
      <c r="Y659" s="512"/>
      <c r="Z659" s="512"/>
      <c r="AA659" s="512"/>
      <c r="AB659" s="512"/>
      <c r="AC659" s="512"/>
    </row>
    <row r="660">
      <c r="A660" s="512"/>
      <c r="B660" s="512"/>
      <c r="C660" s="512"/>
      <c r="D660" s="512"/>
      <c r="E660" s="512"/>
      <c r="F660" s="512"/>
      <c r="G660" s="512"/>
      <c r="H660" s="512"/>
      <c r="I660" s="512"/>
      <c r="J660" s="512"/>
      <c r="K660" s="512"/>
      <c r="L660" s="512"/>
      <c r="M660" s="512"/>
      <c r="N660" s="512"/>
      <c r="O660" s="512"/>
      <c r="P660" s="156"/>
      <c r="Q660" s="512"/>
      <c r="R660" s="512"/>
      <c r="S660" s="512"/>
      <c r="T660" s="512"/>
      <c r="U660" s="512"/>
      <c r="V660" s="512"/>
      <c r="W660" s="512"/>
      <c r="X660" s="512"/>
      <c r="Y660" s="512"/>
      <c r="Z660" s="512"/>
      <c r="AA660" s="512"/>
      <c r="AB660" s="512"/>
      <c r="AC660" s="512"/>
    </row>
    <row r="661">
      <c r="A661" s="512"/>
      <c r="B661" s="512"/>
      <c r="C661" s="512"/>
      <c r="D661" s="512"/>
      <c r="E661" s="512"/>
      <c r="F661" s="512"/>
      <c r="G661" s="512"/>
      <c r="H661" s="512"/>
      <c r="I661" s="512"/>
      <c r="J661" s="512"/>
      <c r="K661" s="512"/>
      <c r="L661" s="512"/>
      <c r="M661" s="512"/>
      <c r="N661" s="512"/>
      <c r="O661" s="512"/>
      <c r="P661" s="156"/>
      <c r="Q661" s="512"/>
      <c r="R661" s="512"/>
      <c r="S661" s="512"/>
      <c r="T661" s="512"/>
      <c r="U661" s="512"/>
      <c r="V661" s="512"/>
      <c r="W661" s="512"/>
      <c r="X661" s="512"/>
      <c r="Y661" s="512"/>
      <c r="Z661" s="512"/>
      <c r="AA661" s="512"/>
      <c r="AB661" s="512"/>
      <c r="AC661" s="512"/>
    </row>
    <row r="662">
      <c r="A662" s="512"/>
      <c r="B662" s="512"/>
      <c r="C662" s="512"/>
      <c r="D662" s="512"/>
      <c r="E662" s="512"/>
      <c r="F662" s="512"/>
      <c r="G662" s="512"/>
      <c r="H662" s="512"/>
      <c r="I662" s="512"/>
      <c r="J662" s="512"/>
      <c r="K662" s="512"/>
      <c r="L662" s="512"/>
      <c r="M662" s="512"/>
      <c r="N662" s="512"/>
      <c r="O662" s="512"/>
      <c r="P662" s="156"/>
      <c r="Q662" s="512"/>
      <c r="R662" s="512"/>
      <c r="S662" s="512"/>
      <c r="T662" s="512"/>
      <c r="U662" s="512"/>
      <c r="V662" s="512"/>
      <c r="W662" s="512"/>
      <c r="X662" s="512"/>
      <c r="Y662" s="512"/>
      <c r="Z662" s="512"/>
      <c r="AA662" s="512"/>
      <c r="AB662" s="512"/>
      <c r="AC662" s="512"/>
    </row>
    <row r="663">
      <c r="A663" s="512"/>
      <c r="B663" s="512"/>
      <c r="C663" s="512"/>
      <c r="D663" s="512"/>
      <c r="E663" s="512"/>
      <c r="F663" s="512"/>
      <c r="G663" s="512"/>
      <c r="H663" s="512"/>
      <c r="I663" s="512"/>
      <c r="J663" s="512"/>
      <c r="K663" s="512"/>
      <c r="L663" s="512"/>
      <c r="M663" s="512"/>
      <c r="N663" s="512"/>
      <c r="O663" s="512"/>
      <c r="P663" s="156"/>
      <c r="Q663" s="512"/>
      <c r="R663" s="512"/>
      <c r="S663" s="512"/>
      <c r="T663" s="512"/>
      <c r="U663" s="512"/>
      <c r="V663" s="512"/>
      <c r="W663" s="512"/>
      <c r="X663" s="512"/>
      <c r="Y663" s="512"/>
      <c r="Z663" s="512"/>
      <c r="AA663" s="512"/>
      <c r="AB663" s="512"/>
      <c r="AC663" s="512"/>
    </row>
    <row r="664">
      <c r="A664" s="512"/>
      <c r="B664" s="512"/>
      <c r="C664" s="512"/>
      <c r="D664" s="512"/>
      <c r="E664" s="512"/>
      <c r="F664" s="512"/>
      <c r="G664" s="512"/>
      <c r="H664" s="512"/>
      <c r="I664" s="512"/>
      <c r="J664" s="512"/>
      <c r="K664" s="512"/>
      <c r="L664" s="512"/>
      <c r="M664" s="512"/>
      <c r="N664" s="512"/>
      <c r="O664" s="512"/>
      <c r="P664" s="156"/>
      <c r="Q664" s="512"/>
      <c r="R664" s="512"/>
      <c r="S664" s="512"/>
      <c r="T664" s="512"/>
      <c r="U664" s="512"/>
      <c r="V664" s="512"/>
      <c r="W664" s="512"/>
      <c r="X664" s="512"/>
      <c r="Y664" s="512"/>
      <c r="Z664" s="512"/>
      <c r="AA664" s="512"/>
      <c r="AB664" s="512"/>
      <c r="AC664" s="512"/>
    </row>
    <row r="665">
      <c r="A665" s="512"/>
      <c r="B665" s="512"/>
      <c r="C665" s="512"/>
      <c r="D665" s="512"/>
      <c r="E665" s="512"/>
      <c r="F665" s="512"/>
      <c r="G665" s="512"/>
      <c r="H665" s="512"/>
      <c r="I665" s="512"/>
      <c r="J665" s="512"/>
      <c r="K665" s="512"/>
      <c r="L665" s="512"/>
      <c r="M665" s="512"/>
      <c r="N665" s="512"/>
      <c r="O665" s="512"/>
      <c r="P665" s="156"/>
      <c r="Q665" s="512"/>
      <c r="R665" s="512"/>
      <c r="S665" s="512"/>
      <c r="T665" s="512"/>
      <c r="U665" s="512"/>
      <c r="V665" s="512"/>
      <c r="W665" s="512"/>
      <c r="X665" s="512"/>
      <c r="Y665" s="512"/>
      <c r="Z665" s="512"/>
      <c r="AA665" s="512"/>
      <c r="AB665" s="512"/>
      <c r="AC665" s="512"/>
    </row>
    <row r="666">
      <c r="A666" s="512"/>
      <c r="B666" s="512"/>
      <c r="C666" s="512"/>
      <c r="D666" s="512"/>
      <c r="E666" s="512"/>
      <c r="F666" s="512"/>
      <c r="G666" s="512"/>
      <c r="H666" s="512"/>
      <c r="I666" s="512"/>
      <c r="J666" s="512"/>
      <c r="K666" s="512"/>
      <c r="L666" s="512"/>
      <c r="M666" s="512"/>
      <c r="N666" s="512"/>
      <c r="O666" s="512"/>
      <c r="P666" s="156"/>
      <c r="Q666" s="512"/>
      <c r="R666" s="512"/>
      <c r="S666" s="512"/>
      <c r="T666" s="512"/>
      <c r="U666" s="512"/>
      <c r="V666" s="512"/>
      <c r="W666" s="512"/>
      <c r="X666" s="512"/>
      <c r="Y666" s="512"/>
      <c r="Z666" s="512"/>
      <c r="AA666" s="512"/>
      <c r="AB666" s="512"/>
      <c r="AC666" s="512"/>
    </row>
    <row r="667">
      <c r="A667" s="512"/>
      <c r="B667" s="512"/>
      <c r="C667" s="512"/>
      <c r="D667" s="512"/>
      <c r="E667" s="512"/>
      <c r="F667" s="512"/>
      <c r="G667" s="512"/>
      <c r="H667" s="512"/>
      <c r="I667" s="512"/>
      <c r="J667" s="512"/>
      <c r="K667" s="512"/>
      <c r="L667" s="512"/>
      <c r="M667" s="512"/>
      <c r="N667" s="512"/>
      <c r="O667" s="512"/>
      <c r="P667" s="156"/>
      <c r="Q667" s="512"/>
      <c r="R667" s="512"/>
      <c r="S667" s="512"/>
      <c r="T667" s="512"/>
      <c r="U667" s="512"/>
      <c r="V667" s="512"/>
      <c r="W667" s="512"/>
      <c r="X667" s="512"/>
      <c r="Y667" s="512"/>
      <c r="Z667" s="512"/>
      <c r="AA667" s="512"/>
      <c r="AB667" s="512"/>
      <c r="AC667" s="512"/>
    </row>
    <row r="668">
      <c r="A668" s="512"/>
      <c r="B668" s="512"/>
      <c r="C668" s="512"/>
      <c r="D668" s="512"/>
      <c r="E668" s="512"/>
      <c r="F668" s="512"/>
      <c r="G668" s="512"/>
      <c r="H668" s="512"/>
      <c r="I668" s="512"/>
      <c r="J668" s="512"/>
      <c r="K668" s="512"/>
      <c r="L668" s="512"/>
      <c r="M668" s="512"/>
      <c r="N668" s="512"/>
      <c r="O668" s="512"/>
      <c r="P668" s="156"/>
      <c r="Q668" s="512"/>
      <c r="R668" s="512"/>
      <c r="S668" s="512"/>
      <c r="T668" s="512"/>
      <c r="U668" s="512"/>
      <c r="V668" s="512"/>
      <c r="W668" s="512"/>
      <c r="X668" s="512"/>
      <c r="Y668" s="512"/>
      <c r="Z668" s="512"/>
      <c r="AA668" s="512"/>
      <c r="AB668" s="512"/>
      <c r="AC668" s="512"/>
    </row>
    <row r="669">
      <c r="A669" s="512"/>
      <c r="B669" s="512"/>
      <c r="C669" s="512"/>
      <c r="D669" s="512"/>
      <c r="E669" s="512"/>
      <c r="F669" s="512"/>
      <c r="G669" s="512"/>
      <c r="H669" s="512"/>
      <c r="I669" s="512"/>
      <c r="J669" s="512"/>
      <c r="K669" s="512"/>
      <c r="L669" s="512"/>
      <c r="M669" s="512"/>
      <c r="N669" s="512"/>
      <c r="O669" s="512"/>
      <c r="P669" s="156"/>
      <c r="Q669" s="512"/>
      <c r="R669" s="512"/>
      <c r="S669" s="512"/>
      <c r="T669" s="512"/>
      <c r="U669" s="512"/>
      <c r="V669" s="512"/>
      <c r="W669" s="512"/>
      <c r="X669" s="512"/>
      <c r="Y669" s="512"/>
      <c r="Z669" s="512"/>
      <c r="AA669" s="512"/>
      <c r="AB669" s="512"/>
      <c r="AC669" s="512"/>
    </row>
    <row r="670">
      <c r="A670" s="512"/>
      <c r="B670" s="512"/>
      <c r="C670" s="512"/>
      <c r="D670" s="512"/>
      <c r="E670" s="512"/>
      <c r="F670" s="512"/>
      <c r="G670" s="512"/>
      <c r="H670" s="512"/>
      <c r="I670" s="512"/>
      <c r="J670" s="512"/>
      <c r="K670" s="512"/>
      <c r="L670" s="512"/>
      <c r="M670" s="512"/>
      <c r="N670" s="512"/>
      <c r="O670" s="512"/>
      <c r="P670" s="156"/>
      <c r="Q670" s="512"/>
      <c r="R670" s="512"/>
      <c r="S670" s="512"/>
      <c r="T670" s="512"/>
      <c r="U670" s="512"/>
      <c r="V670" s="512"/>
      <c r="W670" s="512"/>
      <c r="X670" s="512"/>
      <c r="Y670" s="512"/>
      <c r="Z670" s="512"/>
      <c r="AA670" s="512"/>
      <c r="AB670" s="512"/>
      <c r="AC670" s="512"/>
    </row>
    <row r="671">
      <c r="A671" s="512"/>
      <c r="B671" s="512"/>
      <c r="C671" s="512"/>
      <c r="D671" s="512"/>
      <c r="E671" s="512"/>
      <c r="F671" s="512"/>
      <c r="G671" s="512"/>
      <c r="H671" s="512"/>
      <c r="I671" s="512"/>
      <c r="J671" s="512"/>
      <c r="K671" s="512"/>
      <c r="L671" s="512"/>
      <c r="M671" s="512"/>
      <c r="N671" s="512"/>
      <c r="O671" s="512"/>
      <c r="P671" s="156"/>
      <c r="Q671" s="512"/>
      <c r="R671" s="512"/>
      <c r="S671" s="512"/>
      <c r="T671" s="512"/>
      <c r="U671" s="512"/>
      <c r="V671" s="512"/>
      <c r="W671" s="512"/>
      <c r="X671" s="512"/>
      <c r="Y671" s="512"/>
      <c r="Z671" s="512"/>
      <c r="AA671" s="512"/>
      <c r="AB671" s="512"/>
      <c r="AC671" s="512"/>
    </row>
    <row r="672">
      <c r="A672" s="512"/>
      <c r="B672" s="512"/>
      <c r="C672" s="512"/>
      <c r="D672" s="512"/>
      <c r="E672" s="512"/>
      <c r="F672" s="512"/>
      <c r="G672" s="512"/>
      <c r="H672" s="512"/>
      <c r="I672" s="512"/>
      <c r="J672" s="512"/>
      <c r="K672" s="512"/>
      <c r="L672" s="512"/>
      <c r="M672" s="512"/>
      <c r="N672" s="512"/>
      <c r="O672" s="512"/>
      <c r="P672" s="156"/>
      <c r="Q672" s="512"/>
      <c r="R672" s="512"/>
      <c r="S672" s="512"/>
      <c r="T672" s="512"/>
      <c r="U672" s="512"/>
      <c r="V672" s="512"/>
      <c r="W672" s="512"/>
      <c r="X672" s="512"/>
      <c r="Y672" s="512"/>
      <c r="Z672" s="512"/>
      <c r="AA672" s="512"/>
      <c r="AB672" s="512"/>
      <c r="AC672" s="512"/>
    </row>
    <row r="673">
      <c r="A673" s="512"/>
      <c r="B673" s="512"/>
      <c r="C673" s="512"/>
      <c r="D673" s="512"/>
      <c r="E673" s="512"/>
      <c r="F673" s="512"/>
      <c r="G673" s="512"/>
      <c r="H673" s="512"/>
      <c r="I673" s="512"/>
      <c r="J673" s="512"/>
      <c r="K673" s="512"/>
      <c r="L673" s="512"/>
      <c r="M673" s="512"/>
      <c r="N673" s="512"/>
      <c r="O673" s="512"/>
      <c r="P673" s="156"/>
      <c r="Q673" s="512"/>
      <c r="R673" s="512"/>
      <c r="S673" s="512"/>
      <c r="T673" s="512"/>
      <c r="U673" s="512"/>
      <c r="V673" s="512"/>
      <c r="W673" s="512"/>
      <c r="X673" s="512"/>
      <c r="Y673" s="512"/>
      <c r="Z673" s="512"/>
      <c r="AA673" s="512"/>
      <c r="AB673" s="512"/>
      <c r="AC673" s="512"/>
    </row>
    <row r="674">
      <c r="A674" s="512"/>
      <c r="B674" s="512"/>
      <c r="C674" s="512"/>
      <c r="D674" s="512"/>
      <c r="E674" s="512"/>
      <c r="F674" s="512"/>
      <c r="G674" s="512"/>
      <c r="H674" s="512"/>
      <c r="I674" s="512"/>
      <c r="J674" s="512"/>
      <c r="K674" s="512"/>
      <c r="L674" s="512"/>
      <c r="M674" s="512"/>
      <c r="N674" s="512"/>
      <c r="O674" s="512"/>
      <c r="P674" s="156"/>
      <c r="Q674" s="512"/>
      <c r="R674" s="512"/>
      <c r="S674" s="512"/>
      <c r="T674" s="512"/>
      <c r="U674" s="512"/>
      <c r="V674" s="512"/>
      <c r="W674" s="512"/>
      <c r="X674" s="512"/>
      <c r="Y674" s="512"/>
      <c r="Z674" s="512"/>
      <c r="AA674" s="512"/>
      <c r="AB674" s="512"/>
      <c r="AC674" s="512"/>
    </row>
    <row r="675">
      <c r="A675" s="512"/>
      <c r="B675" s="512"/>
      <c r="C675" s="512"/>
      <c r="D675" s="512"/>
      <c r="E675" s="512"/>
      <c r="F675" s="512"/>
      <c r="G675" s="512"/>
      <c r="H675" s="512"/>
      <c r="I675" s="512"/>
      <c r="J675" s="512"/>
      <c r="K675" s="512"/>
      <c r="L675" s="512"/>
      <c r="M675" s="512"/>
      <c r="N675" s="512"/>
      <c r="O675" s="512"/>
      <c r="P675" s="156"/>
      <c r="Q675" s="512"/>
      <c r="R675" s="512"/>
      <c r="S675" s="512"/>
      <c r="T675" s="512"/>
      <c r="U675" s="512"/>
      <c r="V675" s="512"/>
      <c r="W675" s="512"/>
      <c r="X675" s="512"/>
      <c r="Y675" s="512"/>
      <c r="Z675" s="512"/>
      <c r="AA675" s="512"/>
      <c r="AB675" s="512"/>
      <c r="AC675" s="512"/>
    </row>
    <row r="676">
      <c r="A676" s="512"/>
      <c r="B676" s="512"/>
      <c r="C676" s="512"/>
      <c r="D676" s="512"/>
      <c r="E676" s="512"/>
      <c r="F676" s="512"/>
      <c r="G676" s="512"/>
      <c r="H676" s="512"/>
      <c r="I676" s="512"/>
      <c r="J676" s="512"/>
      <c r="K676" s="512"/>
      <c r="L676" s="512"/>
      <c r="M676" s="512"/>
      <c r="N676" s="512"/>
      <c r="O676" s="512"/>
      <c r="P676" s="156"/>
      <c r="Q676" s="512"/>
      <c r="R676" s="512"/>
      <c r="S676" s="512"/>
      <c r="T676" s="512"/>
      <c r="U676" s="512"/>
      <c r="V676" s="512"/>
      <c r="W676" s="512"/>
      <c r="X676" s="512"/>
      <c r="Y676" s="512"/>
      <c r="Z676" s="512"/>
      <c r="AA676" s="512"/>
      <c r="AB676" s="512"/>
      <c r="AC676" s="512"/>
    </row>
    <row r="677">
      <c r="A677" s="512"/>
      <c r="B677" s="512"/>
      <c r="C677" s="512"/>
      <c r="D677" s="512"/>
      <c r="E677" s="512"/>
      <c r="F677" s="512"/>
      <c r="G677" s="512"/>
      <c r="H677" s="512"/>
      <c r="I677" s="512"/>
      <c r="J677" s="512"/>
      <c r="K677" s="512"/>
      <c r="L677" s="512"/>
      <c r="M677" s="512"/>
      <c r="N677" s="512"/>
      <c r="O677" s="512"/>
      <c r="P677" s="156"/>
      <c r="Q677" s="512"/>
      <c r="R677" s="512"/>
      <c r="S677" s="512"/>
      <c r="T677" s="512"/>
      <c r="U677" s="512"/>
      <c r="V677" s="512"/>
      <c r="W677" s="512"/>
      <c r="X677" s="512"/>
      <c r="Y677" s="512"/>
      <c r="Z677" s="512"/>
      <c r="AA677" s="512"/>
      <c r="AB677" s="512"/>
      <c r="AC677" s="512"/>
    </row>
    <row r="678">
      <c r="A678" s="512"/>
      <c r="B678" s="512"/>
      <c r="C678" s="512"/>
      <c r="D678" s="512"/>
      <c r="E678" s="512"/>
      <c r="F678" s="512"/>
      <c r="G678" s="512"/>
      <c r="H678" s="512"/>
      <c r="I678" s="512"/>
      <c r="J678" s="512"/>
      <c r="K678" s="512"/>
      <c r="L678" s="512"/>
      <c r="M678" s="512"/>
      <c r="N678" s="512"/>
      <c r="O678" s="512"/>
      <c r="P678" s="156"/>
      <c r="Q678" s="512"/>
      <c r="R678" s="512"/>
      <c r="S678" s="512"/>
      <c r="T678" s="512"/>
      <c r="U678" s="512"/>
      <c r="V678" s="512"/>
      <c r="W678" s="512"/>
      <c r="X678" s="512"/>
      <c r="Y678" s="512"/>
      <c r="Z678" s="512"/>
      <c r="AA678" s="512"/>
      <c r="AB678" s="512"/>
      <c r="AC678" s="512"/>
    </row>
    <row r="679">
      <c r="A679" s="512"/>
      <c r="B679" s="512"/>
      <c r="C679" s="512"/>
      <c r="D679" s="512"/>
      <c r="E679" s="512"/>
      <c r="F679" s="512"/>
      <c r="G679" s="512"/>
      <c r="H679" s="512"/>
      <c r="I679" s="512"/>
      <c r="J679" s="512"/>
      <c r="K679" s="512"/>
      <c r="L679" s="512"/>
      <c r="M679" s="512"/>
      <c r="N679" s="512"/>
      <c r="O679" s="512"/>
      <c r="P679" s="156"/>
      <c r="Q679" s="512"/>
      <c r="R679" s="512"/>
      <c r="S679" s="512"/>
      <c r="T679" s="512"/>
      <c r="U679" s="512"/>
      <c r="V679" s="512"/>
      <c r="W679" s="512"/>
      <c r="X679" s="512"/>
      <c r="Y679" s="512"/>
      <c r="Z679" s="512"/>
      <c r="AA679" s="512"/>
      <c r="AB679" s="512"/>
      <c r="AC679" s="512"/>
    </row>
    <row r="680">
      <c r="A680" s="512"/>
      <c r="B680" s="512"/>
      <c r="C680" s="512"/>
      <c r="D680" s="512"/>
      <c r="E680" s="512"/>
      <c r="F680" s="512"/>
      <c r="G680" s="512"/>
      <c r="H680" s="512"/>
      <c r="I680" s="512"/>
      <c r="J680" s="512"/>
      <c r="K680" s="512"/>
      <c r="L680" s="512"/>
      <c r="M680" s="512"/>
      <c r="N680" s="512"/>
      <c r="O680" s="512"/>
      <c r="P680" s="156"/>
      <c r="Q680" s="512"/>
      <c r="R680" s="512"/>
      <c r="S680" s="512"/>
      <c r="T680" s="512"/>
      <c r="U680" s="512"/>
      <c r="V680" s="512"/>
      <c r="W680" s="512"/>
      <c r="X680" s="512"/>
      <c r="Y680" s="512"/>
      <c r="Z680" s="512"/>
      <c r="AA680" s="512"/>
      <c r="AB680" s="512"/>
      <c r="AC680" s="512"/>
    </row>
    <row r="681">
      <c r="A681" s="512"/>
      <c r="B681" s="512"/>
      <c r="C681" s="512"/>
      <c r="D681" s="512"/>
      <c r="E681" s="512"/>
      <c r="F681" s="512"/>
      <c r="G681" s="512"/>
      <c r="H681" s="512"/>
      <c r="I681" s="512"/>
      <c r="J681" s="512"/>
      <c r="K681" s="512"/>
      <c r="L681" s="512"/>
      <c r="M681" s="512"/>
      <c r="N681" s="512"/>
      <c r="O681" s="512"/>
      <c r="P681" s="156"/>
      <c r="Q681" s="512"/>
      <c r="R681" s="512"/>
      <c r="S681" s="512"/>
      <c r="T681" s="512"/>
      <c r="U681" s="512"/>
      <c r="V681" s="512"/>
      <c r="W681" s="512"/>
      <c r="X681" s="512"/>
      <c r="Y681" s="512"/>
      <c r="Z681" s="512"/>
      <c r="AA681" s="512"/>
      <c r="AB681" s="512"/>
      <c r="AC681" s="512"/>
    </row>
    <row r="682">
      <c r="A682" s="512"/>
      <c r="B682" s="512"/>
      <c r="C682" s="512"/>
      <c r="D682" s="512"/>
      <c r="E682" s="512"/>
      <c r="F682" s="512"/>
      <c r="G682" s="512"/>
      <c r="H682" s="512"/>
      <c r="I682" s="512"/>
      <c r="J682" s="512"/>
      <c r="K682" s="512"/>
      <c r="L682" s="512"/>
      <c r="M682" s="512"/>
      <c r="N682" s="512"/>
      <c r="O682" s="512"/>
      <c r="P682" s="156"/>
      <c r="Q682" s="512"/>
      <c r="R682" s="512"/>
      <c r="S682" s="512"/>
      <c r="T682" s="512"/>
      <c r="U682" s="512"/>
      <c r="V682" s="512"/>
      <c r="W682" s="512"/>
      <c r="X682" s="512"/>
      <c r="Y682" s="512"/>
      <c r="Z682" s="512"/>
      <c r="AA682" s="512"/>
      <c r="AB682" s="512"/>
      <c r="AC682" s="512"/>
    </row>
    <row r="683">
      <c r="A683" s="512"/>
      <c r="B683" s="512"/>
      <c r="C683" s="512"/>
      <c r="D683" s="512"/>
      <c r="E683" s="512"/>
      <c r="F683" s="512"/>
      <c r="G683" s="512"/>
      <c r="H683" s="512"/>
      <c r="I683" s="512"/>
      <c r="J683" s="512"/>
      <c r="K683" s="512"/>
      <c r="L683" s="512"/>
      <c r="M683" s="512"/>
      <c r="N683" s="512"/>
      <c r="O683" s="512"/>
      <c r="P683" s="156"/>
      <c r="Q683" s="512"/>
      <c r="R683" s="512"/>
      <c r="S683" s="512"/>
      <c r="T683" s="512"/>
      <c r="U683" s="512"/>
      <c r="V683" s="512"/>
      <c r="W683" s="512"/>
      <c r="X683" s="512"/>
      <c r="Y683" s="512"/>
      <c r="Z683" s="512"/>
      <c r="AA683" s="512"/>
      <c r="AB683" s="512"/>
      <c r="AC683" s="512"/>
    </row>
    <row r="684">
      <c r="A684" s="512"/>
      <c r="B684" s="512"/>
      <c r="C684" s="512"/>
      <c r="D684" s="512"/>
      <c r="E684" s="512"/>
      <c r="F684" s="512"/>
      <c r="G684" s="512"/>
      <c r="H684" s="512"/>
      <c r="I684" s="512"/>
      <c r="J684" s="512"/>
      <c r="K684" s="512"/>
      <c r="L684" s="512"/>
      <c r="M684" s="512"/>
      <c r="N684" s="512"/>
      <c r="O684" s="512"/>
      <c r="P684" s="156"/>
      <c r="Q684" s="512"/>
      <c r="R684" s="512"/>
      <c r="S684" s="512"/>
      <c r="T684" s="512"/>
      <c r="U684" s="512"/>
      <c r="V684" s="512"/>
      <c r="W684" s="512"/>
      <c r="X684" s="512"/>
      <c r="Y684" s="512"/>
      <c r="Z684" s="512"/>
      <c r="AA684" s="512"/>
      <c r="AB684" s="512"/>
      <c r="AC684" s="512"/>
    </row>
    <row r="685">
      <c r="A685" s="512"/>
      <c r="B685" s="512"/>
      <c r="C685" s="512"/>
      <c r="D685" s="512"/>
      <c r="E685" s="512"/>
      <c r="F685" s="512"/>
      <c r="G685" s="512"/>
      <c r="H685" s="512"/>
      <c r="I685" s="512"/>
      <c r="J685" s="512"/>
      <c r="K685" s="512"/>
      <c r="L685" s="512"/>
      <c r="M685" s="512"/>
      <c r="N685" s="512"/>
      <c r="O685" s="512"/>
      <c r="P685" s="156"/>
      <c r="Q685" s="512"/>
      <c r="R685" s="512"/>
      <c r="S685" s="512"/>
      <c r="T685" s="512"/>
      <c r="U685" s="512"/>
      <c r="V685" s="512"/>
      <c r="W685" s="512"/>
      <c r="X685" s="512"/>
      <c r="Y685" s="512"/>
      <c r="Z685" s="512"/>
      <c r="AA685" s="512"/>
      <c r="AB685" s="512"/>
      <c r="AC685" s="512"/>
    </row>
    <row r="686">
      <c r="A686" s="512"/>
      <c r="B686" s="512"/>
      <c r="C686" s="512"/>
      <c r="D686" s="512"/>
      <c r="E686" s="512"/>
      <c r="F686" s="512"/>
      <c r="G686" s="512"/>
      <c r="H686" s="512"/>
      <c r="I686" s="512"/>
      <c r="J686" s="512"/>
      <c r="K686" s="512"/>
      <c r="L686" s="512"/>
      <c r="M686" s="512"/>
      <c r="N686" s="512"/>
      <c r="O686" s="512"/>
      <c r="P686" s="156"/>
      <c r="Q686" s="512"/>
      <c r="R686" s="512"/>
      <c r="S686" s="512"/>
      <c r="T686" s="512"/>
      <c r="U686" s="512"/>
      <c r="V686" s="512"/>
      <c r="W686" s="512"/>
      <c r="X686" s="512"/>
      <c r="Y686" s="512"/>
      <c r="Z686" s="512"/>
      <c r="AA686" s="512"/>
      <c r="AB686" s="512"/>
      <c r="AC686" s="512"/>
    </row>
    <row r="687">
      <c r="A687" s="512"/>
      <c r="B687" s="512"/>
      <c r="C687" s="512"/>
      <c r="D687" s="512"/>
      <c r="E687" s="512"/>
      <c r="F687" s="512"/>
      <c r="G687" s="512"/>
      <c r="H687" s="512"/>
      <c r="I687" s="512"/>
      <c r="J687" s="512"/>
      <c r="K687" s="512"/>
      <c r="L687" s="512"/>
      <c r="M687" s="512"/>
      <c r="N687" s="512"/>
      <c r="O687" s="512"/>
      <c r="P687" s="156"/>
      <c r="Q687" s="512"/>
      <c r="R687" s="512"/>
      <c r="S687" s="512"/>
      <c r="T687" s="512"/>
      <c r="U687" s="512"/>
      <c r="V687" s="512"/>
      <c r="W687" s="512"/>
      <c r="X687" s="512"/>
      <c r="Y687" s="512"/>
      <c r="Z687" s="512"/>
      <c r="AA687" s="512"/>
      <c r="AB687" s="512"/>
      <c r="AC687" s="512"/>
    </row>
    <row r="688">
      <c r="A688" s="512"/>
      <c r="B688" s="512"/>
      <c r="C688" s="512"/>
      <c r="D688" s="512"/>
      <c r="E688" s="512"/>
      <c r="F688" s="512"/>
      <c r="G688" s="512"/>
      <c r="H688" s="512"/>
      <c r="I688" s="512"/>
      <c r="J688" s="512"/>
      <c r="K688" s="512"/>
      <c r="L688" s="512"/>
      <c r="M688" s="512"/>
      <c r="N688" s="512"/>
      <c r="O688" s="512"/>
      <c r="P688" s="156"/>
      <c r="Q688" s="512"/>
      <c r="R688" s="512"/>
      <c r="S688" s="512"/>
      <c r="T688" s="512"/>
      <c r="U688" s="512"/>
      <c r="V688" s="512"/>
      <c r="W688" s="512"/>
      <c r="X688" s="512"/>
      <c r="Y688" s="512"/>
      <c r="Z688" s="512"/>
      <c r="AA688" s="512"/>
      <c r="AB688" s="512"/>
      <c r="AC688" s="512"/>
    </row>
    <row r="689">
      <c r="A689" s="512"/>
      <c r="B689" s="512"/>
      <c r="C689" s="512"/>
      <c r="D689" s="512"/>
      <c r="E689" s="512"/>
      <c r="F689" s="512"/>
      <c r="G689" s="512"/>
      <c r="H689" s="512"/>
      <c r="I689" s="512"/>
      <c r="J689" s="512"/>
      <c r="K689" s="512"/>
      <c r="L689" s="512"/>
      <c r="M689" s="512"/>
      <c r="N689" s="512"/>
      <c r="O689" s="512"/>
      <c r="P689" s="156"/>
      <c r="Q689" s="512"/>
      <c r="R689" s="512"/>
      <c r="S689" s="512"/>
      <c r="T689" s="512"/>
      <c r="U689" s="512"/>
      <c r="V689" s="512"/>
      <c r="W689" s="512"/>
      <c r="X689" s="512"/>
      <c r="Y689" s="512"/>
      <c r="Z689" s="512"/>
      <c r="AA689" s="512"/>
      <c r="AB689" s="512"/>
      <c r="AC689" s="512"/>
    </row>
    <row r="690">
      <c r="A690" s="512"/>
      <c r="B690" s="512"/>
      <c r="C690" s="512"/>
      <c r="D690" s="512"/>
      <c r="E690" s="512"/>
      <c r="F690" s="512"/>
      <c r="G690" s="512"/>
      <c r="H690" s="512"/>
      <c r="I690" s="512"/>
      <c r="J690" s="512"/>
      <c r="K690" s="512"/>
      <c r="L690" s="512"/>
      <c r="M690" s="512"/>
      <c r="N690" s="512"/>
      <c r="O690" s="512"/>
      <c r="P690" s="156"/>
      <c r="Q690" s="512"/>
      <c r="R690" s="512"/>
      <c r="S690" s="512"/>
      <c r="T690" s="512"/>
      <c r="U690" s="512"/>
      <c r="V690" s="512"/>
      <c r="W690" s="512"/>
      <c r="X690" s="512"/>
      <c r="Y690" s="512"/>
      <c r="Z690" s="512"/>
      <c r="AA690" s="512"/>
      <c r="AB690" s="512"/>
      <c r="AC690" s="512"/>
    </row>
    <row r="691">
      <c r="A691" s="512"/>
      <c r="B691" s="512"/>
      <c r="C691" s="512"/>
      <c r="D691" s="512"/>
      <c r="E691" s="512"/>
      <c r="F691" s="512"/>
      <c r="G691" s="512"/>
      <c r="H691" s="512"/>
      <c r="I691" s="512"/>
      <c r="J691" s="512"/>
      <c r="K691" s="512"/>
      <c r="L691" s="512"/>
      <c r="M691" s="512"/>
      <c r="N691" s="512"/>
      <c r="O691" s="512"/>
      <c r="P691" s="156"/>
      <c r="Q691" s="512"/>
      <c r="R691" s="512"/>
      <c r="S691" s="512"/>
      <c r="T691" s="512"/>
      <c r="U691" s="512"/>
      <c r="V691" s="512"/>
      <c r="W691" s="512"/>
      <c r="X691" s="512"/>
      <c r="Y691" s="512"/>
      <c r="Z691" s="512"/>
      <c r="AA691" s="512"/>
      <c r="AB691" s="512"/>
      <c r="AC691" s="512"/>
    </row>
    <row r="692">
      <c r="A692" s="512"/>
      <c r="B692" s="512"/>
      <c r="C692" s="512"/>
      <c r="D692" s="512"/>
      <c r="E692" s="512"/>
      <c r="F692" s="512"/>
      <c r="G692" s="512"/>
      <c r="H692" s="512"/>
      <c r="I692" s="512"/>
      <c r="J692" s="512"/>
      <c r="K692" s="512"/>
      <c r="L692" s="512"/>
      <c r="M692" s="512"/>
      <c r="N692" s="512"/>
      <c r="O692" s="512"/>
      <c r="P692" s="156"/>
      <c r="Q692" s="512"/>
      <c r="R692" s="512"/>
      <c r="S692" s="512"/>
      <c r="T692" s="512"/>
      <c r="U692" s="512"/>
      <c r="V692" s="512"/>
      <c r="W692" s="512"/>
      <c r="X692" s="512"/>
      <c r="Y692" s="512"/>
      <c r="Z692" s="512"/>
      <c r="AA692" s="512"/>
      <c r="AB692" s="512"/>
      <c r="AC692" s="512"/>
    </row>
    <row r="693">
      <c r="A693" s="512"/>
      <c r="B693" s="512"/>
      <c r="C693" s="512"/>
      <c r="D693" s="512"/>
      <c r="E693" s="512"/>
      <c r="F693" s="512"/>
      <c r="G693" s="512"/>
      <c r="H693" s="512"/>
      <c r="I693" s="512"/>
      <c r="J693" s="512"/>
      <c r="K693" s="512"/>
      <c r="L693" s="512"/>
      <c r="M693" s="512"/>
      <c r="N693" s="512"/>
      <c r="O693" s="512"/>
      <c r="P693" s="156"/>
      <c r="Q693" s="512"/>
      <c r="R693" s="512"/>
      <c r="S693" s="512"/>
      <c r="T693" s="512"/>
      <c r="U693" s="512"/>
      <c r="V693" s="512"/>
      <c r="W693" s="512"/>
      <c r="X693" s="512"/>
      <c r="Y693" s="512"/>
      <c r="Z693" s="512"/>
      <c r="AA693" s="512"/>
      <c r="AB693" s="512"/>
      <c r="AC693" s="512"/>
    </row>
    <row r="694">
      <c r="A694" s="512"/>
      <c r="B694" s="512"/>
      <c r="C694" s="512"/>
      <c r="D694" s="512"/>
      <c r="E694" s="512"/>
      <c r="F694" s="512"/>
      <c r="G694" s="512"/>
      <c r="H694" s="512"/>
      <c r="I694" s="512"/>
      <c r="J694" s="512"/>
      <c r="K694" s="512"/>
      <c r="L694" s="512"/>
      <c r="M694" s="512"/>
      <c r="N694" s="512"/>
      <c r="O694" s="512"/>
      <c r="P694" s="156"/>
      <c r="Q694" s="512"/>
      <c r="R694" s="512"/>
      <c r="S694" s="512"/>
      <c r="T694" s="512"/>
      <c r="U694" s="512"/>
      <c r="V694" s="512"/>
      <c r="W694" s="512"/>
      <c r="X694" s="512"/>
      <c r="Y694" s="512"/>
      <c r="Z694" s="512"/>
      <c r="AA694" s="512"/>
      <c r="AB694" s="512"/>
      <c r="AC694" s="512"/>
    </row>
    <row r="695">
      <c r="A695" s="512"/>
      <c r="B695" s="512"/>
      <c r="C695" s="512"/>
      <c r="D695" s="512"/>
      <c r="E695" s="512"/>
      <c r="F695" s="512"/>
      <c r="G695" s="512"/>
      <c r="H695" s="512"/>
      <c r="I695" s="512"/>
      <c r="J695" s="512"/>
      <c r="K695" s="512"/>
      <c r="L695" s="512"/>
      <c r="M695" s="512"/>
      <c r="N695" s="512"/>
      <c r="O695" s="512"/>
      <c r="P695" s="156"/>
      <c r="Q695" s="512"/>
      <c r="R695" s="512"/>
      <c r="S695" s="512"/>
      <c r="T695" s="512"/>
      <c r="U695" s="512"/>
      <c r="V695" s="512"/>
      <c r="W695" s="512"/>
      <c r="X695" s="512"/>
      <c r="Y695" s="512"/>
      <c r="Z695" s="512"/>
      <c r="AA695" s="512"/>
      <c r="AB695" s="512"/>
      <c r="AC695" s="512"/>
    </row>
    <row r="696">
      <c r="A696" s="512"/>
      <c r="B696" s="512"/>
      <c r="C696" s="512"/>
      <c r="D696" s="512"/>
      <c r="E696" s="512"/>
      <c r="F696" s="512"/>
      <c r="G696" s="512"/>
      <c r="H696" s="512"/>
      <c r="I696" s="512"/>
      <c r="J696" s="512"/>
      <c r="K696" s="512"/>
      <c r="L696" s="512"/>
      <c r="M696" s="512"/>
      <c r="N696" s="512"/>
      <c r="O696" s="512"/>
      <c r="P696" s="156"/>
      <c r="Q696" s="512"/>
      <c r="R696" s="512"/>
      <c r="S696" s="512"/>
      <c r="T696" s="512"/>
      <c r="U696" s="512"/>
      <c r="V696" s="512"/>
      <c r="W696" s="512"/>
      <c r="X696" s="512"/>
      <c r="Y696" s="512"/>
      <c r="Z696" s="512"/>
      <c r="AA696" s="512"/>
      <c r="AB696" s="512"/>
      <c r="AC696" s="512"/>
    </row>
    <row r="697">
      <c r="A697" s="512"/>
      <c r="B697" s="512"/>
      <c r="C697" s="512"/>
      <c r="D697" s="512"/>
      <c r="E697" s="512"/>
      <c r="F697" s="512"/>
      <c r="G697" s="512"/>
      <c r="H697" s="512"/>
      <c r="I697" s="512"/>
      <c r="J697" s="512"/>
      <c r="K697" s="512"/>
      <c r="L697" s="512"/>
      <c r="M697" s="512"/>
      <c r="N697" s="512"/>
      <c r="O697" s="512"/>
      <c r="P697" s="156"/>
      <c r="Q697" s="512"/>
      <c r="R697" s="512"/>
      <c r="S697" s="512"/>
      <c r="T697" s="512"/>
      <c r="U697" s="512"/>
      <c r="V697" s="512"/>
      <c r="W697" s="512"/>
      <c r="X697" s="512"/>
      <c r="Y697" s="512"/>
      <c r="Z697" s="512"/>
      <c r="AA697" s="512"/>
      <c r="AB697" s="512"/>
      <c r="AC697" s="512"/>
    </row>
    <row r="698">
      <c r="A698" s="512"/>
      <c r="B698" s="512"/>
      <c r="C698" s="512"/>
      <c r="D698" s="512"/>
      <c r="E698" s="512"/>
      <c r="F698" s="512"/>
      <c r="G698" s="512"/>
      <c r="H698" s="512"/>
      <c r="I698" s="512"/>
      <c r="J698" s="512"/>
      <c r="K698" s="512"/>
      <c r="L698" s="512"/>
      <c r="M698" s="512"/>
      <c r="N698" s="512"/>
      <c r="O698" s="512"/>
      <c r="P698" s="156"/>
      <c r="Q698" s="512"/>
      <c r="R698" s="512"/>
      <c r="S698" s="512"/>
      <c r="T698" s="512"/>
      <c r="U698" s="512"/>
      <c r="V698" s="512"/>
      <c r="W698" s="512"/>
      <c r="X698" s="512"/>
      <c r="Y698" s="512"/>
      <c r="Z698" s="512"/>
      <c r="AA698" s="512"/>
      <c r="AB698" s="512"/>
      <c r="AC698" s="512"/>
    </row>
    <row r="699">
      <c r="A699" s="512"/>
      <c r="B699" s="512"/>
      <c r="C699" s="512"/>
      <c r="D699" s="512"/>
      <c r="E699" s="512"/>
      <c r="F699" s="512"/>
      <c r="G699" s="512"/>
      <c r="H699" s="512"/>
      <c r="I699" s="512"/>
      <c r="J699" s="512"/>
      <c r="K699" s="512"/>
      <c r="L699" s="512"/>
      <c r="M699" s="512"/>
      <c r="N699" s="512"/>
      <c r="O699" s="512"/>
      <c r="P699" s="156"/>
      <c r="Q699" s="512"/>
      <c r="R699" s="512"/>
      <c r="S699" s="512"/>
      <c r="T699" s="512"/>
      <c r="U699" s="512"/>
      <c r="V699" s="512"/>
      <c r="W699" s="512"/>
      <c r="X699" s="512"/>
      <c r="Y699" s="512"/>
      <c r="Z699" s="512"/>
      <c r="AA699" s="512"/>
      <c r="AB699" s="512"/>
      <c r="AC699" s="512"/>
    </row>
    <row r="700">
      <c r="A700" s="512"/>
      <c r="B700" s="512"/>
      <c r="C700" s="512"/>
      <c r="D700" s="512"/>
      <c r="E700" s="512"/>
      <c r="F700" s="512"/>
      <c r="G700" s="512"/>
      <c r="H700" s="512"/>
      <c r="I700" s="512"/>
      <c r="J700" s="512"/>
      <c r="K700" s="512"/>
      <c r="L700" s="512"/>
      <c r="M700" s="512"/>
      <c r="N700" s="512"/>
      <c r="O700" s="512"/>
      <c r="P700" s="156"/>
      <c r="Q700" s="512"/>
      <c r="R700" s="512"/>
      <c r="S700" s="512"/>
      <c r="T700" s="512"/>
      <c r="U700" s="512"/>
      <c r="V700" s="512"/>
      <c r="W700" s="512"/>
      <c r="X700" s="512"/>
      <c r="Y700" s="512"/>
      <c r="Z700" s="512"/>
      <c r="AA700" s="512"/>
      <c r="AB700" s="512"/>
      <c r="AC700" s="512"/>
    </row>
    <row r="701">
      <c r="A701" s="512"/>
      <c r="B701" s="512"/>
      <c r="C701" s="512"/>
      <c r="D701" s="512"/>
      <c r="E701" s="512"/>
      <c r="F701" s="512"/>
      <c r="G701" s="512"/>
      <c r="H701" s="512"/>
      <c r="I701" s="512"/>
      <c r="J701" s="512"/>
      <c r="K701" s="512"/>
      <c r="L701" s="512"/>
      <c r="M701" s="512"/>
      <c r="N701" s="512"/>
      <c r="O701" s="512"/>
      <c r="P701" s="156"/>
      <c r="Q701" s="512"/>
      <c r="R701" s="512"/>
      <c r="S701" s="512"/>
      <c r="T701" s="512"/>
      <c r="U701" s="512"/>
      <c r="V701" s="512"/>
      <c r="W701" s="512"/>
      <c r="X701" s="512"/>
      <c r="Y701" s="512"/>
      <c r="Z701" s="512"/>
      <c r="AA701" s="512"/>
      <c r="AB701" s="512"/>
      <c r="AC701" s="512"/>
    </row>
    <row r="702">
      <c r="A702" s="512"/>
      <c r="B702" s="512"/>
      <c r="C702" s="512"/>
      <c r="D702" s="512"/>
      <c r="E702" s="512"/>
      <c r="F702" s="512"/>
      <c r="G702" s="512"/>
      <c r="H702" s="512"/>
      <c r="I702" s="512"/>
      <c r="J702" s="512"/>
      <c r="K702" s="512"/>
      <c r="L702" s="512"/>
      <c r="M702" s="512"/>
      <c r="N702" s="512"/>
      <c r="O702" s="512"/>
      <c r="P702" s="156"/>
      <c r="Q702" s="512"/>
      <c r="R702" s="512"/>
      <c r="S702" s="512"/>
      <c r="T702" s="512"/>
      <c r="U702" s="512"/>
      <c r="V702" s="512"/>
      <c r="W702" s="512"/>
      <c r="X702" s="512"/>
      <c r="Y702" s="512"/>
      <c r="Z702" s="512"/>
      <c r="AA702" s="512"/>
      <c r="AB702" s="512"/>
      <c r="AC702" s="512"/>
    </row>
    <row r="703">
      <c r="A703" s="512"/>
      <c r="B703" s="512"/>
      <c r="C703" s="512"/>
      <c r="D703" s="512"/>
      <c r="E703" s="512"/>
      <c r="F703" s="512"/>
      <c r="G703" s="512"/>
      <c r="H703" s="512"/>
      <c r="I703" s="512"/>
      <c r="J703" s="512"/>
      <c r="K703" s="512"/>
      <c r="L703" s="512"/>
      <c r="M703" s="512"/>
      <c r="N703" s="512"/>
      <c r="O703" s="512"/>
      <c r="P703" s="156"/>
      <c r="Q703" s="512"/>
      <c r="R703" s="512"/>
      <c r="S703" s="512"/>
      <c r="T703" s="512"/>
      <c r="U703" s="512"/>
      <c r="V703" s="512"/>
      <c r="W703" s="512"/>
      <c r="X703" s="512"/>
      <c r="Y703" s="512"/>
      <c r="Z703" s="512"/>
      <c r="AA703" s="512"/>
      <c r="AB703" s="512"/>
      <c r="AC703" s="512"/>
    </row>
    <row r="704">
      <c r="A704" s="512"/>
      <c r="B704" s="512"/>
      <c r="C704" s="512"/>
      <c r="D704" s="512"/>
      <c r="E704" s="512"/>
      <c r="F704" s="512"/>
      <c r="G704" s="512"/>
      <c r="H704" s="512"/>
      <c r="I704" s="512"/>
      <c r="J704" s="512"/>
      <c r="K704" s="512"/>
      <c r="L704" s="512"/>
      <c r="M704" s="512"/>
      <c r="N704" s="512"/>
      <c r="O704" s="512"/>
      <c r="P704" s="156"/>
      <c r="Q704" s="512"/>
      <c r="R704" s="512"/>
      <c r="S704" s="512"/>
      <c r="T704" s="512"/>
      <c r="U704" s="512"/>
      <c r="V704" s="512"/>
      <c r="W704" s="512"/>
      <c r="X704" s="512"/>
      <c r="Y704" s="512"/>
      <c r="Z704" s="512"/>
      <c r="AA704" s="512"/>
      <c r="AB704" s="512"/>
      <c r="AC704" s="512"/>
    </row>
    <row r="705">
      <c r="A705" s="512"/>
      <c r="B705" s="512"/>
      <c r="C705" s="512"/>
      <c r="D705" s="512"/>
      <c r="E705" s="512"/>
      <c r="F705" s="512"/>
      <c r="G705" s="512"/>
      <c r="H705" s="512"/>
      <c r="I705" s="512"/>
      <c r="J705" s="512"/>
      <c r="K705" s="512"/>
      <c r="L705" s="512"/>
      <c r="M705" s="512"/>
      <c r="N705" s="512"/>
      <c r="O705" s="512"/>
      <c r="P705" s="156"/>
      <c r="Q705" s="512"/>
      <c r="R705" s="512"/>
      <c r="S705" s="512"/>
      <c r="T705" s="512"/>
      <c r="U705" s="512"/>
      <c r="V705" s="512"/>
      <c r="W705" s="512"/>
      <c r="X705" s="512"/>
      <c r="Y705" s="512"/>
      <c r="Z705" s="512"/>
      <c r="AA705" s="512"/>
      <c r="AB705" s="512"/>
      <c r="AC705" s="512"/>
    </row>
    <row r="706">
      <c r="A706" s="512"/>
      <c r="B706" s="512"/>
      <c r="C706" s="512"/>
      <c r="D706" s="512"/>
      <c r="E706" s="512"/>
      <c r="F706" s="512"/>
      <c r="G706" s="512"/>
      <c r="H706" s="512"/>
      <c r="I706" s="512"/>
      <c r="J706" s="512"/>
      <c r="K706" s="512"/>
      <c r="L706" s="512"/>
      <c r="M706" s="512"/>
      <c r="N706" s="512"/>
      <c r="O706" s="512"/>
      <c r="P706" s="156"/>
      <c r="Q706" s="512"/>
      <c r="R706" s="512"/>
      <c r="S706" s="512"/>
      <c r="T706" s="512"/>
      <c r="U706" s="512"/>
      <c r="V706" s="512"/>
      <c r="W706" s="512"/>
      <c r="X706" s="512"/>
      <c r="Y706" s="512"/>
      <c r="Z706" s="512"/>
      <c r="AA706" s="512"/>
      <c r="AB706" s="512"/>
      <c r="AC706" s="512"/>
    </row>
    <row r="707">
      <c r="A707" s="512"/>
      <c r="B707" s="512"/>
      <c r="C707" s="512"/>
      <c r="D707" s="512"/>
      <c r="E707" s="512"/>
      <c r="F707" s="512"/>
      <c r="G707" s="512"/>
      <c r="H707" s="512"/>
      <c r="I707" s="512"/>
      <c r="J707" s="512"/>
      <c r="K707" s="512"/>
      <c r="L707" s="512"/>
      <c r="M707" s="512"/>
      <c r="N707" s="512"/>
      <c r="O707" s="512"/>
      <c r="P707" s="156"/>
      <c r="Q707" s="512"/>
      <c r="R707" s="512"/>
      <c r="S707" s="512"/>
      <c r="T707" s="512"/>
      <c r="U707" s="512"/>
      <c r="V707" s="512"/>
      <c r="W707" s="512"/>
      <c r="X707" s="512"/>
      <c r="Y707" s="512"/>
      <c r="Z707" s="512"/>
      <c r="AA707" s="512"/>
      <c r="AB707" s="512"/>
      <c r="AC707" s="512"/>
    </row>
    <row r="708">
      <c r="A708" s="512"/>
      <c r="B708" s="512"/>
      <c r="C708" s="512"/>
      <c r="D708" s="512"/>
      <c r="E708" s="512"/>
      <c r="F708" s="512"/>
      <c r="G708" s="512"/>
      <c r="H708" s="512"/>
      <c r="I708" s="512"/>
      <c r="J708" s="512"/>
      <c r="K708" s="512"/>
      <c r="L708" s="512"/>
      <c r="M708" s="512"/>
      <c r="N708" s="512"/>
      <c r="O708" s="512"/>
      <c r="P708" s="156"/>
      <c r="Q708" s="512"/>
      <c r="R708" s="512"/>
      <c r="S708" s="512"/>
      <c r="T708" s="512"/>
      <c r="U708" s="512"/>
      <c r="V708" s="512"/>
      <c r="W708" s="512"/>
      <c r="X708" s="512"/>
      <c r="Y708" s="512"/>
      <c r="Z708" s="512"/>
      <c r="AA708" s="512"/>
      <c r="AB708" s="512"/>
      <c r="AC708" s="512"/>
    </row>
    <row r="709">
      <c r="A709" s="512"/>
      <c r="B709" s="512"/>
      <c r="C709" s="512"/>
      <c r="D709" s="512"/>
      <c r="E709" s="512"/>
      <c r="F709" s="512"/>
      <c r="G709" s="512"/>
      <c r="H709" s="512"/>
      <c r="I709" s="512"/>
      <c r="J709" s="512"/>
      <c r="K709" s="512"/>
      <c r="L709" s="512"/>
      <c r="M709" s="512"/>
      <c r="N709" s="512"/>
      <c r="O709" s="512"/>
      <c r="P709" s="156"/>
      <c r="Q709" s="512"/>
      <c r="R709" s="512"/>
      <c r="S709" s="512"/>
      <c r="T709" s="512"/>
      <c r="U709" s="512"/>
      <c r="V709" s="512"/>
      <c r="W709" s="512"/>
      <c r="X709" s="512"/>
      <c r="Y709" s="512"/>
      <c r="Z709" s="512"/>
      <c r="AA709" s="512"/>
      <c r="AB709" s="512"/>
      <c r="AC709" s="512"/>
    </row>
    <row r="710">
      <c r="A710" s="512"/>
      <c r="B710" s="512"/>
      <c r="C710" s="512"/>
      <c r="D710" s="512"/>
      <c r="E710" s="512"/>
      <c r="F710" s="512"/>
      <c r="G710" s="512"/>
      <c r="H710" s="512"/>
      <c r="I710" s="512"/>
      <c r="J710" s="512"/>
      <c r="K710" s="512"/>
      <c r="L710" s="512"/>
      <c r="M710" s="512"/>
      <c r="N710" s="512"/>
      <c r="O710" s="512"/>
      <c r="P710" s="156"/>
      <c r="Q710" s="512"/>
      <c r="R710" s="512"/>
      <c r="S710" s="512"/>
      <c r="T710" s="512"/>
      <c r="U710" s="512"/>
      <c r="V710" s="512"/>
      <c r="W710" s="512"/>
      <c r="X710" s="512"/>
      <c r="Y710" s="512"/>
      <c r="Z710" s="512"/>
      <c r="AA710" s="512"/>
      <c r="AB710" s="512"/>
      <c r="AC710" s="512"/>
    </row>
    <row r="711">
      <c r="A711" s="512"/>
      <c r="B711" s="512"/>
      <c r="C711" s="512"/>
      <c r="D711" s="512"/>
      <c r="E711" s="512"/>
      <c r="F711" s="512"/>
      <c r="G711" s="512"/>
      <c r="H711" s="512"/>
      <c r="I711" s="512"/>
      <c r="J711" s="512"/>
      <c r="K711" s="512"/>
      <c r="L711" s="512"/>
      <c r="M711" s="512"/>
      <c r="N711" s="512"/>
      <c r="O711" s="512"/>
      <c r="P711" s="156"/>
      <c r="Q711" s="512"/>
      <c r="R711" s="512"/>
      <c r="S711" s="512"/>
      <c r="T711" s="512"/>
      <c r="U711" s="512"/>
      <c r="V711" s="512"/>
      <c r="W711" s="512"/>
      <c r="X711" s="512"/>
      <c r="Y711" s="512"/>
      <c r="Z711" s="512"/>
      <c r="AA711" s="512"/>
      <c r="AB711" s="512"/>
      <c r="AC711" s="512"/>
    </row>
    <row r="712">
      <c r="A712" s="512"/>
      <c r="B712" s="512"/>
      <c r="C712" s="512"/>
      <c r="D712" s="512"/>
      <c r="E712" s="512"/>
      <c r="F712" s="512"/>
      <c r="G712" s="512"/>
      <c r="H712" s="512"/>
      <c r="I712" s="512"/>
      <c r="J712" s="512"/>
      <c r="K712" s="512"/>
      <c r="L712" s="512"/>
      <c r="M712" s="512"/>
      <c r="N712" s="512"/>
      <c r="O712" s="512"/>
      <c r="P712" s="156"/>
      <c r="Q712" s="512"/>
      <c r="R712" s="512"/>
      <c r="S712" s="512"/>
      <c r="T712" s="512"/>
      <c r="U712" s="512"/>
      <c r="V712" s="512"/>
      <c r="W712" s="512"/>
      <c r="X712" s="512"/>
      <c r="Y712" s="512"/>
      <c r="Z712" s="512"/>
      <c r="AA712" s="512"/>
      <c r="AB712" s="512"/>
      <c r="AC712" s="512"/>
    </row>
    <row r="713">
      <c r="A713" s="512"/>
      <c r="B713" s="512"/>
      <c r="C713" s="512"/>
      <c r="D713" s="512"/>
      <c r="E713" s="512"/>
      <c r="F713" s="512"/>
      <c r="G713" s="512"/>
      <c r="H713" s="512"/>
      <c r="I713" s="512"/>
      <c r="J713" s="512"/>
      <c r="K713" s="512"/>
      <c r="L713" s="512"/>
      <c r="M713" s="512"/>
      <c r="N713" s="512"/>
      <c r="O713" s="512"/>
      <c r="P713" s="156"/>
      <c r="Q713" s="512"/>
      <c r="R713" s="512"/>
      <c r="S713" s="512"/>
      <c r="T713" s="512"/>
      <c r="U713" s="512"/>
      <c r="V713" s="512"/>
      <c r="W713" s="512"/>
      <c r="X713" s="512"/>
      <c r="Y713" s="512"/>
      <c r="Z713" s="512"/>
      <c r="AA713" s="512"/>
      <c r="AB713" s="512"/>
      <c r="AC713" s="512"/>
    </row>
    <row r="714">
      <c r="A714" s="512"/>
      <c r="B714" s="512"/>
      <c r="C714" s="512"/>
      <c r="D714" s="512"/>
      <c r="E714" s="512"/>
      <c r="F714" s="512"/>
      <c r="G714" s="512"/>
      <c r="H714" s="512"/>
      <c r="I714" s="512"/>
      <c r="J714" s="512"/>
      <c r="K714" s="512"/>
      <c r="L714" s="512"/>
      <c r="M714" s="512"/>
      <c r="N714" s="512"/>
      <c r="O714" s="512"/>
      <c r="P714" s="156"/>
      <c r="Q714" s="512"/>
      <c r="R714" s="512"/>
      <c r="S714" s="512"/>
      <c r="T714" s="512"/>
      <c r="U714" s="512"/>
      <c r="V714" s="512"/>
      <c r="W714" s="512"/>
      <c r="X714" s="512"/>
      <c r="Y714" s="512"/>
      <c r="Z714" s="512"/>
      <c r="AA714" s="512"/>
      <c r="AB714" s="512"/>
      <c r="AC714" s="512"/>
    </row>
    <row r="715">
      <c r="A715" s="512"/>
      <c r="B715" s="512"/>
      <c r="C715" s="512"/>
      <c r="D715" s="512"/>
      <c r="E715" s="512"/>
      <c r="F715" s="512"/>
      <c r="G715" s="512"/>
      <c r="H715" s="512"/>
      <c r="I715" s="512"/>
      <c r="J715" s="512"/>
      <c r="K715" s="512"/>
      <c r="L715" s="512"/>
      <c r="M715" s="512"/>
      <c r="N715" s="512"/>
      <c r="O715" s="512"/>
      <c r="P715" s="156"/>
      <c r="Q715" s="512"/>
      <c r="R715" s="512"/>
      <c r="S715" s="512"/>
      <c r="T715" s="512"/>
      <c r="U715" s="512"/>
      <c r="V715" s="512"/>
      <c r="W715" s="512"/>
      <c r="X715" s="512"/>
      <c r="Y715" s="512"/>
      <c r="Z715" s="512"/>
      <c r="AA715" s="512"/>
      <c r="AB715" s="512"/>
      <c r="AC715" s="512"/>
    </row>
    <row r="716">
      <c r="A716" s="512"/>
      <c r="B716" s="512"/>
      <c r="C716" s="512"/>
      <c r="D716" s="512"/>
      <c r="E716" s="512"/>
      <c r="F716" s="512"/>
      <c r="G716" s="512"/>
      <c r="H716" s="512"/>
      <c r="I716" s="512"/>
      <c r="J716" s="512"/>
      <c r="K716" s="512"/>
      <c r="L716" s="512"/>
      <c r="M716" s="512"/>
      <c r="N716" s="512"/>
      <c r="O716" s="512"/>
      <c r="P716" s="156"/>
      <c r="Q716" s="512"/>
      <c r="R716" s="512"/>
      <c r="S716" s="512"/>
      <c r="T716" s="512"/>
      <c r="U716" s="512"/>
      <c r="V716" s="512"/>
      <c r="W716" s="512"/>
      <c r="X716" s="512"/>
      <c r="Y716" s="512"/>
      <c r="Z716" s="512"/>
      <c r="AA716" s="512"/>
      <c r="AB716" s="512"/>
      <c r="AC716" s="512"/>
    </row>
    <row r="717">
      <c r="A717" s="512"/>
      <c r="B717" s="512"/>
      <c r="C717" s="512"/>
      <c r="D717" s="512"/>
      <c r="E717" s="512"/>
      <c r="F717" s="512"/>
      <c r="G717" s="512"/>
      <c r="H717" s="512"/>
      <c r="I717" s="512"/>
      <c r="J717" s="512"/>
      <c r="K717" s="512"/>
      <c r="L717" s="512"/>
      <c r="M717" s="512"/>
      <c r="N717" s="512"/>
      <c r="O717" s="512"/>
      <c r="P717" s="156"/>
      <c r="Q717" s="512"/>
      <c r="R717" s="512"/>
      <c r="S717" s="512"/>
      <c r="T717" s="512"/>
      <c r="U717" s="512"/>
      <c r="V717" s="512"/>
      <c r="W717" s="512"/>
      <c r="X717" s="512"/>
      <c r="Y717" s="512"/>
      <c r="Z717" s="512"/>
      <c r="AA717" s="512"/>
      <c r="AB717" s="512"/>
      <c r="AC717" s="512"/>
    </row>
    <row r="718">
      <c r="A718" s="512"/>
      <c r="B718" s="512"/>
      <c r="C718" s="512"/>
      <c r="D718" s="512"/>
      <c r="E718" s="512"/>
      <c r="F718" s="512"/>
      <c r="G718" s="512"/>
      <c r="H718" s="512"/>
      <c r="I718" s="512"/>
      <c r="J718" s="512"/>
      <c r="K718" s="512"/>
      <c r="L718" s="512"/>
      <c r="M718" s="512"/>
      <c r="N718" s="512"/>
      <c r="O718" s="512"/>
      <c r="P718" s="156"/>
      <c r="Q718" s="512"/>
      <c r="R718" s="512"/>
      <c r="S718" s="512"/>
      <c r="T718" s="512"/>
      <c r="U718" s="512"/>
      <c r="V718" s="512"/>
      <c r="W718" s="512"/>
      <c r="X718" s="512"/>
      <c r="Y718" s="512"/>
      <c r="Z718" s="512"/>
      <c r="AA718" s="512"/>
      <c r="AB718" s="512"/>
      <c r="AC718" s="512"/>
    </row>
    <row r="719">
      <c r="A719" s="512"/>
      <c r="B719" s="512"/>
      <c r="C719" s="512"/>
      <c r="D719" s="512"/>
      <c r="E719" s="512"/>
      <c r="F719" s="512"/>
      <c r="G719" s="512"/>
      <c r="H719" s="512"/>
      <c r="I719" s="512"/>
      <c r="J719" s="512"/>
      <c r="K719" s="512"/>
      <c r="L719" s="512"/>
      <c r="M719" s="512"/>
      <c r="N719" s="512"/>
      <c r="O719" s="512"/>
      <c r="P719" s="156"/>
      <c r="Q719" s="512"/>
      <c r="R719" s="512"/>
      <c r="S719" s="512"/>
      <c r="T719" s="512"/>
      <c r="U719" s="512"/>
      <c r="V719" s="512"/>
      <c r="W719" s="512"/>
      <c r="X719" s="512"/>
      <c r="Y719" s="512"/>
      <c r="Z719" s="512"/>
      <c r="AA719" s="512"/>
      <c r="AB719" s="512"/>
      <c r="AC719" s="512"/>
    </row>
    <row r="720">
      <c r="A720" s="512"/>
      <c r="B720" s="512"/>
      <c r="C720" s="512"/>
      <c r="D720" s="512"/>
      <c r="E720" s="512"/>
      <c r="F720" s="512"/>
      <c r="G720" s="512"/>
      <c r="H720" s="512"/>
      <c r="I720" s="512"/>
      <c r="J720" s="512"/>
      <c r="K720" s="512"/>
      <c r="L720" s="512"/>
      <c r="M720" s="512"/>
      <c r="N720" s="512"/>
      <c r="O720" s="512"/>
      <c r="P720" s="156"/>
      <c r="Q720" s="512"/>
      <c r="R720" s="512"/>
      <c r="S720" s="512"/>
      <c r="T720" s="512"/>
      <c r="U720" s="512"/>
      <c r="V720" s="512"/>
      <c r="W720" s="512"/>
      <c r="X720" s="512"/>
      <c r="Y720" s="512"/>
      <c r="Z720" s="512"/>
      <c r="AA720" s="512"/>
      <c r="AB720" s="512"/>
      <c r="AC720" s="512"/>
    </row>
    <row r="721">
      <c r="A721" s="512"/>
      <c r="B721" s="512"/>
      <c r="C721" s="512"/>
      <c r="D721" s="512"/>
      <c r="E721" s="512"/>
      <c r="F721" s="512"/>
      <c r="G721" s="512"/>
      <c r="H721" s="512"/>
      <c r="I721" s="512"/>
      <c r="J721" s="512"/>
      <c r="K721" s="512"/>
      <c r="L721" s="512"/>
      <c r="M721" s="512"/>
      <c r="N721" s="512"/>
      <c r="O721" s="512"/>
      <c r="P721" s="156"/>
      <c r="Q721" s="512"/>
      <c r="R721" s="512"/>
      <c r="S721" s="512"/>
      <c r="T721" s="512"/>
      <c r="U721" s="512"/>
      <c r="V721" s="512"/>
      <c r="W721" s="512"/>
      <c r="X721" s="512"/>
      <c r="Y721" s="512"/>
      <c r="Z721" s="512"/>
      <c r="AA721" s="512"/>
      <c r="AB721" s="512"/>
      <c r="AC721" s="512"/>
    </row>
    <row r="722">
      <c r="A722" s="512"/>
      <c r="B722" s="512"/>
      <c r="C722" s="512"/>
      <c r="D722" s="512"/>
      <c r="E722" s="512"/>
      <c r="F722" s="512"/>
      <c r="G722" s="512"/>
      <c r="H722" s="512"/>
      <c r="I722" s="512"/>
      <c r="J722" s="512"/>
      <c r="K722" s="512"/>
      <c r="L722" s="512"/>
      <c r="M722" s="512"/>
      <c r="N722" s="512"/>
      <c r="O722" s="512"/>
      <c r="P722" s="156"/>
      <c r="Q722" s="512"/>
      <c r="R722" s="512"/>
      <c r="S722" s="512"/>
      <c r="T722" s="512"/>
      <c r="U722" s="512"/>
      <c r="V722" s="512"/>
      <c r="W722" s="512"/>
      <c r="X722" s="512"/>
      <c r="Y722" s="512"/>
      <c r="Z722" s="512"/>
      <c r="AA722" s="512"/>
      <c r="AB722" s="512"/>
      <c r="AC722" s="512"/>
    </row>
    <row r="723">
      <c r="A723" s="512"/>
      <c r="B723" s="512"/>
      <c r="C723" s="512"/>
      <c r="D723" s="512"/>
      <c r="E723" s="512"/>
      <c r="F723" s="512"/>
      <c r="G723" s="512"/>
      <c r="H723" s="512"/>
      <c r="I723" s="512"/>
      <c r="J723" s="512"/>
      <c r="K723" s="512"/>
      <c r="L723" s="512"/>
      <c r="M723" s="512"/>
      <c r="N723" s="512"/>
      <c r="O723" s="512"/>
      <c r="P723" s="156"/>
      <c r="Q723" s="512"/>
      <c r="R723" s="512"/>
      <c r="S723" s="512"/>
      <c r="T723" s="512"/>
      <c r="U723" s="512"/>
      <c r="V723" s="512"/>
      <c r="W723" s="512"/>
      <c r="X723" s="512"/>
      <c r="Y723" s="512"/>
      <c r="Z723" s="512"/>
      <c r="AA723" s="512"/>
      <c r="AB723" s="512"/>
      <c r="AC723" s="512"/>
    </row>
    <row r="724">
      <c r="A724" s="512"/>
      <c r="B724" s="512"/>
      <c r="C724" s="512"/>
      <c r="D724" s="512"/>
      <c r="E724" s="512"/>
      <c r="F724" s="512"/>
      <c r="G724" s="512"/>
      <c r="H724" s="512"/>
      <c r="I724" s="512"/>
      <c r="J724" s="512"/>
      <c r="K724" s="512"/>
      <c r="L724" s="512"/>
      <c r="M724" s="512"/>
      <c r="N724" s="512"/>
      <c r="O724" s="512"/>
      <c r="P724" s="156"/>
      <c r="Q724" s="512"/>
      <c r="R724" s="512"/>
      <c r="S724" s="512"/>
      <c r="T724" s="512"/>
      <c r="U724" s="512"/>
      <c r="V724" s="512"/>
      <c r="W724" s="512"/>
      <c r="X724" s="512"/>
      <c r="Y724" s="512"/>
      <c r="Z724" s="512"/>
      <c r="AA724" s="512"/>
      <c r="AB724" s="512"/>
      <c r="AC724" s="512"/>
    </row>
    <row r="725">
      <c r="A725" s="512"/>
      <c r="B725" s="512"/>
      <c r="C725" s="512"/>
      <c r="D725" s="512"/>
      <c r="E725" s="512"/>
      <c r="F725" s="512"/>
      <c r="G725" s="512"/>
      <c r="H725" s="512"/>
      <c r="I725" s="512"/>
      <c r="J725" s="512"/>
      <c r="K725" s="512"/>
      <c r="L725" s="512"/>
      <c r="M725" s="512"/>
      <c r="N725" s="512"/>
      <c r="O725" s="512"/>
      <c r="P725" s="156"/>
      <c r="Q725" s="512"/>
      <c r="R725" s="512"/>
      <c r="S725" s="512"/>
      <c r="T725" s="512"/>
      <c r="U725" s="512"/>
      <c r="V725" s="512"/>
      <c r="W725" s="512"/>
      <c r="X725" s="512"/>
      <c r="Y725" s="512"/>
      <c r="Z725" s="512"/>
      <c r="AA725" s="512"/>
      <c r="AB725" s="512"/>
      <c r="AC725" s="512"/>
    </row>
    <row r="726">
      <c r="A726" s="512"/>
      <c r="B726" s="512"/>
      <c r="C726" s="512"/>
      <c r="D726" s="512"/>
      <c r="E726" s="512"/>
      <c r="F726" s="512"/>
      <c r="G726" s="512"/>
      <c r="H726" s="512"/>
      <c r="I726" s="512"/>
      <c r="J726" s="512"/>
      <c r="K726" s="512"/>
      <c r="L726" s="512"/>
      <c r="M726" s="512"/>
      <c r="N726" s="512"/>
      <c r="O726" s="512"/>
      <c r="P726" s="156"/>
      <c r="Q726" s="512"/>
      <c r="R726" s="512"/>
      <c r="S726" s="512"/>
      <c r="T726" s="512"/>
      <c r="U726" s="512"/>
      <c r="V726" s="512"/>
      <c r="W726" s="512"/>
      <c r="X726" s="512"/>
      <c r="Y726" s="512"/>
      <c r="Z726" s="512"/>
      <c r="AA726" s="512"/>
      <c r="AB726" s="512"/>
      <c r="AC726" s="512"/>
    </row>
    <row r="727">
      <c r="A727" s="512"/>
      <c r="B727" s="512"/>
      <c r="C727" s="512"/>
      <c r="D727" s="512"/>
      <c r="E727" s="512"/>
      <c r="F727" s="512"/>
      <c r="G727" s="512"/>
      <c r="H727" s="512"/>
      <c r="I727" s="512"/>
      <c r="J727" s="512"/>
      <c r="K727" s="512"/>
      <c r="L727" s="512"/>
      <c r="M727" s="512"/>
      <c r="N727" s="512"/>
      <c r="O727" s="512"/>
      <c r="P727" s="156"/>
      <c r="Q727" s="512"/>
      <c r="R727" s="512"/>
      <c r="S727" s="512"/>
      <c r="T727" s="512"/>
      <c r="U727" s="512"/>
      <c r="V727" s="512"/>
      <c r="W727" s="512"/>
      <c r="X727" s="512"/>
      <c r="Y727" s="512"/>
      <c r="Z727" s="512"/>
      <c r="AA727" s="512"/>
      <c r="AB727" s="512"/>
      <c r="AC727" s="512"/>
    </row>
    <row r="728">
      <c r="A728" s="512"/>
      <c r="B728" s="512"/>
      <c r="C728" s="512"/>
      <c r="D728" s="512"/>
      <c r="E728" s="512"/>
      <c r="F728" s="512"/>
      <c r="G728" s="512"/>
      <c r="H728" s="512"/>
      <c r="I728" s="512"/>
      <c r="J728" s="512"/>
      <c r="K728" s="512"/>
      <c r="L728" s="512"/>
      <c r="M728" s="512"/>
      <c r="N728" s="512"/>
      <c r="O728" s="512"/>
      <c r="P728" s="156"/>
      <c r="Q728" s="512"/>
      <c r="R728" s="512"/>
      <c r="S728" s="512"/>
      <c r="T728" s="512"/>
      <c r="U728" s="512"/>
      <c r="V728" s="512"/>
      <c r="W728" s="512"/>
      <c r="X728" s="512"/>
      <c r="Y728" s="512"/>
      <c r="Z728" s="512"/>
      <c r="AA728" s="512"/>
      <c r="AB728" s="512"/>
      <c r="AC728" s="512"/>
    </row>
    <row r="729">
      <c r="A729" s="512"/>
      <c r="B729" s="512"/>
      <c r="C729" s="512"/>
      <c r="D729" s="512"/>
      <c r="E729" s="512"/>
      <c r="F729" s="512"/>
      <c r="G729" s="512"/>
      <c r="H729" s="512"/>
      <c r="I729" s="512"/>
      <c r="J729" s="512"/>
      <c r="K729" s="512"/>
      <c r="L729" s="512"/>
      <c r="M729" s="512"/>
      <c r="N729" s="512"/>
      <c r="O729" s="512"/>
      <c r="P729" s="156"/>
      <c r="Q729" s="512"/>
      <c r="R729" s="512"/>
      <c r="S729" s="512"/>
      <c r="T729" s="512"/>
      <c r="U729" s="512"/>
      <c r="V729" s="512"/>
      <c r="W729" s="512"/>
      <c r="X729" s="512"/>
      <c r="Y729" s="512"/>
      <c r="Z729" s="512"/>
      <c r="AA729" s="512"/>
      <c r="AB729" s="512"/>
      <c r="AC729" s="512"/>
    </row>
    <row r="730">
      <c r="A730" s="512"/>
      <c r="B730" s="512"/>
      <c r="C730" s="512"/>
      <c r="D730" s="512"/>
      <c r="E730" s="512"/>
      <c r="F730" s="512"/>
      <c r="G730" s="512"/>
      <c r="H730" s="512"/>
      <c r="I730" s="512"/>
      <c r="J730" s="512"/>
      <c r="K730" s="512"/>
      <c r="L730" s="512"/>
      <c r="M730" s="512"/>
      <c r="N730" s="512"/>
      <c r="O730" s="512"/>
      <c r="P730" s="156"/>
      <c r="Q730" s="512"/>
      <c r="R730" s="512"/>
      <c r="S730" s="512"/>
      <c r="T730" s="512"/>
      <c r="U730" s="512"/>
      <c r="V730" s="512"/>
      <c r="W730" s="512"/>
      <c r="X730" s="512"/>
      <c r="Y730" s="512"/>
      <c r="Z730" s="512"/>
      <c r="AA730" s="512"/>
      <c r="AB730" s="512"/>
      <c r="AC730" s="512"/>
    </row>
    <row r="731">
      <c r="A731" s="512"/>
      <c r="B731" s="512"/>
      <c r="C731" s="512"/>
      <c r="D731" s="512"/>
      <c r="E731" s="512"/>
      <c r="F731" s="512"/>
      <c r="G731" s="512"/>
      <c r="H731" s="512"/>
      <c r="I731" s="512"/>
      <c r="J731" s="512"/>
      <c r="K731" s="512"/>
      <c r="L731" s="512"/>
      <c r="M731" s="512"/>
      <c r="N731" s="512"/>
      <c r="O731" s="512"/>
      <c r="P731" s="156"/>
      <c r="Q731" s="512"/>
      <c r="R731" s="512"/>
      <c r="S731" s="512"/>
      <c r="T731" s="512"/>
      <c r="U731" s="512"/>
      <c r="V731" s="512"/>
      <c r="W731" s="512"/>
      <c r="X731" s="512"/>
      <c r="Y731" s="512"/>
      <c r="Z731" s="512"/>
      <c r="AA731" s="512"/>
      <c r="AB731" s="512"/>
      <c r="AC731" s="512"/>
    </row>
    <row r="732">
      <c r="A732" s="512"/>
      <c r="B732" s="512"/>
      <c r="C732" s="512"/>
      <c r="D732" s="512"/>
      <c r="E732" s="512"/>
      <c r="F732" s="512"/>
      <c r="G732" s="512"/>
      <c r="H732" s="512"/>
      <c r="I732" s="512"/>
      <c r="J732" s="512"/>
      <c r="K732" s="512"/>
      <c r="L732" s="512"/>
      <c r="M732" s="512"/>
      <c r="N732" s="512"/>
      <c r="O732" s="512"/>
      <c r="P732" s="156"/>
      <c r="Q732" s="512"/>
      <c r="R732" s="512"/>
      <c r="S732" s="512"/>
      <c r="T732" s="512"/>
      <c r="U732" s="512"/>
      <c r="V732" s="512"/>
      <c r="W732" s="512"/>
      <c r="X732" s="512"/>
      <c r="Y732" s="512"/>
      <c r="Z732" s="512"/>
      <c r="AA732" s="512"/>
      <c r="AB732" s="512"/>
      <c r="AC732" s="512"/>
    </row>
    <row r="733">
      <c r="A733" s="512"/>
      <c r="B733" s="512"/>
      <c r="C733" s="512"/>
      <c r="D733" s="512"/>
      <c r="E733" s="512"/>
      <c r="F733" s="512"/>
      <c r="G733" s="512"/>
      <c r="H733" s="512"/>
      <c r="I733" s="512"/>
      <c r="J733" s="512"/>
      <c r="K733" s="512"/>
      <c r="L733" s="512"/>
      <c r="M733" s="512"/>
      <c r="N733" s="512"/>
      <c r="O733" s="512"/>
      <c r="P733" s="156"/>
      <c r="Q733" s="512"/>
      <c r="R733" s="512"/>
      <c r="S733" s="512"/>
      <c r="T733" s="512"/>
      <c r="U733" s="512"/>
      <c r="V733" s="512"/>
      <c r="W733" s="512"/>
      <c r="X733" s="512"/>
      <c r="Y733" s="512"/>
      <c r="Z733" s="512"/>
      <c r="AA733" s="512"/>
      <c r="AB733" s="512"/>
      <c r="AC733" s="512"/>
    </row>
    <row r="734">
      <c r="A734" s="512"/>
      <c r="B734" s="512"/>
      <c r="C734" s="512"/>
      <c r="D734" s="512"/>
      <c r="E734" s="512"/>
      <c r="F734" s="512"/>
      <c r="G734" s="512"/>
      <c r="H734" s="512"/>
      <c r="I734" s="512"/>
      <c r="J734" s="512"/>
      <c r="K734" s="512"/>
      <c r="L734" s="512"/>
      <c r="M734" s="512"/>
      <c r="N734" s="512"/>
      <c r="O734" s="512"/>
      <c r="P734" s="156"/>
      <c r="Q734" s="512"/>
      <c r="R734" s="512"/>
      <c r="S734" s="512"/>
      <c r="T734" s="512"/>
      <c r="U734" s="512"/>
      <c r="V734" s="512"/>
      <c r="W734" s="512"/>
      <c r="X734" s="512"/>
      <c r="Y734" s="512"/>
      <c r="Z734" s="512"/>
      <c r="AA734" s="512"/>
      <c r="AB734" s="512"/>
      <c r="AC734" s="512"/>
    </row>
    <row r="735">
      <c r="A735" s="512"/>
      <c r="B735" s="512"/>
      <c r="C735" s="512"/>
      <c r="D735" s="512"/>
      <c r="E735" s="512"/>
      <c r="F735" s="512"/>
      <c r="G735" s="512"/>
      <c r="H735" s="512"/>
      <c r="I735" s="512"/>
      <c r="J735" s="512"/>
      <c r="K735" s="512"/>
      <c r="L735" s="512"/>
      <c r="M735" s="512"/>
      <c r="N735" s="512"/>
      <c r="O735" s="512"/>
      <c r="P735" s="156"/>
      <c r="Q735" s="512"/>
      <c r="R735" s="512"/>
      <c r="S735" s="512"/>
      <c r="T735" s="512"/>
      <c r="U735" s="512"/>
      <c r="V735" s="512"/>
      <c r="W735" s="512"/>
      <c r="X735" s="512"/>
      <c r="Y735" s="512"/>
      <c r="Z735" s="512"/>
      <c r="AA735" s="512"/>
      <c r="AB735" s="512"/>
      <c r="AC735" s="512"/>
    </row>
    <row r="736">
      <c r="A736" s="512"/>
      <c r="B736" s="512"/>
      <c r="C736" s="512"/>
      <c r="D736" s="512"/>
      <c r="E736" s="512"/>
      <c r="F736" s="512"/>
      <c r="G736" s="512"/>
      <c r="H736" s="512"/>
      <c r="I736" s="512"/>
      <c r="J736" s="512"/>
      <c r="K736" s="512"/>
      <c r="L736" s="512"/>
      <c r="M736" s="512"/>
      <c r="N736" s="512"/>
      <c r="O736" s="512"/>
      <c r="P736" s="156"/>
      <c r="Q736" s="512"/>
      <c r="R736" s="512"/>
      <c r="S736" s="512"/>
      <c r="T736" s="512"/>
      <c r="U736" s="512"/>
      <c r="V736" s="512"/>
      <c r="W736" s="512"/>
      <c r="X736" s="512"/>
      <c r="Y736" s="512"/>
      <c r="Z736" s="512"/>
      <c r="AA736" s="512"/>
      <c r="AB736" s="512"/>
      <c r="AC736" s="512"/>
    </row>
    <row r="737">
      <c r="A737" s="512"/>
      <c r="B737" s="512"/>
      <c r="C737" s="512"/>
      <c r="D737" s="512"/>
      <c r="E737" s="512"/>
      <c r="F737" s="512"/>
      <c r="G737" s="512"/>
      <c r="H737" s="512"/>
      <c r="I737" s="512"/>
      <c r="J737" s="512"/>
      <c r="K737" s="512"/>
      <c r="L737" s="512"/>
      <c r="M737" s="512"/>
      <c r="N737" s="512"/>
      <c r="O737" s="512"/>
      <c r="P737" s="156"/>
      <c r="Q737" s="512"/>
      <c r="R737" s="512"/>
      <c r="S737" s="512"/>
      <c r="T737" s="512"/>
      <c r="U737" s="512"/>
      <c r="V737" s="512"/>
      <c r="W737" s="512"/>
      <c r="X737" s="512"/>
      <c r="Y737" s="512"/>
      <c r="Z737" s="512"/>
      <c r="AA737" s="512"/>
      <c r="AB737" s="512"/>
      <c r="AC737" s="512"/>
    </row>
    <row r="738">
      <c r="A738" s="512"/>
      <c r="B738" s="512"/>
      <c r="C738" s="512"/>
      <c r="D738" s="512"/>
      <c r="E738" s="512"/>
      <c r="F738" s="512"/>
      <c r="G738" s="512"/>
      <c r="H738" s="512"/>
      <c r="I738" s="512"/>
      <c r="J738" s="512"/>
      <c r="K738" s="512"/>
      <c r="L738" s="512"/>
      <c r="M738" s="512"/>
      <c r="N738" s="512"/>
      <c r="O738" s="512"/>
      <c r="P738" s="156"/>
      <c r="Q738" s="512"/>
      <c r="R738" s="512"/>
      <c r="S738" s="512"/>
      <c r="T738" s="512"/>
      <c r="U738" s="512"/>
      <c r="V738" s="512"/>
      <c r="W738" s="512"/>
      <c r="X738" s="512"/>
      <c r="Y738" s="512"/>
      <c r="Z738" s="512"/>
      <c r="AA738" s="512"/>
      <c r="AB738" s="512"/>
      <c r="AC738" s="512"/>
    </row>
    <row r="739">
      <c r="A739" s="512"/>
      <c r="B739" s="512"/>
      <c r="C739" s="512"/>
      <c r="D739" s="512"/>
      <c r="E739" s="512"/>
      <c r="F739" s="512"/>
      <c r="G739" s="512"/>
      <c r="H739" s="512"/>
      <c r="I739" s="512"/>
      <c r="J739" s="512"/>
      <c r="K739" s="512"/>
      <c r="L739" s="512"/>
      <c r="M739" s="512"/>
      <c r="N739" s="512"/>
      <c r="O739" s="512"/>
      <c r="P739" s="156"/>
      <c r="Q739" s="512"/>
      <c r="R739" s="512"/>
      <c r="S739" s="512"/>
      <c r="T739" s="512"/>
      <c r="U739" s="512"/>
      <c r="V739" s="512"/>
      <c r="W739" s="512"/>
      <c r="X739" s="512"/>
      <c r="Y739" s="512"/>
      <c r="Z739" s="512"/>
      <c r="AA739" s="512"/>
      <c r="AB739" s="512"/>
      <c r="AC739" s="512"/>
    </row>
    <row r="740">
      <c r="A740" s="512"/>
      <c r="B740" s="512"/>
      <c r="C740" s="512"/>
      <c r="D740" s="512"/>
      <c r="E740" s="512"/>
      <c r="F740" s="512"/>
      <c r="G740" s="512"/>
      <c r="H740" s="512"/>
      <c r="I740" s="512"/>
      <c r="J740" s="512"/>
      <c r="K740" s="512"/>
      <c r="L740" s="512"/>
      <c r="M740" s="512"/>
      <c r="N740" s="512"/>
      <c r="O740" s="512"/>
      <c r="P740" s="156"/>
      <c r="Q740" s="512"/>
      <c r="R740" s="512"/>
      <c r="S740" s="512"/>
      <c r="T740" s="512"/>
      <c r="U740" s="512"/>
      <c r="V740" s="512"/>
      <c r="W740" s="512"/>
      <c r="X740" s="512"/>
      <c r="Y740" s="512"/>
      <c r="Z740" s="512"/>
      <c r="AA740" s="512"/>
      <c r="AB740" s="512"/>
      <c r="AC740" s="512"/>
    </row>
    <row r="741">
      <c r="A741" s="512"/>
      <c r="B741" s="512"/>
      <c r="C741" s="512"/>
      <c r="D741" s="512"/>
      <c r="E741" s="512"/>
      <c r="F741" s="512"/>
      <c r="G741" s="512"/>
      <c r="H741" s="512"/>
      <c r="I741" s="512"/>
      <c r="J741" s="512"/>
      <c r="K741" s="512"/>
      <c r="L741" s="512"/>
      <c r="M741" s="512"/>
      <c r="N741" s="512"/>
      <c r="O741" s="512"/>
      <c r="P741" s="156"/>
      <c r="Q741" s="512"/>
      <c r="R741" s="512"/>
      <c r="S741" s="512"/>
      <c r="T741" s="512"/>
      <c r="U741" s="512"/>
      <c r="V741" s="512"/>
      <c r="W741" s="512"/>
      <c r="X741" s="512"/>
      <c r="Y741" s="512"/>
      <c r="Z741" s="512"/>
      <c r="AA741" s="512"/>
      <c r="AB741" s="512"/>
      <c r="AC741" s="512"/>
    </row>
    <row r="742">
      <c r="A742" s="512"/>
      <c r="B742" s="512"/>
      <c r="C742" s="512"/>
      <c r="D742" s="512"/>
      <c r="E742" s="512"/>
      <c r="F742" s="512"/>
      <c r="G742" s="512"/>
      <c r="H742" s="512"/>
      <c r="I742" s="512"/>
      <c r="J742" s="512"/>
      <c r="K742" s="512"/>
      <c r="L742" s="512"/>
      <c r="M742" s="512"/>
      <c r="N742" s="512"/>
      <c r="O742" s="512"/>
      <c r="P742" s="156"/>
      <c r="Q742" s="512"/>
      <c r="R742" s="512"/>
      <c r="S742" s="512"/>
      <c r="T742" s="512"/>
      <c r="U742" s="512"/>
      <c r="V742" s="512"/>
      <c r="W742" s="512"/>
      <c r="X742" s="512"/>
      <c r="Y742" s="512"/>
      <c r="Z742" s="512"/>
      <c r="AA742" s="512"/>
      <c r="AB742" s="512"/>
      <c r="AC742" s="512"/>
    </row>
    <row r="743">
      <c r="A743" s="512"/>
      <c r="B743" s="512"/>
      <c r="C743" s="512"/>
      <c r="D743" s="512"/>
      <c r="E743" s="512"/>
      <c r="F743" s="512"/>
      <c r="G743" s="512"/>
      <c r="H743" s="512"/>
      <c r="I743" s="512"/>
      <c r="J743" s="512"/>
      <c r="K743" s="512"/>
      <c r="L743" s="512"/>
      <c r="M743" s="512"/>
      <c r="N743" s="512"/>
      <c r="O743" s="512"/>
      <c r="P743" s="156"/>
      <c r="Q743" s="512"/>
      <c r="R743" s="512"/>
      <c r="S743" s="512"/>
      <c r="T743" s="512"/>
      <c r="U743" s="512"/>
      <c r="V743" s="512"/>
      <c r="W743" s="512"/>
      <c r="X743" s="512"/>
      <c r="Y743" s="512"/>
      <c r="Z743" s="512"/>
      <c r="AA743" s="512"/>
      <c r="AB743" s="512"/>
      <c r="AC743" s="512"/>
    </row>
    <row r="744">
      <c r="A744" s="512"/>
      <c r="B744" s="512"/>
      <c r="C744" s="512"/>
      <c r="D744" s="512"/>
      <c r="E744" s="512"/>
      <c r="F744" s="512"/>
      <c r="G744" s="512"/>
      <c r="H744" s="512"/>
      <c r="I744" s="512"/>
      <c r="J744" s="512"/>
      <c r="K744" s="512"/>
      <c r="L744" s="512"/>
      <c r="M744" s="512"/>
      <c r="N744" s="512"/>
      <c r="O744" s="512"/>
      <c r="P744" s="156"/>
      <c r="Q744" s="512"/>
      <c r="R744" s="512"/>
      <c r="S744" s="512"/>
      <c r="T744" s="512"/>
      <c r="U744" s="512"/>
      <c r="V744" s="512"/>
      <c r="W744" s="512"/>
      <c r="X744" s="512"/>
      <c r="Y744" s="512"/>
      <c r="Z744" s="512"/>
      <c r="AA744" s="512"/>
      <c r="AB744" s="512"/>
      <c r="AC744" s="512"/>
    </row>
    <row r="745">
      <c r="A745" s="512"/>
      <c r="B745" s="512"/>
      <c r="C745" s="512"/>
      <c r="D745" s="512"/>
      <c r="E745" s="512"/>
      <c r="F745" s="512"/>
      <c r="G745" s="512"/>
      <c r="H745" s="512"/>
      <c r="I745" s="512"/>
      <c r="J745" s="512"/>
      <c r="K745" s="512"/>
      <c r="L745" s="512"/>
      <c r="M745" s="512"/>
      <c r="N745" s="512"/>
      <c r="O745" s="512"/>
      <c r="P745" s="156"/>
      <c r="Q745" s="512"/>
      <c r="R745" s="512"/>
      <c r="S745" s="512"/>
      <c r="T745" s="512"/>
      <c r="U745" s="512"/>
      <c r="V745" s="512"/>
      <c r="W745" s="512"/>
      <c r="X745" s="512"/>
      <c r="Y745" s="512"/>
      <c r="Z745" s="512"/>
      <c r="AA745" s="512"/>
      <c r="AB745" s="512"/>
      <c r="AC745" s="512"/>
    </row>
    <row r="746">
      <c r="A746" s="512"/>
      <c r="B746" s="512"/>
      <c r="C746" s="512"/>
      <c r="D746" s="512"/>
      <c r="E746" s="512"/>
      <c r="F746" s="512"/>
      <c r="G746" s="512"/>
      <c r="H746" s="512"/>
      <c r="I746" s="512"/>
      <c r="J746" s="512"/>
      <c r="K746" s="512"/>
      <c r="L746" s="512"/>
      <c r="M746" s="512"/>
      <c r="N746" s="512"/>
      <c r="O746" s="512"/>
      <c r="P746" s="156"/>
      <c r="Q746" s="512"/>
      <c r="R746" s="512"/>
      <c r="S746" s="512"/>
      <c r="T746" s="512"/>
      <c r="U746" s="512"/>
      <c r="V746" s="512"/>
      <c r="W746" s="512"/>
      <c r="X746" s="512"/>
      <c r="Y746" s="512"/>
      <c r="Z746" s="512"/>
      <c r="AA746" s="512"/>
      <c r="AB746" s="512"/>
      <c r="AC746" s="512"/>
    </row>
    <row r="747">
      <c r="A747" s="512"/>
      <c r="B747" s="512"/>
      <c r="C747" s="512"/>
      <c r="D747" s="512"/>
      <c r="E747" s="512"/>
      <c r="F747" s="512"/>
      <c r="G747" s="512"/>
      <c r="H747" s="512"/>
      <c r="I747" s="512"/>
      <c r="J747" s="512"/>
      <c r="K747" s="512"/>
      <c r="L747" s="512"/>
      <c r="M747" s="512"/>
      <c r="N747" s="512"/>
      <c r="O747" s="512"/>
      <c r="P747" s="156"/>
      <c r="Q747" s="512"/>
      <c r="R747" s="512"/>
      <c r="S747" s="512"/>
      <c r="T747" s="512"/>
      <c r="U747" s="512"/>
      <c r="V747" s="512"/>
      <c r="W747" s="512"/>
      <c r="X747" s="512"/>
      <c r="Y747" s="512"/>
      <c r="Z747" s="512"/>
      <c r="AA747" s="512"/>
      <c r="AB747" s="512"/>
      <c r="AC747" s="512"/>
    </row>
    <row r="748">
      <c r="A748" s="512"/>
      <c r="B748" s="512"/>
      <c r="C748" s="512"/>
      <c r="D748" s="512"/>
      <c r="E748" s="512"/>
      <c r="F748" s="512"/>
      <c r="G748" s="512"/>
      <c r="H748" s="512"/>
      <c r="I748" s="512"/>
      <c r="J748" s="512"/>
      <c r="K748" s="512"/>
      <c r="L748" s="512"/>
      <c r="M748" s="512"/>
      <c r="N748" s="512"/>
      <c r="O748" s="512"/>
      <c r="P748" s="156"/>
      <c r="Q748" s="512"/>
      <c r="R748" s="512"/>
      <c r="S748" s="512"/>
      <c r="T748" s="512"/>
      <c r="U748" s="512"/>
      <c r="V748" s="512"/>
      <c r="W748" s="512"/>
      <c r="X748" s="512"/>
      <c r="Y748" s="512"/>
      <c r="Z748" s="512"/>
      <c r="AA748" s="512"/>
      <c r="AB748" s="512"/>
      <c r="AC748" s="512"/>
    </row>
    <row r="749">
      <c r="A749" s="512"/>
      <c r="B749" s="512"/>
      <c r="C749" s="512"/>
      <c r="D749" s="512"/>
      <c r="E749" s="512"/>
      <c r="F749" s="512"/>
      <c r="G749" s="512"/>
      <c r="H749" s="512"/>
      <c r="I749" s="512"/>
      <c r="J749" s="512"/>
      <c r="K749" s="512"/>
      <c r="L749" s="512"/>
      <c r="M749" s="512"/>
      <c r="N749" s="512"/>
      <c r="O749" s="512"/>
      <c r="P749" s="156"/>
      <c r="Q749" s="512"/>
      <c r="R749" s="512"/>
      <c r="S749" s="512"/>
      <c r="T749" s="512"/>
      <c r="U749" s="512"/>
      <c r="V749" s="512"/>
      <c r="W749" s="512"/>
      <c r="X749" s="512"/>
      <c r="Y749" s="512"/>
      <c r="Z749" s="512"/>
      <c r="AA749" s="512"/>
      <c r="AB749" s="512"/>
      <c r="AC749" s="512"/>
    </row>
    <row r="750">
      <c r="A750" s="512"/>
      <c r="B750" s="512"/>
      <c r="C750" s="512"/>
      <c r="D750" s="512"/>
      <c r="E750" s="512"/>
      <c r="F750" s="512"/>
      <c r="G750" s="512"/>
      <c r="H750" s="512"/>
      <c r="I750" s="512"/>
      <c r="J750" s="512"/>
      <c r="K750" s="512"/>
      <c r="L750" s="512"/>
      <c r="M750" s="512"/>
      <c r="N750" s="512"/>
      <c r="O750" s="512"/>
      <c r="P750" s="156"/>
      <c r="Q750" s="512"/>
      <c r="R750" s="512"/>
      <c r="S750" s="512"/>
      <c r="T750" s="512"/>
      <c r="U750" s="512"/>
      <c r="V750" s="512"/>
      <c r="W750" s="512"/>
      <c r="X750" s="512"/>
      <c r="Y750" s="512"/>
      <c r="Z750" s="512"/>
      <c r="AA750" s="512"/>
      <c r="AB750" s="512"/>
      <c r="AC750" s="512"/>
    </row>
    <row r="751">
      <c r="A751" s="512"/>
      <c r="B751" s="512"/>
      <c r="C751" s="512"/>
      <c r="D751" s="512"/>
      <c r="E751" s="512"/>
      <c r="F751" s="512"/>
      <c r="G751" s="512"/>
      <c r="H751" s="512"/>
      <c r="I751" s="512"/>
      <c r="J751" s="512"/>
      <c r="K751" s="512"/>
      <c r="L751" s="512"/>
      <c r="M751" s="512"/>
      <c r="N751" s="512"/>
      <c r="O751" s="512"/>
      <c r="P751" s="156"/>
      <c r="Q751" s="512"/>
      <c r="R751" s="512"/>
      <c r="S751" s="512"/>
      <c r="T751" s="512"/>
      <c r="U751" s="512"/>
      <c r="V751" s="512"/>
      <c r="W751" s="512"/>
      <c r="X751" s="512"/>
      <c r="Y751" s="512"/>
      <c r="Z751" s="512"/>
      <c r="AA751" s="512"/>
      <c r="AB751" s="512"/>
      <c r="AC751" s="512"/>
    </row>
    <row r="752">
      <c r="A752" s="512"/>
      <c r="B752" s="512"/>
      <c r="C752" s="512"/>
      <c r="D752" s="512"/>
      <c r="E752" s="512"/>
      <c r="F752" s="512"/>
      <c r="G752" s="512"/>
      <c r="H752" s="512"/>
      <c r="I752" s="512"/>
      <c r="J752" s="512"/>
      <c r="K752" s="512"/>
      <c r="L752" s="512"/>
      <c r="M752" s="512"/>
      <c r="N752" s="512"/>
      <c r="O752" s="512"/>
      <c r="P752" s="156"/>
      <c r="Q752" s="512"/>
      <c r="R752" s="512"/>
      <c r="S752" s="512"/>
      <c r="T752" s="512"/>
      <c r="U752" s="512"/>
      <c r="V752" s="512"/>
      <c r="W752" s="512"/>
      <c r="X752" s="512"/>
      <c r="Y752" s="512"/>
      <c r="Z752" s="512"/>
      <c r="AA752" s="512"/>
      <c r="AB752" s="512"/>
      <c r="AC752" s="512"/>
    </row>
    <row r="753">
      <c r="A753" s="512"/>
      <c r="B753" s="512"/>
      <c r="C753" s="512"/>
      <c r="D753" s="512"/>
      <c r="E753" s="512"/>
      <c r="F753" s="512"/>
      <c r="G753" s="512"/>
      <c r="H753" s="512"/>
      <c r="I753" s="512"/>
      <c r="J753" s="512"/>
      <c r="K753" s="512"/>
      <c r="L753" s="512"/>
      <c r="M753" s="512"/>
      <c r="N753" s="512"/>
      <c r="O753" s="512"/>
      <c r="P753" s="156"/>
      <c r="Q753" s="512"/>
      <c r="R753" s="512"/>
      <c r="S753" s="512"/>
      <c r="T753" s="512"/>
      <c r="U753" s="512"/>
      <c r="V753" s="512"/>
      <c r="W753" s="512"/>
      <c r="X753" s="512"/>
      <c r="Y753" s="512"/>
      <c r="Z753" s="512"/>
      <c r="AA753" s="512"/>
      <c r="AB753" s="512"/>
      <c r="AC753" s="512"/>
    </row>
    <row r="754">
      <c r="A754" s="512"/>
      <c r="B754" s="512"/>
      <c r="C754" s="512"/>
      <c r="D754" s="512"/>
      <c r="E754" s="512"/>
      <c r="F754" s="512"/>
      <c r="G754" s="512"/>
      <c r="H754" s="512"/>
      <c r="I754" s="512"/>
      <c r="J754" s="512"/>
      <c r="K754" s="512"/>
      <c r="L754" s="512"/>
      <c r="M754" s="512"/>
      <c r="N754" s="512"/>
      <c r="O754" s="512"/>
      <c r="P754" s="156"/>
      <c r="Q754" s="512"/>
      <c r="R754" s="512"/>
      <c r="S754" s="512"/>
      <c r="T754" s="512"/>
      <c r="U754" s="512"/>
      <c r="V754" s="512"/>
      <c r="W754" s="512"/>
      <c r="X754" s="512"/>
      <c r="Y754" s="512"/>
      <c r="Z754" s="512"/>
      <c r="AA754" s="512"/>
      <c r="AB754" s="512"/>
      <c r="AC754" s="512"/>
    </row>
    <row r="755">
      <c r="A755" s="512"/>
      <c r="B755" s="512"/>
      <c r="C755" s="512"/>
      <c r="D755" s="512"/>
      <c r="E755" s="512"/>
      <c r="F755" s="512"/>
      <c r="G755" s="512"/>
      <c r="H755" s="512"/>
      <c r="I755" s="512"/>
      <c r="J755" s="512"/>
      <c r="K755" s="512"/>
      <c r="L755" s="512"/>
      <c r="M755" s="512"/>
      <c r="N755" s="512"/>
      <c r="O755" s="512"/>
      <c r="P755" s="156"/>
      <c r="Q755" s="512"/>
      <c r="R755" s="512"/>
      <c r="S755" s="512"/>
      <c r="T755" s="512"/>
      <c r="U755" s="512"/>
      <c r="V755" s="512"/>
      <c r="W755" s="512"/>
      <c r="X755" s="512"/>
      <c r="Y755" s="512"/>
      <c r="Z755" s="512"/>
      <c r="AA755" s="512"/>
      <c r="AB755" s="512"/>
      <c r="AC755" s="512"/>
    </row>
    <row r="756">
      <c r="A756" s="512"/>
      <c r="B756" s="512"/>
      <c r="C756" s="512"/>
      <c r="D756" s="512"/>
      <c r="E756" s="512"/>
      <c r="F756" s="512"/>
      <c r="G756" s="512"/>
      <c r="H756" s="512"/>
      <c r="I756" s="512"/>
      <c r="J756" s="512"/>
      <c r="K756" s="512"/>
      <c r="L756" s="512"/>
      <c r="M756" s="512"/>
      <c r="N756" s="512"/>
      <c r="O756" s="512"/>
      <c r="P756" s="156"/>
      <c r="Q756" s="512"/>
      <c r="R756" s="512"/>
      <c r="S756" s="512"/>
      <c r="T756" s="512"/>
      <c r="U756" s="512"/>
      <c r="V756" s="512"/>
      <c r="W756" s="512"/>
      <c r="X756" s="512"/>
      <c r="Y756" s="512"/>
      <c r="Z756" s="512"/>
      <c r="AA756" s="512"/>
      <c r="AB756" s="512"/>
      <c r="AC756" s="512"/>
    </row>
    <row r="757">
      <c r="A757" s="512"/>
      <c r="B757" s="512"/>
      <c r="C757" s="512"/>
      <c r="D757" s="512"/>
      <c r="E757" s="512"/>
      <c r="F757" s="512"/>
      <c r="G757" s="512"/>
      <c r="H757" s="512"/>
      <c r="I757" s="512"/>
      <c r="J757" s="512"/>
      <c r="K757" s="512"/>
      <c r="L757" s="512"/>
      <c r="M757" s="512"/>
      <c r="N757" s="512"/>
      <c r="O757" s="512"/>
      <c r="P757" s="156"/>
      <c r="Q757" s="512"/>
      <c r="R757" s="512"/>
      <c r="S757" s="512"/>
      <c r="T757" s="512"/>
      <c r="U757" s="512"/>
      <c r="V757" s="512"/>
      <c r="W757" s="512"/>
      <c r="X757" s="512"/>
      <c r="Y757" s="512"/>
      <c r="Z757" s="512"/>
      <c r="AA757" s="512"/>
      <c r="AB757" s="512"/>
      <c r="AC757" s="512"/>
    </row>
    <row r="758">
      <c r="A758" s="512"/>
      <c r="B758" s="512"/>
      <c r="C758" s="512"/>
      <c r="D758" s="512"/>
      <c r="E758" s="512"/>
      <c r="F758" s="512"/>
      <c r="G758" s="512"/>
      <c r="H758" s="512"/>
      <c r="I758" s="512"/>
      <c r="J758" s="512"/>
      <c r="K758" s="512"/>
      <c r="L758" s="512"/>
      <c r="M758" s="512"/>
      <c r="N758" s="512"/>
      <c r="O758" s="512"/>
      <c r="P758" s="156"/>
      <c r="Q758" s="512"/>
      <c r="R758" s="512"/>
      <c r="S758" s="512"/>
      <c r="T758" s="512"/>
      <c r="U758" s="512"/>
      <c r="V758" s="512"/>
      <c r="W758" s="512"/>
      <c r="X758" s="512"/>
      <c r="Y758" s="512"/>
      <c r="Z758" s="512"/>
      <c r="AA758" s="512"/>
      <c r="AB758" s="512"/>
      <c r="AC758" s="512"/>
    </row>
    <row r="759">
      <c r="A759" s="512"/>
      <c r="B759" s="512"/>
      <c r="C759" s="512"/>
      <c r="D759" s="512"/>
      <c r="E759" s="512"/>
      <c r="F759" s="512"/>
      <c r="G759" s="512"/>
      <c r="H759" s="512"/>
      <c r="I759" s="512"/>
      <c r="J759" s="512"/>
      <c r="K759" s="512"/>
      <c r="L759" s="512"/>
      <c r="M759" s="512"/>
      <c r="N759" s="512"/>
      <c r="O759" s="512"/>
      <c r="P759" s="156"/>
      <c r="Q759" s="512"/>
      <c r="R759" s="512"/>
      <c r="S759" s="512"/>
      <c r="T759" s="512"/>
      <c r="U759" s="512"/>
      <c r="V759" s="512"/>
      <c r="W759" s="512"/>
      <c r="X759" s="512"/>
      <c r="Y759" s="512"/>
      <c r="Z759" s="512"/>
      <c r="AA759" s="512"/>
      <c r="AB759" s="512"/>
      <c r="AC759" s="512"/>
    </row>
    <row r="760">
      <c r="A760" s="512"/>
      <c r="B760" s="512"/>
      <c r="C760" s="512"/>
      <c r="D760" s="512"/>
      <c r="E760" s="512"/>
      <c r="F760" s="512"/>
      <c r="G760" s="512"/>
      <c r="H760" s="512"/>
      <c r="I760" s="512"/>
      <c r="J760" s="512"/>
      <c r="K760" s="512"/>
      <c r="L760" s="512"/>
      <c r="M760" s="512"/>
      <c r="N760" s="512"/>
      <c r="O760" s="512"/>
      <c r="P760" s="156"/>
      <c r="Q760" s="512"/>
      <c r="R760" s="512"/>
      <c r="S760" s="512"/>
      <c r="T760" s="512"/>
      <c r="U760" s="512"/>
      <c r="V760" s="512"/>
      <c r="W760" s="512"/>
      <c r="X760" s="512"/>
      <c r="Y760" s="512"/>
      <c r="Z760" s="512"/>
      <c r="AA760" s="512"/>
      <c r="AB760" s="512"/>
      <c r="AC760" s="512"/>
    </row>
    <row r="761">
      <c r="A761" s="512"/>
      <c r="B761" s="512"/>
      <c r="C761" s="512"/>
      <c r="D761" s="512"/>
      <c r="E761" s="512"/>
      <c r="F761" s="512"/>
      <c r="G761" s="512"/>
      <c r="H761" s="512"/>
      <c r="I761" s="512"/>
      <c r="J761" s="512"/>
      <c r="K761" s="512"/>
      <c r="L761" s="512"/>
      <c r="M761" s="512"/>
      <c r="N761" s="512"/>
      <c r="O761" s="512"/>
      <c r="P761" s="156"/>
      <c r="Q761" s="512"/>
      <c r="R761" s="512"/>
      <c r="S761" s="512"/>
      <c r="T761" s="512"/>
      <c r="U761" s="512"/>
      <c r="V761" s="512"/>
      <c r="W761" s="512"/>
      <c r="X761" s="512"/>
      <c r="Y761" s="512"/>
      <c r="Z761" s="512"/>
      <c r="AA761" s="512"/>
      <c r="AB761" s="512"/>
      <c r="AC761" s="512"/>
    </row>
    <row r="762">
      <c r="A762" s="512"/>
      <c r="B762" s="512"/>
      <c r="C762" s="512"/>
      <c r="D762" s="512"/>
      <c r="E762" s="512"/>
      <c r="F762" s="512"/>
      <c r="G762" s="512"/>
      <c r="H762" s="512"/>
      <c r="I762" s="512"/>
      <c r="J762" s="512"/>
      <c r="K762" s="512"/>
      <c r="L762" s="512"/>
      <c r="M762" s="512"/>
      <c r="N762" s="512"/>
      <c r="O762" s="512"/>
      <c r="P762" s="156"/>
      <c r="Q762" s="512"/>
      <c r="R762" s="512"/>
      <c r="S762" s="512"/>
      <c r="T762" s="512"/>
      <c r="U762" s="512"/>
      <c r="V762" s="512"/>
      <c r="W762" s="512"/>
      <c r="X762" s="512"/>
      <c r="Y762" s="512"/>
      <c r="Z762" s="512"/>
      <c r="AA762" s="512"/>
      <c r="AB762" s="512"/>
      <c r="AC762" s="512"/>
    </row>
    <row r="763">
      <c r="A763" s="512"/>
      <c r="B763" s="512"/>
      <c r="C763" s="512"/>
      <c r="D763" s="512"/>
      <c r="E763" s="512"/>
      <c r="F763" s="512"/>
      <c r="G763" s="512"/>
      <c r="H763" s="512"/>
      <c r="I763" s="512"/>
      <c r="J763" s="512"/>
      <c r="K763" s="512"/>
      <c r="L763" s="512"/>
      <c r="M763" s="512"/>
      <c r="N763" s="512"/>
      <c r="O763" s="512"/>
      <c r="P763" s="156"/>
      <c r="Q763" s="512"/>
      <c r="R763" s="512"/>
      <c r="S763" s="512"/>
      <c r="T763" s="512"/>
      <c r="U763" s="512"/>
      <c r="V763" s="512"/>
      <c r="W763" s="512"/>
      <c r="X763" s="512"/>
      <c r="Y763" s="512"/>
      <c r="Z763" s="512"/>
      <c r="AA763" s="512"/>
      <c r="AB763" s="512"/>
      <c r="AC763" s="512"/>
    </row>
    <row r="764">
      <c r="A764" s="512"/>
      <c r="B764" s="512"/>
      <c r="C764" s="512"/>
      <c r="D764" s="512"/>
      <c r="E764" s="512"/>
      <c r="F764" s="512"/>
      <c r="G764" s="512"/>
      <c r="H764" s="512"/>
      <c r="I764" s="512"/>
      <c r="J764" s="512"/>
      <c r="K764" s="512"/>
      <c r="L764" s="512"/>
      <c r="M764" s="512"/>
      <c r="N764" s="512"/>
      <c r="O764" s="512"/>
      <c r="P764" s="156"/>
      <c r="Q764" s="512"/>
      <c r="R764" s="512"/>
      <c r="S764" s="512"/>
      <c r="T764" s="512"/>
      <c r="U764" s="512"/>
      <c r="V764" s="512"/>
      <c r="W764" s="512"/>
      <c r="X764" s="512"/>
      <c r="Y764" s="512"/>
      <c r="Z764" s="512"/>
      <c r="AA764" s="512"/>
      <c r="AB764" s="512"/>
      <c r="AC764" s="512"/>
    </row>
    <row r="765">
      <c r="A765" s="512"/>
      <c r="B765" s="512"/>
      <c r="C765" s="512"/>
      <c r="D765" s="512"/>
      <c r="E765" s="512"/>
      <c r="F765" s="512"/>
      <c r="G765" s="512"/>
      <c r="H765" s="512"/>
      <c r="I765" s="512"/>
      <c r="J765" s="512"/>
      <c r="K765" s="512"/>
      <c r="L765" s="512"/>
      <c r="M765" s="512"/>
      <c r="N765" s="512"/>
      <c r="O765" s="512"/>
      <c r="P765" s="156"/>
      <c r="Q765" s="512"/>
      <c r="R765" s="512"/>
      <c r="S765" s="512"/>
      <c r="T765" s="512"/>
      <c r="U765" s="512"/>
      <c r="V765" s="512"/>
      <c r="W765" s="512"/>
      <c r="X765" s="512"/>
      <c r="Y765" s="512"/>
      <c r="Z765" s="512"/>
      <c r="AA765" s="512"/>
      <c r="AB765" s="512"/>
      <c r="AC765" s="512"/>
    </row>
    <row r="766">
      <c r="A766" s="512"/>
      <c r="B766" s="512"/>
      <c r="C766" s="512"/>
      <c r="D766" s="512"/>
      <c r="E766" s="512"/>
      <c r="F766" s="512"/>
      <c r="G766" s="512"/>
      <c r="H766" s="512"/>
      <c r="I766" s="512"/>
      <c r="J766" s="512"/>
      <c r="K766" s="512"/>
      <c r="L766" s="512"/>
      <c r="M766" s="512"/>
      <c r="N766" s="512"/>
      <c r="O766" s="512"/>
      <c r="P766" s="156"/>
      <c r="Q766" s="512"/>
      <c r="R766" s="512"/>
      <c r="S766" s="512"/>
      <c r="T766" s="512"/>
      <c r="U766" s="512"/>
      <c r="V766" s="512"/>
      <c r="W766" s="512"/>
      <c r="X766" s="512"/>
      <c r="Y766" s="512"/>
      <c r="Z766" s="512"/>
      <c r="AA766" s="512"/>
      <c r="AB766" s="512"/>
      <c r="AC766" s="512"/>
    </row>
    <row r="767">
      <c r="A767" s="512"/>
      <c r="B767" s="512"/>
      <c r="C767" s="512"/>
      <c r="D767" s="512"/>
      <c r="E767" s="512"/>
      <c r="F767" s="512"/>
      <c r="G767" s="512"/>
      <c r="H767" s="512"/>
      <c r="I767" s="512"/>
      <c r="J767" s="512"/>
      <c r="K767" s="512"/>
      <c r="L767" s="512"/>
      <c r="M767" s="512"/>
      <c r="N767" s="512"/>
      <c r="O767" s="512"/>
      <c r="P767" s="156"/>
      <c r="Q767" s="512"/>
      <c r="R767" s="512"/>
      <c r="S767" s="512"/>
      <c r="T767" s="512"/>
      <c r="U767" s="512"/>
      <c r="V767" s="512"/>
      <c r="W767" s="512"/>
      <c r="X767" s="512"/>
      <c r="Y767" s="512"/>
      <c r="Z767" s="512"/>
      <c r="AA767" s="512"/>
      <c r="AB767" s="512"/>
      <c r="AC767" s="512"/>
    </row>
    <row r="768">
      <c r="A768" s="512"/>
      <c r="B768" s="512"/>
      <c r="C768" s="512"/>
      <c r="D768" s="512"/>
      <c r="E768" s="512"/>
      <c r="F768" s="512"/>
      <c r="G768" s="512"/>
      <c r="H768" s="512"/>
      <c r="I768" s="512"/>
      <c r="J768" s="512"/>
      <c r="K768" s="512"/>
      <c r="L768" s="512"/>
      <c r="M768" s="512"/>
      <c r="N768" s="512"/>
      <c r="O768" s="512"/>
      <c r="P768" s="156"/>
      <c r="Q768" s="512"/>
      <c r="R768" s="512"/>
      <c r="S768" s="512"/>
      <c r="T768" s="512"/>
      <c r="U768" s="512"/>
      <c r="V768" s="512"/>
      <c r="W768" s="512"/>
      <c r="X768" s="512"/>
      <c r="Y768" s="512"/>
      <c r="Z768" s="512"/>
      <c r="AA768" s="512"/>
      <c r="AB768" s="512"/>
      <c r="AC768" s="512"/>
    </row>
    <row r="769">
      <c r="A769" s="512"/>
      <c r="B769" s="512"/>
      <c r="C769" s="512"/>
      <c r="D769" s="512"/>
      <c r="E769" s="512"/>
      <c r="F769" s="512"/>
      <c r="G769" s="512"/>
      <c r="H769" s="512"/>
      <c r="I769" s="512"/>
      <c r="J769" s="512"/>
      <c r="K769" s="512"/>
      <c r="L769" s="512"/>
      <c r="M769" s="512"/>
      <c r="N769" s="512"/>
      <c r="O769" s="512"/>
      <c r="P769" s="156"/>
      <c r="Q769" s="512"/>
      <c r="R769" s="512"/>
      <c r="S769" s="512"/>
      <c r="T769" s="512"/>
      <c r="U769" s="512"/>
      <c r="V769" s="512"/>
      <c r="W769" s="512"/>
      <c r="X769" s="512"/>
      <c r="Y769" s="512"/>
      <c r="Z769" s="512"/>
      <c r="AA769" s="512"/>
      <c r="AB769" s="512"/>
      <c r="AC769" s="512"/>
    </row>
    <row r="770">
      <c r="A770" s="512"/>
      <c r="B770" s="512"/>
      <c r="C770" s="512"/>
      <c r="D770" s="512"/>
      <c r="E770" s="512"/>
      <c r="F770" s="512"/>
      <c r="G770" s="512"/>
      <c r="H770" s="512"/>
      <c r="I770" s="512"/>
      <c r="J770" s="512"/>
      <c r="K770" s="512"/>
      <c r="L770" s="512"/>
      <c r="M770" s="512"/>
      <c r="N770" s="512"/>
      <c r="O770" s="512"/>
      <c r="P770" s="156"/>
      <c r="Q770" s="512"/>
      <c r="R770" s="512"/>
      <c r="S770" s="512"/>
      <c r="T770" s="512"/>
      <c r="U770" s="512"/>
      <c r="V770" s="512"/>
      <c r="W770" s="512"/>
      <c r="X770" s="512"/>
      <c r="Y770" s="512"/>
      <c r="Z770" s="512"/>
      <c r="AA770" s="512"/>
      <c r="AB770" s="512"/>
      <c r="AC770" s="512"/>
    </row>
    <row r="771">
      <c r="A771" s="512"/>
      <c r="B771" s="512"/>
      <c r="C771" s="512"/>
      <c r="D771" s="512"/>
      <c r="E771" s="512"/>
      <c r="F771" s="512"/>
      <c r="G771" s="512"/>
      <c r="H771" s="512"/>
      <c r="I771" s="512"/>
      <c r="J771" s="512"/>
      <c r="K771" s="512"/>
      <c r="L771" s="512"/>
      <c r="M771" s="512"/>
      <c r="N771" s="512"/>
      <c r="O771" s="512"/>
      <c r="P771" s="156"/>
      <c r="Q771" s="512"/>
      <c r="R771" s="512"/>
      <c r="S771" s="512"/>
      <c r="T771" s="512"/>
      <c r="U771" s="512"/>
      <c r="V771" s="512"/>
      <c r="W771" s="512"/>
      <c r="X771" s="512"/>
      <c r="Y771" s="512"/>
      <c r="Z771" s="512"/>
      <c r="AA771" s="512"/>
      <c r="AB771" s="512"/>
      <c r="AC771" s="512"/>
    </row>
    <row r="772">
      <c r="A772" s="512"/>
      <c r="B772" s="512"/>
      <c r="C772" s="512"/>
      <c r="D772" s="512"/>
      <c r="E772" s="512"/>
      <c r="F772" s="512"/>
      <c r="G772" s="512"/>
      <c r="H772" s="512"/>
      <c r="I772" s="512"/>
      <c r="J772" s="512"/>
      <c r="K772" s="512"/>
      <c r="L772" s="512"/>
      <c r="M772" s="512"/>
      <c r="N772" s="512"/>
      <c r="O772" s="512"/>
      <c r="P772" s="156"/>
      <c r="Q772" s="512"/>
      <c r="R772" s="512"/>
      <c r="S772" s="512"/>
      <c r="T772" s="512"/>
      <c r="U772" s="512"/>
      <c r="V772" s="512"/>
      <c r="W772" s="512"/>
      <c r="X772" s="512"/>
      <c r="Y772" s="512"/>
      <c r="Z772" s="512"/>
      <c r="AA772" s="512"/>
      <c r="AB772" s="512"/>
      <c r="AC772" s="512"/>
    </row>
    <row r="773">
      <c r="A773" s="512"/>
      <c r="B773" s="512"/>
      <c r="C773" s="512"/>
      <c r="D773" s="512"/>
      <c r="E773" s="512"/>
      <c r="F773" s="512"/>
      <c r="G773" s="512"/>
      <c r="H773" s="512"/>
      <c r="I773" s="512"/>
      <c r="J773" s="512"/>
      <c r="K773" s="512"/>
      <c r="L773" s="512"/>
      <c r="M773" s="512"/>
      <c r="N773" s="512"/>
      <c r="O773" s="512"/>
      <c r="P773" s="156"/>
      <c r="Q773" s="512"/>
      <c r="R773" s="512"/>
      <c r="S773" s="512"/>
      <c r="T773" s="512"/>
      <c r="U773" s="512"/>
      <c r="V773" s="512"/>
      <c r="W773" s="512"/>
      <c r="X773" s="512"/>
      <c r="Y773" s="512"/>
      <c r="Z773" s="512"/>
      <c r="AA773" s="512"/>
      <c r="AB773" s="512"/>
      <c r="AC773" s="512"/>
    </row>
    <row r="774">
      <c r="A774" s="512"/>
      <c r="B774" s="512"/>
      <c r="C774" s="512"/>
      <c r="D774" s="512"/>
      <c r="E774" s="512"/>
      <c r="F774" s="512"/>
      <c r="G774" s="512"/>
      <c r="H774" s="512"/>
      <c r="I774" s="512"/>
      <c r="J774" s="512"/>
      <c r="K774" s="512"/>
      <c r="L774" s="512"/>
      <c r="M774" s="512"/>
      <c r="N774" s="512"/>
      <c r="O774" s="512"/>
      <c r="P774" s="156"/>
      <c r="Q774" s="512"/>
      <c r="R774" s="512"/>
      <c r="S774" s="512"/>
      <c r="T774" s="512"/>
      <c r="U774" s="512"/>
      <c r="V774" s="512"/>
      <c r="W774" s="512"/>
      <c r="X774" s="512"/>
      <c r="Y774" s="512"/>
      <c r="Z774" s="512"/>
      <c r="AA774" s="512"/>
      <c r="AB774" s="512"/>
      <c r="AC774" s="512"/>
    </row>
    <row r="775">
      <c r="A775" s="512"/>
      <c r="B775" s="512"/>
      <c r="C775" s="512"/>
      <c r="D775" s="512"/>
      <c r="E775" s="512"/>
      <c r="F775" s="512"/>
      <c r="G775" s="512"/>
      <c r="H775" s="512"/>
      <c r="I775" s="512"/>
      <c r="J775" s="512"/>
      <c r="K775" s="512"/>
      <c r="L775" s="512"/>
      <c r="M775" s="512"/>
      <c r="N775" s="512"/>
      <c r="O775" s="512"/>
      <c r="P775" s="156"/>
      <c r="Q775" s="512"/>
      <c r="R775" s="512"/>
      <c r="S775" s="512"/>
      <c r="T775" s="512"/>
      <c r="U775" s="512"/>
      <c r="V775" s="512"/>
      <c r="W775" s="512"/>
      <c r="X775" s="512"/>
      <c r="Y775" s="512"/>
      <c r="Z775" s="512"/>
      <c r="AA775" s="512"/>
      <c r="AB775" s="512"/>
      <c r="AC775" s="512"/>
    </row>
    <row r="776">
      <c r="A776" s="512"/>
      <c r="B776" s="512"/>
      <c r="C776" s="512"/>
      <c r="D776" s="512"/>
      <c r="E776" s="512"/>
      <c r="F776" s="512"/>
      <c r="G776" s="512"/>
      <c r="H776" s="512"/>
      <c r="I776" s="512"/>
      <c r="J776" s="512"/>
      <c r="K776" s="512"/>
      <c r="L776" s="512"/>
      <c r="M776" s="512"/>
      <c r="N776" s="512"/>
      <c r="O776" s="512"/>
      <c r="P776" s="156"/>
      <c r="Q776" s="512"/>
      <c r="R776" s="512"/>
      <c r="S776" s="512"/>
      <c r="T776" s="512"/>
      <c r="U776" s="512"/>
      <c r="V776" s="512"/>
      <c r="W776" s="512"/>
      <c r="X776" s="512"/>
      <c r="Y776" s="512"/>
      <c r="Z776" s="512"/>
      <c r="AA776" s="512"/>
      <c r="AB776" s="512"/>
      <c r="AC776" s="512"/>
    </row>
    <row r="777">
      <c r="A777" s="512"/>
      <c r="B777" s="512"/>
      <c r="C777" s="512"/>
      <c r="D777" s="512"/>
      <c r="E777" s="512"/>
      <c r="F777" s="512"/>
      <c r="G777" s="512"/>
      <c r="H777" s="512"/>
      <c r="I777" s="512"/>
      <c r="J777" s="512"/>
      <c r="K777" s="512"/>
      <c r="L777" s="512"/>
      <c r="M777" s="512"/>
      <c r="N777" s="512"/>
      <c r="O777" s="512"/>
      <c r="P777" s="156"/>
      <c r="Q777" s="512"/>
      <c r="R777" s="512"/>
      <c r="S777" s="512"/>
      <c r="T777" s="512"/>
      <c r="U777" s="512"/>
      <c r="V777" s="512"/>
      <c r="W777" s="512"/>
      <c r="X777" s="512"/>
      <c r="Y777" s="512"/>
      <c r="Z777" s="512"/>
      <c r="AA777" s="512"/>
      <c r="AB777" s="512"/>
      <c r="AC777" s="512"/>
    </row>
    <row r="778">
      <c r="A778" s="512"/>
      <c r="B778" s="512"/>
      <c r="C778" s="512"/>
      <c r="D778" s="512"/>
      <c r="E778" s="512"/>
      <c r="F778" s="512"/>
      <c r="G778" s="512"/>
      <c r="H778" s="512"/>
      <c r="I778" s="512"/>
      <c r="J778" s="512"/>
      <c r="K778" s="512"/>
      <c r="L778" s="512"/>
      <c r="M778" s="512"/>
      <c r="N778" s="512"/>
      <c r="O778" s="512"/>
      <c r="P778" s="156"/>
      <c r="Q778" s="512"/>
      <c r="R778" s="512"/>
      <c r="S778" s="512"/>
      <c r="T778" s="512"/>
      <c r="U778" s="512"/>
      <c r="V778" s="512"/>
      <c r="W778" s="512"/>
      <c r="X778" s="512"/>
      <c r="Y778" s="512"/>
      <c r="Z778" s="512"/>
      <c r="AA778" s="512"/>
      <c r="AB778" s="512"/>
      <c r="AC778" s="512"/>
    </row>
    <row r="779">
      <c r="A779" s="512"/>
      <c r="B779" s="512"/>
      <c r="C779" s="512"/>
      <c r="D779" s="512"/>
      <c r="E779" s="512"/>
      <c r="F779" s="512"/>
      <c r="G779" s="512"/>
      <c r="H779" s="512"/>
      <c r="I779" s="512"/>
      <c r="J779" s="512"/>
      <c r="K779" s="512"/>
      <c r="L779" s="512"/>
      <c r="M779" s="512"/>
      <c r="N779" s="512"/>
      <c r="O779" s="512"/>
      <c r="P779" s="156"/>
      <c r="Q779" s="512"/>
      <c r="R779" s="512"/>
      <c r="S779" s="512"/>
      <c r="T779" s="512"/>
      <c r="U779" s="512"/>
      <c r="V779" s="512"/>
      <c r="W779" s="512"/>
      <c r="X779" s="512"/>
      <c r="Y779" s="512"/>
      <c r="Z779" s="512"/>
      <c r="AA779" s="512"/>
      <c r="AB779" s="512"/>
      <c r="AC779" s="512"/>
    </row>
    <row r="780">
      <c r="A780" s="512"/>
      <c r="B780" s="512"/>
      <c r="C780" s="512"/>
      <c r="D780" s="512"/>
      <c r="E780" s="512"/>
      <c r="F780" s="512"/>
      <c r="G780" s="512"/>
      <c r="H780" s="512"/>
      <c r="I780" s="512"/>
      <c r="J780" s="512"/>
      <c r="K780" s="512"/>
      <c r="L780" s="512"/>
      <c r="M780" s="512"/>
      <c r="N780" s="512"/>
      <c r="O780" s="512"/>
      <c r="P780" s="156"/>
      <c r="Q780" s="512"/>
      <c r="R780" s="512"/>
      <c r="S780" s="512"/>
      <c r="T780" s="512"/>
      <c r="U780" s="512"/>
      <c r="V780" s="512"/>
      <c r="W780" s="512"/>
      <c r="X780" s="512"/>
      <c r="Y780" s="512"/>
      <c r="Z780" s="512"/>
      <c r="AA780" s="512"/>
      <c r="AB780" s="512"/>
      <c r="AC780" s="512"/>
    </row>
    <row r="781">
      <c r="A781" s="512"/>
      <c r="B781" s="512"/>
      <c r="C781" s="512"/>
      <c r="D781" s="512"/>
      <c r="E781" s="512"/>
      <c r="F781" s="512"/>
      <c r="G781" s="512"/>
      <c r="H781" s="512"/>
      <c r="I781" s="512"/>
      <c r="J781" s="512"/>
      <c r="K781" s="512"/>
      <c r="L781" s="512"/>
      <c r="M781" s="512"/>
      <c r="N781" s="512"/>
      <c r="O781" s="512"/>
      <c r="P781" s="156"/>
      <c r="Q781" s="512"/>
      <c r="R781" s="512"/>
      <c r="S781" s="512"/>
      <c r="T781" s="512"/>
      <c r="U781" s="512"/>
      <c r="V781" s="512"/>
      <c r="W781" s="512"/>
      <c r="X781" s="512"/>
      <c r="Y781" s="512"/>
      <c r="Z781" s="512"/>
      <c r="AA781" s="512"/>
      <c r="AB781" s="512"/>
      <c r="AC781" s="512"/>
    </row>
    <row r="782">
      <c r="A782" s="512"/>
      <c r="B782" s="512"/>
      <c r="C782" s="512"/>
      <c r="D782" s="512"/>
      <c r="E782" s="512"/>
      <c r="F782" s="512"/>
      <c r="G782" s="512"/>
      <c r="H782" s="512"/>
      <c r="I782" s="512"/>
      <c r="J782" s="512"/>
      <c r="K782" s="512"/>
      <c r="L782" s="512"/>
      <c r="M782" s="512"/>
      <c r="N782" s="512"/>
      <c r="O782" s="512"/>
      <c r="P782" s="156"/>
      <c r="Q782" s="512"/>
      <c r="R782" s="512"/>
      <c r="S782" s="512"/>
      <c r="T782" s="512"/>
      <c r="U782" s="512"/>
      <c r="V782" s="512"/>
      <c r="W782" s="512"/>
      <c r="X782" s="512"/>
      <c r="Y782" s="512"/>
      <c r="Z782" s="512"/>
      <c r="AA782" s="512"/>
      <c r="AB782" s="512"/>
      <c r="AC782" s="512"/>
    </row>
    <row r="783">
      <c r="A783" s="512"/>
      <c r="B783" s="512"/>
      <c r="C783" s="512"/>
      <c r="D783" s="512"/>
      <c r="E783" s="512"/>
      <c r="F783" s="512"/>
      <c r="G783" s="512"/>
      <c r="H783" s="512"/>
      <c r="I783" s="512"/>
      <c r="J783" s="512"/>
      <c r="K783" s="512"/>
      <c r="L783" s="512"/>
      <c r="M783" s="512"/>
      <c r="N783" s="512"/>
      <c r="O783" s="512"/>
      <c r="P783" s="156"/>
      <c r="Q783" s="512"/>
      <c r="R783" s="512"/>
      <c r="S783" s="512"/>
      <c r="T783" s="512"/>
      <c r="U783" s="512"/>
      <c r="V783" s="512"/>
      <c r="W783" s="512"/>
      <c r="X783" s="512"/>
      <c r="Y783" s="512"/>
      <c r="Z783" s="512"/>
      <c r="AA783" s="512"/>
      <c r="AB783" s="512"/>
      <c r="AC783" s="512"/>
    </row>
    <row r="784">
      <c r="A784" s="512"/>
      <c r="B784" s="512"/>
      <c r="C784" s="512"/>
      <c r="D784" s="512"/>
      <c r="E784" s="512"/>
      <c r="F784" s="512"/>
      <c r="G784" s="512"/>
      <c r="H784" s="512"/>
      <c r="I784" s="512"/>
      <c r="J784" s="512"/>
      <c r="K784" s="512"/>
      <c r="L784" s="512"/>
      <c r="M784" s="512"/>
      <c r="N784" s="512"/>
      <c r="O784" s="512"/>
      <c r="P784" s="156"/>
      <c r="Q784" s="512"/>
      <c r="R784" s="512"/>
      <c r="S784" s="512"/>
      <c r="T784" s="512"/>
      <c r="U784" s="512"/>
      <c r="V784" s="512"/>
      <c r="W784" s="512"/>
      <c r="X784" s="512"/>
      <c r="Y784" s="512"/>
      <c r="Z784" s="512"/>
      <c r="AA784" s="512"/>
      <c r="AB784" s="512"/>
      <c r="AC784" s="512"/>
    </row>
    <row r="785">
      <c r="A785" s="512"/>
      <c r="B785" s="512"/>
      <c r="C785" s="512"/>
      <c r="D785" s="512"/>
      <c r="E785" s="512"/>
      <c r="F785" s="512"/>
      <c r="G785" s="512"/>
      <c r="H785" s="512"/>
      <c r="I785" s="512"/>
      <c r="J785" s="512"/>
      <c r="K785" s="512"/>
      <c r="L785" s="512"/>
      <c r="M785" s="512"/>
      <c r="N785" s="512"/>
      <c r="O785" s="512"/>
      <c r="P785" s="156"/>
      <c r="Q785" s="512"/>
      <c r="R785" s="512"/>
      <c r="S785" s="512"/>
      <c r="T785" s="512"/>
      <c r="U785" s="512"/>
      <c r="V785" s="512"/>
      <c r="W785" s="512"/>
      <c r="X785" s="512"/>
      <c r="Y785" s="512"/>
      <c r="Z785" s="512"/>
      <c r="AA785" s="512"/>
      <c r="AB785" s="512"/>
      <c r="AC785" s="512"/>
    </row>
    <row r="786">
      <c r="A786" s="512"/>
      <c r="B786" s="512"/>
      <c r="C786" s="512"/>
      <c r="D786" s="512"/>
      <c r="E786" s="512"/>
      <c r="F786" s="512"/>
      <c r="G786" s="512"/>
      <c r="H786" s="512"/>
      <c r="I786" s="512"/>
      <c r="J786" s="512"/>
      <c r="K786" s="512"/>
      <c r="L786" s="512"/>
      <c r="M786" s="512"/>
      <c r="N786" s="512"/>
      <c r="O786" s="512"/>
      <c r="P786" s="156"/>
      <c r="Q786" s="512"/>
      <c r="R786" s="512"/>
      <c r="S786" s="512"/>
      <c r="T786" s="512"/>
      <c r="U786" s="512"/>
      <c r="V786" s="512"/>
      <c r="W786" s="512"/>
      <c r="X786" s="512"/>
      <c r="Y786" s="512"/>
      <c r="Z786" s="512"/>
      <c r="AA786" s="512"/>
      <c r="AB786" s="512"/>
      <c r="AC786" s="512"/>
    </row>
    <row r="787">
      <c r="A787" s="512"/>
      <c r="B787" s="512"/>
      <c r="C787" s="512"/>
      <c r="D787" s="512"/>
      <c r="E787" s="512"/>
      <c r="F787" s="512"/>
      <c r="G787" s="512"/>
      <c r="H787" s="512"/>
      <c r="I787" s="512"/>
      <c r="J787" s="512"/>
      <c r="K787" s="512"/>
      <c r="L787" s="512"/>
      <c r="M787" s="512"/>
      <c r="N787" s="512"/>
      <c r="O787" s="512"/>
      <c r="P787" s="156"/>
      <c r="Q787" s="512"/>
      <c r="R787" s="512"/>
      <c r="S787" s="512"/>
      <c r="T787" s="512"/>
      <c r="U787" s="512"/>
      <c r="V787" s="512"/>
      <c r="W787" s="512"/>
      <c r="X787" s="512"/>
      <c r="Y787" s="512"/>
      <c r="Z787" s="512"/>
      <c r="AA787" s="512"/>
      <c r="AB787" s="512"/>
      <c r="AC787" s="512"/>
    </row>
    <row r="788">
      <c r="A788" s="512"/>
      <c r="B788" s="512"/>
      <c r="C788" s="512"/>
      <c r="D788" s="512"/>
      <c r="E788" s="512"/>
      <c r="F788" s="512"/>
      <c r="G788" s="512"/>
      <c r="H788" s="512"/>
      <c r="I788" s="512"/>
      <c r="J788" s="512"/>
      <c r="K788" s="512"/>
      <c r="L788" s="512"/>
      <c r="M788" s="512"/>
      <c r="N788" s="512"/>
      <c r="O788" s="512"/>
      <c r="P788" s="156"/>
      <c r="Q788" s="512"/>
      <c r="R788" s="512"/>
      <c r="S788" s="512"/>
      <c r="T788" s="512"/>
      <c r="U788" s="512"/>
      <c r="V788" s="512"/>
      <c r="W788" s="512"/>
      <c r="X788" s="512"/>
      <c r="Y788" s="512"/>
      <c r="Z788" s="512"/>
      <c r="AA788" s="512"/>
      <c r="AB788" s="512"/>
      <c r="AC788" s="512"/>
    </row>
    <row r="789">
      <c r="A789" s="512"/>
      <c r="B789" s="512"/>
      <c r="C789" s="512"/>
      <c r="D789" s="512"/>
      <c r="E789" s="512"/>
      <c r="F789" s="512"/>
      <c r="G789" s="512"/>
      <c r="H789" s="512"/>
      <c r="I789" s="512"/>
      <c r="J789" s="512"/>
      <c r="K789" s="512"/>
      <c r="L789" s="512"/>
      <c r="M789" s="512"/>
      <c r="N789" s="512"/>
      <c r="O789" s="512"/>
      <c r="P789" s="156"/>
      <c r="Q789" s="512"/>
      <c r="R789" s="512"/>
      <c r="S789" s="512"/>
      <c r="T789" s="512"/>
      <c r="U789" s="512"/>
      <c r="V789" s="512"/>
      <c r="W789" s="512"/>
      <c r="X789" s="512"/>
      <c r="Y789" s="512"/>
      <c r="Z789" s="512"/>
      <c r="AA789" s="512"/>
      <c r="AB789" s="512"/>
      <c r="AC789" s="512"/>
    </row>
    <row r="790">
      <c r="A790" s="512"/>
      <c r="B790" s="512"/>
      <c r="C790" s="512"/>
      <c r="D790" s="512"/>
      <c r="E790" s="512"/>
      <c r="F790" s="512"/>
      <c r="G790" s="512"/>
      <c r="H790" s="512"/>
      <c r="I790" s="512"/>
      <c r="J790" s="512"/>
      <c r="K790" s="512"/>
      <c r="L790" s="512"/>
      <c r="M790" s="512"/>
      <c r="N790" s="512"/>
      <c r="O790" s="512"/>
      <c r="P790" s="156"/>
      <c r="Q790" s="512"/>
      <c r="R790" s="512"/>
      <c r="S790" s="512"/>
      <c r="T790" s="512"/>
      <c r="U790" s="512"/>
      <c r="V790" s="512"/>
      <c r="W790" s="512"/>
      <c r="X790" s="512"/>
      <c r="Y790" s="512"/>
      <c r="Z790" s="512"/>
      <c r="AA790" s="512"/>
      <c r="AB790" s="512"/>
      <c r="AC790" s="512"/>
    </row>
    <row r="791">
      <c r="A791" s="512"/>
      <c r="B791" s="512"/>
      <c r="C791" s="512"/>
      <c r="D791" s="512"/>
      <c r="E791" s="512"/>
      <c r="F791" s="512"/>
      <c r="G791" s="512"/>
      <c r="H791" s="512"/>
      <c r="I791" s="512"/>
      <c r="J791" s="512"/>
      <c r="K791" s="512"/>
      <c r="L791" s="512"/>
      <c r="M791" s="512"/>
      <c r="N791" s="512"/>
      <c r="O791" s="512"/>
      <c r="P791" s="156"/>
      <c r="Q791" s="512"/>
      <c r="R791" s="512"/>
      <c r="S791" s="512"/>
      <c r="T791" s="512"/>
      <c r="U791" s="512"/>
      <c r="V791" s="512"/>
      <c r="W791" s="512"/>
      <c r="X791" s="512"/>
      <c r="Y791" s="512"/>
      <c r="Z791" s="512"/>
      <c r="AA791" s="512"/>
      <c r="AB791" s="512"/>
      <c r="AC791" s="512"/>
    </row>
    <row r="792">
      <c r="A792" s="512"/>
      <c r="B792" s="512"/>
      <c r="C792" s="512"/>
      <c r="D792" s="512"/>
      <c r="E792" s="512"/>
      <c r="F792" s="512"/>
      <c r="G792" s="512"/>
      <c r="H792" s="512"/>
      <c r="I792" s="512"/>
      <c r="J792" s="512"/>
      <c r="K792" s="512"/>
      <c r="L792" s="512"/>
      <c r="M792" s="512"/>
      <c r="N792" s="512"/>
      <c r="O792" s="512"/>
      <c r="P792" s="156"/>
      <c r="Q792" s="512"/>
      <c r="R792" s="512"/>
      <c r="S792" s="512"/>
      <c r="T792" s="512"/>
      <c r="U792" s="512"/>
      <c r="V792" s="512"/>
      <c r="W792" s="512"/>
      <c r="X792" s="512"/>
      <c r="Y792" s="512"/>
      <c r="Z792" s="512"/>
      <c r="AA792" s="512"/>
      <c r="AB792" s="512"/>
      <c r="AC792" s="512"/>
    </row>
    <row r="793">
      <c r="A793" s="512"/>
      <c r="B793" s="512"/>
      <c r="C793" s="512"/>
      <c r="D793" s="512"/>
      <c r="E793" s="512"/>
      <c r="F793" s="512"/>
      <c r="G793" s="512"/>
      <c r="H793" s="512"/>
      <c r="I793" s="512"/>
      <c r="J793" s="512"/>
      <c r="K793" s="512"/>
      <c r="L793" s="512"/>
      <c r="M793" s="512"/>
      <c r="N793" s="512"/>
      <c r="O793" s="512"/>
      <c r="P793" s="156"/>
      <c r="Q793" s="512"/>
      <c r="R793" s="512"/>
      <c r="S793" s="512"/>
      <c r="T793" s="512"/>
      <c r="U793" s="512"/>
      <c r="V793" s="512"/>
      <c r="W793" s="512"/>
      <c r="X793" s="512"/>
      <c r="Y793" s="512"/>
      <c r="Z793" s="512"/>
      <c r="AA793" s="512"/>
      <c r="AB793" s="512"/>
      <c r="AC793" s="512"/>
    </row>
    <row r="794">
      <c r="A794" s="512"/>
      <c r="B794" s="512"/>
      <c r="C794" s="512"/>
      <c r="D794" s="512"/>
      <c r="E794" s="512"/>
      <c r="F794" s="512"/>
      <c r="G794" s="512"/>
      <c r="H794" s="512"/>
      <c r="I794" s="512"/>
      <c r="J794" s="512"/>
      <c r="K794" s="512"/>
      <c r="L794" s="512"/>
      <c r="M794" s="512"/>
      <c r="N794" s="512"/>
      <c r="O794" s="512"/>
      <c r="P794" s="156"/>
      <c r="Q794" s="512"/>
      <c r="R794" s="512"/>
      <c r="S794" s="512"/>
      <c r="T794" s="512"/>
      <c r="U794" s="512"/>
      <c r="V794" s="512"/>
      <c r="W794" s="512"/>
      <c r="X794" s="512"/>
      <c r="Y794" s="512"/>
      <c r="Z794" s="512"/>
      <c r="AA794" s="512"/>
      <c r="AB794" s="512"/>
      <c r="AC794" s="512"/>
    </row>
    <row r="795">
      <c r="A795" s="512"/>
      <c r="B795" s="512"/>
      <c r="C795" s="512"/>
      <c r="D795" s="512"/>
      <c r="E795" s="512"/>
      <c r="F795" s="512"/>
      <c r="G795" s="512"/>
      <c r="H795" s="512"/>
      <c r="I795" s="512"/>
      <c r="J795" s="512"/>
      <c r="K795" s="512"/>
      <c r="L795" s="512"/>
      <c r="M795" s="512"/>
      <c r="N795" s="512"/>
      <c r="O795" s="512"/>
      <c r="P795" s="156"/>
      <c r="Q795" s="512"/>
      <c r="R795" s="512"/>
      <c r="S795" s="512"/>
      <c r="T795" s="512"/>
      <c r="U795" s="512"/>
      <c r="V795" s="512"/>
      <c r="W795" s="512"/>
      <c r="X795" s="512"/>
      <c r="Y795" s="512"/>
      <c r="Z795" s="512"/>
      <c r="AA795" s="512"/>
      <c r="AB795" s="512"/>
      <c r="AC795" s="512"/>
    </row>
    <row r="796">
      <c r="A796" s="512"/>
      <c r="B796" s="512"/>
      <c r="C796" s="512"/>
      <c r="D796" s="512"/>
      <c r="E796" s="512"/>
      <c r="F796" s="512"/>
      <c r="G796" s="512"/>
      <c r="H796" s="512"/>
      <c r="I796" s="512"/>
      <c r="J796" s="512"/>
      <c r="K796" s="512"/>
      <c r="L796" s="512"/>
      <c r="M796" s="512"/>
      <c r="N796" s="512"/>
      <c r="O796" s="512"/>
      <c r="P796" s="156"/>
      <c r="Q796" s="512"/>
      <c r="R796" s="512"/>
      <c r="S796" s="512"/>
      <c r="T796" s="512"/>
      <c r="U796" s="512"/>
      <c r="V796" s="512"/>
      <c r="W796" s="512"/>
      <c r="X796" s="512"/>
      <c r="Y796" s="512"/>
      <c r="Z796" s="512"/>
      <c r="AA796" s="512"/>
      <c r="AB796" s="512"/>
      <c r="AC796" s="512"/>
    </row>
    <row r="797">
      <c r="A797" s="512"/>
      <c r="B797" s="512"/>
      <c r="C797" s="512"/>
      <c r="D797" s="512"/>
      <c r="E797" s="512"/>
      <c r="F797" s="512"/>
      <c r="G797" s="512"/>
      <c r="H797" s="512"/>
      <c r="I797" s="512"/>
      <c r="J797" s="512"/>
      <c r="K797" s="512"/>
      <c r="L797" s="512"/>
      <c r="M797" s="512"/>
      <c r="N797" s="512"/>
      <c r="O797" s="512"/>
      <c r="P797" s="156"/>
      <c r="Q797" s="512"/>
      <c r="R797" s="512"/>
      <c r="S797" s="512"/>
      <c r="T797" s="512"/>
      <c r="U797" s="512"/>
      <c r="V797" s="512"/>
      <c r="W797" s="512"/>
      <c r="X797" s="512"/>
      <c r="Y797" s="512"/>
      <c r="Z797" s="512"/>
      <c r="AA797" s="512"/>
      <c r="AB797" s="512"/>
      <c r="AC797" s="512"/>
    </row>
    <row r="798">
      <c r="A798" s="512"/>
      <c r="B798" s="512"/>
      <c r="C798" s="512"/>
      <c r="D798" s="512"/>
      <c r="E798" s="512"/>
      <c r="F798" s="512"/>
      <c r="G798" s="512"/>
      <c r="H798" s="512"/>
      <c r="I798" s="512"/>
      <c r="J798" s="512"/>
      <c r="K798" s="512"/>
      <c r="L798" s="512"/>
      <c r="M798" s="512"/>
      <c r="N798" s="512"/>
      <c r="O798" s="512"/>
      <c r="P798" s="156"/>
      <c r="Q798" s="512"/>
      <c r="R798" s="512"/>
      <c r="S798" s="512"/>
      <c r="T798" s="512"/>
      <c r="U798" s="512"/>
      <c r="V798" s="512"/>
      <c r="W798" s="512"/>
      <c r="X798" s="512"/>
      <c r="Y798" s="512"/>
      <c r="Z798" s="512"/>
      <c r="AA798" s="512"/>
      <c r="AB798" s="512"/>
      <c r="AC798" s="512"/>
    </row>
    <row r="799">
      <c r="A799" s="512"/>
      <c r="B799" s="512"/>
      <c r="C799" s="512"/>
      <c r="D799" s="512"/>
      <c r="E799" s="512"/>
      <c r="F799" s="512"/>
      <c r="G799" s="512"/>
      <c r="H799" s="512"/>
      <c r="I799" s="512"/>
      <c r="J799" s="512"/>
      <c r="K799" s="512"/>
      <c r="L799" s="512"/>
      <c r="M799" s="512"/>
      <c r="N799" s="512"/>
      <c r="O799" s="512"/>
      <c r="P799" s="156"/>
      <c r="Q799" s="512"/>
      <c r="R799" s="512"/>
      <c r="S799" s="512"/>
      <c r="T799" s="512"/>
      <c r="U799" s="512"/>
      <c r="V799" s="512"/>
      <c r="W799" s="512"/>
      <c r="X799" s="512"/>
      <c r="Y799" s="512"/>
      <c r="Z799" s="512"/>
      <c r="AA799" s="512"/>
      <c r="AB799" s="512"/>
      <c r="AC799" s="512"/>
    </row>
    <row r="800">
      <c r="A800" s="512"/>
      <c r="B800" s="512"/>
      <c r="C800" s="512"/>
      <c r="D800" s="512"/>
      <c r="E800" s="512"/>
      <c r="F800" s="512"/>
      <c r="G800" s="512"/>
      <c r="H800" s="512"/>
      <c r="I800" s="512"/>
      <c r="J800" s="512"/>
      <c r="K800" s="512"/>
      <c r="L800" s="512"/>
      <c r="M800" s="512"/>
      <c r="N800" s="512"/>
      <c r="O800" s="512"/>
      <c r="P800" s="156"/>
      <c r="Q800" s="512"/>
      <c r="R800" s="512"/>
      <c r="S800" s="512"/>
      <c r="T800" s="512"/>
      <c r="U800" s="512"/>
      <c r="V800" s="512"/>
      <c r="W800" s="512"/>
      <c r="X800" s="512"/>
      <c r="Y800" s="512"/>
      <c r="Z800" s="512"/>
      <c r="AA800" s="512"/>
      <c r="AB800" s="512"/>
      <c r="AC800" s="512"/>
    </row>
    <row r="801">
      <c r="A801" s="512"/>
      <c r="B801" s="512"/>
      <c r="C801" s="512"/>
      <c r="D801" s="512"/>
      <c r="E801" s="512"/>
      <c r="F801" s="512"/>
      <c r="G801" s="512"/>
      <c r="H801" s="512"/>
      <c r="I801" s="512"/>
      <c r="J801" s="512"/>
      <c r="K801" s="512"/>
      <c r="L801" s="512"/>
      <c r="M801" s="512"/>
      <c r="N801" s="512"/>
      <c r="O801" s="512"/>
      <c r="P801" s="156"/>
      <c r="Q801" s="512"/>
      <c r="R801" s="512"/>
      <c r="S801" s="512"/>
      <c r="T801" s="512"/>
      <c r="U801" s="512"/>
      <c r="V801" s="512"/>
      <c r="W801" s="512"/>
      <c r="X801" s="512"/>
      <c r="Y801" s="512"/>
      <c r="Z801" s="512"/>
      <c r="AA801" s="512"/>
      <c r="AB801" s="512"/>
      <c r="AC801" s="512"/>
    </row>
    <row r="802">
      <c r="A802" s="512"/>
      <c r="B802" s="512"/>
      <c r="C802" s="512"/>
      <c r="D802" s="512"/>
      <c r="E802" s="512"/>
      <c r="F802" s="512"/>
      <c r="G802" s="512"/>
      <c r="H802" s="512"/>
      <c r="I802" s="512"/>
      <c r="J802" s="512"/>
      <c r="K802" s="512"/>
      <c r="L802" s="512"/>
      <c r="M802" s="512"/>
      <c r="N802" s="512"/>
      <c r="O802" s="512"/>
      <c r="P802" s="156"/>
      <c r="Q802" s="512"/>
      <c r="R802" s="512"/>
      <c r="S802" s="512"/>
      <c r="T802" s="512"/>
      <c r="U802" s="512"/>
      <c r="V802" s="512"/>
      <c r="W802" s="512"/>
      <c r="X802" s="512"/>
      <c r="Y802" s="512"/>
      <c r="Z802" s="512"/>
      <c r="AA802" s="512"/>
      <c r="AB802" s="512"/>
      <c r="AC802" s="512"/>
    </row>
    <row r="803">
      <c r="A803" s="512"/>
      <c r="B803" s="512"/>
      <c r="C803" s="512"/>
      <c r="D803" s="512"/>
      <c r="E803" s="512"/>
      <c r="F803" s="512"/>
      <c r="G803" s="512"/>
      <c r="H803" s="512"/>
      <c r="I803" s="512"/>
      <c r="J803" s="512"/>
      <c r="K803" s="512"/>
      <c r="L803" s="512"/>
      <c r="M803" s="512"/>
      <c r="N803" s="512"/>
      <c r="O803" s="512"/>
      <c r="P803" s="156"/>
      <c r="Q803" s="512"/>
      <c r="R803" s="512"/>
      <c r="S803" s="512"/>
      <c r="T803" s="512"/>
      <c r="U803" s="512"/>
      <c r="V803" s="512"/>
      <c r="W803" s="512"/>
      <c r="X803" s="512"/>
      <c r="Y803" s="512"/>
      <c r="Z803" s="512"/>
      <c r="AA803" s="512"/>
      <c r="AB803" s="512"/>
      <c r="AC803" s="512"/>
    </row>
    <row r="804">
      <c r="A804" s="512"/>
      <c r="B804" s="512"/>
      <c r="C804" s="512"/>
      <c r="D804" s="512"/>
      <c r="E804" s="512"/>
      <c r="F804" s="512"/>
      <c r="G804" s="512"/>
      <c r="H804" s="512"/>
      <c r="I804" s="512"/>
      <c r="J804" s="512"/>
      <c r="K804" s="512"/>
      <c r="L804" s="512"/>
      <c r="M804" s="512"/>
      <c r="N804" s="512"/>
      <c r="O804" s="512"/>
      <c r="P804" s="156"/>
      <c r="Q804" s="512"/>
      <c r="R804" s="512"/>
      <c r="S804" s="512"/>
      <c r="T804" s="512"/>
      <c r="U804" s="512"/>
      <c r="V804" s="512"/>
      <c r="W804" s="512"/>
      <c r="X804" s="512"/>
      <c r="Y804" s="512"/>
      <c r="Z804" s="512"/>
      <c r="AA804" s="512"/>
      <c r="AB804" s="512"/>
      <c r="AC804" s="512"/>
    </row>
    <row r="805">
      <c r="A805" s="512"/>
      <c r="B805" s="512"/>
      <c r="C805" s="512"/>
      <c r="D805" s="512"/>
      <c r="E805" s="512"/>
      <c r="F805" s="512"/>
      <c r="G805" s="512"/>
      <c r="H805" s="512"/>
      <c r="I805" s="512"/>
      <c r="J805" s="512"/>
      <c r="K805" s="512"/>
      <c r="L805" s="512"/>
      <c r="M805" s="512"/>
      <c r="N805" s="512"/>
      <c r="O805" s="512"/>
      <c r="P805" s="156"/>
      <c r="Q805" s="512"/>
      <c r="R805" s="512"/>
      <c r="S805" s="512"/>
      <c r="T805" s="512"/>
      <c r="U805" s="512"/>
      <c r="V805" s="512"/>
      <c r="W805" s="512"/>
      <c r="X805" s="512"/>
      <c r="Y805" s="512"/>
      <c r="Z805" s="512"/>
      <c r="AA805" s="512"/>
      <c r="AB805" s="512"/>
      <c r="AC805" s="512"/>
    </row>
    <row r="806">
      <c r="A806" s="512"/>
      <c r="B806" s="512"/>
      <c r="C806" s="512"/>
      <c r="D806" s="512"/>
      <c r="E806" s="512"/>
      <c r="F806" s="512"/>
      <c r="G806" s="512"/>
      <c r="H806" s="512"/>
      <c r="I806" s="512"/>
      <c r="J806" s="512"/>
      <c r="K806" s="512"/>
      <c r="L806" s="512"/>
      <c r="M806" s="512"/>
      <c r="N806" s="512"/>
      <c r="O806" s="512"/>
      <c r="P806" s="156"/>
      <c r="Q806" s="512"/>
      <c r="R806" s="512"/>
      <c r="S806" s="512"/>
      <c r="T806" s="512"/>
      <c r="U806" s="512"/>
      <c r="V806" s="512"/>
      <c r="W806" s="512"/>
      <c r="X806" s="512"/>
      <c r="Y806" s="512"/>
      <c r="Z806" s="512"/>
      <c r="AA806" s="512"/>
      <c r="AB806" s="512"/>
      <c r="AC806" s="512"/>
    </row>
    <row r="807">
      <c r="A807" s="512"/>
      <c r="B807" s="512"/>
      <c r="C807" s="512"/>
      <c r="D807" s="512"/>
      <c r="E807" s="512"/>
      <c r="F807" s="512"/>
      <c r="G807" s="512"/>
      <c r="H807" s="512"/>
      <c r="I807" s="512"/>
      <c r="J807" s="512"/>
      <c r="K807" s="512"/>
      <c r="L807" s="512"/>
      <c r="M807" s="512"/>
      <c r="N807" s="512"/>
      <c r="O807" s="512"/>
      <c r="P807" s="156"/>
      <c r="Q807" s="512"/>
      <c r="R807" s="512"/>
      <c r="S807" s="512"/>
      <c r="T807" s="512"/>
      <c r="U807" s="512"/>
      <c r="V807" s="512"/>
      <c r="W807" s="512"/>
      <c r="X807" s="512"/>
      <c r="Y807" s="512"/>
      <c r="Z807" s="512"/>
      <c r="AA807" s="512"/>
      <c r="AB807" s="512"/>
      <c r="AC807" s="512"/>
    </row>
    <row r="808">
      <c r="A808" s="512"/>
      <c r="B808" s="512"/>
      <c r="C808" s="512"/>
      <c r="D808" s="512"/>
      <c r="E808" s="512"/>
      <c r="F808" s="512"/>
      <c r="G808" s="512"/>
      <c r="H808" s="512"/>
      <c r="I808" s="512"/>
      <c r="J808" s="512"/>
      <c r="K808" s="512"/>
      <c r="L808" s="512"/>
      <c r="M808" s="512"/>
      <c r="N808" s="512"/>
      <c r="O808" s="512"/>
      <c r="P808" s="156"/>
      <c r="Q808" s="512"/>
      <c r="R808" s="512"/>
      <c r="S808" s="512"/>
      <c r="T808" s="512"/>
      <c r="U808" s="512"/>
      <c r="V808" s="512"/>
      <c r="W808" s="512"/>
      <c r="X808" s="512"/>
      <c r="Y808" s="512"/>
      <c r="Z808" s="512"/>
      <c r="AA808" s="512"/>
      <c r="AB808" s="512"/>
      <c r="AC808" s="512"/>
    </row>
    <row r="809">
      <c r="A809" s="512"/>
      <c r="B809" s="512"/>
      <c r="C809" s="512"/>
      <c r="D809" s="512"/>
      <c r="E809" s="512"/>
      <c r="F809" s="512"/>
      <c r="G809" s="512"/>
      <c r="H809" s="512"/>
      <c r="I809" s="512"/>
      <c r="J809" s="512"/>
      <c r="K809" s="512"/>
      <c r="L809" s="512"/>
      <c r="M809" s="512"/>
      <c r="N809" s="512"/>
      <c r="O809" s="512"/>
      <c r="P809" s="156"/>
      <c r="Q809" s="512"/>
      <c r="R809" s="512"/>
      <c r="S809" s="512"/>
      <c r="T809" s="512"/>
      <c r="U809" s="512"/>
      <c r="V809" s="512"/>
      <c r="W809" s="512"/>
      <c r="X809" s="512"/>
      <c r="Y809" s="512"/>
      <c r="Z809" s="512"/>
      <c r="AA809" s="512"/>
      <c r="AB809" s="512"/>
      <c r="AC809" s="512"/>
    </row>
    <row r="810">
      <c r="A810" s="512"/>
      <c r="B810" s="512"/>
      <c r="C810" s="512"/>
      <c r="D810" s="512"/>
      <c r="E810" s="512"/>
      <c r="F810" s="512"/>
      <c r="G810" s="512"/>
      <c r="H810" s="512"/>
      <c r="I810" s="512"/>
      <c r="J810" s="512"/>
      <c r="K810" s="512"/>
      <c r="L810" s="512"/>
      <c r="M810" s="512"/>
      <c r="N810" s="512"/>
      <c r="O810" s="512"/>
      <c r="P810" s="156"/>
      <c r="Q810" s="512"/>
      <c r="R810" s="512"/>
      <c r="S810" s="512"/>
      <c r="T810" s="512"/>
      <c r="U810" s="512"/>
      <c r="V810" s="512"/>
      <c r="W810" s="512"/>
      <c r="X810" s="512"/>
      <c r="Y810" s="512"/>
      <c r="Z810" s="512"/>
      <c r="AA810" s="512"/>
      <c r="AB810" s="512"/>
      <c r="AC810" s="512"/>
    </row>
    <row r="811">
      <c r="A811" s="512"/>
      <c r="B811" s="512"/>
      <c r="C811" s="512"/>
      <c r="D811" s="512"/>
      <c r="E811" s="512"/>
      <c r="F811" s="512"/>
      <c r="G811" s="512"/>
      <c r="H811" s="512"/>
      <c r="I811" s="512"/>
      <c r="J811" s="512"/>
      <c r="K811" s="512"/>
      <c r="L811" s="512"/>
      <c r="M811" s="512"/>
      <c r="N811" s="512"/>
      <c r="O811" s="512"/>
      <c r="P811" s="156"/>
      <c r="Q811" s="512"/>
      <c r="R811" s="512"/>
      <c r="S811" s="512"/>
      <c r="T811" s="512"/>
      <c r="U811" s="512"/>
      <c r="V811" s="512"/>
      <c r="W811" s="512"/>
      <c r="X811" s="512"/>
      <c r="Y811" s="512"/>
      <c r="Z811" s="512"/>
      <c r="AA811" s="512"/>
      <c r="AB811" s="512"/>
      <c r="AC811" s="512"/>
    </row>
    <row r="812">
      <c r="A812" s="512"/>
      <c r="B812" s="512"/>
      <c r="C812" s="512"/>
      <c r="D812" s="512"/>
      <c r="E812" s="512"/>
      <c r="F812" s="512"/>
      <c r="G812" s="512"/>
      <c r="H812" s="512"/>
      <c r="I812" s="512"/>
      <c r="J812" s="512"/>
      <c r="K812" s="512"/>
      <c r="L812" s="512"/>
      <c r="M812" s="512"/>
      <c r="N812" s="512"/>
      <c r="O812" s="512"/>
      <c r="P812" s="156"/>
      <c r="Q812" s="512"/>
      <c r="R812" s="512"/>
      <c r="S812" s="512"/>
      <c r="T812" s="512"/>
      <c r="U812" s="512"/>
      <c r="V812" s="512"/>
      <c r="W812" s="512"/>
      <c r="X812" s="512"/>
      <c r="Y812" s="512"/>
      <c r="Z812" s="512"/>
      <c r="AA812" s="512"/>
      <c r="AB812" s="512"/>
      <c r="AC812" s="512"/>
    </row>
    <row r="813">
      <c r="A813" s="512"/>
      <c r="B813" s="512"/>
      <c r="C813" s="512"/>
      <c r="D813" s="512"/>
      <c r="E813" s="512"/>
      <c r="F813" s="512"/>
      <c r="G813" s="512"/>
      <c r="H813" s="512"/>
      <c r="I813" s="512"/>
      <c r="J813" s="512"/>
      <c r="K813" s="512"/>
      <c r="L813" s="512"/>
      <c r="M813" s="512"/>
      <c r="N813" s="512"/>
      <c r="O813" s="512"/>
      <c r="P813" s="156"/>
      <c r="Q813" s="512"/>
      <c r="R813" s="512"/>
      <c r="S813" s="512"/>
      <c r="T813" s="512"/>
      <c r="U813" s="512"/>
      <c r="V813" s="512"/>
      <c r="W813" s="512"/>
      <c r="X813" s="512"/>
      <c r="Y813" s="512"/>
      <c r="Z813" s="512"/>
      <c r="AA813" s="512"/>
      <c r="AB813" s="512"/>
      <c r="AC813" s="512"/>
    </row>
    <row r="814">
      <c r="A814" s="512"/>
      <c r="B814" s="512"/>
      <c r="C814" s="512"/>
      <c r="D814" s="512"/>
      <c r="E814" s="512"/>
      <c r="F814" s="512"/>
      <c r="G814" s="512"/>
      <c r="H814" s="512"/>
      <c r="I814" s="512"/>
      <c r="J814" s="512"/>
      <c r="K814" s="512"/>
      <c r="L814" s="512"/>
      <c r="M814" s="512"/>
      <c r="N814" s="512"/>
      <c r="O814" s="512"/>
      <c r="P814" s="156"/>
      <c r="Q814" s="512"/>
      <c r="R814" s="512"/>
      <c r="S814" s="512"/>
      <c r="T814" s="512"/>
      <c r="U814" s="512"/>
      <c r="V814" s="512"/>
      <c r="W814" s="512"/>
      <c r="X814" s="512"/>
      <c r="Y814" s="512"/>
      <c r="Z814" s="512"/>
      <c r="AA814" s="512"/>
      <c r="AB814" s="512"/>
      <c r="AC814" s="512"/>
    </row>
    <row r="815">
      <c r="A815" s="512"/>
      <c r="B815" s="512"/>
      <c r="C815" s="512"/>
      <c r="D815" s="512"/>
      <c r="E815" s="512"/>
      <c r="F815" s="512"/>
      <c r="G815" s="512"/>
      <c r="H815" s="512"/>
      <c r="I815" s="512"/>
      <c r="J815" s="512"/>
      <c r="K815" s="512"/>
      <c r="L815" s="512"/>
      <c r="M815" s="512"/>
      <c r="N815" s="512"/>
      <c r="O815" s="512"/>
      <c r="P815" s="156"/>
      <c r="Q815" s="512"/>
      <c r="R815" s="512"/>
      <c r="S815" s="512"/>
      <c r="T815" s="512"/>
      <c r="U815" s="512"/>
      <c r="V815" s="512"/>
      <c r="W815" s="512"/>
      <c r="X815" s="512"/>
      <c r="Y815" s="512"/>
      <c r="Z815" s="512"/>
      <c r="AA815" s="512"/>
      <c r="AB815" s="512"/>
      <c r="AC815" s="512"/>
    </row>
    <row r="816">
      <c r="A816" s="512"/>
      <c r="B816" s="512"/>
      <c r="C816" s="512"/>
      <c r="D816" s="512"/>
      <c r="E816" s="512"/>
      <c r="F816" s="512"/>
      <c r="G816" s="512"/>
      <c r="H816" s="512"/>
      <c r="I816" s="512"/>
      <c r="J816" s="512"/>
      <c r="K816" s="512"/>
      <c r="L816" s="512"/>
      <c r="M816" s="512"/>
      <c r="N816" s="512"/>
      <c r="O816" s="512"/>
      <c r="P816" s="156"/>
      <c r="Q816" s="512"/>
      <c r="R816" s="512"/>
      <c r="S816" s="512"/>
      <c r="T816" s="512"/>
      <c r="U816" s="512"/>
      <c r="V816" s="512"/>
      <c r="W816" s="512"/>
      <c r="X816" s="512"/>
      <c r="Y816" s="512"/>
      <c r="Z816" s="512"/>
      <c r="AA816" s="512"/>
      <c r="AB816" s="512"/>
      <c r="AC816" s="512"/>
    </row>
    <row r="817">
      <c r="A817" s="512"/>
      <c r="B817" s="512"/>
      <c r="C817" s="512"/>
      <c r="D817" s="512"/>
      <c r="E817" s="512"/>
      <c r="F817" s="512"/>
      <c r="G817" s="512"/>
      <c r="H817" s="512"/>
      <c r="I817" s="512"/>
      <c r="J817" s="512"/>
      <c r="K817" s="512"/>
      <c r="L817" s="512"/>
      <c r="M817" s="512"/>
      <c r="N817" s="512"/>
      <c r="O817" s="512"/>
      <c r="P817" s="156"/>
      <c r="Q817" s="512"/>
      <c r="R817" s="512"/>
      <c r="S817" s="512"/>
      <c r="T817" s="512"/>
      <c r="U817" s="512"/>
      <c r="V817" s="512"/>
      <c r="W817" s="512"/>
      <c r="X817" s="512"/>
      <c r="Y817" s="512"/>
      <c r="Z817" s="512"/>
      <c r="AA817" s="512"/>
      <c r="AB817" s="512"/>
      <c r="AC817" s="512"/>
    </row>
    <row r="818">
      <c r="A818" s="512"/>
      <c r="B818" s="512"/>
      <c r="C818" s="512"/>
      <c r="D818" s="512"/>
      <c r="E818" s="512"/>
      <c r="F818" s="512"/>
      <c r="G818" s="512"/>
      <c r="H818" s="512"/>
      <c r="I818" s="512"/>
      <c r="J818" s="512"/>
      <c r="K818" s="512"/>
      <c r="L818" s="512"/>
      <c r="M818" s="512"/>
      <c r="N818" s="512"/>
      <c r="O818" s="512"/>
      <c r="P818" s="156"/>
      <c r="Q818" s="512"/>
      <c r="R818" s="512"/>
      <c r="S818" s="512"/>
      <c r="T818" s="512"/>
      <c r="U818" s="512"/>
      <c r="V818" s="512"/>
      <c r="W818" s="512"/>
      <c r="X818" s="512"/>
      <c r="Y818" s="512"/>
      <c r="Z818" s="512"/>
      <c r="AA818" s="512"/>
      <c r="AB818" s="512"/>
      <c r="AC818" s="512"/>
    </row>
    <row r="819">
      <c r="A819" s="512"/>
      <c r="B819" s="512"/>
      <c r="C819" s="512"/>
      <c r="D819" s="512"/>
      <c r="E819" s="512"/>
      <c r="F819" s="512"/>
      <c r="G819" s="512"/>
      <c r="H819" s="512"/>
      <c r="I819" s="512"/>
      <c r="J819" s="512"/>
      <c r="K819" s="512"/>
      <c r="L819" s="512"/>
      <c r="M819" s="512"/>
      <c r="N819" s="512"/>
      <c r="O819" s="512"/>
      <c r="P819" s="156"/>
      <c r="Q819" s="512"/>
      <c r="R819" s="512"/>
      <c r="S819" s="512"/>
      <c r="T819" s="512"/>
      <c r="U819" s="512"/>
      <c r="V819" s="512"/>
      <c r="W819" s="512"/>
      <c r="X819" s="512"/>
      <c r="Y819" s="512"/>
      <c r="Z819" s="512"/>
      <c r="AA819" s="512"/>
      <c r="AB819" s="512"/>
      <c r="AC819" s="512"/>
    </row>
    <row r="820">
      <c r="A820" s="512"/>
      <c r="B820" s="512"/>
      <c r="C820" s="512"/>
      <c r="D820" s="512"/>
      <c r="E820" s="512"/>
      <c r="F820" s="512"/>
      <c r="G820" s="512"/>
      <c r="H820" s="512"/>
      <c r="I820" s="512"/>
      <c r="J820" s="512"/>
      <c r="K820" s="512"/>
      <c r="L820" s="512"/>
      <c r="M820" s="512"/>
      <c r="N820" s="512"/>
      <c r="O820" s="512"/>
      <c r="P820" s="156"/>
      <c r="Q820" s="512"/>
      <c r="R820" s="512"/>
      <c r="S820" s="512"/>
      <c r="T820" s="512"/>
      <c r="U820" s="512"/>
      <c r="V820" s="512"/>
      <c r="W820" s="512"/>
      <c r="X820" s="512"/>
      <c r="Y820" s="512"/>
      <c r="Z820" s="512"/>
      <c r="AA820" s="512"/>
      <c r="AB820" s="512"/>
      <c r="AC820" s="512"/>
    </row>
    <row r="821">
      <c r="A821" s="512"/>
      <c r="B821" s="512"/>
      <c r="C821" s="512"/>
      <c r="D821" s="512"/>
      <c r="E821" s="512"/>
      <c r="F821" s="512"/>
      <c r="G821" s="512"/>
      <c r="H821" s="512"/>
      <c r="I821" s="512"/>
      <c r="J821" s="512"/>
      <c r="K821" s="512"/>
      <c r="L821" s="512"/>
      <c r="M821" s="512"/>
      <c r="N821" s="512"/>
      <c r="O821" s="512"/>
      <c r="P821" s="156"/>
      <c r="Q821" s="512"/>
      <c r="R821" s="512"/>
      <c r="S821" s="512"/>
      <c r="T821" s="512"/>
      <c r="U821" s="512"/>
      <c r="V821" s="512"/>
      <c r="W821" s="512"/>
      <c r="X821" s="512"/>
      <c r="Y821" s="512"/>
      <c r="Z821" s="512"/>
      <c r="AA821" s="512"/>
      <c r="AB821" s="512"/>
      <c r="AC821" s="512"/>
    </row>
    <row r="822">
      <c r="A822" s="512"/>
      <c r="B822" s="512"/>
      <c r="C822" s="512"/>
      <c r="D822" s="512"/>
      <c r="E822" s="512"/>
      <c r="F822" s="512"/>
      <c r="G822" s="512"/>
      <c r="H822" s="512"/>
      <c r="I822" s="512"/>
      <c r="J822" s="512"/>
      <c r="K822" s="512"/>
      <c r="L822" s="512"/>
      <c r="M822" s="512"/>
      <c r="N822" s="512"/>
      <c r="O822" s="512"/>
      <c r="P822" s="156"/>
      <c r="Q822" s="512"/>
      <c r="R822" s="512"/>
      <c r="S822" s="512"/>
      <c r="T822" s="512"/>
      <c r="U822" s="512"/>
      <c r="V822" s="512"/>
      <c r="W822" s="512"/>
      <c r="X822" s="512"/>
      <c r="Y822" s="512"/>
      <c r="Z822" s="512"/>
      <c r="AA822" s="512"/>
      <c r="AB822" s="512"/>
      <c r="AC822" s="512"/>
    </row>
    <row r="823">
      <c r="A823" s="512"/>
      <c r="B823" s="512"/>
      <c r="C823" s="512"/>
      <c r="D823" s="512"/>
      <c r="E823" s="512"/>
      <c r="F823" s="512"/>
      <c r="G823" s="512"/>
      <c r="H823" s="512"/>
      <c r="I823" s="512"/>
      <c r="J823" s="512"/>
      <c r="K823" s="512"/>
      <c r="L823" s="512"/>
      <c r="M823" s="512"/>
      <c r="N823" s="512"/>
      <c r="O823" s="512"/>
      <c r="P823" s="156"/>
      <c r="Q823" s="512"/>
      <c r="R823" s="512"/>
      <c r="S823" s="512"/>
      <c r="T823" s="512"/>
      <c r="U823" s="512"/>
      <c r="V823" s="512"/>
      <c r="W823" s="512"/>
      <c r="X823" s="512"/>
      <c r="Y823" s="512"/>
      <c r="Z823" s="512"/>
      <c r="AA823" s="512"/>
      <c r="AB823" s="512"/>
      <c r="AC823" s="512"/>
    </row>
    <row r="824">
      <c r="A824" s="512"/>
      <c r="B824" s="512"/>
      <c r="C824" s="512"/>
      <c r="D824" s="512"/>
      <c r="E824" s="512"/>
      <c r="F824" s="512"/>
      <c r="G824" s="512"/>
      <c r="H824" s="512"/>
      <c r="I824" s="512"/>
      <c r="J824" s="512"/>
      <c r="K824" s="512"/>
      <c r="L824" s="512"/>
      <c r="M824" s="512"/>
      <c r="N824" s="512"/>
      <c r="O824" s="512"/>
      <c r="P824" s="156"/>
      <c r="Q824" s="512"/>
      <c r="R824" s="512"/>
      <c r="S824" s="512"/>
      <c r="T824" s="512"/>
      <c r="U824" s="512"/>
      <c r="V824" s="512"/>
      <c r="W824" s="512"/>
      <c r="X824" s="512"/>
      <c r="Y824" s="512"/>
      <c r="Z824" s="512"/>
      <c r="AA824" s="512"/>
      <c r="AB824" s="512"/>
      <c r="AC824" s="512"/>
    </row>
    <row r="825">
      <c r="A825" s="512"/>
      <c r="B825" s="512"/>
      <c r="C825" s="512"/>
      <c r="D825" s="512"/>
      <c r="E825" s="512"/>
      <c r="F825" s="512"/>
      <c r="G825" s="512"/>
      <c r="H825" s="512"/>
      <c r="I825" s="512"/>
      <c r="J825" s="512"/>
      <c r="K825" s="512"/>
      <c r="L825" s="512"/>
      <c r="M825" s="512"/>
      <c r="N825" s="512"/>
      <c r="O825" s="512"/>
      <c r="P825" s="156"/>
      <c r="Q825" s="512"/>
      <c r="R825" s="512"/>
      <c r="S825" s="512"/>
      <c r="T825" s="512"/>
      <c r="U825" s="512"/>
      <c r="V825" s="512"/>
      <c r="W825" s="512"/>
      <c r="X825" s="512"/>
      <c r="Y825" s="512"/>
      <c r="Z825" s="512"/>
      <c r="AA825" s="512"/>
      <c r="AB825" s="512"/>
      <c r="AC825" s="512"/>
    </row>
    <row r="826">
      <c r="A826" s="512"/>
      <c r="B826" s="512"/>
      <c r="C826" s="512"/>
      <c r="D826" s="512"/>
      <c r="E826" s="512"/>
      <c r="F826" s="512"/>
      <c r="G826" s="512"/>
      <c r="H826" s="512"/>
      <c r="I826" s="512"/>
      <c r="J826" s="512"/>
      <c r="K826" s="512"/>
      <c r="L826" s="512"/>
      <c r="M826" s="512"/>
      <c r="N826" s="512"/>
      <c r="O826" s="512"/>
      <c r="P826" s="156"/>
      <c r="Q826" s="512"/>
      <c r="R826" s="512"/>
      <c r="S826" s="512"/>
      <c r="T826" s="512"/>
      <c r="U826" s="512"/>
      <c r="V826" s="512"/>
      <c r="W826" s="512"/>
      <c r="X826" s="512"/>
      <c r="Y826" s="512"/>
      <c r="Z826" s="512"/>
      <c r="AA826" s="512"/>
      <c r="AB826" s="512"/>
      <c r="AC826" s="512"/>
    </row>
    <row r="827">
      <c r="A827" s="512"/>
      <c r="B827" s="512"/>
      <c r="C827" s="512"/>
      <c r="D827" s="512"/>
      <c r="E827" s="512"/>
      <c r="F827" s="512"/>
      <c r="G827" s="512"/>
      <c r="H827" s="512"/>
      <c r="I827" s="512"/>
      <c r="J827" s="512"/>
      <c r="K827" s="512"/>
      <c r="L827" s="512"/>
      <c r="M827" s="512"/>
      <c r="N827" s="512"/>
      <c r="O827" s="512"/>
      <c r="P827" s="156"/>
      <c r="Q827" s="512"/>
      <c r="R827" s="512"/>
      <c r="S827" s="512"/>
      <c r="T827" s="512"/>
      <c r="U827" s="512"/>
      <c r="V827" s="512"/>
      <c r="W827" s="512"/>
      <c r="X827" s="512"/>
      <c r="Y827" s="512"/>
      <c r="Z827" s="512"/>
      <c r="AA827" s="512"/>
      <c r="AB827" s="512"/>
      <c r="AC827" s="512"/>
    </row>
    <row r="828">
      <c r="A828" s="512"/>
      <c r="B828" s="512"/>
      <c r="C828" s="512"/>
      <c r="D828" s="512"/>
      <c r="E828" s="512"/>
      <c r="F828" s="512"/>
      <c r="G828" s="512"/>
      <c r="H828" s="512"/>
      <c r="I828" s="512"/>
      <c r="J828" s="512"/>
      <c r="K828" s="512"/>
      <c r="L828" s="512"/>
      <c r="M828" s="512"/>
      <c r="N828" s="512"/>
      <c r="O828" s="512"/>
      <c r="P828" s="156"/>
      <c r="Q828" s="512"/>
      <c r="R828" s="512"/>
      <c r="S828" s="512"/>
      <c r="T828" s="512"/>
      <c r="U828" s="512"/>
      <c r="V828" s="512"/>
      <c r="W828" s="512"/>
      <c r="X828" s="512"/>
      <c r="Y828" s="512"/>
      <c r="Z828" s="512"/>
      <c r="AA828" s="512"/>
      <c r="AB828" s="512"/>
      <c r="AC828" s="512"/>
    </row>
    <row r="829">
      <c r="A829" s="512"/>
      <c r="B829" s="512"/>
      <c r="C829" s="512"/>
      <c r="D829" s="512"/>
      <c r="E829" s="512"/>
      <c r="F829" s="512"/>
      <c r="G829" s="512"/>
      <c r="H829" s="512"/>
      <c r="I829" s="512"/>
      <c r="J829" s="512"/>
      <c r="K829" s="512"/>
      <c r="L829" s="512"/>
      <c r="M829" s="512"/>
      <c r="N829" s="512"/>
      <c r="O829" s="512"/>
      <c r="P829" s="156"/>
      <c r="Q829" s="512"/>
      <c r="R829" s="512"/>
      <c r="S829" s="512"/>
      <c r="T829" s="512"/>
      <c r="U829" s="512"/>
      <c r="V829" s="512"/>
      <c r="W829" s="512"/>
      <c r="X829" s="512"/>
      <c r="Y829" s="512"/>
      <c r="Z829" s="512"/>
      <c r="AA829" s="512"/>
      <c r="AB829" s="512"/>
      <c r="AC829" s="512"/>
    </row>
    <row r="830">
      <c r="A830" s="512"/>
      <c r="B830" s="512"/>
      <c r="C830" s="512"/>
      <c r="D830" s="512"/>
      <c r="E830" s="512"/>
      <c r="F830" s="512"/>
      <c r="G830" s="512"/>
      <c r="H830" s="512"/>
      <c r="I830" s="512"/>
      <c r="J830" s="512"/>
      <c r="K830" s="512"/>
      <c r="L830" s="512"/>
      <c r="M830" s="512"/>
      <c r="N830" s="512"/>
      <c r="O830" s="512"/>
      <c r="P830" s="156"/>
      <c r="Q830" s="512"/>
      <c r="R830" s="512"/>
      <c r="S830" s="512"/>
      <c r="T830" s="512"/>
      <c r="U830" s="512"/>
      <c r="V830" s="512"/>
      <c r="W830" s="512"/>
      <c r="X830" s="512"/>
      <c r="Y830" s="512"/>
      <c r="Z830" s="512"/>
      <c r="AA830" s="512"/>
      <c r="AB830" s="512"/>
      <c r="AC830" s="512"/>
    </row>
    <row r="831">
      <c r="A831" s="512"/>
      <c r="B831" s="512"/>
      <c r="C831" s="512"/>
      <c r="D831" s="512"/>
      <c r="E831" s="512"/>
      <c r="F831" s="512"/>
      <c r="G831" s="512"/>
      <c r="H831" s="512"/>
      <c r="I831" s="512"/>
      <c r="J831" s="512"/>
      <c r="K831" s="512"/>
      <c r="L831" s="512"/>
      <c r="M831" s="512"/>
      <c r="N831" s="512"/>
      <c r="O831" s="512"/>
      <c r="P831" s="156"/>
      <c r="Q831" s="512"/>
      <c r="R831" s="512"/>
      <c r="S831" s="512"/>
      <c r="T831" s="512"/>
      <c r="U831" s="512"/>
      <c r="V831" s="512"/>
      <c r="W831" s="512"/>
      <c r="X831" s="512"/>
      <c r="Y831" s="512"/>
      <c r="Z831" s="512"/>
      <c r="AA831" s="512"/>
      <c r="AB831" s="512"/>
      <c r="AC831" s="512"/>
    </row>
    <row r="832">
      <c r="A832" s="512"/>
      <c r="B832" s="512"/>
      <c r="C832" s="512"/>
      <c r="D832" s="512"/>
      <c r="E832" s="512"/>
      <c r="F832" s="512"/>
      <c r="G832" s="512"/>
      <c r="H832" s="512"/>
      <c r="I832" s="512"/>
      <c r="J832" s="512"/>
      <c r="K832" s="512"/>
      <c r="L832" s="512"/>
      <c r="M832" s="512"/>
      <c r="N832" s="512"/>
      <c r="O832" s="512"/>
      <c r="P832" s="156"/>
      <c r="Q832" s="512"/>
      <c r="R832" s="512"/>
      <c r="S832" s="512"/>
      <c r="T832" s="512"/>
      <c r="U832" s="512"/>
      <c r="V832" s="512"/>
      <c r="W832" s="512"/>
      <c r="X832" s="512"/>
      <c r="Y832" s="512"/>
      <c r="Z832" s="512"/>
      <c r="AA832" s="512"/>
      <c r="AB832" s="512"/>
      <c r="AC832" s="512"/>
    </row>
    <row r="833">
      <c r="A833" s="512"/>
      <c r="B833" s="512"/>
      <c r="C833" s="512"/>
      <c r="D833" s="512"/>
      <c r="E833" s="512"/>
      <c r="F833" s="512"/>
      <c r="G833" s="512"/>
      <c r="H833" s="512"/>
      <c r="I833" s="512"/>
      <c r="J833" s="512"/>
      <c r="K833" s="512"/>
      <c r="L833" s="512"/>
      <c r="M833" s="512"/>
      <c r="N833" s="512"/>
      <c r="O833" s="512"/>
      <c r="P833" s="156"/>
      <c r="Q833" s="512"/>
      <c r="R833" s="512"/>
      <c r="S833" s="512"/>
      <c r="T833" s="512"/>
      <c r="U833" s="512"/>
      <c r="V833" s="512"/>
      <c r="W833" s="512"/>
      <c r="X833" s="512"/>
      <c r="Y833" s="512"/>
      <c r="Z833" s="512"/>
      <c r="AA833" s="512"/>
      <c r="AB833" s="512"/>
      <c r="AC833" s="512"/>
    </row>
    <row r="834">
      <c r="A834" s="512"/>
      <c r="B834" s="512"/>
      <c r="C834" s="512"/>
      <c r="D834" s="512"/>
      <c r="E834" s="512"/>
      <c r="F834" s="512"/>
      <c r="G834" s="512"/>
      <c r="H834" s="512"/>
      <c r="I834" s="512"/>
      <c r="J834" s="512"/>
      <c r="K834" s="512"/>
      <c r="L834" s="512"/>
      <c r="M834" s="512"/>
      <c r="N834" s="512"/>
      <c r="O834" s="512"/>
      <c r="P834" s="156"/>
      <c r="Q834" s="512"/>
      <c r="R834" s="512"/>
      <c r="S834" s="512"/>
      <c r="T834" s="512"/>
      <c r="U834" s="512"/>
      <c r="V834" s="512"/>
      <c r="W834" s="512"/>
      <c r="X834" s="512"/>
      <c r="Y834" s="512"/>
      <c r="Z834" s="512"/>
      <c r="AA834" s="512"/>
      <c r="AB834" s="512"/>
      <c r="AC834" s="512"/>
    </row>
    <row r="835">
      <c r="A835" s="512"/>
      <c r="B835" s="512"/>
      <c r="C835" s="512"/>
      <c r="D835" s="512"/>
      <c r="E835" s="512"/>
      <c r="F835" s="512"/>
      <c r="G835" s="512"/>
      <c r="H835" s="512"/>
      <c r="I835" s="512"/>
      <c r="J835" s="512"/>
      <c r="K835" s="512"/>
      <c r="L835" s="512"/>
      <c r="M835" s="512"/>
      <c r="N835" s="512"/>
      <c r="O835" s="512"/>
      <c r="P835" s="156"/>
      <c r="Q835" s="512"/>
      <c r="R835" s="512"/>
      <c r="S835" s="512"/>
      <c r="T835" s="512"/>
      <c r="U835" s="512"/>
      <c r="V835" s="512"/>
      <c r="W835" s="512"/>
      <c r="X835" s="512"/>
      <c r="Y835" s="512"/>
      <c r="Z835" s="512"/>
      <c r="AA835" s="512"/>
      <c r="AB835" s="512"/>
      <c r="AC835" s="512"/>
    </row>
    <row r="836">
      <c r="A836" s="512"/>
      <c r="B836" s="512"/>
      <c r="C836" s="512"/>
      <c r="D836" s="512"/>
      <c r="E836" s="512"/>
      <c r="F836" s="512"/>
      <c r="G836" s="512"/>
      <c r="H836" s="512"/>
      <c r="I836" s="512"/>
      <c r="J836" s="512"/>
      <c r="K836" s="512"/>
      <c r="L836" s="512"/>
      <c r="M836" s="512"/>
      <c r="N836" s="512"/>
      <c r="O836" s="512"/>
      <c r="P836" s="156"/>
      <c r="Q836" s="512"/>
      <c r="R836" s="512"/>
      <c r="S836" s="512"/>
      <c r="T836" s="512"/>
      <c r="U836" s="512"/>
      <c r="V836" s="512"/>
      <c r="W836" s="512"/>
      <c r="X836" s="512"/>
      <c r="Y836" s="512"/>
      <c r="Z836" s="512"/>
      <c r="AA836" s="512"/>
      <c r="AB836" s="512"/>
      <c r="AC836" s="512"/>
    </row>
    <row r="837">
      <c r="A837" s="512"/>
      <c r="B837" s="512"/>
      <c r="C837" s="512"/>
      <c r="D837" s="512"/>
      <c r="E837" s="512"/>
      <c r="F837" s="512"/>
      <c r="G837" s="512"/>
      <c r="H837" s="512"/>
      <c r="I837" s="512"/>
      <c r="J837" s="512"/>
      <c r="K837" s="512"/>
      <c r="L837" s="512"/>
      <c r="M837" s="512"/>
      <c r="N837" s="512"/>
      <c r="O837" s="512"/>
      <c r="P837" s="156"/>
      <c r="Q837" s="512"/>
      <c r="R837" s="512"/>
      <c r="S837" s="512"/>
      <c r="T837" s="512"/>
      <c r="U837" s="512"/>
      <c r="V837" s="512"/>
      <c r="W837" s="512"/>
      <c r="X837" s="512"/>
      <c r="Y837" s="512"/>
      <c r="Z837" s="512"/>
      <c r="AA837" s="512"/>
      <c r="AB837" s="512"/>
      <c r="AC837" s="512"/>
    </row>
    <row r="838">
      <c r="A838" s="512"/>
      <c r="B838" s="512"/>
      <c r="C838" s="512"/>
      <c r="D838" s="512"/>
      <c r="E838" s="512"/>
      <c r="F838" s="512"/>
      <c r="G838" s="512"/>
      <c r="H838" s="512"/>
      <c r="I838" s="512"/>
      <c r="J838" s="512"/>
      <c r="K838" s="512"/>
      <c r="L838" s="512"/>
      <c r="M838" s="512"/>
      <c r="N838" s="512"/>
      <c r="O838" s="512"/>
      <c r="P838" s="156"/>
      <c r="Q838" s="512"/>
      <c r="R838" s="512"/>
      <c r="S838" s="512"/>
      <c r="T838" s="512"/>
      <c r="U838" s="512"/>
      <c r="V838" s="512"/>
      <c r="W838" s="512"/>
      <c r="X838" s="512"/>
      <c r="Y838" s="512"/>
      <c r="Z838" s="512"/>
      <c r="AA838" s="512"/>
      <c r="AB838" s="512"/>
      <c r="AC838" s="512"/>
    </row>
    <row r="839">
      <c r="A839" s="512"/>
      <c r="B839" s="512"/>
      <c r="C839" s="512"/>
      <c r="D839" s="512"/>
      <c r="E839" s="512"/>
      <c r="F839" s="512"/>
      <c r="G839" s="512"/>
      <c r="H839" s="512"/>
      <c r="I839" s="512"/>
      <c r="J839" s="512"/>
      <c r="K839" s="512"/>
      <c r="L839" s="512"/>
      <c r="M839" s="512"/>
      <c r="N839" s="512"/>
      <c r="O839" s="512"/>
      <c r="P839" s="156"/>
      <c r="Q839" s="512"/>
      <c r="R839" s="512"/>
      <c r="S839" s="512"/>
      <c r="T839" s="512"/>
      <c r="U839" s="512"/>
      <c r="V839" s="512"/>
      <c r="W839" s="512"/>
      <c r="X839" s="512"/>
      <c r="Y839" s="512"/>
      <c r="Z839" s="512"/>
      <c r="AA839" s="512"/>
      <c r="AB839" s="512"/>
      <c r="AC839" s="512"/>
    </row>
    <row r="840">
      <c r="A840" s="512"/>
      <c r="B840" s="512"/>
      <c r="C840" s="512"/>
      <c r="D840" s="512"/>
      <c r="E840" s="512"/>
      <c r="F840" s="512"/>
      <c r="G840" s="512"/>
      <c r="H840" s="512"/>
      <c r="I840" s="512"/>
      <c r="J840" s="512"/>
      <c r="K840" s="512"/>
      <c r="L840" s="512"/>
      <c r="M840" s="512"/>
      <c r="N840" s="512"/>
      <c r="O840" s="512"/>
      <c r="P840" s="156"/>
      <c r="Q840" s="512"/>
      <c r="R840" s="512"/>
      <c r="S840" s="512"/>
      <c r="T840" s="512"/>
      <c r="U840" s="512"/>
      <c r="V840" s="512"/>
      <c r="W840" s="512"/>
      <c r="X840" s="512"/>
      <c r="Y840" s="512"/>
      <c r="Z840" s="512"/>
      <c r="AA840" s="512"/>
      <c r="AB840" s="512"/>
      <c r="AC840" s="512"/>
    </row>
    <row r="841">
      <c r="A841" s="512"/>
      <c r="B841" s="512"/>
      <c r="C841" s="512"/>
      <c r="D841" s="512"/>
      <c r="E841" s="512"/>
      <c r="F841" s="512"/>
      <c r="G841" s="512"/>
      <c r="H841" s="512"/>
      <c r="I841" s="512"/>
      <c r="J841" s="512"/>
      <c r="K841" s="512"/>
      <c r="L841" s="512"/>
      <c r="M841" s="512"/>
      <c r="N841" s="512"/>
      <c r="O841" s="512"/>
      <c r="P841" s="156"/>
      <c r="Q841" s="512"/>
      <c r="R841" s="512"/>
      <c r="S841" s="512"/>
      <c r="T841" s="512"/>
      <c r="U841" s="512"/>
      <c r="V841" s="512"/>
      <c r="W841" s="512"/>
      <c r="X841" s="512"/>
      <c r="Y841" s="512"/>
      <c r="Z841" s="512"/>
      <c r="AA841" s="512"/>
      <c r="AB841" s="512"/>
      <c r="AC841" s="512"/>
    </row>
    <row r="842">
      <c r="A842" s="512"/>
      <c r="B842" s="512"/>
      <c r="C842" s="512"/>
      <c r="D842" s="512"/>
      <c r="E842" s="512"/>
      <c r="F842" s="512"/>
      <c r="G842" s="512"/>
      <c r="H842" s="512"/>
      <c r="I842" s="512"/>
      <c r="J842" s="512"/>
      <c r="K842" s="512"/>
      <c r="L842" s="512"/>
      <c r="M842" s="512"/>
      <c r="N842" s="512"/>
      <c r="O842" s="512"/>
      <c r="P842" s="156"/>
      <c r="Q842" s="512"/>
      <c r="R842" s="512"/>
      <c r="S842" s="512"/>
      <c r="T842" s="512"/>
      <c r="U842" s="512"/>
      <c r="V842" s="512"/>
      <c r="W842" s="512"/>
      <c r="X842" s="512"/>
      <c r="Y842" s="512"/>
      <c r="Z842" s="512"/>
      <c r="AA842" s="512"/>
      <c r="AB842" s="512"/>
      <c r="AC842" s="512"/>
    </row>
    <row r="843">
      <c r="A843" s="512"/>
      <c r="B843" s="512"/>
      <c r="C843" s="512"/>
      <c r="D843" s="512"/>
      <c r="E843" s="512"/>
      <c r="F843" s="512"/>
      <c r="G843" s="512"/>
      <c r="H843" s="512"/>
      <c r="I843" s="512"/>
      <c r="J843" s="512"/>
      <c r="K843" s="512"/>
      <c r="L843" s="512"/>
      <c r="M843" s="512"/>
      <c r="N843" s="512"/>
      <c r="O843" s="512"/>
      <c r="P843" s="156"/>
      <c r="Q843" s="512"/>
      <c r="R843" s="512"/>
      <c r="S843" s="512"/>
      <c r="T843" s="512"/>
      <c r="U843" s="512"/>
      <c r="V843" s="512"/>
      <c r="W843" s="512"/>
      <c r="X843" s="512"/>
      <c r="Y843" s="512"/>
      <c r="Z843" s="512"/>
      <c r="AA843" s="512"/>
      <c r="AB843" s="512"/>
      <c r="AC843" s="512"/>
    </row>
    <row r="844">
      <c r="A844" s="512"/>
      <c r="B844" s="512"/>
      <c r="C844" s="512"/>
      <c r="D844" s="512"/>
      <c r="E844" s="512"/>
      <c r="F844" s="512"/>
      <c r="G844" s="512"/>
      <c r="H844" s="512"/>
      <c r="I844" s="512"/>
      <c r="J844" s="512"/>
      <c r="K844" s="512"/>
      <c r="L844" s="512"/>
      <c r="M844" s="512"/>
      <c r="N844" s="512"/>
      <c r="O844" s="512"/>
      <c r="P844" s="156"/>
      <c r="Q844" s="512"/>
      <c r="R844" s="512"/>
      <c r="S844" s="512"/>
      <c r="T844" s="512"/>
      <c r="U844" s="512"/>
      <c r="V844" s="512"/>
      <c r="W844" s="512"/>
      <c r="X844" s="512"/>
      <c r="Y844" s="512"/>
      <c r="Z844" s="512"/>
      <c r="AA844" s="512"/>
      <c r="AB844" s="512"/>
      <c r="AC844" s="512"/>
    </row>
    <row r="845">
      <c r="A845" s="512"/>
      <c r="B845" s="512"/>
      <c r="C845" s="512"/>
      <c r="D845" s="512"/>
      <c r="E845" s="512"/>
      <c r="F845" s="512"/>
      <c r="G845" s="512"/>
      <c r="H845" s="512"/>
      <c r="I845" s="512"/>
      <c r="J845" s="512"/>
      <c r="K845" s="512"/>
      <c r="L845" s="512"/>
      <c r="M845" s="512"/>
      <c r="N845" s="512"/>
      <c r="O845" s="512"/>
      <c r="P845" s="156"/>
      <c r="Q845" s="512"/>
      <c r="R845" s="512"/>
      <c r="S845" s="512"/>
      <c r="T845" s="512"/>
      <c r="U845" s="512"/>
      <c r="V845" s="512"/>
      <c r="W845" s="512"/>
      <c r="X845" s="512"/>
      <c r="Y845" s="512"/>
      <c r="Z845" s="512"/>
      <c r="AA845" s="512"/>
      <c r="AB845" s="512"/>
      <c r="AC845" s="512"/>
    </row>
    <row r="846">
      <c r="A846" s="512"/>
      <c r="B846" s="512"/>
      <c r="C846" s="512"/>
      <c r="D846" s="512"/>
      <c r="E846" s="512"/>
      <c r="F846" s="512"/>
      <c r="G846" s="512"/>
      <c r="H846" s="512"/>
      <c r="I846" s="512"/>
      <c r="J846" s="512"/>
      <c r="K846" s="512"/>
      <c r="L846" s="512"/>
      <c r="M846" s="512"/>
      <c r="N846" s="512"/>
      <c r="O846" s="512"/>
      <c r="P846" s="156"/>
      <c r="Q846" s="512"/>
      <c r="R846" s="512"/>
      <c r="S846" s="512"/>
      <c r="T846" s="512"/>
      <c r="U846" s="512"/>
      <c r="V846" s="512"/>
      <c r="W846" s="512"/>
      <c r="X846" s="512"/>
      <c r="Y846" s="512"/>
      <c r="Z846" s="512"/>
      <c r="AA846" s="512"/>
      <c r="AB846" s="512"/>
      <c r="AC846" s="512"/>
    </row>
    <row r="847">
      <c r="A847" s="512"/>
      <c r="B847" s="512"/>
      <c r="C847" s="512"/>
      <c r="D847" s="512"/>
      <c r="E847" s="512"/>
      <c r="F847" s="512"/>
      <c r="G847" s="512"/>
      <c r="H847" s="512"/>
      <c r="I847" s="512"/>
      <c r="J847" s="512"/>
      <c r="K847" s="512"/>
      <c r="L847" s="512"/>
      <c r="M847" s="512"/>
      <c r="N847" s="512"/>
      <c r="O847" s="512"/>
      <c r="P847" s="156"/>
      <c r="Q847" s="512"/>
      <c r="R847" s="512"/>
      <c r="S847" s="512"/>
      <c r="T847" s="512"/>
      <c r="U847" s="512"/>
      <c r="V847" s="512"/>
      <c r="W847" s="512"/>
      <c r="X847" s="512"/>
      <c r="Y847" s="512"/>
      <c r="Z847" s="512"/>
      <c r="AA847" s="512"/>
      <c r="AB847" s="512"/>
      <c r="AC847" s="512"/>
    </row>
    <row r="848">
      <c r="A848" s="512"/>
      <c r="B848" s="512"/>
      <c r="C848" s="512"/>
      <c r="D848" s="512"/>
      <c r="E848" s="512"/>
      <c r="F848" s="512"/>
      <c r="G848" s="512"/>
      <c r="H848" s="512"/>
      <c r="I848" s="512"/>
      <c r="J848" s="512"/>
      <c r="K848" s="512"/>
      <c r="L848" s="512"/>
      <c r="M848" s="512"/>
      <c r="N848" s="512"/>
      <c r="O848" s="512"/>
      <c r="P848" s="156"/>
      <c r="Q848" s="512"/>
      <c r="R848" s="512"/>
      <c r="S848" s="512"/>
      <c r="T848" s="512"/>
      <c r="U848" s="512"/>
      <c r="V848" s="512"/>
      <c r="W848" s="512"/>
      <c r="X848" s="512"/>
      <c r="Y848" s="512"/>
      <c r="Z848" s="512"/>
      <c r="AA848" s="512"/>
      <c r="AB848" s="512"/>
      <c r="AC848" s="512"/>
    </row>
    <row r="849">
      <c r="A849" s="512"/>
      <c r="B849" s="512"/>
      <c r="C849" s="512"/>
      <c r="D849" s="512"/>
      <c r="E849" s="512"/>
      <c r="F849" s="512"/>
      <c r="G849" s="512"/>
      <c r="H849" s="512"/>
      <c r="I849" s="512"/>
      <c r="J849" s="512"/>
      <c r="K849" s="512"/>
      <c r="L849" s="512"/>
      <c r="M849" s="512"/>
      <c r="N849" s="512"/>
      <c r="O849" s="512"/>
      <c r="P849" s="156"/>
      <c r="Q849" s="512"/>
      <c r="R849" s="512"/>
      <c r="S849" s="512"/>
      <c r="T849" s="512"/>
      <c r="U849" s="512"/>
      <c r="V849" s="512"/>
      <c r="W849" s="512"/>
      <c r="X849" s="512"/>
      <c r="Y849" s="512"/>
      <c r="Z849" s="512"/>
      <c r="AA849" s="512"/>
      <c r="AB849" s="512"/>
      <c r="AC849" s="512"/>
    </row>
    <row r="850">
      <c r="A850" s="512"/>
      <c r="B850" s="512"/>
      <c r="C850" s="512"/>
      <c r="D850" s="512"/>
      <c r="E850" s="512"/>
      <c r="F850" s="512"/>
      <c r="G850" s="512"/>
      <c r="H850" s="512"/>
      <c r="I850" s="512"/>
      <c r="J850" s="512"/>
      <c r="K850" s="512"/>
      <c r="L850" s="512"/>
      <c r="M850" s="512"/>
      <c r="N850" s="512"/>
      <c r="O850" s="512"/>
      <c r="P850" s="156"/>
      <c r="Q850" s="512"/>
      <c r="R850" s="512"/>
      <c r="S850" s="512"/>
      <c r="T850" s="512"/>
      <c r="U850" s="512"/>
      <c r="V850" s="512"/>
      <c r="W850" s="512"/>
      <c r="X850" s="512"/>
      <c r="Y850" s="512"/>
      <c r="Z850" s="512"/>
      <c r="AA850" s="512"/>
      <c r="AB850" s="512"/>
      <c r="AC850" s="512"/>
    </row>
    <row r="851">
      <c r="A851" s="512"/>
      <c r="B851" s="512"/>
      <c r="C851" s="512"/>
      <c r="D851" s="512"/>
      <c r="E851" s="512"/>
      <c r="F851" s="512"/>
      <c r="G851" s="512"/>
      <c r="H851" s="512"/>
      <c r="I851" s="512"/>
      <c r="J851" s="512"/>
      <c r="K851" s="512"/>
      <c r="L851" s="512"/>
      <c r="M851" s="512"/>
      <c r="N851" s="512"/>
      <c r="O851" s="512"/>
      <c r="P851" s="156"/>
      <c r="Q851" s="512"/>
      <c r="R851" s="512"/>
      <c r="S851" s="512"/>
      <c r="T851" s="512"/>
      <c r="U851" s="512"/>
      <c r="V851" s="512"/>
      <c r="W851" s="512"/>
      <c r="X851" s="512"/>
      <c r="Y851" s="512"/>
      <c r="Z851" s="512"/>
      <c r="AA851" s="512"/>
      <c r="AB851" s="512"/>
      <c r="AC851" s="512"/>
    </row>
    <row r="852">
      <c r="A852" s="512"/>
      <c r="B852" s="512"/>
      <c r="C852" s="512"/>
      <c r="D852" s="512"/>
      <c r="E852" s="512"/>
      <c r="F852" s="512"/>
      <c r="G852" s="512"/>
      <c r="H852" s="512"/>
      <c r="I852" s="512"/>
      <c r="J852" s="512"/>
      <c r="K852" s="512"/>
      <c r="L852" s="512"/>
      <c r="M852" s="512"/>
      <c r="N852" s="512"/>
      <c r="O852" s="512"/>
      <c r="P852" s="156"/>
      <c r="Q852" s="512"/>
      <c r="R852" s="512"/>
      <c r="S852" s="512"/>
      <c r="T852" s="512"/>
      <c r="U852" s="512"/>
      <c r="V852" s="512"/>
      <c r="W852" s="512"/>
      <c r="X852" s="512"/>
      <c r="Y852" s="512"/>
      <c r="Z852" s="512"/>
      <c r="AA852" s="512"/>
      <c r="AB852" s="512"/>
      <c r="AC852" s="512"/>
    </row>
    <row r="853">
      <c r="A853" s="512"/>
      <c r="B853" s="512"/>
      <c r="C853" s="512"/>
      <c r="D853" s="512"/>
      <c r="E853" s="512"/>
      <c r="F853" s="512"/>
      <c r="G853" s="512"/>
      <c r="H853" s="512"/>
      <c r="I853" s="512"/>
      <c r="J853" s="512"/>
      <c r="K853" s="512"/>
      <c r="L853" s="512"/>
      <c r="M853" s="512"/>
      <c r="N853" s="512"/>
      <c r="O853" s="512"/>
      <c r="P853" s="156"/>
      <c r="Q853" s="512"/>
      <c r="R853" s="512"/>
      <c r="S853" s="512"/>
      <c r="T853" s="512"/>
      <c r="U853" s="512"/>
      <c r="V853" s="512"/>
      <c r="W853" s="512"/>
      <c r="X853" s="512"/>
      <c r="Y853" s="512"/>
      <c r="Z853" s="512"/>
      <c r="AA853" s="512"/>
      <c r="AB853" s="512"/>
      <c r="AC853" s="512"/>
    </row>
    <row r="854">
      <c r="A854" s="512"/>
      <c r="B854" s="512"/>
      <c r="C854" s="512"/>
      <c r="D854" s="512"/>
      <c r="E854" s="512"/>
      <c r="F854" s="512"/>
      <c r="G854" s="512"/>
      <c r="H854" s="512"/>
      <c r="I854" s="512"/>
      <c r="J854" s="512"/>
      <c r="K854" s="512"/>
      <c r="L854" s="512"/>
      <c r="M854" s="512"/>
      <c r="N854" s="512"/>
      <c r="O854" s="512"/>
      <c r="P854" s="156"/>
      <c r="Q854" s="512"/>
      <c r="R854" s="512"/>
      <c r="S854" s="512"/>
      <c r="T854" s="512"/>
      <c r="U854" s="512"/>
      <c r="V854" s="512"/>
      <c r="W854" s="512"/>
      <c r="X854" s="512"/>
      <c r="Y854" s="512"/>
      <c r="Z854" s="512"/>
      <c r="AA854" s="512"/>
      <c r="AB854" s="512"/>
      <c r="AC854" s="512"/>
    </row>
    <row r="855">
      <c r="A855" s="512"/>
      <c r="B855" s="512"/>
      <c r="C855" s="512"/>
      <c r="D855" s="512"/>
      <c r="E855" s="512"/>
      <c r="F855" s="512"/>
      <c r="G855" s="512"/>
      <c r="H855" s="512"/>
      <c r="I855" s="512"/>
      <c r="J855" s="512"/>
      <c r="K855" s="512"/>
      <c r="L855" s="512"/>
      <c r="M855" s="512"/>
      <c r="N855" s="512"/>
      <c r="O855" s="512"/>
      <c r="P855" s="156"/>
      <c r="Q855" s="512"/>
      <c r="R855" s="512"/>
      <c r="S855" s="512"/>
      <c r="T855" s="512"/>
      <c r="U855" s="512"/>
      <c r="V855" s="512"/>
      <c r="W855" s="512"/>
      <c r="X855" s="512"/>
      <c r="Y855" s="512"/>
      <c r="Z855" s="512"/>
      <c r="AA855" s="512"/>
      <c r="AB855" s="512"/>
      <c r="AC855" s="512"/>
    </row>
    <row r="856">
      <c r="A856" s="512"/>
      <c r="B856" s="512"/>
      <c r="C856" s="512"/>
      <c r="D856" s="512"/>
      <c r="E856" s="512"/>
      <c r="F856" s="512"/>
      <c r="G856" s="512"/>
      <c r="H856" s="512"/>
      <c r="I856" s="512"/>
      <c r="J856" s="512"/>
      <c r="K856" s="512"/>
      <c r="L856" s="512"/>
      <c r="M856" s="512"/>
      <c r="N856" s="512"/>
      <c r="O856" s="512"/>
      <c r="P856" s="156"/>
      <c r="Q856" s="512"/>
      <c r="R856" s="512"/>
      <c r="S856" s="512"/>
      <c r="T856" s="512"/>
      <c r="U856" s="512"/>
      <c r="V856" s="512"/>
      <c r="W856" s="512"/>
      <c r="X856" s="512"/>
      <c r="Y856" s="512"/>
      <c r="Z856" s="512"/>
      <c r="AA856" s="512"/>
      <c r="AB856" s="512"/>
      <c r="AC856" s="512"/>
    </row>
    <row r="857">
      <c r="A857" s="512"/>
      <c r="B857" s="512"/>
      <c r="C857" s="512"/>
      <c r="D857" s="512"/>
      <c r="E857" s="512"/>
      <c r="F857" s="512"/>
      <c r="G857" s="512"/>
      <c r="H857" s="512"/>
      <c r="I857" s="512"/>
      <c r="J857" s="512"/>
      <c r="K857" s="512"/>
      <c r="L857" s="512"/>
      <c r="M857" s="512"/>
      <c r="N857" s="512"/>
      <c r="O857" s="512"/>
      <c r="P857" s="156"/>
      <c r="Q857" s="512"/>
      <c r="R857" s="512"/>
      <c r="S857" s="512"/>
      <c r="T857" s="512"/>
      <c r="U857" s="512"/>
      <c r="V857" s="512"/>
      <c r="W857" s="512"/>
      <c r="X857" s="512"/>
      <c r="Y857" s="512"/>
      <c r="Z857" s="512"/>
      <c r="AA857" s="512"/>
      <c r="AB857" s="512"/>
      <c r="AC857" s="512"/>
    </row>
    <row r="858">
      <c r="A858" s="512"/>
      <c r="B858" s="512"/>
      <c r="C858" s="512"/>
      <c r="D858" s="512"/>
      <c r="E858" s="512"/>
      <c r="F858" s="512"/>
      <c r="G858" s="512"/>
      <c r="H858" s="512"/>
      <c r="I858" s="512"/>
      <c r="J858" s="512"/>
      <c r="K858" s="512"/>
      <c r="L858" s="512"/>
      <c r="M858" s="512"/>
      <c r="N858" s="512"/>
      <c r="O858" s="512"/>
      <c r="P858" s="156"/>
      <c r="Q858" s="512"/>
      <c r="R858" s="512"/>
      <c r="S858" s="512"/>
      <c r="T858" s="512"/>
      <c r="U858" s="512"/>
      <c r="V858" s="512"/>
      <c r="W858" s="512"/>
      <c r="X858" s="512"/>
      <c r="Y858" s="512"/>
      <c r="Z858" s="512"/>
      <c r="AA858" s="512"/>
      <c r="AB858" s="512"/>
      <c r="AC858" s="512"/>
    </row>
    <row r="859">
      <c r="A859" s="512"/>
      <c r="B859" s="512"/>
      <c r="C859" s="512"/>
      <c r="D859" s="512"/>
      <c r="E859" s="512"/>
      <c r="F859" s="512"/>
      <c r="G859" s="512"/>
      <c r="H859" s="512"/>
      <c r="I859" s="512"/>
      <c r="J859" s="512"/>
      <c r="K859" s="512"/>
      <c r="L859" s="512"/>
      <c r="M859" s="512"/>
      <c r="N859" s="512"/>
      <c r="O859" s="512"/>
      <c r="P859" s="156"/>
      <c r="Q859" s="512"/>
      <c r="R859" s="512"/>
      <c r="S859" s="512"/>
      <c r="T859" s="512"/>
      <c r="U859" s="512"/>
      <c r="V859" s="512"/>
      <c r="W859" s="512"/>
      <c r="X859" s="512"/>
      <c r="Y859" s="512"/>
      <c r="Z859" s="512"/>
      <c r="AA859" s="512"/>
      <c r="AB859" s="512"/>
      <c r="AC859" s="512"/>
    </row>
    <row r="860">
      <c r="A860" s="512"/>
      <c r="B860" s="512"/>
      <c r="C860" s="512"/>
      <c r="D860" s="512"/>
      <c r="E860" s="512"/>
      <c r="F860" s="512"/>
      <c r="G860" s="512"/>
      <c r="H860" s="512"/>
      <c r="I860" s="512"/>
      <c r="J860" s="512"/>
      <c r="K860" s="512"/>
      <c r="L860" s="512"/>
      <c r="M860" s="512"/>
      <c r="N860" s="512"/>
      <c r="O860" s="512"/>
      <c r="P860" s="156"/>
      <c r="Q860" s="512"/>
      <c r="R860" s="512"/>
      <c r="S860" s="512"/>
      <c r="T860" s="512"/>
      <c r="U860" s="512"/>
      <c r="V860" s="512"/>
      <c r="W860" s="512"/>
      <c r="X860" s="512"/>
      <c r="Y860" s="512"/>
      <c r="Z860" s="512"/>
      <c r="AA860" s="512"/>
      <c r="AB860" s="512"/>
      <c r="AC860" s="512"/>
    </row>
    <row r="861">
      <c r="A861" s="512"/>
      <c r="B861" s="512"/>
      <c r="C861" s="512"/>
      <c r="D861" s="512"/>
      <c r="E861" s="512"/>
      <c r="F861" s="512"/>
      <c r="G861" s="512"/>
      <c r="H861" s="512"/>
      <c r="I861" s="512"/>
      <c r="J861" s="512"/>
      <c r="K861" s="512"/>
      <c r="L861" s="512"/>
      <c r="M861" s="512"/>
      <c r="N861" s="512"/>
      <c r="O861" s="512"/>
      <c r="P861" s="156"/>
      <c r="Q861" s="512"/>
      <c r="R861" s="512"/>
      <c r="S861" s="512"/>
      <c r="T861" s="512"/>
      <c r="U861" s="512"/>
      <c r="V861" s="512"/>
      <c r="W861" s="512"/>
      <c r="X861" s="512"/>
      <c r="Y861" s="512"/>
      <c r="Z861" s="512"/>
      <c r="AA861" s="512"/>
      <c r="AB861" s="512"/>
      <c r="AC861" s="512"/>
    </row>
    <row r="862">
      <c r="A862" s="512"/>
      <c r="B862" s="512"/>
      <c r="C862" s="512"/>
      <c r="D862" s="512"/>
      <c r="E862" s="512"/>
      <c r="F862" s="512"/>
      <c r="G862" s="512"/>
      <c r="H862" s="512"/>
      <c r="I862" s="512"/>
      <c r="J862" s="512"/>
      <c r="K862" s="512"/>
      <c r="L862" s="512"/>
      <c r="M862" s="512"/>
      <c r="N862" s="512"/>
      <c r="O862" s="512"/>
      <c r="P862" s="156"/>
      <c r="Q862" s="512"/>
      <c r="R862" s="512"/>
      <c r="S862" s="512"/>
      <c r="T862" s="512"/>
      <c r="U862" s="512"/>
      <c r="V862" s="512"/>
      <c r="W862" s="512"/>
      <c r="X862" s="512"/>
      <c r="Y862" s="512"/>
      <c r="Z862" s="512"/>
      <c r="AA862" s="512"/>
      <c r="AB862" s="512"/>
      <c r="AC862" s="512"/>
    </row>
    <row r="863">
      <c r="A863" s="512"/>
      <c r="B863" s="512"/>
      <c r="C863" s="512"/>
      <c r="D863" s="512"/>
      <c r="E863" s="512"/>
      <c r="F863" s="512"/>
      <c r="G863" s="512"/>
      <c r="H863" s="512"/>
      <c r="I863" s="512"/>
      <c r="J863" s="512"/>
      <c r="K863" s="512"/>
      <c r="L863" s="512"/>
      <c r="M863" s="512"/>
      <c r="N863" s="512"/>
      <c r="O863" s="512"/>
      <c r="P863" s="156"/>
      <c r="Q863" s="512"/>
      <c r="R863" s="512"/>
      <c r="S863" s="512"/>
      <c r="T863" s="512"/>
      <c r="U863" s="512"/>
      <c r="V863" s="512"/>
      <c r="W863" s="512"/>
      <c r="X863" s="512"/>
      <c r="Y863" s="512"/>
      <c r="Z863" s="512"/>
      <c r="AA863" s="512"/>
      <c r="AB863" s="512"/>
      <c r="AC863" s="512"/>
    </row>
    <row r="864">
      <c r="A864" s="512"/>
      <c r="B864" s="512"/>
      <c r="C864" s="512"/>
      <c r="D864" s="512"/>
      <c r="E864" s="512"/>
      <c r="F864" s="512"/>
      <c r="G864" s="512"/>
      <c r="H864" s="512"/>
      <c r="I864" s="512"/>
      <c r="J864" s="512"/>
      <c r="K864" s="512"/>
      <c r="L864" s="512"/>
      <c r="M864" s="512"/>
      <c r="N864" s="512"/>
      <c r="O864" s="512"/>
      <c r="P864" s="156"/>
      <c r="Q864" s="512"/>
      <c r="R864" s="512"/>
      <c r="S864" s="512"/>
      <c r="T864" s="512"/>
      <c r="U864" s="512"/>
      <c r="V864" s="512"/>
      <c r="W864" s="512"/>
      <c r="X864" s="512"/>
      <c r="Y864" s="512"/>
      <c r="Z864" s="512"/>
      <c r="AA864" s="512"/>
      <c r="AB864" s="512"/>
      <c r="AC864" s="512"/>
    </row>
    <row r="865">
      <c r="A865" s="512"/>
      <c r="B865" s="512"/>
      <c r="C865" s="512"/>
      <c r="D865" s="512"/>
      <c r="E865" s="512"/>
      <c r="F865" s="512"/>
      <c r="G865" s="512"/>
      <c r="H865" s="512"/>
      <c r="I865" s="512"/>
      <c r="J865" s="512"/>
      <c r="K865" s="512"/>
      <c r="L865" s="512"/>
      <c r="M865" s="512"/>
      <c r="N865" s="512"/>
      <c r="O865" s="512"/>
      <c r="P865" s="156"/>
      <c r="Q865" s="512"/>
      <c r="R865" s="512"/>
      <c r="S865" s="512"/>
      <c r="T865" s="512"/>
      <c r="U865" s="512"/>
      <c r="V865" s="512"/>
      <c r="W865" s="512"/>
      <c r="X865" s="512"/>
      <c r="Y865" s="512"/>
      <c r="Z865" s="512"/>
      <c r="AA865" s="512"/>
      <c r="AB865" s="512"/>
      <c r="AC865" s="512"/>
    </row>
    <row r="866">
      <c r="A866" s="512"/>
      <c r="B866" s="512"/>
      <c r="C866" s="512"/>
      <c r="D866" s="512"/>
      <c r="E866" s="512"/>
      <c r="F866" s="512"/>
      <c r="G866" s="512"/>
      <c r="H866" s="512"/>
      <c r="I866" s="512"/>
      <c r="J866" s="512"/>
      <c r="K866" s="512"/>
      <c r="L866" s="512"/>
      <c r="M866" s="512"/>
      <c r="N866" s="512"/>
      <c r="O866" s="512"/>
      <c r="P866" s="156"/>
      <c r="Q866" s="512"/>
      <c r="R866" s="512"/>
      <c r="S866" s="512"/>
      <c r="T866" s="512"/>
      <c r="U866" s="512"/>
      <c r="V866" s="512"/>
      <c r="W866" s="512"/>
      <c r="X866" s="512"/>
      <c r="Y866" s="512"/>
      <c r="Z866" s="512"/>
      <c r="AA866" s="512"/>
      <c r="AB866" s="512"/>
      <c r="AC866" s="512"/>
    </row>
    <row r="867">
      <c r="A867" s="512"/>
      <c r="B867" s="512"/>
      <c r="C867" s="512"/>
      <c r="D867" s="512"/>
      <c r="E867" s="512"/>
      <c r="F867" s="512"/>
      <c r="G867" s="512"/>
      <c r="H867" s="512"/>
      <c r="I867" s="512"/>
      <c r="J867" s="512"/>
      <c r="K867" s="512"/>
      <c r="L867" s="512"/>
      <c r="M867" s="512"/>
      <c r="N867" s="512"/>
      <c r="O867" s="512"/>
      <c r="P867" s="156"/>
      <c r="Q867" s="512"/>
      <c r="R867" s="512"/>
      <c r="S867" s="512"/>
      <c r="T867" s="512"/>
      <c r="U867" s="512"/>
      <c r="V867" s="512"/>
      <c r="W867" s="512"/>
      <c r="X867" s="512"/>
      <c r="Y867" s="512"/>
      <c r="Z867" s="512"/>
      <c r="AA867" s="512"/>
      <c r="AB867" s="512"/>
      <c r="AC867" s="512"/>
    </row>
    <row r="868">
      <c r="A868" s="512"/>
      <c r="B868" s="512"/>
      <c r="C868" s="512"/>
      <c r="D868" s="512"/>
      <c r="E868" s="512"/>
      <c r="F868" s="512"/>
      <c r="G868" s="512"/>
      <c r="H868" s="512"/>
      <c r="I868" s="512"/>
      <c r="J868" s="512"/>
      <c r="K868" s="512"/>
      <c r="L868" s="512"/>
      <c r="M868" s="512"/>
      <c r="N868" s="512"/>
      <c r="O868" s="512"/>
      <c r="P868" s="156"/>
      <c r="Q868" s="512"/>
      <c r="R868" s="512"/>
      <c r="S868" s="512"/>
      <c r="T868" s="512"/>
      <c r="U868" s="512"/>
      <c r="V868" s="512"/>
      <c r="W868" s="512"/>
      <c r="X868" s="512"/>
      <c r="Y868" s="512"/>
      <c r="Z868" s="512"/>
      <c r="AA868" s="512"/>
      <c r="AB868" s="512"/>
      <c r="AC868" s="512"/>
    </row>
    <row r="869">
      <c r="A869" s="512"/>
      <c r="B869" s="512"/>
      <c r="C869" s="512"/>
      <c r="D869" s="512"/>
      <c r="E869" s="512"/>
      <c r="F869" s="512"/>
      <c r="G869" s="512"/>
      <c r="H869" s="512"/>
      <c r="I869" s="512"/>
      <c r="J869" s="512"/>
      <c r="K869" s="512"/>
      <c r="L869" s="512"/>
      <c r="M869" s="512"/>
      <c r="N869" s="512"/>
      <c r="O869" s="512"/>
      <c r="P869" s="156"/>
      <c r="Q869" s="512"/>
      <c r="R869" s="512"/>
      <c r="S869" s="512"/>
      <c r="T869" s="512"/>
      <c r="U869" s="512"/>
      <c r="V869" s="512"/>
      <c r="W869" s="512"/>
      <c r="X869" s="512"/>
      <c r="Y869" s="512"/>
      <c r="Z869" s="512"/>
      <c r="AA869" s="512"/>
      <c r="AB869" s="512"/>
      <c r="AC869" s="512"/>
    </row>
    <row r="870">
      <c r="A870" s="512"/>
      <c r="B870" s="512"/>
      <c r="C870" s="512"/>
      <c r="D870" s="512"/>
      <c r="E870" s="512"/>
      <c r="F870" s="512"/>
      <c r="G870" s="512"/>
      <c r="H870" s="512"/>
      <c r="I870" s="512"/>
      <c r="J870" s="512"/>
      <c r="K870" s="512"/>
      <c r="L870" s="512"/>
      <c r="M870" s="512"/>
      <c r="N870" s="512"/>
      <c r="O870" s="512"/>
      <c r="P870" s="156"/>
      <c r="Q870" s="512"/>
      <c r="R870" s="512"/>
      <c r="S870" s="512"/>
      <c r="T870" s="512"/>
      <c r="U870" s="512"/>
      <c r="V870" s="512"/>
      <c r="W870" s="512"/>
      <c r="X870" s="512"/>
      <c r="Y870" s="512"/>
      <c r="Z870" s="512"/>
      <c r="AA870" s="512"/>
      <c r="AB870" s="512"/>
      <c r="AC870" s="512"/>
    </row>
    <row r="871">
      <c r="A871" s="512"/>
      <c r="B871" s="512"/>
      <c r="C871" s="512"/>
      <c r="D871" s="512"/>
      <c r="E871" s="512"/>
      <c r="F871" s="512"/>
      <c r="G871" s="512"/>
      <c r="H871" s="512"/>
      <c r="I871" s="512"/>
      <c r="J871" s="512"/>
      <c r="K871" s="512"/>
      <c r="L871" s="512"/>
      <c r="M871" s="512"/>
      <c r="N871" s="512"/>
      <c r="O871" s="512"/>
      <c r="P871" s="156"/>
      <c r="Q871" s="512"/>
      <c r="R871" s="512"/>
      <c r="S871" s="512"/>
      <c r="T871" s="512"/>
      <c r="U871" s="512"/>
      <c r="V871" s="512"/>
      <c r="W871" s="512"/>
      <c r="X871" s="512"/>
      <c r="Y871" s="512"/>
      <c r="Z871" s="512"/>
      <c r="AA871" s="512"/>
      <c r="AB871" s="512"/>
      <c r="AC871" s="512"/>
    </row>
    <row r="872">
      <c r="A872" s="512"/>
      <c r="B872" s="512"/>
      <c r="C872" s="512"/>
      <c r="D872" s="512"/>
      <c r="E872" s="512"/>
      <c r="F872" s="512"/>
      <c r="G872" s="512"/>
      <c r="H872" s="512"/>
      <c r="I872" s="512"/>
      <c r="J872" s="512"/>
      <c r="K872" s="512"/>
      <c r="L872" s="512"/>
      <c r="M872" s="512"/>
      <c r="N872" s="512"/>
      <c r="O872" s="512"/>
      <c r="P872" s="156"/>
      <c r="Q872" s="512"/>
      <c r="R872" s="512"/>
      <c r="S872" s="512"/>
      <c r="T872" s="512"/>
      <c r="U872" s="512"/>
      <c r="V872" s="512"/>
      <c r="W872" s="512"/>
      <c r="X872" s="512"/>
      <c r="Y872" s="512"/>
      <c r="Z872" s="512"/>
      <c r="AA872" s="512"/>
      <c r="AB872" s="512"/>
      <c r="AC872" s="512"/>
    </row>
    <row r="873">
      <c r="A873" s="512"/>
      <c r="B873" s="512"/>
      <c r="C873" s="512"/>
      <c r="D873" s="512"/>
      <c r="E873" s="512"/>
      <c r="F873" s="512"/>
      <c r="G873" s="512"/>
      <c r="H873" s="512"/>
      <c r="I873" s="512"/>
      <c r="J873" s="512"/>
      <c r="K873" s="512"/>
      <c r="L873" s="512"/>
      <c r="M873" s="512"/>
      <c r="N873" s="512"/>
      <c r="O873" s="512"/>
      <c r="P873" s="156"/>
      <c r="Q873" s="512"/>
      <c r="R873" s="512"/>
      <c r="S873" s="512"/>
      <c r="T873" s="512"/>
      <c r="U873" s="512"/>
      <c r="V873" s="512"/>
      <c r="W873" s="512"/>
      <c r="X873" s="512"/>
      <c r="Y873" s="512"/>
      <c r="Z873" s="512"/>
      <c r="AA873" s="512"/>
      <c r="AB873" s="512"/>
      <c r="AC873" s="512"/>
    </row>
    <row r="874">
      <c r="A874" s="512"/>
      <c r="B874" s="512"/>
      <c r="C874" s="512"/>
      <c r="D874" s="512"/>
      <c r="E874" s="512"/>
      <c r="F874" s="512"/>
      <c r="G874" s="512"/>
      <c r="H874" s="512"/>
      <c r="I874" s="512"/>
      <c r="J874" s="512"/>
      <c r="K874" s="512"/>
      <c r="L874" s="512"/>
      <c r="M874" s="512"/>
      <c r="N874" s="512"/>
      <c r="O874" s="512"/>
      <c r="P874" s="156"/>
      <c r="Q874" s="512"/>
      <c r="R874" s="512"/>
      <c r="S874" s="512"/>
      <c r="T874" s="512"/>
      <c r="U874" s="512"/>
      <c r="V874" s="512"/>
      <c r="W874" s="512"/>
      <c r="X874" s="512"/>
      <c r="Y874" s="512"/>
      <c r="Z874" s="512"/>
      <c r="AA874" s="512"/>
      <c r="AB874" s="512"/>
      <c r="AC874" s="512"/>
    </row>
    <row r="875">
      <c r="A875" s="512"/>
      <c r="B875" s="512"/>
      <c r="C875" s="512"/>
      <c r="D875" s="512"/>
      <c r="E875" s="512"/>
      <c r="F875" s="512"/>
      <c r="G875" s="512"/>
      <c r="H875" s="512"/>
      <c r="I875" s="512"/>
      <c r="J875" s="512"/>
      <c r="K875" s="512"/>
      <c r="L875" s="512"/>
      <c r="M875" s="512"/>
      <c r="N875" s="512"/>
      <c r="O875" s="512"/>
      <c r="P875" s="156"/>
      <c r="Q875" s="512"/>
      <c r="R875" s="512"/>
      <c r="S875" s="512"/>
      <c r="T875" s="512"/>
      <c r="U875" s="512"/>
      <c r="V875" s="512"/>
      <c r="W875" s="512"/>
      <c r="X875" s="512"/>
      <c r="Y875" s="512"/>
      <c r="Z875" s="512"/>
      <c r="AA875" s="512"/>
      <c r="AB875" s="512"/>
      <c r="AC875" s="512"/>
    </row>
    <row r="876">
      <c r="A876" s="512"/>
      <c r="B876" s="512"/>
      <c r="C876" s="512"/>
      <c r="D876" s="512"/>
      <c r="E876" s="512"/>
      <c r="F876" s="512"/>
      <c r="G876" s="512"/>
      <c r="H876" s="512"/>
      <c r="I876" s="512"/>
      <c r="J876" s="512"/>
      <c r="K876" s="512"/>
      <c r="L876" s="512"/>
      <c r="M876" s="512"/>
      <c r="N876" s="512"/>
      <c r="O876" s="512"/>
      <c r="P876" s="156"/>
      <c r="Q876" s="512"/>
      <c r="R876" s="512"/>
      <c r="S876" s="512"/>
      <c r="T876" s="512"/>
      <c r="U876" s="512"/>
      <c r="V876" s="512"/>
      <c r="W876" s="512"/>
      <c r="X876" s="512"/>
      <c r="Y876" s="512"/>
      <c r="Z876" s="512"/>
      <c r="AA876" s="512"/>
      <c r="AB876" s="512"/>
      <c r="AC876" s="512"/>
    </row>
    <row r="877">
      <c r="A877" s="512"/>
      <c r="B877" s="512"/>
      <c r="C877" s="512"/>
      <c r="D877" s="512"/>
      <c r="E877" s="512"/>
      <c r="F877" s="512"/>
      <c r="G877" s="512"/>
      <c r="H877" s="512"/>
      <c r="I877" s="512"/>
      <c r="J877" s="512"/>
      <c r="K877" s="512"/>
      <c r="L877" s="512"/>
      <c r="M877" s="512"/>
      <c r="N877" s="512"/>
      <c r="O877" s="512"/>
      <c r="P877" s="156"/>
      <c r="Q877" s="512"/>
      <c r="R877" s="512"/>
      <c r="S877" s="512"/>
      <c r="T877" s="512"/>
      <c r="U877" s="512"/>
      <c r="V877" s="512"/>
      <c r="W877" s="512"/>
      <c r="X877" s="512"/>
      <c r="Y877" s="512"/>
      <c r="Z877" s="512"/>
      <c r="AA877" s="512"/>
      <c r="AB877" s="512"/>
      <c r="AC877" s="512"/>
    </row>
    <row r="878">
      <c r="A878" s="512"/>
      <c r="B878" s="512"/>
      <c r="C878" s="512"/>
      <c r="D878" s="512"/>
      <c r="E878" s="512"/>
      <c r="F878" s="512"/>
      <c r="G878" s="512"/>
      <c r="H878" s="512"/>
      <c r="I878" s="512"/>
      <c r="J878" s="512"/>
      <c r="K878" s="512"/>
      <c r="L878" s="512"/>
      <c r="M878" s="512"/>
      <c r="N878" s="512"/>
      <c r="O878" s="512"/>
      <c r="P878" s="156"/>
      <c r="Q878" s="512"/>
      <c r="R878" s="512"/>
      <c r="S878" s="512"/>
      <c r="T878" s="512"/>
      <c r="U878" s="512"/>
      <c r="V878" s="512"/>
      <c r="W878" s="512"/>
      <c r="X878" s="512"/>
      <c r="Y878" s="512"/>
      <c r="Z878" s="512"/>
      <c r="AA878" s="512"/>
      <c r="AB878" s="512"/>
      <c r="AC878" s="512"/>
    </row>
    <row r="879">
      <c r="A879" s="512"/>
      <c r="B879" s="512"/>
      <c r="C879" s="512"/>
      <c r="D879" s="512"/>
      <c r="E879" s="512"/>
      <c r="F879" s="512"/>
      <c r="G879" s="512"/>
      <c r="H879" s="512"/>
      <c r="I879" s="512"/>
      <c r="J879" s="512"/>
      <c r="K879" s="512"/>
      <c r="L879" s="512"/>
      <c r="M879" s="512"/>
      <c r="N879" s="512"/>
      <c r="O879" s="512"/>
      <c r="P879" s="156"/>
      <c r="Q879" s="512"/>
      <c r="R879" s="512"/>
      <c r="S879" s="512"/>
      <c r="T879" s="512"/>
      <c r="U879" s="512"/>
      <c r="V879" s="512"/>
      <c r="W879" s="512"/>
      <c r="X879" s="512"/>
      <c r="Y879" s="512"/>
      <c r="Z879" s="512"/>
      <c r="AA879" s="512"/>
      <c r="AB879" s="512"/>
      <c r="AC879" s="512"/>
    </row>
    <row r="880">
      <c r="A880" s="512"/>
      <c r="B880" s="512"/>
      <c r="C880" s="512"/>
      <c r="D880" s="512"/>
      <c r="E880" s="512"/>
      <c r="F880" s="512"/>
      <c r="G880" s="512"/>
      <c r="H880" s="512"/>
      <c r="I880" s="512"/>
      <c r="J880" s="512"/>
      <c r="K880" s="512"/>
      <c r="L880" s="512"/>
      <c r="M880" s="512"/>
      <c r="N880" s="512"/>
      <c r="O880" s="512"/>
      <c r="P880" s="156"/>
      <c r="Q880" s="512"/>
      <c r="R880" s="512"/>
      <c r="S880" s="512"/>
      <c r="T880" s="512"/>
      <c r="U880" s="512"/>
      <c r="V880" s="512"/>
      <c r="W880" s="512"/>
      <c r="X880" s="512"/>
      <c r="Y880" s="512"/>
      <c r="Z880" s="512"/>
      <c r="AA880" s="512"/>
      <c r="AB880" s="512"/>
      <c r="AC880" s="512"/>
    </row>
    <row r="881">
      <c r="A881" s="512"/>
      <c r="B881" s="512"/>
      <c r="C881" s="512"/>
      <c r="D881" s="512"/>
      <c r="E881" s="512"/>
      <c r="F881" s="512"/>
      <c r="G881" s="512"/>
      <c r="H881" s="512"/>
      <c r="I881" s="512"/>
      <c r="J881" s="512"/>
      <c r="K881" s="512"/>
      <c r="L881" s="512"/>
      <c r="M881" s="512"/>
      <c r="N881" s="512"/>
      <c r="O881" s="512"/>
      <c r="P881" s="156"/>
      <c r="Q881" s="512"/>
      <c r="R881" s="512"/>
      <c r="S881" s="512"/>
      <c r="T881" s="512"/>
      <c r="U881" s="512"/>
      <c r="V881" s="512"/>
      <c r="W881" s="512"/>
      <c r="X881" s="512"/>
      <c r="Y881" s="512"/>
      <c r="Z881" s="512"/>
      <c r="AA881" s="512"/>
      <c r="AB881" s="512"/>
      <c r="AC881" s="512"/>
    </row>
    <row r="882">
      <c r="A882" s="512"/>
      <c r="B882" s="512"/>
      <c r="C882" s="512"/>
      <c r="D882" s="512"/>
      <c r="E882" s="512"/>
      <c r="F882" s="512"/>
      <c r="G882" s="512"/>
      <c r="H882" s="512"/>
      <c r="I882" s="512"/>
      <c r="J882" s="512"/>
      <c r="K882" s="512"/>
      <c r="L882" s="512"/>
      <c r="M882" s="512"/>
      <c r="N882" s="512"/>
      <c r="O882" s="512"/>
      <c r="P882" s="156"/>
      <c r="Q882" s="512"/>
      <c r="R882" s="512"/>
      <c r="S882" s="512"/>
      <c r="T882" s="512"/>
      <c r="U882" s="512"/>
      <c r="V882" s="512"/>
      <c r="W882" s="512"/>
      <c r="X882" s="512"/>
      <c r="Y882" s="512"/>
      <c r="Z882" s="512"/>
      <c r="AA882" s="512"/>
      <c r="AB882" s="512"/>
      <c r="AC882" s="512"/>
    </row>
    <row r="883">
      <c r="A883" s="512"/>
      <c r="B883" s="512"/>
      <c r="C883" s="512"/>
      <c r="D883" s="512"/>
      <c r="E883" s="512"/>
      <c r="F883" s="512"/>
      <c r="G883" s="512"/>
      <c r="H883" s="512"/>
      <c r="I883" s="512"/>
      <c r="J883" s="512"/>
      <c r="K883" s="512"/>
      <c r="L883" s="512"/>
      <c r="M883" s="512"/>
      <c r="N883" s="512"/>
      <c r="O883" s="512"/>
      <c r="P883" s="156"/>
      <c r="Q883" s="512"/>
      <c r="R883" s="512"/>
      <c r="S883" s="512"/>
      <c r="T883" s="512"/>
      <c r="U883" s="512"/>
      <c r="V883" s="512"/>
      <c r="W883" s="512"/>
      <c r="X883" s="512"/>
      <c r="Y883" s="512"/>
      <c r="Z883" s="512"/>
      <c r="AA883" s="512"/>
      <c r="AB883" s="512"/>
      <c r="AC883" s="512"/>
    </row>
    <row r="884">
      <c r="A884" s="512"/>
      <c r="B884" s="512"/>
      <c r="C884" s="512"/>
      <c r="D884" s="512"/>
      <c r="E884" s="512"/>
      <c r="F884" s="512"/>
      <c r="G884" s="512"/>
      <c r="H884" s="512"/>
      <c r="I884" s="512"/>
      <c r="J884" s="512"/>
      <c r="K884" s="512"/>
      <c r="L884" s="512"/>
      <c r="M884" s="512"/>
      <c r="N884" s="512"/>
      <c r="O884" s="512"/>
      <c r="P884" s="156"/>
      <c r="Q884" s="512"/>
      <c r="R884" s="512"/>
      <c r="S884" s="512"/>
      <c r="T884" s="512"/>
      <c r="U884" s="512"/>
      <c r="V884" s="512"/>
      <c r="W884" s="512"/>
      <c r="X884" s="512"/>
      <c r="Y884" s="512"/>
      <c r="Z884" s="512"/>
      <c r="AA884" s="512"/>
      <c r="AB884" s="512"/>
      <c r="AC884" s="512"/>
    </row>
    <row r="885">
      <c r="A885" s="512"/>
      <c r="B885" s="512"/>
      <c r="C885" s="512"/>
      <c r="D885" s="512"/>
      <c r="E885" s="512"/>
      <c r="F885" s="512"/>
      <c r="G885" s="512"/>
      <c r="H885" s="512"/>
      <c r="I885" s="512"/>
      <c r="J885" s="512"/>
      <c r="K885" s="512"/>
      <c r="L885" s="512"/>
      <c r="M885" s="512"/>
      <c r="N885" s="512"/>
      <c r="O885" s="512"/>
      <c r="P885" s="156"/>
      <c r="Q885" s="512"/>
      <c r="R885" s="512"/>
      <c r="S885" s="512"/>
      <c r="T885" s="512"/>
      <c r="U885" s="512"/>
      <c r="V885" s="512"/>
      <c r="W885" s="512"/>
      <c r="X885" s="512"/>
      <c r="Y885" s="512"/>
      <c r="Z885" s="512"/>
      <c r="AA885" s="512"/>
      <c r="AB885" s="512"/>
      <c r="AC885" s="512"/>
    </row>
    <row r="886">
      <c r="A886" s="512"/>
      <c r="B886" s="512"/>
      <c r="C886" s="512"/>
      <c r="D886" s="512"/>
      <c r="E886" s="512"/>
      <c r="F886" s="512"/>
      <c r="G886" s="512"/>
      <c r="H886" s="512"/>
      <c r="I886" s="512"/>
      <c r="J886" s="512"/>
      <c r="K886" s="512"/>
      <c r="L886" s="512"/>
      <c r="M886" s="512"/>
      <c r="N886" s="512"/>
      <c r="O886" s="512"/>
      <c r="P886" s="156"/>
      <c r="Q886" s="512"/>
      <c r="R886" s="512"/>
      <c r="S886" s="512"/>
      <c r="T886" s="512"/>
      <c r="U886" s="512"/>
      <c r="V886" s="512"/>
      <c r="W886" s="512"/>
      <c r="X886" s="512"/>
      <c r="Y886" s="512"/>
      <c r="Z886" s="512"/>
      <c r="AA886" s="512"/>
      <c r="AB886" s="512"/>
      <c r="AC886" s="512"/>
    </row>
    <row r="887">
      <c r="A887" s="512"/>
      <c r="B887" s="512"/>
      <c r="C887" s="512"/>
      <c r="D887" s="512"/>
      <c r="E887" s="512"/>
      <c r="F887" s="512"/>
      <c r="G887" s="512"/>
      <c r="H887" s="512"/>
      <c r="I887" s="512"/>
      <c r="J887" s="512"/>
      <c r="K887" s="512"/>
      <c r="L887" s="512"/>
      <c r="M887" s="512"/>
      <c r="N887" s="512"/>
      <c r="O887" s="512"/>
      <c r="P887" s="156"/>
      <c r="Q887" s="512"/>
      <c r="R887" s="512"/>
      <c r="S887" s="512"/>
      <c r="T887" s="512"/>
      <c r="U887" s="512"/>
      <c r="V887" s="512"/>
      <c r="W887" s="512"/>
      <c r="X887" s="512"/>
      <c r="Y887" s="512"/>
      <c r="Z887" s="512"/>
      <c r="AA887" s="512"/>
      <c r="AB887" s="512"/>
      <c r="AC887" s="512"/>
    </row>
    <row r="888">
      <c r="A888" s="512"/>
      <c r="B888" s="512"/>
      <c r="C888" s="512"/>
      <c r="D888" s="512"/>
      <c r="E888" s="512"/>
      <c r="F888" s="512"/>
      <c r="G888" s="512"/>
      <c r="H888" s="512"/>
      <c r="I888" s="512"/>
      <c r="J888" s="512"/>
      <c r="K888" s="512"/>
      <c r="L888" s="512"/>
      <c r="M888" s="512"/>
      <c r="N888" s="512"/>
      <c r="O888" s="512"/>
      <c r="P888" s="156"/>
      <c r="Q888" s="512"/>
      <c r="R888" s="512"/>
      <c r="S888" s="512"/>
      <c r="T888" s="512"/>
      <c r="U888" s="512"/>
      <c r="V888" s="512"/>
      <c r="W888" s="512"/>
      <c r="X888" s="512"/>
      <c r="Y888" s="512"/>
      <c r="Z888" s="512"/>
      <c r="AA888" s="512"/>
      <c r="AB888" s="512"/>
      <c r="AC888" s="512"/>
    </row>
    <row r="889">
      <c r="A889" s="512"/>
      <c r="B889" s="512"/>
      <c r="C889" s="512"/>
      <c r="D889" s="512"/>
      <c r="E889" s="512"/>
      <c r="F889" s="512"/>
      <c r="G889" s="512"/>
      <c r="H889" s="512"/>
      <c r="I889" s="512"/>
      <c r="J889" s="512"/>
      <c r="K889" s="512"/>
      <c r="L889" s="512"/>
      <c r="M889" s="512"/>
      <c r="N889" s="512"/>
      <c r="O889" s="512"/>
      <c r="P889" s="156"/>
      <c r="Q889" s="512"/>
      <c r="R889" s="512"/>
      <c r="S889" s="512"/>
      <c r="T889" s="512"/>
      <c r="U889" s="512"/>
      <c r="V889" s="512"/>
      <c r="W889" s="512"/>
      <c r="X889" s="512"/>
      <c r="Y889" s="512"/>
      <c r="Z889" s="512"/>
      <c r="AA889" s="512"/>
      <c r="AB889" s="512"/>
      <c r="AC889" s="512"/>
    </row>
    <row r="890">
      <c r="A890" s="512"/>
      <c r="B890" s="512"/>
      <c r="C890" s="512"/>
      <c r="D890" s="512"/>
      <c r="E890" s="512"/>
      <c r="F890" s="512"/>
      <c r="G890" s="512"/>
      <c r="H890" s="512"/>
      <c r="I890" s="512"/>
      <c r="J890" s="512"/>
      <c r="K890" s="512"/>
      <c r="L890" s="512"/>
      <c r="M890" s="512"/>
      <c r="N890" s="512"/>
      <c r="O890" s="512"/>
      <c r="P890" s="156"/>
      <c r="Q890" s="512"/>
      <c r="R890" s="512"/>
      <c r="S890" s="512"/>
      <c r="T890" s="512"/>
      <c r="U890" s="512"/>
      <c r="V890" s="512"/>
      <c r="W890" s="512"/>
      <c r="X890" s="512"/>
      <c r="Y890" s="512"/>
      <c r="Z890" s="512"/>
      <c r="AA890" s="512"/>
      <c r="AB890" s="512"/>
      <c r="AC890" s="512"/>
    </row>
    <row r="891">
      <c r="A891" s="512"/>
      <c r="B891" s="512"/>
      <c r="C891" s="512"/>
      <c r="D891" s="512"/>
      <c r="E891" s="512"/>
      <c r="F891" s="512"/>
      <c r="G891" s="512"/>
      <c r="H891" s="512"/>
      <c r="I891" s="512"/>
      <c r="J891" s="512"/>
      <c r="K891" s="512"/>
      <c r="L891" s="512"/>
      <c r="M891" s="512"/>
      <c r="N891" s="512"/>
      <c r="O891" s="512"/>
      <c r="P891" s="156"/>
      <c r="Q891" s="512"/>
      <c r="R891" s="512"/>
      <c r="S891" s="512"/>
      <c r="T891" s="512"/>
      <c r="U891" s="512"/>
      <c r="V891" s="512"/>
      <c r="W891" s="512"/>
      <c r="X891" s="512"/>
      <c r="Y891" s="512"/>
      <c r="Z891" s="512"/>
      <c r="AA891" s="512"/>
      <c r="AB891" s="512"/>
      <c r="AC891" s="512"/>
    </row>
    <row r="892">
      <c r="A892" s="512"/>
      <c r="B892" s="512"/>
      <c r="C892" s="512"/>
      <c r="D892" s="512"/>
      <c r="E892" s="512"/>
      <c r="F892" s="512"/>
      <c r="G892" s="512"/>
      <c r="H892" s="512"/>
      <c r="I892" s="512"/>
      <c r="J892" s="512"/>
      <c r="K892" s="512"/>
      <c r="L892" s="512"/>
      <c r="M892" s="512"/>
      <c r="N892" s="512"/>
      <c r="O892" s="512"/>
      <c r="P892" s="156"/>
      <c r="Q892" s="512"/>
      <c r="R892" s="512"/>
      <c r="S892" s="512"/>
      <c r="T892" s="512"/>
      <c r="U892" s="512"/>
      <c r="V892" s="512"/>
      <c r="W892" s="512"/>
      <c r="X892" s="512"/>
      <c r="Y892" s="512"/>
      <c r="Z892" s="512"/>
      <c r="AA892" s="512"/>
      <c r="AB892" s="512"/>
      <c r="AC892" s="512"/>
    </row>
    <row r="893">
      <c r="A893" s="512"/>
      <c r="B893" s="512"/>
      <c r="C893" s="512"/>
      <c r="D893" s="512"/>
      <c r="E893" s="512"/>
      <c r="F893" s="512"/>
      <c r="G893" s="512"/>
      <c r="H893" s="512"/>
      <c r="I893" s="512"/>
      <c r="J893" s="512"/>
      <c r="K893" s="512"/>
      <c r="L893" s="512"/>
      <c r="M893" s="512"/>
      <c r="N893" s="512"/>
      <c r="O893" s="512"/>
      <c r="P893" s="156"/>
      <c r="Q893" s="512"/>
      <c r="R893" s="512"/>
      <c r="S893" s="512"/>
      <c r="T893" s="512"/>
      <c r="U893" s="512"/>
      <c r="V893" s="512"/>
      <c r="W893" s="512"/>
      <c r="X893" s="512"/>
      <c r="Y893" s="512"/>
      <c r="Z893" s="512"/>
      <c r="AA893" s="512"/>
      <c r="AB893" s="512"/>
      <c r="AC893" s="512"/>
    </row>
    <row r="894">
      <c r="A894" s="512"/>
      <c r="B894" s="512"/>
      <c r="C894" s="512"/>
      <c r="D894" s="512"/>
      <c r="E894" s="512"/>
      <c r="F894" s="512"/>
      <c r="G894" s="512"/>
      <c r="H894" s="512"/>
      <c r="I894" s="512"/>
      <c r="J894" s="512"/>
      <c r="K894" s="512"/>
      <c r="L894" s="512"/>
      <c r="M894" s="512"/>
      <c r="N894" s="512"/>
      <c r="O894" s="512"/>
      <c r="P894" s="156"/>
      <c r="Q894" s="512"/>
      <c r="R894" s="512"/>
      <c r="S894" s="512"/>
      <c r="T894" s="512"/>
      <c r="U894" s="512"/>
      <c r="V894" s="512"/>
      <c r="W894" s="512"/>
      <c r="X894" s="512"/>
      <c r="Y894" s="512"/>
      <c r="Z894" s="512"/>
      <c r="AA894" s="512"/>
      <c r="AB894" s="512"/>
      <c r="AC894" s="512"/>
    </row>
    <row r="895">
      <c r="A895" s="512"/>
      <c r="B895" s="512"/>
      <c r="C895" s="512"/>
      <c r="D895" s="512"/>
      <c r="E895" s="512"/>
      <c r="F895" s="512"/>
      <c r="G895" s="512"/>
      <c r="H895" s="512"/>
      <c r="I895" s="512"/>
      <c r="J895" s="512"/>
      <c r="K895" s="512"/>
      <c r="L895" s="512"/>
      <c r="M895" s="512"/>
      <c r="N895" s="512"/>
      <c r="O895" s="512"/>
      <c r="P895" s="156"/>
      <c r="Q895" s="512"/>
      <c r="R895" s="512"/>
      <c r="S895" s="512"/>
      <c r="T895" s="512"/>
      <c r="U895" s="512"/>
      <c r="V895" s="512"/>
      <c r="W895" s="512"/>
      <c r="X895" s="512"/>
      <c r="Y895" s="512"/>
      <c r="Z895" s="512"/>
      <c r="AA895" s="512"/>
      <c r="AB895" s="512"/>
      <c r="AC895" s="512"/>
    </row>
    <row r="896">
      <c r="A896" s="512"/>
      <c r="B896" s="512"/>
      <c r="C896" s="512"/>
      <c r="D896" s="512"/>
      <c r="E896" s="512"/>
      <c r="F896" s="512"/>
      <c r="G896" s="512"/>
      <c r="H896" s="512"/>
      <c r="I896" s="512"/>
      <c r="J896" s="512"/>
      <c r="K896" s="512"/>
      <c r="L896" s="512"/>
      <c r="M896" s="512"/>
      <c r="N896" s="512"/>
      <c r="O896" s="512"/>
      <c r="P896" s="156"/>
      <c r="Q896" s="512"/>
      <c r="R896" s="512"/>
      <c r="S896" s="512"/>
      <c r="T896" s="512"/>
      <c r="U896" s="512"/>
      <c r="V896" s="512"/>
      <c r="W896" s="512"/>
      <c r="X896" s="512"/>
      <c r="Y896" s="512"/>
      <c r="Z896" s="512"/>
      <c r="AA896" s="512"/>
      <c r="AB896" s="512"/>
      <c r="AC896" s="512"/>
    </row>
    <row r="897">
      <c r="A897" s="512"/>
      <c r="B897" s="512"/>
      <c r="C897" s="512"/>
      <c r="D897" s="512"/>
      <c r="E897" s="512"/>
      <c r="F897" s="512"/>
      <c r="G897" s="512"/>
      <c r="H897" s="512"/>
      <c r="I897" s="512"/>
      <c r="J897" s="512"/>
      <c r="K897" s="512"/>
      <c r="L897" s="512"/>
      <c r="M897" s="512"/>
      <c r="N897" s="512"/>
      <c r="O897" s="512"/>
      <c r="P897" s="156"/>
      <c r="Q897" s="512"/>
      <c r="R897" s="512"/>
      <c r="S897" s="512"/>
      <c r="T897" s="512"/>
      <c r="U897" s="512"/>
      <c r="V897" s="512"/>
      <c r="W897" s="512"/>
      <c r="X897" s="512"/>
      <c r="Y897" s="512"/>
      <c r="Z897" s="512"/>
      <c r="AA897" s="512"/>
      <c r="AB897" s="512"/>
      <c r="AC897" s="512"/>
    </row>
    <row r="898">
      <c r="A898" s="512"/>
      <c r="B898" s="512"/>
      <c r="C898" s="512"/>
      <c r="D898" s="512"/>
      <c r="E898" s="512"/>
      <c r="F898" s="512"/>
      <c r="G898" s="512"/>
      <c r="H898" s="512"/>
      <c r="I898" s="512"/>
      <c r="J898" s="512"/>
      <c r="K898" s="512"/>
      <c r="L898" s="512"/>
      <c r="M898" s="512"/>
      <c r="N898" s="512"/>
      <c r="O898" s="512"/>
      <c r="P898" s="156"/>
      <c r="Q898" s="512"/>
      <c r="R898" s="512"/>
      <c r="S898" s="512"/>
      <c r="T898" s="512"/>
      <c r="U898" s="512"/>
      <c r="V898" s="512"/>
      <c r="W898" s="512"/>
      <c r="X898" s="512"/>
      <c r="Y898" s="512"/>
      <c r="Z898" s="512"/>
      <c r="AA898" s="512"/>
      <c r="AB898" s="512"/>
      <c r="AC898" s="512"/>
    </row>
    <row r="899">
      <c r="A899" s="512"/>
      <c r="B899" s="512"/>
      <c r="C899" s="512"/>
      <c r="D899" s="512"/>
      <c r="E899" s="512"/>
      <c r="F899" s="512"/>
      <c r="G899" s="512"/>
      <c r="H899" s="512"/>
      <c r="I899" s="512"/>
      <c r="J899" s="512"/>
      <c r="K899" s="512"/>
      <c r="L899" s="512"/>
      <c r="M899" s="512"/>
      <c r="N899" s="512"/>
      <c r="O899" s="512"/>
      <c r="P899" s="156"/>
      <c r="Q899" s="512"/>
      <c r="R899" s="512"/>
      <c r="S899" s="512"/>
      <c r="T899" s="512"/>
      <c r="U899" s="512"/>
      <c r="V899" s="512"/>
      <c r="W899" s="512"/>
      <c r="X899" s="512"/>
      <c r="Y899" s="512"/>
      <c r="Z899" s="512"/>
      <c r="AA899" s="512"/>
      <c r="AB899" s="512"/>
      <c r="AC899" s="512"/>
    </row>
    <row r="900">
      <c r="A900" s="512"/>
      <c r="B900" s="512"/>
      <c r="C900" s="512"/>
      <c r="D900" s="512"/>
      <c r="E900" s="512"/>
      <c r="F900" s="512"/>
      <c r="G900" s="512"/>
      <c r="H900" s="512"/>
      <c r="I900" s="512"/>
      <c r="J900" s="512"/>
      <c r="K900" s="512"/>
      <c r="L900" s="512"/>
      <c r="M900" s="512"/>
      <c r="N900" s="512"/>
      <c r="O900" s="512"/>
      <c r="P900" s="156"/>
      <c r="Q900" s="512"/>
      <c r="R900" s="512"/>
      <c r="S900" s="512"/>
      <c r="T900" s="512"/>
      <c r="U900" s="512"/>
      <c r="V900" s="512"/>
      <c r="W900" s="512"/>
      <c r="X900" s="512"/>
      <c r="Y900" s="512"/>
      <c r="Z900" s="512"/>
      <c r="AA900" s="512"/>
      <c r="AB900" s="512"/>
      <c r="AC900" s="512"/>
    </row>
    <row r="901">
      <c r="A901" s="512"/>
      <c r="B901" s="512"/>
      <c r="C901" s="512"/>
      <c r="D901" s="512"/>
      <c r="E901" s="512"/>
      <c r="F901" s="512"/>
      <c r="G901" s="512"/>
      <c r="H901" s="512"/>
      <c r="I901" s="512"/>
      <c r="J901" s="512"/>
      <c r="K901" s="512"/>
      <c r="L901" s="512"/>
      <c r="M901" s="512"/>
      <c r="N901" s="512"/>
      <c r="O901" s="512"/>
      <c r="P901" s="156"/>
      <c r="Q901" s="512"/>
      <c r="R901" s="512"/>
      <c r="S901" s="512"/>
      <c r="T901" s="512"/>
      <c r="U901" s="512"/>
      <c r="V901" s="512"/>
      <c r="W901" s="512"/>
      <c r="X901" s="512"/>
      <c r="Y901" s="512"/>
      <c r="Z901" s="512"/>
      <c r="AA901" s="512"/>
      <c r="AB901" s="512"/>
      <c r="AC901" s="512"/>
    </row>
    <row r="902">
      <c r="A902" s="512"/>
      <c r="B902" s="512"/>
      <c r="C902" s="512"/>
      <c r="D902" s="512"/>
      <c r="E902" s="512"/>
      <c r="F902" s="512"/>
      <c r="G902" s="512"/>
      <c r="H902" s="512"/>
      <c r="I902" s="512"/>
      <c r="J902" s="512"/>
      <c r="K902" s="512"/>
      <c r="L902" s="512"/>
      <c r="M902" s="512"/>
      <c r="N902" s="512"/>
      <c r="O902" s="512"/>
      <c r="P902" s="156"/>
      <c r="Q902" s="512"/>
      <c r="R902" s="512"/>
      <c r="S902" s="512"/>
      <c r="T902" s="512"/>
      <c r="U902" s="512"/>
      <c r="V902" s="512"/>
      <c r="W902" s="512"/>
      <c r="X902" s="512"/>
      <c r="Y902" s="512"/>
      <c r="Z902" s="512"/>
      <c r="AA902" s="512"/>
      <c r="AB902" s="512"/>
      <c r="AC902" s="512"/>
    </row>
    <row r="903">
      <c r="A903" s="512"/>
      <c r="B903" s="512"/>
      <c r="C903" s="512"/>
      <c r="D903" s="512"/>
      <c r="E903" s="512"/>
      <c r="F903" s="512"/>
      <c r="G903" s="512"/>
      <c r="H903" s="512"/>
      <c r="I903" s="512"/>
      <c r="J903" s="512"/>
      <c r="K903" s="512"/>
      <c r="L903" s="512"/>
      <c r="M903" s="512"/>
      <c r="N903" s="512"/>
      <c r="O903" s="512"/>
      <c r="P903" s="156"/>
      <c r="Q903" s="512"/>
      <c r="R903" s="512"/>
      <c r="S903" s="512"/>
      <c r="T903" s="512"/>
      <c r="U903" s="512"/>
      <c r="V903" s="512"/>
      <c r="W903" s="512"/>
      <c r="X903" s="512"/>
      <c r="Y903" s="512"/>
      <c r="Z903" s="512"/>
      <c r="AA903" s="512"/>
      <c r="AB903" s="512"/>
      <c r="AC903" s="512"/>
    </row>
    <row r="904">
      <c r="A904" s="512"/>
      <c r="B904" s="512"/>
      <c r="C904" s="512"/>
      <c r="D904" s="512"/>
      <c r="E904" s="512"/>
      <c r="F904" s="512"/>
      <c r="G904" s="512"/>
      <c r="H904" s="512"/>
      <c r="I904" s="512"/>
      <c r="J904" s="512"/>
      <c r="K904" s="512"/>
      <c r="L904" s="512"/>
      <c r="M904" s="512"/>
      <c r="N904" s="512"/>
      <c r="O904" s="512"/>
      <c r="P904" s="156"/>
      <c r="Q904" s="512"/>
      <c r="R904" s="512"/>
      <c r="S904" s="512"/>
      <c r="T904" s="512"/>
      <c r="U904" s="512"/>
      <c r="V904" s="512"/>
      <c r="W904" s="512"/>
      <c r="X904" s="512"/>
      <c r="Y904" s="512"/>
      <c r="Z904" s="512"/>
      <c r="AA904" s="512"/>
      <c r="AB904" s="512"/>
      <c r="AC904" s="512"/>
    </row>
    <row r="905">
      <c r="A905" s="512"/>
      <c r="B905" s="512"/>
      <c r="C905" s="512"/>
      <c r="D905" s="512"/>
      <c r="E905" s="512"/>
      <c r="F905" s="512"/>
      <c r="G905" s="512"/>
      <c r="H905" s="512"/>
      <c r="I905" s="512"/>
      <c r="J905" s="512"/>
      <c r="K905" s="512"/>
      <c r="L905" s="512"/>
      <c r="M905" s="512"/>
      <c r="N905" s="512"/>
      <c r="O905" s="512"/>
      <c r="P905" s="156"/>
      <c r="Q905" s="512"/>
      <c r="R905" s="512"/>
      <c r="S905" s="512"/>
      <c r="T905" s="512"/>
      <c r="U905" s="512"/>
      <c r="V905" s="512"/>
      <c r="W905" s="512"/>
      <c r="X905" s="512"/>
      <c r="Y905" s="512"/>
      <c r="Z905" s="512"/>
      <c r="AA905" s="512"/>
      <c r="AB905" s="512"/>
      <c r="AC905" s="512"/>
    </row>
    <row r="906">
      <c r="A906" s="512"/>
      <c r="B906" s="512"/>
      <c r="C906" s="512"/>
      <c r="D906" s="512"/>
      <c r="E906" s="512"/>
      <c r="F906" s="512"/>
      <c r="G906" s="512"/>
      <c r="H906" s="512"/>
      <c r="I906" s="512"/>
      <c r="J906" s="512"/>
      <c r="K906" s="512"/>
      <c r="L906" s="512"/>
      <c r="M906" s="512"/>
      <c r="N906" s="512"/>
      <c r="O906" s="512"/>
      <c r="P906" s="156"/>
      <c r="Q906" s="512"/>
      <c r="R906" s="512"/>
      <c r="S906" s="512"/>
      <c r="T906" s="512"/>
      <c r="U906" s="512"/>
      <c r="V906" s="512"/>
      <c r="W906" s="512"/>
      <c r="X906" s="512"/>
      <c r="Y906" s="512"/>
      <c r="Z906" s="512"/>
      <c r="AA906" s="512"/>
      <c r="AB906" s="512"/>
      <c r="AC906" s="512"/>
    </row>
    <row r="907">
      <c r="A907" s="512"/>
      <c r="B907" s="512"/>
      <c r="C907" s="512"/>
      <c r="D907" s="512"/>
      <c r="E907" s="512"/>
      <c r="F907" s="512"/>
      <c r="G907" s="512"/>
      <c r="H907" s="512"/>
      <c r="I907" s="512"/>
      <c r="J907" s="512"/>
      <c r="K907" s="512"/>
      <c r="L907" s="512"/>
      <c r="M907" s="512"/>
      <c r="N907" s="512"/>
      <c r="O907" s="512"/>
      <c r="P907" s="156"/>
      <c r="Q907" s="512"/>
      <c r="R907" s="512"/>
      <c r="S907" s="512"/>
      <c r="T907" s="512"/>
      <c r="U907" s="512"/>
      <c r="V907" s="512"/>
      <c r="W907" s="512"/>
      <c r="X907" s="512"/>
      <c r="Y907" s="512"/>
      <c r="Z907" s="512"/>
      <c r="AA907" s="512"/>
      <c r="AB907" s="512"/>
      <c r="AC907" s="512"/>
    </row>
    <row r="908">
      <c r="A908" s="512"/>
      <c r="B908" s="512"/>
      <c r="C908" s="512"/>
      <c r="D908" s="512"/>
      <c r="E908" s="512"/>
      <c r="F908" s="512"/>
      <c r="G908" s="512"/>
      <c r="H908" s="512"/>
      <c r="I908" s="512"/>
      <c r="J908" s="512"/>
      <c r="K908" s="512"/>
      <c r="L908" s="512"/>
      <c r="M908" s="512"/>
      <c r="N908" s="512"/>
      <c r="O908" s="512"/>
      <c r="P908" s="156"/>
      <c r="Q908" s="512"/>
      <c r="R908" s="512"/>
      <c r="S908" s="512"/>
      <c r="T908" s="512"/>
      <c r="U908" s="512"/>
      <c r="V908" s="512"/>
      <c r="W908" s="512"/>
      <c r="X908" s="512"/>
      <c r="Y908" s="512"/>
      <c r="Z908" s="512"/>
      <c r="AA908" s="512"/>
      <c r="AB908" s="512"/>
      <c r="AC908" s="512"/>
    </row>
    <row r="909">
      <c r="A909" s="512"/>
      <c r="B909" s="512"/>
      <c r="C909" s="512"/>
      <c r="D909" s="512"/>
      <c r="E909" s="512"/>
      <c r="F909" s="512"/>
      <c r="G909" s="512"/>
      <c r="H909" s="512"/>
      <c r="I909" s="512"/>
      <c r="J909" s="512"/>
      <c r="K909" s="512"/>
      <c r="L909" s="512"/>
      <c r="M909" s="512"/>
      <c r="N909" s="512"/>
      <c r="O909" s="512"/>
      <c r="P909" s="156"/>
      <c r="Q909" s="512"/>
      <c r="R909" s="512"/>
      <c r="S909" s="512"/>
      <c r="T909" s="512"/>
      <c r="U909" s="512"/>
      <c r="V909" s="512"/>
      <c r="W909" s="512"/>
      <c r="X909" s="512"/>
      <c r="Y909" s="512"/>
      <c r="Z909" s="512"/>
      <c r="AA909" s="512"/>
      <c r="AB909" s="512"/>
      <c r="AC909" s="512"/>
    </row>
    <row r="910">
      <c r="A910" s="512"/>
      <c r="B910" s="512"/>
      <c r="C910" s="512"/>
      <c r="D910" s="512"/>
      <c r="E910" s="512"/>
      <c r="F910" s="512"/>
      <c r="G910" s="512"/>
      <c r="H910" s="512"/>
      <c r="I910" s="512"/>
      <c r="J910" s="512"/>
      <c r="K910" s="512"/>
      <c r="L910" s="512"/>
      <c r="M910" s="512"/>
      <c r="N910" s="512"/>
      <c r="O910" s="512"/>
      <c r="P910" s="156"/>
      <c r="Q910" s="512"/>
      <c r="R910" s="512"/>
      <c r="S910" s="512"/>
      <c r="T910" s="512"/>
      <c r="U910" s="512"/>
      <c r="V910" s="512"/>
      <c r="W910" s="512"/>
      <c r="X910" s="512"/>
      <c r="Y910" s="512"/>
      <c r="Z910" s="512"/>
      <c r="AA910" s="512"/>
      <c r="AB910" s="512"/>
      <c r="AC910" s="512"/>
    </row>
    <row r="911">
      <c r="A911" s="512"/>
      <c r="B911" s="512"/>
      <c r="C911" s="512"/>
      <c r="D911" s="512"/>
      <c r="E911" s="512"/>
      <c r="F911" s="512"/>
      <c r="G911" s="512"/>
      <c r="H911" s="512"/>
      <c r="I911" s="512"/>
      <c r="J911" s="512"/>
      <c r="K911" s="512"/>
      <c r="L911" s="512"/>
      <c r="M911" s="512"/>
      <c r="N911" s="512"/>
      <c r="O911" s="512"/>
      <c r="P911" s="156"/>
      <c r="Q911" s="512"/>
      <c r="R911" s="512"/>
      <c r="S911" s="512"/>
      <c r="T911" s="512"/>
      <c r="U911" s="512"/>
      <c r="V911" s="512"/>
      <c r="W911" s="512"/>
      <c r="X911" s="512"/>
      <c r="Y911" s="512"/>
      <c r="Z911" s="512"/>
      <c r="AA911" s="512"/>
      <c r="AB911" s="512"/>
      <c r="AC911" s="512"/>
    </row>
    <row r="912">
      <c r="A912" s="512"/>
      <c r="B912" s="512"/>
      <c r="C912" s="512"/>
      <c r="D912" s="512"/>
      <c r="E912" s="512"/>
      <c r="F912" s="512"/>
      <c r="G912" s="512"/>
      <c r="H912" s="512"/>
      <c r="I912" s="512"/>
      <c r="J912" s="512"/>
      <c r="K912" s="512"/>
      <c r="L912" s="512"/>
      <c r="M912" s="512"/>
      <c r="N912" s="512"/>
      <c r="O912" s="512"/>
      <c r="P912" s="156"/>
      <c r="Q912" s="512"/>
      <c r="R912" s="512"/>
      <c r="S912" s="512"/>
      <c r="T912" s="512"/>
      <c r="U912" s="512"/>
      <c r="V912" s="512"/>
      <c r="W912" s="512"/>
      <c r="X912" s="512"/>
      <c r="Y912" s="512"/>
      <c r="Z912" s="512"/>
      <c r="AA912" s="512"/>
      <c r="AB912" s="512"/>
      <c r="AC912" s="512"/>
    </row>
    <row r="913">
      <c r="A913" s="512"/>
      <c r="B913" s="512"/>
      <c r="C913" s="512"/>
      <c r="D913" s="512"/>
      <c r="E913" s="512"/>
      <c r="F913" s="512"/>
      <c r="G913" s="512"/>
      <c r="H913" s="512"/>
      <c r="I913" s="512"/>
      <c r="J913" s="512"/>
      <c r="K913" s="512"/>
      <c r="L913" s="512"/>
      <c r="M913" s="512"/>
      <c r="N913" s="512"/>
      <c r="O913" s="512"/>
      <c r="P913" s="156"/>
      <c r="Q913" s="512"/>
      <c r="R913" s="512"/>
      <c r="S913" s="512"/>
      <c r="T913" s="512"/>
      <c r="U913" s="512"/>
      <c r="V913" s="512"/>
      <c r="W913" s="512"/>
      <c r="X913" s="512"/>
      <c r="Y913" s="512"/>
      <c r="Z913" s="512"/>
      <c r="AA913" s="512"/>
      <c r="AB913" s="512"/>
      <c r="AC913" s="512"/>
    </row>
    <row r="914">
      <c r="A914" s="512"/>
      <c r="B914" s="512"/>
      <c r="C914" s="512"/>
      <c r="D914" s="512"/>
      <c r="E914" s="512"/>
      <c r="F914" s="512"/>
      <c r="G914" s="512"/>
      <c r="H914" s="512"/>
      <c r="I914" s="512"/>
      <c r="J914" s="512"/>
      <c r="K914" s="512"/>
      <c r="L914" s="512"/>
      <c r="M914" s="512"/>
      <c r="N914" s="512"/>
      <c r="O914" s="512"/>
      <c r="P914" s="156"/>
      <c r="Q914" s="512"/>
      <c r="R914" s="512"/>
      <c r="S914" s="512"/>
      <c r="T914" s="512"/>
      <c r="U914" s="512"/>
      <c r="V914" s="512"/>
      <c r="W914" s="512"/>
      <c r="X914" s="512"/>
      <c r="Y914" s="512"/>
      <c r="Z914" s="512"/>
      <c r="AA914" s="512"/>
      <c r="AB914" s="512"/>
      <c r="AC914" s="512"/>
    </row>
    <row r="915">
      <c r="A915" s="512"/>
      <c r="B915" s="512"/>
      <c r="C915" s="512"/>
      <c r="D915" s="512"/>
      <c r="E915" s="512"/>
      <c r="F915" s="512"/>
      <c r="G915" s="512"/>
      <c r="H915" s="512"/>
      <c r="I915" s="512"/>
      <c r="J915" s="512"/>
      <c r="K915" s="512"/>
      <c r="L915" s="512"/>
      <c r="M915" s="512"/>
      <c r="N915" s="512"/>
      <c r="O915" s="512"/>
      <c r="P915" s="156"/>
      <c r="Q915" s="512"/>
      <c r="R915" s="512"/>
      <c r="S915" s="512"/>
      <c r="T915" s="512"/>
      <c r="U915" s="512"/>
      <c r="V915" s="512"/>
      <c r="W915" s="512"/>
      <c r="X915" s="512"/>
      <c r="Y915" s="512"/>
      <c r="Z915" s="512"/>
      <c r="AA915" s="512"/>
      <c r="AB915" s="512"/>
      <c r="AC915" s="512"/>
    </row>
    <row r="916">
      <c r="A916" s="512"/>
      <c r="B916" s="512"/>
      <c r="C916" s="512"/>
      <c r="D916" s="512"/>
      <c r="E916" s="512"/>
      <c r="F916" s="512"/>
      <c r="G916" s="512"/>
      <c r="H916" s="512"/>
      <c r="I916" s="512"/>
      <c r="J916" s="512"/>
      <c r="K916" s="512"/>
      <c r="L916" s="512"/>
      <c r="M916" s="512"/>
      <c r="N916" s="512"/>
      <c r="O916" s="512"/>
      <c r="P916" s="156"/>
      <c r="Q916" s="512"/>
      <c r="R916" s="512"/>
      <c r="S916" s="512"/>
      <c r="T916" s="512"/>
      <c r="U916" s="512"/>
      <c r="V916" s="512"/>
      <c r="W916" s="512"/>
      <c r="X916" s="512"/>
      <c r="Y916" s="512"/>
      <c r="Z916" s="512"/>
      <c r="AA916" s="512"/>
      <c r="AB916" s="512"/>
      <c r="AC916" s="512"/>
    </row>
    <row r="917">
      <c r="A917" s="512"/>
      <c r="B917" s="512"/>
      <c r="C917" s="512"/>
      <c r="D917" s="512"/>
      <c r="E917" s="512"/>
      <c r="F917" s="512"/>
      <c r="G917" s="512"/>
      <c r="H917" s="512"/>
      <c r="I917" s="512"/>
      <c r="J917" s="512"/>
      <c r="K917" s="512"/>
      <c r="L917" s="512"/>
      <c r="M917" s="512"/>
      <c r="N917" s="512"/>
      <c r="O917" s="512"/>
      <c r="P917" s="156"/>
      <c r="Q917" s="512"/>
      <c r="R917" s="512"/>
      <c r="S917" s="512"/>
      <c r="T917" s="512"/>
      <c r="U917" s="512"/>
      <c r="V917" s="512"/>
      <c r="W917" s="512"/>
      <c r="X917" s="512"/>
      <c r="Y917" s="512"/>
      <c r="Z917" s="512"/>
      <c r="AA917" s="512"/>
      <c r="AB917" s="512"/>
      <c r="AC917" s="512"/>
    </row>
    <row r="918">
      <c r="A918" s="512"/>
      <c r="B918" s="512"/>
      <c r="C918" s="512"/>
      <c r="D918" s="512"/>
      <c r="E918" s="512"/>
      <c r="F918" s="512"/>
      <c r="G918" s="512"/>
      <c r="H918" s="512"/>
      <c r="I918" s="512"/>
      <c r="J918" s="512"/>
      <c r="K918" s="512"/>
      <c r="L918" s="512"/>
      <c r="M918" s="512"/>
      <c r="N918" s="512"/>
      <c r="O918" s="512"/>
      <c r="P918" s="156"/>
      <c r="Q918" s="512"/>
      <c r="R918" s="512"/>
      <c r="S918" s="512"/>
      <c r="T918" s="512"/>
      <c r="U918" s="512"/>
      <c r="V918" s="512"/>
      <c r="W918" s="512"/>
      <c r="X918" s="512"/>
      <c r="Y918" s="512"/>
      <c r="Z918" s="512"/>
      <c r="AA918" s="512"/>
      <c r="AB918" s="512"/>
      <c r="AC918" s="512"/>
    </row>
    <row r="919">
      <c r="A919" s="512"/>
      <c r="B919" s="512"/>
      <c r="C919" s="512"/>
      <c r="D919" s="512"/>
      <c r="E919" s="512"/>
      <c r="F919" s="512"/>
      <c r="G919" s="512"/>
      <c r="H919" s="512"/>
      <c r="I919" s="512"/>
      <c r="J919" s="512"/>
      <c r="K919" s="512"/>
      <c r="L919" s="512"/>
      <c r="M919" s="512"/>
      <c r="N919" s="512"/>
      <c r="O919" s="512"/>
      <c r="P919" s="156"/>
      <c r="Q919" s="512"/>
      <c r="R919" s="512"/>
      <c r="S919" s="512"/>
      <c r="T919" s="512"/>
      <c r="U919" s="512"/>
      <c r="V919" s="512"/>
      <c r="W919" s="512"/>
      <c r="X919" s="512"/>
      <c r="Y919" s="512"/>
      <c r="Z919" s="512"/>
      <c r="AA919" s="512"/>
      <c r="AB919" s="512"/>
      <c r="AC919" s="512"/>
    </row>
    <row r="920">
      <c r="A920" s="512"/>
      <c r="B920" s="512"/>
      <c r="C920" s="512"/>
      <c r="D920" s="512"/>
      <c r="E920" s="512"/>
      <c r="F920" s="512"/>
      <c r="G920" s="512"/>
      <c r="H920" s="512"/>
      <c r="I920" s="512"/>
      <c r="J920" s="512"/>
      <c r="K920" s="512"/>
      <c r="L920" s="512"/>
      <c r="M920" s="512"/>
      <c r="N920" s="512"/>
      <c r="O920" s="512"/>
      <c r="P920" s="156"/>
      <c r="Q920" s="512"/>
      <c r="R920" s="512"/>
      <c r="S920" s="512"/>
      <c r="T920" s="512"/>
      <c r="U920" s="512"/>
      <c r="V920" s="512"/>
      <c r="W920" s="512"/>
      <c r="X920" s="512"/>
      <c r="Y920" s="512"/>
      <c r="Z920" s="512"/>
      <c r="AA920" s="512"/>
      <c r="AB920" s="512"/>
      <c r="AC920" s="512"/>
    </row>
    <row r="921">
      <c r="A921" s="512"/>
      <c r="B921" s="512"/>
      <c r="C921" s="512"/>
      <c r="D921" s="512"/>
      <c r="E921" s="512"/>
      <c r="F921" s="512"/>
      <c r="G921" s="512"/>
      <c r="H921" s="512"/>
      <c r="I921" s="512"/>
      <c r="J921" s="512"/>
      <c r="K921" s="512"/>
      <c r="L921" s="512"/>
      <c r="M921" s="512"/>
      <c r="N921" s="512"/>
      <c r="O921" s="512"/>
      <c r="P921" s="156"/>
      <c r="Q921" s="512"/>
      <c r="R921" s="512"/>
      <c r="S921" s="512"/>
      <c r="T921" s="512"/>
      <c r="U921" s="512"/>
      <c r="V921" s="512"/>
      <c r="W921" s="512"/>
      <c r="X921" s="512"/>
      <c r="Y921" s="512"/>
      <c r="Z921" s="512"/>
      <c r="AA921" s="512"/>
      <c r="AB921" s="512"/>
      <c r="AC921" s="512"/>
    </row>
    <row r="922">
      <c r="A922" s="512"/>
      <c r="B922" s="512"/>
      <c r="C922" s="512"/>
      <c r="D922" s="512"/>
      <c r="E922" s="512"/>
      <c r="F922" s="512"/>
      <c r="G922" s="512"/>
      <c r="H922" s="512"/>
      <c r="I922" s="512"/>
      <c r="J922" s="512"/>
      <c r="K922" s="512"/>
      <c r="L922" s="512"/>
      <c r="M922" s="512"/>
      <c r="N922" s="512"/>
      <c r="O922" s="512"/>
      <c r="P922" s="156"/>
      <c r="Q922" s="512"/>
      <c r="R922" s="512"/>
      <c r="S922" s="512"/>
      <c r="T922" s="512"/>
      <c r="U922" s="512"/>
      <c r="V922" s="512"/>
      <c r="W922" s="512"/>
      <c r="X922" s="512"/>
      <c r="Y922" s="512"/>
      <c r="Z922" s="512"/>
      <c r="AA922" s="512"/>
      <c r="AB922" s="512"/>
      <c r="AC922" s="512"/>
    </row>
    <row r="923">
      <c r="A923" s="512"/>
      <c r="B923" s="512"/>
      <c r="C923" s="512"/>
      <c r="D923" s="512"/>
      <c r="E923" s="512"/>
      <c r="F923" s="512"/>
      <c r="G923" s="512"/>
      <c r="H923" s="512"/>
      <c r="I923" s="512"/>
      <c r="J923" s="512"/>
      <c r="K923" s="512"/>
      <c r="L923" s="512"/>
      <c r="M923" s="512"/>
      <c r="N923" s="512"/>
      <c r="O923" s="512"/>
      <c r="P923" s="156"/>
      <c r="Q923" s="512"/>
      <c r="R923" s="512"/>
      <c r="S923" s="512"/>
      <c r="T923" s="512"/>
      <c r="U923" s="512"/>
      <c r="V923" s="512"/>
      <c r="W923" s="512"/>
      <c r="X923" s="512"/>
      <c r="Y923" s="512"/>
      <c r="Z923" s="512"/>
      <c r="AA923" s="512"/>
      <c r="AB923" s="512"/>
      <c r="AC923" s="512"/>
    </row>
    <row r="924">
      <c r="A924" s="512"/>
      <c r="B924" s="512"/>
      <c r="C924" s="512"/>
      <c r="D924" s="512"/>
      <c r="E924" s="512"/>
      <c r="F924" s="512"/>
      <c r="G924" s="512"/>
      <c r="H924" s="512"/>
      <c r="I924" s="512"/>
      <c r="J924" s="512"/>
      <c r="K924" s="512"/>
      <c r="L924" s="512"/>
      <c r="M924" s="512"/>
      <c r="N924" s="512"/>
      <c r="O924" s="512"/>
      <c r="P924" s="156"/>
      <c r="Q924" s="512"/>
      <c r="R924" s="512"/>
      <c r="S924" s="512"/>
      <c r="T924" s="512"/>
      <c r="U924" s="512"/>
      <c r="V924" s="512"/>
      <c r="W924" s="512"/>
      <c r="X924" s="512"/>
      <c r="Y924" s="512"/>
      <c r="Z924" s="512"/>
      <c r="AA924" s="512"/>
      <c r="AB924" s="512"/>
      <c r="AC924" s="512"/>
    </row>
    <row r="925">
      <c r="A925" s="512"/>
      <c r="B925" s="512"/>
      <c r="C925" s="512"/>
      <c r="D925" s="512"/>
      <c r="E925" s="512"/>
      <c r="F925" s="512"/>
      <c r="G925" s="512"/>
      <c r="H925" s="512"/>
      <c r="I925" s="512"/>
      <c r="J925" s="512"/>
      <c r="K925" s="512"/>
      <c r="L925" s="512"/>
      <c r="M925" s="512"/>
      <c r="N925" s="512"/>
      <c r="O925" s="512"/>
      <c r="P925" s="156"/>
      <c r="Q925" s="512"/>
      <c r="R925" s="512"/>
      <c r="S925" s="512"/>
      <c r="T925" s="512"/>
      <c r="U925" s="512"/>
      <c r="V925" s="512"/>
      <c r="W925" s="512"/>
      <c r="X925" s="512"/>
      <c r="Y925" s="512"/>
      <c r="Z925" s="512"/>
      <c r="AA925" s="512"/>
      <c r="AB925" s="512"/>
      <c r="AC925" s="512"/>
    </row>
    <row r="926">
      <c r="A926" s="512"/>
      <c r="B926" s="512"/>
      <c r="C926" s="512"/>
      <c r="D926" s="512"/>
      <c r="E926" s="512"/>
      <c r="F926" s="512"/>
      <c r="G926" s="512"/>
      <c r="H926" s="512"/>
      <c r="I926" s="512"/>
      <c r="J926" s="512"/>
      <c r="K926" s="512"/>
      <c r="L926" s="512"/>
      <c r="M926" s="512"/>
      <c r="N926" s="512"/>
      <c r="O926" s="512"/>
      <c r="P926" s="156"/>
      <c r="Q926" s="512"/>
      <c r="R926" s="512"/>
      <c r="S926" s="512"/>
      <c r="T926" s="512"/>
      <c r="U926" s="512"/>
      <c r="V926" s="512"/>
      <c r="W926" s="512"/>
      <c r="X926" s="512"/>
      <c r="Y926" s="512"/>
      <c r="Z926" s="512"/>
      <c r="AA926" s="512"/>
      <c r="AB926" s="512"/>
      <c r="AC926" s="512"/>
    </row>
    <row r="927">
      <c r="A927" s="512"/>
      <c r="B927" s="512"/>
      <c r="C927" s="512"/>
      <c r="D927" s="512"/>
      <c r="E927" s="512"/>
      <c r="F927" s="512"/>
      <c r="G927" s="512"/>
      <c r="H927" s="512"/>
      <c r="I927" s="512"/>
      <c r="J927" s="512"/>
      <c r="K927" s="512"/>
      <c r="L927" s="512"/>
      <c r="M927" s="512"/>
      <c r="N927" s="512"/>
      <c r="O927" s="512"/>
      <c r="P927" s="156"/>
      <c r="Q927" s="512"/>
      <c r="R927" s="512"/>
      <c r="S927" s="512"/>
      <c r="T927" s="512"/>
      <c r="U927" s="512"/>
      <c r="V927" s="512"/>
      <c r="W927" s="512"/>
      <c r="X927" s="512"/>
      <c r="Y927" s="512"/>
      <c r="Z927" s="512"/>
      <c r="AA927" s="512"/>
      <c r="AB927" s="512"/>
      <c r="AC927" s="512"/>
    </row>
    <row r="928">
      <c r="A928" s="512"/>
      <c r="B928" s="512"/>
      <c r="C928" s="512"/>
      <c r="D928" s="512"/>
      <c r="E928" s="512"/>
      <c r="F928" s="512"/>
      <c r="G928" s="512"/>
      <c r="H928" s="512"/>
      <c r="I928" s="512"/>
      <c r="J928" s="512"/>
      <c r="K928" s="512"/>
      <c r="L928" s="512"/>
      <c r="M928" s="512"/>
      <c r="N928" s="512"/>
      <c r="O928" s="512"/>
      <c r="P928" s="156"/>
      <c r="Q928" s="512"/>
      <c r="R928" s="512"/>
      <c r="S928" s="512"/>
      <c r="T928" s="512"/>
      <c r="U928" s="512"/>
      <c r="V928" s="512"/>
      <c r="W928" s="512"/>
      <c r="X928" s="512"/>
      <c r="Y928" s="512"/>
      <c r="Z928" s="512"/>
      <c r="AA928" s="512"/>
      <c r="AB928" s="512"/>
      <c r="AC928" s="512"/>
    </row>
    <row r="929">
      <c r="A929" s="512"/>
      <c r="B929" s="512"/>
      <c r="C929" s="512"/>
      <c r="D929" s="512"/>
      <c r="E929" s="512"/>
      <c r="F929" s="512"/>
      <c r="G929" s="512"/>
      <c r="H929" s="512"/>
      <c r="I929" s="512"/>
      <c r="J929" s="512"/>
      <c r="K929" s="512"/>
      <c r="L929" s="512"/>
      <c r="M929" s="512"/>
      <c r="N929" s="512"/>
      <c r="O929" s="512"/>
      <c r="P929" s="156"/>
      <c r="Q929" s="512"/>
      <c r="R929" s="512"/>
      <c r="S929" s="512"/>
      <c r="T929" s="512"/>
      <c r="U929" s="512"/>
      <c r="V929" s="512"/>
      <c r="W929" s="512"/>
      <c r="X929" s="512"/>
      <c r="Y929" s="512"/>
      <c r="Z929" s="512"/>
      <c r="AA929" s="512"/>
      <c r="AB929" s="512"/>
      <c r="AC929" s="512"/>
    </row>
    <row r="930">
      <c r="A930" s="512"/>
      <c r="B930" s="512"/>
      <c r="C930" s="512"/>
      <c r="D930" s="512"/>
      <c r="E930" s="512"/>
      <c r="F930" s="512"/>
      <c r="G930" s="512"/>
      <c r="H930" s="512"/>
      <c r="I930" s="512"/>
      <c r="J930" s="512"/>
      <c r="K930" s="512"/>
      <c r="L930" s="512"/>
      <c r="M930" s="512"/>
      <c r="N930" s="512"/>
      <c r="O930" s="512"/>
      <c r="P930" s="156"/>
      <c r="Q930" s="512"/>
      <c r="R930" s="512"/>
      <c r="S930" s="512"/>
      <c r="T930" s="512"/>
      <c r="U930" s="512"/>
      <c r="V930" s="512"/>
      <c r="W930" s="512"/>
      <c r="X930" s="512"/>
      <c r="Y930" s="512"/>
      <c r="Z930" s="512"/>
      <c r="AA930" s="512"/>
      <c r="AB930" s="512"/>
      <c r="AC930" s="512"/>
    </row>
    <row r="931">
      <c r="A931" s="512"/>
      <c r="B931" s="512"/>
      <c r="C931" s="512"/>
      <c r="D931" s="512"/>
      <c r="E931" s="512"/>
      <c r="F931" s="512"/>
      <c r="G931" s="512"/>
      <c r="H931" s="512"/>
      <c r="I931" s="512"/>
      <c r="J931" s="512"/>
      <c r="K931" s="512"/>
      <c r="L931" s="512"/>
      <c r="M931" s="512"/>
      <c r="N931" s="512"/>
      <c r="O931" s="512"/>
      <c r="P931" s="156"/>
      <c r="Q931" s="512"/>
      <c r="R931" s="512"/>
      <c r="S931" s="512"/>
      <c r="T931" s="512"/>
      <c r="U931" s="512"/>
      <c r="V931" s="512"/>
      <c r="W931" s="512"/>
      <c r="X931" s="512"/>
      <c r="Y931" s="512"/>
      <c r="Z931" s="512"/>
      <c r="AA931" s="512"/>
      <c r="AB931" s="512"/>
      <c r="AC931" s="512"/>
    </row>
    <row r="932">
      <c r="A932" s="512"/>
      <c r="B932" s="512"/>
      <c r="C932" s="512"/>
      <c r="D932" s="512"/>
      <c r="E932" s="512"/>
      <c r="F932" s="512"/>
      <c r="G932" s="512"/>
      <c r="H932" s="512"/>
      <c r="I932" s="512"/>
      <c r="J932" s="512"/>
      <c r="K932" s="512"/>
      <c r="L932" s="512"/>
      <c r="M932" s="512"/>
      <c r="N932" s="512"/>
      <c r="O932" s="512"/>
      <c r="P932" s="156"/>
      <c r="Q932" s="512"/>
      <c r="R932" s="512"/>
      <c r="S932" s="512"/>
      <c r="T932" s="512"/>
      <c r="U932" s="512"/>
      <c r="V932" s="512"/>
      <c r="W932" s="512"/>
      <c r="X932" s="512"/>
      <c r="Y932" s="512"/>
      <c r="Z932" s="512"/>
      <c r="AA932" s="512"/>
      <c r="AB932" s="512"/>
      <c r="AC932" s="512"/>
    </row>
    <row r="933">
      <c r="A933" s="512"/>
      <c r="B933" s="512"/>
      <c r="C933" s="512"/>
      <c r="D933" s="512"/>
      <c r="E933" s="512"/>
      <c r="F933" s="512"/>
      <c r="G933" s="512"/>
      <c r="H933" s="512"/>
      <c r="I933" s="512"/>
      <c r="J933" s="512"/>
      <c r="K933" s="512"/>
      <c r="L933" s="512"/>
      <c r="M933" s="512"/>
      <c r="N933" s="512"/>
      <c r="O933" s="512"/>
      <c r="P933" s="156"/>
      <c r="Q933" s="512"/>
      <c r="R933" s="512"/>
      <c r="S933" s="512"/>
      <c r="T933" s="512"/>
      <c r="U933" s="512"/>
      <c r="V933" s="512"/>
      <c r="W933" s="512"/>
      <c r="X933" s="512"/>
      <c r="Y933" s="512"/>
      <c r="Z933" s="512"/>
      <c r="AA933" s="512"/>
      <c r="AB933" s="512"/>
      <c r="AC933" s="512"/>
    </row>
    <row r="934">
      <c r="A934" s="512"/>
      <c r="B934" s="512"/>
      <c r="C934" s="512"/>
      <c r="D934" s="512"/>
      <c r="E934" s="512"/>
      <c r="F934" s="512"/>
      <c r="G934" s="512"/>
      <c r="H934" s="512"/>
      <c r="I934" s="512"/>
      <c r="J934" s="512"/>
      <c r="K934" s="512"/>
      <c r="L934" s="512"/>
      <c r="M934" s="512"/>
      <c r="N934" s="512"/>
      <c r="O934" s="512"/>
      <c r="P934" s="156"/>
      <c r="Q934" s="512"/>
      <c r="R934" s="512"/>
      <c r="S934" s="512"/>
      <c r="T934" s="512"/>
      <c r="U934" s="512"/>
      <c r="V934" s="512"/>
      <c r="W934" s="512"/>
      <c r="X934" s="512"/>
      <c r="Y934" s="512"/>
      <c r="Z934" s="512"/>
      <c r="AA934" s="512"/>
      <c r="AB934" s="512"/>
      <c r="AC934" s="512"/>
    </row>
    <row r="935">
      <c r="A935" s="512"/>
      <c r="B935" s="512"/>
      <c r="C935" s="512"/>
      <c r="D935" s="512"/>
      <c r="E935" s="512"/>
      <c r="F935" s="512"/>
      <c r="G935" s="512"/>
      <c r="H935" s="512"/>
      <c r="I935" s="512"/>
      <c r="J935" s="512"/>
      <c r="K935" s="512"/>
      <c r="L935" s="512"/>
      <c r="M935" s="512"/>
      <c r="N935" s="512"/>
      <c r="O935" s="512"/>
      <c r="P935" s="156"/>
      <c r="Q935" s="512"/>
      <c r="R935" s="512"/>
      <c r="S935" s="512"/>
      <c r="T935" s="512"/>
      <c r="U935" s="512"/>
      <c r="V935" s="512"/>
      <c r="W935" s="512"/>
      <c r="X935" s="512"/>
      <c r="Y935" s="512"/>
      <c r="Z935" s="512"/>
      <c r="AA935" s="512"/>
      <c r="AB935" s="512"/>
      <c r="AC935" s="512"/>
    </row>
    <row r="936">
      <c r="A936" s="512"/>
      <c r="B936" s="512"/>
      <c r="C936" s="512"/>
      <c r="D936" s="512"/>
      <c r="E936" s="512"/>
      <c r="F936" s="512"/>
      <c r="G936" s="512"/>
      <c r="H936" s="512"/>
      <c r="I936" s="512"/>
      <c r="J936" s="512"/>
      <c r="K936" s="512"/>
      <c r="L936" s="512"/>
      <c r="M936" s="512"/>
      <c r="N936" s="512"/>
      <c r="O936" s="512"/>
      <c r="P936" s="156"/>
      <c r="Q936" s="512"/>
      <c r="R936" s="512"/>
      <c r="S936" s="512"/>
      <c r="T936" s="512"/>
      <c r="U936" s="512"/>
      <c r="V936" s="512"/>
      <c r="W936" s="512"/>
      <c r="X936" s="512"/>
      <c r="Y936" s="512"/>
      <c r="Z936" s="512"/>
      <c r="AA936" s="512"/>
      <c r="AB936" s="512"/>
      <c r="AC936" s="512"/>
    </row>
    <row r="937">
      <c r="A937" s="512"/>
      <c r="B937" s="512"/>
      <c r="C937" s="512"/>
      <c r="D937" s="512"/>
      <c r="E937" s="512"/>
      <c r="F937" s="512"/>
      <c r="G937" s="512"/>
      <c r="H937" s="512"/>
      <c r="I937" s="512"/>
      <c r="J937" s="512"/>
      <c r="K937" s="512"/>
      <c r="L937" s="512"/>
      <c r="M937" s="512"/>
      <c r="N937" s="512"/>
      <c r="O937" s="512"/>
      <c r="P937" s="156"/>
      <c r="Q937" s="512"/>
      <c r="R937" s="512"/>
      <c r="S937" s="512"/>
      <c r="T937" s="512"/>
      <c r="U937" s="512"/>
      <c r="V937" s="512"/>
      <c r="W937" s="512"/>
      <c r="X937" s="512"/>
      <c r="Y937" s="512"/>
      <c r="Z937" s="512"/>
      <c r="AA937" s="512"/>
      <c r="AB937" s="512"/>
      <c r="AC937" s="512"/>
    </row>
    <row r="938">
      <c r="A938" s="512"/>
      <c r="B938" s="512"/>
      <c r="C938" s="512"/>
      <c r="D938" s="512"/>
      <c r="E938" s="512"/>
      <c r="F938" s="512"/>
      <c r="G938" s="512"/>
      <c r="H938" s="512"/>
      <c r="I938" s="512"/>
      <c r="J938" s="512"/>
      <c r="K938" s="512"/>
      <c r="L938" s="512"/>
      <c r="M938" s="512"/>
      <c r="N938" s="512"/>
      <c r="O938" s="512"/>
      <c r="P938" s="156"/>
      <c r="Q938" s="512"/>
      <c r="R938" s="512"/>
      <c r="S938" s="512"/>
      <c r="T938" s="512"/>
      <c r="U938" s="512"/>
      <c r="V938" s="512"/>
      <c r="W938" s="512"/>
      <c r="X938" s="512"/>
      <c r="Y938" s="512"/>
      <c r="Z938" s="512"/>
      <c r="AA938" s="512"/>
      <c r="AB938" s="512"/>
      <c r="AC938" s="512"/>
    </row>
    <row r="939">
      <c r="A939" s="512"/>
      <c r="B939" s="512"/>
      <c r="C939" s="512"/>
      <c r="D939" s="512"/>
      <c r="E939" s="512"/>
      <c r="F939" s="512"/>
      <c r="G939" s="512"/>
      <c r="H939" s="512"/>
      <c r="I939" s="512"/>
      <c r="J939" s="512"/>
      <c r="K939" s="512"/>
      <c r="L939" s="512"/>
      <c r="M939" s="512"/>
      <c r="N939" s="512"/>
      <c r="O939" s="512"/>
      <c r="P939" s="156"/>
      <c r="Q939" s="512"/>
      <c r="R939" s="512"/>
      <c r="S939" s="512"/>
      <c r="T939" s="512"/>
      <c r="U939" s="512"/>
      <c r="V939" s="512"/>
      <c r="W939" s="512"/>
      <c r="X939" s="512"/>
      <c r="Y939" s="512"/>
      <c r="Z939" s="512"/>
      <c r="AA939" s="512"/>
      <c r="AB939" s="512"/>
      <c r="AC939" s="512"/>
    </row>
    <row r="940">
      <c r="A940" s="512"/>
      <c r="B940" s="512"/>
      <c r="C940" s="512"/>
      <c r="D940" s="512"/>
      <c r="E940" s="512"/>
      <c r="F940" s="512"/>
      <c r="G940" s="512"/>
      <c r="H940" s="512"/>
      <c r="I940" s="512"/>
      <c r="J940" s="512"/>
      <c r="K940" s="512"/>
      <c r="L940" s="512"/>
      <c r="M940" s="512"/>
      <c r="N940" s="512"/>
      <c r="O940" s="512"/>
      <c r="P940" s="156"/>
      <c r="Q940" s="512"/>
      <c r="R940" s="512"/>
      <c r="S940" s="512"/>
      <c r="T940" s="512"/>
      <c r="U940" s="512"/>
      <c r="V940" s="512"/>
      <c r="W940" s="512"/>
      <c r="X940" s="512"/>
      <c r="Y940" s="512"/>
      <c r="Z940" s="512"/>
      <c r="AA940" s="512"/>
      <c r="AB940" s="512"/>
      <c r="AC940" s="512"/>
    </row>
    <row r="941">
      <c r="A941" s="512"/>
      <c r="B941" s="512"/>
      <c r="C941" s="512"/>
      <c r="D941" s="512"/>
      <c r="E941" s="512"/>
      <c r="F941" s="512"/>
      <c r="G941" s="512"/>
      <c r="H941" s="512"/>
      <c r="I941" s="512"/>
      <c r="J941" s="512"/>
      <c r="K941" s="512"/>
      <c r="L941" s="512"/>
      <c r="M941" s="512"/>
      <c r="N941" s="512"/>
      <c r="O941" s="512"/>
      <c r="P941" s="156"/>
      <c r="Q941" s="512"/>
      <c r="R941" s="512"/>
      <c r="S941" s="512"/>
      <c r="T941" s="512"/>
      <c r="U941" s="512"/>
      <c r="V941" s="512"/>
      <c r="W941" s="512"/>
      <c r="X941" s="512"/>
      <c r="Y941" s="512"/>
      <c r="Z941" s="512"/>
      <c r="AA941" s="512"/>
      <c r="AB941" s="512"/>
      <c r="AC941" s="512"/>
    </row>
    <row r="942">
      <c r="A942" s="512"/>
      <c r="B942" s="512"/>
      <c r="C942" s="512"/>
      <c r="D942" s="512"/>
      <c r="E942" s="512"/>
      <c r="F942" s="512"/>
      <c r="G942" s="512"/>
      <c r="H942" s="512"/>
      <c r="I942" s="512"/>
      <c r="J942" s="512"/>
      <c r="K942" s="512"/>
      <c r="L942" s="512"/>
      <c r="M942" s="512"/>
      <c r="N942" s="512"/>
      <c r="O942" s="512"/>
      <c r="P942" s="156"/>
      <c r="Q942" s="512"/>
      <c r="R942" s="512"/>
      <c r="S942" s="512"/>
      <c r="T942" s="512"/>
      <c r="U942" s="512"/>
      <c r="V942" s="512"/>
      <c r="W942" s="512"/>
      <c r="X942" s="512"/>
      <c r="Y942" s="512"/>
      <c r="Z942" s="512"/>
      <c r="AA942" s="512"/>
      <c r="AB942" s="512"/>
      <c r="AC942" s="512"/>
    </row>
    <row r="943">
      <c r="A943" s="512"/>
      <c r="B943" s="512"/>
      <c r="C943" s="512"/>
      <c r="D943" s="512"/>
      <c r="E943" s="512"/>
      <c r="F943" s="512"/>
      <c r="G943" s="512"/>
      <c r="H943" s="512"/>
      <c r="I943" s="512"/>
      <c r="J943" s="512"/>
      <c r="K943" s="512"/>
      <c r="L943" s="512"/>
      <c r="M943" s="512"/>
      <c r="N943" s="512"/>
      <c r="O943" s="512"/>
      <c r="P943" s="156"/>
      <c r="Q943" s="512"/>
      <c r="R943" s="512"/>
      <c r="S943" s="512"/>
      <c r="T943" s="512"/>
      <c r="U943" s="512"/>
      <c r="V943" s="512"/>
      <c r="W943" s="512"/>
      <c r="X943" s="512"/>
      <c r="Y943" s="512"/>
      <c r="Z943" s="512"/>
      <c r="AA943" s="512"/>
      <c r="AB943" s="512"/>
      <c r="AC943" s="512"/>
    </row>
    <row r="944">
      <c r="A944" s="512"/>
      <c r="B944" s="512"/>
      <c r="C944" s="512"/>
      <c r="D944" s="512"/>
      <c r="E944" s="512"/>
      <c r="F944" s="512"/>
      <c r="G944" s="512"/>
      <c r="H944" s="512"/>
      <c r="I944" s="512"/>
      <c r="J944" s="512"/>
      <c r="K944" s="512"/>
      <c r="L944" s="512"/>
      <c r="M944" s="512"/>
      <c r="N944" s="512"/>
      <c r="O944" s="512"/>
      <c r="P944" s="156"/>
      <c r="Q944" s="512"/>
      <c r="R944" s="512"/>
      <c r="S944" s="512"/>
      <c r="T944" s="512"/>
      <c r="U944" s="512"/>
      <c r="V944" s="512"/>
      <c r="W944" s="512"/>
      <c r="X944" s="512"/>
      <c r="Y944" s="512"/>
      <c r="Z944" s="512"/>
      <c r="AA944" s="512"/>
      <c r="AB944" s="512"/>
      <c r="AC944" s="512"/>
    </row>
    <row r="945">
      <c r="A945" s="512"/>
      <c r="B945" s="512"/>
      <c r="C945" s="512"/>
      <c r="D945" s="512"/>
      <c r="E945" s="512"/>
      <c r="F945" s="512"/>
      <c r="G945" s="512"/>
      <c r="H945" s="512"/>
      <c r="I945" s="512"/>
      <c r="J945" s="512"/>
      <c r="K945" s="512"/>
      <c r="L945" s="512"/>
      <c r="M945" s="512"/>
      <c r="N945" s="512"/>
      <c r="O945" s="512"/>
      <c r="P945" s="156"/>
      <c r="Q945" s="512"/>
      <c r="R945" s="512"/>
      <c r="S945" s="512"/>
      <c r="T945" s="512"/>
      <c r="U945" s="512"/>
      <c r="V945" s="512"/>
      <c r="W945" s="512"/>
      <c r="X945" s="512"/>
      <c r="Y945" s="512"/>
      <c r="Z945" s="512"/>
      <c r="AA945" s="512"/>
      <c r="AB945" s="512"/>
      <c r="AC945" s="512"/>
    </row>
    <row r="946">
      <c r="A946" s="512"/>
      <c r="B946" s="512"/>
      <c r="C946" s="512"/>
      <c r="D946" s="512"/>
      <c r="E946" s="512"/>
      <c r="F946" s="512"/>
      <c r="G946" s="512"/>
      <c r="H946" s="512"/>
      <c r="I946" s="512"/>
      <c r="J946" s="512"/>
      <c r="K946" s="512"/>
      <c r="L946" s="512"/>
      <c r="M946" s="512"/>
      <c r="N946" s="512"/>
      <c r="O946" s="512"/>
      <c r="P946" s="156"/>
      <c r="Q946" s="512"/>
      <c r="R946" s="512"/>
      <c r="S946" s="512"/>
      <c r="T946" s="512"/>
      <c r="U946" s="512"/>
      <c r="V946" s="512"/>
      <c r="W946" s="512"/>
      <c r="X946" s="512"/>
      <c r="Y946" s="512"/>
      <c r="Z946" s="512"/>
      <c r="AA946" s="512"/>
      <c r="AB946" s="512"/>
      <c r="AC946" s="512"/>
    </row>
    <row r="947">
      <c r="A947" s="512"/>
      <c r="B947" s="512"/>
      <c r="C947" s="512"/>
      <c r="D947" s="512"/>
      <c r="E947" s="512"/>
      <c r="F947" s="512"/>
      <c r="G947" s="512"/>
      <c r="H947" s="512"/>
      <c r="I947" s="512"/>
      <c r="J947" s="512"/>
      <c r="K947" s="512"/>
      <c r="L947" s="512"/>
      <c r="M947" s="512"/>
      <c r="N947" s="512"/>
      <c r="O947" s="512"/>
      <c r="P947" s="156"/>
      <c r="Q947" s="512"/>
      <c r="R947" s="512"/>
      <c r="S947" s="512"/>
      <c r="T947" s="512"/>
      <c r="U947" s="512"/>
      <c r="V947" s="512"/>
      <c r="W947" s="512"/>
      <c r="X947" s="512"/>
      <c r="Y947" s="512"/>
      <c r="Z947" s="512"/>
      <c r="AA947" s="512"/>
      <c r="AB947" s="512"/>
      <c r="AC947" s="512"/>
    </row>
    <row r="948">
      <c r="A948" s="512"/>
      <c r="B948" s="512"/>
      <c r="C948" s="512"/>
      <c r="D948" s="512"/>
      <c r="E948" s="512"/>
      <c r="F948" s="512"/>
      <c r="G948" s="512"/>
      <c r="H948" s="512"/>
      <c r="I948" s="512"/>
      <c r="J948" s="512"/>
      <c r="K948" s="512"/>
      <c r="L948" s="512"/>
      <c r="M948" s="512"/>
      <c r="N948" s="512"/>
      <c r="O948" s="512"/>
      <c r="P948" s="156"/>
      <c r="Q948" s="512"/>
      <c r="R948" s="512"/>
      <c r="S948" s="512"/>
      <c r="T948" s="512"/>
      <c r="U948" s="512"/>
      <c r="V948" s="512"/>
      <c r="W948" s="512"/>
      <c r="X948" s="512"/>
      <c r="Y948" s="512"/>
      <c r="Z948" s="512"/>
      <c r="AA948" s="512"/>
      <c r="AB948" s="512"/>
      <c r="AC948" s="512"/>
    </row>
    <row r="949">
      <c r="A949" s="512"/>
      <c r="B949" s="512"/>
      <c r="C949" s="512"/>
      <c r="D949" s="512"/>
      <c r="E949" s="512"/>
      <c r="F949" s="512"/>
      <c r="G949" s="512"/>
      <c r="H949" s="512"/>
      <c r="I949" s="512"/>
      <c r="J949" s="512"/>
      <c r="K949" s="512"/>
      <c r="L949" s="512"/>
      <c r="M949" s="512"/>
      <c r="N949" s="512"/>
      <c r="O949" s="512"/>
      <c r="P949" s="156"/>
      <c r="Q949" s="512"/>
      <c r="R949" s="512"/>
      <c r="S949" s="512"/>
      <c r="T949" s="512"/>
      <c r="U949" s="512"/>
      <c r="V949" s="512"/>
      <c r="W949" s="512"/>
      <c r="X949" s="512"/>
      <c r="Y949" s="512"/>
      <c r="Z949" s="512"/>
      <c r="AA949" s="512"/>
      <c r="AB949" s="512"/>
      <c r="AC949" s="512"/>
    </row>
    <row r="950">
      <c r="A950" s="512"/>
      <c r="B950" s="512"/>
      <c r="C950" s="512"/>
      <c r="D950" s="512"/>
      <c r="E950" s="512"/>
      <c r="F950" s="512"/>
      <c r="G950" s="512"/>
      <c r="H950" s="512"/>
      <c r="I950" s="512"/>
      <c r="J950" s="512"/>
      <c r="K950" s="512"/>
      <c r="L950" s="512"/>
      <c r="M950" s="512"/>
      <c r="N950" s="512"/>
      <c r="O950" s="512"/>
      <c r="P950" s="156"/>
      <c r="Q950" s="512"/>
      <c r="R950" s="512"/>
      <c r="S950" s="512"/>
      <c r="T950" s="512"/>
      <c r="U950" s="512"/>
      <c r="V950" s="512"/>
      <c r="W950" s="512"/>
      <c r="X950" s="512"/>
      <c r="Y950" s="512"/>
      <c r="Z950" s="512"/>
      <c r="AA950" s="512"/>
      <c r="AB950" s="512"/>
      <c r="AC950" s="512"/>
    </row>
    <row r="951">
      <c r="A951" s="512"/>
      <c r="B951" s="512"/>
      <c r="C951" s="512"/>
      <c r="D951" s="512"/>
      <c r="E951" s="512"/>
      <c r="F951" s="512"/>
      <c r="G951" s="512"/>
      <c r="H951" s="512"/>
      <c r="I951" s="512"/>
      <c r="J951" s="512"/>
      <c r="K951" s="512"/>
      <c r="L951" s="512"/>
      <c r="M951" s="512"/>
      <c r="N951" s="512"/>
      <c r="O951" s="512"/>
      <c r="P951" s="156"/>
      <c r="Q951" s="512"/>
      <c r="R951" s="512"/>
      <c r="S951" s="512"/>
      <c r="T951" s="512"/>
      <c r="U951" s="512"/>
      <c r="V951" s="512"/>
      <c r="W951" s="512"/>
      <c r="X951" s="512"/>
      <c r="Y951" s="512"/>
      <c r="Z951" s="512"/>
      <c r="AA951" s="512"/>
      <c r="AB951" s="512"/>
      <c r="AC951" s="512"/>
    </row>
    <row r="952">
      <c r="A952" s="512"/>
      <c r="B952" s="512"/>
      <c r="C952" s="512"/>
      <c r="D952" s="512"/>
      <c r="E952" s="512"/>
      <c r="F952" s="512"/>
      <c r="G952" s="512"/>
      <c r="H952" s="512"/>
      <c r="I952" s="512"/>
      <c r="J952" s="512"/>
      <c r="K952" s="512"/>
      <c r="L952" s="512"/>
      <c r="M952" s="512"/>
      <c r="N952" s="512"/>
      <c r="O952" s="512"/>
      <c r="P952" s="156"/>
      <c r="Q952" s="512"/>
      <c r="R952" s="512"/>
      <c r="S952" s="512"/>
      <c r="T952" s="512"/>
      <c r="U952" s="512"/>
      <c r="V952" s="512"/>
      <c r="W952" s="512"/>
      <c r="X952" s="512"/>
      <c r="Y952" s="512"/>
      <c r="Z952" s="512"/>
      <c r="AA952" s="512"/>
      <c r="AB952" s="512"/>
      <c r="AC952" s="512"/>
    </row>
    <row r="953">
      <c r="A953" s="512"/>
      <c r="B953" s="512"/>
      <c r="C953" s="512"/>
      <c r="D953" s="512"/>
      <c r="E953" s="512"/>
      <c r="F953" s="512"/>
      <c r="G953" s="512"/>
      <c r="H953" s="512"/>
      <c r="I953" s="512"/>
      <c r="J953" s="512"/>
      <c r="K953" s="512"/>
      <c r="L953" s="512"/>
      <c r="M953" s="512"/>
      <c r="N953" s="512"/>
      <c r="O953" s="512"/>
      <c r="P953" s="156"/>
      <c r="Q953" s="512"/>
      <c r="R953" s="512"/>
      <c r="S953" s="512"/>
      <c r="T953" s="512"/>
      <c r="U953" s="512"/>
      <c r="V953" s="512"/>
      <c r="W953" s="512"/>
      <c r="X953" s="512"/>
      <c r="Y953" s="512"/>
      <c r="Z953" s="512"/>
      <c r="AA953" s="512"/>
      <c r="AB953" s="512"/>
      <c r="AC953" s="512"/>
    </row>
    <row r="954">
      <c r="A954" s="512"/>
      <c r="B954" s="512"/>
      <c r="C954" s="512"/>
      <c r="D954" s="512"/>
      <c r="E954" s="512"/>
      <c r="F954" s="512"/>
      <c r="G954" s="512"/>
      <c r="H954" s="512"/>
      <c r="I954" s="512"/>
      <c r="J954" s="512"/>
      <c r="K954" s="512"/>
      <c r="L954" s="512"/>
      <c r="M954" s="512"/>
      <c r="N954" s="512"/>
      <c r="O954" s="512"/>
      <c r="P954" s="156"/>
      <c r="Q954" s="512"/>
      <c r="R954" s="512"/>
      <c r="S954" s="512"/>
      <c r="T954" s="512"/>
      <c r="U954" s="512"/>
      <c r="V954" s="512"/>
      <c r="W954" s="512"/>
      <c r="X954" s="512"/>
      <c r="Y954" s="512"/>
      <c r="Z954" s="512"/>
      <c r="AA954" s="512"/>
      <c r="AB954" s="512"/>
      <c r="AC954" s="512"/>
    </row>
    <row r="955">
      <c r="A955" s="512"/>
      <c r="B955" s="512"/>
      <c r="C955" s="512"/>
      <c r="D955" s="512"/>
      <c r="E955" s="512"/>
      <c r="F955" s="512"/>
      <c r="G955" s="512"/>
      <c r="H955" s="512"/>
      <c r="I955" s="512"/>
      <c r="J955" s="512"/>
      <c r="K955" s="512"/>
      <c r="L955" s="512"/>
      <c r="M955" s="512"/>
      <c r="N955" s="512"/>
      <c r="O955" s="512"/>
      <c r="P955" s="156"/>
      <c r="Q955" s="512"/>
      <c r="R955" s="512"/>
      <c r="S955" s="512"/>
      <c r="T955" s="512"/>
      <c r="U955" s="512"/>
      <c r="V955" s="512"/>
      <c r="W955" s="512"/>
      <c r="X955" s="512"/>
      <c r="Y955" s="512"/>
      <c r="Z955" s="512"/>
      <c r="AA955" s="512"/>
      <c r="AB955" s="512"/>
      <c r="AC955" s="512"/>
    </row>
    <row r="956">
      <c r="A956" s="512"/>
      <c r="B956" s="512"/>
      <c r="C956" s="512"/>
      <c r="D956" s="512"/>
      <c r="E956" s="512"/>
      <c r="F956" s="512"/>
      <c r="G956" s="512"/>
      <c r="H956" s="512"/>
      <c r="I956" s="512"/>
      <c r="J956" s="512"/>
      <c r="K956" s="512"/>
      <c r="L956" s="512"/>
      <c r="M956" s="512"/>
      <c r="N956" s="512"/>
      <c r="O956" s="512"/>
      <c r="P956" s="156"/>
      <c r="Q956" s="512"/>
      <c r="R956" s="512"/>
      <c r="S956" s="512"/>
      <c r="T956" s="512"/>
      <c r="U956" s="512"/>
      <c r="V956" s="512"/>
      <c r="W956" s="512"/>
      <c r="X956" s="512"/>
      <c r="Y956" s="512"/>
      <c r="Z956" s="512"/>
      <c r="AA956" s="512"/>
      <c r="AB956" s="512"/>
      <c r="AC956" s="512"/>
    </row>
    <row r="957">
      <c r="A957" s="512"/>
      <c r="B957" s="512"/>
      <c r="C957" s="512"/>
      <c r="D957" s="512"/>
      <c r="E957" s="512"/>
      <c r="F957" s="512"/>
      <c r="G957" s="512"/>
      <c r="H957" s="512"/>
      <c r="I957" s="512"/>
      <c r="J957" s="512"/>
      <c r="K957" s="512"/>
      <c r="L957" s="512"/>
      <c r="M957" s="512"/>
      <c r="N957" s="512"/>
      <c r="O957" s="512"/>
      <c r="P957" s="156"/>
      <c r="Q957" s="512"/>
      <c r="R957" s="512"/>
      <c r="S957" s="512"/>
      <c r="T957" s="512"/>
      <c r="U957" s="512"/>
      <c r="V957" s="512"/>
      <c r="W957" s="512"/>
      <c r="X957" s="512"/>
      <c r="Y957" s="512"/>
      <c r="Z957" s="512"/>
      <c r="AA957" s="512"/>
      <c r="AB957" s="512"/>
      <c r="AC957" s="512"/>
    </row>
    <row r="958">
      <c r="A958" s="512"/>
      <c r="B958" s="512"/>
      <c r="C958" s="512"/>
      <c r="D958" s="512"/>
      <c r="E958" s="512"/>
      <c r="F958" s="512"/>
      <c r="G958" s="512"/>
      <c r="H958" s="512"/>
      <c r="I958" s="512"/>
      <c r="J958" s="512"/>
      <c r="K958" s="512"/>
      <c r="L958" s="512"/>
      <c r="M958" s="512"/>
      <c r="N958" s="512"/>
      <c r="O958" s="512"/>
      <c r="P958" s="156"/>
      <c r="Q958" s="512"/>
      <c r="R958" s="512"/>
      <c r="S958" s="512"/>
      <c r="T958" s="512"/>
      <c r="U958" s="512"/>
      <c r="V958" s="512"/>
      <c r="W958" s="512"/>
      <c r="X958" s="512"/>
      <c r="Y958" s="512"/>
      <c r="Z958" s="512"/>
      <c r="AA958" s="512"/>
      <c r="AB958" s="512"/>
      <c r="AC958" s="512"/>
    </row>
    <row r="959">
      <c r="A959" s="512"/>
      <c r="B959" s="512"/>
      <c r="C959" s="512"/>
      <c r="D959" s="512"/>
      <c r="E959" s="512"/>
      <c r="F959" s="512"/>
      <c r="G959" s="512"/>
      <c r="H959" s="512"/>
      <c r="I959" s="512"/>
      <c r="J959" s="512"/>
      <c r="K959" s="512"/>
      <c r="L959" s="512"/>
      <c r="M959" s="512"/>
      <c r="N959" s="512"/>
      <c r="O959" s="512"/>
      <c r="P959" s="156"/>
      <c r="Q959" s="512"/>
      <c r="R959" s="512"/>
      <c r="S959" s="512"/>
      <c r="T959" s="512"/>
      <c r="U959" s="512"/>
      <c r="V959" s="512"/>
      <c r="W959" s="512"/>
      <c r="X959" s="512"/>
      <c r="Y959" s="512"/>
      <c r="Z959" s="512"/>
      <c r="AA959" s="512"/>
      <c r="AB959" s="512"/>
      <c r="AC959" s="512"/>
    </row>
    <row r="960">
      <c r="A960" s="512"/>
      <c r="B960" s="512"/>
      <c r="C960" s="512"/>
      <c r="D960" s="512"/>
      <c r="E960" s="512"/>
      <c r="F960" s="512"/>
      <c r="G960" s="512"/>
      <c r="H960" s="512"/>
      <c r="I960" s="512"/>
      <c r="J960" s="512"/>
      <c r="K960" s="512"/>
      <c r="L960" s="512"/>
      <c r="M960" s="512"/>
      <c r="N960" s="512"/>
      <c r="O960" s="512"/>
      <c r="P960" s="156"/>
      <c r="Q960" s="512"/>
      <c r="R960" s="512"/>
      <c r="S960" s="512"/>
      <c r="T960" s="512"/>
      <c r="U960" s="512"/>
      <c r="V960" s="512"/>
      <c r="W960" s="512"/>
      <c r="X960" s="512"/>
      <c r="Y960" s="512"/>
      <c r="Z960" s="512"/>
      <c r="AA960" s="512"/>
      <c r="AB960" s="512"/>
      <c r="AC960" s="512"/>
    </row>
    <row r="961">
      <c r="A961" s="512"/>
      <c r="B961" s="512"/>
      <c r="C961" s="512"/>
      <c r="D961" s="512"/>
      <c r="E961" s="512"/>
      <c r="F961" s="512"/>
      <c r="G961" s="512"/>
      <c r="H961" s="512"/>
      <c r="I961" s="512"/>
      <c r="J961" s="512"/>
      <c r="K961" s="512"/>
      <c r="L961" s="512"/>
      <c r="M961" s="512"/>
      <c r="N961" s="512"/>
      <c r="O961" s="512"/>
      <c r="P961" s="156"/>
      <c r="Q961" s="512"/>
      <c r="R961" s="512"/>
      <c r="S961" s="512"/>
      <c r="T961" s="512"/>
      <c r="U961" s="512"/>
      <c r="V961" s="512"/>
      <c r="W961" s="512"/>
      <c r="X961" s="512"/>
      <c r="Y961" s="512"/>
      <c r="Z961" s="512"/>
      <c r="AA961" s="512"/>
      <c r="AB961" s="512"/>
      <c r="AC961" s="512"/>
    </row>
    <row r="962">
      <c r="A962" s="512"/>
      <c r="B962" s="512"/>
      <c r="C962" s="512"/>
      <c r="D962" s="512"/>
      <c r="E962" s="512"/>
      <c r="F962" s="512"/>
      <c r="G962" s="512"/>
      <c r="H962" s="512"/>
      <c r="I962" s="512"/>
      <c r="J962" s="512"/>
      <c r="K962" s="512"/>
      <c r="L962" s="512"/>
      <c r="M962" s="512"/>
      <c r="N962" s="512"/>
      <c r="O962" s="512"/>
      <c r="P962" s="156"/>
      <c r="Q962" s="512"/>
      <c r="R962" s="512"/>
      <c r="S962" s="512"/>
      <c r="T962" s="512"/>
      <c r="U962" s="512"/>
      <c r="V962" s="512"/>
      <c r="W962" s="512"/>
      <c r="X962" s="512"/>
      <c r="Y962" s="512"/>
      <c r="Z962" s="512"/>
      <c r="AA962" s="512"/>
      <c r="AB962" s="512"/>
      <c r="AC962" s="512"/>
    </row>
    <row r="963">
      <c r="A963" s="512"/>
      <c r="B963" s="512"/>
      <c r="C963" s="512"/>
      <c r="D963" s="512"/>
      <c r="E963" s="512"/>
      <c r="F963" s="512"/>
      <c r="G963" s="512"/>
      <c r="H963" s="512"/>
      <c r="I963" s="512"/>
      <c r="J963" s="512"/>
      <c r="K963" s="512"/>
      <c r="L963" s="512"/>
      <c r="M963" s="512"/>
      <c r="N963" s="512"/>
      <c r="O963" s="512"/>
      <c r="P963" s="156"/>
      <c r="Q963" s="512"/>
      <c r="R963" s="512"/>
      <c r="S963" s="512"/>
      <c r="T963" s="512"/>
      <c r="U963" s="512"/>
      <c r="V963" s="512"/>
      <c r="W963" s="512"/>
      <c r="X963" s="512"/>
      <c r="Y963" s="512"/>
      <c r="Z963" s="512"/>
      <c r="AA963" s="512"/>
      <c r="AB963" s="512"/>
      <c r="AC963" s="512"/>
    </row>
    <row r="964">
      <c r="A964" s="512"/>
      <c r="B964" s="512"/>
      <c r="C964" s="512"/>
      <c r="D964" s="512"/>
      <c r="E964" s="512"/>
      <c r="F964" s="512"/>
      <c r="G964" s="512"/>
      <c r="H964" s="512"/>
      <c r="I964" s="512"/>
      <c r="J964" s="512"/>
      <c r="K964" s="512"/>
      <c r="L964" s="512"/>
      <c r="M964" s="512"/>
      <c r="N964" s="512"/>
      <c r="O964" s="512"/>
      <c r="P964" s="156"/>
      <c r="Q964" s="512"/>
      <c r="R964" s="512"/>
      <c r="S964" s="512"/>
      <c r="T964" s="512"/>
      <c r="U964" s="512"/>
      <c r="V964" s="512"/>
      <c r="W964" s="512"/>
      <c r="X964" s="512"/>
      <c r="Y964" s="512"/>
      <c r="Z964" s="512"/>
      <c r="AA964" s="512"/>
      <c r="AB964" s="512"/>
      <c r="AC964" s="512"/>
    </row>
    <row r="965">
      <c r="A965" s="512"/>
      <c r="B965" s="512"/>
      <c r="C965" s="512"/>
      <c r="D965" s="512"/>
      <c r="E965" s="512"/>
      <c r="F965" s="512"/>
      <c r="G965" s="512"/>
      <c r="H965" s="512"/>
      <c r="I965" s="512"/>
      <c r="J965" s="512"/>
      <c r="K965" s="512"/>
      <c r="L965" s="512"/>
      <c r="M965" s="512"/>
      <c r="N965" s="512"/>
      <c r="O965" s="512"/>
      <c r="P965" s="156"/>
      <c r="Q965" s="512"/>
      <c r="R965" s="512"/>
      <c r="S965" s="512"/>
      <c r="T965" s="512"/>
      <c r="U965" s="512"/>
      <c r="V965" s="512"/>
      <c r="W965" s="512"/>
      <c r="X965" s="512"/>
      <c r="Y965" s="512"/>
      <c r="Z965" s="512"/>
      <c r="AA965" s="512"/>
      <c r="AB965" s="512"/>
      <c r="AC965" s="512"/>
    </row>
    <row r="966">
      <c r="A966" s="512"/>
      <c r="B966" s="512"/>
      <c r="C966" s="512"/>
      <c r="D966" s="512"/>
      <c r="E966" s="512"/>
      <c r="F966" s="512"/>
      <c r="G966" s="512"/>
      <c r="H966" s="512"/>
      <c r="I966" s="512"/>
      <c r="J966" s="512"/>
      <c r="K966" s="512"/>
      <c r="L966" s="512"/>
      <c r="M966" s="512"/>
      <c r="N966" s="512"/>
      <c r="O966" s="512"/>
      <c r="P966" s="156"/>
      <c r="Q966" s="512"/>
      <c r="R966" s="512"/>
      <c r="S966" s="512"/>
      <c r="T966" s="512"/>
      <c r="U966" s="512"/>
      <c r="V966" s="512"/>
      <c r="W966" s="512"/>
      <c r="X966" s="512"/>
      <c r="Y966" s="512"/>
      <c r="Z966" s="512"/>
      <c r="AA966" s="512"/>
      <c r="AB966" s="512"/>
      <c r="AC966" s="512"/>
    </row>
    <row r="967">
      <c r="A967" s="512"/>
      <c r="B967" s="512"/>
      <c r="C967" s="512"/>
      <c r="D967" s="512"/>
      <c r="E967" s="512"/>
      <c r="F967" s="512"/>
      <c r="G967" s="512"/>
      <c r="H967" s="512"/>
      <c r="I967" s="512"/>
      <c r="J967" s="512"/>
      <c r="K967" s="512"/>
      <c r="L967" s="512"/>
      <c r="M967" s="512"/>
      <c r="N967" s="512"/>
      <c r="O967" s="512"/>
      <c r="P967" s="156"/>
      <c r="Q967" s="512"/>
      <c r="R967" s="512"/>
      <c r="S967" s="512"/>
      <c r="T967" s="512"/>
      <c r="U967" s="512"/>
      <c r="V967" s="512"/>
      <c r="W967" s="512"/>
      <c r="X967" s="512"/>
      <c r="Y967" s="512"/>
      <c r="Z967" s="512"/>
      <c r="AA967" s="512"/>
      <c r="AB967" s="512"/>
      <c r="AC967" s="512"/>
    </row>
    <row r="968">
      <c r="A968" s="512"/>
      <c r="B968" s="512"/>
      <c r="C968" s="512"/>
      <c r="D968" s="512"/>
      <c r="E968" s="512"/>
      <c r="F968" s="512"/>
      <c r="G968" s="512"/>
      <c r="H968" s="512"/>
      <c r="I968" s="512"/>
      <c r="J968" s="512"/>
      <c r="K968" s="512"/>
      <c r="L968" s="512"/>
      <c r="M968" s="512"/>
      <c r="N968" s="512"/>
      <c r="O968" s="512"/>
      <c r="P968" s="156"/>
      <c r="Q968" s="512"/>
      <c r="R968" s="512"/>
      <c r="S968" s="512"/>
      <c r="T968" s="512"/>
      <c r="U968" s="512"/>
      <c r="V968" s="512"/>
      <c r="W968" s="512"/>
      <c r="X968" s="512"/>
      <c r="Y968" s="512"/>
      <c r="Z968" s="512"/>
      <c r="AA968" s="512"/>
      <c r="AB968" s="512"/>
      <c r="AC968" s="512"/>
    </row>
    <row r="969">
      <c r="A969" s="512"/>
      <c r="B969" s="512"/>
      <c r="C969" s="512"/>
      <c r="D969" s="512"/>
      <c r="E969" s="512"/>
      <c r="F969" s="512"/>
      <c r="G969" s="512"/>
      <c r="H969" s="512"/>
      <c r="I969" s="512"/>
      <c r="J969" s="512"/>
      <c r="K969" s="512"/>
      <c r="L969" s="512"/>
      <c r="M969" s="512"/>
      <c r="N969" s="512"/>
      <c r="O969" s="512"/>
      <c r="P969" s="156"/>
      <c r="Q969" s="512"/>
      <c r="R969" s="512"/>
      <c r="S969" s="512"/>
      <c r="T969" s="512"/>
      <c r="U969" s="512"/>
      <c r="V969" s="512"/>
      <c r="W969" s="512"/>
      <c r="X969" s="512"/>
      <c r="Y969" s="512"/>
      <c r="Z969" s="512"/>
      <c r="AA969" s="512"/>
      <c r="AB969" s="512"/>
      <c r="AC969" s="512"/>
    </row>
  </sheetData>
  <autoFilter ref="$A$1:$N$10"/>
  <dataValidations>
    <dataValidation type="list" allowBlank="1" showErrorMessage="1" sqref="M2:M10">
      <formula1>Apoio!$Y$4:$Y$19</formula1>
    </dataValidation>
    <dataValidation type="list" allowBlank="1" showErrorMessage="1" sqref="L2:L10">
      <formula1>Apoio!$AA$4:$AA$16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0.63"/>
    <col customWidth="1" min="3" max="3" width="13.13"/>
    <col customWidth="1" min="4" max="4" width="11.38"/>
    <col customWidth="1" min="5" max="5" width="11.5"/>
    <col customWidth="1" min="6" max="6" width="12.5"/>
    <col customWidth="1" min="7" max="7" width="28.88"/>
    <col customWidth="1" min="8" max="8" width="17.63"/>
    <col customWidth="1" min="9" max="9" width="15.25"/>
  </cols>
  <sheetData>
    <row r="1" ht="22.5" customHeight="1">
      <c r="A1" s="524" t="s">
        <v>3142</v>
      </c>
      <c r="B1" s="525" t="s">
        <v>3143</v>
      </c>
      <c r="C1" s="526" t="s">
        <v>3144</v>
      </c>
      <c r="D1" s="527" t="s">
        <v>3145</v>
      </c>
      <c r="E1" s="526" t="s">
        <v>3146</v>
      </c>
      <c r="F1" s="526" t="s">
        <v>3147</v>
      </c>
      <c r="G1" s="527" t="s">
        <v>3103</v>
      </c>
      <c r="H1" s="526" t="s">
        <v>3148</v>
      </c>
      <c r="I1" s="527" t="s">
        <v>3149</v>
      </c>
      <c r="J1" s="527" t="s">
        <v>3108</v>
      </c>
      <c r="K1" s="528" t="s">
        <v>3150</v>
      </c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</row>
    <row r="2" ht="22.5" hidden="1" customHeight="1">
      <c r="A2" s="529" t="s">
        <v>49</v>
      </c>
      <c r="B2" s="530" t="s">
        <v>3151</v>
      </c>
      <c r="C2" s="530" t="s">
        <v>3152</v>
      </c>
      <c r="D2" s="530" t="s">
        <v>3153</v>
      </c>
      <c r="E2" s="530"/>
      <c r="F2" s="530"/>
      <c r="G2" s="530" t="s">
        <v>3154</v>
      </c>
      <c r="H2" s="531" t="s">
        <v>3155</v>
      </c>
      <c r="I2" s="531">
        <v>4.1996428568E10</v>
      </c>
      <c r="J2" s="532" t="s">
        <v>3156</v>
      </c>
      <c r="K2" s="533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12"/>
    </row>
    <row r="3" ht="22.5" hidden="1" customHeight="1">
      <c r="A3" s="529" t="s">
        <v>83</v>
      </c>
      <c r="B3" s="530" t="s">
        <v>2376</v>
      </c>
      <c r="C3" s="530" t="s">
        <v>3157</v>
      </c>
      <c r="D3" s="534" t="s">
        <v>3120</v>
      </c>
      <c r="E3" s="530"/>
      <c r="F3" s="530" t="s">
        <v>3158</v>
      </c>
      <c r="G3" s="530" t="s">
        <v>3159</v>
      </c>
      <c r="H3" s="531" t="s">
        <v>3160</v>
      </c>
      <c r="I3" s="531">
        <v>5.1981351912E10</v>
      </c>
      <c r="J3" s="530" t="s">
        <v>3156</v>
      </c>
      <c r="K3" s="533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2"/>
    </row>
    <row r="4" ht="22.5" hidden="1" customHeight="1">
      <c r="A4" s="529" t="s">
        <v>166</v>
      </c>
      <c r="B4" s="530" t="s">
        <v>2364</v>
      </c>
      <c r="C4" s="530" t="s">
        <v>3161</v>
      </c>
      <c r="D4" s="534" t="s">
        <v>3162</v>
      </c>
      <c r="E4" s="530"/>
      <c r="F4" s="530" t="s">
        <v>3163</v>
      </c>
      <c r="G4" s="530" t="s">
        <v>3164</v>
      </c>
      <c r="H4" s="531" t="s">
        <v>3165</v>
      </c>
      <c r="I4" s="531">
        <v>1.1992946939E10</v>
      </c>
      <c r="J4" s="530" t="s">
        <v>3156</v>
      </c>
      <c r="K4" s="533"/>
      <c r="L4" s="535"/>
      <c r="M4" s="535"/>
      <c r="N4" s="535"/>
      <c r="O4" s="535"/>
      <c r="P4" s="535"/>
      <c r="Q4" s="535"/>
      <c r="R4" s="535"/>
      <c r="S4" s="535"/>
      <c r="T4" s="535"/>
      <c r="U4" s="535"/>
      <c r="V4" s="535"/>
      <c r="W4" s="535"/>
      <c r="X4" s="535"/>
      <c r="Y4" s="535"/>
      <c r="Z4" s="535"/>
      <c r="AA4" s="535"/>
    </row>
    <row r="5" ht="22.5" hidden="1" customHeight="1">
      <c r="A5" s="529" t="s">
        <v>995</v>
      </c>
      <c r="B5" s="530" t="s">
        <v>2348</v>
      </c>
      <c r="C5" s="530" t="s">
        <v>3166</v>
      </c>
      <c r="D5" s="534" t="s">
        <v>2672</v>
      </c>
      <c r="E5" s="530"/>
      <c r="F5" s="530" t="s">
        <v>3158</v>
      </c>
      <c r="G5" s="530" t="s">
        <v>3167</v>
      </c>
      <c r="H5" s="531" t="s">
        <v>3168</v>
      </c>
      <c r="I5" s="531">
        <v>5.1981461938E10</v>
      </c>
      <c r="J5" s="530" t="s">
        <v>3156</v>
      </c>
      <c r="K5" s="533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2"/>
    </row>
    <row r="6" ht="22.5" hidden="1" customHeight="1">
      <c r="A6" s="529" t="s">
        <v>3169</v>
      </c>
      <c r="B6" s="530" t="s">
        <v>1890</v>
      </c>
      <c r="C6" s="530" t="s">
        <v>3170</v>
      </c>
      <c r="D6" s="534" t="s">
        <v>3171</v>
      </c>
      <c r="E6" s="530"/>
      <c r="F6" s="530" t="s">
        <v>3163</v>
      </c>
      <c r="G6" s="530" t="s">
        <v>3172</v>
      </c>
      <c r="H6" s="531" t="s">
        <v>3173</v>
      </c>
      <c r="I6" s="531">
        <v>4.19687919E9</v>
      </c>
      <c r="J6" s="530" t="s">
        <v>3156</v>
      </c>
      <c r="K6" s="533"/>
      <c r="L6" s="512"/>
      <c r="M6" s="512"/>
      <c r="N6" s="512"/>
      <c r="O6" s="512"/>
      <c r="P6" s="512"/>
      <c r="Q6" s="512"/>
      <c r="R6" s="512"/>
      <c r="S6" s="512"/>
      <c r="T6" s="512"/>
      <c r="U6" s="512"/>
      <c r="V6" s="512"/>
      <c r="W6" s="512"/>
      <c r="X6" s="512"/>
      <c r="Y6" s="512"/>
      <c r="Z6" s="512"/>
      <c r="AA6" s="512"/>
    </row>
    <row r="7" ht="22.5" hidden="1" customHeight="1">
      <c r="A7" s="529" t="s">
        <v>3174</v>
      </c>
      <c r="B7" s="530" t="s">
        <v>3175</v>
      </c>
      <c r="C7" s="530" t="s">
        <v>3176</v>
      </c>
      <c r="D7" s="534" t="s">
        <v>3177</v>
      </c>
      <c r="E7" s="530"/>
      <c r="F7" s="530" t="s">
        <v>3163</v>
      </c>
      <c r="G7" s="530" t="s">
        <v>3178</v>
      </c>
      <c r="H7" s="531" t="s">
        <v>3179</v>
      </c>
      <c r="I7" s="531">
        <v>4.4991589147E10</v>
      </c>
      <c r="J7" s="530" t="s">
        <v>3156</v>
      </c>
      <c r="K7" s="533"/>
      <c r="L7" s="512"/>
      <c r="M7" s="512"/>
      <c r="N7" s="512"/>
      <c r="O7" s="512"/>
      <c r="P7" s="512"/>
      <c r="Q7" s="512"/>
      <c r="R7" s="512"/>
      <c r="S7" s="512"/>
      <c r="T7" s="512"/>
      <c r="U7" s="512"/>
      <c r="V7" s="512"/>
      <c r="W7" s="512"/>
      <c r="X7" s="512"/>
      <c r="Y7" s="512"/>
      <c r="Z7" s="512"/>
      <c r="AA7" s="512"/>
    </row>
    <row r="8" ht="22.5" hidden="1" customHeight="1">
      <c r="A8" s="529" t="s">
        <v>729</v>
      </c>
      <c r="B8" s="530" t="s">
        <v>2369</v>
      </c>
      <c r="C8" s="530" t="s">
        <v>3180</v>
      </c>
      <c r="D8" s="534" t="s">
        <v>3181</v>
      </c>
      <c r="E8" s="530"/>
      <c r="F8" s="530" t="s">
        <v>3163</v>
      </c>
      <c r="G8" s="530" t="s">
        <v>3182</v>
      </c>
      <c r="H8" s="531" t="s">
        <v>3183</v>
      </c>
      <c r="I8" s="531">
        <v>4.19172412E9</v>
      </c>
      <c r="J8" s="530" t="s">
        <v>3156</v>
      </c>
      <c r="K8" s="533"/>
      <c r="L8" s="535"/>
      <c r="M8" s="535"/>
      <c r="N8" s="535"/>
      <c r="O8" s="535"/>
      <c r="P8" s="535"/>
      <c r="Q8" s="535"/>
      <c r="R8" s="535"/>
      <c r="S8" s="535"/>
      <c r="T8" s="535"/>
      <c r="U8" s="535"/>
      <c r="V8" s="535"/>
      <c r="W8" s="535"/>
      <c r="X8" s="535"/>
      <c r="Y8" s="535"/>
      <c r="Z8" s="535"/>
      <c r="AA8" s="535"/>
    </row>
    <row r="9" ht="22.5" hidden="1" customHeight="1">
      <c r="A9" s="529" t="s">
        <v>978</v>
      </c>
      <c r="B9" s="530" t="s">
        <v>3184</v>
      </c>
      <c r="C9" s="530" t="s">
        <v>3185</v>
      </c>
      <c r="D9" s="534" t="s">
        <v>3186</v>
      </c>
      <c r="E9" s="530"/>
      <c r="F9" s="530"/>
      <c r="G9" s="530" t="s">
        <v>3187</v>
      </c>
      <c r="H9" s="531" t="s">
        <v>3188</v>
      </c>
      <c r="I9" s="530">
        <v>4.1998668303E10</v>
      </c>
      <c r="J9" s="530" t="s">
        <v>3156</v>
      </c>
      <c r="K9" s="533"/>
      <c r="L9" s="512"/>
      <c r="M9" s="512"/>
      <c r="N9" s="512"/>
      <c r="O9" s="512"/>
      <c r="P9" s="512"/>
      <c r="Q9" s="512"/>
      <c r="R9" s="512"/>
      <c r="S9" s="512"/>
      <c r="T9" s="512"/>
      <c r="U9" s="512"/>
      <c r="V9" s="512"/>
      <c r="W9" s="512"/>
      <c r="X9" s="512"/>
      <c r="Y9" s="512"/>
      <c r="Z9" s="512"/>
      <c r="AA9" s="512"/>
    </row>
    <row r="10" ht="27.0" hidden="1" customHeight="1">
      <c r="A10" s="529" t="s">
        <v>704</v>
      </c>
      <c r="B10" s="529" t="s">
        <v>2361</v>
      </c>
      <c r="C10" s="529" t="s">
        <v>3189</v>
      </c>
      <c r="D10" s="534" t="s">
        <v>3190</v>
      </c>
      <c r="E10" s="530"/>
      <c r="F10" s="530" t="s">
        <v>3158</v>
      </c>
      <c r="G10" s="530" t="s">
        <v>3191</v>
      </c>
      <c r="H10" s="531" t="s">
        <v>3192</v>
      </c>
      <c r="I10" s="531">
        <v>9.598406431E10</v>
      </c>
      <c r="J10" s="530" t="s">
        <v>3156</v>
      </c>
      <c r="K10" s="536" t="s">
        <v>3193</v>
      </c>
      <c r="L10" s="512"/>
      <c r="M10" s="512"/>
      <c r="N10" s="512"/>
      <c r="O10" s="512"/>
      <c r="P10" s="512"/>
      <c r="Q10" s="512"/>
      <c r="R10" s="512"/>
      <c r="S10" s="512"/>
      <c r="T10" s="512"/>
      <c r="U10" s="512"/>
      <c r="V10" s="512"/>
      <c r="W10" s="512"/>
      <c r="X10" s="512"/>
      <c r="Y10" s="512"/>
      <c r="Z10" s="512"/>
      <c r="AA10" s="512"/>
    </row>
    <row r="11" ht="22.5" hidden="1" customHeight="1">
      <c r="A11" s="529" t="s">
        <v>1004</v>
      </c>
      <c r="B11" s="529" t="s">
        <v>2336</v>
      </c>
      <c r="C11" s="529" t="s">
        <v>3194</v>
      </c>
      <c r="D11" s="534" t="s">
        <v>3195</v>
      </c>
      <c r="E11" s="530"/>
      <c r="F11" s="530" t="s">
        <v>3158</v>
      </c>
      <c r="G11" s="530" t="s">
        <v>3196</v>
      </c>
      <c r="H11" s="531" t="s">
        <v>3197</v>
      </c>
      <c r="I11" s="531">
        <v>4.4998001018E10</v>
      </c>
      <c r="J11" s="530" t="s">
        <v>3156</v>
      </c>
      <c r="K11" s="537"/>
      <c r="L11" s="512"/>
      <c r="M11" s="512"/>
      <c r="N11" s="512"/>
      <c r="O11" s="512"/>
      <c r="P11" s="512"/>
      <c r="Q11" s="512"/>
      <c r="R11" s="512"/>
      <c r="S11" s="512"/>
      <c r="T11" s="512"/>
      <c r="U11" s="512"/>
      <c r="V11" s="512"/>
      <c r="W11" s="512"/>
      <c r="X11" s="512"/>
      <c r="Y11" s="512"/>
      <c r="Z11" s="512"/>
      <c r="AA11" s="512"/>
    </row>
    <row r="12" ht="22.5" customHeight="1">
      <c r="A12" s="538" t="s">
        <v>913</v>
      </c>
      <c r="B12" s="538" t="s">
        <v>2454</v>
      </c>
      <c r="C12" s="538" t="s">
        <v>3198</v>
      </c>
      <c r="D12" s="539" t="s">
        <v>3109</v>
      </c>
      <c r="E12" s="540"/>
      <c r="F12" s="540" t="s">
        <v>3158</v>
      </c>
      <c r="G12" s="540" t="s">
        <v>3199</v>
      </c>
      <c r="H12" s="541" t="s">
        <v>3200</v>
      </c>
      <c r="I12" s="540">
        <v>4.1996333287E10</v>
      </c>
      <c r="J12" s="540" t="s">
        <v>3201</v>
      </c>
      <c r="K12" s="54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</row>
    <row r="13" ht="22.5" hidden="1" customHeight="1">
      <c r="A13" s="538" t="s">
        <v>1002</v>
      </c>
      <c r="B13" s="538" t="s">
        <v>2360</v>
      </c>
      <c r="C13" s="538" t="s">
        <v>3202</v>
      </c>
      <c r="D13" s="539" t="s">
        <v>3203</v>
      </c>
      <c r="E13" s="540"/>
      <c r="F13" s="540" t="s">
        <v>3163</v>
      </c>
      <c r="G13" s="540" t="s">
        <v>3204</v>
      </c>
      <c r="H13" s="541" t="s">
        <v>3205</v>
      </c>
      <c r="I13" s="540">
        <v>6.5996318724E10</v>
      </c>
      <c r="J13" s="540" t="s">
        <v>3156</v>
      </c>
      <c r="K13" s="542"/>
      <c r="L13" s="535"/>
      <c r="M13" s="535"/>
      <c r="N13" s="535"/>
      <c r="O13" s="535"/>
      <c r="P13" s="535"/>
      <c r="Q13" s="535"/>
      <c r="R13" s="535"/>
      <c r="S13" s="535"/>
      <c r="T13" s="535"/>
      <c r="U13" s="535"/>
      <c r="V13" s="535"/>
      <c r="W13" s="535"/>
      <c r="X13" s="535"/>
      <c r="Y13" s="535"/>
      <c r="Z13" s="535"/>
      <c r="AA13" s="535"/>
    </row>
    <row r="14" ht="22.5" hidden="1" customHeight="1">
      <c r="A14" s="538" t="s">
        <v>989</v>
      </c>
      <c r="B14" s="538" t="s">
        <v>2366</v>
      </c>
      <c r="C14" s="538" t="s">
        <v>3206</v>
      </c>
      <c r="D14" s="539" t="s">
        <v>3125</v>
      </c>
      <c r="E14" s="540"/>
      <c r="F14" s="540" t="s">
        <v>3158</v>
      </c>
      <c r="G14" s="540" t="s">
        <v>3207</v>
      </c>
      <c r="H14" s="541" t="s">
        <v>3208</v>
      </c>
      <c r="I14" s="540">
        <v>4.1999408564E10</v>
      </c>
      <c r="J14" s="540" t="s">
        <v>3156</v>
      </c>
      <c r="K14" s="542"/>
      <c r="L14" s="512"/>
      <c r="M14" s="512"/>
      <c r="N14" s="512"/>
      <c r="O14" s="512"/>
      <c r="P14" s="512"/>
      <c r="Q14" s="512"/>
      <c r="R14" s="512"/>
      <c r="S14" s="512"/>
      <c r="T14" s="512"/>
      <c r="U14" s="512"/>
      <c r="V14" s="512"/>
      <c r="W14" s="512"/>
      <c r="X14" s="512"/>
      <c r="Y14" s="512"/>
      <c r="Z14" s="512"/>
      <c r="AA14" s="512"/>
    </row>
    <row r="15" ht="22.5" hidden="1" customHeight="1">
      <c r="A15" s="538" t="s">
        <v>982</v>
      </c>
      <c r="B15" s="538" t="s">
        <v>2350</v>
      </c>
      <c r="C15" s="538" t="s">
        <v>3209</v>
      </c>
      <c r="D15" s="539" t="s">
        <v>3116</v>
      </c>
      <c r="E15" s="540"/>
      <c r="F15" s="540" t="s">
        <v>3158</v>
      </c>
      <c r="G15" s="540" t="s">
        <v>3210</v>
      </c>
      <c r="H15" s="541" t="s">
        <v>3211</v>
      </c>
      <c r="I15" s="540">
        <v>1.1933483975E10</v>
      </c>
      <c r="J15" s="540" t="s">
        <v>3156</v>
      </c>
      <c r="K15" s="542"/>
      <c r="L15" s="512"/>
      <c r="M15" s="512"/>
      <c r="N15" s="512"/>
      <c r="O15" s="512"/>
      <c r="P15" s="512"/>
      <c r="Q15" s="512"/>
      <c r="R15" s="512"/>
      <c r="S15" s="512"/>
      <c r="T15" s="512"/>
      <c r="U15" s="512"/>
      <c r="V15" s="512"/>
      <c r="W15" s="512"/>
      <c r="X15" s="512"/>
      <c r="Y15" s="512"/>
      <c r="Z15" s="512"/>
      <c r="AA15" s="512"/>
    </row>
    <row r="16" ht="22.5" hidden="1" customHeight="1">
      <c r="A16" s="538" t="s">
        <v>3212</v>
      </c>
      <c r="B16" s="538" t="s">
        <v>3213</v>
      </c>
      <c r="C16" s="538" t="s">
        <v>3214</v>
      </c>
      <c r="D16" s="539" t="s">
        <v>3215</v>
      </c>
      <c r="E16" s="540"/>
      <c r="F16" s="540" t="s">
        <v>3163</v>
      </c>
      <c r="G16" s="540" t="s">
        <v>3216</v>
      </c>
      <c r="H16" s="541" t="s">
        <v>3217</v>
      </c>
      <c r="I16" s="540">
        <v>4.499713048E10</v>
      </c>
      <c r="J16" s="540" t="s">
        <v>3156</v>
      </c>
      <c r="K16" s="542"/>
      <c r="L16" s="512"/>
      <c r="M16" s="512"/>
      <c r="N16" s="512"/>
      <c r="O16" s="512"/>
      <c r="P16" s="512"/>
      <c r="Q16" s="512"/>
      <c r="R16" s="512"/>
      <c r="S16" s="512"/>
      <c r="T16" s="512"/>
      <c r="U16" s="512"/>
      <c r="V16" s="512"/>
      <c r="W16" s="512"/>
      <c r="X16" s="512"/>
      <c r="Y16" s="512"/>
      <c r="Z16" s="512"/>
      <c r="AA16" s="512"/>
    </row>
    <row r="17" ht="22.5" hidden="1" customHeight="1">
      <c r="A17" s="538" t="s">
        <v>3218</v>
      </c>
      <c r="B17" s="538" t="s">
        <v>2688</v>
      </c>
      <c r="C17" s="538" t="s">
        <v>3219</v>
      </c>
      <c r="D17" s="543" t="s">
        <v>3220</v>
      </c>
      <c r="E17" s="540"/>
      <c r="F17" s="540" t="s">
        <v>3158</v>
      </c>
      <c r="G17" s="540"/>
      <c r="H17" s="541"/>
      <c r="I17" s="540"/>
      <c r="J17" s="540" t="s">
        <v>3156</v>
      </c>
      <c r="K17" s="542"/>
      <c r="L17" s="512"/>
      <c r="M17" s="512"/>
      <c r="N17" s="512"/>
      <c r="O17" s="512"/>
      <c r="P17" s="512"/>
      <c r="Q17" s="512"/>
      <c r="R17" s="512"/>
      <c r="S17" s="512"/>
      <c r="T17" s="512"/>
      <c r="U17" s="512"/>
      <c r="V17" s="512"/>
      <c r="W17" s="512"/>
      <c r="X17" s="512"/>
      <c r="Y17" s="512"/>
      <c r="Z17" s="512"/>
      <c r="AA17" s="512"/>
    </row>
    <row r="18" ht="22.5" hidden="1" customHeight="1">
      <c r="A18" s="538" t="s">
        <v>2356</v>
      </c>
      <c r="B18" s="538" t="s">
        <v>3221</v>
      </c>
      <c r="C18" s="538" t="s">
        <v>3222</v>
      </c>
      <c r="D18" s="539" t="s">
        <v>3223</v>
      </c>
      <c r="E18" s="540"/>
      <c r="F18" s="540"/>
      <c r="G18" s="540" t="s">
        <v>3224</v>
      </c>
      <c r="H18" s="541" t="s">
        <v>3225</v>
      </c>
      <c r="I18" s="540" t="s">
        <v>3226</v>
      </c>
      <c r="J18" s="540" t="s">
        <v>3156</v>
      </c>
      <c r="K18" s="542"/>
      <c r="L18" s="512"/>
      <c r="M18" s="512"/>
      <c r="N18" s="512"/>
      <c r="O18" s="512"/>
      <c r="P18" s="512"/>
      <c r="Q18" s="512"/>
      <c r="R18" s="512"/>
      <c r="S18" s="512"/>
      <c r="T18" s="512"/>
      <c r="U18" s="512"/>
      <c r="V18" s="512"/>
      <c r="W18" s="512"/>
      <c r="X18" s="512"/>
      <c r="Y18" s="512"/>
      <c r="Z18" s="512"/>
      <c r="AA18" s="512"/>
    </row>
    <row r="19" ht="22.5" hidden="1" customHeight="1">
      <c r="A19" s="538" t="s">
        <v>3227</v>
      </c>
      <c r="B19" s="538" t="s">
        <v>3228</v>
      </c>
      <c r="C19" s="538" t="s">
        <v>3229</v>
      </c>
      <c r="D19" s="539" t="s">
        <v>3134</v>
      </c>
      <c r="E19" s="540"/>
      <c r="F19" s="540"/>
      <c r="G19" s="540" t="s">
        <v>3230</v>
      </c>
      <c r="H19" s="541" t="s">
        <v>3231</v>
      </c>
      <c r="I19" s="541">
        <v>4.8999099089E10</v>
      </c>
      <c r="J19" s="540" t="s">
        <v>3156</v>
      </c>
      <c r="K19" s="542"/>
      <c r="L19" s="512"/>
      <c r="M19" s="512"/>
      <c r="N19" s="512"/>
      <c r="O19" s="512"/>
      <c r="P19" s="512"/>
      <c r="Q19" s="512"/>
      <c r="R19" s="512"/>
      <c r="S19" s="512"/>
      <c r="T19" s="512"/>
      <c r="U19" s="512"/>
      <c r="V19" s="512"/>
      <c r="W19" s="512"/>
      <c r="X19" s="512"/>
      <c r="Y19" s="512"/>
      <c r="Z19" s="512"/>
      <c r="AA19" s="512"/>
    </row>
    <row r="20" ht="22.5" hidden="1" customHeight="1">
      <c r="A20" s="544" t="s">
        <v>3232</v>
      </c>
      <c r="B20" s="544" t="s">
        <v>2639</v>
      </c>
      <c r="C20" s="544" t="s">
        <v>3229</v>
      </c>
      <c r="D20" s="545" t="s">
        <v>3134</v>
      </c>
      <c r="E20" s="546"/>
      <c r="F20" s="546" t="s">
        <v>3158</v>
      </c>
      <c r="G20" s="546" t="s">
        <v>3233</v>
      </c>
      <c r="H20" s="547" t="s">
        <v>3234</v>
      </c>
      <c r="I20" s="547">
        <v>4.4997509357E10</v>
      </c>
      <c r="J20" s="540" t="s">
        <v>3156</v>
      </c>
      <c r="K20" s="542"/>
      <c r="L20" s="548"/>
      <c r="M20" s="548"/>
      <c r="N20" s="548"/>
      <c r="O20" s="548"/>
      <c r="P20" s="548"/>
      <c r="Q20" s="548"/>
      <c r="R20" s="548"/>
      <c r="S20" s="548"/>
      <c r="T20" s="548"/>
      <c r="U20" s="548"/>
      <c r="V20" s="548"/>
      <c r="W20" s="548"/>
      <c r="X20" s="548"/>
      <c r="Y20" s="548"/>
      <c r="Z20" s="548"/>
      <c r="AA20" s="548"/>
    </row>
    <row r="21" ht="22.5" hidden="1" customHeight="1">
      <c r="A21" s="544" t="s">
        <v>1018</v>
      </c>
      <c r="B21" s="544" t="s">
        <v>2643</v>
      </c>
      <c r="C21" s="544" t="s">
        <v>3235</v>
      </c>
      <c r="D21" s="549" t="s">
        <v>3236</v>
      </c>
      <c r="E21" s="546"/>
      <c r="F21" s="546" t="s">
        <v>3158</v>
      </c>
      <c r="G21" s="546" t="s">
        <v>3237</v>
      </c>
      <c r="H21" s="547" t="s">
        <v>3238</v>
      </c>
      <c r="I21" s="547">
        <v>4.1998954454E10</v>
      </c>
      <c r="J21" s="540" t="s">
        <v>3156</v>
      </c>
      <c r="K21" s="542"/>
      <c r="L21" s="548"/>
      <c r="M21" s="548"/>
      <c r="N21" s="548"/>
      <c r="O21" s="548"/>
      <c r="P21" s="548"/>
      <c r="Q21" s="548"/>
      <c r="R21" s="548"/>
      <c r="S21" s="548"/>
      <c r="T21" s="548"/>
      <c r="U21" s="548"/>
      <c r="V21" s="548"/>
      <c r="W21" s="548"/>
      <c r="X21" s="548"/>
      <c r="Y21" s="548"/>
      <c r="Z21" s="548"/>
      <c r="AA21" s="548"/>
    </row>
    <row r="22" ht="22.5" hidden="1" customHeight="1">
      <c r="A22" s="544" t="s">
        <v>1029</v>
      </c>
      <c r="B22" s="550" t="s">
        <v>2429</v>
      </c>
      <c r="C22" s="544" t="s">
        <v>3239</v>
      </c>
      <c r="D22" s="539" t="s">
        <v>3112</v>
      </c>
      <c r="E22" s="546"/>
      <c r="F22" s="546" t="s">
        <v>3158</v>
      </c>
      <c r="G22" s="551" t="s">
        <v>3240</v>
      </c>
      <c r="H22" s="547" t="s">
        <v>3241</v>
      </c>
      <c r="I22" s="547">
        <v>4.1996632772E10</v>
      </c>
      <c r="J22" s="540" t="s">
        <v>3201</v>
      </c>
      <c r="K22" s="542"/>
      <c r="L22" s="552"/>
      <c r="M22" s="553"/>
      <c r="N22" s="553"/>
      <c r="O22" s="553"/>
      <c r="P22" s="553"/>
      <c r="Q22" s="553"/>
      <c r="R22" s="553"/>
      <c r="S22" s="553"/>
      <c r="T22" s="553"/>
      <c r="U22" s="553"/>
      <c r="V22" s="553"/>
      <c r="W22" s="553"/>
      <c r="X22" s="553"/>
      <c r="Y22" s="553"/>
      <c r="Z22" s="553"/>
      <c r="AA22" s="553"/>
    </row>
    <row r="23" ht="22.5" hidden="1" customHeight="1">
      <c r="A23" s="544" t="s">
        <v>3242</v>
      </c>
      <c r="B23" s="550" t="s">
        <v>3243</v>
      </c>
      <c r="C23" s="550" t="s">
        <v>3244</v>
      </c>
      <c r="D23" s="554" t="s">
        <v>3245</v>
      </c>
      <c r="E23" s="546"/>
      <c r="F23" s="546"/>
      <c r="G23" s="551" t="s">
        <v>3246</v>
      </c>
      <c r="H23" s="547" t="s">
        <v>3247</v>
      </c>
      <c r="I23" s="547">
        <v>4.1999214009E10</v>
      </c>
      <c r="J23" s="540" t="s">
        <v>3156</v>
      </c>
      <c r="K23" s="542"/>
      <c r="L23" s="555"/>
      <c r="M23" s="555"/>
      <c r="N23" s="555"/>
      <c r="O23" s="555"/>
      <c r="P23" s="555"/>
      <c r="Q23" s="555"/>
      <c r="R23" s="555"/>
      <c r="S23" s="555"/>
      <c r="T23" s="555"/>
      <c r="U23" s="555"/>
      <c r="V23" s="555"/>
      <c r="W23" s="555"/>
      <c r="X23" s="555"/>
      <c r="Y23" s="555"/>
      <c r="Z23" s="555"/>
      <c r="AA23" s="555"/>
    </row>
    <row r="24" ht="22.5" hidden="1" customHeight="1">
      <c r="A24" s="544" t="s">
        <v>3248</v>
      </c>
      <c r="B24" s="550" t="s">
        <v>2645</v>
      </c>
      <c r="C24" s="550" t="s">
        <v>3249</v>
      </c>
      <c r="D24" s="554" t="s">
        <v>3250</v>
      </c>
      <c r="E24" s="546"/>
      <c r="F24" s="546" t="s">
        <v>3158</v>
      </c>
      <c r="G24" s="551"/>
      <c r="H24" s="547"/>
      <c r="I24" s="541"/>
      <c r="J24" s="540" t="s">
        <v>3156</v>
      </c>
      <c r="K24" s="542"/>
      <c r="L24" s="553"/>
      <c r="M24" s="553"/>
      <c r="N24" s="553"/>
      <c r="O24" s="553"/>
      <c r="P24" s="553"/>
      <c r="Q24" s="553"/>
      <c r="R24" s="553"/>
      <c r="S24" s="553"/>
      <c r="T24" s="553"/>
      <c r="U24" s="553"/>
      <c r="V24" s="553"/>
      <c r="W24" s="553"/>
      <c r="X24" s="553"/>
      <c r="Y24" s="553"/>
      <c r="Z24" s="553"/>
      <c r="AA24" s="553"/>
    </row>
    <row r="25" ht="22.5" hidden="1" customHeight="1">
      <c r="A25" s="544" t="s">
        <v>3251</v>
      </c>
      <c r="B25" s="550" t="s">
        <v>3252</v>
      </c>
      <c r="C25" s="550" t="s">
        <v>3253</v>
      </c>
      <c r="D25" s="554" t="s">
        <v>3254</v>
      </c>
      <c r="E25" s="546"/>
      <c r="F25" s="546" t="s">
        <v>3255</v>
      </c>
      <c r="G25" s="551" t="s">
        <v>3256</v>
      </c>
      <c r="H25" s="547" t="s">
        <v>3257</v>
      </c>
      <c r="I25" s="541">
        <v>4.2988487091E10</v>
      </c>
      <c r="J25" s="540" t="s">
        <v>3156</v>
      </c>
      <c r="K25" s="542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55"/>
    </row>
    <row r="26" ht="22.5" hidden="1" customHeight="1">
      <c r="A26" s="544" t="s">
        <v>2726</v>
      </c>
      <c r="B26" s="550" t="s">
        <v>2381</v>
      </c>
      <c r="C26" s="550" t="s">
        <v>3206</v>
      </c>
      <c r="D26" s="554" t="s">
        <v>3125</v>
      </c>
      <c r="E26" s="546"/>
      <c r="F26" s="546" t="s">
        <v>3255</v>
      </c>
      <c r="G26" s="551" t="s">
        <v>3258</v>
      </c>
      <c r="H26" s="547" t="s">
        <v>3259</v>
      </c>
      <c r="I26" s="541">
        <v>4.3998259514E10</v>
      </c>
      <c r="J26" s="540" t="s">
        <v>3201</v>
      </c>
      <c r="K26" s="542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555"/>
      <c r="AA26" s="555"/>
    </row>
    <row r="27" ht="22.5" hidden="1" customHeight="1">
      <c r="A27" s="544" t="s">
        <v>1614</v>
      </c>
      <c r="B27" s="556" t="s">
        <v>2433</v>
      </c>
      <c r="C27" s="550" t="s">
        <v>3260</v>
      </c>
      <c r="D27" s="557" t="s">
        <v>3261</v>
      </c>
      <c r="E27" s="546"/>
      <c r="F27" s="546" t="s">
        <v>3255</v>
      </c>
      <c r="G27" s="546" t="s">
        <v>3262</v>
      </c>
      <c r="H27" s="547" t="s">
        <v>3263</v>
      </c>
      <c r="I27" s="547" t="s">
        <v>3264</v>
      </c>
      <c r="J27" s="546" t="s">
        <v>3265</v>
      </c>
      <c r="K27" s="542"/>
      <c r="L27" s="512"/>
      <c r="M27" s="512"/>
      <c r="N27" s="512"/>
      <c r="O27" s="512"/>
      <c r="P27" s="512"/>
      <c r="Q27" s="512"/>
      <c r="R27" s="512"/>
      <c r="S27" s="512"/>
      <c r="T27" s="512"/>
      <c r="U27" s="512"/>
      <c r="V27" s="512"/>
      <c r="W27" s="512"/>
      <c r="X27" s="512"/>
      <c r="Y27" s="512"/>
      <c r="Z27" s="512"/>
      <c r="AA27" s="512"/>
    </row>
    <row r="28" ht="22.5" hidden="1" customHeight="1">
      <c r="A28" s="544" t="s">
        <v>1187</v>
      </c>
      <c r="B28" s="556" t="s">
        <v>2427</v>
      </c>
      <c r="C28" s="550" t="s">
        <v>3266</v>
      </c>
      <c r="D28" s="557" t="s">
        <v>3127</v>
      </c>
      <c r="E28" s="546"/>
      <c r="F28" s="546" t="s">
        <v>3158</v>
      </c>
      <c r="G28" s="551" t="s">
        <v>3267</v>
      </c>
      <c r="H28" s="547" t="s">
        <v>3268</v>
      </c>
      <c r="I28" s="541">
        <v>4.1989043139E10</v>
      </c>
      <c r="J28" s="540" t="s">
        <v>3201</v>
      </c>
      <c r="K28" s="542"/>
      <c r="L28" s="512"/>
      <c r="M28" s="512"/>
      <c r="N28" s="512"/>
      <c r="O28" s="512"/>
      <c r="P28" s="512"/>
      <c r="Q28" s="512"/>
      <c r="R28" s="512"/>
      <c r="S28" s="512"/>
      <c r="T28" s="512"/>
      <c r="U28" s="512"/>
      <c r="V28" s="512"/>
      <c r="W28" s="512"/>
      <c r="X28" s="512"/>
      <c r="Y28" s="512"/>
      <c r="Z28" s="512"/>
      <c r="AA28" s="512"/>
    </row>
    <row r="29" ht="22.5" customHeight="1">
      <c r="A29" s="544" t="s">
        <v>1225</v>
      </c>
      <c r="B29" s="556" t="s">
        <v>1974</v>
      </c>
      <c r="C29" s="550" t="s">
        <v>3157</v>
      </c>
      <c r="D29" s="557" t="s">
        <v>3120</v>
      </c>
      <c r="E29" s="546"/>
      <c r="F29" s="546" t="s">
        <v>3158</v>
      </c>
      <c r="G29" s="551" t="s">
        <v>3269</v>
      </c>
      <c r="H29" s="547"/>
      <c r="I29" s="541"/>
      <c r="J29" s="540" t="s">
        <v>3270</v>
      </c>
      <c r="K29" s="542"/>
      <c r="L29" s="512"/>
      <c r="M29" s="512"/>
      <c r="N29" s="512"/>
      <c r="O29" s="512"/>
      <c r="P29" s="512"/>
      <c r="Q29" s="512"/>
      <c r="R29" s="512"/>
      <c r="S29" s="512"/>
      <c r="T29" s="512"/>
      <c r="U29" s="512"/>
      <c r="V29" s="512"/>
      <c r="W29" s="512"/>
      <c r="X29" s="512"/>
      <c r="Y29" s="512"/>
      <c r="Z29" s="512"/>
      <c r="AA29" s="512"/>
    </row>
    <row r="30" ht="22.5" customHeight="1">
      <c r="A30" s="544" t="s">
        <v>1286</v>
      </c>
      <c r="B30" s="556" t="s">
        <v>1883</v>
      </c>
      <c r="C30" s="550" t="s">
        <v>3209</v>
      </c>
      <c r="D30" s="557" t="s">
        <v>3116</v>
      </c>
      <c r="E30" s="546"/>
      <c r="F30" s="546" t="s">
        <v>3158</v>
      </c>
      <c r="G30" s="551" t="s">
        <v>3271</v>
      </c>
      <c r="H30" s="547" t="s">
        <v>3272</v>
      </c>
      <c r="I30" s="541">
        <v>4.1987369776E10</v>
      </c>
      <c r="J30" s="540" t="s">
        <v>3270</v>
      </c>
      <c r="K30" s="54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Z30" s="512"/>
      <c r="AA30" s="512"/>
    </row>
    <row r="31" ht="22.5" hidden="1" customHeight="1">
      <c r="A31" s="544" t="s">
        <v>1519</v>
      </c>
      <c r="B31" s="556" t="s">
        <v>2740</v>
      </c>
      <c r="C31" s="550" t="s">
        <v>3209</v>
      </c>
      <c r="D31" s="557" t="s">
        <v>3273</v>
      </c>
      <c r="E31" s="546"/>
      <c r="F31" s="546" t="s">
        <v>3158</v>
      </c>
      <c r="G31" s="551" t="s">
        <v>3274</v>
      </c>
      <c r="H31" s="547" t="s">
        <v>3275</v>
      </c>
      <c r="I31" s="541">
        <v>4.6999376658E10</v>
      </c>
      <c r="J31" s="540" t="s">
        <v>3201</v>
      </c>
      <c r="K31" s="542"/>
      <c r="L31" s="512"/>
      <c r="M31" s="512"/>
      <c r="N31" s="512"/>
      <c r="O31" s="512"/>
      <c r="P31" s="512"/>
      <c r="Q31" s="512"/>
      <c r="R31" s="512"/>
      <c r="S31" s="512"/>
      <c r="T31" s="512"/>
      <c r="U31" s="512"/>
      <c r="V31" s="512"/>
      <c r="W31" s="512"/>
      <c r="X31" s="512"/>
      <c r="Y31" s="512"/>
      <c r="Z31" s="512"/>
      <c r="AA31" s="512"/>
    </row>
    <row r="32" ht="22.5" hidden="1" customHeight="1">
      <c r="A32" s="544" t="s">
        <v>2763</v>
      </c>
      <c r="B32" s="556" t="s">
        <v>2764</v>
      </c>
      <c r="C32" s="550" t="s">
        <v>3222</v>
      </c>
      <c r="D32" s="557" t="s">
        <v>3223</v>
      </c>
      <c r="E32" s="546"/>
      <c r="F32" s="546"/>
      <c r="G32" s="551" t="s">
        <v>3276</v>
      </c>
      <c r="H32" s="547" t="s">
        <v>3277</v>
      </c>
      <c r="I32" s="541" t="s">
        <v>3278</v>
      </c>
      <c r="J32" s="540" t="s">
        <v>3156</v>
      </c>
      <c r="K32" s="542"/>
      <c r="L32" s="512"/>
      <c r="M32" s="512"/>
      <c r="N32" s="512"/>
      <c r="O32" s="512"/>
      <c r="P32" s="512"/>
      <c r="Q32" s="512"/>
      <c r="R32" s="512"/>
      <c r="S32" s="512"/>
      <c r="T32" s="512"/>
      <c r="U32" s="512"/>
      <c r="V32" s="512"/>
      <c r="W32" s="512"/>
      <c r="X32" s="512"/>
      <c r="Y32" s="512"/>
      <c r="Z32" s="512"/>
      <c r="AA32" s="512"/>
    </row>
    <row r="33" ht="22.5" hidden="1" customHeight="1">
      <c r="A33" s="544" t="s">
        <v>1768</v>
      </c>
      <c r="B33" s="556" t="s">
        <v>2758</v>
      </c>
      <c r="C33" s="550" t="s">
        <v>3279</v>
      </c>
      <c r="D33" s="557" t="s">
        <v>3280</v>
      </c>
      <c r="E33" s="546"/>
      <c r="F33" s="546"/>
      <c r="G33" s="551" t="s">
        <v>3281</v>
      </c>
      <c r="H33" s="547" t="s">
        <v>3282</v>
      </c>
      <c r="I33" s="541" t="s">
        <v>3283</v>
      </c>
      <c r="J33" s="540" t="s">
        <v>3265</v>
      </c>
      <c r="K33" s="542"/>
      <c r="L33" s="512"/>
      <c r="M33" s="512"/>
      <c r="N33" s="512"/>
      <c r="O33" s="512"/>
      <c r="P33" s="512"/>
      <c r="Q33" s="512"/>
      <c r="R33" s="512"/>
      <c r="S33" s="512"/>
      <c r="T33" s="512"/>
      <c r="U33" s="512"/>
      <c r="V33" s="512"/>
      <c r="W33" s="512"/>
      <c r="X33" s="512"/>
      <c r="Y33" s="512"/>
      <c r="Z33" s="512"/>
      <c r="AA33" s="512"/>
    </row>
    <row r="34" ht="22.5" hidden="1" customHeight="1">
      <c r="A34" s="544" t="s">
        <v>3284</v>
      </c>
      <c r="B34" s="556" t="s">
        <v>3285</v>
      </c>
      <c r="C34" s="550" t="s">
        <v>3249</v>
      </c>
      <c r="D34" s="557" t="s">
        <v>3250</v>
      </c>
      <c r="E34" s="546"/>
      <c r="F34" s="546" t="s">
        <v>3158</v>
      </c>
      <c r="G34" s="551" t="s">
        <v>3286</v>
      </c>
      <c r="H34" s="547" t="s">
        <v>3287</v>
      </c>
      <c r="I34" s="541" t="s">
        <v>3288</v>
      </c>
      <c r="J34" s="540" t="s">
        <v>3156</v>
      </c>
      <c r="K34" s="542"/>
      <c r="L34" s="512"/>
      <c r="M34" s="512"/>
      <c r="N34" s="512"/>
      <c r="O34" s="512"/>
      <c r="P34" s="512"/>
      <c r="Q34" s="512"/>
      <c r="R34" s="512"/>
      <c r="S34" s="512"/>
      <c r="T34" s="512"/>
      <c r="U34" s="512"/>
      <c r="V34" s="512"/>
      <c r="W34" s="512"/>
      <c r="X34" s="512"/>
      <c r="Y34" s="512"/>
      <c r="Z34" s="512"/>
      <c r="AA34" s="512"/>
    </row>
    <row r="35" ht="22.5" hidden="1" customHeight="1">
      <c r="A35" s="544" t="s">
        <v>1727</v>
      </c>
      <c r="B35" s="556" t="s">
        <v>2439</v>
      </c>
      <c r="C35" s="550" t="s">
        <v>3266</v>
      </c>
      <c r="D35" s="557" t="s">
        <v>3127</v>
      </c>
      <c r="E35" s="546"/>
      <c r="F35" s="546" t="s">
        <v>3289</v>
      </c>
      <c r="G35" s="551" t="s">
        <v>3290</v>
      </c>
      <c r="H35" s="547" t="s">
        <v>3291</v>
      </c>
      <c r="I35" s="541">
        <v>4.1988491623E10</v>
      </c>
      <c r="J35" s="540" t="s">
        <v>3265</v>
      </c>
      <c r="K35" s="542"/>
      <c r="L35" s="512"/>
      <c r="M35" s="512"/>
      <c r="N35" s="512"/>
      <c r="O35" s="512"/>
      <c r="P35" s="512"/>
      <c r="Q35" s="512"/>
      <c r="R35" s="512"/>
      <c r="S35" s="512"/>
      <c r="T35" s="512"/>
      <c r="U35" s="512"/>
      <c r="V35" s="512"/>
      <c r="W35" s="512"/>
      <c r="X35" s="512"/>
      <c r="Y35" s="512"/>
      <c r="Z35" s="512"/>
      <c r="AA35" s="512"/>
    </row>
    <row r="36" ht="22.5" customHeight="1">
      <c r="A36" s="544" t="s">
        <v>2411</v>
      </c>
      <c r="B36" s="556" t="s">
        <v>1860</v>
      </c>
      <c r="C36" s="550" t="s">
        <v>3292</v>
      </c>
      <c r="D36" s="557" t="s">
        <v>3122</v>
      </c>
      <c r="E36" s="546"/>
      <c r="F36" s="546" t="s">
        <v>3289</v>
      </c>
      <c r="G36" s="551" t="s">
        <v>3293</v>
      </c>
      <c r="H36" s="547" t="s">
        <v>3294</v>
      </c>
      <c r="I36" s="541" t="s">
        <v>3295</v>
      </c>
      <c r="J36" s="540" t="s">
        <v>3201</v>
      </c>
      <c r="K36" s="542"/>
      <c r="L36" s="512"/>
      <c r="M36" s="512"/>
      <c r="N36" s="512"/>
      <c r="O36" s="512"/>
      <c r="P36" s="512"/>
      <c r="Q36" s="512"/>
      <c r="R36" s="512"/>
      <c r="S36" s="512"/>
      <c r="T36" s="512"/>
      <c r="U36" s="512"/>
      <c r="V36" s="512"/>
      <c r="W36" s="512"/>
      <c r="X36" s="512"/>
      <c r="Y36" s="512"/>
      <c r="Z36" s="512"/>
      <c r="AA36" s="512"/>
    </row>
    <row r="37" ht="22.5" customHeight="1">
      <c r="A37" s="544" t="s">
        <v>1811</v>
      </c>
      <c r="B37" s="556" t="s">
        <v>3124</v>
      </c>
      <c r="C37" s="550" t="s">
        <v>3206</v>
      </c>
      <c r="D37" s="554" t="s">
        <v>3125</v>
      </c>
      <c r="E37" s="546"/>
      <c r="F37" s="546" t="s">
        <v>3289</v>
      </c>
      <c r="G37" s="551" t="s">
        <v>3296</v>
      </c>
      <c r="H37" s="547" t="s">
        <v>3297</v>
      </c>
      <c r="I37" s="541" t="s">
        <v>3298</v>
      </c>
      <c r="J37" s="540" t="s">
        <v>3156</v>
      </c>
      <c r="K37" s="542"/>
      <c r="L37" s="512"/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12"/>
      <c r="X37" s="512"/>
      <c r="Y37" s="512"/>
      <c r="Z37" s="512"/>
      <c r="AA37" s="512"/>
    </row>
    <row r="38" ht="22.5" customHeight="1">
      <c r="A38" s="544" t="s">
        <v>1842</v>
      </c>
      <c r="B38" s="556" t="s">
        <v>2466</v>
      </c>
      <c r="C38" s="550" t="s">
        <v>3266</v>
      </c>
      <c r="D38" s="554" t="s">
        <v>3127</v>
      </c>
      <c r="E38" s="546"/>
      <c r="F38" s="546" t="s">
        <v>3289</v>
      </c>
      <c r="G38" s="551" t="s">
        <v>3299</v>
      </c>
      <c r="H38" s="547" t="s">
        <v>3300</v>
      </c>
      <c r="I38" s="541" t="s">
        <v>3301</v>
      </c>
      <c r="J38" s="540" t="s">
        <v>3265</v>
      </c>
      <c r="K38" s="542"/>
      <c r="L38" s="512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12"/>
      <c r="X38" s="512"/>
      <c r="Y38" s="512"/>
      <c r="Z38" s="512"/>
      <c r="AA38" s="512"/>
    </row>
    <row r="39" ht="22.5" customHeight="1">
      <c r="A39" s="544" t="s">
        <v>3132</v>
      </c>
      <c r="B39" s="556" t="s">
        <v>3133</v>
      </c>
      <c r="C39" s="550" t="s">
        <v>3229</v>
      </c>
      <c r="D39" s="554" t="s">
        <v>3134</v>
      </c>
      <c r="E39" s="546"/>
      <c r="F39" s="546" t="s">
        <v>3289</v>
      </c>
      <c r="G39" s="551" t="s">
        <v>3302</v>
      </c>
      <c r="H39" s="547" t="s">
        <v>3303</v>
      </c>
      <c r="I39" s="541" t="s">
        <v>3304</v>
      </c>
      <c r="J39" s="540" t="s">
        <v>3156</v>
      </c>
      <c r="K39" s="542"/>
      <c r="L39" s="512"/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12"/>
      <c r="X39" s="512"/>
      <c r="Y39" s="512"/>
      <c r="Z39" s="512"/>
      <c r="AA39" s="512"/>
    </row>
    <row r="40" ht="22.5" customHeight="1">
      <c r="A40" s="544" t="s">
        <v>3137</v>
      </c>
      <c r="B40" s="556" t="s">
        <v>2462</v>
      </c>
      <c r="C40" s="550" t="s">
        <v>3305</v>
      </c>
      <c r="D40" s="554" t="s">
        <v>3138</v>
      </c>
      <c r="E40" s="546"/>
      <c r="F40" s="546" t="s">
        <v>3289</v>
      </c>
      <c r="G40" s="551" t="s">
        <v>3306</v>
      </c>
      <c r="H40" s="547" t="s">
        <v>3307</v>
      </c>
      <c r="I40" s="541" t="s">
        <v>3308</v>
      </c>
      <c r="J40" s="540" t="s">
        <v>3201</v>
      </c>
      <c r="K40" s="542"/>
      <c r="L40" s="512"/>
      <c r="M40" s="512"/>
      <c r="N40" s="512"/>
      <c r="O40" s="512"/>
      <c r="P40" s="512"/>
      <c r="Q40" s="512"/>
      <c r="R40" s="512"/>
      <c r="S40" s="512"/>
      <c r="T40" s="512"/>
      <c r="U40" s="512"/>
      <c r="V40" s="512"/>
      <c r="W40" s="512"/>
      <c r="X40" s="512"/>
      <c r="Y40" s="512"/>
      <c r="Z40" s="512"/>
      <c r="AA40" s="512"/>
    </row>
    <row r="41">
      <c r="A41" s="512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2"/>
      <c r="U41" s="512"/>
      <c r="V41" s="512"/>
      <c r="W41" s="512"/>
      <c r="X41" s="512"/>
      <c r="Y41" s="512"/>
      <c r="Z41" s="512"/>
      <c r="AA41" s="512"/>
    </row>
    <row r="42">
      <c r="A42" s="512"/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2"/>
      <c r="T42" s="512"/>
      <c r="U42" s="512"/>
      <c r="V42" s="512"/>
      <c r="W42" s="512"/>
      <c r="X42" s="512"/>
      <c r="Y42" s="512"/>
      <c r="Z42" s="512"/>
      <c r="AA42" s="512"/>
    </row>
    <row r="43">
      <c r="A43" s="512"/>
      <c r="B43" s="512"/>
      <c r="C43" s="512"/>
      <c r="D43" s="512"/>
      <c r="E43" s="512"/>
      <c r="F43" s="512"/>
      <c r="G43" s="512"/>
      <c r="H43" s="512"/>
      <c r="I43" s="512"/>
      <c r="J43" s="512"/>
      <c r="K43" s="512"/>
      <c r="L43" s="512"/>
      <c r="M43" s="512"/>
      <c r="N43" s="512"/>
      <c r="O43" s="512"/>
      <c r="P43" s="512"/>
      <c r="Q43" s="512"/>
      <c r="R43" s="512"/>
      <c r="S43" s="512"/>
      <c r="T43" s="512"/>
      <c r="U43" s="512"/>
      <c r="V43" s="512"/>
      <c r="W43" s="512"/>
      <c r="X43" s="512"/>
      <c r="Y43" s="512"/>
      <c r="Z43" s="512"/>
      <c r="AA43" s="512"/>
    </row>
    <row r="44">
      <c r="A44" s="512"/>
      <c r="B44" s="512"/>
      <c r="C44" s="512"/>
      <c r="D44" s="512"/>
      <c r="E44" s="512"/>
      <c r="F44" s="512"/>
      <c r="G44" s="512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12"/>
      <c r="X44" s="512"/>
      <c r="Y44" s="512"/>
      <c r="Z44" s="512"/>
      <c r="AA44" s="512"/>
    </row>
    <row r="45">
      <c r="A45" s="512"/>
      <c r="B45" s="512"/>
      <c r="C45" s="512"/>
      <c r="D45" s="512"/>
      <c r="E45" s="512"/>
      <c r="F45" s="512"/>
      <c r="G45" s="512"/>
      <c r="H45" s="512"/>
      <c r="I45" s="512"/>
      <c r="J45" s="512"/>
      <c r="K45" s="512"/>
      <c r="L45" s="512"/>
      <c r="M45" s="512"/>
      <c r="N45" s="512"/>
      <c r="O45" s="512"/>
      <c r="P45" s="512"/>
      <c r="Q45" s="512"/>
      <c r="R45" s="512"/>
      <c r="S45" s="512"/>
      <c r="T45" s="512"/>
      <c r="U45" s="512"/>
      <c r="V45" s="512"/>
      <c r="W45" s="512"/>
      <c r="X45" s="512"/>
      <c r="Y45" s="512"/>
      <c r="Z45" s="512"/>
      <c r="AA45" s="512"/>
    </row>
    <row r="46">
      <c r="A46" s="512"/>
      <c r="B46" s="512"/>
      <c r="C46" s="512"/>
      <c r="D46" s="512"/>
      <c r="E46" s="512"/>
      <c r="F46" s="512"/>
      <c r="G46" s="512"/>
      <c r="H46" s="512"/>
      <c r="I46" s="512"/>
      <c r="J46" s="512"/>
      <c r="K46" s="512"/>
      <c r="L46" s="512"/>
      <c r="M46" s="512"/>
      <c r="N46" s="512"/>
      <c r="O46" s="512"/>
      <c r="P46" s="512"/>
      <c r="Q46" s="512"/>
      <c r="R46" s="512"/>
      <c r="S46" s="512"/>
      <c r="T46" s="512"/>
      <c r="U46" s="512"/>
      <c r="V46" s="512"/>
      <c r="W46" s="512"/>
      <c r="X46" s="512"/>
      <c r="Y46" s="512"/>
      <c r="Z46" s="512"/>
      <c r="AA46" s="512"/>
    </row>
    <row r="47">
      <c r="A47" s="512"/>
      <c r="B47" s="512"/>
      <c r="C47" s="512"/>
      <c r="D47" s="512"/>
      <c r="E47" s="512"/>
      <c r="F47" s="512"/>
      <c r="G47" s="512"/>
      <c r="H47" s="512"/>
      <c r="I47" s="512"/>
      <c r="J47" s="512"/>
      <c r="K47" s="512"/>
      <c r="L47" s="512"/>
      <c r="M47" s="512"/>
      <c r="N47" s="512"/>
      <c r="O47" s="512"/>
      <c r="P47" s="512"/>
      <c r="Q47" s="512"/>
      <c r="R47" s="512"/>
      <c r="S47" s="512"/>
      <c r="T47" s="512"/>
      <c r="U47" s="512"/>
      <c r="V47" s="512"/>
      <c r="W47" s="512"/>
      <c r="X47" s="512"/>
      <c r="Y47" s="512"/>
      <c r="Z47" s="512"/>
      <c r="AA47" s="512"/>
    </row>
    <row r="48">
      <c r="A48" s="512"/>
      <c r="B48" s="512"/>
      <c r="C48" s="512"/>
      <c r="D48" s="512"/>
      <c r="E48" s="512"/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512"/>
      <c r="Q48" s="512"/>
      <c r="R48" s="512"/>
      <c r="S48" s="512"/>
      <c r="T48" s="512"/>
      <c r="U48" s="512"/>
      <c r="V48" s="512"/>
      <c r="W48" s="512"/>
      <c r="X48" s="512"/>
      <c r="Y48" s="512"/>
      <c r="Z48" s="512"/>
      <c r="AA48" s="512"/>
    </row>
    <row r="49">
      <c r="A49" s="512"/>
      <c r="B49" s="512"/>
      <c r="C49" s="512"/>
      <c r="D49" s="512"/>
      <c r="E49" s="512"/>
      <c r="F49" s="512"/>
      <c r="G49" s="512"/>
      <c r="H49" s="512"/>
      <c r="I49" s="512"/>
      <c r="J49" s="512"/>
      <c r="K49" s="512"/>
      <c r="L49" s="512"/>
      <c r="M49" s="512"/>
      <c r="N49" s="512"/>
      <c r="O49" s="512"/>
      <c r="P49" s="512"/>
      <c r="Q49" s="512"/>
      <c r="R49" s="512"/>
      <c r="S49" s="512"/>
      <c r="T49" s="512"/>
      <c r="U49" s="512"/>
      <c r="V49" s="512"/>
      <c r="W49" s="512"/>
      <c r="X49" s="512"/>
      <c r="Y49" s="512"/>
      <c r="Z49" s="512"/>
      <c r="AA49" s="512"/>
    </row>
    <row r="50">
      <c r="A50" s="512"/>
      <c r="B50" s="512"/>
      <c r="C50" s="512"/>
      <c r="D50" s="512"/>
      <c r="E50" s="512"/>
      <c r="F50" s="512"/>
      <c r="G50" s="512"/>
      <c r="H50" s="512"/>
      <c r="I50" s="512"/>
      <c r="J50" s="512"/>
      <c r="K50" s="512"/>
      <c r="L50" s="512"/>
      <c r="M50" s="512"/>
      <c r="N50" s="512"/>
      <c r="O50" s="512"/>
      <c r="P50" s="512"/>
      <c r="Q50" s="512"/>
      <c r="R50" s="512"/>
      <c r="S50" s="512"/>
      <c r="T50" s="512"/>
      <c r="U50" s="512"/>
      <c r="V50" s="512"/>
      <c r="W50" s="512"/>
      <c r="X50" s="512"/>
      <c r="Y50" s="512"/>
      <c r="Z50" s="512"/>
      <c r="AA50" s="512"/>
    </row>
    <row r="51">
      <c r="A51" s="512"/>
      <c r="B51" s="512"/>
      <c r="C51" s="512"/>
      <c r="D51" s="512"/>
      <c r="E51" s="512"/>
      <c r="F51" s="512"/>
      <c r="G51" s="512"/>
      <c r="H51" s="512"/>
      <c r="I51" s="512"/>
      <c r="J51" s="512"/>
      <c r="K51" s="512"/>
      <c r="L51" s="512"/>
      <c r="M51" s="512"/>
      <c r="N51" s="512"/>
      <c r="O51" s="512"/>
      <c r="P51" s="512"/>
      <c r="Q51" s="512"/>
      <c r="R51" s="512"/>
      <c r="S51" s="512"/>
      <c r="T51" s="512"/>
      <c r="U51" s="512"/>
      <c r="V51" s="512"/>
      <c r="W51" s="512"/>
      <c r="X51" s="512"/>
      <c r="Y51" s="512"/>
      <c r="Z51" s="512"/>
      <c r="AA51" s="512"/>
    </row>
    <row r="52">
      <c r="A52" s="512"/>
      <c r="B52" s="512"/>
      <c r="C52" s="512"/>
      <c r="D52" s="512"/>
      <c r="E52" s="512"/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  <c r="Q52" s="512"/>
      <c r="R52" s="512"/>
      <c r="S52" s="512"/>
      <c r="T52" s="512"/>
      <c r="U52" s="512"/>
      <c r="V52" s="512"/>
      <c r="W52" s="512"/>
      <c r="X52" s="512"/>
      <c r="Y52" s="512"/>
      <c r="Z52" s="512"/>
      <c r="AA52" s="512"/>
    </row>
    <row r="53">
      <c r="A53" s="512"/>
      <c r="B53" s="512"/>
      <c r="C53" s="512"/>
      <c r="D53" s="512"/>
      <c r="E53" s="512"/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512"/>
      <c r="Q53" s="512"/>
      <c r="R53" s="512"/>
      <c r="S53" s="512"/>
      <c r="T53" s="512"/>
      <c r="U53" s="512"/>
      <c r="V53" s="512"/>
      <c r="W53" s="512"/>
      <c r="X53" s="512"/>
      <c r="Y53" s="512"/>
      <c r="Z53" s="512"/>
      <c r="AA53" s="512"/>
    </row>
    <row r="54">
      <c r="A54" s="512"/>
      <c r="B54" s="512"/>
      <c r="C54" s="512"/>
      <c r="D54" s="512"/>
      <c r="E54" s="512"/>
      <c r="F54" s="512"/>
      <c r="G54" s="512"/>
      <c r="H54" s="512"/>
      <c r="I54" s="512"/>
      <c r="J54" s="512"/>
      <c r="K54" s="512"/>
      <c r="L54" s="512"/>
      <c r="M54" s="512"/>
      <c r="N54" s="512"/>
      <c r="O54" s="512"/>
      <c r="P54" s="512"/>
      <c r="Q54" s="512"/>
      <c r="R54" s="512"/>
      <c r="S54" s="512"/>
      <c r="T54" s="512"/>
      <c r="U54" s="512"/>
      <c r="V54" s="512"/>
      <c r="W54" s="512"/>
      <c r="X54" s="512"/>
      <c r="Y54" s="512"/>
      <c r="Z54" s="512"/>
      <c r="AA54" s="512"/>
    </row>
    <row r="55">
      <c r="A55" s="512"/>
      <c r="B55" s="512"/>
      <c r="C55" s="512"/>
      <c r="D55" s="512"/>
      <c r="E55" s="512"/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512"/>
      <c r="Q55" s="512"/>
      <c r="R55" s="512"/>
      <c r="S55" s="512"/>
      <c r="T55" s="512"/>
      <c r="U55" s="512"/>
      <c r="V55" s="512"/>
      <c r="W55" s="512"/>
      <c r="X55" s="512"/>
      <c r="Y55" s="512"/>
      <c r="Z55" s="512"/>
      <c r="AA55" s="512"/>
    </row>
    <row r="56">
      <c r="A56" s="512"/>
      <c r="B56" s="512"/>
      <c r="C56" s="512"/>
      <c r="D56" s="512"/>
      <c r="E56" s="512"/>
      <c r="F56" s="512"/>
      <c r="G56" s="512"/>
      <c r="H56" s="512"/>
      <c r="I56" s="512"/>
      <c r="J56" s="512"/>
      <c r="K56" s="512"/>
      <c r="L56" s="512"/>
      <c r="M56" s="512"/>
      <c r="N56" s="512"/>
      <c r="O56" s="512"/>
      <c r="P56" s="512"/>
      <c r="Q56" s="512"/>
      <c r="R56" s="512"/>
      <c r="S56" s="512"/>
      <c r="T56" s="512"/>
      <c r="U56" s="512"/>
      <c r="V56" s="512"/>
      <c r="W56" s="512"/>
      <c r="X56" s="512"/>
      <c r="Y56" s="512"/>
      <c r="Z56" s="512"/>
      <c r="AA56" s="512"/>
    </row>
    <row r="57">
      <c r="A57" s="512"/>
      <c r="B57" s="512"/>
      <c r="C57" s="512"/>
      <c r="D57" s="512"/>
      <c r="E57" s="512"/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2"/>
      <c r="S57" s="512"/>
      <c r="T57" s="512"/>
      <c r="U57" s="512"/>
      <c r="V57" s="512"/>
      <c r="W57" s="512"/>
      <c r="X57" s="512"/>
      <c r="Y57" s="512"/>
      <c r="Z57" s="512"/>
      <c r="AA57" s="512"/>
    </row>
    <row r="58">
      <c r="A58" s="512"/>
      <c r="B58" s="512"/>
      <c r="C58" s="512"/>
      <c r="D58" s="512"/>
      <c r="E58" s="512"/>
      <c r="F58" s="512"/>
      <c r="G58" s="512"/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  <c r="Z58" s="512"/>
      <c r="AA58" s="512"/>
    </row>
    <row r="59">
      <c r="A59" s="512"/>
      <c r="B59" s="512"/>
      <c r="C59" s="512"/>
      <c r="D59" s="512"/>
      <c r="E59" s="512"/>
      <c r="F59" s="512"/>
      <c r="G59" s="512"/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2"/>
    </row>
    <row r="60">
      <c r="A60" s="512"/>
      <c r="B60" s="512"/>
      <c r="C60" s="512"/>
      <c r="D60" s="512"/>
      <c r="E60" s="512"/>
      <c r="F60" s="512"/>
      <c r="G60" s="512"/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  <c r="Z60" s="512"/>
      <c r="AA60" s="512"/>
    </row>
    <row r="61">
      <c r="A61" s="512"/>
      <c r="B61" s="512"/>
      <c r="C61" s="512"/>
      <c r="D61" s="512"/>
      <c r="E61" s="512"/>
      <c r="F61" s="512"/>
      <c r="G61" s="512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2"/>
    </row>
    <row r="62">
      <c r="A62" s="512"/>
      <c r="B62" s="512"/>
      <c r="C62" s="512"/>
      <c r="D62" s="512"/>
      <c r="E62" s="512"/>
      <c r="F62" s="512"/>
      <c r="G62" s="512"/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  <c r="Z62" s="512"/>
      <c r="AA62" s="512"/>
    </row>
    <row r="63">
      <c r="A63" s="512"/>
      <c r="B63" s="512"/>
      <c r="C63" s="512"/>
      <c r="D63" s="512"/>
      <c r="E63" s="512"/>
      <c r="F63" s="512"/>
      <c r="G63" s="512"/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  <c r="Z63" s="512"/>
      <c r="AA63" s="512"/>
    </row>
    <row r="64">
      <c r="A64" s="512"/>
      <c r="B64" s="512"/>
      <c r="C64" s="512"/>
      <c r="D64" s="512"/>
      <c r="E64" s="512"/>
      <c r="F64" s="512"/>
      <c r="G64" s="512"/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2"/>
    </row>
    <row r="65">
      <c r="A65" s="512"/>
      <c r="B65" s="512"/>
      <c r="C65" s="512"/>
      <c r="D65" s="512"/>
      <c r="E65" s="512"/>
      <c r="F65" s="512"/>
      <c r="G65" s="512"/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  <c r="Z65" s="512"/>
      <c r="AA65" s="512"/>
    </row>
    <row r="66">
      <c r="A66" s="512"/>
      <c r="B66" s="512"/>
      <c r="C66" s="512"/>
      <c r="D66" s="512"/>
      <c r="E66" s="512"/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2"/>
    </row>
    <row r="67">
      <c r="A67" s="512"/>
      <c r="B67" s="512"/>
      <c r="C67" s="512"/>
      <c r="D67" s="512"/>
      <c r="E67" s="512"/>
      <c r="F67" s="512"/>
      <c r="G67" s="512"/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2"/>
    </row>
    <row r="68">
      <c r="A68" s="512"/>
      <c r="B68" s="512"/>
      <c r="C68" s="512"/>
      <c r="D68" s="512"/>
      <c r="E68" s="512"/>
      <c r="F68" s="512"/>
      <c r="G68" s="512"/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  <c r="Z68" s="512"/>
      <c r="AA68" s="512"/>
    </row>
    <row r="69">
      <c r="A69" s="512"/>
      <c r="B69" s="512"/>
      <c r="C69" s="512"/>
      <c r="D69" s="512"/>
      <c r="E69" s="512"/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2"/>
    </row>
    <row r="70">
      <c r="A70" s="512"/>
      <c r="B70" s="512"/>
      <c r="C70" s="512"/>
      <c r="D70" s="512"/>
      <c r="E70" s="512"/>
      <c r="F70" s="512"/>
      <c r="G70" s="512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2"/>
    </row>
    <row r="71">
      <c r="A71" s="512"/>
      <c r="B71" s="512"/>
      <c r="C71" s="512"/>
      <c r="D71" s="512"/>
      <c r="E71" s="512"/>
      <c r="F71" s="512"/>
      <c r="G71" s="512"/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  <c r="Z71" s="512"/>
      <c r="AA71" s="512"/>
    </row>
    <row r="72">
      <c r="A72" s="512"/>
      <c r="B72" s="512"/>
      <c r="C72" s="512"/>
      <c r="D72" s="512"/>
      <c r="E72" s="512"/>
      <c r="F72" s="512"/>
      <c r="G72" s="512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  <c r="Z72" s="512"/>
      <c r="AA72" s="512"/>
    </row>
    <row r="73">
      <c r="A73" s="512"/>
      <c r="B73" s="512"/>
      <c r="C73" s="512"/>
      <c r="D73" s="512"/>
      <c r="E73" s="512"/>
      <c r="F73" s="512"/>
      <c r="G73" s="512"/>
      <c r="H73" s="512"/>
      <c r="I73" s="512"/>
      <c r="J73" s="512"/>
      <c r="K73" s="512"/>
      <c r="L73" s="512"/>
      <c r="M73" s="512"/>
      <c r="N73" s="512"/>
      <c r="O73" s="512"/>
      <c r="P73" s="512"/>
      <c r="Q73" s="512"/>
      <c r="R73" s="512"/>
      <c r="S73" s="512"/>
      <c r="T73" s="512"/>
      <c r="U73" s="512"/>
      <c r="V73" s="512"/>
      <c r="W73" s="512"/>
      <c r="X73" s="512"/>
      <c r="Y73" s="512"/>
      <c r="Z73" s="512"/>
      <c r="AA73" s="512"/>
    </row>
    <row r="74">
      <c r="A74" s="512"/>
      <c r="B74" s="512"/>
      <c r="C74" s="512"/>
      <c r="D74" s="512"/>
      <c r="E74" s="512"/>
      <c r="F74" s="512"/>
      <c r="G74" s="512"/>
      <c r="H74" s="512"/>
      <c r="I74" s="512"/>
      <c r="J74" s="512"/>
      <c r="K74" s="512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12"/>
      <c r="X74" s="512"/>
      <c r="Y74" s="512"/>
      <c r="Z74" s="512"/>
      <c r="AA74" s="512"/>
    </row>
    <row r="75">
      <c r="A75" s="512"/>
      <c r="B75" s="512"/>
      <c r="C75" s="512"/>
      <c r="D75" s="512"/>
      <c r="E75" s="512"/>
      <c r="F75" s="512"/>
      <c r="G75" s="512"/>
      <c r="H75" s="512"/>
      <c r="I75" s="512"/>
      <c r="J75" s="512"/>
      <c r="K75" s="512"/>
      <c r="L75" s="512"/>
      <c r="M75" s="512"/>
      <c r="N75" s="512"/>
      <c r="O75" s="512"/>
      <c r="P75" s="512"/>
      <c r="Q75" s="512"/>
      <c r="R75" s="512"/>
      <c r="S75" s="512"/>
      <c r="T75" s="512"/>
      <c r="U75" s="512"/>
      <c r="V75" s="512"/>
      <c r="W75" s="512"/>
      <c r="X75" s="512"/>
      <c r="Y75" s="512"/>
      <c r="Z75" s="512"/>
      <c r="AA75" s="512"/>
    </row>
    <row r="76">
      <c r="A76" s="512"/>
      <c r="B76" s="512"/>
      <c r="C76" s="512"/>
      <c r="D76" s="512"/>
      <c r="E76" s="512"/>
      <c r="F76" s="512"/>
      <c r="G76" s="512"/>
      <c r="H76" s="512"/>
      <c r="I76" s="512"/>
      <c r="J76" s="512"/>
      <c r="K76" s="512"/>
      <c r="L76" s="512"/>
      <c r="M76" s="512"/>
      <c r="N76" s="512"/>
      <c r="O76" s="512"/>
      <c r="P76" s="512"/>
      <c r="Q76" s="512"/>
      <c r="R76" s="512"/>
      <c r="S76" s="512"/>
      <c r="T76" s="512"/>
      <c r="U76" s="512"/>
      <c r="V76" s="512"/>
      <c r="W76" s="512"/>
      <c r="X76" s="512"/>
      <c r="Y76" s="512"/>
      <c r="Z76" s="512"/>
      <c r="AA76" s="512"/>
    </row>
    <row r="77">
      <c r="A77" s="512"/>
      <c r="B77" s="512"/>
      <c r="C77" s="512"/>
      <c r="D77" s="512"/>
      <c r="E77" s="512"/>
      <c r="F77" s="512"/>
      <c r="G77" s="512"/>
      <c r="H77" s="512"/>
      <c r="I77" s="512"/>
      <c r="J77" s="512"/>
      <c r="K77" s="512"/>
      <c r="L77" s="512"/>
      <c r="M77" s="512"/>
      <c r="N77" s="512"/>
      <c r="O77" s="512"/>
      <c r="P77" s="512"/>
      <c r="Q77" s="512"/>
      <c r="R77" s="512"/>
      <c r="S77" s="512"/>
      <c r="T77" s="512"/>
      <c r="U77" s="512"/>
      <c r="V77" s="512"/>
      <c r="W77" s="512"/>
      <c r="X77" s="512"/>
      <c r="Y77" s="512"/>
      <c r="Z77" s="512"/>
      <c r="AA77" s="512"/>
    </row>
    <row r="78">
      <c r="A78" s="512"/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  <c r="Y78" s="512"/>
      <c r="Z78" s="512"/>
      <c r="AA78" s="512"/>
    </row>
    <row r="79">
      <c r="A79" s="512"/>
      <c r="B79" s="512"/>
      <c r="C79" s="512"/>
      <c r="D79" s="512"/>
      <c r="E79" s="512"/>
      <c r="F79" s="512"/>
      <c r="G79" s="512"/>
      <c r="H79" s="512"/>
      <c r="I79" s="512"/>
      <c r="J79" s="512"/>
      <c r="K79" s="512"/>
      <c r="L79" s="512"/>
      <c r="M79" s="512"/>
      <c r="N79" s="512"/>
      <c r="O79" s="512"/>
      <c r="P79" s="512"/>
      <c r="Q79" s="512"/>
      <c r="R79" s="512"/>
      <c r="S79" s="512"/>
      <c r="T79" s="512"/>
      <c r="U79" s="512"/>
      <c r="V79" s="512"/>
      <c r="W79" s="512"/>
      <c r="X79" s="512"/>
      <c r="Y79" s="512"/>
      <c r="Z79" s="512"/>
      <c r="AA79" s="512"/>
    </row>
    <row r="80">
      <c r="A80" s="512"/>
      <c r="B80" s="512"/>
      <c r="C80" s="512"/>
      <c r="D80" s="512"/>
      <c r="E80" s="512"/>
      <c r="F80" s="512"/>
      <c r="G80" s="512"/>
      <c r="H80" s="512"/>
      <c r="I80" s="512"/>
      <c r="J80" s="512"/>
      <c r="K80" s="512"/>
      <c r="L80" s="512"/>
      <c r="M80" s="512"/>
      <c r="N80" s="512"/>
      <c r="O80" s="512"/>
      <c r="P80" s="512"/>
      <c r="Q80" s="512"/>
      <c r="R80" s="512"/>
      <c r="S80" s="512"/>
      <c r="T80" s="512"/>
      <c r="U80" s="512"/>
      <c r="V80" s="512"/>
      <c r="W80" s="512"/>
      <c r="X80" s="512"/>
      <c r="Y80" s="512"/>
      <c r="Z80" s="512"/>
      <c r="AA80" s="512"/>
    </row>
    <row r="81">
      <c r="A81" s="512"/>
      <c r="B81" s="512"/>
      <c r="C81" s="512"/>
      <c r="D81" s="512"/>
      <c r="E81" s="512"/>
      <c r="F81" s="512"/>
      <c r="G81" s="512"/>
      <c r="H81" s="512"/>
      <c r="I81" s="512"/>
      <c r="J81" s="512"/>
      <c r="K81" s="512"/>
      <c r="L81" s="512"/>
      <c r="M81" s="512"/>
      <c r="N81" s="512"/>
      <c r="O81" s="512"/>
      <c r="P81" s="512"/>
      <c r="Q81" s="512"/>
      <c r="R81" s="512"/>
      <c r="S81" s="512"/>
      <c r="T81" s="512"/>
      <c r="U81" s="512"/>
      <c r="V81" s="512"/>
      <c r="W81" s="512"/>
      <c r="X81" s="512"/>
      <c r="Y81" s="512"/>
      <c r="Z81" s="512"/>
      <c r="AA81" s="512"/>
    </row>
    <row r="82">
      <c r="A82" s="512"/>
      <c r="B82" s="512"/>
      <c r="C82" s="512"/>
      <c r="D82" s="512"/>
      <c r="E82" s="512"/>
      <c r="F82" s="512"/>
      <c r="G82" s="512"/>
      <c r="H82" s="512"/>
      <c r="I82" s="512"/>
      <c r="J82" s="512"/>
      <c r="K82" s="512"/>
      <c r="L82" s="512"/>
      <c r="M82" s="512"/>
      <c r="N82" s="512"/>
      <c r="O82" s="512"/>
      <c r="P82" s="512"/>
      <c r="Q82" s="512"/>
      <c r="R82" s="512"/>
      <c r="S82" s="512"/>
      <c r="T82" s="512"/>
      <c r="U82" s="512"/>
      <c r="V82" s="512"/>
      <c r="W82" s="512"/>
      <c r="X82" s="512"/>
      <c r="Y82" s="512"/>
      <c r="Z82" s="512"/>
      <c r="AA82" s="512"/>
    </row>
    <row r="83">
      <c r="A83" s="512"/>
      <c r="B83" s="512"/>
      <c r="C83" s="512"/>
      <c r="D83" s="512"/>
      <c r="E83" s="512"/>
      <c r="F83" s="512"/>
      <c r="G83" s="512"/>
      <c r="H83" s="512"/>
      <c r="I83" s="512"/>
      <c r="J83" s="512"/>
      <c r="K83" s="512"/>
      <c r="L83" s="512"/>
      <c r="M83" s="512"/>
      <c r="N83" s="512"/>
      <c r="O83" s="512"/>
      <c r="P83" s="512"/>
      <c r="Q83" s="512"/>
      <c r="R83" s="512"/>
      <c r="S83" s="512"/>
      <c r="T83" s="512"/>
      <c r="U83" s="512"/>
      <c r="V83" s="512"/>
      <c r="W83" s="512"/>
      <c r="X83" s="512"/>
      <c r="Y83" s="512"/>
      <c r="Z83" s="512"/>
      <c r="AA83" s="512"/>
    </row>
    <row r="84">
      <c r="A84" s="512"/>
      <c r="B84" s="512"/>
      <c r="C84" s="512"/>
      <c r="D84" s="512"/>
      <c r="E84" s="512"/>
      <c r="F84" s="512"/>
      <c r="G84" s="512"/>
      <c r="H84" s="512"/>
      <c r="I84" s="512"/>
      <c r="J84" s="512"/>
      <c r="K84" s="512"/>
      <c r="L84" s="512"/>
      <c r="M84" s="512"/>
      <c r="N84" s="512"/>
      <c r="O84" s="512"/>
      <c r="P84" s="512"/>
      <c r="Q84" s="512"/>
      <c r="R84" s="512"/>
      <c r="S84" s="512"/>
      <c r="T84" s="512"/>
      <c r="U84" s="512"/>
      <c r="V84" s="512"/>
      <c r="W84" s="512"/>
      <c r="X84" s="512"/>
      <c r="Y84" s="512"/>
      <c r="Z84" s="512"/>
      <c r="AA84" s="512"/>
    </row>
    <row r="85">
      <c r="A85" s="512"/>
      <c r="B85" s="512"/>
      <c r="C85" s="512"/>
      <c r="D85" s="512"/>
      <c r="E85" s="512"/>
      <c r="F85" s="512"/>
      <c r="G85" s="512"/>
      <c r="H85" s="512"/>
      <c r="I85" s="512"/>
      <c r="J85" s="512"/>
      <c r="K85" s="512"/>
      <c r="L85" s="512"/>
      <c r="M85" s="512"/>
      <c r="N85" s="512"/>
      <c r="O85" s="512"/>
      <c r="P85" s="512"/>
      <c r="Q85" s="512"/>
      <c r="R85" s="512"/>
      <c r="S85" s="512"/>
      <c r="T85" s="512"/>
      <c r="U85" s="512"/>
      <c r="V85" s="512"/>
      <c r="W85" s="512"/>
      <c r="X85" s="512"/>
      <c r="Y85" s="512"/>
      <c r="Z85" s="512"/>
      <c r="AA85" s="512"/>
    </row>
    <row r="86">
      <c r="A86" s="512"/>
      <c r="B86" s="512"/>
      <c r="C86" s="512"/>
      <c r="D86" s="512"/>
      <c r="E86" s="512"/>
      <c r="F86" s="512"/>
      <c r="G86" s="512"/>
      <c r="H86" s="512"/>
      <c r="I86" s="512"/>
      <c r="J86" s="512"/>
      <c r="K86" s="512"/>
      <c r="L86" s="512"/>
      <c r="M86" s="512"/>
      <c r="N86" s="512"/>
      <c r="O86" s="512"/>
      <c r="P86" s="512"/>
      <c r="Q86" s="512"/>
      <c r="R86" s="512"/>
      <c r="S86" s="512"/>
      <c r="T86" s="512"/>
      <c r="U86" s="512"/>
      <c r="V86" s="512"/>
      <c r="W86" s="512"/>
      <c r="X86" s="512"/>
      <c r="Y86" s="512"/>
      <c r="Z86" s="512"/>
      <c r="AA86" s="512"/>
    </row>
    <row r="87">
      <c r="A87" s="512"/>
      <c r="B87" s="512"/>
      <c r="C87" s="512"/>
      <c r="D87" s="512"/>
      <c r="E87" s="512"/>
      <c r="F87" s="512"/>
      <c r="G87" s="512"/>
      <c r="H87" s="512"/>
      <c r="I87" s="512"/>
      <c r="J87" s="512"/>
      <c r="K87" s="512"/>
      <c r="L87" s="512"/>
      <c r="M87" s="512"/>
      <c r="N87" s="512"/>
      <c r="O87" s="512"/>
      <c r="P87" s="512"/>
      <c r="Q87" s="512"/>
      <c r="R87" s="512"/>
      <c r="S87" s="512"/>
      <c r="T87" s="512"/>
      <c r="U87" s="512"/>
      <c r="V87" s="512"/>
      <c r="W87" s="512"/>
      <c r="X87" s="512"/>
      <c r="Y87" s="512"/>
      <c r="Z87" s="512"/>
      <c r="AA87" s="512"/>
    </row>
    <row r="88">
      <c r="A88" s="512"/>
      <c r="B88" s="512"/>
      <c r="C88" s="512"/>
      <c r="D88" s="512"/>
      <c r="E88" s="512"/>
      <c r="F88" s="512"/>
      <c r="G88" s="512"/>
      <c r="H88" s="512"/>
      <c r="I88" s="512"/>
      <c r="J88" s="512"/>
      <c r="K88" s="512"/>
      <c r="L88" s="512"/>
      <c r="M88" s="512"/>
      <c r="N88" s="512"/>
      <c r="O88" s="512"/>
      <c r="P88" s="512"/>
      <c r="Q88" s="512"/>
      <c r="R88" s="512"/>
      <c r="S88" s="512"/>
      <c r="T88" s="512"/>
      <c r="U88" s="512"/>
      <c r="V88" s="512"/>
      <c r="W88" s="512"/>
      <c r="X88" s="512"/>
      <c r="Y88" s="512"/>
      <c r="Z88" s="512"/>
      <c r="AA88" s="512"/>
    </row>
    <row r="89">
      <c r="A89" s="512"/>
      <c r="B89" s="512"/>
      <c r="C89" s="512"/>
      <c r="D89" s="512"/>
      <c r="E89" s="512"/>
      <c r="F89" s="512"/>
      <c r="G89" s="512"/>
      <c r="H89" s="512"/>
      <c r="I89" s="512"/>
      <c r="J89" s="512"/>
      <c r="K89" s="512"/>
      <c r="L89" s="512"/>
      <c r="M89" s="512"/>
      <c r="N89" s="512"/>
      <c r="O89" s="512"/>
      <c r="P89" s="512"/>
      <c r="Q89" s="512"/>
      <c r="R89" s="512"/>
      <c r="S89" s="512"/>
      <c r="T89" s="512"/>
      <c r="U89" s="512"/>
      <c r="V89" s="512"/>
      <c r="W89" s="512"/>
      <c r="X89" s="512"/>
      <c r="Y89" s="512"/>
      <c r="Z89" s="512"/>
      <c r="AA89" s="512"/>
    </row>
    <row r="90">
      <c r="A90" s="512"/>
      <c r="B90" s="512"/>
      <c r="C90" s="512"/>
      <c r="D90" s="512"/>
      <c r="E90" s="512"/>
      <c r="F90" s="512"/>
      <c r="G90" s="512"/>
      <c r="H90" s="512"/>
      <c r="I90" s="512"/>
      <c r="J90" s="512"/>
      <c r="K90" s="512"/>
      <c r="L90" s="512"/>
      <c r="M90" s="512"/>
      <c r="N90" s="512"/>
      <c r="O90" s="512"/>
      <c r="P90" s="512"/>
      <c r="Q90" s="512"/>
      <c r="R90" s="512"/>
      <c r="S90" s="512"/>
      <c r="T90" s="512"/>
      <c r="U90" s="512"/>
      <c r="V90" s="512"/>
      <c r="W90" s="512"/>
      <c r="X90" s="512"/>
      <c r="Y90" s="512"/>
      <c r="Z90" s="512"/>
      <c r="AA90" s="512"/>
    </row>
    <row r="91">
      <c r="A91" s="512"/>
      <c r="B91" s="512"/>
      <c r="C91" s="512"/>
      <c r="D91" s="512"/>
      <c r="E91" s="512"/>
      <c r="F91" s="512"/>
      <c r="G91" s="512"/>
      <c r="H91" s="512"/>
      <c r="I91" s="512"/>
      <c r="J91" s="512"/>
      <c r="K91" s="512"/>
      <c r="L91" s="512"/>
      <c r="M91" s="512"/>
      <c r="N91" s="512"/>
      <c r="O91" s="512"/>
      <c r="P91" s="512"/>
      <c r="Q91" s="512"/>
      <c r="R91" s="512"/>
      <c r="S91" s="512"/>
      <c r="T91" s="512"/>
      <c r="U91" s="512"/>
      <c r="V91" s="512"/>
      <c r="W91" s="512"/>
      <c r="X91" s="512"/>
      <c r="Y91" s="512"/>
      <c r="Z91" s="512"/>
      <c r="AA91" s="512"/>
    </row>
    <row r="92">
      <c r="A92" s="512"/>
      <c r="B92" s="512"/>
      <c r="C92" s="512"/>
      <c r="D92" s="512"/>
      <c r="E92" s="512"/>
      <c r="F92" s="512"/>
      <c r="G92" s="512"/>
      <c r="H92" s="512"/>
      <c r="I92" s="512"/>
      <c r="J92" s="512"/>
      <c r="K92" s="512"/>
      <c r="L92" s="512"/>
      <c r="M92" s="512"/>
      <c r="N92" s="512"/>
      <c r="O92" s="512"/>
      <c r="P92" s="512"/>
      <c r="Q92" s="512"/>
      <c r="R92" s="512"/>
      <c r="S92" s="512"/>
      <c r="T92" s="512"/>
      <c r="U92" s="512"/>
      <c r="V92" s="512"/>
      <c r="W92" s="512"/>
      <c r="X92" s="512"/>
      <c r="Y92" s="512"/>
      <c r="Z92" s="512"/>
      <c r="AA92" s="512"/>
    </row>
    <row r="93">
      <c r="A93" s="512"/>
      <c r="B93" s="512"/>
      <c r="C93" s="512"/>
      <c r="D93" s="512"/>
      <c r="E93" s="512"/>
      <c r="F93" s="512"/>
      <c r="G93" s="512"/>
      <c r="H93" s="512"/>
      <c r="I93" s="512"/>
      <c r="J93" s="512"/>
      <c r="K93" s="512"/>
      <c r="L93" s="512"/>
      <c r="M93" s="512"/>
      <c r="N93" s="512"/>
      <c r="O93" s="512"/>
      <c r="P93" s="512"/>
      <c r="Q93" s="512"/>
      <c r="R93" s="512"/>
      <c r="S93" s="512"/>
      <c r="T93" s="512"/>
      <c r="U93" s="512"/>
      <c r="V93" s="512"/>
      <c r="W93" s="512"/>
      <c r="X93" s="512"/>
      <c r="Y93" s="512"/>
      <c r="Z93" s="512"/>
      <c r="AA93" s="512"/>
    </row>
    <row r="94">
      <c r="A94" s="512"/>
      <c r="B94" s="512"/>
      <c r="C94" s="512"/>
      <c r="D94" s="512"/>
      <c r="E94" s="512"/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2"/>
      <c r="R94" s="512"/>
      <c r="S94" s="512"/>
      <c r="T94" s="512"/>
      <c r="U94" s="512"/>
      <c r="V94" s="512"/>
      <c r="W94" s="512"/>
      <c r="X94" s="512"/>
      <c r="Y94" s="512"/>
      <c r="Z94" s="512"/>
      <c r="AA94" s="512"/>
    </row>
    <row r="95">
      <c r="A95" s="512"/>
      <c r="B95" s="512"/>
      <c r="C95" s="512"/>
      <c r="D95" s="512"/>
      <c r="E95" s="512"/>
      <c r="F95" s="512"/>
      <c r="G95" s="512"/>
      <c r="H95" s="512"/>
      <c r="I95" s="512"/>
      <c r="J95" s="512"/>
      <c r="K95" s="512"/>
      <c r="L95" s="512"/>
      <c r="M95" s="512"/>
      <c r="N95" s="512"/>
      <c r="O95" s="512"/>
      <c r="P95" s="512"/>
      <c r="Q95" s="512"/>
      <c r="R95" s="512"/>
      <c r="S95" s="512"/>
      <c r="T95" s="512"/>
      <c r="U95" s="512"/>
      <c r="V95" s="512"/>
      <c r="W95" s="512"/>
      <c r="X95" s="512"/>
      <c r="Y95" s="512"/>
      <c r="Z95" s="512"/>
      <c r="AA95" s="512"/>
    </row>
    <row r="96">
      <c r="A96" s="512"/>
      <c r="B96" s="512"/>
      <c r="C96" s="512"/>
      <c r="D96" s="512"/>
      <c r="E96" s="512"/>
      <c r="F96" s="512"/>
      <c r="G96" s="512"/>
      <c r="H96" s="512"/>
      <c r="I96" s="512"/>
      <c r="J96" s="512"/>
      <c r="K96" s="512"/>
      <c r="L96" s="512"/>
      <c r="M96" s="512"/>
      <c r="N96" s="512"/>
      <c r="O96" s="512"/>
      <c r="P96" s="512"/>
      <c r="Q96" s="512"/>
      <c r="R96" s="512"/>
      <c r="S96" s="512"/>
      <c r="T96" s="512"/>
      <c r="U96" s="512"/>
      <c r="V96" s="512"/>
      <c r="W96" s="512"/>
      <c r="X96" s="512"/>
      <c r="Y96" s="512"/>
      <c r="Z96" s="512"/>
      <c r="AA96" s="512"/>
    </row>
    <row r="97">
      <c r="A97" s="512"/>
      <c r="B97" s="512"/>
      <c r="C97" s="512"/>
      <c r="D97" s="512"/>
      <c r="E97" s="512"/>
      <c r="F97" s="512"/>
      <c r="G97" s="512"/>
      <c r="H97" s="512"/>
      <c r="I97" s="512"/>
      <c r="J97" s="512"/>
      <c r="K97" s="512"/>
      <c r="L97" s="512"/>
      <c r="M97" s="512"/>
      <c r="N97" s="512"/>
      <c r="O97" s="512"/>
      <c r="P97" s="512"/>
      <c r="Q97" s="512"/>
      <c r="R97" s="512"/>
      <c r="S97" s="512"/>
      <c r="T97" s="512"/>
      <c r="U97" s="512"/>
      <c r="V97" s="512"/>
      <c r="W97" s="512"/>
      <c r="X97" s="512"/>
      <c r="Y97" s="512"/>
      <c r="Z97" s="512"/>
      <c r="AA97" s="512"/>
    </row>
    <row r="98">
      <c r="A98" s="512"/>
      <c r="B98" s="512"/>
      <c r="C98" s="512"/>
      <c r="D98" s="512"/>
      <c r="E98" s="512"/>
      <c r="F98" s="512"/>
      <c r="G98" s="512"/>
      <c r="H98" s="512"/>
      <c r="I98" s="512"/>
      <c r="J98" s="512"/>
      <c r="K98" s="512"/>
      <c r="L98" s="512"/>
      <c r="M98" s="512"/>
      <c r="N98" s="512"/>
      <c r="O98" s="512"/>
      <c r="P98" s="512"/>
      <c r="Q98" s="512"/>
      <c r="R98" s="512"/>
      <c r="S98" s="512"/>
      <c r="T98" s="512"/>
      <c r="U98" s="512"/>
      <c r="V98" s="512"/>
      <c r="W98" s="512"/>
      <c r="X98" s="512"/>
      <c r="Y98" s="512"/>
      <c r="Z98" s="512"/>
      <c r="AA98" s="512"/>
    </row>
    <row r="99">
      <c r="A99" s="512"/>
      <c r="B99" s="512"/>
      <c r="C99" s="512"/>
      <c r="D99" s="512"/>
      <c r="E99" s="512"/>
      <c r="F99" s="512"/>
      <c r="G99" s="512"/>
      <c r="H99" s="512"/>
      <c r="I99" s="512"/>
      <c r="J99" s="512"/>
      <c r="K99" s="512"/>
      <c r="L99" s="512"/>
      <c r="M99" s="512"/>
      <c r="N99" s="512"/>
      <c r="O99" s="512"/>
      <c r="P99" s="512"/>
      <c r="Q99" s="512"/>
      <c r="R99" s="512"/>
      <c r="S99" s="512"/>
      <c r="T99" s="512"/>
      <c r="U99" s="512"/>
      <c r="V99" s="512"/>
      <c r="W99" s="512"/>
      <c r="X99" s="512"/>
      <c r="Y99" s="512"/>
      <c r="Z99" s="512"/>
      <c r="AA99" s="512"/>
    </row>
    <row r="100">
      <c r="A100" s="512"/>
      <c r="B100" s="512"/>
      <c r="C100" s="512"/>
      <c r="D100" s="512"/>
      <c r="E100" s="512"/>
      <c r="F100" s="512"/>
      <c r="G100" s="512"/>
      <c r="H100" s="512"/>
      <c r="I100" s="512"/>
      <c r="J100" s="512"/>
      <c r="K100" s="512"/>
      <c r="L100" s="512"/>
      <c r="M100" s="512"/>
      <c r="N100" s="512"/>
      <c r="O100" s="512"/>
      <c r="P100" s="512"/>
      <c r="Q100" s="512"/>
      <c r="R100" s="512"/>
      <c r="S100" s="512"/>
      <c r="T100" s="512"/>
      <c r="U100" s="512"/>
      <c r="V100" s="512"/>
      <c r="W100" s="512"/>
      <c r="X100" s="512"/>
      <c r="Y100" s="512"/>
      <c r="Z100" s="512"/>
      <c r="AA100" s="512"/>
    </row>
    <row r="101">
      <c r="A101" s="512"/>
      <c r="B101" s="512"/>
      <c r="C101" s="512"/>
      <c r="D101" s="512"/>
      <c r="E101" s="512"/>
      <c r="F101" s="512"/>
      <c r="G101" s="512"/>
      <c r="H101" s="512"/>
      <c r="I101" s="512"/>
      <c r="J101" s="512"/>
      <c r="K101" s="512"/>
      <c r="L101" s="512"/>
      <c r="M101" s="512"/>
      <c r="N101" s="512"/>
      <c r="O101" s="512"/>
      <c r="P101" s="512"/>
      <c r="Q101" s="512"/>
      <c r="R101" s="512"/>
      <c r="S101" s="512"/>
      <c r="T101" s="512"/>
      <c r="U101" s="512"/>
      <c r="V101" s="512"/>
      <c r="W101" s="512"/>
      <c r="X101" s="512"/>
      <c r="Y101" s="512"/>
      <c r="Z101" s="512"/>
      <c r="AA101" s="512"/>
    </row>
    <row r="102">
      <c r="A102" s="512"/>
      <c r="B102" s="512"/>
      <c r="C102" s="512"/>
      <c r="D102" s="512"/>
      <c r="E102" s="512"/>
      <c r="F102" s="512"/>
      <c r="G102" s="512"/>
      <c r="H102" s="512"/>
      <c r="I102" s="512"/>
      <c r="J102" s="512"/>
      <c r="K102" s="512"/>
      <c r="L102" s="512"/>
      <c r="M102" s="512"/>
      <c r="N102" s="512"/>
      <c r="O102" s="512"/>
      <c r="P102" s="512"/>
      <c r="Q102" s="512"/>
      <c r="R102" s="512"/>
      <c r="S102" s="512"/>
      <c r="T102" s="512"/>
      <c r="U102" s="512"/>
      <c r="V102" s="512"/>
      <c r="W102" s="512"/>
      <c r="X102" s="512"/>
      <c r="Y102" s="512"/>
      <c r="Z102" s="512"/>
      <c r="AA102" s="512"/>
    </row>
    <row r="103">
      <c r="A103" s="512"/>
      <c r="B103" s="512"/>
      <c r="C103" s="512"/>
      <c r="D103" s="512"/>
      <c r="E103" s="512"/>
      <c r="F103" s="512"/>
      <c r="G103" s="512"/>
      <c r="H103" s="512"/>
      <c r="I103" s="512"/>
      <c r="J103" s="512"/>
      <c r="K103" s="512"/>
      <c r="L103" s="512"/>
      <c r="M103" s="512"/>
      <c r="N103" s="512"/>
      <c r="O103" s="512"/>
      <c r="P103" s="512"/>
      <c r="Q103" s="512"/>
      <c r="R103" s="512"/>
      <c r="S103" s="512"/>
      <c r="T103" s="512"/>
      <c r="U103" s="512"/>
      <c r="V103" s="512"/>
      <c r="W103" s="512"/>
      <c r="X103" s="512"/>
      <c r="Y103" s="512"/>
      <c r="Z103" s="512"/>
      <c r="AA103" s="512"/>
    </row>
    <row r="104">
      <c r="A104" s="512"/>
      <c r="B104" s="512"/>
      <c r="C104" s="512"/>
      <c r="D104" s="512"/>
      <c r="E104" s="512"/>
      <c r="F104" s="512"/>
      <c r="G104" s="512"/>
      <c r="H104" s="512"/>
      <c r="I104" s="512"/>
      <c r="J104" s="512"/>
      <c r="K104" s="512"/>
      <c r="L104" s="512"/>
      <c r="M104" s="512"/>
      <c r="N104" s="512"/>
      <c r="O104" s="512"/>
      <c r="P104" s="512"/>
      <c r="Q104" s="512"/>
      <c r="R104" s="512"/>
      <c r="S104" s="512"/>
      <c r="T104" s="512"/>
      <c r="U104" s="512"/>
      <c r="V104" s="512"/>
      <c r="W104" s="512"/>
      <c r="X104" s="512"/>
      <c r="Y104" s="512"/>
      <c r="Z104" s="512"/>
      <c r="AA104" s="512"/>
    </row>
    <row r="105">
      <c r="A105" s="512"/>
      <c r="B105" s="512"/>
      <c r="C105" s="512"/>
      <c r="D105" s="512"/>
      <c r="E105" s="512"/>
      <c r="F105" s="512"/>
      <c r="G105" s="512"/>
      <c r="H105" s="512"/>
      <c r="I105" s="512"/>
      <c r="J105" s="512"/>
      <c r="K105" s="512"/>
      <c r="L105" s="512"/>
      <c r="M105" s="512"/>
      <c r="N105" s="512"/>
      <c r="O105" s="512"/>
      <c r="P105" s="512"/>
      <c r="Q105" s="512"/>
      <c r="R105" s="512"/>
      <c r="S105" s="512"/>
      <c r="T105" s="512"/>
      <c r="U105" s="512"/>
      <c r="V105" s="512"/>
      <c r="W105" s="512"/>
      <c r="X105" s="512"/>
      <c r="Y105" s="512"/>
      <c r="Z105" s="512"/>
      <c r="AA105" s="512"/>
    </row>
    <row r="106">
      <c r="A106" s="512"/>
      <c r="B106" s="512"/>
      <c r="C106" s="512"/>
      <c r="D106" s="512"/>
      <c r="E106" s="512"/>
      <c r="F106" s="512"/>
      <c r="G106" s="512"/>
      <c r="H106" s="512"/>
      <c r="I106" s="512"/>
      <c r="J106" s="512"/>
      <c r="K106" s="512"/>
      <c r="L106" s="512"/>
      <c r="M106" s="512"/>
      <c r="N106" s="512"/>
      <c r="O106" s="512"/>
      <c r="P106" s="512"/>
      <c r="Q106" s="512"/>
      <c r="R106" s="512"/>
      <c r="S106" s="512"/>
      <c r="T106" s="512"/>
      <c r="U106" s="512"/>
      <c r="V106" s="512"/>
      <c r="W106" s="512"/>
      <c r="X106" s="512"/>
      <c r="Y106" s="512"/>
      <c r="Z106" s="512"/>
      <c r="AA106" s="512"/>
    </row>
    <row r="107">
      <c r="A107" s="512"/>
      <c r="B107" s="512"/>
      <c r="C107" s="512"/>
      <c r="D107" s="512"/>
      <c r="E107" s="512"/>
      <c r="F107" s="512"/>
      <c r="G107" s="512"/>
      <c r="H107" s="512"/>
      <c r="I107" s="512"/>
      <c r="J107" s="512"/>
      <c r="K107" s="512"/>
      <c r="L107" s="512"/>
      <c r="M107" s="512"/>
      <c r="N107" s="512"/>
      <c r="O107" s="512"/>
      <c r="P107" s="512"/>
      <c r="Q107" s="512"/>
      <c r="R107" s="512"/>
      <c r="S107" s="512"/>
      <c r="T107" s="512"/>
      <c r="U107" s="512"/>
      <c r="V107" s="512"/>
      <c r="W107" s="512"/>
      <c r="X107" s="512"/>
      <c r="Y107" s="512"/>
      <c r="Z107" s="512"/>
      <c r="AA107" s="512"/>
    </row>
    <row r="108">
      <c r="A108" s="512"/>
      <c r="B108" s="512"/>
      <c r="C108" s="512"/>
      <c r="D108" s="512"/>
      <c r="E108" s="512"/>
      <c r="F108" s="512"/>
      <c r="G108" s="512"/>
      <c r="H108" s="512"/>
      <c r="I108" s="512"/>
      <c r="J108" s="512"/>
      <c r="K108" s="512"/>
      <c r="L108" s="512"/>
      <c r="M108" s="512"/>
      <c r="N108" s="512"/>
      <c r="O108" s="512"/>
      <c r="P108" s="512"/>
      <c r="Q108" s="512"/>
      <c r="R108" s="512"/>
      <c r="S108" s="512"/>
      <c r="T108" s="512"/>
      <c r="U108" s="512"/>
      <c r="V108" s="512"/>
      <c r="W108" s="512"/>
      <c r="X108" s="512"/>
      <c r="Y108" s="512"/>
      <c r="Z108" s="512"/>
      <c r="AA108" s="512"/>
    </row>
    <row r="109">
      <c r="A109" s="512"/>
      <c r="B109" s="512"/>
      <c r="C109" s="512"/>
      <c r="D109" s="512"/>
      <c r="E109" s="512"/>
      <c r="F109" s="512"/>
      <c r="G109" s="512"/>
      <c r="H109" s="512"/>
      <c r="I109" s="512"/>
      <c r="J109" s="512"/>
      <c r="K109" s="512"/>
      <c r="L109" s="512"/>
      <c r="M109" s="512"/>
      <c r="N109" s="512"/>
      <c r="O109" s="512"/>
      <c r="P109" s="512"/>
      <c r="Q109" s="512"/>
      <c r="R109" s="512"/>
      <c r="S109" s="512"/>
      <c r="T109" s="512"/>
      <c r="U109" s="512"/>
      <c r="V109" s="512"/>
      <c r="W109" s="512"/>
      <c r="X109" s="512"/>
      <c r="Y109" s="512"/>
      <c r="Z109" s="512"/>
      <c r="AA109" s="512"/>
    </row>
    <row r="110">
      <c r="A110" s="512"/>
      <c r="B110" s="512"/>
      <c r="C110" s="512"/>
      <c r="D110" s="512"/>
      <c r="E110" s="512"/>
      <c r="F110" s="512"/>
      <c r="G110" s="512"/>
      <c r="H110" s="512"/>
      <c r="I110" s="512"/>
      <c r="J110" s="512"/>
      <c r="K110" s="512"/>
      <c r="L110" s="512"/>
      <c r="M110" s="512"/>
      <c r="N110" s="512"/>
      <c r="O110" s="512"/>
      <c r="P110" s="512"/>
      <c r="Q110" s="512"/>
      <c r="R110" s="512"/>
      <c r="S110" s="512"/>
      <c r="T110" s="512"/>
      <c r="U110" s="512"/>
      <c r="V110" s="512"/>
      <c r="W110" s="512"/>
      <c r="X110" s="512"/>
      <c r="Y110" s="512"/>
      <c r="Z110" s="512"/>
      <c r="AA110" s="512"/>
    </row>
    <row r="111">
      <c r="A111" s="512"/>
      <c r="B111" s="512"/>
      <c r="C111" s="512"/>
      <c r="D111" s="512"/>
      <c r="E111" s="512"/>
      <c r="F111" s="512"/>
      <c r="G111" s="512"/>
      <c r="H111" s="512"/>
      <c r="I111" s="512"/>
      <c r="J111" s="512"/>
      <c r="K111" s="512"/>
      <c r="L111" s="512"/>
      <c r="M111" s="512"/>
      <c r="N111" s="512"/>
      <c r="O111" s="512"/>
      <c r="P111" s="512"/>
      <c r="Q111" s="512"/>
      <c r="R111" s="512"/>
      <c r="S111" s="512"/>
      <c r="T111" s="512"/>
      <c r="U111" s="512"/>
      <c r="V111" s="512"/>
      <c r="W111" s="512"/>
      <c r="X111" s="512"/>
      <c r="Y111" s="512"/>
      <c r="Z111" s="512"/>
      <c r="AA111" s="512"/>
    </row>
    <row r="112">
      <c r="A112" s="512"/>
      <c r="B112" s="512"/>
      <c r="C112" s="512"/>
      <c r="D112" s="512"/>
      <c r="E112" s="512"/>
      <c r="F112" s="512"/>
      <c r="G112" s="512"/>
      <c r="H112" s="512"/>
      <c r="I112" s="512"/>
      <c r="J112" s="512"/>
      <c r="K112" s="512"/>
      <c r="L112" s="512"/>
      <c r="M112" s="512"/>
      <c r="N112" s="512"/>
      <c r="O112" s="512"/>
      <c r="P112" s="512"/>
      <c r="Q112" s="512"/>
      <c r="R112" s="512"/>
      <c r="S112" s="512"/>
      <c r="T112" s="512"/>
      <c r="U112" s="512"/>
      <c r="V112" s="512"/>
      <c r="W112" s="512"/>
      <c r="X112" s="512"/>
      <c r="Y112" s="512"/>
      <c r="Z112" s="512"/>
      <c r="AA112" s="512"/>
    </row>
    <row r="113">
      <c r="A113" s="512"/>
      <c r="B113" s="512"/>
      <c r="C113" s="512"/>
      <c r="D113" s="512"/>
      <c r="E113" s="512"/>
      <c r="F113" s="512"/>
      <c r="G113" s="512"/>
      <c r="H113" s="512"/>
      <c r="I113" s="512"/>
      <c r="J113" s="512"/>
      <c r="K113" s="512"/>
      <c r="L113" s="512"/>
      <c r="M113" s="512"/>
      <c r="N113" s="512"/>
      <c r="O113" s="512"/>
      <c r="P113" s="512"/>
      <c r="Q113" s="512"/>
      <c r="R113" s="512"/>
      <c r="S113" s="512"/>
      <c r="T113" s="512"/>
      <c r="U113" s="512"/>
      <c r="V113" s="512"/>
      <c r="W113" s="512"/>
      <c r="X113" s="512"/>
      <c r="Y113" s="512"/>
      <c r="Z113" s="512"/>
      <c r="AA113" s="512"/>
    </row>
    <row r="114">
      <c r="A114" s="512"/>
      <c r="B114" s="512"/>
      <c r="C114" s="512"/>
      <c r="D114" s="512"/>
      <c r="E114" s="512"/>
      <c r="F114" s="512"/>
      <c r="G114" s="512"/>
      <c r="H114" s="512"/>
      <c r="I114" s="512"/>
      <c r="J114" s="512"/>
      <c r="K114" s="512"/>
      <c r="L114" s="512"/>
      <c r="M114" s="512"/>
      <c r="N114" s="512"/>
      <c r="O114" s="512"/>
      <c r="P114" s="512"/>
      <c r="Q114" s="512"/>
      <c r="R114" s="512"/>
      <c r="S114" s="512"/>
      <c r="T114" s="512"/>
      <c r="U114" s="512"/>
      <c r="V114" s="512"/>
      <c r="W114" s="512"/>
      <c r="X114" s="512"/>
      <c r="Y114" s="512"/>
      <c r="Z114" s="512"/>
      <c r="AA114" s="512"/>
    </row>
    <row r="115">
      <c r="A115" s="512"/>
      <c r="B115" s="512"/>
      <c r="C115" s="512"/>
      <c r="D115" s="512"/>
      <c r="E115" s="512"/>
      <c r="F115" s="512"/>
      <c r="G115" s="512"/>
      <c r="H115" s="512"/>
      <c r="I115" s="512"/>
      <c r="J115" s="512"/>
      <c r="K115" s="512"/>
      <c r="L115" s="512"/>
      <c r="M115" s="512"/>
      <c r="N115" s="512"/>
      <c r="O115" s="512"/>
      <c r="P115" s="512"/>
      <c r="Q115" s="512"/>
      <c r="R115" s="512"/>
      <c r="S115" s="512"/>
      <c r="T115" s="512"/>
      <c r="U115" s="512"/>
      <c r="V115" s="512"/>
      <c r="W115" s="512"/>
      <c r="X115" s="512"/>
      <c r="Y115" s="512"/>
      <c r="Z115" s="512"/>
      <c r="AA115" s="512"/>
    </row>
    <row r="116">
      <c r="A116" s="512"/>
      <c r="B116" s="512"/>
      <c r="C116" s="512"/>
      <c r="D116" s="512"/>
      <c r="E116" s="512"/>
      <c r="F116" s="512"/>
      <c r="G116" s="512"/>
      <c r="H116" s="512"/>
      <c r="I116" s="512"/>
      <c r="J116" s="512"/>
      <c r="K116" s="512"/>
      <c r="L116" s="512"/>
      <c r="M116" s="512"/>
      <c r="N116" s="512"/>
      <c r="O116" s="512"/>
      <c r="P116" s="512"/>
      <c r="Q116" s="512"/>
      <c r="R116" s="512"/>
      <c r="S116" s="512"/>
      <c r="T116" s="512"/>
      <c r="U116" s="512"/>
      <c r="V116" s="512"/>
      <c r="W116" s="512"/>
      <c r="X116" s="512"/>
      <c r="Y116" s="512"/>
      <c r="Z116" s="512"/>
      <c r="AA116" s="512"/>
    </row>
    <row r="117">
      <c r="A117" s="512"/>
      <c r="B117" s="512"/>
      <c r="C117" s="512"/>
      <c r="D117" s="512"/>
      <c r="E117" s="512"/>
      <c r="F117" s="512"/>
      <c r="G117" s="512"/>
      <c r="H117" s="512"/>
      <c r="I117" s="512"/>
      <c r="J117" s="512"/>
      <c r="K117" s="512"/>
      <c r="L117" s="512"/>
      <c r="M117" s="512"/>
      <c r="N117" s="512"/>
      <c r="O117" s="512"/>
      <c r="P117" s="512"/>
      <c r="Q117" s="512"/>
      <c r="R117" s="512"/>
      <c r="S117" s="512"/>
      <c r="T117" s="512"/>
      <c r="U117" s="512"/>
      <c r="V117" s="512"/>
      <c r="W117" s="512"/>
      <c r="X117" s="512"/>
      <c r="Y117" s="512"/>
      <c r="Z117" s="512"/>
      <c r="AA117" s="512"/>
    </row>
    <row r="118">
      <c r="A118" s="512"/>
      <c r="B118" s="512"/>
      <c r="C118" s="512"/>
      <c r="D118" s="512"/>
      <c r="E118" s="512"/>
      <c r="F118" s="512"/>
      <c r="G118" s="512"/>
      <c r="H118" s="512"/>
      <c r="I118" s="512"/>
      <c r="J118" s="512"/>
      <c r="K118" s="512"/>
      <c r="L118" s="512"/>
      <c r="M118" s="512"/>
      <c r="N118" s="512"/>
      <c r="O118" s="512"/>
      <c r="P118" s="512"/>
      <c r="Q118" s="512"/>
      <c r="R118" s="512"/>
      <c r="S118" s="512"/>
      <c r="T118" s="512"/>
      <c r="U118" s="512"/>
      <c r="V118" s="512"/>
      <c r="W118" s="512"/>
      <c r="X118" s="512"/>
      <c r="Y118" s="512"/>
      <c r="Z118" s="512"/>
      <c r="AA118" s="512"/>
    </row>
    <row r="119">
      <c r="A119" s="512"/>
      <c r="B119" s="512"/>
      <c r="C119" s="512"/>
      <c r="D119" s="512"/>
      <c r="E119" s="512"/>
      <c r="F119" s="512"/>
      <c r="G119" s="512"/>
      <c r="H119" s="512"/>
      <c r="I119" s="512"/>
      <c r="J119" s="512"/>
      <c r="K119" s="512"/>
      <c r="L119" s="512"/>
      <c r="M119" s="512"/>
      <c r="N119" s="512"/>
      <c r="O119" s="512"/>
      <c r="P119" s="512"/>
      <c r="Q119" s="512"/>
      <c r="R119" s="512"/>
      <c r="S119" s="512"/>
      <c r="T119" s="512"/>
      <c r="U119" s="512"/>
      <c r="V119" s="512"/>
      <c r="W119" s="512"/>
      <c r="X119" s="512"/>
      <c r="Y119" s="512"/>
      <c r="Z119" s="512"/>
      <c r="AA119" s="512"/>
    </row>
    <row r="120">
      <c r="A120" s="512"/>
      <c r="B120" s="512"/>
      <c r="C120" s="512"/>
      <c r="D120" s="512"/>
      <c r="E120" s="512"/>
      <c r="F120" s="512"/>
      <c r="G120" s="512"/>
      <c r="H120" s="512"/>
      <c r="I120" s="512"/>
      <c r="J120" s="512"/>
      <c r="K120" s="512"/>
      <c r="L120" s="512"/>
      <c r="M120" s="512"/>
      <c r="N120" s="512"/>
      <c r="O120" s="512"/>
      <c r="P120" s="512"/>
      <c r="Q120" s="512"/>
      <c r="R120" s="512"/>
      <c r="S120" s="512"/>
      <c r="T120" s="512"/>
      <c r="U120" s="512"/>
      <c r="V120" s="512"/>
      <c r="W120" s="512"/>
      <c r="X120" s="512"/>
      <c r="Y120" s="512"/>
      <c r="Z120" s="512"/>
      <c r="AA120" s="512"/>
    </row>
    <row r="121">
      <c r="A121" s="512"/>
      <c r="B121" s="512"/>
      <c r="C121" s="512"/>
      <c r="D121" s="512"/>
      <c r="E121" s="512"/>
      <c r="F121" s="512"/>
      <c r="G121" s="512"/>
      <c r="H121" s="512"/>
      <c r="I121" s="512"/>
      <c r="J121" s="512"/>
      <c r="K121" s="512"/>
      <c r="L121" s="512"/>
      <c r="M121" s="512"/>
      <c r="N121" s="512"/>
      <c r="O121" s="512"/>
      <c r="P121" s="512"/>
      <c r="Q121" s="512"/>
      <c r="R121" s="512"/>
      <c r="S121" s="512"/>
      <c r="T121" s="512"/>
      <c r="U121" s="512"/>
      <c r="V121" s="512"/>
      <c r="W121" s="512"/>
      <c r="X121" s="512"/>
      <c r="Y121" s="512"/>
      <c r="Z121" s="512"/>
      <c r="AA121" s="512"/>
    </row>
    <row r="122">
      <c r="A122" s="512"/>
      <c r="B122" s="512"/>
      <c r="C122" s="512"/>
      <c r="D122" s="512"/>
      <c r="E122" s="512"/>
      <c r="F122" s="512"/>
      <c r="G122" s="512"/>
      <c r="H122" s="512"/>
      <c r="I122" s="512"/>
      <c r="J122" s="512"/>
      <c r="K122" s="512"/>
      <c r="L122" s="512"/>
      <c r="M122" s="512"/>
      <c r="N122" s="512"/>
      <c r="O122" s="512"/>
      <c r="P122" s="512"/>
      <c r="Q122" s="512"/>
      <c r="R122" s="512"/>
      <c r="S122" s="512"/>
      <c r="T122" s="512"/>
      <c r="U122" s="512"/>
      <c r="V122" s="512"/>
      <c r="W122" s="512"/>
      <c r="X122" s="512"/>
      <c r="Y122" s="512"/>
      <c r="Z122" s="512"/>
      <c r="AA122" s="512"/>
    </row>
    <row r="123">
      <c r="A123" s="512"/>
      <c r="B123" s="512"/>
      <c r="C123" s="512"/>
      <c r="D123" s="512"/>
      <c r="E123" s="512"/>
      <c r="F123" s="512"/>
      <c r="G123" s="512"/>
      <c r="H123" s="512"/>
      <c r="I123" s="512"/>
      <c r="J123" s="512"/>
      <c r="K123" s="512"/>
      <c r="L123" s="512"/>
      <c r="M123" s="512"/>
      <c r="N123" s="512"/>
      <c r="O123" s="512"/>
      <c r="P123" s="512"/>
      <c r="Q123" s="512"/>
      <c r="R123" s="512"/>
      <c r="S123" s="512"/>
      <c r="T123" s="512"/>
      <c r="U123" s="512"/>
      <c r="V123" s="512"/>
      <c r="W123" s="512"/>
      <c r="X123" s="512"/>
      <c r="Y123" s="512"/>
      <c r="Z123" s="512"/>
      <c r="AA123" s="512"/>
    </row>
    <row r="124">
      <c r="A124" s="512"/>
      <c r="B124" s="512"/>
      <c r="C124" s="512"/>
      <c r="D124" s="512"/>
      <c r="E124" s="512"/>
      <c r="F124" s="512"/>
      <c r="G124" s="512"/>
      <c r="H124" s="512"/>
      <c r="I124" s="512"/>
      <c r="J124" s="512"/>
      <c r="K124" s="512"/>
      <c r="L124" s="512"/>
      <c r="M124" s="512"/>
      <c r="N124" s="512"/>
      <c r="O124" s="512"/>
      <c r="P124" s="512"/>
      <c r="Q124" s="512"/>
      <c r="R124" s="512"/>
      <c r="S124" s="512"/>
      <c r="T124" s="512"/>
      <c r="U124" s="512"/>
      <c r="V124" s="512"/>
      <c r="W124" s="512"/>
      <c r="X124" s="512"/>
      <c r="Y124" s="512"/>
      <c r="Z124" s="512"/>
      <c r="AA124" s="512"/>
    </row>
    <row r="125">
      <c r="A125" s="512"/>
      <c r="B125" s="512"/>
      <c r="C125" s="512"/>
      <c r="D125" s="512"/>
      <c r="E125" s="512"/>
      <c r="F125" s="512"/>
      <c r="G125" s="512"/>
      <c r="H125" s="512"/>
      <c r="I125" s="512"/>
      <c r="J125" s="512"/>
      <c r="K125" s="512"/>
      <c r="L125" s="512"/>
      <c r="M125" s="512"/>
      <c r="N125" s="512"/>
      <c r="O125" s="512"/>
      <c r="P125" s="512"/>
      <c r="Q125" s="512"/>
      <c r="R125" s="512"/>
      <c r="S125" s="512"/>
      <c r="T125" s="512"/>
      <c r="U125" s="512"/>
      <c r="V125" s="512"/>
      <c r="W125" s="512"/>
      <c r="X125" s="512"/>
      <c r="Y125" s="512"/>
      <c r="Z125" s="512"/>
      <c r="AA125" s="512"/>
    </row>
    <row r="126">
      <c r="A126" s="512"/>
      <c r="B126" s="512"/>
      <c r="C126" s="512"/>
      <c r="D126" s="512"/>
      <c r="E126" s="512"/>
      <c r="F126" s="512"/>
      <c r="G126" s="512"/>
      <c r="H126" s="512"/>
      <c r="I126" s="512"/>
      <c r="J126" s="512"/>
      <c r="K126" s="512"/>
      <c r="L126" s="512"/>
      <c r="M126" s="512"/>
      <c r="N126" s="512"/>
      <c r="O126" s="512"/>
      <c r="P126" s="512"/>
      <c r="Q126" s="512"/>
      <c r="R126" s="512"/>
      <c r="S126" s="512"/>
      <c r="T126" s="512"/>
      <c r="U126" s="512"/>
      <c r="V126" s="512"/>
      <c r="W126" s="512"/>
      <c r="X126" s="512"/>
      <c r="Y126" s="512"/>
      <c r="Z126" s="512"/>
      <c r="AA126" s="512"/>
    </row>
    <row r="127">
      <c r="A127" s="512"/>
      <c r="B127" s="512"/>
      <c r="C127" s="512"/>
      <c r="D127" s="512"/>
      <c r="E127" s="512"/>
      <c r="F127" s="512"/>
      <c r="G127" s="512"/>
      <c r="H127" s="512"/>
      <c r="I127" s="512"/>
      <c r="J127" s="512"/>
      <c r="K127" s="512"/>
      <c r="L127" s="512"/>
      <c r="M127" s="512"/>
      <c r="N127" s="512"/>
      <c r="O127" s="512"/>
      <c r="P127" s="512"/>
      <c r="Q127" s="512"/>
      <c r="R127" s="512"/>
      <c r="S127" s="512"/>
      <c r="T127" s="512"/>
      <c r="U127" s="512"/>
      <c r="V127" s="512"/>
      <c r="W127" s="512"/>
      <c r="X127" s="512"/>
      <c r="Y127" s="512"/>
      <c r="Z127" s="512"/>
      <c r="AA127" s="512"/>
    </row>
    <row r="128">
      <c r="A128" s="512"/>
      <c r="B128" s="512"/>
      <c r="C128" s="512"/>
      <c r="D128" s="512"/>
      <c r="E128" s="512"/>
      <c r="F128" s="512"/>
      <c r="G128" s="512"/>
      <c r="H128" s="512"/>
      <c r="I128" s="512"/>
      <c r="J128" s="512"/>
      <c r="K128" s="512"/>
      <c r="L128" s="512"/>
      <c r="M128" s="512"/>
      <c r="N128" s="512"/>
      <c r="O128" s="512"/>
      <c r="P128" s="512"/>
      <c r="Q128" s="512"/>
      <c r="R128" s="512"/>
      <c r="S128" s="512"/>
      <c r="T128" s="512"/>
      <c r="U128" s="512"/>
      <c r="V128" s="512"/>
      <c r="W128" s="512"/>
      <c r="X128" s="512"/>
      <c r="Y128" s="512"/>
      <c r="Z128" s="512"/>
      <c r="AA128" s="512"/>
    </row>
    <row r="129">
      <c r="A129" s="512"/>
      <c r="B129" s="512"/>
      <c r="C129" s="512"/>
      <c r="D129" s="512"/>
      <c r="E129" s="512"/>
      <c r="F129" s="512"/>
      <c r="G129" s="512"/>
      <c r="H129" s="512"/>
      <c r="I129" s="512"/>
      <c r="J129" s="512"/>
      <c r="K129" s="512"/>
      <c r="L129" s="512"/>
      <c r="M129" s="512"/>
      <c r="N129" s="512"/>
      <c r="O129" s="512"/>
      <c r="P129" s="512"/>
      <c r="Q129" s="512"/>
      <c r="R129" s="512"/>
      <c r="S129" s="512"/>
      <c r="T129" s="512"/>
      <c r="U129" s="512"/>
      <c r="V129" s="512"/>
      <c r="W129" s="512"/>
      <c r="X129" s="512"/>
      <c r="Y129" s="512"/>
      <c r="Z129" s="512"/>
      <c r="AA129" s="512"/>
    </row>
    <row r="130">
      <c r="A130" s="512"/>
      <c r="B130" s="512"/>
      <c r="C130" s="512"/>
      <c r="D130" s="512"/>
      <c r="E130" s="512"/>
      <c r="F130" s="512"/>
      <c r="G130" s="512"/>
      <c r="H130" s="512"/>
      <c r="I130" s="512"/>
      <c r="J130" s="512"/>
      <c r="K130" s="512"/>
      <c r="L130" s="512"/>
      <c r="M130" s="512"/>
      <c r="N130" s="512"/>
      <c r="O130" s="512"/>
      <c r="P130" s="512"/>
      <c r="Q130" s="512"/>
      <c r="R130" s="512"/>
      <c r="S130" s="512"/>
      <c r="T130" s="512"/>
      <c r="U130" s="512"/>
      <c r="V130" s="512"/>
      <c r="W130" s="512"/>
      <c r="X130" s="512"/>
      <c r="Y130" s="512"/>
      <c r="Z130" s="512"/>
      <c r="AA130" s="512"/>
    </row>
    <row r="131">
      <c r="A131" s="512"/>
      <c r="B131" s="512"/>
      <c r="C131" s="512"/>
      <c r="D131" s="512"/>
      <c r="E131" s="512"/>
      <c r="F131" s="512"/>
      <c r="G131" s="512"/>
      <c r="H131" s="512"/>
      <c r="I131" s="512"/>
      <c r="J131" s="512"/>
      <c r="K131" s="512"/>
      <c r="L131" s="512"/>
      <c r="M131" s="512"/>
      <c r="N131" s="512"/>
      <c r="O131" s="512"/>
      <c r="P131" s="512"/>
      <c r="Q131" s="512"/>
      <c r="R131" s="512"/>
      <c r="S131" s="512"/>
      <c r="T131" s="512"/>
      <c r="U131" s="512"/>
      <c r="V131" s="512"/>
      <c r="W131" s="512"/>
      <c r="X131" s="512"/>
      <c r="Y131" s="512"/>
      <c r="Z131" s="512"/>
      <c r="AA131" s="512"/>
    </row>
    <row r="132">
      <c r="A132" s="512"/>
      <c r="B132" s="512"/>
      <c r="C132" s="512"/>
      <c r="D132" s="512"/>
      <c r="E132" s="512"/>
      <c r="F132" s="512"/>
      <c r="G132" s="512"/>
      <c r="H132" s="512"/>
      <c r="I132" s="512"/>
      <c r="J132" s="512"/>
      <c r="K132" s="512"/>
      <c r="L132" s="512"/>
      <c r="M132" s="512"/>
      <c r="N132" s="512"/>
      <c r="O132" s="512"/>
      <c r="P132" s="512"/>
      <c r="Q132" s="512"/>
      <c r="R132" s="512"/>
      <c r="S132" s="512"/>
      <c r="T132" s="512"/>
      <c r="U132" s="512"/>
      <c r="V132" s="512"/>
      <c r="W132" s="512"/>
      <c r="X132" s="512"/>
      <c r="Y132" s="512"/>
      <c r="Z132" s="512"/>
      <c r="AA132" s="512"/>
    </row>
    <row r="133">
      <c r="A133" s="512"/>
      <c r="B133" s="512"/>
      <c r="C133" s="512"/>
      <c r="D133" s="512"/>
      <c r="E133" s="512"/>
      <c r="F133" s="512"/>
      <c r="G133" s="512"/>
      <c r="H133" s="512"/>
      <c r="I133" s="512"/>
      <c r="J133" s="512"/>
      <c r="K133" s="512"/>
      <c r="L133" s="512"/>
      <c r="M133" s="512"/>
      <c r="N133" s="512"/>
      <c r="O133" s="512"/>
      <c r="P133" s="512"/>
      <c r="Q133" s="512"/>
      <c r="R133" s="512"/>
      <c r="S133" s="512"/>
      <c r="T133" s="512"/>
      <c r="U133" s="512"/>
      <c r="V133" s="512"/>
      <c r="W133" s="512"/>
      <c r="X133" s="512"/>
      <c r="Y133" s="512"/>
      <c r="Z133" s="512"/>
      <c r="AA133" s="512"/>
    </row>
    <row r="134">
      <c r="A134" s="512"/>
      <c r="B134" s="512"/>
      <c r="C134" s="512"/>
      <c r="D134" s="512"/>
      <c r="E134" s="512"/>
      <c r="F134" s="512"/>
      <c r="G134" s="512"/>
      <c r="H134" s="512"/>
      <c r="I134" s="512"/>
      <c r="J134" s="512"/>
      <c r="K134" s="512"/>
      <c r="L134" s="512"/>
      <c r="M134" s="512"/>
      <c r="N134" s="512"/>
      <c r="O134" s="512"/>
      <c r="P134" s="512"/>
      <c r="Q134" s="512"/>
      <c r="R134" s="512"/>
      <c r="S134" s="512"/>
      <c r="T134" s="512"/>
      <c r="U134" s="512"/>
      <c r="V134" s="512"/>
      <c r="W134" s="512"/>
      <c r="X134" s="512"/>
      <c r="Y134" s="512"/>
      <c r="Z134" s="512"/>
      <c r="AA134" s="512"/>
    </row>
    <row r="135">
      <c r="A135" s="512"/>
      <c r="B135" s="512"/>
      <c r="C135" s="512"/>
      <c r="D135" s="512"/>
      <c r="E135" s="512"/>
      <c r="F135" s="512"/>
      <c r="G135" s="512"/>
      <c r="H135" s="512"/>
      <c r="I135" s="512"/>
      <c r="J135" s="512"/>
      <c r="K135" s="512"/>
      <c r="L135" s="512"/>
      <c r="M135" s="512"/>
      <c r="N135" s="512"/>
      <c r="O135" s="512"/>
      <c r="P135" s="512"/>
      <c r="Q135" s="512"/>
      <c r="R135" s="512"/>
      <c r="S135" s="512"/>
      <c r="T135" s="512"/>
      <c r="U135" s="512"/>
      <c r="V135" s="512"/>
      <c r="W135" s="512"/>
      <c r="X135" s="512"/>
      <c r="Y135" s="512"/>
      <c r="Z135" s="512"/>
      <c r="AA135" s="512"/>
    </row>
    <row r="136">
      <c r="A136" s="512"/>
      <c r="B136" s="512"/>
      <c r="C136" s="512"/>
      <c r="D136" s="512"/>
      <c r="E136" s="512"/>
      <c r="F136" s="512"/>
      <c r="G136" s="512"/>
      <c r="H136" s="512"/>
      <c r="I136" s="512"/>
      <c r="J136" s="512"/>
      <c r="K136" s="512"/>
      <c r="L136" s="512"/>
      <c r="M136" s="512"/>
      <c r="N136" s="512"/>
      <c r="O136" s="512"/>
      <c r="P136" s="512"/>
      <c r="Q136" s="512"/>
      <c r="R136" s="512"/>
      <c r="S136" s="512"/>
      <c r="T136" s="512"/>
      <c r="U136" s="512"/>
      <c r="V136" s="512"/>
      <c r="W136" s="512"/>
      <c r="X136" s="512"/>
      <c r="Y136" s="512"/>
      <c r="Z136" s="512"/>
      <c r="AA136" s="512"/>
    </row>
    <row r="137">
      <c r="A137" s="512"/>
      <c r="B137" s="512"/>
      <c r="C137" s="512"/>
      <c r="D137" s="512"/>
      <c r="E137" s="512"/>
      <c r="F137" s="512"/>
      <c r="G137" s="512"/>
      <c r="H137" s="512"/>
      <c r="I137" s="512"/>
      <c r="J137" s="512"/>
      <c r="K137" s="512"/>
      <c r="L137" s="512"/>
      <c r="M137" s="512"/>
      <c r="N137" s="512"/>
      <c r="O137" s="512"/>
      <c r="P137" s="512"/>
      <c r="Q137" s="512"/>
      <c r="R137" s="512"/>
      <c r="S137" s="512"/>
      <c r="T137" s="512"/>
      <c r="U137" s="512"/>
      <c r="V137" s="512"/>
      <c r="W137" s="512"/>
      <c r="X137" s="512"/>
      <c r="Y137" s="512"/>
      <c r="Z137" s="512"/>
      <c r="AA137" s="512"/>
    </row>
    <row r="138">
      <c r="A138" s="512"/>
      <c r="B138" s="512"/>
      <c r="C138" s="512"/>
      <c r="D138" s="512"/>
      <c r="E138" s="512"/>
      <c r="F138" s="512"/>
      <c r="G138" s="512"/>
      <c r="H138" s="512"/>
      <c r="I138" s="512"/>
      <c r="J138" s="512"/>
      <c r="K138" s="512"/>
      <c r="L138" s="512"/>
      <c r="M138" s="512"/>
      <c r="N138" s="512"/>
      <c r="O138" s="512"/>
      <c r="P138" s="512"/>
      <c r="Q138" s="512"/>
      <c r="R138" s="512"/>
      <c r="S138" s="512"/>
      <c r="T138" s="512"/>
      <c r="U138" s="512"/>
      <c r="V138" s="512"/>
      <c r="W138" s="512"/>
      <c r="X138" s="512"/>
      <c r="Y138" s="512"/>
      <c r="Z138" s="512"/>
      <c r="AA138" s="512"/>
    </row>
    <row r="139">
      <c r="A139" s="512"/>
      <c r="B139" s="512"/>
      <c r="C139" s="512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  <c r="Z139" s="512"/>
      <c r="AA139" s="512"/>
    </row>
    <row r="140">
      <c r="A140" s="512"/>
      <c r="B140" s="512"/>
      <c r="C140" s="512"/>
      <c r="D140" s="512"/>
      <c r="E140" s="512"/>
      <c r="F140" s="512"/>
      <c r="G140" s="512"/>
      <c r="H140" s="512"/>
      <c r="I140" s="512"/>
      <c r="J140" s="512"/>
      <c r="K140" s="512"/>
      <c r="L140" s="512"/>
      <c r="M140" s="512"/>
      <c r="N140" s="512"/>
      <c r="O140" s="512"/>
      <c r="P140" s="512"/>
      <c r="Q140" s="512"/>
      <c r="R140" s="512"/>
      <c r="S140" s="512"/>
      <c r="T140" s="512"/>
      <c r="U140" s="512"/>
      <c r="V140" s="512"/>
      <c r="W140" s="512"/>
      <c r="X140" s="512"/>
      <c r="Y140" s="512"/>
      <c r="Z140" s="512"/>
      <c r="AA140" s="512"/>
    </row>
    <row r="141">
      <c r="A141" s="512"/>
      <c r="B141" s="512"/>
      <c r="C141" s="512"/>
      <c r="D141" s="512"/>
      <c r="E141" s="512"/>
      <c r="F141" s="512"/>
      <c r="G141" s="512"/>
      <c r="H141" s="512"/>
      <c r="I141" s="512"/>
      <c r="J141" s="512"/>
      <c r="K141" s="512"/>
      <c r="L141" s="512"/>
      <c r="M141" s="512"/>
      <c r="N141" s="512"/>
      <c r="O141" s="512"/>
      <c r="P141" s="512"/>
      <c r="Q141" s="512"/>
      <c r="R141" s="512"/>
      <c r="S141" s="512"/>
      <c r="T141" s="512"/>
      <c r="U141" s="512"/>
      <c r="V141" s="512"/>
      <c r="W141" s="512"/>
      <c r="X141" s="512"/>
      <c r="Y141" s="512"/>
      <c r="Z141" s="512"/>
      <c r="AA141" s="512"/>
    </row>
    <row r="142">
      <c r="A142" s="512"/>
      <c r="B142" s="512"/>
      <c r="C142" s="512"/>
      <c r="D142" s="512"/>
      <c r="E142" s="512"/>
      <c r="F142" s="512"/>
      <c r="G142" s="512"/>
      <c r="H142" s="512"/>
      <c r="I142" s="512"/>
      <c r="J142" s="512"/>
      <c r="K142" s="512"/>
      <c r="L142" s="512"/>
      <c r="M142" s="512"/>
      <c r="N142" s="512"/>
      <c r="O142" s="512"/>
      <c r="P142" s="512"/>
      <c r="Q142" s="512"/>
      <c r="R142" s="512"/>
      <c r="S142" s="512"/>
      <c r="T142" s="512"/>
      <c r="U142" s="512"/>
      <c r="V142" s="512"/>
      <c r="W142" s="512"/>
      <c r="X142" s="512"/>
      <c r="Y142" s="512"/>
      <c r="Z142" s="512"/>
      <c r="AA142" s="512"/>
    </row>
    <row r="143">
      <c r="A143" s="512"/>
      <c r="B143" s="512"/>
      <c r="C143" s="512"/>
      <c r="D143" s="512"/>
      <c r="E143" s="512"/>
      <c r="F143" s="512"/>
      <c r="G143" s="512"/>
      <c r="H143" s="512"/>
      <c r="I143" s="512"/>
      <c r="J143" s="512"/>
      <c r="K143" s="512"/>
      <c r="L143" s="512"/>
      <c r="M143" s="512"/>
      <c r="N143" s="512"/>
      <c r="O143" s="512"/>
      <c r="P143" s="512"/>
      <c r="Q143" s="512"/>
      <c r="R143" s="512"/>
      <c r="S143" s="512"/>
      <c r="T143" s="512"/>
      <c r="U143" s="512"/>
      <c r="V143" s="512"/>
      <c r="W143" s="512"/>
      <c r="X143" s="512"/>
      <c r="Y143" s="512"/>
      <c r="Z143" s="512"/>
      <c r="AA143" s="512"/>
    </row>
    <row r="144">
      <c r="A144" s="512"/>
      <c r="B144" s="512"/>
      <c r="C144" s="512"/>
      <c r="D144" s="512"/>
      <c r="E144" s="512"/>
      <c r="F144" s="512"/>
      <c r="G144" s="512"/>
      <c r="H144" s="512"/>
      <c r="I144" s="512"/>
      <c r="J144" s="512"/>
      <c r="K144" s="512"/>
      <c r="L144" s="512"/>
      <c r="M144" s="512"/>
      <c r="N144" s="512"/>
      <c r="O144" s="512"/>
      <c r="P144" s="512"/>
      <c r="Q144" s="512"/>
      <c r="R144" s="512"/>
      <c r="S144" s="512"/>
      <c r="T144" s="512"/>
      <c r="U144" s="512"/>
      <c r="V144" s="512"/>
      <c r="W144" s="512"/>
      <c r="X144" s="512"/>
      <c r="Y144" s="512"/>
      <c r="Z144" s="512"/>
      <c r="AA144" s="512"/>
    </row>
    <row r="145">
      <c r="A145" s="512"/>
      <c r="B145" s="512"/>
      <c r="C145" s="512"/>
      <c r="D145" s="512"/>
      <c r="E145" s="512"/>
      <c r="F145" s="512"/>
      <c r="G145" s="512"/>
      <c r="H145" s="512"/>
      <c r="I145" s="512"/>
      <c r="J145" s="512"/>
      <c r="K145" s="512"/>
      <c r="L145" s="512"/>
      <c r="M145" s="512"/>
      <c r="N145" s="512"/>
      <c r="O145" s="512"/>
      <c r="P145" s="512"/>
      <c r="Q145" s="512"/>
      <c r="R145" s="512"/>
      <c r="S145" s="512"/>
      <c r="T145" s="512"/>
      <c r="U145" s="512"/>
      <c r="V145" s="512"/>
      <c r="W145" s="512"/>
      <c r="X145" s="512"/>
      <c r="Y145" s="512"/>
      <c r="Z145" s="512"/>
      <c r="AA145" s="512"/>
    </row>
    <row r="146">
      <c r="A146" s="512"/>
      <c r="B146" s="512"/>
      <c r="C146" s="512"/>
      <c r="D146" s="512"/>
      <c r="E146" s="512"/>
      <c r="F146" s="512"/>
      <c r="G146" s="512"/>
      <c r="H146" s="512"/>
      <c r="I146" s="512"/>
      <c r="J146" s="512"/>
      <c r="K146" s="512"/>
      <c r="L146" s="512"/>
      <c r="M146" s="512"/>
      <c r="N146" s="512"/>
      <c r="O146" s="512"/>
      <c r="P146" s="512"/>
      <c r="Q146" s="512"/>
      <c r="R146" s="512"/>
      <c r="S146" s="512"/>
      <c r="T146" s="512"/>
      <c r="U146" s="512"/>
      <c r="V146" s="512"/>
      <c r="W146" s="512"/>
      <c r="X146" s="512"/>
      <c r="Y146" s="512"/>
      <c r="Z146" s="512"/>
      <c r="AA146" s="512"/>
    </row>
    <row r="147">
      <c r="A147" s="512"/>
      <c r="B147" s="512"/>
      <c r="C147" s="512"/>
      <c r="D147" s="512"/>
      <c r="E147" s="512"/>
      <c r="F147" s="512"/>
      <c r="G147" s="512"/>
      <c r="H147" s="512"/>
      <c r="I147" s="512"/>
      <c r="J147" s="512"/>
      <c r="K147" s="512"/>
      <c r="L147" s="512"/>
      <c r="M147" s="512"/>
      <c r="N147" s="512"/>
      <c r="O147" s="512"/>
      <c r="P147" s="512"/>
      <c r="Q147" s="512"/>
      <c r="R147" s="512"/>
      <c r="S147" s="512"/>
      <c r="T147" s="512"/>
      <c r="U147" s="512"/>
      <c r="V147" s="512"/>
      <c r="W147" s="512"/>
      <c r="X147" s="512"/>
      <c r="Y147" s="512"/>
      <c r="Z147" s="512"/>
      <c r="AA147" s="512"/>
    </row>
    <row r="148">
      <c r="A148" s="512"/>
      <c r="B148" s="512"/>
      <c r="C148" s="512"/>
      <c r="D148" s="512"/>
      <c r="E148" s="512"/>
      <c r="F148" s="512"/>
      <c r="G148" s="512"/>
      <c r="H148" s="512"/>
      <c r="I148" s="512"/>
      <c r="J148" s="512"/>
      <c r="K148" s="512"/>
      <c r="L148" s="512"/>
      <c r="M148" s="512"/>
      <c r="N148" s="512"/>
      <c r="O148" s="512"/>
      <c r="P148" s="512"/>
      <c r="Q148" s="512"/>
      <c r="R148" s="512"/>
      <c r="S148" s="512"/>
      <c r="T148" s="512"/>
      <c r="U148" s="512"/>
      <c r="V148" s="512"/>
      <c r="W148" s="512"/>
      <c r="X148" s="512"/>
      <c r="Y148" s="512"/>
      <c r="Z148" s="512"/>
      <c r="AA148" s="512"/>
    </row>
    <row r="149">
      <c r="A149" s="512"/>
      <c r="B149" s="512"/>
      <c r="C149" s="512"/>
      <c r="D149" s="512"/>
      <c r="E149" s="512"/>
      <c r="F149" s="512"/>
      <c r="G149" s="512"/>
      <c r="H149" s="512"/>
      <c r="I149" s="512"/>
      <c r="J149" s="512"/>
      <c r="K149" s="512"/>
      <c r="L149" s="512"/>
      <c r="M149" s="512"/>
      <c r="N149" s="512"/>
      <c r="O149" s="512"/>
      <c r="P149" s="512"/>
      <c r="Q149" s="512"/>
      <c r="R149" s="512"/>
      <c r="S149" s="512"/>
      <c r="T149" s="512"/>
      <c r="U149" s="512"/>
      <c r="V149" s="512"/>
      <c r="W149" s="512"/>
      <c r="X149" s="512"/>
      <c r="Y149" s="512"/>
      <c r="Z149" s="512"/>
      <c r="AA149" s="512"/>
    </row>
    <row r="150">
      <c r="A150" s="512"/>
      <c r="B150" s="512"/>
      <c r="C150" s="512"/>
      <c r="D150" s="512"/>
      <c r="E150" s="512"/>
      <c r="F150" s="512"/>
      <c r="G150" s="512"/>
      <c r="H150" s="512"/>
      <c r="I150" s="512"/>
      <c r="J150" s="512"/>
      <c r="K150" s="512"/>
      <c r="L150" s="512"/>
      <c r="M150" s="512"/>
      <c r="N150" s="512"/>
      <c r="O150" s="512"/>
      <c r="P150" s="512"/>
      <c r="Q150" s="512"/>
      <c r="R150" s="512"/>
      <c r="S150" s="512"/>
      <c r="T150" s="512"/>
      <c r="U150" s="512"/>
      <c r="V150" s="512"/>
      <c r="W150" s="512"/>
      <c r="X150" s="512"/>
      <c r="Y150" s="512"/>
      <c r="Z150" s="512"/>
      <c r="AA150" s="512"/>
    </row>
    <row r="151">
      <c r="A151" s="512"/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2"/>
      <c r="M151" s="512"/>
      <c r="N151" s="512"/>
      <c r="O151" s="512"/>
      <c r="P151" s="512"/>
      <c r="Q151" s="512"/>
      <c r="R151" s="512"/>
      <c r="S151" s="512"/>
      <c r="T151" s="512"/>
      <c r="U151" s="512"/>
      <c r="V151" s="512"/>
      <c r="W151" s="512"/>
      <c r="X151" s="512"/>
      <c r="Y151" s="512"/>
      <c r="Z151" s="512"/>
      <c r="AA151" s="512"/>
    </row>
    <row r="152">
      <c r="A152" s="512"/>
      <c r="B152" s="512"/>
      <c r="C152" s="512"/>
      <c r="D152" s="512"/>
      <c r="E152" s="512"/>
      <c r="F152" s="512"/>
      <c r="G152" s="512"/>
      <c r="H152" s="512"/>
      <c r="I152" s="512"/>
      <c r="J152" s="512"/>
      <c r="K152" s="512"/>
      <c r="L152" s="512"/>
      <c r="M152" s="512"/>
      <c r="N152" s="512"/>
      <c r="O152" s="512"/>
      <c r="P152" s="512"/>
      <c r="Q152" s="512"/>
      <c r="R152" s="512"/>
      <c r="S152" s="512"/>
      <c r="T152" s="512"/>
      <c r="U152" s="512"/>
      <c r="V152" s="512"/>
      <c r="W152" s="512"/>
      <c r="X152" s="512"/>
      <c r="Y152" s="512"/>
      <c r="Z152" s="512"/>
      <c r="AA152" s="512"/>
    </row>
    <row r="153">
      <c r="A153" s="512"/>
      <c r="B153" s="512"/>
      <c r="C153" s="512"/>
      <c r="D153" s="512"/>
      <c r="E153" s="512"/>
      <c r="F153" s="512"/>
      <c r="G153" s="512"/>
      <c r="H153" s="512"/>
      <c r="I153" s="512"/>
      <c r="J153" s="512"/>
      <c r="K153" s="512"/>
      <c r="L153" s="512"/>
      <c r="M153" s="512"/>
      <c r="N153" s="512"/>
      <c r="O153" s="512"/>
      <c r="P153" s="512"/>
      <c r="Q153" s="512"/>
      <c r="R153" s="512"/>
      <c r="S153" s="512"/>
      <c r="T153" s="512"/>
      <c r="U153" s="512"/>
      <c r="V153" s="512"/>
      <c r="W153" s="512"/>
      <c r="X153" s="512"/>
      <c r="Y153" s="512"/>
      <c r="Z153" s="512"/>
      <c r="AA153" s="512"/>
    </row>
    <row r="154">
      <c r="A154" s="512"/>
      <c r="B154" s="512"/>
      <c r="C154" s="512"/>
      <c r="D154" s="512"/>
      <c r="E154" s="512"/>
      <c r="F154" s="512"/>
      <c r="G154" s="512"/>
      <c r="H154" s="512"/>
      <c r="I154" s="512"/>
      <c r="J154" s="512"/>
      <c r="K154" s="512"/>
      <c r="L154" s="512"/>
      <c r="M154" s="512"/>
      <c r="N154" s="512"/>
      <c r="O154" s="512"/>
      <c r="P154" s="512"/>
      <c r="Q154" s="512"/>
      <c r="R154" s="512"/>
      <c r="S154" s="512"/>
      <c r="T154" s="512"/>
      <c r="U154" s="512"/>
      <c r="V154" s="512"/>
      <c r="W154" s="512"/>
      <c r="X154" s="512"/>
      <c r="Y154" s="512"/>
      <c r="Z154" s="512"/>
      <c r="AA154" s="512"/>
    </row>
    <row r="155">
      <c r="A155" s="512"/>
      <c r="B155" s="512"/>
      <c r="C155" s="512"/>
      <c r="D155" s="512"/>
      <c r="E155" s="512"/>
      <c r="F155" s="512"/>
      <c r="G155" s="512"/>
      <c r="H155" s="512"/>
      <c r="I155" s="512"/>
      <c r="J155" s="512"/>
      <c r="K155" s="512"/>
      <c r="L155" s="512"/>
      <c r="M155" s="512"/>
      <c r="N155" s="512"/>
      <c r="O155" s="512"/>
      <c r="P155" s="512"/>
      <c r="Q155" s="512"/>
      <c r="R155" s="512"/>
      <c r="S155" s="512"/>
      <c r="T155" s="512"/>
      <c r="U155" s="512"/>
      <c r="V155" s="512"/>
      <c r="W155" s="512"/>
      <c r="X155" s="512"/>
      <c r="Y155" s="512"/>
      <c r="Z155" s="512"/>
      <c r="AA155" s="512"/>
    </row>
    <row r="156">
      <c r="A156" s="512"/>
      <c r="B156" s="512"/>
      <c r="C156" s="512"/>
      <c r="D156" s="512"/>
      <c r="E156" s="512"/>
      <c r="F156" s="512"/>
      <c r="G156" s="512"/>
      <c r="H156" s="512"/>
      <c r="I156" s="512"/>
      <c r="J156" s="512"/>
      <c r="K156" s="512"/>
      <c r="L156" s="512"/>
      <c r="M156" s="512"/>
      <c r="N156" s="512"/>
      <c r="O156" s="512"/>
      <c r="P156" s="512"/>
      <c r="Q156" s="512"/>
      <c r="R156" s="512"/>
      <c r="S156" s="512"/>
      <c r="T156" s="512"/>
      <c r="U156" s="512"/>
      <c r="V156" s="512"/>
      <c r="W156" s="512"/>
      <c r="X156" s="512"/>
      <c r="Y156" s="512"/>
      <c r="Z156" s="512"/>
      <c r="AA156" s="512"/>
    </row>
    <row r="157">
      <c r="A157" s="512"/>
      <c r="B157" s="512"/>
      <c r="C157" s="512"/>
      <c r="D157" s="512"/>
      <c r="E157" s="512"/>
      <c r="F157" s="512"/>
      <c r="G157" s="512"/>
      <c r="H157" s="512"/>
      <c r="I157" s="512"/>
      <c r="J157" s="512"/>
      <c r="K157" s="512"/>
      <c r="L157" s="512"/>
      <c r="M157" s="512"/>
      <c r="N157" s="512"/>
      <c r="O157" s="512"/>
      <c r="P157" s="512"/>
      <c r="Q157" s="512"/>
      <c r="R157" s="512"/>
      <c r="S157" s="512"/>
      <c r="T157" s="512"/>
      <c r="U157" s="512"/>
      <c r="V157" s="512"/>
      <c r="W157" s="512"/>
      <c r="X157" s="512"/>
      <c r="Y157" s="512"/>
      <c r="Z157" s="512"/>
      <c r="AA157" s="512"/>
    </row>
    <row r="158">
      <c r="A158" s="512"/>
      <c r="B158" s="512"/>
      <c r="C158" s="512"/>
      <c r="D158" s="512"/>
      <c r="E158" s="512"/>
      <c r="F158" s="512"/>
      <c r="G158" s="512"/>
      <c r="H158" s="512"/>
      <c r="I158" s="512"/>
      <c r="J158" s="512"/>
      <c r="K158" s="512"/>
      <c r="L158" s="512"/>
      <c r="M158" s="512"/>
      <c r="N158" s="512"/>
      <c r="O158" s="512"/>
      <c r="P158" s="512"/>
      <c r="Q158" s="512"/>
      <c r="R158" s="512"/>
      <c r="S158" s="512"/>
      <c r="T158" s="512"/>
      <c r="U158" s="512"/>
      <c r="V158" s="512"/>
      <c r="W158" s="512"/>
      <c r="X158" s="512"/>
      <c r="Y158" s="512"/>
      <c r="Z158" s="512"/>
      <c r="AA158" s="512"/>
    </row>
    <row r="159">
      <c r="A159" s="512"/>
      <c r="B159" s="512"/>
      <c r="C159" s="512"/>
      <c r="D159" s="512"/>
      <c r="E159" s="512"/>
      <c r="F159" s="512"/>
      <c r="G159" s="512"/>
      <c r="H159" s="512"/>
      <c r="I159" s="512"/>
      <c r="J159" s="512"/>
      <c r="K159" s="512"/>
      <c r="L159" s="512"/>
      <c r="M159" s="512"/>
      <c r="N159" s="512"/>
      <c r="O159" s="512"/>
      <c r="P159" s="512"/>
      <c r="Q159" s="512"/>
      <c r="R159" s="512"/>
      <c r="S159" s="512"/>
      <c r="T159" s="512"/>
      <c r="U159" s="512"/>
      <c r="V159" s="512"/>
      <c r="W159" s="512"/>
      <c r="X159" s="512"/>
      <c r="Y159" s="512"/>
      <c r="Z159" s="512"/>
      <c r="AA159" s="512"/>
    </row>
    <row r="160">
      <c r="A160" s="512"/>
      <c r="B160" s="512"/>
      <c r="C160" s="512"/>
      <c r="D160" s="512"/>
      <c r="E160" s="512"/>
      <c r="F160" s="512"/>
      <c r="G160" s="512"/>
      <c r="H160" s="512"/>
      <c r="I160" s="512"/>
      <c r="J160" s="512"/>
      <c r="K160" s="512"/>
      <c r="L160" s="512"/>
      <c r="M160" s="512"/>
      <c r="N160" s="512"/>
      <c r="O160" s="512"/>
      <c r="P160" s="512"/>
      <c r="Q160" s="512"/>
      <c r="R160" s="512"/>
      <c r="S160" s="512"/>
      <c r="T160" s="512"/>
      <c r="U160" s="512"/>
      <c r="V160" s="512"/>
      <c r="W160" s="512"/>
      <c r="X160" s="512"/>
      <c r="Y160" s="512"/>
      <c r="Z160" s="512"/>
      <c r="AA160" s="512"/>
    </row>
    <row r="161">
      <c r="A161" s="512"/>
      <c r="B161" s="512"/>
      <c r="C161" s="512"/>
      <c r="D161" s="512"/>
      <c r="E161" s="512"/>
      <c r="F161" s="512"/>
      <c r="G161" s="512"/>
      <c r="H161" s="512"/>
      <c r="I161" s="512"/>
      <c r="J161" s="512"/>
      <c r="K161" s="512"/>
      <c r="L161" s="512"/>
      <c r="M161" s="512"/>
      <c r="N161" s="512"/>
      <c r="O161" s="512"/>
      <c r="P161" s="512"/>
      <c r="Q161" s="512"/>
      <c r="R161" s="512"/>
      <c r="S161" s="512"/>
      <c r="T161" s="512"/>
      <c r="U161" s="512"/>
      <c r="V161" s="512"/>
      <c r="W161" s="512"/>
      <c r="X161" s="512"/>
      <c r="Y161" s="512"/>
      <c r="Z161" s="512"/>
      <c r="AA161" s="512"/>
    </row>
    <row r="162">
      <c r="A162" s="512"/>
      <c r="B162" s="512"/>
      <c r="C162" s="512"/>
      <c r="D162" s="512"/>
      <c r="E162" s="512"/>
      <c r="F162" s="512"/>
      <c r="G162" s="512"/>
      <c r="H162" s="512"/>
      <c r="I162" s="512"/>
      <c r="J162" s="512"/>
      <c r="K162" s="512"/>
      <c r="L162" s="512"/>
      <c r="M162" s="512"/>
      <c r="N162" s="512"/>
      <c r="O162" s="512"/>
      <c r="P162" s="512"/>
      <c r="Q162" s="512"/>
      <c r="R162" s="512"/>
      <c r="S162" s="512"/>
      <c r="T162" s="512"/>
      <c r="U162" s="512"/>
      <c r="V162" s="512"/>
      <c r="W162" s="512"/>
      <c r="X162" s="512"/>
      <c r="Y162" s="512"/>
      <c r="Z162" s="512"/>
      <c r="AA162" s="512"/>
    </row>
    <row r="163">
      <c r="A163" s="512"/>
      <c r="B163" s="512"/>
      <c r="C163" s="512"/>
      <c r="D163" s="512"/>
      <c r="E163" s="512"/>
      <c r="F163" s="512"/>
      <c r="G163" s="512"/>
      <c r="H163" s="512"/>
      <c r="I163" s="512"/>
      <c r="J163" s="512"/>
      <c r="K163" s="512"/>
      <c r="L163" s="512"/>
      <c r="M163" s="512"/>
      <c r="N163" s="512"/>
      <c r="O163" s="512"/>
      <c r="P163" s="512"/>
      <c r="Q163" s="512"/>
      <c r="R163" s="512"/>
      <c r="S163" s="512"/>
      <c r="T163" s="512"/>
      <c r="U163" s="512"/>
      <c r="V163" s="512"/>
      <c r="W163" s="512"/>
      <c r="X163" s="512"/>
      <c r="Y163" s="512"/>
      <c r="Z163" s="512"/>
      <c r="AA163" s="512"/>
    </row>
    <row r="164">
      <c r="A164" s="512"/>
      <c r="B164" s="512"/>
      <c r="C164" s="512"/>
      <c r="D164" s="512"/>
      <c r="E164" s="512"/>
      <c r="F164" s="512"/>
      <c r="G164" s="512"/>
      <c r="H164" s="512"/>
      <c r="I164" s="512"/>
      <c r="J164" s="512"/>
      <c r="K164" s="512"/>
      <c r="L164" s="512"/>
      <c r="M164" s="512"/>
      <c r="N164" s="512"/>
      <c r="O164" s="512"/>
      <c r="P164" s="512"/>
      <c r="Q164" s="512"/>
      <c r="R164" s="512"/>
      <c r="S164" s="512"/>
      <c r="T164" s="512"/>
      <c r="U164" s="512"/>
      <c r="V164" s="512"/>
      <c r="W164" s="512"/>
      <c r="X164" s="512"/>
      <c r="Y164" s="512"/>
      <c r="Z164" s="512"/>
      <c r="AA164" s="512"/>
    </row>
    <row r="165">
      <c r="A165" s="512"/>
      <c r="B165" s="512"/>
      <c r="C165" s="512"/>
      <c r="D165" s="512"/>
      <c r="E165" s="512"/>
      <c r="F165" s="512"/>
      <c r="G165" s="512"/>
      <c r="H165" s="512"/>
      <c r="I165" s="512"/>
      <c r="J165" s="512"/>
      <c r="K165" s="512"/>
      <c r="L165" s="512"/>
      <c r="M165" s="512"/>
      <c r="N165" s="512"/>
      <c r="O165" s="512"/>
      <c r="P165" s="512"/>
      <c r="Q165" s="512"/>
      <c r="R165" s="512"/>
      <c r="S165" s="512"/>
      <c r="T165" s="512"/>
      <c r="U165" s="512"/>
      <c r="V165" s="512"/>
      <c r="W165" s="512"/>
      <c r="X165" s="512"/>
      <c r="Y165" s="512"/>
      <c r="Z165" s="512"/>
      <c r="AA165" s="512"/>
    </row>
    <row r="166">
      <c r="A166" s="512"/>
      <c r="B166" s="512"/>
      <c r="C166" s="512"/>
      <c r="D166" s="512"/>
      <c r="E166" s="512"/>
      <c r="F166" s="512"/>
      <c r="G166" s="512"/>
      <c r="H166" s="512"/>
      <c r="I166" s="512"/>
      <c r="J166" s="512"/>
      <c r="K166" s="512"/>
      <c r="L166" s="512"/>
      <c r="M166" s="512"/>
      <c r="N166" s="512"/>
      <c r="O166" s="512"/>
      <c r="P166" s="512"/>
      <c r="Q166" s="512"/>
      <c r="R166" s="512"/>
      <c r="S166" s="512"/>
      <c r="T166" s="512"/>
      <c r="U166" s="512"/>
      <c r="V166" s="512"/>
      <c r="W166" s="512"/>
      <c r="X166" s="512"/>
      <c r="Y166" s="512"/>
      <c r="Z166" s="512"/>
      <c r="AA166" s="512"/>
    </row>
    <row r="167">
      <c r="A167" s="512"/>
      <c r="B167" s="512"/>
      <c r="C167" s="512"/>
      <c r="D167" s="512"/>
      <c r="E167" s="512"/>
      <c r="F167" s="512"/>
      <c r="G167" s="512"/>
      <c r="H167" s="512"/>
      <c r="I167" s="512"/>
      <c r="J167" s="512"/>
      <c r="K167" s="512"/>
      <c r="L167" s="512"/>
      <c r="M167" s="512"/>
      <c r="N167" s="512"/>
      <c r="O167" s="512"/>
      <c r="P167" s="512"/>
      <c r="Q167" s="512"/>
      <c r="R167" s="512"/>
      <c r="S167" s="512"/>
      <c r="T167" s="512"/>
      <c r="U167" s="512"/>
      <c r="V167" s="512"/>
      <c r="W167" s="512"/>
      <c r="X167" s="512"/>
      <c r="Y167" s="512"/>
      <c r="Z167" s="512"/>
      <c r="AA167" s="512"/>
    </row>
    <row r="168">
      <c r="A168" s="512"/>
      <c r="B168" s="512"/>
      <c r="C168" s="512"/>
      <c r="D168" s="512"/>
      <c r="E168" s="512"/>
      <c r="F168" s="512"/>
      <c r="G168" s="512"/>
      <c r="H168" s="512"/>
      <c r="I168" s="512"/>
      <c r="J168" s="512"/>
      <c r="K168" s="512"/>
      <c r="L168" s="512"/>
      <c r="M168" s="512"/>
      <c r="N168" s="512"/>
      <c r="O168" s="512"/>
      <c r="P168" s="512"/>
      <c r="Q168" s="512"/>
      <c r="R168" s="512"/>
      <c r="S168" s="512"/>
      <c r="T168" s="512"/>
      <c r="U168" s="512"/>
      <c r="V168" s="512"/>
      <c r="W168" s="512"/>
      <c r="X168" s="512"/>
      <c r="Y168" s="512"/>
      <c r="Z168" s="512"/>
      <c r="AA168" s="512"/>
    </row>
    <row r="169">
      <c r="A169" s="512"/>
      <c r="B169" s="512"/>
      <c r="C169" s="512"/>
      <c r="D169" s="512"/>
      <c r="E169" s="512"/>
      <c r="F169" s="512"/>
      <c r="G169" s="512"/>
      <c r="H169" s="512"/>
      <c r="I169" s="512"/>
      <c r="J169" s="512"/>
      <c r="K169" s="512"/>
      <c r="L169" s="512"/>
      <c r="M169" s="512"/>
      <c r="N169" s="512"/>
      <c r="O169" s="512"/>
      <c r="P169" s="512"/>
      <c r="Q169" s="512"/>
      <c r="R169" s="512"/>
      <c r="S169" s="512"/>
      <c r="T169" s="512"/>
      <c r="U169" s="512"/>
      <c r="V169" s="512"/>
      <c r="W169" s="512"/>
      <c r="X169" s="512"/>
      <c r="Y169" s="512"/>
      <c r="Z169" s="512"/>
      <c r="AA169" s="512"/>
    </row>
    <row r="170">
      <c r="A170" s="512"/>
      <c r="B170" s="512"/>
      <c r="C170" s="512"/>
      <c r="D170" s="512"/>
      <c r="E170" s="512"/>
      <c r="F170" s="512"/>
      <c r="G170" s="512"/>
      <c r="H170" s="512"/>
      <c r="I170" s="512"/>
      <c r="J170" s="512"/>
      <c r="K170" s="512"/>
      <c r="L170" s="512"/>
      <c r="M170" s="512"/>
      <c r="N170" s="512"/>
      <c r="O170" s="512"/>
      <c r="P170" s="512"/>
      <c r="Q170" s="512"/>
      <c r="R170" s="512"/>
      <c r="S170" s="512"/>
      <c r="T170" s="512"/>
      <c r="U170" s="512"/>
      <c r="V170" s="512"/>
      <c r="W170" s="512"/>
      <c r="X170" s="512"/>
      <c r="Y170" s="512"/>
      <c r="Z170" s="512"/>
      <c r="AA170" s="512"/>
    </row>
    <row r="171">
      <c r="A171" s="512"/>
      <c r="B171" s="512"/>
      <c r="C171" s="512"/>
      <c r="D171" s="512"/>
      <c r="E171" s="512"/>
      <c r="F171" s="512"/>
      <c r="G171" s="512"/>
      <c r="H171" s="512"/>
      <c r="I171" s="512"/>
      <c r="J171" s="512"/>
      <c r="K171" s="512"/>
      <c r="L171" s="512"/>
      <c r="M171" s="512"/>
      <c r="N171" s="512"/>
      <c r="O171" s="512"/>
      <c r="P171" s="512"/>
      <c r="Q171" s="512"/>
      <c r="R171" s="512"/>
      <c r="S171" s="512"/>
      <c r="T171" s="512"/>
      <c r="U171" s="512"/>
      <c r="V171" s="512"/>
      <c r="W171" s="512"/>
      <c r="X171" s="512"/>
      <c r="Y171" s="512"/>
      <c r="Z171" s="512"/>
      <c r="AA171" s="512"/>
    </row>
    <row r="172">
      <c r="A172" s="512"/>
      <c r="B172" s="512"/>
      <c r="C172" s="512"/>
      <c r="D172" s="512"/>
      <c r="E172" s="512"/>
      <c r="F172" s="512"/>
      <c r="G172" s="512"/>
      <c r="H172" s="512"/>
      <c r="I172" s="512"/>
      <c r="J172" s="512"/>
      <c r="K172" s="512"/>
      <c r="L172" s="512"/>
      <c r="M172" s="512"/>
      <c r="N172" s="512"/>
      <c r="O172" s="512"/>
      <c r="P172" s="512"/>
      <c r="Q172" s="512"/>
      <c r="R172" s="512"/>
      <c r="S172" s="512"/>
      <c r="T172" s="512"/>
      <c r="U172" s="512"/>
      <c r="V172" s="512"/>
      <c r="W172" s="512"/>
      <c r="X172" s="512"/>
      <c r="Y172" s="512"/>
      <c r="Z172" s="512"/>
      <c r="AA172" s="512"/>
    </row>
    <row r="173">
      <c r="A173" s="512"/>
      <c r="B173" s="512"/>
      <c r="C173" s="512"/>
      <c r="D173" s="512"/>
      <c r="E173" s="512"/>
      <c r="F173" s="512"/>
      <c r="G173" s="512"/>
      <c r="H173" s="512"/>
      <c r="I173" s="512"/>
      <c r="J173" s="512"/>
      <c r="K173" s="512"/>
      <c r="L173" s="512"/>
      <c r="M173" s="512"/>
      <c r="N173" s="512"/>
      <c r="O173" s="512"/>
      <c r="P173" s="512"/>
      <c r="Q173" s="512"/>
      <c r="R173" s="512"/>
      <c r="S173" s="512"/>
      <c r="T173" s="512"/>
      <c r="U173" s="512"/>
      <c r="V173" s="512"/>
      <c r="W173" s="512"/>
      <c r="X173" s="512"/>
      <c r="Y173" s="512"/>
      <c r="Z173" s="512"/>
      <c r="AA173" s="512"/>
    </row>
    <row r="174">
      <c r="A174" s="512"/>
      <c r="B174" s="512"/>
      <c r="C174" s="512"/>
      <c r="D174" s="512"/>
      <c r="E174" s="512"/>
      <c r="F174" s="512"/>
      <c r="G174" s="512"/>
      <c r="H174" s="512"/>
      <c r="I174" s="512"/>
      <c r="J174" s="512"/>
      <c r="K174" s="512"/>
      <c r="L174" s="512"/>
      <c r="M174" s="512"/>
      <c r="N174" s="512"/>
      <c r="O174" s="512"/>
      <c r="P174" s="512"/>
      <c r="Q174" s="512"/>
      <c r="R174" s="512"/>
      <c r="S174" s="512"/>
      <c r="T174" s="512"/>
      <c r="U174" s="512"/>
      <c r="V174" s="512"/>
      <c r="W174" s="512"/>
      <c r="X174" s="512"/>
      <c r="Y174" s="512"/>
      <c r="Z174" s="512"/>
      <c r="AA174" s="512"/>
    </row>
    <row r="175">
      <c r="A175" s="512"/>
      <c r="B175" s="512"/>
      <c r="C175" s="512"/>
      <c r="D175" s="512"/>
      <c r="E175" s="512"/>
      <c r="F175" s="512"/>
      <c r="G175" s="512"/>
      <c r="H175" s="512"/>
      <c r="I175" s="512"/>
      <c r="J175" s="512"/>
      <c r="K175" s="512"/>
      <c r="L175" s="512"/>
      <c r="M175" s="512"/>
      <c r="N175" s="512"/>
      <c r="O175" s="512"/>
      <c r="P175" s="512"/>
      <c r="Q175" s="512"/>
      <c r="R175" s="512"/>
      <c r="S175" s="512"/>
      <c r="T175" s="512"/>
      <c r="U175" s="512"/>
      <c r="V175" s="512"/>
      <c r="W175" s="512"/>
      <c r="X175" s="512"/>
      <c r="Y175" s="512"/>
      <c r="Z175" s="512"/>
      <c r="AA175" s="512"/>
    </row>
    <row r="176">
      <c r="A176" s="512"/>
      <c r="B176" s="512"/>
      <c r="C176" s="512"/>
      <c r="D176" s="512"/>
      <c r="E176" s="512"/>
      <c r="F176" s="512"/>
      <c r="G176" s="512"/>
      <c r="H176" s="512"/>
      <c r="I176" s="512"/>
      <c r="J176" s="512"/>
      <c r="K176" s="512"/>
      <c r="L176" s="512"/>
      <c r="M176" s="512"/>
      <c r="N176" s="512"/>
      <c r="O176" s="512"/>
      <c r="P176" s="512"/>
      <c r="Q176" s="512"/>
      <c r="R176" s="512"/>
      <c r="S176" s="512"/>
      <c r="T176" s="512"/>
      <c r="U176" s="512"/>
      <c r="V176" s="512"/>
      <c r="W176" s="512"/>
      <c r="X176" s="512"/>
      <c r="Y176" s="512"/>
      <c r="Z176" s="512"/>
      <c r="AA176" s="512"/>
    </row>
    <row r="177">
      <c r="A177" s="512"/>
      <c r="B177" s="512"/>
      <c r="C177" s="512"/>
      <c r="D177" s="512"/>
      <c r="E177" s="512"/>
      <c r="F177" s="512"/>
      <c r="G177" s="512"/>
      <c r="H177" s="512"/>
      <c r="I177" s="512"/>
      <c r="J177" s="512"/>
      <c r="K177" s="512"/>
      <c r="L177" s="512"/>
      <c r="M177" s="512"/>
      <c r="N177" s="512"/>
      <c r="O177" s="512"/>
      <c r="P177" s="512"/>
      <c r="Q177" s="512"/>
      <c r="R177" s="512"/>
      <c r="S177" s="512"/>
      <c r="T177" s="512"/>
      <c r="U177" s="512"/>
      <c r="V177" s="512"/>
      <c r="W177" s="512"/>
      <c r="X177" s="512"/>
      <c r="Y177" s="512"/>
      <c r="Z177" s="512"/>
      <c r="AA177" s="512"/>
    </row>
    <row r="178">
      <c r="A178" s="512"/>
      <c r="B178" s="512"/>
      <c r="C178" s="512"/>
      <c r="D178" s="512"/>
      <c r="E178" s="512"/>
      <c r="F178" s="512"/>
      <c r="G178" s="512"/>
      <c r="H178" s="512"/>
      <c r="I178" s="512"/>
      <c r="J178" s="512"/>
      <c r="K178" s="512"/>
      <c r="L178" s="512"/>
      <c r="M178" s="512"/>
      <c r="N178" s="512"/>
      <c r="O178" s="512"/>
      <c r="P178" s="512"/>
      <c r="Q178" s="512"/>
      <c r="R178" s="512"/>
      <c r="S178" s="512"/>
      <c r="T178" s="512"/>
      <c r="U178" s="512"/>
      <c r="V178" s="512"/>
      <c r="W178" s="512"/>
      <c r="X178" s="512"/>
      <c r="Y178" s="512"/>
      <c r="Z178" s="512"/>
      <c r="AA178" s="512"/>
    </row>
    <row r="179">
      <c r="A179" s="512"/>
      <c r="B179" s="512"/>
      <c r="C179" s="512"/>
      <c r="D179" s="512"/>
      <c r="E179" s="512"/>
      <c r="F179" s="512"/>
      <c r="G179" s="512"/>
      <c r="H179" s="512"/>
      <c r="I179" s="512"/>
      <c r="J179" s="512"/>
      <c r="K179" s="512"/>
      <c r="L179" s="512"/>
      <c r="M179" s="512"/>
      <c r="N179" s="512"/>
      <c r="O179" s="512"/>
      <c r="P179" s="512"/>
      <c r="Q179" s="512"/>
      <c r="R179" s="512"/>
      <c r="S179" s="512"/>
      <c r="T179" s="512"/>
      <c r="U179" s="512"/>
      <c r="V179" s="512"/>
      <c r="W179" s="512"/>
      <c r="X179" s="512"/>
      <c r="Y179" s="512"/>
      <c r="Z179" s="512"/>
      <c r="AA179" s="512"/>
    </row>
    <row r="180">
      <c r="A180" s="512"/>
      <c r="B180" s="512"/>
      <c r="C180" s="512"/>
      <c r="D180" s="512"/>
      <c r="E180" s="512"/>
      <c r="F180" s="512"/>
      <c r="G180" s="512"/>
      <c r="H180" s="512"/>
      <c r="I180" s="512"/>
      <c r="J180" s="512"/>
      <c r="K180" s="512"/>
      <c r="L180" s="512"/>
      <c r="M180" s="512"/>
      <c r="N180" s="512"/>
      <c r="O180" s="512"/>
      <c r="P180" s="512"/>
      <c r="Q180" s="512"/>
      <c r="R180" s="512"/>
      <c r="S180" s="512"/>
      <c r="T180" s="512"/>
      <c r="U180" s="512"/>
      <c r="V180" s="512"/>
      <c r="W180" s="512"/>
      <c r="X180" s="512"/>
      <c r="Y180" s="512"/>
      <c r="Z180" s="512"/>
      <c r="AA180" s="512"/>
    </row>
    <row r="181">
      <c r="A181" s="512"/>
      <c r="B181" s="512"/>
      <c r="C181" s="512"/>
      <c r="D181" s="512"/>
      <c r="E181" s="512"/>
      <c r="F181" s="512"/>
      <c r="G181" s="512"/>
      <c r="H181" s="512"/>
      <c r="I181" s="512"/>
      <c r="J181" s="512"/>
      <c r="K181" s="512"/>
      <c r="L181" s="512"/>
      <c r="M181" s="512"/>
      <c r="N181" s="512"/>
      <c r="O181" s="512"/>
      <c r="P181" s="512"/>
      <c r="Q181" s="512"/>
      <c r="R181" s="512"/>
      <c r="S181" s="512"/>
      <c r="T181" s="512"/>
      <c r="U181" s="512"/>
      <c r="V181" s="512"/>
      <c r="W181" s="512"/>
      <c r="X181" s="512"/>
      <c r="Y181" s="512"/>
      <c r="Z181" s="512"/>
      <c r="AA181" s="512"/>
    </row>
    <row r="182">
      <c r="A182" s="512"/>
      <c r="B182" s="512"/>
      <c r="C182" s="512"/>
      <c r="D182" s="512"/>
      <c r="E182" s="512"/>
      <c r="F182" s="512"/>
      <c r="G182" s="512"/>
      <c r="H182" s="512"/>
      <c r="I182" s="512"/>
      <c r="J182" s="512"/>
      <c r="K182" s="512"/>
      <c r="L182" s="512"/>
      <c r="M182" s="512"/>
      <c r="N182" s="512"/>
      <c r="O182" s="512"/>
      <c r="P182" s="512"/>
      <c r="Q182" s="512"/>
      <c r="R182" s="512"/>
      <c r="S182" s="512"/>
      <c r="T182" s="512"/>
      <c r="U182" s="512"/>
      <c r="V182" s="512"/>
      <c r="W182" s="512"/>
      <c r="X182" s="512"/>
      <c r="Y182" s="512"/>
      <c r="Z182" s="512"/>
      <c r="AA182" s="512"/>
    </row>
    <row r="183">
      <c r="A183" s="512"/>
      <c r="B183" s="512"/>
      <c r="C183" s="512"/>
      <c r="D183" s="512"/>
      <c r="E183" s="512"/>
      <c r="F183" s="512"/>
      <c r="G183" s="512"/>
      <c r="H183" s="512"/>
      <c r="I183" s="512"/>
      <c r="J183" s="512"/>
      <c r="K183" s="512"/>
      <c r="L183" s="512"/>
      <c r="M183" s="512"/>
      <c r="N183" s="512"/>
      <c r="O183" s="512"/>
      <c r="P183" s="512"/>
      <c r="Q183" s="512"/>
      <c r="R183" s="512"/>
      <c r="S183" s="512"/>
      <c r="T183" s="512"/>
      <c r="U183" s="512"/>
      <c r="V183" s="512"/>
      <c r="W183" s="512"/>
      <c r="X183" s="512"/>
      <c r="Y183" s="512"/>
      <c r="Z183" s="512"/>
      <c r="AA183" s="512"/>
    </row>
    <row r="184">
      <c r="A184" s="512"/>
      <c r="B184" s="512"/>
      <c r="C184" s="512"/>
      <c r="D184" s="512"/>
      <c r="E184" s="512"/>
      <c r="F184" s="512"/>
      <c r="G184" s="512"/>
      <c r="H184" s="512"/>
      <c r="I184" s="512"/>
      <c r="J184" s="512"/>
      <c r="K184" s="512"/>
      <c r="L184" s="512"/>
      <c r="M184" s="512"/>
      <c r="N184" s="512"/>
      <c r="O184" s="512"/>
      <c r="P184" s="512"/>
      <c r="Q184" s="512"/>
      <c r="R184" s="512"/>
      <c r="S184" s="512"/>
      <c r="T184" s="512"/>
      <c r="U184" s="512"/>
      <c r="V184" s="512"/>
      <c r="W184" s="512"/>
      <c r="X184" s="512"/>
      <c r="Y184" s="512"/>
      <c r="Z184" s="512"/>
      <c r="AA184" s="512"/>
    </row>
    <row r="185">
      <c r="A185" s="512"/>
      <c r="B185" s="512"/>
      <c r="C185" s="512"/>
      <c r="D185" s="512"/>
      <c r="E185" s="512"/>
      <c r="F185" s="512"/>
      <c r="G185" s="512"/>
      <c r="H185" s="512"/>
      <c r="I185" s="512"/>
      <c r="J185" s="512"/>
      <c r="K185" s="512"/>
      <c r="L185" s="512"/>
      <c r="M185" s="512"/>
      <c r="N185" s="512"/>
      <c r="O185" s="512"/>
      <c r="P185" s="512"/>
      <c r="Q185" s="512"/>
      <c r="R185" s="512"/>
      <c r="S185" s="512"/>
      <c r="T185" s="512"/>
      <c r="U185" s="512"/>
      <c r="V185" s="512"/>
      <c r="W185" s="512"/>
      <c r="X185" s="512"/>
      <c r="Y185" s="512"/>
      <c r="Z185" s="512"/>
      <c r="AA185" s="512"/>
    </row>
    <row r="186">
      <c r="A186" s="512"/>
      <c r="B186" s="512"/>
      <c r="C186" s="512"/>
      <c r="D186" s="512"/>
      <c r="E186" s="512"/>
      <c r="F186" s="512"/>
      <c r="G186" s="512"/>
      <c r="H186" s="512"/>
      <c r="I186" s="512"/>
      <c r="J186" s="512"/>
      <c r="K186" s="512"/>
      <c r="L186" s="512"/>
      <c r="M186" s="512"/>
      <c r="N186" s="512"/>
      <c r="O186" s="512"/>
      <c r="P186" s="512"/>
      <c r="Q186" s="512"/>
      <c r="R186" s="512"/>
      <c r="S186" s="512"/>
      <c r="T186" s="512"/>
      <c r="U186" s="512"/>
      <c r="V186" s="512"/>
      <c r="W186" s="512"/>
      <c r="X186" s="512"/>
      <c r="Y186" s="512"/>
      <c r="Z186" s="512"/>
      <c r="AA186" s="512"/>
    </row>
    <row r="187">
      <c r="A187" s="512"/>
      <c r="B187" s="512"/>
      <c r="C187" s="512"/>
      <c r="D187" s="512"/>
      <c r="E187" s="512"/>
      <c r="F187" s="512"/>
      <c r="G187" s="512"/>
      <c r="H187" s="512"/>
      <c r="I187" s="512"/>
      <c r="J187" s="512"/>
      <c r="K187" s="512"/>
      <c r="L187" s="512"/>
      <c r="M187" s="512"/>
      <c r="N187" s="512"/>
      <c r="O187" s="512"/>
      <c r="P187" s="512"/>
      <c r="Q187" s="512"/>
      <c r="R187" s="512"/>
      <c r="S187" s="512"/>
      <c r="T187" s="512"/>
      <c r="U187" s="512"/>
      <c r="V187" s="512"/>
      <c r="W187" s="512"/>
      <c r="X187" s="512"/>
      <c r="Y187" s="512"/>
      <c r="Z187" s="512"/>
      <c r="AA187" s="512"/>
    </row>
    <row r="188">
      <c r="A188" s="512"/>
      <c r="B188" s="512"/>
      <c r="C188" s="512"/>
      <c r="D188" s="512"/>
      <c r="E188" s="512"/>
      <c r="F188" s="512"/>
      <c r="G188" s="512"/>
      <c r="H188" s="512"/>
      <c r="I188" s="512"/>
      <c r="J188" s="512"/>
      <c r="K188" s="512"/>
      <c r="L188" s="512"/>
      <c r="M188" s="512"/>
      <c r="N188" s="512"/>
      <c r="O188" s="512"/>
      <c r="P188" s="512"/>
      <c r="Q188" s="512"/>
      <c r="R188" s="512"/>
      <c r="S188" s="512"/>
      <c r="T188" s="512"/>
      <c r="U188" s="512"/>
      <c r="V188" s="512"/>
      <c r="W188" s="512"/>
      <c r="X188" s="512"/>
      <c r="Y188" s="512"/>
      <c r="Z188" s="512"/>
      <c r="AA188" s="512"/>
    </row>
    <row r="189">
      <c r="A189" s="512"/>
      <c r="B189" s="512"/>
      <c r="C189" s="512"/>
      <c r="D189" s="512"/>
      <c r="E189" s="512"/>
      <c r="F189" s="512"/>
      <c r="G189" s="512"/>
      <c r="H189" s="512"/>
      <c r="I189" s="512"/>
      <c r="J189" s="512"/>
      <c r="K189" s="512"/>
      <c r="L189" s="512"/>
      <c r="M189" s="512"/>
      <c r="N189" s="512"/>
      <c r="O189" s="512"/>
      <c r="P189" s="512"/>
      <c r="Q189" s="512"/>
      <c r="R189" s="512"/>
      <c r="S189" s="512"/>
      <c r="T189" s="512"/>
      <c r="U189" s="512"/>
      <c r="V189" s="512"/>
      <c r="W189" s="512"/>
      <c r="X189" s="512"/>
      <c r="Y189" s="512"/>
      <c r="Z189" s="512"/>
      <c r="AA189" s="512"/>
    </row>
    <row r="190">
      <c r="A190" s="512"/>
      <c r="B190" s="512"/>
      <c r="C190" s="512"/>
      <c r="D190" s="512"/>
      <c r="E190" s="512"/>
      <c r="F190" s="512"/>
      <c r="G190" s="512"/>
      <c r="H190" s="512"/>
      <c r="I190" s="512"/>
      <c r="J190" s="512"/>
      <c r="K190" s="512"/>
      <c r="L190" s="512"/>
      <c r="M190" s="512"/>
      <c r="N190" s="512"/>
      <c r="O190" s="512"/>
      <c r="P190" s="512"/>
      <c r="Q190" s="512"/>
      <c r="R190" s="512"/>
      <c r="S190" s="512"/>
      <c r="T190" s="512"/>
      <c r="U190" s="512"/>
      <c r="V190" s="512"/>
      <c r="W190" s="512"/>
      <c r="X190" s="512"/>
      <c r="Y190" s="512"/>
      <c r="Z190" s="512"/>
      <c r="AA190" s="512"/>
    </row>
    <row r="191">
      <c r="A191" s="512"/>
      <c r="B191" s="512"/>
      <c r="C191" s="512"/>
      <c r="D191" s="512"/>
      <c r="E191" s="512"/>
      <c r="F191" s="512"/>
      <c r="G191" s="512"/>
      <c r="H191" s="512"/>
      <c r="I191" s="512"/>
      <c r="J191" s="512"/>
      <c r="K191" s="512"/>
      <c r="L191" s="512"/>
      <c r="M191" s="512"/>
      <c r="N191" s="512"/>
      <c r="O191" s="512"/>
      <c r="P191" s="512"/>
      <c r="Q191" s="512"/>
      <c r="R191" s="512"/>
      <c r="S191" s="512"/>
      <c r="T191" s="512"/>
      <c r="U191" s="512"/>
      <c r="V191" s="512"/>
      <c r="W191" s="512"/>
      <c r="X191" s="512"/>
      <c r="Y191" s="512"/>
      <c r="Z191" s="512"/>
      <c r="AA191" s="512"/>
    </row>
    <row r="192">
      <c r="A192" s="512"/>
      <c r="B192" s="512"/>
      <c r="C192" s="512"/>
      <c r="D192" s="512"/>
      <c r="E192" s="512"/>
      <c r="F192" s="512"/>
      <c r="G192" s="512"/>
      <c r="H192" s="512"/>
      <c r="I192" s="512"/>
      <c r="J192" s="512"/>
      <c r="K192" s="512"/>
      <c r="L192" s="512"/>
      <c r="M192" s="512"/>
      <c r="N192" s="512"/>
      <c r="O192" s="512"/>
      <c r="P192" s="512"/>
      <c r="Q192" s="512"/>
      <c r="R192" s="512"/>
      <c r="S192" s="512"/>
      <c r="T192" s="512"/>
      <c r="U192" s="512"/>
      <c r="V192" s="512"/>
      <c r="W192" s="512"/>
      <c r="X192" s="512"/>
      <c r="Y192" s="512"/>
      <c r="Z192" s="512"/>
      <c r="AA192" s="512"/>
    </row>
    <row r="193">
      <c r="A193" s="512"/>
      <c r="B193" s="512"/>
      <c r="C193" s="512"/>
      <c r="D193" s="512"/>
      <c r="E193" s="512"/>
      <c r="F193" s="512"/>
      <c r="G193" s="512"/>
      <c r="H193" s="512"/>
      <c r="I193" s="512"/>
      <c r="J193" s="512"/>
      <c r="K193" s="512"/>
      <c r="L193" s="512"/>
      <c r="M193" s="512"/>
      <c r="N193" s="512"/>
      <c r="O193" s="512"/>
      <c r="P193" s="512"/>
      <c r="Q193" s="512"/>
      <c r="R193" s="512"/>
      <c r="S193" s="512"/>
      <c r="T193" s="512"/>
      <c r="U193" s="512"/>
      <c r="V193" s="512"/>
      <c r="W193" s="512"/>
      <c r="X193" s="512"/>
      <c r="Y193" s="512"/>
      <c r="Z193" s="512"/>
      <c r="AA193" s="512"/>
    </row>
    <row r="194">
      <c r="A194" s="512"/>
      <c r="B194" s="512"/>
      <c r="C194" s="512"/>
      <c r="D194" s="512"/>
      <c r="E194" s="512"/>
      <c r="F194" s="512"/>
      <c r="G194" s="512"/>
      <c r="H194" s="512"/>
      <c r="I194" s="512"/>
      <c r="J194" s="512"/>
      <c r="K194" s="512"/>
      <c r="L194" s="512"/>
      <c r="M194" s="512"/>
      <c r="N194" s="512"/>
      <c r="O194" s="512"/>
      <c r="P194" s="512"/>
      <c r="Q194" s="512"/>
      <c r="R194" s="512"/>
      <c r="S194" s="512"/>
      <c r="T194" s="512"/>
      <c r="U194" s="512"/>
      <c r="V194" s="512"/>
      <c r="W194" s="512"/>
      <c r="X194" s="512"/>
      <c r="Y194" s="512"/>
      <c r="Z194" s="512"/>
      <c r="AA194" s="512"/>
    </row>
    <row r="195">
      <c r="A195" s="512"/>
      <c r="B195" s="512"/>
      <c r="C195" s="512"/>
      <c r="D195" s="512"/>
      <c r="E195" s="512"/>
      <c r="F195" s="512"/>
      <c r="G195" s="512"/>
      <c r="H195" s="512"/>
      <c r="I195" s="512"/>
      <c r="J195" s="512"/>
      <c r="K195" s="512"/>
      <c r="L195" s="512"/>
      <c r="M195" s="512"/>
      <c r="N195" s="512"/>
      <c r="O195" s="512"/>
      <c r="P195" s="512"/>
      <c r="Q195" s="512"/>
      <c r="R195" s="512"/>
      <c r="S195" s="512"/>
      <c r="T195" s="512"/>
      <c r="U195" s="512"/>
      <c r="V195" s="512"/>
      <c r="W195" s="512"/>
      <c r="X195" s="512"/>
      <c r="Y195" s="512"/>
      <c r="Z195" s="512"/>
      <c r="AA195" s="512"/>
    </row>
    <row r="196">
      <c r="A196" s="512"/>
      <c r="B196" s="512"/>
      <c r="C196" s="512"/>
      <c r="D196" s="512"/>
      <c r="E196" s="512"/>
      <c r="F196" s="512"/>
      <c r="G196" s="512"/>
      <c r="H196" s="512"/>
      <c r="I196" s="512"/>
      <c r="J196" s="512"/>
      <c r="K196" s="512"/>
      <c r="L196" s="512"/>
      <c r="M196" s="512"/>
      <c r="N196" s="512"/>
      <c r="O196" s="512"/>
      <c r="P196" s="512"/>
      <c r="Q196" s="512"/>
      <c r="R196" s="512"/>
      <c r="S196" s="512"/>
      <c r="T196" s="512"/>
      <c r="U196" s="512"/>
      <c r="V196" s="512"/>
      <c r="W196" s="512"/>
      <c r="X196" s="512"/>
      <c r="Y196" s="512"/>
      <c r="Z196" s="512"/>
      <c r="AA196" s="512"/>
    </row>
    <row r="197">
      <c r="A197" s="512"/>
      <c r="B197" s="512"/>
      <c r="C197" s="512"/>
      <c r="D197" s="512"/>
      <c r="E197" s="512"/>
      <c r="F197" s="512"/>
      <c r="G197" s="512"/>
      <c r="H197" s="512"/>
      <c r="I197" s="512"/>
      <c r="J197" s="512"/>
      <c r="K197" s="512"/>
      <c r="L197" s="512"/>
      <c r="M197" s="512"/>
      <c r="N197" s="512"/>
      <c r="O197" s="512"/>
      <c r="P197" s="512"/>
      <c r="Q197" s="512"/>
      <c r="R197" s="512"/>
      <c r="S197" s="512"/>
      <c r="T197" s="512"/>
      <c r="U197" s="512"/>
      <c r="V197" s="512"/>
      <c r="W197" s="512"/>
      <c r="X197" s="512"/>
      <c r="Y197" s="512"/>
      <c r="Z197" s="512"/>
      <c r="AA197" s="512"/>
    </row>
    <row r="198">
      <c r="A198" s="512"/>
      <c r="B198" s="512"/>
      <c r="C198" s="512"/>
      <c r="D198" s="512"/>
      <c r="E198" s="512"/>
      <c r="F198" s="512"/>
      <c r="G198" s="512"/>
      <c r="H198" s="512"/>
      <c r="I198" s="512"/>
      <c r="J198" s="512"/>
      <c r="K198" s="512"/>
      <c r="L198" s="512"/>
      <c r="M198" s="512"/>
      <c r="N198" s="512"/>
      <c r="O198" s="512"/>
      <c r="P198" s="512"/>
      <c r="Q198" s="512"/>
      <c r="R198" s="512"/>
      <c r="S198" s="512"/>
      <c r="T198" s="512"/>
      <c r="U198" s="512"/>
      <c r="V198" s="512"/>
      <c r="W198" s="512"/>
      <c r="X198" s="512"/>
      <c r="Y198" s="512"/>
      <c r="Z198" s="512"/>
      <c r="AA198" s="512"/>
    </row>
    <row r="199">
      <c r="A199" s="512"/>
      <c r="B199" s="512"/>
      <c r="C199" s="512"/>
      <c r="D199" s="512"/>
      <c r="E199" s="512"/>
      <c r="F199" s="512"/>
      <c r="G199" s="512"/>
      <c r="H199" s="512"/>
      <c r="I199" s="512"/>
      <c r="J199" s="512"/>
      <c r="K199" s="512"/>
      <c r="L199" s="512"/>
      <c r="M199" s="512"/>
      <c r="N199" s="512"/>
      <c r="O199" s="512"/>
      <c r="P199" s="512"/>
      <c r="Q199" s="512"/>
      <c r="R199" s="512"/>
      <c r="S199" s="512"/>
      <c r="T199" s="512"/>
      <c r="U199" s="512"/>
      <c r="V199" s="512"/>
      <c r="W199" s="512"/>
      <c r="X199" s="512"/>
      <c r="Y199" s="512"/>
      <c r="Z199" s="512"/>
      <c r="AA199" s="512"/>
    </row>
    <row r="200">
      <c r="A200" s="512"/>
      <c r="B200" s="512"/>
      <c r="C200" s="512"/>
      <c r="D200" s="512"/>
      <c r="E200" s="512"/>
      <c r="F200" s="512"/>
      <c r="G200" s="512"/>
      <c r="H200" s="512"/>
      <c r="I200" s="512"/>
      <c r="J200" s="512"/>
      <c r="K200" s="512"/>
      <c r="L200" s="512"/>
      <c r="M200" s="512"/>
      <c r="N200" s="512"/>
      <c r="O200" s="512"/>
      <c r="P200" s="512"/>
      <c r="Q200" s="512"/>
      <c r="R200" s="512"/>
      <c r="S200" s="512"/>
      <c r="T200" s="512"/>
      <c r="U200" s="512"/>
      <c r="V200" s="512"/>
      <c r="W200" s="512"/>
      <c r="X200" s="512"/>
      <c r="Y200" s="512"/>
      <c r="Z200" s="512"/>
      <c r="AA200" s="512"/>
    </row>
    <row r="201">
      <c r="A201" s="512"/>
      <c r="B201" s="512"/>
      <c r="C201" s="512"/>
      <c r="D201" s="512"/>
      <c r="E201" s="512"/>
      <c r="F201" s="512"/>
      <c r="G201" s="512"/>
      <c r="H201" s="512"/>
      <c r="I201" s="512"/>
      <c r="J201" s="512"/>
      <c r="K201" s="512"/>
      <c r="L201" s="512"/>
      <c r="M201" s="512"/>
      <c r="N201" s="512"/>
      <c r="O201" s="512"/>
      <c r="P201" s="512"/>
      <c r="Q201" s="512"/>
      <c r="R201" s="512"/>
      <c r="S201" s="512"/>
      <c r="T201" s="512"/>
      <c r="U201" s="512"/>
      <c r="V201" s="512"/>
      <c r="W201" s="512"/>
      <c r="X201" s="512"/>
      <c r="Y201" s="512"/>
      <c r="Z201" s="512"/>
      <c r="AA201" s="512"/>
    </row>
    <row r="202">
      <c r="A202" s="512"/>
      <c r="B202" s="512"/>
      <c r="C202" s="512"/>
      <c r="D202" s="512"/>
      <c r="E202" s="512"/>
      <c r="F202" s="512"/>
      <c r="G202" s="512"/>
      <c r="H202" s="512"/>
      <c r="I202" s="512"/>
      <c r="J202" s="512"/>
      <c r="K202" s="512"/>
      <c r="L202" s="512"/>
      <c r="M202" s="512"/>
      <c r="N202" s="512"/>
      <c r="O202" s="512"/>
      <c r="P202" s="512"/>
      <c r="Q202" s="512"/>
      <c r="R202" s="512"/>
      <c r="S202" s="512"/>
      <c r="T202" s="512"/>
      <c r="U202" s="512"/>
      <c r="V202" s="512"/>
      <c r="W202" s="512"/>
      <c r="X202" s="512"/>
      <c r="Y202" s="512"/>
      <c r="Z202" s="512"/>
      <c r="AA202" s="512"/>
    </row>
    <row r="203">
      <c r="A203" s="512"/>
      <c r="B203" s="512"/>
      <c r="C203" s="512"/>
      <c r="D203" s="512"/>
      <c r="E203" s="512"/>
      <c r="F203" s="512"/>
      <c r="G203" s="512"/>
      <c r="H203" s="512"/>
      <c r="I203" s="512"/>
      <c r="J203" s="512"/>
      <c r="K203" s="512"/>
      <c r="L203" s="512"/>
      <c r="M203" s="512"/>
      <c r="N203" s="512"/>
      <c r="O203" s="512"/>
      <c r="P203" s="512"/>
      <c r="Q203" s="512"/>
      <c r="R203" s="512"/>
      <c r="S203" s="512"/>
      <c r="T203" s="512"/>
      <c r="U203" s="512"/>
      <c r="V203" s="512"/>
      <c r="W203" s="512"/>
      <c r="X203" s="512"/>
      <c r="Y203" s="512"/>
      <c r="Z203" s="512"/>
      <c r="AA203" s="512"/>
    </row>
    <row r="204">
      <c r="A204" s="512"/>
      <c r="B204" s="512"/>
      <c r="C204" s="512"/>
      <c r="D204" s="512"/>
      <c r="E204" s="512"/>
      <c r="F204" s="512"/>
      <c r="G204" s="512"/>
      <c r="H204" s="512"/>
      <c r="I204" s="512"/>
      <c r="J204" s="512"/>
      <c r="K204" s="512"/>
      <c r="L204" s="512"/>
      <c r="M204" s="512"/>
      <c r="N204" s="512"/>
      <c r="O204" s="512"/>
      <c r="P204" s="512"/>
      <c r="Q204" s="512"/>
      <c r="R204" s="512"/>
      <c r="S204" s="512"/>
      <c r="T204" s="512"/>
      <c r="U204" s="512"/>
      <c r="V204" s="512"/>
      <c r="W204" s="512"/>
      <c r="X204" s="512"/>
      <c r="Y204" s="512"/>
      <c r="Z204" s="512"/>
      <c r="AA204" s="512"/>
    </row>
    <row r="205">
      <c r="A205" s="512"/>
      <c r="B205" s="512"/>
      <c r="C205" s="512"/>
      <c r="D205" s="512"/>
      <c r="E205" s="512"/>
      <c r="F205" s="512"/>
      <c r="G205" s="512"/>
      <c r="H205" s="512"/>
      <c r="I205" s="512"/>
      <c r="J205" s="512"/>
      <c r="K205" s="512"/>
      <c r="L205" s="512"/>
      <c r="M205" s="512"/>
      <c r="N205" s="512"/>
      <c r="O205" s="512"/>
      <c r="P205" s="512"/>
      <c r="Q205" s="512"/>
      <c r="R205" s="512"/>
      <c r="S205" s="512"/>
      <c r="T205" s="512"/>
      <c r="U205" s="512"/>
      <c r="V205" s="512"/>
      <c r="W205" s="512"/>
      <c r="X205" s="512"/>
      <c r="Y205" s="512"/>
      <c r="Z205" s="512"/>
      <c r="AA205" s="512"/>
    </row>
    <row r="206">
      <c r="A206" s="512"/>
      <c r="B206" s="512"/>
      <c r="C206" s="512"/>
      <c r="D206" s="512"/>
      <c r="E206" s="512"/>
      <c r="F206" s="512"/>
      <c r="G206" s="512"/>
      <c r="H206" s="512"/>
      <c r="I206" s="512"/>
      <c r="J206" s="512"/>
      <c r="K206" s="512"/>
      <c r="L206" s="512"/>
      <c r="M206" s="512"/>
      <c r="N206" s="512"/>
      <c r="O206" s="512"/>
      <c r="P206" s="512"/>
      <c r="Q206" s="512"/>
      <c r="R206" s="512"/>
      <c r="S206" s="512"/>
      <c r="T206" s="512"/>
      <c r="U206" s="512"/>
      <c r="V206" s="512"/>
      <c r="W206" s="512"/>
      <c r="X206" s="512"/>
      <c r="Y206" s="512"/>
      <c r="Z206" s="512"/>
      <c r="AA206" s="512"/>
    </row>
    <row r="207">
      <c r="A207" s="512"/>
      <c r="B207" s="512"/>
      <c r="C207" s="512"/>
      <c r="D207" s="512"/>
      <c r="E207" s="512"/>
      <c r="F207" s="512"/>
      <c r="G207" s="512"/>
      <c r="H207" s="512"/>
      <c r="I207" s="512"/>
      <c r="J207" s="512"/>
      <c r="K207" s="512"/>
      <c r="L207" s="512"/>
      <c r="M207" s="512"/>
      <c r="N207" s="512"/>
      <c r="O207" s="512"/>
      <c r="P207" s="512"/>
      <c r="Q207" s="512"/>
      <c r="R207" s="512"/>
      <c r="S207" s="512"/>
      <c r="T207" s="512"/>
      <c r="U207" s="512"/>
      <c r="V207" s="512"/>
      <c r="W207" s="512"/>
      <c r="X207" s="512"/>
      <c r="Y207" s="512"/>
      <c r="Z207" s="512"/>
      <c r="AA207" s="512"/>
    </row>
    <row r="208">
      <c r="A208" s="512"/>
      <c r="B208" s="512"/>
      <c r="C208" s="512"/>
      <c r="D208" s="512"/>
      <c r="E208" s="512"/>
      <c r="F208" s="512"/>
      <c r="G208" s="512"/>
      <c r="H208" s="512"/>
      <c r="I208" s="512"/>
      <c r="J208" s="512"/>
      <c r="K208" s="512"/>
      <c r="L208" s="512"/>
      <c r="M208" s="512"/>
      <c r="N208" s="512"/>
      <c r="O208" s="512"/>
      <c r="P208" s="512"/>
      <c r="Q208" s="512"/>
      <c r="R208" s="512"/>
      <c r="S208" s="512"/>
      <c r="T208" s="512"/>
      <c r="U208" s="512"/>
      <c r="V208" s="512"/>
      <c r="W208" s="512"/>
      <c r="X208" s="512"/>
      <c r="Y208" s="512"/>
      <c r="Z208" s="512"/>
      <c r="AA208" s="512"/>
    </row>
    <row r="209">
      <c r="A209" s="512"/>
      <c r="B209" s="512"/>
      <c r="C209" s="512"/>
      <c r="D209" s="512"/>
      <c r="E209" s="512"/>
      <c r="F209" s="512"/>
      <c r="G209" s="512"/>
      <c r="H209" s="512"/>
      <c r="I209" s="512"/>
      <c r="J209" s="512"/>
      <c r="K209" s="512"/>
      <c r="L209" s="512"/>
      <c r="M209" s="512"/>
      <c r="N209" s="512"/>
      <c r="O209" s="512"/>
      <c r="P209" s="512"/>
      <c r="Q209" s="512"/>
      <c r="R209" s="512"/>
      <c r="S209" s="512"/>
      <c r="T209" s="512"/>
      <c r="U209" s="512"/>
      <c r="V209" s="512"/>
      <c r="W209" s="512"/>
      <c r="X209" s="512"/>
      <c r="Y209" s="512"/>
      <c r="Z209" s="512"/>
      <c r="AA209" s="512"/>
    </row>
    <row r="210">
      <c r="A210" s="512"/>
      <c r="B210" s="512"/>
      <c r="C210" s="512"/>
      <c r="D210" s="512"/>
      <c r="E210" s="512"/>
      <c r="F210" s="512"/>
      <c r="G210" s="512"/>
      <c r="H210" s="512"/>
      <c r="I210" s="512"/>
      <c r="J210" s="512"/>
      <c r="K210" s="512"/>
      <c r="L210" s="512"/>
      <c r="M210" s="512"/>
      <c r="N210" s="512"/>
      <c r="O210" s="512"/>
      <c r="P210" s="512"/>
      <c r="Q210" s="512"/>
      <c r="R210" s="512"/>
      <c r="S210" s="512"/>
      <c r="T210" s="512"/>
      <c r="U210" s="512"/>
      <c r="V210" s="512"/>
      <c r="W210" s="512"/>
      <c r="X210" s="512"/>
      <c r="Y210" s="512"/>
      <c r="Z210" s="512"/>
      <c r="AA210" s="512"/>
    </row>
    <row r="211">
      <c r="A211" s="512"/>
      <c r="B211" s="512"/>
      <c r="C211" s="512"/>
      <c r="D211" s="512"/>
      <c r="E211" s="512"/>
      <c r="F211" s="512"/>
      <c r="G211" s="512"/>
      <c r="H211" s="512"/>
      <c r="I211" s="512"/>
      <c r="J211" s="512"/>
      <c r="K211" s="512"/>
      <c r="L211" s="512"/>
      <c r="M211" s="512"/>
      <c r="N211" s="512"/>
      <c r="O211" s="512"/>
      <c r="P211" s="512"/>
      <c r="Q211" s="512"/>
      <c r="R211" s="512"/>
      <c r="S211" s="512"/>
      <c r="T211" s="512"/>
      <c r="U211" s="512"/>
      <c r="V211" s="512"/>
      <c r="W211" s="512"/>
      <c r="X211" s="512"/>
      <c r="Y211" s="512"/>
      <c r="Z211" s="512"/>
      <c r="AA211" s="512"/>
    </row>
    <row r="212">
      <c r="A212" s="512"/>
      <c r="B212" s="512"/>
      <c r="C212" s="512"/>
      <c r="D212" s="512"/>
      <c r="E212" s="512"/>
      <c r="F212" s="512"/>
      <c r="G212" s="512"/>
      <c r="H212" s="512"/>
      <c r="I212" s="512"/>
      <c r="J212" s="512"/>
      <c r="K212" s="512"/>
      <c r="L212" s="512"/>
      <c r="M212" s="512"/>
      <c r="N212" s="512"/>
      <c r="O212" s="512"/>
      <c r="P212" s="512"/>
      <c r="Q212" s="512"/>
      <c r="R212" s="512"/>
      <c r="S212" s="512"/>
      <c r="T212" s="512"/>
      <c r="U212" s="512"/>
      <c r="V212" s="512"/>
      <c r="W212" s="512"/>
      <c r="X212" s="512"/>
      <c r="Y212" s="512"/>
      <c r="Z212" s="512"/>
      <c r="AA212" s="512"/>
    </row>
    <row r="213">
      <c r="A213" s="512"/>
      <c r="B213" s="512"/>
      <c r="C213" s="512"/>
      <c r="D213" s="512"/>
      <c r="E213" s="512"/>
      <c r="F213" s="512"/>
      <c r="G213" s="512"/>
      <c r="H213" s="512"/>
      <c r="I213" s="512"/>
      <c r="J213" s="512"/>
      <c r="K213" s="512"/>
      <c r="L213" s="512"/>
      <c r="M213" s="512"/>
      <c r="N213" s="512"/>
      <c r="O213" s="512"/>
      <c r="P213" s="512"/>
      <c r="Q213" s="512"/>
      <c r="R213" s="512"/>
      <c r="S213" s="512"/>
      <c r="T213" s="512"/>
      <c r="U213" s="512"/>
      <c r="V213" s="512"/>
      <c r="W213" s="512"/>
      <c r="X213" s="512"/>
      <c r="Y213" s="512"/>
      <c r="Z213" s="512"/>
      <c r="AA213" s="512"/>
    </row>
    <row r="214">
      <c r="A214" s="512"/>
      <c r="B214" s="512"/>
      <c r="C214" s="512"/>
      <c r="D214" s="512"/>
      <c r="E214" s="512"/>
      <c r="F214" s="512"/>
      <c r="G214" s="512"/>
      <c r="H214" s="512"/>
      <c r="I214" s="512"/>
      <c r="J214" s="512"/>
      <c r="K214" s="512"/>
      <c r="L214" s="512"/>
      <c r="M214" s="512"/>
      <c r="N214" s="512"/>
      <c r="O214" s="512"/>
      <c r="P214" s="512"/>
      <c r="Q214" s="512"/>
      <c r="R214" s="512"/>
      <c r="S214" s="512"/>
      <c r="T214" s="512"/>
      <c r="U214" s="512"/>
      <c r="V214" s="512"/>
      <c r="W214" s="512"/>
      <c r="X214" s="512"/>
      <c r="Y214" s="512"/>
      <c r="Z214" s="512"/>
      <c r="AA214" s="512"/>
    </row>
    <row r="215">
      <c r="A215" s="512"/>
      <c r="B215" s="512"/>
      <c r="C215" s="512"/>
      <c r="D215" s="512"/>
      <c r="E215" s="512"/>
      <c r="F215" s="512"/>
      <c r="G215" s="512"/>
      <c r="H215" s="512"/>
      <c r="I215" s="512"/>
      <c r="J215" s="512"/>
      <c r="K215" s="512"/>
      <c r="L215" s="512"/>
      <c r="M215" s="512"/>
      <c r="N215" s="512"/>
      <c r="O215" s="512"/>
      <c r="P215" s="512"/>
      <c r="Q215" s="512"/>
      <c r="R215" s="512"/>
      <c r="S215" s="512"/>
      <c r="T215" s="512"/>
      <c r="U215" s="512"/>
      <c r="V215" s="512"/>
      <c r="W215" s="512"/>
      <c r="X215" s="512"/>
      <c r="Y215" s="512"/>
      <c r="Z215" s="512"/>
      <c r="AA215" s="512"/>
    </row>
    <row r="216">
      <c r="A216" s="512"/>
      <c r="B216" s="512"/>
      <c r="C216" s="512"/>
      <c r="D216" s="512"/>
      <c r="E216" s="512"/>
      <c r="F216" s="512"/>
      <c r="G216" s="512"/>
      <c r="H216" s="512"/>
      <c r="I216" s="512"/>
      <c r="J216" s="512"/>
      <c r="K216" s="512"/>
      <c r="L216" s="512"/>
      <c r="M216" s="512"/>
      <c r="N216" s="512"/>
      <c r="O216" s="512"/>
      <c r="P216" s="512"/>
      <c r="Q216" s="512"/>
      <c r="R216" s="512"/>
      <c r="S216" s="512"/>
      <c r="T216" s="512"/>
      <c r="U216" s="512"/>
      <c r="V216" s="512"/>
      <c r="W216" s="512"/>
      <c r="X216" s="512"/>
      <c r="Y216" s="512"/>
      <c r="Z216" s="512"/>
      <c r="AA216" s="512"/>
    </row>
    <row r="217">
      <c r="A217" s="512"/>
      <c r="B217" s="512"/>
      <c r="C217" s="512"/>
      <c r="D217" s="512"/>
      <c r="E217" s="512"/>
      <c r="F217" s="512"/>
      <c r="G217" s="512"/>
      <c r="H217" s="512"/>
      <c r="I217" s="512"/>
      <c r="J217" s="512"/>
      <c r="K217" s="512"/>
      <c r="L217" s="512"/>
      <c r="M217" s="512"/>
      <c r="N217" s="512"/>
      <c r="O217" s="512"/>
      <c r="P217" s="512"/>
      <c r="Q217" s="512"/>
      <c r="R217" s="512"/>
      <c r="S217" s="512"/>
      <c r="T217" s="512"/>
      <c r="U217" s="512"/>
      <c r="V217" s="512"/>
      <c r="W217" s="512"/>
      <c r="X217" s="512"/>
      <c r="Y217" s="512"/>
      <c r="Z217" s="512"/>
      <c r="AA217" s="512"/>
    </row>
    <row r="218">
      <c r="A218" s="512"/>
      <c r="B218" s="512"/>
      <c r="C218" s="512"/>
      <c r="D218" s="512"/>
      <c r="E218" s="512"/>
      <c r="F218" s="512"/>
      <c r="G218" s="512"/>
      <c r="H218" s="512"/>
      <c r="I218" s="512"/>
      <c r="J218" s="512"/>
      <c r="K218" s="512"/>
      <c r="L218" s="512"/>
      <c r="M218" s="512"/>
      <c r="N218" s="512"/>
      <c r="O218" s="512"/>
      <c r="P218" s="512"/>
      <c r="Q218" s="512"/>
      <c r="R218" s="512"/>
      <c r="S218" s="512"/>
      <c r="T218" s="512"/>
      <c r="U218" s="512"/>
      <c r="V218" s="512"/>
      <c r="W218" s="512"/>
      <c r="X218" s="512"/>
      <c r="Y218" s="512"/>
      <c r="Z218" s="512"/>
      <c r="AA218" s="512"/>
    </row>
    <row r="219">
      <c r="A219" s="512"/>
      <c r="B219" s="512"/>
      <c r="C219" s="512"/>
      <c r="D219" s="512"/>
      <c r="E219" s="512"/>
      <c r="F219" s="512"/>
      <c r="G219" s="512"/>
      <c r="H219" s="512"/>
      <c r="I219" s="512"/>
      <c r="J219" s="512"/>
      <c r="K219" s="512"/>
      <c r="L219" s="512"/>
      <c r="M219" s="512"/>
      <c r="N219" s="512"/>
      <c r="O219" s="512"/>
      <c r="P219" s="512"/>
      <c r="Q219" s="512"/>
      <c r="R219" s="512"/>
      <c r="S219" s="512"/>
      <c r="T219" s="512"/>
      <c r="U219" s="512"/>
      <c r="V219" s="512"/>
      <c r="W219" s="512"/>
      <c r="X219" s="512"/>
      <c r="Y219" s="512"/>
      <c r="Z219" s="512"/>
      <c r="AA219" s="512"/>
    </row>
    <row r="220">
      <c r="A220" s="512"/>
      <c r="B220" s="512"/>
      <c r="C220" s="512"/>
      <c r="D220" s="512"/>
      <c r="E220" s="512"/>
      <c r="F220" s="512"/>
      <c r="G220" s="512"/>
      <c r="H220" s="512"/>
      <c r="I220" s="512"/>
      <c r="J220" s="512"/>
      <c r="K220" s="512"/>
      <c r="L220" s="512"/>
      <c r="M220" s="512"/>
      <c r="N220" s="512"/>
      <c r="O220" s="512"/>
      <c r="P220" s="512"/>
      <c r="Q220" s="512"/>
      <c r="R220" s="512"/>
      <c r="S220" s="512"/>
      <c r="T220" s="512"/>
      <c r="U220" s="512"/>
      <c r="V220" s="512"/>
      <c r="W220" s="512"/>
      <c r="X220" s="512"/>
      <c r="Y220" s="512"/>
      <c r="Z220" s="512"/>
      <c r="AA220" s="512"/>
    </row>
    <row r="221">
      <c r="A221" s="512"/>
      <c r="B221" s="512"/>
      <c r="C221" s="512"/>
      <c r="D221" s="512"/>
      <c r="E221" s="512"/>
      <c r="F221" s="512"/>
      <c r="G221" s="512"/>
      <c r="H221" s="512"/>
      <c r="I221" s="512"/>
      <c r="J221" s="512"/>
      <c r="K221" s="512"/>
      <c r="L221" s="512"/>
      <c r="M221" s="512"/>
      <c r="N221" s="512"/>
      <c r="O221" s="512"/>
      <c r="P221" s="512"/>
      <c r="Q221" s="512"/>
      <c r="R221" s="512"/>
      <c r="S221" s="512"/>
      <c r="T221" s="512"/>
      <c r="U221" s="512"/>
      <c r="V221" s="512"/>
      <c r="W221" s="512"/>
      <c r="X221" s="512"/>
      <c r="Y221" s="512"/>
      <c r="Z221" s="512"/>
      <c r="AA221" s="512"/>
    </row>
    <row r="222">
      <c r="A222" s="512"/>
      <c r="B222" s="512"/>
      <c r="C222" s="512"/>
      <c r="D222" s="512"/>
      <c r="E222" s="512"/>
      <c r="F222" s="512"/>
      <c r="G222" s="512"/>
      <c r="H222" s="512"/>
      <c r="I222" s="512"/>
      <c r="J222" s="512"/>
      <c r="K222" s="512"/>
      <c r="L222" s="512"/>
      <c r="M222" s="512"/>
      <c r="N222" s="512"/>
      <c r="O222" s="512"/>
      <c r="P222" s="512"/>
      <c r="Q222" s="512"/>
      <c r="R222" s="512"/>
      <c r="S222" s="512"/>
      <c r="T222" s="512"/>
      <c r="U222" s="512"/>
      <c r="V222" s="512"/>
      <c r="W222" s="512"/>
      <c r="X222" s="512"/>
      <c r="Y222" s="512"/>
      <c r="Z222" s="512"/>
      <c r="AA222" s="512"/>
    </row>
    <row r="223">
      <c r="A223" s="512"/>
      <c r="B223" s="512"/>
      <c r="C223" s="512"/>
      <c r="D223" s="512"/>
      <c r="E223" s="512"/>
      <c r="F223" s="512"/>
      <c r="G223" s="512"/>
      <c r="H223" s="512"/>
      <c r="I223" s="512"/>
      <c r="J223" s="512"/>
      <c r="K223" s="512"/>
      <c r="L223" s="512"/>
      <c r="M223" s="512"/>
      <c r="N223" s="512"/>
      <c r="O223" s="512"/>
      <c r="P223" s="512"/>
      <c r="Q223" s="512"/>
      <c r="R223" s="512"/>
      <c r="S223" s="512"/>
      <c r="T223" s="512"/>
      <c r="U223" s="512"/>
      <c r="V223" s="512"/>
      <c r="W223" s="512"/>
      <c r="X223" s="512"/>
      <c r="Y223" s="512"/>
      <c r="Z223" s="512"/>
      <c r="AA223" s="512"/>
    </row>
    <row r="224">
      <c r="A224" s="512"/>
      <c r="B224" s="512"/>
      <c r="C224" s="512"/>
      <c r="D224" s="512"/>
      <c r="E224" s="512"/>
      <c r="F224" s="512"/>
      <c r="G224" s="512"/>
      <c r="H224" s="512"/>
      <c r="I224" s="512"/>
      <c r="J224" s="512"/>
      <c r="K224" s="512"/>
      <c r="L224" s="512"/>
      <c r="M224" s="512"/>
      <c r="N224" s="512"/>
      <c r="O224" s="512"/>
      <c r="P224" s="512"/>
      <c r="Q224" s="512"/>
      <c r="R224" s="512"/>
      <c r="S224" s="512"/>
      <c r="T224" s="512"/>
      <c r="U224" s="512"/>
      <c r="V224" s="512"/>
      <c r="W224" s="512"/>
      <c r="X224" s="512"/>
      <c r="Y224" s="512"/>
      <c r="Z224" s="512"/>
      <c r="AA224" s="512"/>
    </row>
    <row r="225">
      <c r="A225" s="512"/>
      <c r="B225" s="512"/>
      <c r="C225" s="512"/>
      <c r="D225" s="512"/>
      <c r="E225" s="512"/>
      <c r="F225" s="512"/>
      <c r="G225" s="512"/>
      <c r="H225" s="512"/>
      <c r="I225" s="512"/>
      <c r="J225" s="512"/>
      <c r="K225" s="512"/>
      <c r="L225" s="512"/>
      <c r="M225" s="512"/>
      <c r="N225" s="512"/>
      <c r="O225" s="512"/>
      <c r="P225" s="512"/>
      <c r="Q225" s="512"/>
      <c r="R225" s="512"/>
      <c r="S225" s="512"/>
      <c r="T225" s="512"/>
      <c r="U225" s="512"/>
      <c r="V225" s="512"/>
      <c r="W225" s="512"/>
      <c r="X225" s="512"/>
      <c r="Y225" s="512"/>
      <c r="Z225" s="512"/>
      <c r="AA225" s="512"/>
    </row>
    <row r="226">
      <c r="A226" s="512"/>
      <c r="B226" s="512"/>
      <c r="C226" s="512"/>
      <c r="D226" s="512"/>
      <c r="E226" s="512"/>
      <c r="F226" s="512"/>
      <c r="G226" s="512"/>
      <c r="H226" s="512"/>
      <c r="I226" s="512"/>
      <c r="J226" s="512"/>
      <c r="K226" s="512"/>
      <c r="L226" s="512"/>
      <c r="M226" s="512"/>
      <c r="N226" s="512"/>
      <c r="O226" s="512"/>
      <c r="P226" s="512"/>
      <c r="Q226" s="512"/>
      <c r="R226" s="512"/>
      <c r="S226" s="512"/>
      <c r="T226" s="512"/>
      <c r="U226" s="512"/>
      <c r="V226" s="512"/>
      <c r="W226" s="512"/>
      <c r="X226" s="512"/>
      <c r="Y226" s="512"/>
      <c r="Z226" s="512"/>
      <c r="AA226" s="512"/>
    </row>
    <row r="227">
      <c r="A227" s="512"/>
      <c r="B227" s="512"/>
      <c r="C227" s="512"/>
      <c r="D227" s="512"/>
      <c r="E227" s="512"/>
      <c r="F227" s="512"/>
      <c r="G227" s="512"/>
      <c r="H227" s="512"/>
      <c r="I227" s="512"/>
      <c r="J227" s="512"/>
      <c r="K227" s="512"/>
      <c r="L227" s="512"/>
      <c r="M227" s="512"/>
      <c r="N227" s="512"/>
      <c r="O227" s="512"/>
      <c r="P227" s="512"/>
      <c r="Q227" s="512"/>
      <c r="R227" s="512"/>
      <c r="S227" s="512"/>
      <c r="T227" s="512"/>
      <c r="U227" s="512"/>
      <c r="V227" s="512"/>
      <c r="W227" s="512"/>
      <c r="X227" s="512"/>
      <c r="Y227" s="512"/>
      <c r="Z227" s="512"/>
      <c r="AA227" s="512"/>
    </row>
    <row r="228">
      <c r="A228" s="512"/>
      <c r="B228" s="512"/>
      <c r="C228" s="512"/>
      <c r="D228" s="512"/>
      <c r="E228" s="512"/>
      <c r="F228" s="512"/>
      <c r="G228" s="512"/>
      <c r="H228" s="512"/>
      <c r="I228" s="512"/>
      <c r="J228" s="512"/>
      <c r="K228" s="512"/>
      <c r="L228" s="512"/>
      <c r="M228" s="512"/>
      <c r="N228" s="512"/>
      <c r="O228" s="512"/>
      <c r="P228" s="512"/>
      <c r="Q228" s="512"/>
      <c r="R228" s="512"/>
      <c r="S228" s="512"/>
      <c r="T228" s="512"/>
      <c r="U228" s="512"/>
      <c r="V228" s="512"/>
      <c r="W228" s="512"/>
      <c r="X228" s="512"/>
      <c r="Y228" s="512"/>
      <c r="Z228" s="512"/>
      <c r="AA228" s="512"/>
    </row>
    <row r="229">
      <c r="A229" s="512"/>
      <c r="B229" s="512"/>
      <c r="C229" s="512"/>
      <c r="D229" s="512"/>
      <c r="E229" s="512"/>
      <c r="F229" s="512"/>
      <c r="G229" s="512"/>
      <c r="H229" s="512"/>
      <c r="I229" s="512"/>
      <c r="J229" s="512"/>
      <c r="K229" s="512"/>
      <c r="L229" s="512"/>
      <c r="M229" s="512"/>
      <c r="N229" s="512"/>
      <c r="O229" s="512"/>
      <c r="P229" s="512"/>
      <c r="Q229" s="512"/>
      <c r="R229" s="512"/>
      <c r="S229" s="512"/>
      <c r="T229" s="512"/>
      <c r="U229" s="512"/>
      <c r="V229" s="512"/>
      <c r="W229" s="512"/>
      <c r="X229" s="512"/>
      <c r="Y229" s="512"/>
      <c r="Z229" s="512"/>
      <c r="AA229" s="512"/>
    </row>
    <row r="230">
      <c r="A230" s="512"/>
      <c r="B230" s="512"/>
      <c r="C230" s="512"/>
      <c r="D230" s="512"/>
      <c r="E230" s="512"/>
      <c r="F230" s="512"/>
      <c r="G230" s="512"/>
      <c r="H230" s="512"/>
      <c r="I230" s="512"/>
      <c r="J230" s="512"/>
      <c r="K230" s="512"/>
      <c r="L230" s="512"/>
      <c r="M230" s="512"/>
      <c r="N230" s="512"/>
      <c r="O230" s="512"/>
      <c r="P230" s="512"/>
      <c r="Q230" s="512"/>
      <c r="R230" s="512"/>
      <c r="S230" s="512"/>
      <c r="T230" s="512"/>
      <c r="U230" s="512"/>
      <c r="V230" s="512"/>
      <c r="W230" s="512"/>
      <c r="X230" s="512"/>
      <c r="Y230" s="512"/>
      <c r="Z230" s="512"/>
      <c r="AA230" s="512"/>
    </row>
    <row r="231">
      <c r="A231" s="512"/>
      <c r="B231" s="512"/>
      <c r="C231" s="512"/>
      <c r="D231" s="512"/>
      <c r="E231" s="512"/>
      <c r="F231" s="512"/>
      <c r="G231" s="512"/>
      <c r="H231" s="512"/>
      <c r="I231" s="512"/>
      <c r="J231" s="512"/>
      <c r="K231" s="512"/>
      <c r="L231" s="512"/>
      <c r="M231" s="512"/>
      <c r="N231" s="512"/>
      <c r="O231" s="512"/>
      <c r="P231" s="512"/>
      <c r="Q231" s="512"/>
      <c r="R231" s="512"/>
      <c r="S231" s="512"/>
      <c r="T231" s="512"/>
      <c r="U231" s="512"/>
      <c r="V231" s="512"/>
      <c r="W231" s="512"/>
      <c r="X231" s="512"/>
      <c r="Y231" s="512"/>
      <c r="Z231" s="512"/>
      <c r="AA231" s="512"/>
    </row>
    <row r="232">
      <c r="A232" s="512"/>
      <c r="B232" s="512"/>
      <c r="C232" s="512"/>
      <c r="D232" s="512"/>
      <c r="E232" s="512"/>
      <c r="F232" s="512"/>
      <c r="G232" s="512"/>
      <c r="H232" s="512"/>
      <c r="I232" s="512"/>
      <c r="J232" s="512"/>
      <c r="K232" s="512"/>
      <c r="L232" s="512"/>
      <c r="M232" s="512"/>
      <c r="N232" s="512"/>
      <c r="O232" s="512"/>
      <c r="P232" s="512"/>
      <c r="Q232" s="512"/>
      <c r="R232" s="512"/>
      <c r="S232" s="512"/>
      <c r="T232" s="512"/>
      <c r="U232" s="512"/>
      <c r="V232" s="512"/>
      <c r="W232" s="512"/>
      <c r="X232" s="512"/>
      <c r="Y232" s="512"/>
      <c r="Z232" s="512"/>
      <c r="AA232" s="512"/>
    </row>
    <row r="233">
      <c r="A233" s="512"/>
      <c r="B233" s="512"/>
      <c r="C233" s="512"/>
      <c r="D233" s="512"/>
      <c r="E233" s="512"/>
      <c r="F233" s="512"/>
      <c r="G233" s="512"/>
      <c r="H233" s="512"/>
      <c r="I233" s="512"/>
      <c r="J233" s="512"/>
      <c r="K233" s="512"/>
      <c r="L233" s="512"/>
      <c r="M233" s="512"/>
      <c r="N233" s="512"/>
      <c r="O233" s="512"/>
      <c r="P233" s="512"/>
      <c r="Q233" s="512"/>
      <c r="R233" s="512"/>
      <c r="S233" s="512"/>
      <c r="T233" s="512"/>
      <c r="U233" s="512"/>
      <c r="V233" s="512"/>
      <c r="W233" s="512"/>
      <c r="X233" s="512"/>
      <c r="Y233" s="512"/>
      <c r="Z233" s="512"/>
      <c r="AA233" s="512"/>
    </row>
    <row r="234">
      <c r="A234" s="512"/>
      <c r="B234" s="512"/>
      <c r="C234" s="512"/>
      <c r="D234" s="512"/>
      <c r="E234" s="512"/>
      <c r="F234" s="512"/>
      <c r="G234" s="512"/>
      <c r="H234" s="512"/>
      <c r="I234" s="512"/>
      <c r="J234" s="512"/>
      <c r="K234" s="512"/>
      <c r="L234" s="512"/>
      <c r="M234" s="512"/>
      <c r="N234" s="512"/>
      <c r="O234" s="512"/>
      <c r="P234" s="512"/>
      <c r="Q234" s="512"/>
      <c r="R234" s="512"/>
      <c r="S234" s="512"/>
      <c r="T234" s="512"/>
      <c r="U234" s="512"/>
      <c r="V234" s="512"/>
      <c r="W234" s="512"/>
      <c r="X234" s="512"/>
      <c r="Y234" s="512"/>
      <c r="Z234" s="512"/>
      <c r="AA234" s="512"/>
    </row>
    <row r="235">
      <c r="A235" s="512"/>
      <c r="B235" s="512"/>
      <c r="C235" s="512"/>
      <c r="D235" s="512"/>
      <c r="E235" s="512"/>
      <c r="F235" s="512"/>
      <c r="G235" s="512"/>
      <c r="H235" s="512"/>
      <c r="I235" s="512"/>
      <c r="J235" s="512"/>
      <c r="K235" s="512"/>
      <c r="L235" s="512"/>
      <c r="M235" s="512"/>
      <c r="N235" s="512"/>
      <c r="O235" s="512"/>
      <c r="P235" s="512"/>
      <c r="Q235" s="512"/>
      <c r="R235" s="512"/>
      <c r="S235" s="512"/>
      <c r="T235" s="512"/>
      <c r="U235" s="512"/>
      <c r="V235" s="512"/>
      <c r="W235" s="512"/>
      <c r="X235" s="512"/>
      <c r="Y235" s="512"/>
      <c r="Z235" s="512"/>
      <c r="AA235" s="512"/>
    </row>
    <row r="236">
      <c r="A236" s="512"/>
      <c r="B236" s="512"/>
      <c r="C236" s="512"/>
      <c r="D236" s="512"/>
      <c r="E236" s="512"/>
      <c r="F236" s="512"/>
      <c r="G236" s="512"/>
      <c r="H236" s="512"/>
      <c r="I236" s="512"/>
      <c r="J236" s="512"/>
      <c r="K236" s="512"/>
      <c r="L236" s="512"/>
      <c r="M236" s="512"/>
      <c r="N236" s="512"/>
      <c r="O236" s="512"/>
      <c r="P236" s="512"/>
      <c r="Q236" s="512"/>
      <c r="R236" s="512"/>
      <c r="S236" s="512"/>
      <c r="T236" s="512"/>
      <c r="U236" s="512"/>
      <c r="V236" s="512"/>
      <c r="W236" s="512"/>
      <c r="X236" s="512"/>
      <c r="Y236" s="512"/>
      <c r="Z236" s="512"/>
      <c r="AA236" s="512"/>
    </row>
    <row r="237">
      <c r="A237" s="512"/>
      <c r="B237" s="512"/>
      <c r="C237" s="512"/>
      <c r="D237" s="512"/>
      <c r="E237" s="512"/>
      <c r="F237" s="512"/>
      <c r="G237" s="512"/>
      <c r="H237" s="512"/>
      <c r="I237" s="512"/>
      <c r="J237" s="512"/>
      <c r="K237" s="512"/>
      <c r="L237" s="512"/>
      <c r="M237" s="512"/>
      <c r="N237" s="512"/>
      <c r="O237" s="512"/>
      <c r="P237" s="512"/>
      <c r="Q237" s="512"/>
      <c r="R237" s="512"/>
      <c r="S237" s="512"/>
      <c r="T237" s="512"/>
      <c r="U237" s="512"/>
      <c r="V237" s="512"/>
      <c r="W237" s="512"/>
      <c r="X237" s="512"/>
      <c r="Y237" s="512"/>
      <c r="Z237" s="512"/>
      <c r="AA237" s="512"/>
    </row>
    <row r="238">
      <c r="A238" s="512"/>
      <c r="B238" s="512"/>
      <c r="C238" s="512"/>
      <c r="D238" s="512"/>
      <c r="E238" s="512"/>
      <c r="F238" s="512"/>
      <c r="G238" s="512"/>
      <c r="H238" s="512"/>
      <c r="I238" s="512"/>
      <c r="J238" s="512"/>
      <c r="K238" s="512"/>
      <c r="L238" s="512"/>
      <c r="M238" s="512"/>
      <c r="N238" s="512"/>
      <c r="O238" s="512"/>
      <c r="P238" s="512"/>
      <c r="Q238" s="512"/>
      <c r="R238" s="512"/>
      <c r="S238" s="512"/>
      <c r="T238" s="512"/>
      <c r="U238" s="512"/>
      <c r="V238" s="512"/>
      <c r="W238" s="512"/>
      <c r="X238" s="512"/>
      <c r="Y238" s="512"/>
      <c r="Z238" s="512"/>
      <c r="AA238" s="512"/>
    </row>
    <row r="239">
      <c r="A239" s="512"/>
      <c r="B239" s="512"/>
      <c r="C239" s="512"/>
      <c r="D239" s="512"/>
      <c r="E239" s="512"/>
      <c r="F239" s="512"/>
      <c r="G239" s="512"/>
      <c r="H239" s="512"/>
      <c r="I239" s="512"/>
      <c r="J239" s="512"/>
      <c r="K239" s="512"/>
      <c r="L239" s="512"/>
      <c r="M239" s="512"/>
      <c r="N239" s="512"/>
      <c r="O239" s="512"/>
      <c r="P239" s="512"/>
      <c r="Q239" s="512"/>
      <c r="R239" s="512"/>
      <c r="S239" s="512"/>
      <c r="T239" s="512"/>
      <c r="U239" s="512"/>
      <c r="V239" s="512"/>
      <c r="W239" s="512"/>
      <c r="X239" s="512"/>
      <c r="Y239" s="512"/>
      <c r="Z239" s="512"/>
      <c r="AA239" s="512"/>
    </row>
    <row r="240">
      <c r="A240" s="512"/>
      <c r="B240" s="512"/>
      <c r="C240" s="512"/>
      <c r="D240" s="512"/>
      <c r="E240" s="512"/>
      <c r="F240" s="512"/>
      <c r="G240" s="512"/>
      <c r="H240" s="512"/>
      <c r="I240" s="512"/>
      <c r="J240" s="512"/>
      <c r="K240" s="512"/>
      <c r="L240" s="512"/>
      <c r="M240" s="512"/>
      <c r="N240" s="512"/>
      <c r="O240" s="512"/>
      <c r="P240" s="512"/>
      <c r="Q240" s="512"/>
      <c r="R240" s="512"/>
      <c r="S240" s="512"/>
      <c r="T240" s="512"/>
      <c r="U240" s="512"/>
      <c r="V240" s="512"/>
      <c r="W240" s="512"/>
      <c r="X240" s="512"/>
      <c r="Y240" s="512"/>
      <c r="Z240" s="512"/>
      <c r="AA240" s="512"/>
    </row>
    <row r="241">
      <c r="A241" s="512"/>
      <c r="B241" s="512"/>
      <c r="C241" s="512"/>
      <c r="D241" s="512"/>
      <c r="E241" s="512"/>
      <c r="F241" s="512"/>
      <c r="G241" s="512"/>
      <c r="H241" s="512"/>
      <c r="I241" s="512"/>
      <c r="J241" s="512"/>
      <c r="K241" s="512"/>
      <c r="L241" s="512"/>
      <c r="M241" s="512"/>
      <c r="N241" s="512"/>
      <c r="O241" s="512"/>
      <c r="P241" s="512"/>
      <c r="Q241" s="512"/>
      <c r="R241" s="512"/>
      <c r="S241" s="512"/>
      <c r="T241" s="512"/>
      <c r="U241" s="512"/>
      <c r="V241" s="512"/>
      <c r="W241" s="512"/>
      <c r="X241" s="512"/>
      <c r="Y241" s="512"/>
      <c r="Z241" s="512"/>
      <c r="AA241" s="512"/>
    </row>
    <row r="242">
      <c r="A242" s="512"/>
      <c r="B242" s="512"/>
      <c r="C242" s="512"/>
      <c r="D242" s="512"/>
      <c r="E242" s="512"/>
      <c r="F242" s="512"/>
      <c r="G242" s="512"/>
      <c r="H242" s="512"/>
      <c r="I242" s="512"/>
      <c r="J242" s="512"/>
      <c r="K242" s="512"/>
      <c r="L242" s="512"/>
      <c r="M242" s="512"/>
      <c r="N242" s="512"/>
      <c r="O242" s="512"/>
      <c r="P242" s="512"/>
      <c r="Q242" s="512"/>
      <c r="R242" s="512"/>
      <c r="S242" s="512"/>
      <c r="T242" s="512"/>
      <c r="U242" s="512"/>
      <c r="V242" s="512"/>
      <c r="W242" s="512"/>
      <c r="X242" s="512"/>
      <c r="Y242" s="512"/>
      <c r="Z242" s="512"/>
      <c r="AA242" s="512"/>
    </row>
    <row r="243">
      <c r="A243" s="512"/>
      <c r="B243" s="512"/>
      <c r="C243" s="512"/>
      <c r="D243" s="512"/>
      <c r="E243" s="512"/>
      <c r="F243" s="512"/>
      <c r="G243" s="512"/>
      <c r="H243" s="512"/>
      <c r="I243" s="512"/>
      <c r="J243" s="512"/>
      <c r="K243" s="512"/>
      <c r="L243" s="512"/>
      <c r="M243" s="512"/>
      <c r="N243" s="512"/>
      <c r="O243" s="512"/>
      <c r="P243" s="512"/>
      <c r="Q243" s="512"/>
      <c r="R243" s="512"/>
      <c r="S243" s="512"/>
      <c r="T243" s="512"/>
      <c r="U243" s="512"/>
      <c r="V243" s="512"/>
      <c r="W243" s="512"/>
      <c r="X243" s="512"/>
      <c r="Y243" s="512"/>
      <c r="Z243" s="512"/>
      <c r="AA243" s="512"/>
    </row>
    <row r="244">
      <c r="A244" s="512"/>
      <c r="B244" s="512"/>
      <c r="C244" s="512"/>
      <c r="D244" s="512"/>
      <c r="E244" s="512"/>
      <c r="F244" s="512"/>
      <c r="G244" s="512"/>
      <c r="H244" s="512"/>
      <c r="I244" s="512"/>
      <c r="J244" s="512"/>
      <c r="K244" s="512"/>
      <c r="L244" s="512"/>
      <c r="M244" s="512"/>
      <c r="N244" s="512"/>
      <c r="O244" s="512"/>
      <c r="P244" s="512"/>
      <c r="Q244" s="512"/>
      <c r="R244" s="512"/>
      <c r="S244" s="512"/>
      <c r="T244" s="512"/>
      <c r="U244" s="512"/>
      <c r="V244" s="512"/>
      <c r="W244" s="512"/>
      <c r="X244" s="512"/>
      <c r="Y244" s="512"/>
      <c r="Z244" s="512"/>
      <c r="AA244" s="512"/>
    </row>
    <row r="245">
      <c r="A245" s="512"/>
      <c r="B245" s="512"/>
      <c r="C245" s="512"/>
      <c r="D245" s="512"/>
      <c r="E245" s="512"/>
      <c r="F245" s="512"/>
      <c r="G245" s="512"/>
      <c r="H245" s="512"/>
      <c r="I245" s="512"/>
      <c r="J245" s="512"/>
      <c r="K245" s="512"/>
      <c r="L245" s="512"/>
      <c r="M245" s="512"/>
      <c r="N245" s="512"/>
      <c r="O245" s="512"/>
      <c r="P245" s="512"/>
      <c r="Q245" s="512"/>
      <c r="R245" s="512"/>
      <c r="S245" s="512"/>
      <c r="T245" s="512"/>
      <c r="U245" s="512"/>
      <c r="V245" s="512"/>
      <c r="W245" s="512"/>
      <c r="X245" s="512"/>
      <c r="Y245" s="512"/>
      <c r="Z245" s="512"/>
      <c r="AA245" s="512"/>
    </row>
    <row r="246">
      <c r="A246" s="512"/>
      <c r="B246" s="512"/>
      <c r="C246" s="512"/>
      <c r="D246" s="512"/>
      <c r="E246" s="512"/>
      <c r="F246" s="512"/>
      <c r="G246" s="512"/>
      <c r="H246" s="512"/>
      <c r="I246" s="512"/>
      <c r="J246" s="512"/>
      <c r="K246" s="512"/>
      <c r="L246" s="512"/>
      <c r="M246" s="512"/>
      <c r="N246" s="512"/>
      <c r="O246" s="512"/>
      <c r="P246" s="512"/>
      <c r="Q246" s="512"/>
      <c r="R246" s="512"/>
      <c r="S246" s="512"/>
      <c r="T246" s="512"/>
      <c r="U246" s="512"/>
      <c r="V246" s="512"/>
      <c r="W246" s="512"/>
      <c r="X246" s="512"/>
      <c r="Y246" s="512"/>
      <c r="Z246" s="512"/>
      <c r="AA246" s="512"/>
    </row>
    <row r="247">
      <c r="A247" s="512"/>
      <c r="B247" s="512"/>
      <c r="C247" s="512"/>
      <c r="D247" s="512"/>
      <c r="E247" s="512"/>
      <c r="F247" s="512"/>
      <c r="G247" s="512"/>
      <c r="H247" s="512"/>
      <c r="I247" s="512"/>
      <c r="J247" s="512"/>
      <c r="K247" s="512"/>
      <c r="L247" s="512"/>
      <c r="M247" s="512"/>
      <c r="N247" s="512"/>
      <c r="O247" s="512"/>
      <c r="P247" s="512"/>
      <c r="Q247" s="512"/>
      <c r="R247" s="512"/>
      <c r="S247" s="512"/>
      <c r="T247" s="512"/>
      <c r="U247" s="512"/>
      <c r="V247" s="512"/>
      <c r="W247" s="512"/>
      <c r="X247" s="512"/>
      <c r="Y247" s="512"/>
      <c r="Z247" s="512"/>
      <c r="AA247" s="512"/>
    </row>
    <row r="248">
      <c r="A248" s="512"/>
      <c r="B248" s="512"/>
      <c r="C248" s="512"/>
      <c r="D248" s="512"/>
      <c r="E248" s="512"/>
      <c r="F248" s="512"/>
      <c r="G248" s="512"/>
      <c r="H248" s="512"/>
      <c r="I248" s="512"/>
      <c r="J248" s="512"/>
      <c r="K248" s="512"/>
      <c r="L248" s="512"/>
      <c r="M248" s="512"/>
      <c r="N248" s="512"/>
      <c r="O248" s="512"/>
      <c r="P248" s="512"/>
      <c r="Q248" s="512"/>
      <c r="R248" s="512"/>
      <c r="S248" s="512"/>
      <c r="T248" s="512"/>
      <c r="U248" s="512"/>
      <c r="V248" s="512"/>
      <c r="W248" s="512"/>
      <c r="X248" s="512"/>
      <c r="Y248" s="512"/>
      <c r="Z248" s="512"/>
      <c r="AA248" s="512"/>
    </row>
    <row r="249">
      <c r="A249" s="512"/>
      <c r="B249" s="512"/>
      <c r="C249" s="512"/>
      <c r="D249" s="512"/>
      <c r="E249" s="512"/>
      <c r="F249" s="512"/>
      <c r="G249" s="512"/>
      <c r="H249" s="512"/>
      <c r="I249" s="512"/>
      <c r="J249" s="512"/>
      <c r="K249" s="512"/>
      <c r="L249" s="512"/>
      <c r="M249" s="512"/>
      <c r="N249" s="512"/>
      <c r="O249" s="512"/>
      <c r="P249" s="512"/>
      <c r="Q249" s="512"/>
      <c r="R249" s="512"/>
      <c r="S249" s="512"/>
      <c r="T249" s="512"/>
      <c r="U249" s="512"/>
      <c r="V249" s="512"/>
      <c r="W249" s="512"/>
      <c r="X249" s="512"/>
      <c r="Y249" s="512"/>
      <c r="Z249" s="512"/>
      <c r="AA249" s="512"/>
    </row>
    <row r="250">
      <c r="A250" s="512"/>
      <c r="B250" s="512"/>
      <c r="C250" s="512"/>
      <c r="D250" s="512"/>
      <c r="E250" s="512"/>
      <c r="F250" s="512"/>
      <c r="G250" s="512"/>
      <c r="H250" s="512"/>
      <c r="I250" s="512"/>
      <c r="J250" s="512"/>
      <c r="K250" s="512"/>
      <c r="L250" s="512"/>
      <c r="M250" s="512"/>
      <c r="N250" s="512"/>
      <c r="O250" s="512"/>
      <c r="P250" s="512"/>
      <c r="Q250" s="512"/>
      <c r="R250" s="512"/>
      <c r="S250" s="512"/>
      <c r="T250" s="512"/>
      <c r="U250" s="512"/>
      <c r="V250" s="512"/>
      <c r="W250" s="512"/>
      <c r="X250" s="512"/>
      <c r="Y250" s="512"/>
      <c r="Z250" s="512"/>
      <c r="AA250" s="512"/>
    </row>
    <row r="251">
      <c r="A251" s="512"/>
      <c r="B251" s="512"/>
      <c r="C251" s="512"/>
      <c r="D251" s="512"/>
      <c r="E251" s="512"/>
      <c r="F251" s="512"/>
      <c r="G251" s="512"/>
      <c r="H251" s="512"/>
      <c r="I251" s="512"/>
      <c r="J251" s="512"/>
      <c r="K251" s="512"/>
      <c r="L251" s="512"/>
      <c r="M251" s="512"/>
      <c r="N251" s="512"/>
      <c r="O251" s="512"/>
      <c r="P251" s="512"/>
      <c r="Q251" s="512"/>
      <c r="R251" s="512"/>
      <c r="S251" s="512"/>
      <c r="T251" s="512"/>
      <c r="U251" s="512"/>
      <c r="V251" s="512"/>
      <c r="W251" s="512"/>
      <c r="X251" s="512"/>
      <c r="Y251" s="512"/>
      <c r="Z251" s="512"/>
      <c r="AA251" s="512"/>
    </row>
    <row r="252">
      <c r="A252" s="512"/>
      <c r="B252" s="512"/>
      <c r="C252" s="512"/>
      <c r="D252" s="512"/>
      <c r="E252" s="512"/>
      <c r="F252" s="512"/>
      <c r="G252" s="512"/>
      <c r="H252" s="512"/>
      <c r="I252" s="512"/>
      <c r="J252" s="512"/>
      <c r="K252" s="512"/>
      <c r="L252" s="512"/>
      <c r="M252" s="512"/>
      <c r="N252" s="512"/>
      <c r="O252" s="512"/>
      <c r="P252" s="512"/>
      <c r="Q252" s="512"/>
      <c r="R252" s="512"/>
      <c r="S252" s="512"/>
      <c r="T252" s="512"/>
      <c r="U252" s="512"/>
      <c r="V252" s="512"/>
      <c r="W252" s="512"/>
      <c r="X252" s="512"/>
      <c r="Y252" s="512"/>
      <c r="Z252" s="512"/>
      <c r="AA252" s="512"/>
    </row>
    <row r="253">
      <c r="A253" s="512"/>
      <c r="B253" s="512"/>
      <c r="C253" s="512"/>
      <c r="D253" s="512"/>
      <c r="E253" s="512"/>
      <c r="F253" s="512"/>
      <c r="G253" s="512"/>
      <c r="H253" s="512"/>
      <c r="I253" s="512"/>
      <c r="J253" s="512"/>
      <c r="K253" s="512"/>
      <c r="L253" s="512"/>
      <c r="M253" s="512"/>
      <c r="N253" s="512"/>
      <c r="O253" s="512"/>
      <c r="P253" s="512"/>
      <c r="Q253" s="512"/>
      <c r="R253" s="512"/>
      <c r="S253" s="512"/>
      <c r="T253" s="512"/>
      <c r="U253" s="512"/>
      <c r="V253" s="512"/>
      <c r="W253" s="512"/>
      <c r="X253" s="512"/>
      <c r="Y253" s="512"/>
      <c r="Z253" s="512"/>
      <c r="AA253" s="512"/>
    </row>
    <row r="254">
      <c r="A254" s="512"/>
      <c r="B254" s="512"/>
      <c r="C254" s="512"/>
      <c r="D254" s="512"/>
      <c r="E254" s="512"/>
      <c r="F254" s="512"/>
      <c r="G254" s="512"/>
      <c r="H254" s="512"/>
      <c r="I254" s="512"/>
      <c r="J254" s="512"/>
      <c r="K254" s="512"/>
      <c r="L254" s="512"/>
      <c r="M254" s="512"/>
      <c r="N254" s="512"/>
      <c r="O254" s="512"/>
      <c r="P254" s="512"/>
      <c r="Q254" s="512"/>
      <c r="R254" s="512"/>
      <c r="S254" s="512"/>
      <c r="T254" s="512"/>
      <c r="U254" s="512"/>
      <c r="V254" s="512"/>
      <c r="W254" s="512"/>
      <c r="X254" s="512"/>
      <c r="Y254" s="512"/>
      <c r="Z254" s="512"/>
      <c r="AA254" s="512"/>
    </row>
    <row r="255">
      <c r="A255" s="512"/>
      <c r="B255" s="512"/>
      <c r="C255" s="512"/>
      <c r="D255" s="512"/>
      <c r="E255" s="512"/>
      <c r="F255" s="512"/>
      <c r="G255" s="512"/>
      <c r="H255" s="512"/>
      <c r="I255" s="512"/>
      <c r="J255" s="512"/>
      <c r="K255" s="512"/>
      <c r="L255" s="512"/>
      <c r="M255" s="512"/>
      <c r="N255" s="512"/>
      <c r="O255" s="512"/>
      <c r="P255" s="512"/>
      <c r="Q255" s="512"/>
      <c r="R255" s="512"/>
      <c r="S255" s="512"/>
      <c r="T255" s="512"/>
      <c r="U255" s="512"/>
      <c r="V255" s="512"/>
      <c r="W255" s="512"/>
      <c r="X255" s="512"/>
      <c r="Y255" s="512"/>
      <c r="Z255" s="512"/>
      <c r="AA255" s="512"/>
    </row>
    <row r="256">
      <c r="A256" s="512"/>
      <c r="B256" s="512"/>
      <c r="C256" s="512"/>
      <c r="D256" s="512"/>
      <c r="E256" s="512"/>
      <c r="F256" s="512"/>
      <c r="G256" s="512"/>
      <c r="H256" s="512"/>
      <c r="I256" s="512"/>
      <c r="J256" s="512"/>
      <c r="K256" s="512"/>
      <c r="L256" s="512"/>
      <c r="M256" s="512"/>
      <c r="N256" s="512"/>
      <c r="O256" s="512"/>
      <c r="P256" s="512"/>
      <c r="Q256" s="512"/>
      <c r="R256" s="512"/>
      <c r="S256" s="512"/>
      <c r="T256" s="512"/>
      <c r="U256" s="512"/>
      <c r="V256" s="512"/>
      <c r="W256" s="512"/>
      <c r="X256" s="512"/>
      <c r="Y256" s="512"/>
      <c r="Z256" s="512"/>
      <c r="AA256" s="512"/>
    </row>
    <row r="257">
      <c r="A257" s="512"/>
      <c r="B257" s="512"/>
      <c r="C257" s="512"/>
      <c r="D257" s="512"/>
      <c r="E257" s="512"/>
      <c r="F257" s="512"/>
      <c r="G257" s="512"/>
      <c r="H257" s="512"/>
      <c r="I257" s="512"/>
      <c r="J257" s="512"/>
      <c r="K257" s="512"/>
      <c r="L257" s="512"/>
      <c r="M257" s="512"/>
      <c r="N257" s="512"/>
      <c r="O257" s="512"/>
      <c r="P257" s="512"/>
      <c r="Q257" s="512"/>
      <c r="R257" s="512"/>
      <c r="S257" s="512"/>
      <c r="T257" s="512"/>
      <c r="U257" s="512"/>
      <c r="V257" s="512"/>
      <c r="W257" s="512"/>
      <c r="X257" s="512"/>
      <c r="Y257" s="512"/>
      <c r="Z257" s="512"/>
      <c r="AA257" s="512"/>
    </row>
    <row r="258">
      <c r="A258" s="512"/>
      <c r="B258" s="512"/>
      <c r="C258" s="512"/>
      <c r="D258" s="512"/>
      <c r="E258" s="512"/>
      <c r="F258" s="512"/>
      <c r="G258" s="512"/>
      <c r="H258" s="512"/>
      <c r="I258" s="512"/>
      <c r="J258" s="512"/>
      <c r="K258" s="512"/>
      <c r="L258" s="512"/>
      <c r="M258" s="512"/>
      <c r="N258" s="512"/>
      <c r="O258" s="512"/>
      <c r="P258" s="512"/>
      <c r="Q258" s="512"/>
      <c r="R258" s="512"/>
      <c r="S258" s="512"/>
      <c r="T258" s="512"/>
      <c r="U258" s="512"/>
      <c r="V258" s="512"/>
      <c r="W258" s="512"/>
      <c r="X258" s="512"/>
      <c r="Y258" s="512"/>
      <c r="Z258" s="512"/>
      <c r="AA258" s="512"/>
    </row>
    <row r="259">
      <c r="A259" s="512"/>
      <c r="B259" s="512"/>
      <c r="C259" s="512"/>
      <c r="D259" s="512"/>
      <c r="E259" s="512"/>
      <c r="F259" s="512"/>
      <c r="G259" s="512"/>
      <c r="H259" s="512"/>
      <c r="I259" s="512"/>
      <c r="J259" s="512"/>
      <c r="K259" s="512"/>
      <c r="L259" s="512"/>
      <c r="M259" s="512"/>
      <c r="N259" s="512"/>
      <c r="O259" s="512"/>
      <c r="P259" s="512"/>
      <c r="Q259" s="512"/>
      <c r="R259" s="512"/>
      <c r="S259" s="512"/>
      <c r="T259" s="512"/>
      <c r="U259" s="512"/>
      <c r="V259" s="512"/>
      <c r="W259" s="512"/>
      <c r="X259" s="512"/>
      <c r="Y259" s="512"/>
      <c r="Z259" s="512"/>
      <c r="AA259" s="512"/>
    </row>
    <row r="260">
      <c r="A260" s="512"/>
      <c r="B260" s="512"/>
      <c r="C260" s="512"/>
      <c r="D260" s="512"/>
      <c r="E260" s="512"/>
      <c r="F260" s="512"/>
      <c r="G260" s="512"/>
      <c r="H260" s="512"/>
      <c r="I260" s="512"/>
      <c r="J260" s="512"/>
      <c r="K260" s="512"/>
      <c r="L260" s="512"/>
      <c r="M260" s="512"/>
      <c r="N260" s="512"/>
      <c r="O260" s="512"/>
      <c r="P260" s="512"/>
      <c r="Q260" s="512"/>
      <c r="R260" s="512"/>
      <c r="S260" s="512"/>
      <c r="T260" s="512"/>
      <c r="U260" s="512"/>
      <c r="V260" s="512"/>
      <c r="W260" s="512"/>
      <c r="X260" s="512"/>
      <c r="Y260" s="512"/>
      <c r="Z260" s="512"/>
      <c r="AA260" s="512"/>
    </row>
    <row r="261">
      <c r="A261" s="512"/>
      <c r="B261" s="512"/>
      <c r="C261" s="512"/>
      <c r="D261" s="512"/>
      <c r="E261" s="512"/>
      <c r="F261" s="512"/>
      <c r="G261" s="512"/>
      <c r="H261" s="512"/>
      <c r="I261" s="512"/>
      <c r="J261" s="512"/>
      <c r="K261" s="512"/>
      <c r="L261" s="512"/>
      <c r="M261" s="512"/>
      <c r="N261" s="512"/>
      <c r="O261" s="512"/>
      <c r="P261" s="512"/>
      <c r="Q261" s="512"/>
      <c r="R261" s="512"/>
      <c r="S261" s="512"/>
      <c r="T261" s="512"/>
      <c r="U261" s="512"/>
      <c r="V261" s="512"/>
      <c r="W261" s="512"/>
      <c r="X261" s="512"/>
      <c r="Y261" s="512"/>
      <c r="Z261" s="512"/>
      <c r="AA261" s="512"/>
    </row>
    <row r="262">
      <c r="A262" s="512"/>
      <c r="B262" s="512"/>
      <c r="C262" s="512"/>
      <c r="D262" s="512"/>
      <c r="E262" s="512"/>
      <c r="F262" s="512"/>
      <c r="G262" s="512"/>
      <c r="H262" s="512"/>
      <c r="I262" s="512"/>
      <c r="J262" s="512"/>
      <c r="K262" s="512"/>
      <c r="L262" s="512"/>
      <c r="M262" s="512"/>
      <c r="N262" s="512"/>
      <c r="O262" s="512"/>
      <c r="P262" s="512"/>
      <c r="Q262" s="512"/>
      <c r="R262" s="512"/>
      <c r="S262" s="512"/>
      <c r="T262" s="512"/>
      <c r="U262" s="512"/>
      <c r="V262" s="512"/>
      <c r="W262" s="512"/>
      <c r="X262" s="512"/>
      <c r="Y262" s="512"/>
      <c r="Z262" s="512"/>
      <c r="AA262" s="512"/>
    </row>
    <row r="263">
      <c r="A263" s="512"/>
      <c r="B263" s="512"/>
      <c r="C263" s="512"/>
      <c r="D263" s="512"/>
      <c r="E263" s="512"/>
      <c r="F263" s="512"/>
      <c r="G263" s="512"/>
      <c r="H263" s="512"/>
      <c r="I263" s="512"/>
      <c r="J263" s="512"/>
      <c r="K263" s="512"/>
      <c r="L263" s="512"/>
      <c r="M263" s="512"/>
      <c r="N263" s="512"/>
      <c r="O263" s="512"/>
      <c r="P263" s="512"/>
      <c r="Q263" s="512"/>
      <c r="R263" s="512"/>
      <c r="S263" s="512"/>
      <c r="T263" s="512"/>
      <c r="U263" s="512"/>
      <c r="V263" s="512"/>
      <c r="W263" s="512"/>
      <c r="X263" s="512"/>
      <c r="Y263" s="512"/>
      <c r="Z263" s="512"/>
      <c r="AA263" s="512"/>
    </row>
    <row r="264">
      <c r="A264" s="512"/>
      <c r="B264" s="512"/>
      <c r="C264" s="512"/>
      <c r="D264" s="512"/>
      <c r="E264" s="512"/>
      <c r="F264" s="512"/>
      <c r="G264" s="512"/>
      <c r="H264" s="512"/>
      <c r="I264" s="512"/>
      <c r="J264" s="512"/>
      <c r="K264" s="512"/>
      <c r="L264" s="512"/>
      <c r="M264" s="512"/>
      <c r="N264" s="512"/>
      <c r="O264" s="512"/>
      <c r="P264" s="512"/>
      <c r="Q264" s="512"/>
      <c r="R264" s="512"/>
      <c r="S264" s="512"/>
      <c r="T264" s="512"/>
      <c r="U264" s="512"/>
      <c r="V264" s="512"/>
      <c r="W264" s="512"/>
      <c r="X264" s="512"/>
      <c r="Y264" s="512"/>
      <c r="Z264" s="512"/>
      <c r="AA264" s="512"/>
    </row>
    <row r="265">
      <c r="A265" s="512"/>
      <c r="B265" s="512"/>
      <c r="C265" s="512"/>
      <c r="D265" s="512"/>
      <c r="E265" s="512"/>
      <c r="F265" s="512"/>
      <c r="G265" s="512"/>
      <c r="H265" s="512"/>
      <c r="I265" s="512"/>
      <c r="J265" s="512"/>
      <c r="K265" s="512"/>
      <c r="L265" s="512"/>
      <c r="M265" s="512"/>
      <c r="N265" s="512"/>
      <c r="O265" s="512"/>
      <c r="P265" s="512"/>
      <c r="Q265" s="512"/>
      <c r="R265" s="512"/>
      <c r="S265" s="512"/>
      <c r="T265" s="512"/>
      <c r="U265" s="512"/>
      <c r="V265" s="512"/>
      <c r="W265" s="512"/>
      <c r="X265" s="512"/>
      <c r="Y265" s="512"/>
      <c r="Z265" s="512"/>
      <c r="AA265" s="512"/>
    </row>
    <row r="266">
      <c r="A266" s="512"/>
      <c r="B266" s="512"/>
      <c r="C266" s="512"/>
      <c r="D266" s="512"/>
      <c r="E266" s="512"/>
      <c r="F266" s="512"/>
      <c r="G266" s="512"/>
      <c r="H266" s="512"/>
      <c r="I266" s="512"/>
      <c r="J266" s="512"/>
      <c r="K266" s="512"/>
      <c r="L266" s="512"/>
      <c r="M266" s="512"/>
      <c r="N266" s="512"/>
      <c r="O266" s="512"/>
      <c r="P266" s="512"/>
      <c r="Q266" s="512"/>
      <c r="R266" s="512"/>
      <c r="S266" s="512"/>
      <c r="T266" s="512"/>
      <c r="U266" s="512"/>
      <c r="V266" s="512"/>
      <c r="W266" s="512"/>
      <c r="X266" s="512"/>
      <c r="Y266" s="512"/>
      <c r="Z266" s="512"/>
      <c r="AA266" s="512"/>
    </row>
    <row r="267">
      <c r="A267" s="512"/>
      <c r="B267" s="512"/>
      <c r="C267" s="512"/>
      <c r="D267" s="512"/>
      <c r="E267" s="512"/>
      <c r="F267" s="512"/>
      <c r="G267" s="512"/>
      <c r="H267" s="512"/>
      <c r="I267" s="512"/>
      <c r="J267" s="512"/>
      <c r="K267" s="512"/>
      <c r="L267" s="512"/>
      <c r="M267" s="512"/>
      <c r="N267" s="512"/>
      <c r="O267" s="512"/>
      <c r="P267" s="512"/>
      <c r="Q267" s="512"/>
      <c r="R267" s="512"/>
      <c r="S267" s="512"/>
      <c r="T267" s="512"/>
      <c r="U267" s="512"/>
      <c r="V267" s="512"/>
      <c r="W267" s="512"/>
      <c r="X267" s="512"/>
      <c r="Y267" s="512"/>
      <c r="Z267" s="512"/>
      <c r="AA267" s="512"/>
    </row>
    <row r="268">
      <c r="A268" s="512"/>
      <c r="B268" s="512"/>
      <c r="C268" s="512"/>
      <c r="D268" s="512"/>
      <c r="E268" s="512"/>
      <c r="F268" s="512"/>
      <c r="G268" s="512"/>
      <c r="H268" s="512"/>
      <c r="I268" s="512"/>
      <c r="J268" s="512"/>
      <c r="K268" s="512"/>
      <c r="L268" s="512"/>
      <c r="M268" s="512"/>
      <c r="N268" s="512"/>
      <c r="O268" s="512"/>
      <c r="P268" s="512"/>
      <c r="Q268" s="512"/>
      <c r="R268" s="512"/>
      <c r="S268" s="512"/>
      <c r="T268" s="512"/>
      <c r="U268" s="512"/>
      <c r="V268" s="512"/>
      <c r="W268" s="512"/>
      <c r="X268" s="512"/>
      <c r="Y268" s="512"/>
      <c r="Z268" s="512"/>
      <c r="AA268" s="512"/>
    </row>
    <row r="269">
      <c r="A269" s="512"/>
      <c r="B269" s="512"/>
      <c r="C269" s="512"/>
      <c r="D269" s="512"/>
      <c r="E269" s="512"/>
      <c r="F269" s="512"/>
      <c r="G269" s="512"/>
      <c r="H269" s="512"/>
      <c r="I269" s="512"/>
      <c r="J269" s="512"/>
      <c r="K269" s="512"/>
      <c r="L269" s="512"/>
      <c r="M269" s="512"/>
      <c r="N269" s="512"/>
      <c r="O269" s="512"/>
      <c r="P269" s="512"/>
      <c r="Q269" s="512"/>
      <c r="R269" s="512"/>
      <c r="S269" s="512"/>
      <c r="T269" s="512"/>
      <c r="U269" s="512"/>
      <c r="V269" s="512"/>
      <c r="W269" s="512"/>
      <c r="X269" s="512"/>
      <c r="Y269" s="512"/>
      <c r="Z269" s="512"/>
      <c r="AA269" s="512"/>
    </row>
    <row r="270">
      <c r="A270" s="512"/>
      <c r="B270" s="512"/>
      <c r="C270" s="512"/>
      <c r="D270" s="512"/>
      <c r="E270" s="512"/>
      <c r="F270" s="512"/>
      <c r="G270" s="512"/>
      <c r="H270" s="512"/>
      <c r="I270" s="512"/>
      <c r="J270" s="512"/>
      <c r="K270" s="512"/>
      <c r="L270" s="512"/>
      <c r="M270" s="512"/>
      <c r="N270" s="512"/>
      <c r="O270" s="512"/>
      <c r="P270" s="512"/>
      <c r="Q270" s="512"/>
      <c r="R270" s="512"/>
      <c r="S270" s="512"/>
      <c r="T270" s="512"/>
      <c r="U270" s="512"/>
      <c r="V270" s="512"/>
      <c r="W270" s="512"/>
      <c r="X270" s="512"/>
      <c r="Y270" s="512"/>
      <c r="Z270" s="512"/>
      <c r="AA270" s="512"/>
    </row>
    <row r="271">
      <c r="A271" s="512"/>
      <c r="B271" s="512"/>
      <c r="C271" s="512"/>
      <c r="D271" s="512"/>
      <c r="E271" s="512"/>
      <c r="F271" s="512"/>
      <c r="G271" s="512"/>
      <c r="H271" s="512"/>
      <c r="I271" s="512"/>
      <c r="J271" s="512"/>
      <c r="K271" s="512"/>
      <c r="L271" s="512"/>
      <c r="M271" s="512"/>
      <c r="N271" s="512"/>
      <c r="O271" s="512"/>
      <c r="P271" s="512"/>
      <c r="Q271" s="512"/>
      <c r="R271" s="512"/>
      <c r="S271" s="512"/>
      <c r="T271" s="512"/>
      <c r="U271" s="512"/>
      <c r="V271" s="512"/>
      <c r="W271" s="512"/>
      <c r="X271" s="512"/>
      <c r="Y271" s="512"/>
      <c r="Z271" s="512"/>
      <c r="AA271" s="512"/>
    </row>
    <row r="272">
      <c r="A272" s="512"/>
      <c r="B272" s="512"/>
      <c r="C272" s="512"/>
      <c r="D272" s="512"/>
      <c r="E272" s="512"/>
      <c r="F272" s="512"/>
      <c r="G272" s="512"/>
      <c r="H272" s="512"/>
      <c r="I272" s="512"/>
      <c r="J272" s="512"/>
      <c r="K272" s="512"/>
      <c r="L272" s="512"/>
      <c r="M272" s="512"/>
      <c r="N272" s="512"/>
      <c r="O272" s="512"/>
      <c r="P272" s="512"/>
      <c r="Q272" s="512"/>
      <c r="R272" s="512"/>
      <c r="S272" s="512"/>
      <c r="T272" s="512"/>
      <c r="U272" s="512"/>
      <c r="V272" s="512"/>
      <c r="W272" s="512"/>
      <c r="X272" s="512"/>
      <c r="Y272" s="512"/>
      <c r="Z272" s="512"/>
      <c r="AA272" s="512"/>
    </row>
    <row r="273">
      <c r="A273" s="512"/>
      <c r="B273" s="512"/>
      <c r="C273" s="512"/>
      <c r="D273" s="512"/>
      <c r="E273" s="512"/>
      <c r="F273" s="512"/>
      <c r="G273" s="512"/>
      <c r="H273" s="512"/>
      <c r="I273" s="512"/>
      <c r="J273" s="512"/>
      <c r="K273" s="512"/>
      <c r="L273" s="512"/>
      <c r="M273" s="512"/>
      <c r="N273" s="512"/>
      <c r="O273" s="512"/>
      <c r="P273" s="512"/>
      <c r="Q273" s="512"/>
      <c r="R273" s="512"/>
      <c r="S273" s="512"/>
      <c r="T273" s="512"/>
      <c r="U273" s="512"/>
      <c r="V273" s="512"/>
      <c r="W273" s="512"/>
      <c r="X273" s="512"/>
      <c r="Y273" s="512"/>
      <c r="Z273" s="512"/>
      <c r="AA273" s="512"/>
    </row>
    <row r="274">
      <c r="A274" s="512"/>
      <c r="B274" s="512"/>
      <c r="C274" s="512"/>
      <c r="D274" s="512"/>
      <c r="E274" s="512"/>
      <c r="F274" s="512"/>
      <c r="G274" s="512"/>
      <c r="H274" s="512"/>
      <c r="I274" s="512"/>
      <c r="J274" s="512"/>
      <c r="K274" s="512"/>
      <c r="L274" s="512"/>
      <c r="M274" s="512"/>
      <c r="N274" s="512"/>
      <c r="O274" s="512"/>
      <c r="P274" s="512"/>
      <c r="Q274" s="512"/>
      <c r="R274" s="512"/>
      <c r="S274" s="512"/>
      <c r="T274" s="512"/>
      <c r="U274" s="512"/>
      <c r="V274" s="512"/>
      <c r="W274" s="512"/>
      <c r="X274" s="512"/>
      <c r="Y274" s="512"/>
      <c r="Z274" s="512"/>
      <c r="AA274" s="512"/>
    </row>
    <row r="275">
      <c r="A275" s="512"/>
      <c r="B275" s="512"/>
      <c r="C275" s="512"/>
      <c r="D275" s="512"/>
      <c r="E275" s="512"/>
      <c r="F275" s="512"/>
      <c r="G275" s="512"/>
      <c r="H275" s="512"/>
      <c r="I275" s="512"/>
      <c r="J275" s="512"/>
      <c r="K275" s="512"/>
      <c r="L275" s="512"/>
      <c r="M275" s="512"/>
      <c r="N275" s="512"/>
      <c r="O275" s="512"/>
      <c r="P275" s="512"/>
      <c r="Q275" s="512"/>
      <c r="R275" s="512"/>
      <c r="S275" s="512"/>
      <c r="T275" s="512"/>
      <c r="U275" s="512"/>
      <c r="V275" s="512"/>
      <c r="W275" s="512"/>
      <c r="X275" s="512"/>
      <c r="Y275" s="512"/>
      <c r="Z275" s="512"/>
      <c r="AA275" s="512"/>
    </row>
    <row r="276">
      <c r="A276" s="512"/>
      <c r="B276" s="512"/>
      <c r="C276" s="512"/>
      <c r="D276" s="512"/>
      <c r="E276" s="512"/>
      <c r="F276" s="512"/>
      <c r="G276" s="512"/>
      <c r="H276" s="512"/>
      <c r="I276" s="512"/>
      <c r="J276" s="512"/>
      <c r="K276" s="512"/>
      <c r="L276" s="512"/>
      <c r="M276" s="512"/>
      <c r="N276" s="512"/>
      <c r="O276" s="512"/>
      <c r="P276" s="512"/>
      <c r="Q276" s="512"/>
      <c r="R276" s="512"/>
      <c r="S276" s="512"/>
      <c r="T276" s="512"/>
      <c r="U276" s="512"/>
      <c r="V276" s="512"/>
      <c r="W276" s="512"/>
      <c r="X276" s="512"/>
      <c r="Y276" s="512"/>
      <c r="Z276" s="512"/>
      <c r="AA276" s="512"/>
    </row>
    <row r="277">
      <c r="A277" s="512"/>
      <c r="B277" s="512"/>
      <c r="C277" s="512"/>
      <c r="D277" s="512"/>
      <c r="E277" s="512"/>
      <c r="F277" s="512"/>
      <c r="G277" s="512"/>
      <c r="H277" s="512"/>
      <c r="I277" s="512"/>
      <c r="J277" s="512"/>
      <c r="K277" s="512"/>
      <c r="L277" s="512"/>
      <c r="M277" s="512"/>
      <c r="N277" s="512"/>
      <c r="O277" s="512"/>
      <c r="P277" s="512"/>
      <c r="Q277" s="512"/>
      <c r="R277" s="512"/>
      <c r="S277" s="512"/>
      <c r="T277" s="512"/>
      <c r="U277" s="512"/>
      <c r="V277" s="512"/>
      <c r="W277" s="512"/>
      <c r="X277" s="512"/>
      <c r="Y277" s="512"/>
      <c r="Z277" s="512"/>
      <c r="AA277" s="512"/>
    </row>
    <row r="278">
      <c r="A278" s="512"/>
      <c r="B278" s="512"/>
      <c r="C278" s="512"/>
      <c r="D278" s="512"/>
      <c r="E278" s="512"/>
      <c r="F278" s="512"/>
      <c r="G278" s="512"/>
      <c r="H278" s="512"/>
      <c r="I278" s="512"/>
      <c r="J278" s="512"/>
      <c r="K278" s="512"/>
      <c r="L278" s="512"/>
      <c r="M278" s="512"/>
      <c r="N278" s="512"/>
      <c r="O278" s="512"/>
      <c r="P278" s="512"/>
      <c r="Q278" s="512"/>
      <c r="R278" s="512"/>
      <c r="S278" s="512"/>
      <c r="T278" s="512"/>
      <c r="U278" s="512"/>
      <c r="V278" s="512"/>
      <c r="W278" s="512"/>
      <c r="X278" s="512"/>
      <c r="Y278" s="512"/>
      <c r="Z278" s="512"/>
      <c r="AA278" s="512"/>
    </row>
    <row r="279">
      <c r="A279" s="512"/>
      <c r="B279" s="512"/>
      <c r="C279" s="512"/>
      <c r="D279" s="512"/>
      <c r="E279" s="512"/>
      <c r="F279" s="512"/>
      <c r="G279" s="512"/>
      <c r="H279" s="512"/>
      <c r="I279" s="512"/>
      <c r="J279" s="512"/>
      <c r="K279" s="512"/>
      <c r="L279" s="512"/>
      <c r="M279" s="512"/>
      <c r="N279" s="512"/>
      <c r="O279" s="512"/>
      <c r="P279" s="512"/>
      <c r="Q279" s="512"/>
      <c r="R279" s="512"/>
      <c r="S279" s="512"/>
      <c r="T279" s="512"/>
      <c r="U279" s="512"/>
      <c r="V279" s="512"/>
      <c r="W279" s="512"/>
      <c r="X279" s="512"/>
      <c r="Y279" s="512"/>
      <c r="Z279" s="512"/>
      <c r="AA279" s="512"/>
    </row>
    <row r="280">
      <c r="A280" s="512"/>
      <c r="B280" s="512"/>
      <c r="C280" s="512"/>
      <c r="D280" s="512"/>
      <c r="E280" s="512"/>
      <c r="F280" s="512"/>
      <c r="G280" s="512"/>
      <c r="H280" s="512"/>
      <c r="I280" s="512"/>
      <c r="J280" s="512"/>
      <c r="K280" s="512"/>
      <c r="L280" s="512"/>
      <c r="M280" s="512"/>
      <c r="N280" s="512"/>
      <c r="O280" s="512"/>
      <c r="P280" s="512"/>
      <c r="Q280" s="512"/>
      <c r="R280" s="512"/>
      <c r="S280" s="512"/>
      <c r="T280" s="512"/>
      <c r="U280" s="512"/>
      <c r="V280" s="512"/>
      <c r="W280" s="512"/>
      <c r="X280" s="512"/>
      <c r="Y280" s="512"/>
      <c r="Z280" s="512"/>
      <c r="AA280" s="512"/>
    </row>
    <row r="281">
      <c r="A281" s="512"/>
      <c r="B281" s="512"/>
      <c r="C281" s="512"/>
      <c r="D281" s="512"/>
      <c r="E281" s="512"/>
      <c r="F281" s="512"/>
      <c r="G281" s="512"/>
      <c r="H281" s="512"/>
      <c r="I281" s="512"/>
      <c r="J281" s="512"/>
      <c r="K281" s="512"/>
      <c r="L281" s="512"/>
      <c r="M281" s="512"/>
      <c r="N281" s="512"/>
      <c r="O281" s="512"/>
      <c r="P281" s="512"/>
      <c r="Q281" s="512"/>
      <c r="R281" s="512"/>
      <c r="S281" s="512"/>
      <c r="T281" s="512"/>
      <c r="U281" s="512"/>
      <c r="V281" s="512"/>
      <c r="W281" s="512"/>
      <c r="X281" s="512"/>
      <c r="Y281" s="512"/>
      <c r="Z281" s="512"/>
      <c r="AA281" s="512"/>
    </row>
    <row r="282">
      <c r="A282" s="512"/>
      <c r="B282" s="512"/>
      <c r="C282" s="512"/>
      <c r="D282" s="512"/>
      <c r="E282" s="512"/>
      <c r="F282" s="512"/>
      <c r="G282" s="512"/>
      <c r="H282" s="512"/>
      <c r="I282" s="512"/>
      <c r="J282" s="512"/>
      <c r="K282" s="512"/>
      <c r="L282" s="512"/>
      <c r="M282" s="512"/>
      <c r="N282" s="512"/>
      <c r="O282" s="512"/>
      <c r="P282" s="512"/>
      <c r="Q282" s="512"/>
      <c r="R282" s="512"/>
      <c r="S282" s="512"/>
      <c r="T282" s="512"/>
      <c r="U282" s="512"/>
      <c r="V282" s="512"/>
      <c r="W282" s="512"/>
      <c r="X282" s="512"/>
      <c r="Y282" s="512"/>
      <c r="Z282" s="512"/>
      <c r="AA282" s="512"/>
    </row>
    <row r="283">
      <c r="A283" s="512"/>
      <c r="B283" s="512"/>
      <c r="C283" s="512"/>
      <c r="D283" s="512"/>
      <c r="E283" s="512"/>
      <c r="F283" s="512"/>
      <c r="G283" s="512"/>
      <c r="H283" s="512"/>
      <c r="I283" s="512"/>
      <c r="J283" s="512"/>
      <c r="K283" s="512"/>
      <c r="L283" s="512"/>
      <c r="M283" s="512"/>
      <c r="N283" s="512"/>
      <c r="O283" s="512"/>
      <c r="P283" s="512"/>
      <c r="Q283" s="512"/>
      <c r="R283" s="512"/>
      <c r="S283" s="512"/>
      <c r="T283" s="512"/>
      <c r="U283" s="512"/>
      <c r="V283" s="512"/>
      <c r="W283" s="512"/>
      <c r="X283" s="512"/>
      <c r="Y283" s="512"/>
      <c r="Z283" s="512"/>
      <c r="AA283" s="512"/>
    </row>
    <row r="284">
      <c r="A284" s="512"/>
      <c r="B284" s="512"/>
      <c r="C284" s="512"/>
      <c r="D284" s="512"/>
      <c r="E284" s="512"/>
      <c r="F284" s="512"/>
      <c r="G284" s="512"/>
      <c r="H284" s="512"/>
      <c r="I284" s="512"/>
      <c r="J284" s="512"/>
      <c r="K284" s="512"/>
      <c r="L284" s="512"/>
      <c r="M284" s="512"/>
      <c r="N284" s="512"/>
      <c r="O284" s="512"/>
      <c r="P284" s="512"/>
      <c r="Q284" s="512"/>
      <c r="R284" s="512"/>
      <c r="S284" s="512"/>
      <c r="T284" s="512"/>
      <c r="U284" s="512"/>
      <c r="V284" s="512"/>
      <c r="W284" s="512"/>
      <c r="X284" s="512"/>
      <c r="Y284" s="512"/>
      <c r="Z284" s="512"/>
      <c r="AA284" s="512"/>
    </row>
    <row r="285">
      <c r="A285" s="512"/>
      <c r="B285" s="512"/>
      <c r="C285" s="512"/>
      <c r="D285" s="512"/>
      <c r="E285" s="512"/>
      <c r="F285" s="512"/>
      <c r="G285" s="512"/>
      <c r="H285" s="512"/>
      <c r="I285" s="512"/>
      <c r="J285" s="512"/>
      <c r="K285" s="512"/>
      <c r="L285" s="512"/>
      <c r="M285" s="512"/>
      <c r="N285" s="512"/>
      <c r="O285" s="512"/>
      <c r="P285" s="512"/>
      <c r="Q285" s="512"/>
      <c r="R285" s="512"/>
      <c r="S285" s="512"/>
      <c r="T285" s="512"/>
      <c r="U285" s="512"/>
      <c r="V285" s="512"/>
      <c r="W285" s="512"/>
      <c r="X285" s="512"/>
      <c r="Y285" s="512"/>
      <c r="Z285" s="512"/>
      <c r="AA285" s="512"/>
    </row>
    <row r="286">
      <c r="A286" s="512"/>
      <c r="B286" s="512"/>
      <c r="C286" s="512"/>
      <c r="D286" s="512"/>
      <c r="E286" s="512"/>
      <c r="F286" s="512"/>
      <c r="G286" s="512"/>
      <c r="H286" s="512"/>
      <c r="I286" s="512"/>
      <c r="J286" s="512"/>
      <c r="K286" s="512"/>
      <c r="L286" s="512"/>
      <c r="M286" s="512"/>
      <c r="N286" s="512"/>
      <c r="O286" s="512"/>
      <c r="P286" s="512"/>
      <c r="Q286" s="512"/>
      <c r="R286" s="512"/>
      <c r="S286" s="512"/>
      <c r="T286" s="512"/>
      <c r="U286" s="512"/>
      <c r="V286" s="512"/>
      <c r="W286" s="512"/>
      <c r="X286" s="512"/>
      <c r="Y286" s="512"/>
      <c r="Z286" s="512"/>
      <c r="AA286" s="512"/>
    </row>
    <row r="287">
      <c r="A287" s="512"/>
      <c r="B287" s="512"/>
      <c r="C287" s="512"/>
      <c r="D287" s="512"/>
      <c r="E287" s="512"/>
      <c r="F287" s="512"/>
      <c r="G287" s="512"/>
      <c r="H287" s="512"/>
      <c r="I287" s="512"/>
      <c r="J287" s="512"/>
      <c r="K287" s="512"/>
      <c r="L287" s="512"/>
      <c r="M287" s="512"/>
      <c r="N287" s="512"/>
      <c r="O287" s="512"/>
      <c r="P287" s="512"/>
      <c r="Q287" s="512"/>
      <c r="R287" s="512"/>
      <c r="S287" s="512"/>
      <c r="T287" s="512"/>
      <c r="U287" s="512"/>
      <c r="V287" s="512"/>
      <c r="W287" s="512"/>
      <c r="X287" s="512"/>
      <c r="Y287" s="512"/>
      <c r="Z287" s="512"/>
      <c r="AA287" s="512"/>
    </row>
    <row r="288">
      <c r="A288" s="512"/>
      <c r="B288" s="512"/>
      <c r="C288" s="512"/>
      <c r="D288" s="512"/>
      <c r="E288" s="512"/>
      <c r="F288" s="512"/>
      <c r="G288" s="512"/>
      <c r="H288" s="512"/>
      <c r="I288" s="512"/>
      <c r="J288" s="512"/>
      <c r="K288" s="512"/>
      <c r="L288" s="512"/>
      <c r="M288" s="512"/>
      <c r="N288" s="512"/>
      <c r="O288" s="512"/>
      <c r="P288" s="512"/>
      <c r="Q288" s="512"/>
      <c r="R288" s="512"/>
      <c r="S288" s="512"/>
      <c r="T288" s="512"/>
      <c r="U288" s="512"/>
      <c r="V288" s="512"/>
      <c r="W288" s="512"/>
      <c r="X288" s="512"/>
      <c r="Y288" s="512"/>
      <c r="Z288" s="512"/>
      <c r="AA288" s="512"/>
    </row>
    <row r="289">
      <c r="A289" s="512"/>
      <c r="B289" s="512"/>
      <c r="C289" s="512"/>
      <c r="D289" s="512"/>
      <c r="E289" s="512"/>
      <c r="F289" s="512"/>
      <c r="G289" s="512"/>
      <c r="H289" s="512"/>
      <c r="I289" s="512"/>
      <c r="J289" s="512"/>
      <c r="K289" s="512"/>
      <c r="L289" s="512"/>
      <c r="M289" s="512"/>
      <c r="N289" s="512"/>
      <c r="O289" s="512"/>
      <c r="P289" s="512"/>
      <c r="Q289" s="512"/>
      <c r="R289" s="512"/>
      <c r="S289" s="512"/>
      <c r="T289" s="512"/>
      <c r="U289" s="512"/>
      <c r="V289" s="512"/>
      <c r="W289" s="512"/>
      <c r="X289" s="512"/>
      <c r="Y289" s="512"/>
      <c r="Z289" s="512"/>
      <c r="AA289" s="512"/>
    </row>
    <row r="290">
      <c r="A290" s="512"/>
      <c r="B290" s="512"/>
      <c r="C290" s="512"/>
      <c r="D290" s="512"/>
      <c r="E290" s="512"/>
      <c r="F290" s="512"/>
      <c r="G290" s="512"/>
      <c r="H290" s="512"/>
      <c r="I290" s="512"/>
      <c r="J290" s="512"/>
      <c r="K290" s="512"/>
      <c r="L290" s="512"/>
      <c r="M290" s="512"/>
      <c r="N290" s="512"/>
      <c r="O290" s="512"/>
      <c r="P290" s="512"/>
      <c r="Q290" s="512"/>
      <c r="R290" s="512"/>
      <c r="S290" s="512"/>
      <c r="T290" s="512"/>
      <c r="U290" s="512"/>
      <c r="V290" s="512"/>
      <c r="W290" s="512"/>
      <c r="X290" s="512"/>
      <c r="Y290" s="512"/>
      <c r="Z290" s="512"/>
      <c r="AA290" s="512"/>
    </row>
    <row r="291">
      <c r="A291" s="512"/>
      <c r="B291" s="512"/>
      <c r="C291" s="512"/>
      <c r="D291" s="512"/>
      <c r="E291" s="512"/>
      <c r="F291" s="512"/>
      <c r="G291" s="512"/>
      <c r="H291" s="512"/>
      <c r="I291" s="512"/>
      <c r="J291" s="512"/>
      <c r="K291" s="512"/>
      <c r="L291" s="512"/>
      <c r="M291" s="512"/>
      <c r="N291" s="512"/>
      <c r="O291" s="512"/>
      <c r="P291" s="512"/>
      <c r="Q291" s="512"/>
      <c r="R291" s="512"/>
      <c r="S291" s="512"/>
      <c r="T291" s="512"/>
      <c r="U291" s="512"/>
      <c r="V291" s="512"/>
      <c r="W291" s="512"/>
      <c r="X291" s="512"/>
      <c r="Y291" s="512"/>
      <c r="Z291" s="512"/>
      <c r="AA291" s="512"/>
    </row>
    <row r="292">
      <c r="A292" s="512"/>
      <c r="B292" s="512"/>
      <c r="C292" s="512"/>
      <c r="D292" s="512"/>
      <c r="E292" s="512"/>
      <c r="F292" s="512"/>
      <c r="G292" s="512"/>
      <c r="H292" s="512"/>
      <c r="I292" s="512"/>
      <c r="J292" s="512"/>
      <c r="K292" s="512"/>
      <c r="L292" s="512"/>
      <c r="M292" s="512"/>
      <c r="N292" s="512"/>
      <c r="O292" s="512"/>
      <c r="P292" s="512"/>
      <c r="Q292" s="512"/>
      <c r="R292" s="512"/>
      <c r="S292" s="512"/>
      <c r="T292" s="512"/>
      <c r="U292" s="512"/>
      <c r="V292" s="512"/>
      <c r="W292" s="512"/>
      <c r="X292" s="512"/>
      <c r="Y292" s="512"/>
      <c r="Z292" s="512"/>
      <c r="AA292" s="512"/>
    </row>
    <row r="293">
      <c r="A293" s="512"/>
      <c r="B293" s="512"/>
      <c r="C293" s="512"/>
      <c r="D293" s="512"/>
      <c r="E293" s="512"/>
      <c r="F293" s="512"/>
      <c r="G293" s="512"/>
      <c r="H293" s="512"/>
      <c r="I293" s="512"/>
      <c r="J293" s="512"/>
      <c r="K293" s="512"/>
      <c r="L293" s="512"/>
      <c r="M293" s="512"/>
      <c r="N293" s="512"/>
      <c r="O293" s="512"/>
      <c r="P293" s="512"/>
      <c r="Q293" s="512"/>
      <c r="R293" s="512"/>
      <c r="S293" s="512"/>
      <c r="T293" s="512"/>
      <c r="U293" s="512"/>
      <c r="V293" s="512"/>
      <c r="W293" s="512"/>
      <c r="X293" s="512"/>
      <c r="Y293" s="512"/>
      <c r="Z293" s="512"/>
      <c r="AA293" s="512"/>
    </row>
    <row r="294">
      <c r="A294" s="512"/>
      <c r="B294" s="512"/>
      <c r="C294" s="512"/>
      <c r="D294" s="512"/>
      <c r="E294" s="512"/>
      <c r="F294" s="512"/>
      <c r="G294" s="512"/>
      <c r="H294" s="512"/>
      <c r="I294" s="512"/>
      <c r="J294" s="512"/>
      <c r="K294" s="512"/>
      <c r="L294" s="512"/>
      <c r="M294" s="512"/>
      <c r="N294" s="512"/>
      <c r="O294" s="512"/>
      <c r="P294" s="512"/>
      <c r="Q294" s="512"/>
      <c r="R294" s="512"/>
      <c r="S294" s="512"/>
      <c r="T294" s="512"/>
      <c r="U294" s="512"/>
      <c r="V294" s="512"/>
      <c r="W294" s="512"/>
      <c r="X294" s="512"/>
      <c r="Y294" s="512"/>
      <c r="Z294" s="512"/>
      <c r="AA294" s="512"/>
    </row>
    <row r="295">
      <c r="A295" s="512"/>
      <c r="B295" s="512"/>
      <c r="C295" s="512"/>
      <c r="D295" s="512"/>
      <c r="E295" s="512"/>
      <c r="F295" s="512"/>
      <c r="G295" s="512"/>
      <c r="H295" s="512"/>
      <c r="I295" s="512"/>
      <c r="J295" s="512"/>
      <c r="K295" s="512"/>
      <c r="L295" s="512"/>
      <c r="M295" s="512"/>
      <c r="N295" s="512"/>
      <c r="O295" s="512"/>
      <c r="P295" s="512"/>
      <c r="Q295" s="512"/>
      <c r="R295" s="512"/>
      <c r="S295" s="512"/>
      <c r="T295" s="512"/>
      <c r="U295" s="512"/>
      <c r="V295" s="512"/>
      <c r="W295" s="512"/>
      <c r="X295" s="512"/>
      <c r="Y295" s="512"/>
      <c r="Z295" s="512"/>
      <c r="AA295" s="512"/>
    </row>
    <row r="296">
      <c r="A296" s="512"/>
      <c r="B296" s="512"/>
      <c r="C296" s="512"/>
      <c r="D296" s="512"/>
      <c r="E296" s="512"/>
      <c r="F296" s="512"/>
      <c r="G296" s="512"/>
      <c r="H296" s="512"/>
      <c r="I296" s="512"/>
      <c r="J296" s="512"/>
      <c r="K296" s="512"/>
      <c r="L296" s="512"/>
      <c r="M296" s="512"/>
      <c r="N296" s="512"/>
      <c r="O296" s="512"/>
      <c r="P296" s="512"/>
      <c r="Q296" s="512"/>
      <c r="R296" s="512"/>
      <c r="S296" s="512"/>
      <c r="T296" s="512"/>
      <c r="U296" s="512"/>
      <c r="V296" s="512"/>
      <c r="W296" s="512"/>
      <c r="X296" s="512"/>
      <c r="Y296" s="512"/>
      <c r="Z296" s="512"/>
      <c r="AA296" s="512"/>
    </row>
    <row r="297">
      <c r="A297" s="512"/>
      <c r="B297" s="512"/>
      <c r="C297" s="512"/>
      <c r="D297" s="512"/>
      <c r="E297" s="512"/>
      <c r="F297" s="512"/>
      <c r="G297" s="512"/>
      <c r="H297" s="512"/>
      <c r="I297" s="512"/>
      <c r="J297" s="512"/>
      <c r="K297" s="512"/>
      <c r="L297" s="512"/>
      <c r="M297" s="512"/>
      <c r="N297" s="512"/>
      <c r="O297" s="512"/>
      <c r="P297" s="512"/>
      <c r="Q297" s="512"/>
      <c r="R297" s="512"/>
      <c r="S297" s="512"/>
      <c r="T297" s="512"/>
      <c r="U297" s="512"/>
      <c r="V297" s="512"/>
      <c r="W297" s="512"/>
      <c r="X297" s="512"/>
      <c r="Y297" s="512"/>
      <c r="Z297" s="512"/>
      <c r="AA297" s="512"/>
    </row>
    <row r="298">
      <c r="A298" s="512"/>
      <c r="B298" s="512"/>
      <c r="C298" s="512"/>
      <c r="D298" s="512"/>
      <c r="E298" s="512"/>
      <c r="F298" s="512"/>
      <c r="G298" s="512"/>
      <c r="H298" s="512"/>
      <c r="I298" s="512"/>
      <c r="J298" s="512"/>
      <c r="K298" s="512"/>
      <c r="L298" s="512"/>
      <c r="M298" s="512"/>
      <c r="N298" s="512"/>
      <c r="O298" s="512"/>
      <c r="P298" s="512"/>
      <c r="Q298" s="512"/>
      <c r="R298" s="512"/>
      <c r="S298" s="512"/>
      <c r="T298" s="512"/>
      <c r="U298" s="512"/>
      <c r="V298" s="512"/>
      <c r="W298" s="512"/>
      <c r="X298" s="512"/>
      <c r="Y298" s="512"/>
      <c r="Z298" s="512"/>
      <c r="AA298" s="512"/>
    </row>
    <row r="299">
      <c r="A299" s="512"/>
      <c r="B299" s="512"/>
      <c r="C299" s="512"/>
      <c r="D299" s="512"/>
      <c r="E299" s="512"/>
      <c r="F299" s="512"/>
      <c r="G299" s="512"/>
      <c r="H299" s="512"/>
      <c r="I299" s="512"/>
      <c r="J299" s="512"/>
      <c r="K299" s="512"/>
      <c r="L299" s="512"/>
      <c r="M299" s="512"/>
      <c r="N299" s="512"/>
      <c r="O299" s="512"/>
      <c r="P299" s="512"/>
      <c r="Q299" s="512"/>
      <c r="R299" s="512"/>
      <c r="S299" s="512"/>
      <c r="T299" s="512"/>
      <c r="U299" s="512"/>
      <c r="V299" s="512"/>
      <c r="W299" s="512"/>
      <c r="X299" s="512"/>
      <c r="Y299" s="512"/>
      <c r="Z299" s="512"/>
      <c r="AA299" s="512"/>
    </row>
    <row r="300">
      <c r="A300" s="512"/>
      <c r="B300" s="512"/>
      <c r="C300" s="512"/>
      <c r="D300" s="512"/>
      <c r="E300" s="512"/>
      <c r="F300" s="512"/>
      <c r="G300" s="512"/>
      <c r="H300" s="512"/>
      <c r="I300" s="512"/>
      <c r="J300" s="512"/>
      <c r="K300" s="512"/>
      <c r="L300" s="512"/>
      <c r="M300" s="512"/>
      <c r="N300" s="512"/>
      <c r="O300" s="512"/>
      <c r="P300" s="512"/>
      <c r="Q300" s="512"/>
      <c r="R300" s="512"/>
      <c r="S300" s="512"/>
      <c r="T300" s="512"/>
      <c r="U300" s="512"/>
      <c r="V300" s="512"/>
      <c r="W300" s="512"/>
      <c r="X300" s="512"/>
      <c r="Y300" s="512"/>
      <c r="Z300" s="512"/>
      <c r="AA300" s="512"/>
    </row>
    <row r="301">
      <c r="A301" s="512"/>
      <c r="B301" s="512"/>
      <c r="C301" s="512"/>
      <c r="D301" s="512"/>
      <c r="E301" s="512"/>
      <c r="F301" s="512"/>
      <c r="G301" s="512"/>
      <c r="H301" s="512"/>
      <c r="I301" s="512"/>
      <c r="J301" s="512"/>
      <c r="K301" s="512"/>
      <c r="L301" s="512"/>
      <c r="M301" s="512"/>
      <c r="N301" s="512"/>
      <c r="O301" s="512"/>
      <c r="P301" s="512"/>
      <c r="Q301" s="512"/>
      <c r="R301" s="512"/>
      <c r="S301" s="512"/>
      <c r="T301" s="512"/>
      <c r="U301" s="512"/>
      <c r="V301" s="512"/>
      <c r="W301" s="512"/>
      <c r="X301" s="512"/>
      <c r="Y301" s="512"/>
      <c r="Z301" s="512"/>
      <c r="AA301" s="512"/>
    </row>
    <row r="302">
      <c r="A302" s="512"/>
      <c r="B302" s="512"/>
      <c r="C302" s="512"/>
      <c r="D302" s="512"/>
      <c r="E302" s="512"/>
      <c r="F302" s="512"/>
      <c r="G302" s="512"/>
      <c r="H302" s="512"/>
      <c r="I302" s="512"/>
      <c r="J302" s="512"/>
      <c r="K302" s="512"/>
      <c r="L302" s="512"/>
      <c r="M302" s="512"/>
      <c r="N302" s="512"/>
      <c r="O302" s="512"/>
      <c r="P302" s="512"/>
      <c r="Q302" s="512"/>
      <c r="R302" s="512"/>
      <c r="S302" s="512"/>
      <c r="T302" s="512"/>
      <c r="U302" s="512"/>
      <c r="V302" s="512"/>
      <c r="W302" s="512"/>
      <c r="X302" s="512"/>
      <c r="Y302" s="512"/>
      <c r="Z302" s="512"/>
      <c r="AA302" s="512"/>
    </row>
    <row r="303">
      <c r="A303" s="512"/>
      <c r="B303" s="512"/>
      <c r="C303" s="512"/>
      <c r="D303" s="512"/>
      <c r="E303" s="512"/>
      <c r="F303" s="512"/>
      <c r="G303" s="512"/>
      <c r="H303" s="512"/>
      <c r="I303" s="512"/>
      <c r="J303" s="512"/>
      <c r="K303" s="512"/>
      <c r="L303" s="512"/>
      <c r="M303" s="512"/>
      <c r="N303" s="512"/>
      <c r="O303" s="512"/>
      <c r="P303" s="512"/>
      <c r="Q303" s="512"/>
      <c r="R303" s="512"/>
      <c r="S303" s="512"/>
      <c r="T303" s="512"/>
      <c r="U303" s="512"/>
      <c r="V303" s="512"/>
      <c r="W303" s="512"/>
      <c r="X303" s="512"/>
      <c r="Y303" s="512"/>
      <c r="Z303" s="512"/>
      <c r="AA303" s="512"/>
    </row>
    <row r="304">
      <c r="A304" s="512"/>
      <c r="B304" s="512"/>
      <c r="C304" s="512"/>
      <c r="D304" s="512"/>
      <c r="E304" s="512"/>
      <c r="F304" s="512"/>
      <c r="G304" s="512"/>
      <c r="H304" s="512"/>
      <c r="I304" s="512"/>
      <c r="J304" s="512"/>
      <c r="K304" s="512"/>
      <c r="L304" s="512"/>
      <c r="M304" s="512"/>
      <c r="N304" s="512"/>
      <c r="O304" s="512"/>
      <c r="P304" s="512"/>
      <c r="Q304" s="512"/>
      <c r="R304" s="512"/>
      <c r="S304" s="512"/>
      <c r="T304" s="512"/>
      <c r="U304" s="512"/>
      <c r="V304" s="512"/>
      <c r="W304" s="512"/>
      <c r="X304" s="512"/>
      <c r="Y304" s="512"/>
      <c r="Z304" s="512"/>
      <c r="AA304" s="512"/>
    </row>
    <row r="305">
      <c r="A305" s="512"/>
      <c r="B305" s="512"/>
      <c r="C305" s="512"/>
      <c r="D305" s="512"/>
      <c r="E305" s="512"/>
      <c r="F305" s="512"/>
      <c r="G305" s="512"/>
      <c r="H305" s="512"/>
      <c r="I305" s="512"/>
      <c r="J305" s="512"/>
      <c r="K305" s="512"/>
      <c r="L305" s="512"/>
      <c r="M305" s="512"/>
      <c r="N305" s="512"/>
      <c r="O305" s="512"/>
      <c r="P305" s="512"/>
      <c r="Q305" s="512"/>
      <c r="R305" s="512"/>
      <c r="S305" s="512"/>
      <c r="T305" s="512"/>
      <c r="U305" s="512"/>
      <c r="V305" s="512"/>
      <c r="W305" s="512"/>
      <c r="X305" s="512"/>
      <c r="Y305" s="512"/>
      <c r="Z305" s="512"/>
      <c r="AA305" s="512"/>
    </row>
    <row r="306">
      <c r="A306" s="512"/>
      <c r="B306" s="512"/>
      <c r="C306" s="512"/>
      <c r="D306" s="512"/>
      <c r="E306" s="512"/>
      <c r="F306" s="512"/>
      <c r="G306" s="512"/>
      <c r="H306" s="512"/>
      <c r="I306" s="512"/>
      <c r="J306" s="512"/>
      <c r="K306" s="512"/>
      <c r="L306" s="512"/>
      <c r="M306" s="512"/>
      <c r="N306" s="512"/>
      <c r="O306" s="512"/>
      <c r="P306" s="512"/>
      <c r="Q306" s="512"/>
      <c r="R306" s="512"/>
      <c r="S306" s="512"/>
      <c r="T306" s="512"/>
      <c r="U306" s="512"/>
      <c r="V306" s="512"/>
      <c r="W306" s="512"/>
      <c r="X306" s="512"/>
      <c r="Y306" s="512"/>
      <c r="Z306" s="512"/>
      <c r="AA306" s="512"/>
    </row>
    <row r="307">
      <c r="A307" s="512"/>
      <c r="B307" s="512"/>
      <c r="C307" s="512"/>
      <c r="D307" s="512"/>
      <c r="E307" s="512"/>
      <c r="F307" s="512"/>
      <c r="G307" s="512"/>
      <c r="H307" s="512"/>
      <c r="I307" s="512"/>
      <c r="J307" s="512"/>
      <c r="K307" s="512"/>
      <c r="L307" s="512"/>
      <c r="M307" s="512"/>
      <c r="N307" s="512"/>
      <c r="O307" s="512"/>
      <c r="P307" s="512"/>
      <c r="Q307" s="512"/>
      <c r="R307" s="512"/>
      <c r="S307" s="512"/>
      <c r="T307" s="512"/>
      <c r="U307" s="512"/>
      <c r="V307" s="512"/>
      <c r="W307" s="512"/>
      <c r="X307" s="512"/>
      <c r="Y307" s="512"/>
      <c r="Z307" s="512"/>
      <c r="AA307" s="512"/>
    </row>
    <row r="308">
      <c r="A308" s="512"/>
      <c r="B308" s="512"/>
      <c r="C308" s="512"/>
      <c r="D308" s="512"/>
      <c r="E308" s="512"/>
      <c r="F308" s="512"/>
      <c r="G308" s="512"/>
      <c r="H308" s="512"/>
      <c r="I308" s="512"/>
      <c r="J308" s="512"/>
      <c r="K308" s="512"/>
      <c r="L308" s="512"/>
      <c r="M308" s="512"/>
      <c r="N308" s="512"/>
      <c r="O308" s="512"/>
      <c r="P308" s="512"/>
      <c r="Q308" s="512"/>
      <c r="R308" s="512"/>
      <c r="S308" s="512"/>
      <c r="T308" s="512"/>
      <c r="U308" s="512"/>
      <c r="V308" s="512"/>
      <c r="W308" s="512"/>
      <c r="X308" s="512"/>
      <c r="Y308" s="512"/>
      <c r="Z308" s="512"/>
      <c r="AA308" s="512"/>
    </row>
    <row r="309">
      <c r="A309" s="512"/>
      <c r="B309" s="512"/>
      <c r="C309" s="512"/>
      <c r="D309" s="512"/>
      <c r="E309" s="512"/>
      <c r="F309" s="512"/>
      <c r="G309" s="512"/>
      <c r="H309" s="512"/>
      <c r="I309" s="512"/>
      <c r="J309" s="512"/>
      <c r="K309" s="512"/>
      <c r="L309" s="512"/>
      <c r="M309" s="512"/>
      <c r="N309" s="512"/>
      <c r="O309" s="512"/>
      <c r="P309" s="512"/>
      <c r="Q309" s="512"/>
      <c r="R309" s="512"/>
      <c r="S309" s="512"/>
      <c r="T309" s="512"/>
      <c r="U309" s="512"/>
      <c r="V309" s="512"/>
      <c r="W309" s="512"/>
      <c r="X309" s="512"/>
      <c r="Y309" s="512"/>
      <c r="Z309" s="512"/>
      <c r="AA309" s="512"/>
    </row>
    <row r="310">
      <c r="A310" s="512"/>
      <c r="B310" s="512"/>
      <c r="C310" s="512"/>
      <c r="D310" s="512"/>
      <c r="E310" s="512"/>
      <c r="F310" s="512"/>
      <c r="G310" s="512"/>
      <c r="H310" s="512"/>
      <c r="I310" s="512"/>
      <c r="J310" s="512"/>
      <c r="K310" s="512"/>
      <c r="L310" s="512"/>
      <c r="M310" s="512"/>
      <c r="N310" s="512"/>
      <c r="O310" s="512"/>
      <c r="P310" s="512"/>
      <c r="Q310" s="512"/>
      <c r="R310" s="512"/>
      <c r="S310" s="512"/>
      <c r="T310" s="512"/>
      <c r="U310" s="512"/>
      <c r="V310" s="512"/>
      <c r="W310" s="512"/>
      <c r="X310" s="512"/>
      <c r="Y310" s="512"/>
      <c r="Z310" s="512"/>
      <c r="AA310" s="512"/>
    </row>
    <row r="311">
      <c r="A311" s="512"/>
      <c r="B311" s="512"/>
      <c r="C311" s="512"/>
      <c r="D311" s="512"/>
      <c r="E311" s="512"/>
      <c r="F311" s="512"/>
      <c r="G311" s="512"/>
      <c r="H311" s="512"/>
      <c r="I311" s="512"/>
      <c r="J311" s="512"/>
      <c r="K311" s="512"/>
      <c r="L311" s="512"/>
      <c r="M311" s="512"/>
      <c r="N311" s="512"/>
      <c r="O311" s="512"/>
      <c r="P311" s="512"/>
      <c r="Q311" s="512"/>
      <c r="R311" s="512"/>
      <c r="S311" s="512"/>
      <c r="T311" s="512"/>
      <c r="U311" s="512"/>
      <c r="V311" s="512"/>
      <c r="W311" s="512"/>
      <c r="X311" s="512"/>
      <c r="Y311" s="512"/>
      <c r="Z311" s="512"/>
      <c r="AA311" s="512"/>
    </row>
    <row r="312">
      <c r="A312" s="512"/>
      <c r="B312" s="512"/>
      <c r="C312" s="512"/>
      <c r="D312" s="512"/>
      <c r="E312" s="512"/>
      <c r="F312" s="512"/>
      <c r="G312" s="512"/>
      <c r="H312" s="512"/>
      <c r="I312" s="512"/>
      <c r="J312" s="512"/>
      <c r="K312" s="512"/>
      <c r="L312" s="512"/>
      <c r="M312" s="512"/>
      <c r="N312" s="512"/>
      <c r="O312" s="512"/>
      <c r="P312" s="512"/>
      <c r="Q312" s="512"/>
      <c r="R312" s="512"/>
      <c r="S312" s="512"/>
      <c r="T312" s="512"/>
      <c r="U312" s="512"/>
      <c r="V312" s="512"/>
      <c r="W312" s="512"/>
      <c r="X312" s="512"/>
      <c r="Y312" s="512"/>
      <c r="Z312" s="512"/>
      <c r="AA312" s="512"/>
    </row>
    <row r="313">
      <c r="A313" s="512"/>
      <c r="B313" s="512"/>
      <c r="C313" s="512"/>
      <c r="D313" s="512"/>
      <c r="E313" s="512"/>
      <c r="F313" s="512"/>
      <c r="G313" s="512"/>
      <c r="H313" s="512"/>
      <c r="I313" s="512"/>
      <c r="J313" s="512"/>
      <c r="K313" s="512"/>
      <c r="L313" s="512"/>
      <c r="M313" s="512"/>
      <c r="N313" s="512"/>
      <c r="O313" s="512"/>
      <c r="P313" s="512"/>
      <c r="Q313" s="512"/>
      <c r="R313" s="512"/>
      <c r="S313" s="512"/>
      <c r="T313" s="512"/>
      <c r="U313" s="512"/>
      <c r="V313" s="512"/>
      <c r="W313" s="512"/>
      <c r="X313" s="512"/>
      <c r="Y313" s="512"/>
      <c r="Z313" s="512"/>
      <c r="AA313" s="512"/>
    </row>
    <row r="314">
      <c r="A314" s="512"/>
      <c r="B314" s="512"/>
      <c r="C314" s="512"/>
      <c r="D314" s="512"/>
      <c r="E314" s="512"/>
      <c r="F314" s="512"/>
      <c r="G314" s="512"/>
      <c r="H314" s="512"/>
      <c r="I314" s="512"/>
      <c r="J314" s="512"/>
      <c r="K314" s="512"/>
      <c r="L314" s="512"/>
      <c r="M314" s="512"/>
      <c r="N314" s="512"/>
      <c r="O314" s="512"/>
      <c r="P314" s="512"/>
      <c r="Q314" s="512"/>
      <c r="R314" s="512"/>
      <c r="S314" s="512"/>
      <c r="T314" s="512"/>
      <c r="U314" s="512"/>
      <c r="V314" s="512"/>
      <c r="W314" s="512"/>
      <c r="X314" s="512"/>
      <c r="Y314" s="512"/>
      <c r="Z314" s="512"/>
      <c r="AA314" s="512"/>
    </row>
    <row r="315">
      <c r="A315" s="512"/>
      <c r="B315" s="512"/>
      <c r="C315" s="512"/>
      <c r="D315" s="512"/>
      <c r="E315" s="512"/>
      <c r="F315" s="512"/>
      <c r="G315" s="512"/>
      <c r="H315" s="512"/>
      <c r="I315" s="512"/>
      <c r="J315" s="512"/>
      <c r="K315" s="512"/>
      <c r="L315" s="512"/>
      <c r="M315" s="512"/>
      <c r="N315" s="512"/>
      <c r="O315" s="512"/>
      <c r="P315" s="512"/>
      <c r="Q315" s="512"/>
      <c r="R315" s="512"/>
      <c r="S315" s="512"/>
      <c r="T315" s="512"/>
      <c r="U315" s="512"/>
      <c r="V315" s="512"/>
      <c r="W315" s="512"/>
      <c r="X315" s="512"/>
      <c r="Y315" s="512"/>
      <c r="Z315" s="512"/>
      <c r="AA315" s="512"/>
    </row>
    <row r="316">
      <c r="A316" s="512"/>
      <c r="B316" s="512"/>
      <c r="C316" s="512"/>
      <c r="D316" s="512"/>
      <c r="E316" s="512"/>
      <c r="F316" s="512"/>
      <c r="G316" s="512"/>
      <c r="H316" s="512"/>
      <c r="I316" s="512"/>
      <c r="J316" s="512"/>
      <c r="K316" s="512"/>
      <c r="L316" s="512"/>
      <c r="M316" s="512"/>
      <c r="N316" s="512"/>
      <c r="O316" s="512"/>
      <c r="P316" s="512"/>
      <c r="Q316" s="512"/>
      <c r="R316" s="512"/>
      <c r="S316" s="512"/>
      <c r="T316" s="512"/>
      <c r="U316" s="512"/>
      <c r="V316" s="512"/>
      <c r="W316" s="512"/>
      <c r="X316" s="512"/>
      <c r="Y316" s="512"/>
      <c r="Z316" s="512"/>
      <c r="AA316" s="512"/>
    </row>
    <row r="317">
      <c r="A317" s="512"/>
      <c r="B317" s="512"/>
      <c r="C317" s="512"/>
      <c r="D317" s="512"/>
      <c r="E317" s="512"/>
      <c r="F317" s="512"/>
      <c r="G317" s="512"/>
      <c r="H317" s="512"/>
      <c r="I317" s="512"/>
      <c r="J317" s="512"/>
      <c r="K317" s="512"/>
      <c r="L317" s="512"/>
      <c r="M317" s="512"/>
      <c r="N317" s="512"/>
      <c r="O317" s="512"/>
      <c r="P317" s="512"/>
      <c r="Q317" s="512"/>
      <c r="R317" s="512"/>
      <c r="S317" s="512"/>
      <c r="T317" s="512"/>
      <c r="U317" s="512"/>
      <c r="V317" s="512"/>
      <c r="W317" s="512"/>
      <c r="X317" s="512"/>
      <c r="Y317" s="512"/>
      <c r="Z317" s="512"/>
      <c r="AA317" s="512"/>
    </row>
    <row r="318">
      <c r="A318" s="512"/>
      <c r="B318" s="512"/>
      <c r="C318" s="512"/>
      <c r="D318" s="512"/>
      <c r="E318" s="512"/>
      <c r="F318" s="512"/>
      <c r="G318" s="512"/>
      <c r="H318" s="512"/>
      <c r="I318" s="512"/>
      <c r="J318" s="512"/>
      <c r="K318" s="512"/>
      <c r="L318" s="512"/>
      <c r="M318" s="512"/>
      <c r="N318" s="512"/>
      <c r="O318" s="512"/>
      <c r="P318" s="512"/>
      <c r="Q318" s="512"/>
      <c r="R318" s="512"/>
      <c r="S318" s="512"/>
      <c r="T318" s="512"/>
      <c r="U318" s="512"/>
      <c r="V318" s="512"/>
      <c r="W318" s="512"/>
      <c r="X318" s="512"/>
      <c r="Y318" s="512"/>
      <c r="Z318" s="512"/>
      <c r="AA318" s="512"/>
    </row>
    <row r="319">
      <c r="A319" s="512"/>
      <c r="B319" s="512"/>
      <c r="C319" s="512"/>
      <c r="D319" s="512"/>
      <c r="E319" s="512"/>
      <c r="F319" s="512"/>
      <c r="G319" s="512"/>
      <c r="H319" s="512"/>
      <c r="I319" s="512"/>
      <c r="J319" s="512"/>
      <c r="K319" s="512"/>
      <c r="L319" s="512"/>
      <c r="M319" s="512"/>
      <c r="N319" s="512"/>
      <c r="O319" s="512"/>
      <c r="P319" s="512"/>
      <c r="Q319" s="512"/>
      <c r="R319" s="512"/>
      <c r="S319" s="512"/>
      <c r="T319" s="512"/>
      <c r="U319" s="512"/>
      <c r="V319" s="512"/>
      <c r="W319" s="512"/>
      <c r="X319" s="512"/>
      <c r="Y319" s="512"/>
      <c r="Z319" s="512"/>
      <c r="AA319" s="512"/>
    </row>
    <row r="320">
      <c r="A320" s="512"/>
      <c r="B320" s="512"/>
      <c r="C320" s="512"/>
      <c r="D320" s="512"/>
      <c r="E320" s="512"/>
      <c r="F320" s="512"/>
      <c r="G320" s="512"/>
      <c r="H320" s="512"/>
      <c r="I320" s="512"/>
      <c r="J320" s="512"/>
      <c r="K320" s="512"/>
      <c r="L320" s="512"/>
      <c r="M320" s="512"/>
      <c r="N320" s="512"/>
      <c r="O320" s="512"/>
      <c r="P320" s="512"/>
      <c r="Q320" s="512"/>
      <c r="R320" s="512"/>
      <c r="S320" s="512"/>
      <c r="T320" s="512"/>
      <c r="U320" s="512"/>
      <c r="V320" s="512"/>
      <c r="W320" s="512"/>
      <c r="X320" s="512"/>
      <c r="Y320" s="512"/>
      <c r="Z320" s="512"/>
      <c r="AA320" s="512"/>
    </row>
    <row r="321">
      <c r="A321" s="512"/>
      <c r="B321" s="512"/>
      <c r="C321" s="512"/>
      <c r="D321" s="512"/>
      <c r="E321" s="512"/>
      <c r="F321" s="512"/>
      <c r="G321" s="512"/>
      <c r="H321" s="512"/>
      <c r="I321" s="512"/>
      <c r="J321" s="512"/>
      <c r="K321" s="512"/>
      <c r="L321" s="512"/>
      <c r="M321" s="512"/>
      <c r="N321" s="512"/>
      <c r="O321" s="512"/>
      <c r="P321" s="512"/>
      <c r="Q321" s="512"/>
      <c r="R321" s="512"/>
      <c r="S321" s="512"/>
      <c r="T321" s="512"/>
      <c r="U321" s="512"/>
      <c r="V321" s="512"/>
      <c r="W321" s="512"/>
      <c r="X321" s="512"/>
      <c r="Y321" s="512"/>
      <c r="Z321" s="512"/>
      <c r="AA321" s="512"/>
    </row>
    <row r="322">
      <c r="A322" s="512"/>
      <c r="B322" s="512"/>
      <c r="C322" s="512"/>
      <c r="D322" s="512"/>
      <c r="E322" s="512"/>
      <c r="F322" s="512"/>
      <c r="G322" s="512"/>
      <c r="H322" s="512"/>
      <c r="I322" s="512"/>
      <c r="J322" s="512"/>
      <c r="K322" s="512"/>
      <c r="L322" s="512"/>
      <c r="M322" s="512"/>
      <c r="N322" s="512"/>
      <c r="O322" s="512"/>
      <c r="P322" s="512"/>
      <c r="Q322" s="512"/>
      <c r="R322" s="512"/>
      <c r="S322" s="512"/>
      <c r="T322" s="512"/>
      <c r="U322" s="512"/>
      <c r="V322" s="512"/>
      <c r="W322" s="512"/>
      <c r="X322" s="512"/>
      <c r="Y322" s="512"/>
      <c r="Z322" s="512"/>
      <c r="AA322" s="512"/>
    </row>
    <row r="323">
      <c r="A323" s="512"/>
      <c r="B323" s="512"/>
      <c r="C323" s="512"/>
      <c r="D323" s="512"/>
      <c r="E323" s="512"/>
      <c r="F323" s="512"/>
      <c r="G323" s="512"/>
      <c r="H323" s="512"/>
      <c r="I323" s="512"/>
      <c r="J323" s="512"/>
      <c r="K323" s="512"/>
      <c r="L323" s="512"/>
      <c r="M323" s="512"/>
      <c r="N323" s="512"/>
      <c r="O323" s="512"/>
      <c r="P323" s="512"/>
      <c r="Q323" s="512"/>
      <c r="R323" s="512"/>
      <c r="S323" s="512"/>
      <c r="T323" s="512"/>
      <c r="U323" s="512"/>
      <c r="V323" s="512"/>
      <c r="W323" s="512"/>
      <c r="X323" s="512"/>
      <c r="Y323" s="512"/>
      <c r="Z323" s="512"/>
      <c r="AA323" s="512"/>
    </row>
    <row r="324">
      <c r="A324" s="512"/>
      <c r="B324" s="512"/>
      <c r="C324" s="512"/>
      <c r="D324" s="512"/>
      <c r="E324" s="512"/>
      <c r="F324" s="512"/>
      <c r="G324" s="512"/>
      <c r="H324" s="512"/>
      <c r="I324" s="512"/>
      <c r="J324" s="512"/>
      <c r="K324" s="512"/>
      <c r="L324" s="512"/>
      <c r="M324" s="512"/>
      <c r="N324" s="512"/>
      <c r="O324" s="512"/>
      <c r="P324" s="512"/>
      <c r="Q324" s="512"/>
      <c r="R324" s="512"/>
      <c r="S324" s="512"/>
      <c r="T324" s="512"/>
      <c r="U324" s="512"/>
      <c r="V324" s="512"/>
      <c r="W324" s="512"/>
      <c r="X324" s="512"/>
      <c r="Y324" s="512"/>
      <c r="Z324" s="512"/>
      <c r="AA324" s="512"/>
    </row>
    <row r="325">
      <c r="A325" s="512"/>
      <c r="B325" s="512"/>
      <c r="C325" s="512"/>
      <c r="D325" s="512"/>
      <c r="E325" s="512"/>
      <c r="F325" s="512"/>
      <c r="G325" s="512"/>
      <c r="H325" s="512"/>
      <c r="I325" s="512"/>
      <c r="J325" s="512"/>
      <c r="K325" s="512"/>
      <c r="L325" s="512"/>
      <c r="M325" s="512"/>
      <c r="N325" s="512"/>
      <c r="O325" s="512"/>
      <c r="P325" s="512"/>
      <c r="Q325" s="512"/>
      <c r="R325" s="512"/>
      <c r="S325" s="512"/>
      <c r="T325" s="512"/>
      <c r="U325" s="512"/>
      <c r="V325" s="512"/>
      <c r="W325" s="512"/>
      <c r="X325" s="512"/>
      <c r="Y325" s="512"/>
      <c r="Z325" s="512"/>
      <c r="AA325" s="512"/>
    </row>
    <row r="326">
      <c r="A326" s="512"/>
      <c r="B326" s="512"/>
      <c r="C326" s="512"/>
      <c r="D326" s="512"/>
      <c r="E326" s="512"/>
      <c r="F326" s="512"/>
      <c r="G326" s="512"/>
      <c r="H326" s="512"/>
      <c r="I326" s="512"/>
      <c r="J326" s="512"/>
      <c r="K326" s="512"/>
      <c r="L326" s="512"/>
      <c r="M326" s="512"/>
      <c r="N326" s="512"/>
      <c r="O326" s="512"/>
      <c r="P326" s="512"/>
      <c r="Q326" s="512"/>
      <c r="R326" s="512"/>
      <c r="S326" s="512"/>
      <c r="T326" s="512"/>
      <c r="U326" s="512"/>
      <c r="V326" s="512"/>
      <c r="W326" s="512"/>
      <c r="X326" s="512"/>
      <c r="Y326" s="512"/>
      <c r="Z326" s="512"/>
      <c r="AA326" s="512"/>
    </row>
    <row r="327">
      <c r="A327" s="512"/>
      <c r="B327" s="512"/>
      <c r="C327" s="512"/>
      <c r="D327" s="512"/>
      <c r="E327" s="512"/>
      <c r="F327" s="512"/>
      <c r="G327" s="512"/>
      <c r="H327" s="512"/>
      <c r="I327" s="512"/>
      <c r="J327" s="512"/>
      <c r="K327" s="512"/>
      <c r="L327" s="512"/>
      <c r="M327" s="512"/>
      <c r="N327" s="512"/>
      <c r="O327" s="512"/>
      <c r="P327" s="512"/>
      <c r="Q327" s="512"/>
      <c r="R327" s="512"/>
      <c r="S327" s="512"/>
      <c r="T327" s="512"/>
      <c r="U327" s="512"/>
      <c r="V327" s="512"/>
      <c r="W327" s="512"/>
      <c r="X327" s="512"/>
      <c r="Y327" s="512"/>
      <c r="Z327" s="512"/>
      <c r="AA327" s="512"/>
    </row>
    <row r="328">
      <c r="A328" s="512"/>
      <c r="B328" s="512"/>
      <c r="C328" s="512"/>
      <c r="D328" s="512"/>
      <c r="E328" s="512"/>
      <c r="F328" s="512"/>
      <c r="G328" s="512"/>
      <c r="H328" s="512"/>
      <c r="I328" s="512"/>
      <c r="J328" s="512"/>
      <c r="K328" s="512"/>
      <c r="L328" s="512"/>
      <c r="M328" s="512"/>
      <c r="N328" s="512"/>
      <c r="O328" s="512"/>
      <c r="P328" s="512"/>
      <c r="Q328" s="512"/>
      <c r="R328" s="512"/>
      <c r="S328" s="512"/>
      <c r="T328" s="512"/>
      <c r="U328" s="512"/>
      <c r="V328" s="512"/>
      <c r="W328" s="512"/>
      <c r="X328" s="512"/>
      <c r="Y328" s="512"/>
      <c r="Z328" s="512"/>
      <c r="AA328" s="512"/>
    </row>
    <row r="329">
      <c r="A329" s="512"/>
      <c r="B329" s="512"/>
      <c r="C329" s="512"/>
      <c r="D329" s="512"/>
      <c r="E329" s="512"/>
      <c r="F329" s="512"/>
      <c r="G329" s="512"/>
      <c r="H329" s="512"/>
      <c r="I329" s="512"/>
      <c r="J329" s="512"/>
      <c r="K329" s="512"/>
      <c r="L329" s="512"/>
      <c r="M329" s="512"/>
      <c r="N329" s="512"/>
      <c r="O329" s="512"/>
      <c r="P329" s="512"/>
      <c r="Q329" s="512"/>
      <c r="R329" s="512"/>
      <c r="S329" s="512"/>
      <c r="T329" s="512"/>
      <c r="U329" s="512"/>
      <c r="V329" s="512"/>
      <c r="W329" s="512"/>
      <c r="X329" s="512"/>
      <c r="Y329" s="512"/>
      <c r="Z329" s="512"/>
      <c r="AA329" s="512"/>
    </row>
    <row r="330">
      <c r="A330" s="512"/>
      <c r="B330" s="512"/>
      <c r="C330" s="512"/>
      <c r="D330" s="512"/>
      <c r="E330" s="512"/>
      <c r="F330" s="512"/>
      <c r="G330" s="512"/>
      <c r="H330" s="512"/>
      <c r="I330" s="512"/>
      <c r="J330" s="512"/>
      <c r="K330" s="512"/>
      <c r="L330" s="512"/>
      <c r="M330" s="512"/>
      <c r="N330" s="512"/>
      <c r="O330" s="512"/>
      <c r="P330" s="512"/>
      <c r="Q330" s="512"/>
      <c r="R330" s="512"/>
      <c r="S330" s="512"/>
      <c r="T330" s="512"/>
      <c r="U330" s="512"/>
      <c r="V330" s="512"/>
      <c r="W330" s="512"/>
      <c r="X330" s="512"/>
      <c r="Y330" s="512"/>
      <c r="Z330" s="512"/>
      <c r="AA330" s="512"/>
    </row>
    <row r="331">
      <c r="A331" s="512"/>
      <c r="B331" s="512"/>
      <c r="C331" s="512"/>
      <c r="D331" s="512"/>
      <c r="E331" s="512"/>
      <c r="F331" s="512"/>
      <c r="G331" s="512"/>
      <c r="H331" s="512"/>
      <c r="I331" s="512"/>
      <c r="J331" s="512"/>
      <c r="K331" s="512"/>
      <c r="L331" s="512"/>
      <c r="M331" s="512"/>
      <c r="N331" s="512"/>
      <c r="O331" s="512"/>
      <c r="P331" s="512"/>
      <c r="Q331" s="512"/>
      <c r="R331" s="512"/>
      <c r="S331" s="512"/>
      <c r="T331" s="512"/>
      <c r="U331" s="512"/>
      <c r="V331" s="512"/>
      <c r="W331" s="512"/>
      <c r="X331" s="512"/>
      <c r="Y331" s="512"/>
      <c r="Z331" s="512"/>
      <c r="AA331" s="512"/>
    </row>
    <row r="332">
      <c r="A332" s="512"/>
      <c r="B332" s="512"/>
      <c r="C332" s="512"/>
      <c r="D332" s="512"/>
      <c r="E332" s="512"/>
      <c r="F332" s="512"/>
      <c r="G332" s="512"/>
      <c r="H332" s="512"/>
      <c r="I332" s="512"/>
      <c r="J332" s="512"/>
      <c r="K332" s="512"/>
      <c r="L332" s="512"/>
      <c r="M332" s="512"/>
      <c r="N332" s="512"/>
      <c r="O332" s="512"/>
      <c r="P332" s="512"/>
      <c r="Q332" s="512"/>
      <c r="R332" s="512"/>
      <c r="S332" s="512"/>
      <c r="T332" s="512"/>
      <c r="U332" s="512"/>
      <c r="V332" s="512"/>
      <c r="W332" s="512"/>
      <c r="X332" s="512"/>
      <c r="Y332" s="512"/>
      <c r="Z332" s="512"/>
      <c r="AA332" s="512"/>
    </row>
    <row r="333">
      <c r="A333" s="512"/>
      <c r="B333" s="512"/>
      <c r="C333" s="512"/>
      <c r="D333" s="512"/>
      <c r="E333" s="512"/>
      <c r="F333" s="512"/>
      <c r="G333" s="512"/>
      <c r="H333" s="512"/>
      <c r="I333" s="512"/>
      <c r="J333" s="512"/>
      <c r="K333" s="512"/>
      <c r="L333" s="512"/>
      <c r="M333" s="512"/>
      <c r="N333" s="512"/>
      <c r="O333" s="512"/>
      <c r="P333" s="512"/>
      <c r="Q333" s="512"/>
      <c r="R333" s="512"/>
      <c r="S333" s="512"/>
      <c r="T333" s="512"/>
      <c r="U333" s="512"/>
      <c r="V333" s="512"/>
      <c r="W333" s="512"/>
      <c r="X333" s="512"/>
      <c r="Y333" s="512"/>
      <c r="Z333" s="512"/>
      <c r="AA333" s="512"/>
    </row>
    <row r="334">
      <c r="A334" s="512"/>
      <c r="B334" s="512"/>
      <c r="C334" s="512"/>
      <c r="D334" s="512"/>
      <c r="E334" s="512"/>
      <c r="F334" s="512"/>
      <c r="G334" s="512"/>
      <c r="H334" s="512"/>
      <c r="I334" s="512"/>
      <c r="J334" s="512"/>
      <c r="K334" s="512"/>
      <c r="L334" s="512"/>
      <c r="M334" s="512"/>
      <c r="N334" s="512"/>
      <c r="O334" s="512"/>
      <c r="P334" s="512"/>
      <c r="Q334" s="512"/>
      <c r="R334" s="512"/>
      <c r="S334" s="512"/>
      <c r="T334" s="512"/>
      <c r="U334" s="512"/>
      <c r="V334" s="512"/>
      <c r="W334" s="512"/>
      <c r="X334" s="512"/>
      <c r="Y334" s="512"/>
      <c r="Z334" s="512"/>
      <c r="AA334" s="512"/>
    </row>
    <row r="335">
      <c r="A335" s="512"/>
      <c r="B335" s="512"/>
      <c r="C335" s="512"/>
      <c r="D335" s="512"/>
      <c r="E335" s="512"/>
      <c r="F335" s="512"/>
      <c r="G335" s="512"/>
      <c r="H335" s="512"/>
      <c r="I335" s="512"/>
      <c r="J335" s="512"/>
      <c r="K335" s="512"/>
      <c r="L335" s="512"/>
      <c r="M335" s="512"/>
      <c r="N335" s="512"/>
      <c r="O335" s="512"/>
      <c r="P335" s="512"/>
      <c r="Q335" s="512"/>
      <c r="R335" s="512"/>
      <c r="S335" s="512"/>
      <c r="T335" s="512"/>
      <c r="U335" s="512"/>
      <c r="V335" s="512"/>
      <c r="W335" s="512"/>
      <c r="X335" s="512"/>
      <c r="Y335" s="512"/>
      <c r="Z335" s="512"/>
      <c r="AA335" s="512"/>
    </row>
    <row r="336">
      <c r="A336" s="512"/>
      <c r="B336" s="512"/>
      <c r="C336" s="512"/>
      <c r="D336" s="512"/>
      <c r="E336" s="512"/>
      <c r="F336" s="512"/>
      <c r="G336" s="512"/>
      <c r="H336" s="512"/>
      <c r="I336" s="512"/>
      <c r="J336" s="512"/>
      <c r="K336" s="512"/>
      <c r="L336" s="512"/>
      <c r="M336" s="512"/>
      <c r="N336" s="512"/>
      <c r="O336" s="512"/>
      <c r="P336" s="512"/>
      <c r="Q336" s="512"/>
      <c r="R336" s="512"/>
      <c r="S336" s="512"/>
      <c r="T336" s="512"/>
      <c r="U336" s="512"/>
      <c r="V336" s="512"/>
      <c r="W336" s="512"/>
      <c r="X336" s="512"/>
      <c r="Y336" s="512"/>
      <c r="Z336" s="512"/>
      <c r="AA336" s="512"/>
    </row>
    <row r="337">
      <c r="A337" s="512"/>
      <c r="B337" s="512"/>
      <c r="C337" s="512"/>
      <c r="D337" s="512"/>
      <c r="E337" s="512"/>
      <c r="F337" s="512"/>
      <c r="G337" s="512"/>
      <c r="H337" s="512"/>
      <c r="I337" s="512"/>
      <c r="J337" s="512"/>
      <c r="K337" s="512"/>
      <c r="L337" s="512"/>
      <c r="M337" s="512"/>
      <c r="N337" s="512"/>
      <c r="O337" s="512"/>
      <c r="P337" s="512"/>
      <c r="Q337" s="512"/>
      <c r="R337" s="512"/>
      <c r="S337" s="512"/>
      <c r="T337" s="512"/>
      <c r="U337" s="512"/>
      <c r="V337" s="512"/>
      <c r="W337" s="512"/>
      <c r="X337" s="512"/>
      <c r="Y337" s="512"/>
      <c r="Z337" s="512"/>
      <c r="AA337" s="512"/>
    </row>
    <row r="338">
      <c r="A338" s="512"/>
      <c r="B338" s="512"/>
      <c r="C338" s="512"/>
      <c r="D338" s="512"/>
      <c r="E338" s="512"/>
      <c r="F338" s="512"/>
      <c r="G338" s="512"/>
      <c r="H338" s="512"/>
      <c r="I338" s="512"/>
      <c r="J338" s="512"/>
      <c r="K338" s="512"/>
      <c r="L338" s="512"/>
      <c r="M338" s="512"/>
      <c r="N338" s="512"/>
      <c r="O338" s="512"/>
      <c r="P338" s="512"/>
      <c r="Q338" s="512"/>
      <c r="R338" s="512"/>
      <c r="S338" s="512"/>
      <c r="T338" s="512"/>
      <c r="U338" s="512"/>
      <c r="V338" s="512"/>
      <c r="W338" s="512"/>
      <c r="X338" s="512"/>
      <c r="Y338" s="512"/>
      <c r="Z338" s="512"/>
      <c r="AA338" s="512"/>
    </row>
    <row r="339">
      <c r="A339" s="512"/>
      <c r="B339" s="512"/>
      <c r="C339" s="512"/>
      <c r="D339" s="512"/>
      <c r="E339" s="512"/>
      <c r="F339" s="512"/>
      <c r="G339" s="512"/>
      <c r="H339" s="512"/>
      <c r="I339" s="512"/>
      <c r="J339" s="512"/>
      <c r="K339" s="512"/>
      <c r="L339" s="512"/>
      <c r="M339" s="512"/>
      <c r="N339" s="512"/>
      <c r="O339" s="512"/>
      <c r="P339" s="512"/>
      <c r="Q339" s="512"/>
      <c r="R339" s="512"/>
      <c r="S339" s="512"/>
      <c r="T339" s="512"/>
      <c r="U339" s="512"/>
      <c r="V339" s="512"/>
      <c r="W339" s="512"/>
      <c r="X339" s="512"/>
      <c r="Y339" s="512"/>
      <c r="Z339" s="512"/>
      <c r="AA339" s="512"/>
    </row>
    <row r="340">
      <c r="A340" s="512"/>
      <c r="B340" s="512"/>
      <c r="C340" s="512"/>
      <c r="D340" s="512"/>
      <c r="E340" s="512"/>
      <c r="F340" s="512"/>
      <c r="G340" s="512"/>
      <c r="H340" s="512"/>
      <c r="I340" s="512"/>
      <c r="J340" s="512"/>
      <c r="K340" s="512"/>
      <c r="L340" s="512"/>
      <c r="M340" s="512"/>
      <c r="N340" s="512"/>
      <c r="O340" s="512"/>
      <c r="P340" s="512"/>
      <c r="Q340" s="512"/>
      <c r="R340" s="512"/>
      <c r="S340" s="512"/>
      <c r="T340" s="512"/>
      <c r="U340" s="512"/>
      <c r="V340" s="512"/>
      <c r="W340" s="512"/>
      <c r="X340" s="512"/>
      <c r="Y340" s="512"/>
      <c r="Z340" s="512"/>
      <c r="AA340" s="512"/>
    </row>
    <row r="341">
      <c r="A341" s="512"/>
      <c r="B341" s="512"/>
      <c r="C341" s="512"/>
      <c r="D341" s="512"/>
      <c r="E341" s="512"/>
      <c r="F341" s="512"/>
      <c r="G341" s="512"/>
      <c r="H341" s="512"/>
      <c r="I341" s="512"/>
      <c r="J341" s="512"/>
      <c r="K341" s="512"/>
      <c r="L341" s="512"/>
      <c r="M341" s="512"/>
      <c r="N341" s="512"/>
      <c r="O341" s="512"/>
      <c r="P341" s="512"/>
      <c r="Q341" s="512"/>
      <c r="R341" s="512"/>
      <c r="S341" s="512"/>
      <c r="T341" s="512"/>
      <c r="U341" s="512"/>
      <c r="V341" s="512"/>
      <c r="W341" s="512"/>
      <c r="X341" s="512"/>
      <c r="Y341" s="512"/>
      <c r="Z341" s="512"/>
      <c r="AA341" s="512"/>
    </row>
    <row r="342">
      <c r="A342" s="512"/>
      <c r="B342" s="512"/>
      <c r="C342" s="512"/>
      <c r="D342" s="512"/>
      <c r="E342" s="512"/>
      <c r="F342" s="512"/>
      <c r="G342" s="512"/>
      <c r="H342" s="512"/>
      <c r="I342" s="512"/>
      <c r="J342" s="512"/>
      <c r="K342" s="512"/>
      <c r="L342" s="512"/>
      <c r="M342" s="512"/>
      <c r="N342" s="512"/>
      <c r="O342" s="512"/>
      <c r="P342" s="512"/>
      <c r="Q342" s="512"/>
      <c r="R342" s="512"/>
      <c r="S342" s="512"/>
      <c r="T342" s="512"/>
      <c r="U342" s="512"/>
      <c r="V342" s="512"/>
      <c r="W342" s="512"/>
      <c r="X342" s="512"/>
      <c r="Y342" s="512"/>
      <c r="Z342" s="512"/>
      <c r="AA342" s="512"/>
    </row>
    <row r="343">
      <c r="A343" s="512"/>
      <c r="B343" s="512"/>
      <c r="C343" s="512"/>
      <c r="D343" s="512"/>
      <c r="E343" s="512"/>
      <c r="F343" s="512"/>
      <c r="G343" s="512"/>
      <c r="H343" s="512"/>
      <c r="I343" s="512"/>
      <c r="J343" s="512"/>
      <c r="K343" s="512"/>
      <c r="L343" s="512"/>
      <c r="M343" s="512"/>
      <c r="N343" s="512"/>
      <c r="O343" s="512"/>
      <c r="P343" s="512"/>
      <c r="Q343" s="512"/>
      <c r="R343" s="512"/>
      <c r="S343" s="512"/>
      <c r="T343" s="512"/>
      <c r="U343" s="512"/>
      <c r="V343" s="512"/>
      <c r="W343" s="512"/>
      <c r="X343" s="512"/>
      <c r="Y343" s="512"/>
      <c r="Z343" s="512"/>
      <c r="AA343" s="512"/>
    </row>
    <row r="344">
      <c r="A344" s="512"/>
      <c r="B344" s="512"/>
      <c r="C344" s="512"/>
      <c r="D344" s="512"/>
      <c r="E344" s="512"/>
      <c r="F344" s="512"/>
      <c r="G344" s="512"/>
      <c r="H344" s="512"/>
      <c r="I344" s="512"/>
      <c r="J344" s="512"/>
      <c r="K344" s="512"/>
      <c r="L344" s="512"/>
      <c r="M344" s="512"/>
      <c r="N344" s="512"/>
      <c r="O344" s="512"/>
      <c r="P344" s="512"/>
      <c r="Q344" s="512"/>
      <c r="R344" s="512"/>
      <c r="S344" s="512"/>
      <c r="T344" s="512"/>
      <c r="U344" s="512"/>
      <c r="V344" s="512"/>
      <c r="W344" s="512"/>
      <c r="X344" s="512"/>
      <c r="Y344" s="512"/>
      <c r="Z344" s="512"/>
      <c r="AA344" s="512"/>
    </row>
    <row r="345">
      <c r="A345" s="512"/>
      <c r="B345" s="512"/>
      <c r="C345" s="512"/>
      <c r="D345" s="512"/>
      <c r="E345" s="512"/>
      <c r="F345" s="512"/>
      <c r="G345" s="512"/>
      <c r="H345" s="512"/>
      <c r="I345" s="512"/>
      <c r="J345" s="512"/>
      <c r="K345" s="512"/>
      <c r="L345" s="512"/>
      <c r="M345" s="512"/>
      <c r="N345" s="512"/>
      <c r="O345" s="512"/>
      <c r="P345" s="512"/>
      <c r="Q345" s="512"/>
      <c r="R345" s="512"/>
      <c r="S345" s="512"/>
      <c r="T345" s="512"/>
      <c r="U345" s="512"/>
      <c r="V345" s="512"/>
      <c r="W345" s="512"/>
      <c r="X345" s="512"/>
      <c r="Y345" s="512"/>
      <c r="Z345" s="512"/>
      <c r="AA345" s="512"/>
    </row>
    <row r="346">
      <c r="A346" s="512"/>
      <c r="B346" s="512"/>
      <c r="C346" s="512"/>
      <c r="D346" s="512"/>
      <c r="E346" s="512"/>
      <c r="F346" s="512"/>
      <c r="G346" s="512"/>
      <c r="H346" s="512"/>
      <c r="I346" s="512"/>
      <c r="J346" s="512"/>
      <c r="K346" s="512"/>
      <c r="L346" s="512"/>
      <c r="M346" s="512"/>
      <c r="N346" s="512"/>
      <c r="O346" s="512"/>
      <c r="P346" s="512"/>
      <c r="Q346" s="512"/>
      <c r="R346" s="512"/>
      <c r="S346" s="512"/>
      <c r="T346" s="512"/>
      <c r="U346" s="512"/>
      <c r="V346" s="512"/>
      <c r="W346" s="512"/>
      <c r="X346" s="512"/>
      <c r="Y346" s="512"/>
      <c r="Z346" s="512"/>
      <c r="AA346" s="512"/>
    </row>
    <row r="347">
      <c r="A347" s="512"/>
      <c r="B347" s="512"/>
      <c r="C347" s="512"/>
      <c r="D347" s="512"/>
      <c r="E347" s="512"/>
      <c r="F347" s="512"/>
      <c r="G347" s="512"/>
      <c r="H347" s="512"/>
      <c r="I347" s="512"/>
      <c r="J347" s="512"/>
      <c r="K347" s="512"/>
      <c r="L347" s="512"/>
      <c r="M347" s="512"/>
      <c r="N347" s="512"/>
      <c r="O347" s="512"/>
      <c r="P347" s="512"/>
      <c r="Q347" s="512"/>
      <c r="R347" s="512"/>
      <c r="S347" s="512"/>
      <c r="T347" s="512"/>
      <c r="U347" s="512"/>
      <c r="V347" s="512"/>
      <c r="W347" s="512"/>
      <c r="X347" s="512"/>
      <c r="Y347" s="512"/>
      <c r="Z347" s="512"/>
      <c r="AA347" s="512"/>
    </row>
    <row r="348">
      <c r="A348" s="512"/>
      <c r="B348" s="512"/>
      <c r="C348" s="512"/>
      <c r="D348" s="512"/>
      <c r="E348" s="512"/>
      <c r="F348" s="512"/>
      <c r="G348" s="512"/>
      <c r="H348" s="512"/>
      <c r="I348" s="512"/>
      <c r="J348" s="512"/>
      <c r="K348" s="512"/>
      <c r="L348" s="512"/>
      <c r="M348" s="512"/>
      <c r="N348" s="512"/>
      <c r="O348" s="512"/>
      <c r="P348" s="512"/>
      <c r="Q348" s="512"/>
      <c r="R348" s="512"/>
      <c r="S348" s="512"/>
      <c r="T348" s="512"/>
      <c r="U348" s="512"/>
      <c r="V348" s="512"/>
      <c r="W348" s="512"/>
      <c r="X348" s="512"/>
      <c r="Y348" s="512"/>
      <c r="Z348" s="512"/>
      <c r="AA348" s="512"/>
    </row>
    <row r="349">
      <c r="A349" s="512"/>
      <c r="B349" s="512"/>
      <c r="C349" s="512"/>
      <c r="D349" s="512"/>
      <c r="E349" s="512"/>
      <c r="F349" s="512"/>
      <c r="G349" s="512"/>
      <c r="H349" s="512"/>
      <c r="I349" s="512"/>
      <c r="J349" s="512"/>
      <c r="K349" s="512"/>
      <c r="L349" s="512"/>
      <c r="M349" s="512"/>
      <c r="N349" s="512"/>
      <c r="O349" s="512"/>
      <c r="P349" s="512"/>
      <c r="Q349" s="512"/>
      <c r="R349" s="512"/>
      <c r="S349" s="512"/>
      <c r="T349" s="512"/>
      <c r="U349" s="512"/>
      <c r="V349" s="512"/>
      <c r="W349" s="512"/>
      <c r="X349" s="512"/>
      <c r="Y349" s="512"/>
      <c r="Z349" s="512"/>
      <c r="AA349" s="512"/>
    </row>
    <row r="350">
      <c r="A350" s="512"/>
      <c r="B350" s="512"/>
      <c r="C350" s="512"/>
      <c r="D350" s="512"/>
      <c r="E350" s="512"/>
      <c r="F350" s="512"/>
      <c r="G350" s="512"/>
      <c r="H350" s="512"/>
      <c r="I350" s="512"/>
      <c r="J350" s="512"/>
      <c r="K350" s="512"/>
      <c r="L350" s="512"/>
      <c r="M350" s="512"/>
      <c r="N350" s="512"/>
      <c r="O350" s="512"/>
      <c r="P350" s="512"/>
      <c r="Q350" s="512"/>
      <c r="R350" s="512"/>
      <c r="S350" s="512"/>
      <c r="T350" s="512"/>
      <c r="U350" s="512"/>
      <c r="V350" s="512"/>
      <c r="W350" s="512"/>
      <c r="X350" s="512"/>
      <c r="Y350" s="512"/>
      <c r="Z350" s="512"/>
      <c r="AA350" s="512"/>
    </row>
    <row r="351">
      <c r="A351" s="512"/>
      <c r="B351" s="512"/>
      <c r="C351" s="512"/>
      <c r="D351" s="512"/>
      <c r="E351" s="512"/>
      <c r="F351" s="512"/>
      <c r="G351" s="512"/>
      <c r="H351" s="512"/>
      <c r="I351" s="512"/>
      <c r="J351" s="512"/>
      <c r="K351" s="512"/>
      <c r="L351" s="512"/>
      <c r="M351" s="512"/>
      <c r="N351" s="512"/>
      <c r="O351" s="512"/>
      <c r="P351" s="512"/>
      <c r="Q351" s="512"/>
      <c r="R351" s="512"/>
      <c r="S351" s="512"/>
      <c r="T351" s="512"/>
      <c r="U351" s="512"/>
      <c r="V351" s="512"/>
      <c r="W351" s="512"/>
      <c r="X351" s="512"/>
      <c r="Y351" s="512"/>
      <c r="Z351" s="512"/>
      <c r="AA351" s="512"/>
    </row>
    <row r="352">
      <c r="A352" s="512"/>
      <c r="B352" s="512"/>
      <c r="C352" s="512"/>
      <c r="D352" s="512"/>
      <c r="E352" s="512"/>
      <c r="F352" s="512"/>
      <c r="G352" s="512"/>
      <c r="H352" s="512"/>
      <c r="I352" s="512"/>
      <c r="J352" s="512"/>
      <c r="K352" s="512"/>
      <c r="L352" s="512"/>
      <c r="M352" s="512"/>
      <c r="N352" s="512"/>
      <c r="O352" s="512"/>
      <c r="P352" s="512"/>
      <c r="Q352" s="512"/>
      <c r="R352" s="512"/>
      <c r="S352" s="512"/>
      <c r="T352" s="512"/>
      <c r="U352" s="512"/>
      <c r="V352" s="512"/>
      <c r="W352" s="512"/>
      <c r="X352" s="512"/>
      <c r="Y352" s="512"/>
      <c r="Z352" s="512"/>
      <c r="AA352" s="512"/>
    </row>
    <row r="353">
      <c r="A353" s="512"/>
      <c r="B353" s="512"/>
      <c r="C353" s="512"/>
      <c r="D353" s="512"/>
      <c r="E353" s="512"/>
      <c r="F353" s="512"/>
      <c r="G353" s="512"/>
      <c r="H353" s="512"/>
      <c r="I353" s="512"/>
      <c r="J353" s="512"/>
      <c r="K353" s="512"/>
      <c r="L353" s="512"/>
      <c r="M353" s="512"/>
      <c r="N353" s="512"/>
      <c r="O353" s="512"/>
      <c r="P353" s="512"/>
      <c r="Q353" s="512"/>
      <c r="R353" s="512"/>
      <c r="S353" s="512"/>
      <c r="T353" s="512"/>
      <c r="U353" s="512"/>
      <c r="V353" s="512"/>
      <c r="W353" s="512"/>
      <c r="X353" s="512"/>
      <c r="Y353" s="512"/>
      <c r="Z353" s="512"/>
      <c r="AA353" s="512"/>
    </row>
    <row r="354">
      <c r="A354" s="512"/>
      <c r="B354" s="512"/>
      <c r="C354" s="512"/>
      <c r="D354" s="512"/>
      <c r="E354" s="512"/>
      <c r="F354" s="512"/>
      <c r="G354" s="512"/>
      <c r="H354" s="512"/>
      <c r="I354" s="512"/>
      <c r="J354" s="512"/>
      <c r="K354" s="512"/>
      <c r="L354" s="512"/>
      <c r="M354" s="512"/>
      <c r="N354" s="512"/>
      <c r="O354" s="512"/>
      <c r="P354" s="512"/>
      <c r="Q354" s="512"/>
      <c r="R354" s="512"/>
      <c r="S354" s="512"/>
      <c r="T354" s="512"/>
      <c r="U354" s="512"/>
      <c r="V354" s="512"/>
      <c r="W354" s="512"/>
      <c r="X354" s="512"/>
      <c r="Y354" s="512"/>
      <c r="Z354" s="512"/>
      <c r="AA354" s="512"/>
    </row>
    <row r="355">
      <c r="A355" s="512"/>
      <c r="B355" s="512"/>
      <c r="C355" s="512"/>
      <c r="D355" s="512"/>
      <c r="E355" s="512"/>
      <c r="F355" s="512"/>
      <c r="G355" s="512"/>
      <c r="H355" s="512"/>
      <c r="I355" s="512"/>
      <c r="J355" s="512"/>
      <c r="K355" s="512"/>
      <c r="L355" s="512"/>
      <c r="M355" s="512"/>
      <c r="N355" s="512"/>
      <c r="O355" s="512"/>
      <c r="P355" s="512"/>
      <c r="Q355" s="512"/>
      <c r="R355" s="512"/>
      <c r="S355" s="512"/>
      <c r="T355" s="512"/>
      <c r="U355" s="512"/>
      <c r="V355" s="512"/>
      <c r="W355" s="512"/>
      <c r="X355" s="512"/>
      <c r="Y355" s="512"/>
      <c r="Z355" s="512"/>
      <c r="AA355" s="512"/>
    </row>
    <row r="356">
      <c r="A356" s="512"/>
      <c r="B356" s="512"/>
      <c r="C356" s="512"/>
      <c r="D356" s="512"/>
      <c r="E356" s="512"/>
      <c r="F356" s="512"/>
      <c r="G356" s="512"/>
      <c r="H356" s="512"/>
      <c r="I356" s="512"/>
      <c r="J356" s="512"/>
      <c r="K356" s="512"/>
      <c r="L356" s="512"/>
      <c r="M356" s="512"/>
      <c r="N356" s="512"/>
      <c r="O356" s="512"/>
      <c r="P356" s="512"/>
      <c r="Q356" s="512"/>
      <c r="R356" s="512"/>
      <c r="S356" s="512"/>
      <c r="T356" s="512"/>
      <c r="U356" s="512"/>
      <c r="V356" s="512"/>
      <c r="W356" s="512"/>
      <c r="X356" s="512"/>
      <c r="Y356" s="512"/>
      <c r="Z356" s="512"/>
      <c r="AA356" s="512"/>
    </row>
    <row r="357">
      <c r="A357" s="512"/>
      <c r="B357" s="512"/>
      <c r="C357" s="512"/>
      <c r="D357" s="512"/>
      <c r="E357" s="512"/>
      <c r="F357" s="512"/>
      <c r="G357" s="512"/>
      <c r="H357" s="512"/>
      <c r="I357" s="512"/>
      <c r="J357" s="512"/>
      <c r="K357" s="512"/>
      <c r="L357" s="512"/>
      <c r="M357" s="512"/>
      <c r="N357" s="512"/>
      <c r="O357" s="512"/>
      <c r="P357" s="512"/>
      <c r="Q357" s="512"/>
      <c r="R357" s="512"/>
      <c r="S357" s="512"/>
      <c r="T357" s="512"/>
      <c r="U357" s="512"/>
      <c r="V357" s="512"/>
      <c r="W357" s="512"/>
      <c r="X357" s="512"/>
      <c r="Y357" s="512"/>
      <c r="Z357" s="512"/>
      <c r="AA357" s="512"/>
    </row>
    <row r="358">
      <c r="A358" s="512"/>
      <c r="B358" s="512"/>
      <c r="C358" s="512"/>
      <c r="D358" s="512"/>
      <c r="E358" s="512"/>
      <c r="F358" s="512"/>
      <c r="G358" s="512"/>
      <c r="H358" s="512"/>
      <c r="I358" s="512"/>
      <c r="J358" s="512"/>
      <c r="K358" s="512"/>
      <c r="L358" s="512"/>
      <c r="M358" s="512"/>
      <c r="N358" s="512"/>
      <c r="O358" s="512"/>
      <c r="P358" s="512"/>
      <c r="Q358" s="512"/>
      <c r="R358" s="512"/>
      <c r="S358" s="512"/>
      <c r="T358" s="512"/>
      <c r="U358" s="512"/>
      <c r="V358" s="512"/>
      <c r="W358" s="512"/>
      <c r="X358" s="512"/>
      <c r="Y358" s="512"/>
      <c r="Z358" s="512"/>
      <c r="AA358" s="512"/>
    </row>
    <row r="359">
      <c r="A359" s="512"/>
      <c r="B359" s="512"/>
      <c r="C359" s="512"/>
      <c r="D359" s="512"/>
      <c r="E359" s="512"/>
      <c r="F359" s="512"/>
      <c r="G359" s="512"/>
      <c r="H359" s="512"/>
      <c r="I359" s="512"/>
      <c r="J359" s="512"/>
      <c r="K359" s="512"/>
      <c r="L359" s="512"/>
      <c r="M359" s="512"/>
      <c r="N359" s="512"/>
      <c r="O359" s="512"/>
      <c r="P359" s="512"/>
      <c r="Q359" s="512"/>
      <c r="R359" s="512"/>
      <c r="S359" s="512"/>
      <c r="T359" s="512"/>
      <c r="U359" s="512"/>
      <c r="V359" s="512"/>
      <c r="W359" s="512"/>
      <c r="X359" s="512"/>
      <c r="Y359" s="512"/>
      <c r="Z359" s="512"/>
      <c r="AA359" s="512"/>
    </row>
    <row r="360">
      <c r="A360" s="512"/>
      <c r="B360" s="512"/>
      <c r="C360" s="512"/>
      <c r="D360" s="512"/>
      <c r="E360" s="512"/>
      <c r="F360" s="512"/>
      <c r="G360" s="512"/>
      <c r="H360" s="512"/>
      <c r="I360" s="512"/>
      <c r="J360" s="512"/>
      <c r="K360" s="512"/>
      <c r="L360" s="512"/>
      <c r="M360" s="512"/>
      <c r="N360" s="512"/>
      <c r="O360" s="512"/>
      <c r="P360" s="512"/>
      <c r="Q360" s="512"/>
      <c r="R360" s="512"/>
      <c r="S360" s="512"/>
      <c r="T360" s="512"/>
      <c r="U360" s="512"/>
      <c r="V360" s="512"/>
      <c r="W360" s="512"/>
      <c r="X360" s="512"/>
      <c r="Y360" s="512"/>
      <c r="Z360" s="512"/>
      <c r="AA360" s="512"/>
    </row>
    <row r="361">
      <c r="A361" s="512"/>
      <c r="B361" s="512"/>
      <c r="C361" s="512"/>
      <c r="D361" s="512"/>
      <c r="E361" s="512"/>
      <c r="F361" s="512"/>
      <c r="G361" s="512"/>
      <c r="H361" s="512"/>
      <c r="I361" s="512"/>
      <c r="J361" s="512"/>
      <c r="K361" s="512"/>
      <c r="L361" s="512"/>
      <c r="M361" s="512"/>
      <c r="N361" s="512"/>
      <c r="O361" s="512"/>
      <c r="P361" s="512"/>
      <c r="Q361" s="512"/>
      <c r="R361" s="512"/>
      <c r="S361" s="512"/>
      <c r="T361" s="512"/>
      <c r="U361" s="512"/>
      <c r="V361" s="512"/>
      <c r="W361" s="512"/>
      <c r="X361" s="512"/>
      <c r="Y361" s="512"/>
      <c r="Z361" s="512"/>
      <c r="AA361" s="512"/>
    </row>
    <row r="362">
      <c r="A362" s="512"/>
      <c r="B362" s="512"/>
      <c r="C362" s="512"/>
      <c r="D362" s="512"/>
      <c r="E362" s="512"/>
      <c r="F362" s="512"/>
      <c r="G362" s="512"/>
      <c r="H362" s="512"/>
      <c r="I362" s="512"/>
      <c r="J362" s="512"/>
      <c r="K362" s="512"/>
      <c r="L362" s="512"/>
      <c r="M362" s="512"/>
      <c r="N362" s="512"/>
      <c r="O362" s="512"/>
      <c r="P362" s="512"/>
      <c r="Q362" s="512"/>
      <c r="R362" s="512"/>
      <c r="S362" s="512"/>
      <c r="T362" s="512"/>
      <c r="U362" s="512"/>
      <c r="V362" s="512"/>
      <c r="W362" s="512"/>
      <c r="X362" s="512"/>
      <c r="Y362" s="512"/>
      <c r="Z362" s="512"/>
      <c r="AA362" s="512"/>
    </row>
    <row r="363">
      <c r="A363" s="512"/>
      <c r="B363" s="512"/>
      <c r="C363" s="512"/>
      <c r="D363" s="512"/>
      <c r="E363" s="512"/>
      <c r="F363" s="512"/>
      <c r="G363" s="512"/>
      <c r="H363" s="512"/>
      <c r="I363" s="512"/>
      <c r="J363" s="512"/>
      <c r="K363" s="512"/>
      <c r="L363" s="512"/>
      <c r="M363" s="512"/>
      <c r="N363" s="512"/>
      <c r="O363" s="512"/>
      <c r="P363" s="512"/>
      <c r="Q363" s="512"/>
      <c r="R363" s="512"/>
      <c r="S363" s="512"/>
      <c r="T363" s="512"/>
      <c r="U363" s="512"/>
      <c r="V363" s="512"/>
      <c r="W363" s="512"/>
      <c r="X363" s="512"/>
      <c r="Y363" s="512"/>
      <c r="Z363" s="512"/>
      <c r="AA363" s="512"/>
    </row>
    <row r="364">
      <c r="A364" s="512"/>
      <c r="B364" s="512"/>
      <c r="C364" s="512"/>
      <c r="D364" s="512"/>
      <c r="E364" s="512"/>
      <c r="F364" s="512"/>
      <c r="G364" s="512"/>
      <c r="H364" s="512"/>
      <c r="I364" s="512"/>
      <c r="J364" s="512"/>
      <c r="K364" s="512"/>
      <c r="L364" s="512"/>
      <c r="M364" s="512"/>
      <c r="N364" s="512"/>
      <c r="O364" s="512"/>
      <c r="P364" s="512"/>
      <c r="Q364" s="512"/>
      <c r="R364" s="512"/>
      <c r="S364" s="512"/>
      <c r="T364" s="512"/>
      <c r="U364" s="512"/>
      <c r="V364" s="512"/>
      <c r="W364" s="512"/>
      <c r="X364" s="512"/>
      <c r="Y364" s="512"/>
      <c r="Z364" s="512"/>
      <c r="AA364" s="512"/>
    </row>
    <row r="365">
      <c r="A365" s="512"/>
      <c r="B365" s="512"/>
      <c r="C365" s="512"/>
      <c r="D365" s="512"/>
      <c r="E365" s="512"/>
      <c r="F365" s="512"/>
      <c r="G365" s="512"/>
      <c r="H365" s="512"/>
      <c r="I365" s="512"/>
      <c r="J365" s="512"/>
      <c r="K365" s="512"/>
      <c r="L365" s="512"/>
      <c r="M365" s="512"/>
      <c r="N365" s="512"/>
      <c r="O365" s="512"/>
      <c r="P365" s="512"/>
      <c r="Q365" s="512"/>
      <c r="R365" s="512"/>
      <c r="S365" s="512"/>
      <c r="T365" s="512"/>
      <c r="U365" s="512"/>
      <c r="V365" s="512"/>
      <c r="W365" s="512"/>
      <c r="X365" s="512"/>
      <c r="Y365" s="512"/>
      <c r="Z365" s="512"/>
      <c r="AA365" s="512"/>
    </row>
    <row r="366">
      <c r="A366" s="512"/>
      <c r="B366" s="512"/>
      <c r="C366" s="512"/>
      <c r="D366" s="512"/>
      <c r="E366" s="512"/>
      <c r="F366" s="512"/>
      <c r="G366" s="512"/>
      <c r="H366" s="512"/>
      <c r="I366" s="512"/>
      <c r="J366" s="512"/>
      <c r="K366" s="512"/>
      <c r="L366" s="512"/>
      <c r="M366" s="512"/>
      <c r="N366" s="512"/>
      <c r="O366" s="512"/>
      <c r="P366" s="512"/>
      <c r="Q366" s="512"/>
      <c r="R366" s="512"/>
      <c r="S366" s="512"/>
      <c r="T366" s="512"/>
      <c r="U366" s="512"/>
      <c r="V366" s="512"/>
      <c r="W366" s="512"/>
      <c r="X366" s="512"/>
      <c r="Y366" s="512"/>
      <c r="Z366" s="512"/>
      <c r="AA366" s="512"/>
    </row>
    <row r="367">
      <c r="A367" s="512"/>
      <c r="B367" s="512"/>
      <c r="C367" s="512"/>
      <c r="D367" s="512"/>
      <c r="E367" s="512"/>
      <c r="F367" s="512"/>
      <c r="G367" s="512"/>
      <c r="H367" s="512"/>
      <c r="I367" s="512"/>
      <c r="J367" s="512"/>
      <c r="K367" s="512"/>
      <c r="L367" s="512"/>
      <c r="M367" s="512"/>
      <c r="N367" s="512"/>
      <c r="O367" s="512"/>
      <c r="P367" s="512"/>
      <c r="Q367" s="512"/>
      <c r="R367" s="512"/>
      <c r="S367" s="512"/>
      <c r="T367" s="512"/>
      <c r="U367" s="512"/>
      <c r="V367" s="512"/>
      <c r="W367" s="512"/>
      <c r="X367" s="512"/>
      <c r="Y367" s="512"/>
      <c r="Z367" s="512"/>
      <c r="AA367" s="512"/>
    </row>
    <row r="368">
      <c r="A368" s="512"/>
      <c r="B368" s="512"/>
      <c r="C368" s="512"/>
      <c r="D368" s="512"/>
      <c r="E368" s="512"/>
      <c r="F368" s="512"/>
      <c r="G368" s="512"/>
      <c r="H368" s="512"/>
      <c r="I368" s="512"/>
      <c r="J368" s="512"/>
      <c r="K368" s="512"/>
      <c r="L368" s="512"/>
      <c r="M368" s="512"/>
      <c r="N368" s="512"/>
      <c r="O368" s="512"/>
      <c r="P368" s="512"/>
      <c r="Q368" s="512"/>
      <c r="R368" s="512"/>
      <c r="S368" s="512"/>
      <c r="T368" s="512"/>
      <c r="U368" s="512"/>
      <c r="V368" s="512"/>
      <c r="W368" s="512"/>
      <c r="X368" s="512"/>
      <c r="Y368" s="512"/>
      <c r="Z368" s="512"/>
      <c r="AA368" s="512"/>
    </row>
    <row r="369">
      <c r="A369" s="512"/>
      <c r="B369" s="512"/>
      <c r="C369" s="512"/>
      <c r="D369" s="512"/>
      <c r="E369" s="512"/>
      <c r="F369" s="512"/>
      <c r="G369" s="512"/>
      <c r="H369" s="512"/>
      <c r="I369" s="512"/>
      <c r="J369" s="512"/>
      <c r="K369" s="512"/>
      <c r="L369" s="512"/>
      <c r="M369" s="512"/>
      <c r="N369" s="512"/>
      <c r="O369" s="512"/>
      <c r="P369" s="512"/>
      <c r="Q369" s="512"/>
      <c r="R369" s="512"/>
      <c r="S369" s="512"/>
      <c r="T369" s="512"/>
      <c r="U369" s="512"/>
      <c r="V369" s="512"/>
      <c r="W369" s="512"/>
      <c r="X369" s="512"/>
      <c r="Y369" s="512"/>
      <c r="Z369" s="512"/>
      <c r="AA369" s="512"/>
    </row>
    <row r="370">
      <c r="A370" s="512"/>
      <c r="B370" s="512"/>
      <c r="C370" s="512"/>
      <c r="D370" s="512"/>
      <c r="E370" s="512"/>
      <c r="F370" s="512"/>
      <c r="G370" s="512"/>
      <c r="H370" s="512"/>
      <c r="I370" s="512"/>
      <c r="J370" s="512"/>
      <c r="K370" s="512"/>
      <c r="L370" s="512"/>
      <c r="M370" s="512"/>
      <c r="N370" s="512"/>
      <c r="O370" s="512"/>
      <c r="P370" s="512"/>
      <c r="Q370" s="512"/>
      <c r="R370" s="512"/>
      <c r="S370" s="512"/>
      <c r="T370" s="512"/>
      <c r="U370" s="512"/>
      <c r="V370" s="512"/>
      <c r="W370" s="512"/>
      <c r="X370" s="512"/>
      <c r="Y370" s="512"/>
      <c r="Z370" s="512"/>
      <c r="AA370" s="512"/>
    </row>
    <row r="371">
      <c r="A371" s="512"/>
      <c r="B371" s="512"/>
      <c r="C371" s="512"/>
      <c r="D371" s="512"/>
      <c r="E371" s="512"/>
      <c r="F371" s="512"/>
      <c r="G371" s="512"/>
      <c r="H371" s="512"/>
      <c r="I371" s="512"/>
      <c r="J371" s="512"/>
      <c r="K371" s="512"/>
      <c r="L371" s="512"/>
      <c r="M371" s="512"/>
      <c r="N371" s="512"/>
      <c r="O371" s="512"/>
      <c r="P371" s="512"/>
      <c r="Q371" s="512"/>
      <c r="R371" s="512"/>
      <c r="S371" s="512"/>
      <c r="T371" s="512"/>
      <c r="U371" s="512"/>
      <c r="V371" s="512"/>
      <c r="W371" s="512"/>
      <c r="X371" s="512"/>
      <c r="Y371" s="512"/>
      <c r="Z371" s="512"/>
      <c r="AA371" s="512"/>
    </row>
    <row r="372">
      <c r="A372" s="512"/>
      <c r="B372" s="512"/>
      <c r="C372" s="512"/>
      <c r="D372" s="512"/>
      <c r="E372" s="512"/>
      <c r="F372" s="512"/>
      <c r="G372" s="512"/>
      <c r="H372" s="512"/>
      <c r="I372" s="512"/>
      <c r="J372" s="512"/>
      <c r="K372" s="512"/>
      <c r="L372" s="512"/>
      <c r="M372" s="512"/>
      <c r="N372" s="512"/>
      <c r="O372" s="512"/>
      <c r="P372" s="512"/>
      <c r="Q372" s="512"/>
      <c r="R372" s="512"/>
      <c r="S372" s="512"/>
      <c r="T372" s="512"/>
      <c r="U372" s="512"/>
      <c r="V372" s="512"/>
      <c r="W372" s="512"/>
      <c r="X372" s="512"/>
      <c r="Y372" s="512"/>
      <c r="Z372" s="512"/>
      <c r="AA372" s="512"/>
    </row>
    <row r="373">
      <c r="A373" s="512"/>
      <c r="B373" s="512"/>
      <c r="C373" s="512"/>
      <c r="D373" s="512"/>
      <c r="E373" s="512"/>
      <c r="F373" s="512"/>
      <c r="G373" s="512"/>
      <c r="H373" s="512"/>
      <c r="I373" s="512"/>
      <c r="J373" s="512"/>
      <c r="K373" s="512"/>
      <c r="L373" s="512"/>
      <c r="M373" s="512"/>
      <c r="N373" s="512"/>
      <c r="O373" s="512"/>
      <c r="P373" s="512"/>
      <c r="Q373" s="512"/>
      <c r="R373" s="512"/>
      <c r="S373" s="512"/>
      <c r="T373" s="512"/>
      <c r="U373" s="512"/>
      <c r="V373" s="512"/>
      <c r="W373" s="512"/>
      <c r="X373" s="512"/>
      <c r="Y373" s="512"/>
      <c r="Z373" s="512"/>
      <c r="AA373" s="512"/>
    </row>
    <row r="374">
      <c r="A374" s="512"/>
      <c r="B374" s="512"/>
      <c r="C374" s="512"/>
      <c r="D374" s="512"/>
      <c r="E374" s="512"/>
      <c r="F374" s="512"/>
      <c r="G374" s="512"/>
      <c r="H374" s="512"/>
      <c r="I374" s="512"/>
      <c r="J374" s="512"/>
      <c r="K374" s="512"/>
      <c r="L374" s="512"/>
      <c r="M374" s="512"/>
      <c r="N374" s="512"/>
      <c r="O374" s="512"/>
      <c r="P374" s="512"/>
      <c r="Q374" s="512"/>
      <c r="R374" s="512"/>
      <c r="S374" s="512"/>
      <c r="T374" s="512"/>
      <c r="U374" s="512"/>
      <c r="V374" s="512"/>
      <c r="W374" s="512"/>
      <c r="X374" s="512"/>
      <c r="Y374" s="512"/>
      <c r="Z374" s="512"/>
      <c r="AA374" s="512"/>
    </row>
    <row r="375">
      <c r="A375" s="512"/>
      <c r="B375" s="512"/>
      <c r="C375" s="512"/>
      <c r="D375" s="512"/>
      <c r="E375" s="512"/>
      <c r="F375" s="512"/>
      <c r="G375" s="512"/>
      <c r="H375" s="512"/>
      <c r="I375" s="512"/>
      <c r="J375" s="512"/>
      <c r="K375" s="512"/>
      <c r="L375" s="512"/>
      <c r="M375" s="512"/>
      <c r="N375" s="512"/>
      <c r="O375" s="512"/>
      <c r="P375" s="512"/>
      <c r="Q375" s="512"/>
      <c r="R375" s="512"/>
      <c r="S375" s="512"/>
      <c r="T375" s="512"/>
      <c r="U375" s="512"/>
      <c r="V375" s="512"/>
      <c r="W375" s="512"/>
      <c r="X375" s="512"/>
      <c r="Y375" s="512"/>
      <c r="Z375" s="512"/>
      <c r="AA375" s="512"/>
    </row>
    <row r="376">
      <c r="A376" s="512"/>
      <c r="B376" s="512"/>
      <c r="C376" s="512"/>
      <c r="D376" s="512"/>
      <c r="E376" s="512"/>
      <c r="F376" s="512"/>
      <c r="G376" s="512"/>
      <c r="H376" s="512"/>
      <c r="I376" s="512"/>
      <c r="J376" s="512"/>
      <c r="K376" s="512"/>
      <c r="L376" s="512"/>
      <c r="M376" s="512"/>
      <c r="N376" s="512"/>
      <c r="O376" s="512"/>
      <c r="P376" s="512"/>
      <c r="Q376" s="512"/>
      <c r="R376" s="512"/>
      <c r="S376" s="512"/>
      <c r="T376" s="512"/>
      <c r="U376" s="512"/>
      <c r="V376" s="512"/>
      <c r="W376" s="512"/>
      <c r="X376" s="512"/>
      <c r="Y376" s="512"/>
      <c r="Z376" s="512"/>
      <c r="AA376" s="512"/>
    </row>
    <row r="377">
      <c r="A377" s="512"/>
      <c r="B377" s="512"/>
      <c r="C377" s="512"/>
      <c r="D377" s="512"/>
      <c r="E377" s="512"/>
      <c r="F377" s="512"/>
      <c r="G377" s="512"/>
      <c r="H377" s="512"/>
      <c r="I377" s="512"/>
      <c r="J377" s="512"/>
      <c r="K377" s="512"/>
      <c r="L377" s="512"/>
      <c r="M377" s="512"/>
      <c r="N377" s="512"/>
      <c r="O377" s="512"/>
      <c r="P377" s="512"/>
      <c r="Q377" s="512"/>
      <c r="R377" s="512"/>
      <c r="S377" s="512"/>
      <c r="T377" s="512"/>
      <c r="U377" s="512"/>
      <c r="V377" s="512"/>
      <c r="W377" s="512"/>
      <c r="X377" s="512"/>
      <c r="Y377" s="512"/>
      <c r="Z377" s="512"/>
      <c r="AA377" s="512"/>
    </row>
    <row r="378">
      <c r="A378" s="512"/>
      <c r="B378" s="512"/>
      <c r="C378" s="512"/>
      <c r="D378" s="512"/>
      <c r="E378" s="512"/>
      <c r="F378" s="512"/>
      <c r="G378" s="512"/>
      <c r="H378" s="512"/>
      <c r="I378" s="512"/>
      <c r="J378" s="512"/>
      <c r="K378" s="512"/>
      <c r="L378" s="512"/>
      <c r="M378" s="512"/>
      <c r="N378" s="512"/>
      <c r="O378" s="512"/>
      <c r="P378" s="512"/>
      <c r="Q378" s="512"/>
      <c r="R378" s="512"/>
      <c r="S378" s="512"/>
      <c r="T378" s="512"/>
      <c r="U378" s="512"/>
      <c r="V378" s="512"/>
      <c r="W378" s="512"/>
      <c r="X378" s="512"/>
      <c r="Y378" s="512"/>
      <c r="Z378" s="512"/>
      <c r="AA378" s="512"/>
    </row>
    <row r="379">
      <c r="A379" s="512"/>
      <c r="B379" s="512"/>
      <c r="C379" s="512"/>
      <c r="D379" s="512"/>
      <c r="E379" s="512"/>
      <c r="F379" s="512"/>
      <c r="G379" s="512"/>
      <c r="H379" s="512"/>
      <c r="I379" s="512"/>
      <c r="J379" s="512"/>
      <c r="K379" s="512"/>
      <c r="L379" s="512"/>
      <c r="M379" s="512"/>
      <c r="N379" s="512"/>
      <c r="O379" s="512"/>
      <c r="P379" s="512"/>
      <c r="Q379" s="512"/>
      <c r="R379" s="512"/>
      <c r="S379" s="512"/>
      <c r="T379" s="512"/>
      <c r="U379" s="512"/>
      <c r="V379" s="512"/>
      <c r="W379" s="512"/>
      <c r="X379" s="512"/>
      <c r="Y379" s="512"/>
      <c r="Z379" s="512"/>
      <c r="AA379" s="512"/>
    </row>
    <row r="380">
      <c r="A380" s="512"/>
      <c r="B380" s="512"/>
      <c r="C380" s="512"/>
      <c r="D380" s="512"/>
      <c r="E380" s="512"/>
      <c r="F380" s="512"/>
      <c r="G380" s="512"/>
      <c r="H380" s="512"/>
      <c r="I380" s="512"/>
      <c r="J380" s="512"/>
      <c r="K380" s="512"/>
      <c r="L380" s="512"/>
      <c r="M380" s="512"/>
      <c r="N380" s="512"/>
      <c r="O380" s="512"/>
      <c r="P380" s="512"/>
      <c r="Q380" s="512"/>
      <c r="R380" s="512"/>
      <c r="S380" s="512"/>
      <c r="T380" s="512"/>
      <c r="U380" s="512"/>
      <c r="V380" s="512"/>
      <c r="W380" s="512"/>
      <c r="X380" s="512"/>
      <c r="Y380" s="512"/>
      <c r="Z380" s="512"/>
      <c r="AA380" s="512"/>
    </row>
    <row r="381">
      <c r="A381" s="512"/>
      <c r="B381" s="512"/>
      <c r="C381" s="512"/>
      <c r="D381" s="512"/>
      <c r="E381" s="512"/>
      <c r="F381" s="512"/>
      <c r="G381" s="512"/>
      <c r="H381" s="512"/>
      <c r="I381" s="512"/>
      <c r="J381" s="512"/>
      <c r="K381" s="512"/>
      <c r="L381" s="512"/>
      <c r="M381" s="512"/>
      <c r="N381" s="512"/>
      <c r="O381" s="512"/>
      <c r="P381" s="512"/>
      <c r="Q381" s="512"/>
      <c r="R381" s="512"/>
      <c r="S381" s="512"/>
      <c r="T381" s="512"/>
      <c r="U381" s="512"/>
      <c r="V381" s="512"/>
      <c r="W381" s="512"/>
      <c r="X381" s="512"/>
      <c r="Y381" s="512"/>
      <c r="Z381" s="512"/>
      <c r="AA381" s="512"/>
    </row>
    <row r="382">
      <c r="A382" s="512"/>
      <c r="B382" s="512"/>
      <c r="C382" s="512"/>
      <c r="D382" s="512"/>
      <c r="E382" s="512"/>
      <c r="F382" s="512"/>
      <c r="G382" s="512"/>
      <c r="H382" s="512"/>
      <c r="I382" s="512"/>
      <c r="J382" s="512"/>
      <c r="K382" s="512"/>
      <c r="L382" s="512"/>
      <c r="M382" s="512"/>
      <c r="N382" s="512"/>
      <c r="O382" s="512"/>
      <c r="P382" s="512"/>
      <c r="Q382" s="512"/>
      <c r="R382" s="512"/>
      <c r="S382" s="512"/>
      <c r="T382" s="512"/>
      <c r="U382" s="512"/>
      <c r="V382" s="512"/>
      <c r="W382" s="512"/>
      <c r="X382" s="512"/>
      <c r="Y382" s="512"/>
      <c r="Z382" s="512"/>
      <c r="AA382" s="512"/>
    </row>
    <row r="383">
      <c r="A383" s="512"/>
      <c r="B383" s="512"/>
      <c r="C383" s="512"/>
      <c r="D383" s="512"/>
      <c r="E383" s="512"/>
      <c r="F383" s="512"/>
      <c r="G383" s="512"/>
      <c r="H383" s="512"/>
      <c r="I383" s="512"/>
      <c r="J383" s="512"/>
      <c r="K383" s="512"/>
      <c r="L383" s="512"/>
      <c r="M383" s="512"/>
      <c r="N383" s="512"/>
      <c r="O383" s="512"/>
      <c r="P383" s="512"/>
      <c r="Q383" s="512"/>
      <c r="R383" s="512"/>
      <c r="S383" s="512"/>
      <c r="T383" s="512"/>
      <c r="U383" s="512"/>
      <c r="V383" s="512"/>
      <c r="W383" s="512"/>
      <c r="X383" s="512"/>
      <c r="Y383" s="512"/>
      <c r="Z383" s="512"/>
      <c r="AA383" s="512"/>
    </row>
    <row r="384">
      <c r="A384" s="512"/>
      <c r="B384" s="512"/>
      <c r="C384" s="512"/>
      <c r="D384" s="512"/>
      <c r="E384" s="512"/>
      <c r="F384" s="512"/>
      <c r="G384" s="512"/>
      <c r="H384" s="512"/>
      <c r="I384" s="512"/>
      <c r="J384" s="512"/>
      <c r="K384" s="512"/>
      <c r="L384" s="512"/>
      <c r="M384" s="512"/>
      <c r="N384" s="512"/>
      <c r="O384" s="512"/>
      <c r="P384" s="512"/>
      <c r="Q384" s="512"/>
      <c r="R384" s="512"/>
      <c r="S384" s="512"/>
      <c r="T384" s="512"/>
      <c r="U384" s="512"/>
      <c r="V384" s="512"/>
      <c r="W384" s="512"/>
      <c r="X384" s="512"/>
      <c r="Y384" s="512"/>
      <c r="Z384" s="512"/>
      <c r="AA384" s="512"/>
    </row>
    <row r="385">
      <c r="A385" s="512"/>
      <c r="B385" s="512"/>
      <c r="C385" s="512"/>
      <c r="D385" s="512"/>
      <c r="E385" s="512"/>
      <c r="F385" s="512"/>
      <c r="G385" s="512"/>
      <c r="H385" s="512"/>
      <c r="I385" s="512"/>
      <c r="J385" s="512"/>
      <c r="K385" s="512"/>
      <c r="L385" s="512"/>
      <c r="M385" s="512"/>
      <c r="N385" s="512"/>
      <c r="O385" s="512"/>
      <c r="P385" s="512"/>
      <c r="Q385" s="512"/>
      <c r="R385" s="512"/>
      <c r="S385" s="512"/>
      <c r="T385" s="512"/>
      <c r="U385" s="512"/>
      <c r="V385" s="512"/>
      <c r="W385" s="512"/>
      <c r="X385" s="512"/>
      <c r="Y385" s="512"/>
      <c r="Z385" s="512"/>
      <c r="AA385" s="512"/>
    </row>
    <row r="386">
      <c r="A386" s="512"/>
      <c r="B386" s="512"/>
      <c r="C386" s="512"/>
      <c r="D386" s="512"/>
      <c r="E386" s="512"/>
      <c r="F386" s="512"/>
      <c r="G386" s="512"/>
      <c r="H386" s="512"/>
      <c r="I386" s="512"/>
      <c r="J386" s="512"/>
      <c r="K386" s="512"/>
      <c r="L386" s="512"/>
      <c r="M386" s="512"/>
      <c r="N386" s="512"/>
      <c r="O386" s="512"/>
      <c r="P386" s="512"/>
      <c r="Q386" s="512"/>
      <c r="R386" s="512"/>
      <c r="S386" s="512"/>
      <c r="T386" s="512"/>
      <c r="U386" s="512"/>
      <c r="V386" s="512"/>
      <c r="W386" s="512"/>
      <c r="X386" s="512"/>
      <c r="Y386" s="512"/>
      <c r="Z386" s="512"/>
      <c r="AA386" s="512"/>
    </row>
    <row r="387">
      <c r="A387" s="512"/>
      <c r="B387" s="512"/>
      <c r="C387" s="512"/>
      <c r="D387" s="512"/>
      <c r="E387" s="512"/>
      <c r="F387" s="512"/>
      <c r="G387" s="512"/>
      <c r="H387" s="512"/>
      <c r="I387" s="512"/>
      <c r="J387" s="512"/>
      <c r="K387" s="512"/>
      <c r="L387" s="512"/>
      <c r="M387" s="512"/>
      <c r="N387" s="512"/>
      <c r="O387" s="512"/>
      <c r="P387" s="512"/>
      <c r="Q387" s="512"/>
      <c r="R387" s="512"/>
      <c r="S387" s="512"/>
      <c r="T387" s="512"/>
      <c r="U387" s="512"/>
      <c r="V387" s="512"/>
      <c r="W387" s="512"/>
      <c r="X387" s="512"/>
      <c r="Y387" s="512"/>
      <c r="Z387" s="512"/>
      <c r="AA387" s="512"/>
    </row>
    <row r="388">
      <c r="A388" s="512"/>
      <c r="B388" s="512"/>
      <c r="C388" s="512"/>
      <c r="D388" s="512"/>
      <c r="E388" s="512"/>
      <c r="F388" s="512"/>
      <c r="G388" s="512"/>
      <c r="H388" s="512"/>
      <c r="I388" s="512"/>
      <c r="J388" s="512"/>
      <c r="K388" s="512"/>
      <c r="L388" s="512"/>
      <c r="M388" s="512"/>
      <c r="N388" s="512"/>
      <c r="O388" s="512"/>
      <c r="P388" s="512"/>
      <c r="Q388" s="512"/>
      <c r="R388" s="512"/>
      <c r="S388" s="512"/>
      <c r="T388" s="512"/>
      <c r="U388" s="512"/>
      <c r="V388" s="512"/>
      <c r="W388" s="512"/>
      <c r="X388" s="512"/>
      <c r="Y388" s="512"/>
      <c r="Z388" s="512"/>
      <c r="AA388" s="512"/>
    </row>
    <row r="389">
      <c r="A389" s="512"/>
      <c r="B389" s="512"/>
      <c r="C389" s="512"/>
      <c r="D389" s="512"/>
      <c r="E389" s="512"/>
      <c r="F389" s="512"/>
      <c r="G389" s="512"/>
      <c r="H389" s="512"/>
      <c r="I389" s="512"/>
      <c r="J389" s="512"/>
      <c r="K389" s="512"/>
      <c r="L389" s="512"/>
      <c r="M389" s="512"/>
      <c r="N389" s="512"/>
      <c r="O389" s="512"/>
      <c r="P389" s="512"/>
      <c r="Q389" s="512"/>
      <c r="R389" s="512"/>
      <c r="S389" s="512"/>
      <c r="T389" s="512"/>
      <c r="U389" s="512"/>
      <c r="V389" s="512"/>
      <c r="W389" s="512"/>
      <c r="X389" s="512"/>
      <c r="Y389" s="512"/>
      <c r="Z389" s="512"/>
      <c r="AA389" s="512"/>
    </row>
    <row r="390">
      <c r="A390" s="512"/>
      <c r="B390" s="512"/>
      <c r="C390" s="512"/>
      <c r="D390" s="512"/>
      <c r="E390" s="512"/>
      <c r="F390" s="512"/>
      <c r="G390" s="512"/>
      <c r="H390" s="512"/>
      <c r="I390" s="512"/>
      <c r="J390" s="512"/>
      <c r="K390" s="512"/>
      <c r="L390" s="512"/>
      <c r="M390" s="512"/>
      <c r="N390" s="512"/>
      <c r="O390" s="512"/>
      <c r="P390" s="512"/>
      <c r="Q390" s="512"/>
      <c r="R390" s="512"/>
      <c r="S390" s="512"/>
      <c r="T390" s="512"/>
      <c r="U390" s="512"/>
      <c r="V390" s="512"/>
      <c r="W390" s="512"/>
      <c r="X390" s="512"/>
      <c r="Y390" s="512"/>
      <c r="Z390" s="512"/>
      <c r="AA390" s="512"/>
    </row>
    <row r="391">
      <c r="A391" s="512"/>
      <c r="B391" s="512"/>
      <c r="C391" s="512"/>
      <c r="D391" s="512"/>
      <c r="E391" s="512"/>
      <c r="F391" s="512"/>
      <c r="G391" s="512"/>
      <c r="H391" s="512"/>
      <c r="I391" s="512"/>
      <c r="J391" s="512"/>
      <c r="K391" s="512"/>
      <c r="L391" s="512"/>
      <c r="M391" s="512"/>
      <c r="N391" s="512"/>
      <c r="O391" s="512"/>
      <c r="P391" s="512"/>
      <c r="Q391" s="512"/>
      <c r="R391" s="512"/>
      <c r="S391" s="512"/>
      <c r="T391" s="512"/>
      <c r="U391" s="512"/>
      <c r="V391" s="512"/>
      <c r="W391" s="512"/>
      <c r="X391" s="512"/>
      <c r="Y391" s="512"/>
      <c r="Z391" s="512"/>
      <c r="AA391" s="512"/>
    </row>
    <row r="392">
      <c r="A392" s="512"/>
      <c r="B392" s="512"/>
      <c r="C392" s="512"/>
      <c r="D392" s="512"/>
      <c r="E392" s="512"/>
      <c r="F392" s="512"/>
      <c r="G392" s="512"/>
      <c r="H392" s="512"/>
      <c r="I392" s="512"/>
      <c r="J392" s="512"/>
      <c r="K392" s="512"/>
      <c r="L392" s="512"/>
      <c r="M392" s="512"/>
      <c r="N392" s="512"/>
      <c r="O392" s="512"/>
      <c r="P392" s="512"/>
      <c r="Q392" s="512"/>
      <c r="R392" s="512"/>
      <c r="S392" s="512"/>
      <c r="T392" s="512"/>
      <c r="U392" s="512"/>
      <c r="V392" s="512"/>
      <c r="W392" s="512"/>
      <c r="X392" s="512"/>
      <c r="Y392" s="512"/>
      <c r="Z392" s="512"/>
      <c r="AA392" s="512"/>
    </row>
    <row r="393">
      <c r="A393" s="512"/>
      <c r="B393" s="512"/>
      <c r="C393" s="512"/>
      <c r="D393" s="512"/>
      <c r="E393" s="512"/>
      <c r="F393" s="512"/>
      <c r="G393" s="512"/>
      <c r="H393" s="512"/>
      <c r="I393" s="512"/>
      <c r="J393" s="512"/>
      <c r="K393" s="512"/>
      <c r="L393" s="512"/>
      <c r="M393" s="512"/>
      <c r="N393" s="512"/>
      <c r="O393" s="512"/>
      <c r="P393" s="512"/>
      <c r="Q393" s="512"/>
      <c r="R393" s="512"/>
      <c r="S393" s="512"/>
      <c r="T393" s="512"/>
      <c r="U393" s="512"/>
      <c r="V393" s="512"/>
      <c r="W393" s="512"/>
      <c r="X393" s="512"/>
      <c r="Y393" s="512"/>
      <c r="Z393" s="512"/>
      <c r="AA393" s="512"/>
    </row>
    <row r="394">
      <c r="A394" s="512"/>
      <c r="B394" s="512"/>
      <c r="C394" s="512"/>
      <c r="D394" s="512"/>
      <c r="E394" s="512"/>
      <c r="F394" s="512"/>
      <c r="G394" s="512"/>
      <c r="H394" s="512"/>
      <c r="I394" s="512"/>
      <c r="J394" s="512"/>
      <c r="K394" s="512"/>
      <c r="L394" s="512"/>
      <c r="M394" s="512"/>
      <c r="N394" s="512"/>
      <c r="O394" s="512"/>
      <c r="P394" s="512"/>
      <c r="Q394" s="512"/>
      <c r="R394" s="512"/>
      <c r="S394" s="512"/>
      <c r="T394" s="512"/>
      <c r="U394" s="512"/>
      <c r="V394" s="512"/>
      <c r="W394" s="512"/>
      <c r="X394" s="512"/>
      <c r="Y394" s="512"/>
      <c r="Z394" s="512"/>
      <c r="AA394" s="512"/>
    </row>
    <row r="395">
      <c r="A395" s="512"/>
      <c r="B395" s="512"/>
      <c r="C395" s="512"/>
      <c r="D395" s="512"/>
      <c r="E395" s="512"/>
      <c r="F395" s="512"/>
      <c r="G395" s="512"/>
      <c r="H395" s="512"/>
      <c r="I395" s="512"/>
      <c r="J395" s="512"/>
      <c r="K395" s="512"/>
      <c r="L395" s="512"/>
      <c r="M395" s="512"/>
      <c r="N395" s="512"/>
      <c r="O395" s="512"/>
      <c r="P395" s="512"/>
      <c r="Q395" s="512"/>
      <c r="R395" s="512"/>
      <c r="S395" s="512"/>
      <c r="T395" s="512"/>
      <c r="U395" s="512"/>
      <c r="V395" s="512"/>
      <c r="W395" s="512"/>
      <c r="X395" s="512"/>
      <c r="Y395" s="512"/>
      <c r="Z395" s="512"/>
      <c r="AA395" s="512"/>
    </row>
    <row r="396">
      <c r="A396" s="512"/>
      <c r="B396" s="512"/>
      <c r="C396" s="512"/>
      <c r="D396" s="512"/>
      <c r="E396" s="512"/>
      <c r="F396" s="512"/>
      <c r="G396" s="512"/>
      <c r="H396" s="512"/>
      <c r="I396" s="512"/>
      <c r="J396" s="512"/>
      <c r="K396" s="512"/>
      <c r="L396" s="512"/>
      <c r="M396" s="512"/>
      <c r="N396" s="512"/>
      <c r="O396" s="512"/>
      <c r="P396" s="512"/>
      <c r="Q396" s="512"/>
      <c r="R396" s="512"/>
      <c r="S396" s="512"/>
      <c r="T396" s="512"/>
      <c r="U396" s="512"/>
      <c r="V396" s="512"/>
      <c r="W396" s="512"/>
      <c r="X396" s="512"/>
      <c r="Y396" s="512"/>
      <c r="Z396" s="512"/>
      <c r="AA396" s="512"/>
    </row>
    <row r="397">
      <c r="A397" s="512"/>
      <c r="B397" s="512"/>
      <c r="C397" s="512"/>
      <c r="D397" s="512"/>
      <c r="E397" s="512"/>
      <c r="F397" s="512"/>
      <c r="G397" s="512"/>
      <c r="H397" s="512"/>
      <c r="I397" s="512"/>
      <c r="J397" s="512"/>
      <c r="K397" s="512"/>
      <c r="L397" s="512"/>
      <c r="M397" s="512"/>
      <c r="N397" s="512"/>
      <c r="O397" s="512"/>
      <c r="P397" s="512"/>
      <c r="Q397" s="512"/>
      <c r="R397" s="512"/>
      <c r="S397" s="512"/>
      <c r="T397" s="512"/>
      <c r="U397" s="512"/>
      <c r="V397" s="512"/>
      <c r="W397" s="512"/>
      <c r="X397" s="512"/>
      <c r="Y397" s="512"/>
      <c r="Z397" s="512"/>
      <c r="AA397" s="512"/>
    </row>
    <row r="398">
      <c r="A398" s="512"/>
      <c r="B398" s="512"/>
      <c r="C398" s="512"/>
      <c r="D398" s="512"/>
      <c r="E398" s="512"/>
      <c r="F398" s="512"/>
      <c r="G398" s="512"/>
      <c r="H398" s="512"/>
      <c r="I398" s="512"/>
      <c r="J398" s="512"/>
      <c r="K398" s="512"/>
      <c r="L398" s="512"/>
      <c r="M398" s="512"/>
      <c r="N398" s="512"/>
      <c r="O398" s="512"/>
      <c r="P398" s="512"/>
      <c r="Q398" s="512"/>
      <c r="R398" s="512"/>
      <c r="S398" s="512"/>
      <c r="T398" s="512"/>
      <c r="U398" s="512"/>
      <c r="V398" s="512"/>
      <c r="W398" s="512"/>
      <c r="X398" s="512"/>
      <c r="Y398" s="512"/>
      <c r="Z398" s="512"/>
      <c r="AA398" s="512"/>
    </row>
    <row r="399">
      <c r="A399" s="512"/>
      <c r="B399" s="512"/>
      <c r="C399" s="512"/>
      <c r="D399" s="512"/>
      <c r="E399" s="512"/>
      <c r="F399" s="512"/>
      <c r="G399" s="512"/>
      <c r="H399" s="512"/>
      <c r="I399" s="512"/>
      <c r="J399" s="512"/>
      <c r="K399" s="512"/>
      <c r="L399" s="512"/>
      <c r="M399" s="512"/>
      <c r="N399" s="512"/>
      <c r="O399" s="512"/>
      <c r="P399" s="512"/>
      <c r="Q399" s="512"/>
      <c r="R399" s="512"/>
      <c r="S399" s="512"/>
      <c r="T399" s="512"/>
      <c r="U399" s="512"/>
      <c r="V399" s="512"/>
      <c r="W399" s="512"/>
      <c r="X399" s="512"/>
      <c r="Y399" s="512"/>
      <c r="Z399" s="512"/>
      <c r="AA399" s="512"/>
    </row>
    <row r="400">
      <c r="A400" s="512"/>
      <c r="B400" s="512"/>
      <c r="C400" s="512"/>
      <c r="D400" s="512"/>
      <c r="E400" s="512"/>
      <c r="F400" s="512"/>
      <c r="G400" s="512"/>
      <c r="H400" s="512"/>
      <c r="I400" s="512"/>
      <c r="J400" s="512"/>
      <c r="K400" s="512"/>
      <c r="L400" s="512"/>
      <c r="M400" s="512"/>
      <c r="N400" s="512"/>
      <c r="O400" s="512"/>
      <c r="P400" s="512"/>
      <c r="Q400" s="512"/>
      <c r="R400" s="512"/>
      <c r="S400" s="512"/>
      <c r="T400" s="512"/>
      <c r="U400" s="512"/>
      <c r="V400" s="512"/>
      <c r="W400" s="512"/>
      <c r="X400" s="512"/>
      <c r="Y400" s="512"/>
      <c r="Z400" s="512"/>
      <c r="AA400" s="512"/>
    </row>
    <row r="401">
      <c r="A401" s="512"/>
      <c r="B401" s="512"/>
      <c r="C401" s="512"/>
      <c r="D401" s="512"/>
      <c r="E401" s="512"/>
      <c r="F401" s="512"/>
      <c r="G401" s="512"/>
      <c r="H401" s="512"/>
      <c r="I401" s="512"/>
      <c r="J401" s="512"/>
      <c r="K401" s="512"/>
      <c r="L401" s="512"/>
      <c r="M401" s="512"/>
      <c r="N401" s="512"/>
      <c r="O401" s="512"/>
      <c r="P401" s="512"/>
      <c r="Q401" s="512"/>
      <c r="R401" s="512"/>
      <c r="S401" s="512"/>
      <c r="T401" s="512"/>
      <c r="U401" s="512"/>
      <c r="V401" s="512"/>
      <c r="W401" s="512"/>
      <c r="X401" s="512"/>
      <c r="Y401" s="512"/>
      <c r="Z401" s="512"/>
      <c r="AA401" s="512"/>
    </row>
    <row r="402">
      <c r="A402" s="512"/>
      <c r="B402" s="512"/>
      <c r="C402" s="512"/>
      <c r="D402" s="512"/>
      <c r="E402" s="512"/>
      <c r="F402" s="512"/>
      <c r="G402" s="512"/>
      <c r="H402" s="512"/>
      <c r="I402" s="512"/>
      <c r="J402" s="512"/>
      <c r="K402" s="512"/>
      <c r="L402" s="512"/>
      <c r="M402" s="512"/>
      <c r="N402" s="512"/>
      <c r="O402" s="512"/>
      <c r="P402" s="512"/>
      <c r="Q402" s="512"/>
      <c r="R402" s="512"/>
      <c r="S402" s="512"/>
      <c r="T402" s="512"/>
      <c r="U402" s="512"/>
      <c r="V402" s="512"/>
      <c r="W402" s="512"/>
      <c r="X402" s="512"/>
      <c r="Y402" s="512"/>
      <c r="Z402" s="512"/>
      <c r="AA402" s="512"/>
    </row>
    <row r="403">
      <c r="A403" s="512"/>
      <c r="B403" s="512"/>
      <c r="C403" s="512"/>
      <c r="D403" s="512"/>
      <c r="E403" s="512"/>
      <c r="F403" s="512"/>
      <c r="G403" s="512"/>
      <c r="H403" s="512"/>
      <c r="I403" s="512"/>
      <c r="J403" s="512"/>
      <c r="K403" s="512"/>
      <c r="L403" s="512"/>
      <c r="M403" s="512"/>
      <c r="N403" s="512"/>
      <c r="O403" s="512"/>
      <c r="P403" s="512"/>
      <c r="Q403" s="512"/>
      <c r="R403" s="512"/>
      <c r="S403" s="512"/>
      <c r="T403" s="512"/>
      <c r="U403" s="512"/>
      <c r="V403" s="512"/>
      <c r="W403" s="512"/>
      <c r="X403" s="512"/>
      <c r="Y403" s="512"/>
      <c r="Z403" s="512"/>
      <c r="AA403" s="512"/>
    </row>
    <row r="404">
      <c r="A404" s="512"/>
      <c r="B404" s="512"/>
      <c r="C404" s="512"/>
      <c r="D404" s="512"/>
      <c r="E404" s="512"/>
      <c r="F404" s="512"/>
      <c r="G404" s="512"/>
      <c r="H404" s="512"/>
      <c r="I404" s="512"/>
      <c r="J404" s="512"/>
      <c r="K404" s="512"/>
      <c r="L404" s="512"/>
      <c r="M404" s="512"/>
      <c r="N404" s="512"/>
      <c r="O404" s="512"/>
      <c r="P404" s="512"/>
      <c r="Q404" s="512"/>
      <c r="R404" s="512"/>
      <c r="S404" s="512"/>
      <c r="T404" s="512"/>
      <c r="U404" s="512"/>
      <c r="V404" s="512"/>
      <c r="W404" s="512"/>
      <c r="X404" s="512"/>
      <c r="Y404" s="512"/>
      <c r="Z404" s="512"/>
      <c r="AA404" s="512"/>
    </row>
    <row r="405">
      <c r="A405" s="512"/>
      <c r="B405" s="512"/>
      <c r="C405" s="512"/>
      <c r="D405" s="512"/>
      <c r="E405" s="512"/>
      <c r="F405" s="512"/>
      <c r="G405" s="512"/>
      <c r="H405" s="512"/>
      <c r="I405" s="512"/>
      <c r="J405" s="512"/>
      <c r="K405" s="512"/>
      <c r="L405" s="512"/>
      <c r="M405" s="512"/>
      <c r="N405" s="512"/>
      <c r="O405" s="512"/>
      <c r="P405" s="512"/>
      <c r="Q405" s="512"/>
      <c r="R405" s="512"/>
      <c r="S405" s="512"/>
      <c r="T405" s="512"/>
      <c r="U405" s="512"/>
      <c r="V405" s="512"/>
      <c r="W405" s="512"/>
      <c r="X405" s="512"/>
      <c r="Y405" s="512"/>
      <c r="Z405" s="512"/>
      <c r="AA405" s="512"/>
    </row>
    <row r="406">
      <c r="A406" s="512"/>
      <c r="B406" s="512"/>
      <c r="C406" s="512"/>
      <c r="D406" s="512"/>
      <c r="E406" s="512"/>
      <c r="F406" s="512"/>
      <c r="G406" s="512"/>
      <c r="H406" s="512"/>
      <c r="I406" s="512"/>
      <c r="J406" s="512"/>
      <c r="K406" s="512"/>
      <c r="L406" s="512"/>
      <c r="M406" s="512"/>
      <c r="N406" s="512"/>
      <c r="O406" s="512"/>
      <c r="P406" s="512"/>
      <c r="Q406" s="512"/>
      <c r="R406" s="512"/>
      <c r="S406" s="512"/>
      <c r="T406" s="512"/>
      <c r="U406" s="512"/>
      <c r="V406" s="512"/>
      <c r="W406" s="512"/>
      <c r="X406" s="512"/>
      <c r="Y406" s="512"/>
      <c r="Z406" s="512"/>
      <c r="AA406" s="512"/>
    </row>
    <row r="407">
      <c r="A407" s="512"/>
      <c r="B407" s="512"/>
      <c r="C407" s="512"/>
      <c r="D407" s="512"/>
      <c r="E407" s="512"/>
      <c r="F407" s="512"/>
      <c r="G407" s="512"/>
      <c r="H407" s="512"/>
      <c r="I407" s="512"/>
      <c r="J407" s="512"/>
      <c r="K407" s="512"/>
      <c r="L407" s="512"/>
      <c r="M407" s="512"/>
      <c r="N407" s="512"/>
      <c r="O407" s="512"/>
      <c r="P407" s="512"/>
      <c r="Q407" s="512"/>
      <c r="R407" s="512"/>
      <c r="S407" s="512"/>
      <c r="T407" s="512"/>
      <c r="U407" s="512"/>
      <c r="V407" s="512"/>
      <c r="W407" s="512"/>
      <c r="X407" s="512"/>
      <c r="Y407" s="512"/>
      <c r="Z407" s="512"/>
      <c r="AA407" s="512"/>
    </row>
    <row r="408">
      <c r="A408" s="512"/>
      <c r="B408" s="512"/>
      <c r="C408" s="512"/>
      <c r="D408" s="512"/>
      <c r="E408" s="512"/>
      <c r="F408" s="512"/>
      <c r="G408" s="512"/>
      <c r="H408" s="512"/>
      <c r="I408" s="512"/>
      <c r="J408" s="512"/>
      <c r="K408" s="512"/>
      <c r="L408" s="512"/>
      <c r="M408" s="512"/>
      <c r="N408" s="512"/>
      <c r="O408" s="512"/>
      <c r="P408" s="512"/>
      <c r="Q408" s="512"/>
      <c r="R408" s="512"/>
      <c r="S408" s="512"/>
      <c r="T408" s="512"/>
      <c r="U408" s="512"/>
      <c r="V408" s="512"/>
      <c r="W408" s="512"/>
      <c r="X408" s="512"/>
      <c r="Y408" s="512"/>
      <c r="Z408" s="512"/>
      <c r="AA408" s="512"/>
    </row>
    <row r="409">
      <c r="A409" s="512"/>
      <c r="B409" s="512"/>
      <c r="C409" s="512"/>
      <c r="D409" s="512"/>
      <c r="E409" s="512"/>
      <c r="F409" s="512"/>
      <c r="G409" s="512"/>
      <c r="H409" s="512"/>
      <c r="I409" s="512"/>
      <c r="J409" s="512"/>
      <c r="K409" s="512"/>
      <c r="L409" s="512"/>
      <c r="M409" s="512"/>
      <c r="N409" s="512"/>
      <c r="O409" s="512"/>
      <c r="P409" s="512"/>
      <c r="Q409" s="512"/>
      <c r="R409" s="512"/>
      <c r="S409" s="512"/>
      <c r="T409" s="512"/>
      <c r="U409" s="512"/>
      <c r="V409" s="512"/>
      <c r="W409" s="512"/>
      <c r="X409" s="512"/>
      <c r="Y409" s="512"/>
      <c r="Z409" s="512"/>
      <c r="AA409" s="512"/>
    </row>
    <row r="410">
      <c r="A410" s="512"/>
      <c r="B410" s="512"/>
      <c r="C410" s="512"/>
      <c r="D410" s="512"/>
      <c r="E410" s="512"/>
      <c r="F410" s="512"/>
      <c r="G410" s="512"/>
      <c r="H410" s="512"/>
      <c r="I410" s="512"/>
      <c r="J410" s="512"/>
      <c r="K410" s="512"/>
      <c r="L410" s="512"/>
      <c r="M410" s="512"/>
      <c r="N410" s="512"/>
      <c r="O410" s="512"/>
      <c r="P410" s="512"/>
      <c r="Q410" s="512"/>
      <c r="R410" s="512"/>
      <c r="S410" s="512"/>
      <c r="T410" s="512"/>
      <c r="U410" s="512"/>
      <c r="V410" s="512"/>
      <c r="W410" s="512"/>
      <c r="X410" s="512"/>
      <c r="Y410" s="512"/>
      <c r="Z410" s="512"/>
      <c r="AA410" s="512"/>
    </row>
    <row r="411">
      <c r="A411" s="512"/>
      <c r="B411" s="512"/>
      <c r="C411" s="512"/>
      <c r="D411" s="512"/>
      <c r="E411" s="512"/>
      <c r="F411" s="512"/>
      <c r="G411" s="512"/>
      <c r="H411" s="512"/>
      <c r="I411" s="512"/>
      <c r="J411" s="512"/>
      <c r="K411" s="512"/>
      <c r="L411" s="512"/>
      <c r="M411" s="512"/>
      <c r="N411" s="512"/>
      <c r="O411" s="512"/>
      <c r="P411" s="512"/>
      <c r="Q411" s="512"/>
      <c r="R411" s="512"/>
      <c r="S411" s="512"/>
      <c r="T411" s="512"/>
      <c r="U411" s="512"/>
      <c r="V411" s="512"/>
      <c r="W411" s="512"/>
      <c r="X411" s="512"/>
      <c r="Y411" s="512"/>
      <c r="Z411" s="512"/>
      <c r="AA411" s="512"/>
    </row>
    <row r="412">
      <c r="A412" s="512"/>
      <c r="B412" s="512"/>
      <c r="C412" s="512"/>
      <c r="D412" s="512"/>
      <c r="E412" s="512"/>
      <c r="F412" s="512"/>
      <c r="G412" s="512"/>
      <c r="H412" s="512"/>
      <c r="I412" s="512"/>
      <c r="J412" s="512"/>
      <c r="K412" s="512"/>
      <c r="L412" s="512"/>
      <c r="M412" s="512"/>
      <c r="N412" s="512"/>
      <c r="O412" s="512"/>
      <c r="P412" s="512"/>
      <c r="Q412" s="512"/>
      <c r="R412" s="512"/>
      <c r="S412" s="512"/>
      <c r="T412" s="512"/>
      <c r="U412" s="512"/>
      <c r="V412" s="512"/>
      <c r="W412" s="512"/>
      <c r="X412" s="512"/>
      <c r="Y412" s="512"/>
      <c r="Z412" s="512"/>
      <c r="AA412" s="512"/>
    </row>
    <row r="413">
      <c r="A413" s="512"/>
      <c r="B413" s="512"/>
      <c r="C413" s="512"/>
      <c r="D413" s="512"/>
      <c r="E413" s="512"/>
      <c r="F413" s="512"/>
      <c r="G413" s="512"/>
      <c r="H413" s="512"/>
      <c r="I413" s="512"/>
      <c r="J413" s="512"/>
      <c r="K413" s="512"/>
      <c r="L413" s="512"/>
      <c r="M413" s="512"/>
      <c r="N413" s="512"/>
      <c r="O413" s="512"/>
      <c r="P413" s="512"/>
      <c r="Q413" s="512"/>
      <c r="R413" s="512"/>
      <c r="S413" s="512"/>
      <c r="T413" s="512"/>
      <c r="U413" s="512"/>
      <c r="V413" s="512"/>
      <c r="W413" s="512"/>
      <c r="X413" s="512"/>
      <c r="Y413" s="512"/>
      <c r="Z413" s="512"/>
      <c r="AA413" s="512"/>
    </row>
    <row r="414">
      <c r="A414" s="512"/>
      <c r="B414" s="512"/>
      <c r="C414" s="512"/>
      <c r="D414" s="512"/>
      <c r="E414" s="512"/>
      <c r="F414" s="512"/>
      <c r="G414" s="512"/>
      <c r="H414" s="512"/>
      <c r="I414" s="512"/>
      <c r="J414" s="512"/>
      <c r="K414" s="512"/>
      <c r="L414" s="512"/>
      <c r="M414" s="512"/>
      <c r="N414" s="512"/>
      <c r="O414" s="512"/>
      <c r="P414" s="512"/>
      <c r="Q414" s="512"/>
      <c r="R414" s="512"/>
      <c r="S414" s="512"/>
      <c r="T414" s="512"/>
      <c r="U414" s="512"/>
      <c r="V414" s="512"/>
      <c r="W414" s="512"/>
      <c r="X414" s="512"/>
      <c r="Y414" s="512"/>
      <c r="Z414" s="512"/>
      <c r="AA414" s="512"/>
    </row>
    <row r="415">
      <c r="A415" s="512"/>
      <c r="B415" s="512"/>
      <c r="C415" s="512"/>
      <c r="D415" s="512"/>
      <c r="E415" s="512"/>
      <c r="F415" s="512"/>
      <c r="G415" s="512"/>
      <c r="H415" s="512"/>
      <c r="I415" s="512"/>
      <c r="J415" s="512"/>
      <c r="K415" s="512"/>
      <c r="L415" s="512"/>
      <c r="M415" s="512"/>
      <c r="N415" s="512"/>
      <c r="O415" s="512"/>
      <c r="P415" s="512"/>
      <c r="Q415" s="51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</row>
    <row r="416">
      <c r="A416" s="512"/>
      <c r="B416" s="512"/>
      <c r="C416" s="512"/>
      <c r="D416" s="512"/>
      <c r="E416" s="512"/>
      <c r="F416" s="512"/>
      <c r="G416" s="512"/>
      <c r="H416" s="512"/>
      <c r="I416" s="512"/>
      <c r="J416" s="512"/>
      <c r="K416" s="512"/>
      <c r="L416" s="512"/>
      <c r="M416" s="512"/>
      <c r="N416" s="512"/>
      <c r="O416" s="512"/>
      <c r="P416" s="512"/>
      <c r="Q416" s="512"/>
      <c r="R416" s="512"/>
      <c r="S416" s="512"/>
      <c r="T416" s="512"/>
      <c r="U416" s="512"/>
      <c r="V416" s="512"/>
      <c r="W416" s="512"/>
      <c r="X416" s="512"/>
      <c r="Y416" s="512"/>
      <c r="Z416" s="512"/>
      <c r="AA416" s="512"/>
    </row>
    <row r="417">
      <c r="A417" s="512"/>
      <c r="B417" s="512"/>
      <c r="C417" s="512"/>
      <c r="D417" s="512"/>
      <c r="E417" s="512"/>
      <c r="F417" s="512"/>
      <c r="G417" s="512"/>
      <c r="H417" s="512"/>
      <c r="I417" s="512"/>
      <c r="J417" s="512"/>
      <c r="K417" s="512"/>
      <c r="L417" s="512"/>
      <c r="M417" s="512"/>
      <c r="N417" s="512"/>
      <c r="O417" s="512"/>
      <c r="P417" s="512"/>
      <c r="Q417" s="512"/>
      <c r="R417" s="512"/>
      <c r="S417" s="512"/>
      <c r="T417" s="512"/>
      <c r="U417" s="512"/>
      <c r="V417" s="512"/>
      <c r="W417" s="512"/>
      <c r="X417" s="512"/>
      <c r="Y417" s="512"/>
      <c r="Z417" s="512"/>
      <c r="AA417" s="512"/>
    </row>
    <row r="418">
      <c r="A418" s="512"/>
      <c r="B418" s="512"/>
      <c r="C418" s="512"/>
      <c r="D418" s="512"/>
      <c r="E418" s="512"/>
      <c r="F418" s="512"/>
      <c r="G418" s="512"/>
      <c r="H418" s="512"/>
      <c r="I418" s="512"/>
      <c r="J418" s="512"/>
      <c r="K418" s="512"/>
      <c r="L418" s="512"/>
      <c r="M418" s="512"/>
      <c r="N418" s="512"/>
      <c r="O418" s="512"/>
      <c r="P418" s="512"/>
      <c r="Q418" s="512"/>
      <c r="R418" s="512"/>
      <c r="S418" s="512"/>
      <c r="T418" s="512"/>
      <c r="U418" s="512"/>
      <c r="V418" s="512"/>
      <c r="W418" s="512"/>
      <c r="X418" s="512"/>
      <c r="Y418" s="512"/>
      <c r="Z418" s="512"/>
      <c r="AA418" s="512"/>
    </row>
    <row r="419">
      <c r="A419" s="512"/>
      <c r="B419" s="512"/>
      <c r="C419" s="512"/>
      <c r="D419" s="512"/>
      <c r="E419" s="512"/>
      <c r="F419" s="512"/>
      <c r="G419" s="512"/>
      <c r="H419" s="512"/>
      <c r="I419" s="512"/>
      <c r="J419" s="512"/>
      <c r="K419" s="512"/>
      <c r="L419" s="512"/>
      <c r="M419" s="512"/>
      <c r="N419" s="512"/>
      <c r="O419" s="512"/>
      <c r="P419" s="512"/>
      <c r="Q419" s="512"/>
      <c r="R419" s="512"/>
      <c r="S419" s="512"/>
      <c r="T419" s="512"/>
      <c r="U419" s="512"/>
      <c r="V419" s="512"/>
      <c r="W419" s="512"/>
      <c r="X419" s="512"/>
      <c r="Y419" s="512"/>
      <c r="Z419" s="512"/>
      <c r="AA419" s="512"/>
    </row>
    <row r="420">
      <c r="A420" s="512"/>
      <c r="B420" s="512"/>
      <c r="C420" s="512"/>
      <c r="D420" s="512"/>
      <c r="E420" s="512"/>
      <c r="F420" s="512"/>
      <c r="G420" s="512"/>
      <c r="H420" s="512"/>
      <c r="I420" s="512"/>
      <c r="J420" s="512"/>
      <c r="K420" s="512"/>
      <c r="L420" s="512"/>
      <c r="M420" s="512"/>
      <c r="N420" s="512"/>
      <c r="O420" s="512"/>
      <c r="P420" s="512"/>
      <c r="Q420" s="512"/>
      <c r="R420" s="512"/>
      <c r="S420" s="512"/>
      <c r="T420" s="512"/>
      <c r="U420" s="512"/>
      <c r="V420" s="512"/>
      <c r="W420" s="512"/>
      <c r="X420" s="512"/>
      <c r="Y420" s="512"/>
      <c r="Z420" s="512"/>
      <c r="AA420" s="512"/>
    </row>
    <row r="421">
      <c r="A421" s="512"/>
      <c r="B421" s="512"/>
      <c r="C421" s="512"/>
      <c r="D421" s="512"/>
      <c r="E421" s="512"/>
      <c r="F421" s="512"/>
      <c r="G421" s="512"/>
      <c r="H421" s="512"/>
      <c r="I421" s="512"/>
      <c r="J421" s="512"/>
      <c r="K421" s="512"/>
      <c r="L421" s="512"/>
      <c r="M421" s="512"/>
      <c r="N421" s="512"/>
      <c r="O421" s="512"/>
      <c r="P421" s="512"/>
      <c r="Q421" s="512"/>
      <c r="R421" s="512"/>
      <c r="S421" s="512"/>
      <c r="T421" s="512"/>
      <c r="U421" s="512"/>
      <c r="V421" s="512"/>
      <c r="W421" s="512"/>
      <c r="X421" s="512"/>
      <c r="Y421" s="512"/>
      <c r="Z421" s="512"/>
      <c r="AA421" s="512"/>
    </row>
    <row r="422">
      <c r="A422" s="512"/>
      <c r="B422" s="512"/>
      <c r="C422" s="512"/>
      <c r="D422" s="512"/>
      <c r="E422" s="512"/>
      <c r="F422" s="512"/>
      <c r="G422" s="512"/>
      <c r="H422" s="512"/>
      <c r="I422" s="512"/>
      <c r="J422" s="512"/>
      <c r="K422" s="512"/>
      <c r="L422" s="512"/>
      <c r="M422" s="512"/>
      <c r="N422" s="512"/>
      <c r="O422" s="512"/>
      <c r="P422" s="512"/>
      <c r="Q422" s="512"/>
      <c r="R422" s="512"/>
      <c r="S422" s="512"/>
      <c r="T422" s="512"/>
      <c r="U422" s="512"/>
      <c r="V422" s="512"/>
      <c r="W422" s="512"/>
      <c r="X422" s="512"/>
      <c r="Y422" s="512"/>
      <c r="Z422" s="512"/>
      <c r="AA422" s="512"/>
    </row>
    <row r="423">
      <c r="A423" s="512"/>
      <c r="B423" s="512"/>
      <c r="C423" s="512"/>
      <c r="D423" s="512"/>
      <c r="E423" s="512"/>
      <c r="F423" s="512"/>
      <c r="G423" s="512"/>
      <c r="H423" s="512"/>
      <c r="I423" s="512"/>
      <c r="J423" s="512"/>
      <c r="K423" s="512"/>
      <c r="L423" s="512"/>
      <c r="M423" s="512"/>
      <c r="N423" s="512"/>
      <c r="O423" s="512"/>
      <c r="P423" s="512"/>
      <c r="Q423" s="512"/>
      <c r="R423" s="512"/>
      <c r="S423" s="512"/>
      <c r="T423" s="512"/>
      <c r="U423" s="512"/>
      <c r="V423" s="512"/>
      <c r="W423" s="512"/>
      <c r="X423" s="512"/>
      <c r="Y423" s="512"/>
      <c r="Z423" s="512"/>
      <c r="AA423" s="512"/>
    </row>
    <row r="424">
      <c r="A424" s="512"/>
      <c r="B424" s="512"/>
      <c r="C424" s="512"/>
      <c r="D424" s="512"/>
      <c r="E424" s="512"/>
      <c r="F424" s="512"/>
      <c r="G424" s="512"/>
      <c r="H424" s="512"/>
      <c r="I424" s="512"/>
      <c r="J424" s="512"/>
      <c r="K424" s="512"/>
      <c r="L424" s="512"/>
      <c r="M424" s="512"/>
      <c r="N424" s="512"/>
      <c r="O424" s="512"/>
      <c r="P424" s="512"/>
      <c r="Q424" s="512"/>
      <c r="R424" s="512"/>
      <c r="S424" s="512"/>
      <c r="T424" s="512"/>
      <c r="U424" s="512"/>
      <c r="V424" s="512"/>
      <c r="W424" s="512"/>
      <c r="X424" s="512"/>
      <c r="Y424" s="512"/>
      <c r="Z424" s="512"/>
      <c r="AA424" s="512"/>
    </row>
    <row r="425">
      <c r="A425" s="512"/>
      <c r="B425" s="512"/>
      <c r="C425" s="512"/>
      <c r="D425" s="512"/>
      <c r="E425" s="512"/>
      <c r="F425" s="512"/>
      <c r="G425" s="512"/>
      <c r="H425" s="512"/>
      <c r="I425" s="512"/>
      <c r="J425" s="512"/>
      <c r="K425" s="512"/>
      <c r="L425" s="512"/>
      <c r="M425" s="512"/>
      <c r="N425" s="512"/>
      <c r="O425" s="512"/>
      <c r="P425" s="512"/>
      <c r="Q425" s="512"/>
      <c r="R425" s="512"/>
      <c r="S425" s="512"/>
      <c r="T425" s="512"/>
      <c r="U425" s="512"/>
      <c r="V425" s="512"/>
      <c r="W425" s="512"/>
      <c r="X425" s="512"/>
      <c r="Y425" s="512"/>
      <c r="Z425" s="512"/>
      <c r="AA425" s="512"/>
    </row>
    <row r="426">
      <c r="A426" s="512"/>
      <c r="B426" s="512"/>
      <c r="C426" s="512"/>
      <c r="D426" s="512"/>
      <c r="E426" s="512"/>
      <c r="F426" s="512"/>
      <c r="G426" s="512"/>
      <c r="H426" s="512"/>
      <c r="I426" s="512"/>
      <c r="J426" s="512"/>
      <c r="K426" s="512"/>
      <c r="L426" s="512"/>
      <c r="M426" s="512"/>
      <c r="N426" s="512"/>
      <c r="O426" s="512"/>
      <c r="P426" s="512"/>
      <c r="Q426" s="512"/>
      <c r="R426" s="512"/>
      <c r="S426" s="512"/>
      <c r="T426" s="512"/>
      <c r="U426" s="512"/>
      <c r="V426" s="512"/>
      <c r="W426" s="512"/>
      <c r="X426" s="512"/>
      <c r="Y426" s="512"/>
      <c r="Z426" s="512"/>
      <c r="AA426" s="512"/>
    </row>
    <row r="427">
      <c r="A427" s="512"/>
      <c r="B427" s="512"/>
      <c r="C427" s="512"/>
      <c r="D427" s="512"/>
      <c r="E427" s="512"/>
      <c r="F427" s="512"/>
      <c r="G427" s="512"/>
      <c r="H427" s="512"/>
      <c r="I427" s="512"/>
      <c r="J427" s="512"/>
      <c r="K427" s="512"/>
      <c r="L427" s="512"/>
      <c r="M427" s="512"/>
      <c r="N427" s="512"/>
      <c r="O427" s="512"/>
      <c r="P427" s="512"/>
      <c r="Q427" s="512"/>
      <c r="R427" s="512"/>
      <c r="S427" s="512"/>
      <c r="T427" s="512"/>
      <c r="U427" s="512"/>
      <c r="V427" s="512"/>
      <c r="W427" s="512"/>
      <c r="X427" s="512"/>
      <c r="Y427" s="512"/>
      <c r="Z427" s="512"/>
      <c r="AA427" s="512"/>
    </row>
    <row r="428">
      <c r="A428" s="512"/>
      <c r="B428" s="512"/>
      <c r="C428" s="512"/>
      <c r="D428" s="512"/>
      <c r="E428" s="512"/>
      <c r="F428" s="512"/>
      <c r="G428" s="512"/>
      <c r="H428" s="512"/>
      <c r="I428" s="512"/>
      <c r="J428" s="512"/>
      <c r="K428" s="512"/>
      <c r="L428" s="512"/>
      <c r="M428" s="512"/>
      <c r="N428" s="512"/>
      <c r="O428" s="512"/>
      <c r="P428" s="512"/>
      <c r="Q428" s="512"/>
      <c r="R428" s="512"/>
      <c r="S428" s="512"/>
      <c r="T428" s="512"/>
      <c r="U428" s="512"/>
      <c r="V428" s="512"/>
      <c r="W428" s="512"/>
      <c r="X428" s="512"/>
      <c r="Y428" s="512"/>
      <c r="Z428" s="512"/>
      <c r="AA428" s="512"/>
    </row>
    <row r="429">
      <c r="A429" s="512"/>
      <c r="B429" s="512"/>
      <c r="C429" s="512"/>
      <c r="D429" s="512"/>
      <c r="E429" s="512"/>
      <c r="F429" s="512"/>
      <c r="G429" s="512"/>
      <c r="H429" s="512"/>
      <c r="I429" s="512"/>
      <c r="J429" s="512"/>
      <c r="K429" s="512"/>
      <c r="L429" s="512"/>
      <c r="M429" s="512"/>
      <c r="N429" s="512"/>
      <c r="O429" s="512"/>
      <c r="P429" s="512"/>
      <c r="Q429" s="512"/>
      <c r="R429" s="512"/>
      <c r="S429" s="512"/>
      <c r="T429" s="512"/>
      <c r="U429" s="512"/>
      <c r="V429" s="512"/>
      <c r="W429" s="512"/>
      <c r="X429" s="512"/>
      <c r="Y429" s="512"/>
      <c r="Z429" s="512"/>
      <c r="AA429" s="512"/>
    </row>
    <row r="430">
      <c r="A430" s="512"/>
      <c r="B430" s="512"/>
      <c r="C430" s="512"/>
      <c r="D430" s="512"/>
      <c r="E430" s="512"/>
      <c r="F430" s="512"/>
      <c r="G430" s="512"/>
      <c r="H430" s="512"/>
      <c r="I430" s="512"/>
      <c r="J430" s="512"/>
      <c r="K430" s="512"/>
      <c r="L430" s="512"/>
      <c r="M430" s="512"/>
      <c r="N430" s="512"/>
      <c r="O430" s="512"/>
      <c r="P430" s="512"/>
      <c r="Q430" s="512"/>
      <c r="R430" s="512"/>
      <c r="S430" s="512"/>
      <c r="T430" s="512"/>
      <c r="U430" s="512"/>
      <c r="V430" s="512"/>
      <c r="W430" s="512"/>
      <c r="X430" s="512"/>
      <c r="Y430" s="512"/>
      <c r="Z430" s="512"/>
      <c r="AA430" s="512"/>
    </row>
    <row r="431">
      <c r="A431" s="512"/>
      <c r="B431" s="512"/>
      <c r="C431" s="512"/>
      <c r="D431" s="512"/>
      <c r="E431" s="512"/>
      <c r="F431" s="512"/>
      <c r="G431" s="512"/>
      <c r="H431" s="512"/>
      <c r="I431" s="512"/>
      <c r="J431" s="512"/>
      <c r="K431" s="512"/>
      <c r="L431" s="512"/>
      <c r="M431" s="512"/>
      <c r="N431" s="512"/>
      <c r="O431" s="512"/>
      <c r="P431" s="512"/>
      <c r="Q431" s="512"/>
      <c r="R431" s="512"/>
      <c r="S431" s="512"/>
      <c r="T431" s="512"/>
      <c r="U431" s="512"/>
      <c r="V431" s="512"/>
      <c r="W431" s="512"/>
      <c r="X431" s="512"/>
      <c r="Y431" s="512"/>
      <c r="Z431" s="512"/>
      <c r="AA431" s="512"/>
    </row>
    <row r="432">
      <c r="A432" s="512"/>
      <c r="B432" s="512"/>
      <c r="C432" s="512"/>
      <c r="D432" s="512"/>
      <c r="E432" s="512"/>
      <c r="F432" s="512"/>
      <c r="G432" s="512"/>
      <c r="H432" s="512"/>
      <c r="I432" s="512"/>
      <c r="J432" s="512"/>
      <c r="K432" s="512"/>
      <c r="L432" s="512"/>
      <c r="M432" s="512"/>
      <c r="N432" s="512"/>
      <c r="O432" s="512"/>
      <c r="P432" s="512"/>
      <c r="Q432" s="512"/>
      <c r="R432" s="512"/>
      <c r="S432" s="512"/>
      <c r="T432" s="512"/>
      <c r="U432" s="512"/>
      <c r="V432" s="512"/>
      <c r="W432" s="512"/>
      <c r="X432" s="512"/>
      <c r="Y432" s="512"/>
      <c r="Z432" s="512"/>
      <c r="AA432" s="512"/>
    </row>
    <row r="433">
      <c r="A433" s="512"/>
      <c r="B433" s="512"/>
      <c r="C433" s="512"/>
      <c r="D433" s="512"/>
      <c r="E433" s="512"/>
      <c r="F433" s="512"/>
      <c r="G433" s="512"/>
      <c r="H433" s="512"/>
      <c r="I433" s="512"/>
      <c r="J433" s="512"/>
      <c r="K433" s="512"/>
      <c r="L433" s="512"/>
      <c r="M433" s="512"/>
      <c r="N433" s="512"/>
      <c r="O433" s="512"/>
      <c r="P433" s="512"/>
      <c r="Q433" s="512"/>
      <c r="R433" s="512"/>
      <c r="S433" s="512"/>
      <c r="T433" s="512"/>
      <c r="U433" s="512"/>
      <c r="V433" s="512"/>
      <c r="W433" s="512"/>
      <c r="X433" s="512"/>
      <c r="Y433" s="512"/>
      <c r="Z433" s="512"/>
      <c r="AA433" s="512"/>
    </row>
    <row r="434">
      <c r="A434" s="512"/>
      <c r="B434" s="512"/>
      <c r="C434" s="512"/>
      <c r="D434" s="512"/>
      <c r="E434" s="512"/>
      <c r="F434" s="512"/>
      <c r="G434" s="512"/>
      <c r="H434" s="512"/>
      <c r="I434" s="512"/>
      <c r="J434" s="512"/>
      <c r="K434" s="512"/>
      <c r="L434" s="512"/>
      <c r="M434" s="512"/>
      <c r="N434" s="512"/>
      <c r="O434" s="512"/>
      <c r="P434" s="512"/>
      <c r="Q434" s="512"/>
      <c r="R434" s="512"/>
      <c r="S434" s="512"/>
      <c r="T434" s="512"/>
      <c r="U434" s="512"/>
      <c r="V434" s="512"/>
      <c r="W434" s="512"/>
      <c r="X434" s="512"/>
      <c r="Y434" s="512"/>
      <c r="Z434" s="512"/>
      <c r="AA434" s="512"/>
    </row>
    <row r="435">
      <c r="A435" s="512"/>
      <c r="B435" s="512"/>
      <c r="C435" s="512"/>
      <c r="D435" s="512"/>
      <c r="E435" s="512"/>
      <c r="F435" s="512"/>
      <c r="G435" s="512"/>
      <c r="H435" s="512"/>
      <c r="I435" s="512"/>
      <c r="J435" s="512"/>
      <c r="K435" s="512"/>
      <c r="L435" s="512"/>
      <c r="M435" s="512"/>
      <c r="N435" s="512"/>
      <c r="O435" s="512"/>
      <c r="P435" s="512"/>
      <c r="Q435" s="512"/>
      <c r="R435" s="512"/>
      <c r="S435" s="512"/>
      <c r="T435" s="512"/>
      <c r="U435" s="512"/>
      <c r="V435" s="512"/>
      <c r="W435" s="512"/>
      <c r="X435" s="512"/>
      <c r="Y435" s="512"/>
      <c r="Z435" s="512"/>
      <c r="AA435" s="512"/>
    </row>
    <row r="436">
      <c r="A436" s="512"/>
      <c r="B436" s="512"/>
      <c r="C436" s="512"/>
      <c r="D436" s="512"/>
      <c r="E436" s="512"/>
      <c r="F436" s="512"/>
      <c r="G436" s="512"/>
      <c r="H436" s="512"/>
      <c r="I436" s="512"/>
      <c r="J436" s="512"/>
      <c r="K436" s="512"/>
      <c r="L436" s="512"/>
      <c r="M436" s="512"/>
      <c r="N436" s="512"/>
      <c r="O436" s="512"/>
      <c r="P436" s="512"/>
      <c r="Q436" s="512"/>
      <c r="R436" s="512"/>
      <c r="S436" s="512"/>
      <c r="T436" s="512"/>
      <c r="U436" s="512"/>
      <c r="V436" s="512"/>
      <c r="W436" s="512"/>
      <c r="X436" s="512"/>
      <c r="Y436" s="512"/>
      <c r="Z436" s="512"/>
      <c r="AA436" s="512"/>
    </row>
    <row r="437">
      <c r="A437" s="512"/>
      <c r="B437" s="512"/>
      <c r="C437" s="512"/>
      <c r="D437" s="512"/>
      <c r="E437" s="512"/>
      <c r="F437" s="512"/>
      <c r="G437" s="512"/>
      <c r="H437" s="512"/>
      <c r="I437" s="512"/>
      <c r="J437" s="512"/>
      <c r="K437" s="512"/>
      <c r="L437" s="512"/>
      <c r="M437" s="512"/>
      <c r="N437" s="512"/>
      <c r="O437" s="512"/>
      <c r="P437" s="512"/>
      <c r="Q437" s="512"/>
      <c r="R437" s="512"/>
      <c r="S437" s="512"/>
      <c r="T437" s="512"/>
      <c r="U437" s="512"/>
      <c r="V437" s="512"/>
      <c r="W437" s="512"/>
      <c r="X437" s="512"/>
      <c r="Y437" s="512"/>
      <c r="Z437" s="512"/>
      <c r="AA437" s="512"/>
    </row>
    <row r="438">
      <c r="A438" s="512"/>
      <c r="B438" s="512"/>
      <c r="C438" s="512"/>
      <c r="D438" s="512"/>
      <c r="E438" s="512"/>
      <c r="F438" s="512"/>
      <c r="G438" s="512"/>
      <c r="H438" s="512"/>
      <c r="I438" s="512"/>
      <c r="J438" s="512"/>
      <c r="K438" s="512"/>
      <c r="L438" s="512"/>
      <c r="M438" s="512"/>
      <c r="N438" s="512"/>
      <c r="O438" s="512"/>
      <c r="P438" s="512"/>
      <c r="Q438" s="512"/>
      <c r="R438" s="512"/>
      <c r="S438" s="512"/>
      <c r="T438" s="512"/>
      <c r="U438" s="512"/>
      <c r="V438" s="512"/>
      <c r="W438" s="512"/>
      <c r="X438" s="512"/>
      <c r="Y438" s="512"/>
      <c r="Z438" s="512"/>
      <c r="AA438" s="512"/>
    </row>
    <row r="439">
      <c r="A439" s="512"/>
      <c r="B439" s="512"/>
      <c r="C439" s="512"/>
      <c r="D439" s="512"/>
      <c r="E439" s="512"/>
      <c r="F439" s="512"/>
      <c r="G439" s="512"/>
      <c r="H439" s="512"/>
      <c r="I439" s="512"/>
      <c r="J439" s="512"/>
      <c r="K439" s="512"/>
      <c r="L439" s="512"/>
      <c r="M439" s="512"/>
      <c r="N439" s="512"/>
      <c r="O439" s="512"/>
      <c r="P439" s="512"/>
      <c r="Q439" s="512"/>
      <c r="R439" s="512"/>
      <c r="S439" s="512"/>
      <c r="T439" s="512"/>
      <c r="U439" s="512"/>
      <c r="V439" s="512"/>
      <c r="W439" s="512"/>
      <c r="X439" s="512"/>
      <c r="Y439" s="512"/>
      <c r="Z439" s="512"/>
      <c r="AA439" s="512"/>
    </row>
    <row r="440">
      <c r="A440" s="512"/>
      <c r="B440" s="512"/>
      <c r="C440" s="512"/>
      <c r="D440" s="512"/>
      <c r="E440" s="512"/>
      <c r="F440" s="512"/>
      <c r="G440" s="512"/>
      <c r="H440" s="512"/>
      <c r="I440" s="512"/>
      <c r="J440" s="512"/>
      <c r="K440" s="512"/>
      <c r="L440" s="512"/>
      <c r="M440" s="512"/>
      <c r="N440" s="512"/>
      <c r="O440" s="512"/>
      <c r="P440" s="512"/>
      <c r="Q440" s="512"/>
      <c r="R440" s="512"/>
      <c r="S440" s="512"/>
      <c r="T440" s="512"/>
      <c r="U440" s="512"/>
      <c r="V440" s="512"/>
      <c r="W440" s="512"/>
      <c r="X440" s="512"/>
      <c r="Y440" s="512"/>
      <c r="Z440" s="512"/>
      <c r="AA440" s="512"/>
    </row>
    <row r="441">
      <c r="A441" s="512"/>
      <c r="B441" s="512"/>
      <c r="C441" s="512"/>
      <c r="D441" s="512"/>
      <c r="E441" s="512"/>
      <c r="F441" s="512"/>
      <c r="G441" s="512"/>
      <c r="H441" s="512"/>
      <c r="I441" s="512"/>
      <c r="J441" s="512"/>
      <c r="K441" s="512"/>
      <c r="L441" s="512"/>
      <c r="M441" s="512"/>
      <c r="N441" s="512"/>
      <c r="O441" s="512"/>
      <c r="P441" s="512"/>
      <c r="Q441" s="512"/>
      <c r="R441" s="512"/>
      <c r="S441" s="512"/>
      <c r="T441" s="512"/>
      <c r="U441" s="512"/>
      <c r="V441" s="512"/>
      <c r="W441" s="512"/>
      <c r="X441" s="512"/>
      <c r="Y441" s="512"/>
      <c r="Z441" s="512"/>
      <c r="AA441" s="512"/>
    </row>
    <row r="442">
      <c r="A442" s="512"/>
      <c r="B442" s="512"/>
      <c r="C442" s="512"/>
      <c r="D442" s="512"/>
      <c r="E442" s="512"/>
      <c r="F442" s="512"/>
      <c r="G442" s="512"/>
      <c r="H442" s="512"/>
      <c r="I442" s="512"/>
      <c r="J442" s="512"/>
      <c r="K442" s="512"/>
      <c r="L442" s="512"/>
      <c r="M442" s="512"/>
      <c r="N442" s="512"/>
      <c r="O442" s="512"/>
      <c r="P442" s="512"/>
      <c r="Q442" s="512"/>
      <c r="R442" s="512"/>
      <c r="S442" s="512"/>
      <c r="T442" s="512"/>
      <c r="U442" s="512"/>
      <c r="V442" s="512"/>
      <c r="W442" s="512"/>
      <c r="X442" s="512"/>
      <c r="Y442" s="512"/>
      <c r="Z442" s="512"/>
      <c r="AA442" s="512"/>
    </row>
    <row r="443">
      <c r="A443" s="512"/>
      <c r="B443" s="512"/>
      <c r="C443" s="512"/>
      <c r="D443" s="512"/>
      <c r="E443" s="512"/>
      <c r="F443" s="512"/>
      <c r="G443" s="512"/>
      <c r="H443" s="512"/>
      <c r="I443" s="512"/>
      <c r="J443" s="512"/>
      <c r="K443" s="512"/>
      <c r="L443" s="512"/>
      <c r="M443" s="512"/>
      <c r="N443" s="512"/>
      <c r="O443" s="512"/>
      <c r="P443" s="512"/>
      <c r="Q443" s="512"/>
      <c r="R443" s="512"/>
      <c r="S443" s="512"/>
      <c r="T443" s="512"/>
      <c r="U443" s="512"/>
      <c r="V443" s="512"/>
      <c r="W443" s="512"/>
      <c r="X443" s="512"/>
      <c r="Y443" s="512"/>
      <c r="Z443" s="512"/>
      <c r="AA443" s="512"/>
    </row>
    <row r="444">
      <c r="A444" s="512"/>
      <c r="B444" s="512"/>
      <c r="C444" s="512"/>
      <c r="D444" s="512"/>
      <c r="E444" s="512"/>
      <c r="F444" s="512"/>
      <c r="G444" s="512"/>
      <c r="H444" s="512"/>
      <c r="I444" s="512"/>
      <c r="J444" s="512"/>
      <c r="K444" s="512"/>
      <c r="L444" s="512"/>
      <c r="M444" s="512"/>
      <c r="N444" s="512"/>
      <c r="O444" s="512"/>
      <c r="P444" s="512"/>
      <c r="Q444" s="512"/>
      <c r="R444" s="512"/>
      <c r="S444" s="512"/>
      <c r="T444" s="512"/>
      <c r="U444" s="512"/>
      <c r="V444" s="512"/>
      <c r="W444" s="512"/>
      <c r="X444" s="512"/>
      <c r="Y444" s="512"/>
      <c r="Z444" s="512"/>
      <c r="AA444" s="512"/>
    </row>
    <row r="445">
      <c r="A445" s="512"/>
      <c r="B445" s="512"/>
      <c r="C445" s="512"/>
      <c r="D445" s="512"/>
      <c r="E445" s="512"/>
      <c r="F445" s="512"/>
      <c r="G445" s="512"/>
      <c r="H445" s="512"/>
      <c r="I445" s="512"/>
      <c r="J445" s="512"/>
      <c r="K445" s="512"/>
      <c r="L445" s="512"/>
      <c r="M445" s="512"/>
      <c r="N445" s="512"/>
      <c r="O445" s="512"/>
      <c r="P445" s="512"/>
      <c r="Q445" s="512"/>
      <c r="R445" s="512"/>
      <c r="S445" s="512"/>
      <c r="T445" s="512"/>
      <c r="U445" s="512"/>
      <c r="V445" s="512"/>
      <c r="W445" s="512"/>
      <c r="X445" s="512"/>
      <c r="Y445" s="512"/>
      <c r="Z445" s="512"/>
      <c r="AA445" s="512"/>
    </row>
    <row r="446">
      <c r="A446" s="512"/>
      <c r="B446" s="512"/>
      <c r="C446" s="512"/>
      <c r="D446" s="512"/>
      <c r="E446" s="512"/>
      <c r="F446" s="512"/>
      <c r="G446" s="512"/>
      <c r="H446" s="512"/>
      <c r="I446" s="512"/>
      <c r="J446" s="512"/>
      <c r="K446" s="512"/>
      <c r="L446" s="512"/>
      <c r="M446" s="512"/>
      <c r="N446" s="512"/>
      <c r="O446" s="512"/>
      <c r="P446" s="512"/>
      <c r="Q446" s="512"/>
      <c r="R446" s="512"/>
      <c r="S446" s="512"/>
      <c r="T446" s="512"/>
      <c r="U446" s="512"/>
      <c r="V446" s="512"/>
      <c r="W446" s="512"/>
      <c r="X446" s="512"/>
      <c r="Y446" s="512"/>
      <c r="Z446" s="512"/>
      <c r="AA446" s="512"/>
    </row>
    <row r="447">
      <c r="A447" s="512"/>
      <c r="B447" s="512"/>
      <c r="C447" s="512"/>
      <c r="D447" s="512"/>
      <c r="E447" s="512"/>
      <c r="F447" s="512"/>
      <c r="G447" s="512"/>
      <c r="H447" s="512"/>
      <c r="I447" s="512"/>
      <c r="J447" s="512"/>
      <c r="K447" s="512"/>
      <c r="L447" s="512"/>
      <c r="M447" s="512"/>
      <c r="N447" s="512"/>
      <c r="O447" s="512"/>
      <c r="P447" s="512"/>
      <c r="Q447" s="512"/>
      <c r="R447" s="512"/>
      <c r="S447" s="512"/>
      <c r="T447" s="512"/>
      <c r="U447" s="512"/>
      <c r="V447" s="512"/>
      <c r="W447" s="512"/>
      <c r="X447" s="512"/>
      <c r="Y447" s="512"/>
      <c r="Z447" s="512"/>
      <c r="AA447" s="512"/>
    </row>
    <row r="448">
      <c r="A448" s="512"/>
      <c r="B448" s="512"/>
      <c r="C448" s="512"/>
      <c r="D448" s="512"/>
      <c r="E448" s="512"/>
      <c r="F448" s="512"/>
      <c r="G448" s="512"/>
      <c r="H448" s="512"/>
      <c r="I448" s="512"/>
      <c r="J448" s="512"/>
      <c r="K448" s="512"/>
      <c r="L448" s="512"/>
      <c r="M448" s="512"/>
      <c r="N448" s="512"/>
      <c r="O448" s="512"/>
      <c r="P448" s="512"/>
      <c r="Q448" s="512"/>
      <c r="R448" s="512"/>
      <c r="S448" s="512"/>
      <c r="T448" s="512"/>
      <c r="U448" s="512"/>
      <c r="V448" s="512"/>
      <c r="W448" s="512"/>
      <c r="X448" s="512"/>
      <c r="Y448" s="512"/>
      <c r="Z448" s="512"/>
      <c r="AA448" s="512"/>
    </row>
    <row r="449">
      <c r="A449" s="512"/>
      <c r="B449" s="512"/>
      <c r="C449" s="512"/>
      <c r="D449" s="512"/>
      <c r="E449" s="512"/>
      <c r="F449" s="512"/>
      <c r="G449" s="512"/>
      <c r="H449" s="512"/>
      <c r="I449" s="512"/>
      <c r="J449" s="512"/>
      <c r="K449" s="512"/>
      <c r="L449" s="512"/>
      <c r="M449" s="512"/>
      <c r="N449" s="512"/>
      <c r="O449" s="512"/>
      <c r="P449" s="512"/>
      <c r="Q449" s="512"/>
      <c r="R449" s="512"/>
      <c r="S449" s="512"/>
      <c r="T449" s="512"/>
      <c r="U449" s="512"/>
      <c r="V449" s="512"/>
      <c r="W449" s="512"/>
      <c r="X449" s="512"/>
      <c r="Y449" s="512"/>
      <c r="Z449" s="512"/>
      <c r="AA449" s="512"/>
    </row>
    <row r="450">
      <c r="A450" s="512"/>
      <c r="B450" s="512"/>
      <c r="C450" s="512"/>
      <c r="D450" s="512"/>
      <c r="E450" s="512"/>
      <c r="F450" s="512"/>
      <c r="G450" s="512"/>
      <c r="H450" s="512"/>
      <c r="I450" s="512"/>
      <c r="J450" s="512"/>
      <c r="K450" s="512"/>
      <c r="L450" s="512"/>
      <c r="M450" s="512"/>
      <c r="N450" s="512"/>
      <c r="O450" s="512"/>
      <c r="P450" s="512"/>
      <c r="Q450" s="512"/>
      <c r="R450" s="512"/>
      <c r="S450" s="512"/>
      <c r="T450" s="512"/>
      <c r="U450" s="512"/>
      <c r="V450" s="512"/>
      <c r="W450" s="512"/>
      <c r="X450" s="512"/>
      <c r="Y450" s="512"/>
      <c r="Z450" s="512"/>
      <c r="AA450" s="512"/>
    </row>
    <row r="451">
      <c r="A451" s="512"/>
      <c r="B451" s="512"/>
      <c r="C451" s="512"/>
      <c r="D451" s="512"/>
      <c r="E451" s="512"/>
      <c r="F451" s="512"/>
      <c r="G451" s="512"/>
      <c r="H451" s="512"/>
      <c r="I451" s="512"/>
      <c r="J451" s="512"/>
      <c r="K451" s="512"/>
      <c r="L451" s="512"/>
      <c r="M451" s="512"/>
      <c r="N451" s="512"/>
      <c r="O451" s="512"/>
      <c r="P451" s="512"/>
      <c r="Q451" s="512"/>
      <c r="R451" s="512"/>
      <c r="S451" s="512"/>
      <c r="T451" s="512"/>
      <c r="U451" s="512"/>
      <c r="V451" s="512"/>
      <c r="W451" s="512"/>
      <c r="X451" s="512"/>
      <c r="Y451" s="512"/>
      <c r="Z451" s="512"/>
      <c r="AA451" s="512"/>
    </row>
    <row r="452">
      <c r="A452" s="512"/>
      <c r="B452" s="512"/>
      <c r="C452" s="512"/>
      <c r="D452" s="512"/>
      <c r="E452" s="512"/>
      <c r="F452" s="512"/>
      <c r="G452" s="512"/>
      <c r="H452" s="512"/>
      <c r="I452" s="512"/>
      <c r="J452" s="512"/>
      <c r="K452" s="512"/>
      <c r="L452" s="512"/>
      <c r="M452" s="512"/>
      <c r="N452" s="512"/>
      <c r="O452" s="512"/>
      <c r="P452" s="512"/>
      <c r="Q452" s="512"/>
      <c r="R452" s="512"/>
      <c r="S452" s="512"/>
      <c r="T452" s="512"/>
      <c r="U452" s="512"/>
      <c r="V452" s="512"/>
      <c r="W452" s="512"/>
      <c r="X452" s="512"/>
      <c r="Y452" s="512"/>
      <c r="Z452" s="512"/>
      <c r="AA452" s="512"/>
    </row>
    <row r="453">
      <c r="A453" s="512"/>
      <c r="B453" s="512"/>
      <c r="C453" s="512"/>
      <c r="D453" s="512"/>
      <c r="E453" s="512"/>
      <c r="F453" s="512"/>
      <c r="G453" s="512"/>
      <c r="H453" s="512"/>
      <c r="I453" s="512"/>
      <c r="J453" s="512"/>
      <c r="K453" s="512"/>
      <c r="L453" s="512"/>
      <c r="M453" s="512"/>
      <c r="N453" s="512"/>
      <c r="O453" s="512"/>
      <c r="P453" s="512"/>
      <c r="Q453" s="512"/>
      <c r="R453" s="512"/>
      <c r="S453" s="512"/>
      <c r="T453" s="512"/>
      <c r="U453" s="512"/>
      <c r="V453" s="512"/>
      <c r="W453" s="512"/>
      <c r="X453" s="512"/>
      <c r="Y453" s="512"/>
      <c r="Z453" s="512"/>
      <c r="AA453" s="512"/>
    </row>
    <row r="454">
      <c r="A454" s="512"/>
      <c r="B454" s="512"/>
      <c r="C454" s="512"/>
      <c r="D454" s="512"/>
      <c r="E454" s="512"/>
      <c r="F454" s="512"/>
      <c r="G454" s="512"/>
      <c r="H454" s="512"/>
      <c r="I454" s="512"/>
      <c r="J454" s="512"/>
      <c r="K454" s="512"/>
      <c r="L454" s="512"/>
      <c r="M454" s="512"/>
      <c r="N454" s="512"/>
      <c r="O454" s="512"/>
      <c r="P454" s="512"/>
      <c r="Q454" s="512"/>
      <c r="R454" s="512"/>
      <c r="S454" s="512"/>
      <c r="T454" s="512"/>
      <c r="U454" s="512"/>
      <c r="V454" s="512"/>
      <c r="W454" s="512"/>
      <c r="X454" s="512"/>
      <c r="Y454" s="512"/>
      <c r="Z454" s="512"/>
      <c r="AA454" s="512"/>
    </row>
    <row r="455">
      <c r="A455" s="512"/>
      <c r="B455" s="512"/>
      <c r="C455" s="512"/>
      <c r="D455" s="512"/>
      <c r="E455" s="512"/>
      <c r="F455" s="512"/>
      <c r="G455" s="512"/>
      <c r="H455" s="512"/>
      <c r="I455" s="512"/>
      <c r="J455" s="512"/>
      <c r="K455" s="512"/>
      <c r="L455" s="512"/>
      <c r="M455" s="512"/>
      <c r="N455" s="512"/>
      <c r="O455" s="512"/>
      <c r="P455" s="512"/>
      <c r="Q455" s="512"/>
      <c r="R455" s="512"/>
      <c r="S455" s="512"/>
      <c r="T455" s="512"/>
      <c r="U455" s="512"/>
      <c r="V455" s="512"/>
      <c r="W455" s="512"/>
      <c r="X455" s="512"/>
      <c r="Y455" s="512"/>
      <c r="Z455" s="512"/>
      <c r="AA455" s="512"/>
    </row>
    <row r="456">
      <c r="A456" s="512"/>
      <c r="B456" s="512"/>
      <c r="C456" s="512"/>
      <c r="D456" s="512"/>
      <c r="E456" s="512"/>
      <c r="F456" s="512"/>
      <c r="G456" s="512"/>
      <c r="H456" s="512"/>
      <c r="I456" s="512"/>
      <c r="J456" s="512"/>
      <c r="K456" s="512"/>
      <c r="L456" s="512"/>
      <c r="M456" s="512"/>
      <c r="N456" s="512"/>
      <c r="O456" s="512"/>
      <c r="P456" s="512"/>
      <c r="Q456" s="512"/>
      <c r="R456" s="512"/>
      <c r="S456" s="512"/>
      <c r="T456" s="512"/>
      <c r="U456" s="512"/>
      <c r="V456" s="512"/>
      <c r="W456" s="512"/>
      <c r="X456" s="512"/>
      <c r="Y456" s="512"/>
      <c r="Z456" s="512"/>
      <c r="AA456" s="512"/>
    </row>
    <row r="457">
      <c r="A457" s="512"/>
      <c r="B457" s="512"/>
      <c r="C457" s="512"/>
      <c r="D457" s="512"/>
      <c r="E457" s="512"/>
      <c r="F457" s="512"/>
      <c r="G457" s="512"/>
      <c r="H457" s="512"/>
      <c r="I457" s="512"/>
      <c r="J457" s="512"/>
      <c r="K457" s="512"/>
      <c r="L457" s="512"/>
      <c r="M457" s="512"/>
      <c r="N457" s="512"/>
      <c r="O457" s="512"/>
      <c r="P457" s="512"/>
      <c r="Q457" s="512"/>
      <c r="R457" s="512"/>
      <c r="S457" s="512"/>
      <c r="T457" s="512"/>
      <c r="U457" s="512"/>
      <c r="V457" s="512"/>
      <c r="W457" s="512"/>
      <c r="X457" s="512"/>
      <c r="Y457" s="512"/>
      <c r="Z457" s="512"/>
      <c r="AA457" s="512"/>
    </row>
    <row r="458">
      <c r="A458" s="512"/>
      <c r="B458" s="512"/>
      <c r="C458" s="512"/>
      <c r="D458" s="512"/>
      <c r="E458" s="512"/>
      <c r="F458" s="512"/>
      <c r="G458" s="512"/>
      <c r="H458" s="512"/>
      <c r="I458" s="512"/>
      <c r="J458" s="512"/>
      <c r="K458" s="512"/>
      <c r="L458" s="512"/>
      <c r="M458" s="512"/>
      <c r="N458" s="512"/>
      <c r="O458" s="512"/>
      <c r="P458" s="512"/>
      <c r="Q458" s="512"/>
      <c r="R458" s="512"/>
      <c r="S458" s="512"/>
      <c r="T458" s="512"/>
      <c r="U458" s="512"/>
      <c r="V458" s="512"/>
      <c r="W458" s="512"/>
      <c r="X458" s="512"/>
      <c r="Y458" s="512"/>
      <c r="Z458" s="512"/>
      <c r="AA458" s="512"/>
    </row>
    <row r="459">
      <c r="A459" s="512"/>
      <c r="B459" s="512"/>
      <c r="C459" s="512"/>
      <c r="D459" s="512"/>
      <c r="E459" s="512"/>
      <c r="F459" s="512"/>
      <c r="G459" s="512"/>
      <c r="H459" s="512"/>
      <c r="I459" s="512"/>
      <c r="J459" s="512"/>
      <c r="K459" s="512"/>
      <c r="L459" s="512"/>
      <c r="M459" s="512"/>
      <c r="N459" s="512"/>
      <c r="O459" s="512"/>
      <c r="P459" s="512"/>
      <c r="Q459" s="512"/>
      <c r="R459" s="512"/>
      <c r="S459" s="512"/>
      <c r="T459" s="512"/>
      <c r="U459" s="512"/>
      <c r="V459" s="512"/>
      <c r="W459" s="512"/>
      <c r="X459" s="512"/>
      <c r="Y459" s="512"/>
      <c r="Z459" s="512"/>
      <c r="AA459" s="512"/>
    </row>
    <row r="460">
      <c r="A460" s="512"/>
      <c r="B460" s="512"/>
      <c r="C460" s="512"/>
      <c r="D460" s="512"/>
      <c r="E460" s="512"/>
      <c r="F460" s="512"/>
      <c r="G460" s="512"/>
      <c r="H460" s="512"/>
      <c r="I460" s="512"/>
      <c r="J460" s="512"/>
      <c r="K460" s="512"/>
      <c r="L460" s="512"/>
      <c r="M460" s="512"/>
      <c r="N460" s="512"/>
      <c r="O460" s="512"/>
      <c r="P460" s="512"/>
      <c r="Q460" s="512"/>
      <c r="R460" s="512"/>
      <c r="S460" s="512"/>
      <c r="T460" s="512"/>
      <c r="U460" s="512"/>
      <c r="V460" s="512"/>
      <c r="W460" s="512"/>
      <c r="X460" s="512"/>
      <c r="Y460" s="512"/>
      <c r="Z460" s="512"/>
      <c r="AA460" s="512"/>
    </row>
    <row r="461">
      <c r="A461" s="512"/>
      <c r="B461" s="512"/>
      <c r="C461" s="512"/>
      <c r="D461" s="512"/>
      <c r="E461" s="512"/>
      <c r="F461" s="512"/>
      <c r="G461" s="512"/>
      <c r="H461" s="512"/>
      <c r="I461" s="512"/>
      <c r="J461" s="512"/>
      <c r="K461" s="512"/>
      <c r="L461" s="512"/>
      <c r="M461" s="512"/>
      <c r="N461" s="512"/>
      <c r="O461" s="512"/>
      <c r="P461" s="512"/>
      <c r="Q461" s="512"/>
      <c r="R461" s="512"/>
      <c r="S461" s="512"/>
      <c r="T461" s="512"/>
      <c r="U461" s="512"/>
      <c r="V461" s="512"/>
      <c r="W461" s="512"/>
      <c r="X461" s="512"/>
      <c r="Y461" s="512"/>
      <c r="Z461" s="512"/>
      <c r="AA461" s="512"/>
    </row>
    <row r="462">
      <c r="A462" s="512"/>
      <c r="B462" s="512"/>
      <c r="C462" s="512"/>
      <c r="D462" s="512"/>
      <c r="E462" s="512"/>
      <c r="F462" s="512"/>
      <c r="G462" s="512"/>
      <c r="H462" s="512"/>
      <c r="I462" s="512"/>
      <c r="J462" s="512"/>
      <c r="K462" s="512"/>
      <c r="L462" s="512"/>
      <c r="M462" s="512"/>
      <c r="N462" s="512"/>
      <c r="O462" s="512"/>
      <c r="P462" s="512"/>
      <c r="Q462" s="512"/>
      <c r="R462" s="512"/>
      <c r="S462" s="512"/>
      <c r="T462" s="512"/>
      <c r="U462" s="512"/>
      <c r="V462" s="512"/>
      <c r="W462" s="512"/>
      <c r="X462" s="512"/>
      <c r="Y462" s="512"/>
      <c r="Z462" s="512"/>
      <c r="AA462" s="512"/>
    </row>
    <row r="463">
      <c r="A463" s="512"/>
      <c r="B463" s="512"/>
      <c r="C463" s="512"/>
      <c r="D463" s="512"/>
      <c r="E463" s="512"/>
      <c r="F463" s="512"/>
      <c r="G463" s="512"/>
      <c r="H463" s="512"/>
      <c r="I463" s="512"/>
      <c r="J463" s="512"/>
      <c r="K463" s="512"/>
      <c r="L463" s="512"/>
      <c r="M463" s="512"/>
      <c r="N463" s="512"/>
      <c r="O463" s="512"/>
      <c r="P463" s="512"/>
      <c r="Q463" s="512"/>
      <c r="R463" s="512"/>
      <c r="S463" s="512"/>
      <c r="T463" s="512"/>
      <c r="U463" s="512"/>
      <c r="V463" s="512"/>
      <c r="W463" s="512"/>
      <c r="X463" s="512"/>
      <c r="Y463" s="512"/>
      <c r="Z463" s="512"/>
      <c r="AA463" s="512"/>
    </row>
    <row r="464">
      <c r="A464" s="512"/>
      <c r="B464" s="512"/>
      <c r="C464" s="512"/>
      <c r="D464" s="512"/>
      <c r="E464" s="512"/>
      <c r="F464" s="512"/>
      <c r="G464" s="512"/>
      <c r="H464" s="512"/>
      <c r="I464" s="512"/>
      <c r="J464" s="512"/>
      <c r="K464" s="512"/>
      <c r="L464" s="512"/>
      <c r="M464" s="512"/>
      <c r="N464" s="512"/>
      <c r="O464" s="512"/>
      <c r="P464" s="512"/>
      <c r="Q464" s="512"/>
      <c r="R464" s="512"/>
      <c r="S464" s="512"/>
      <c r="T464" s="512"/>
      <c r="U464" s="512"/>
      <c r="V464" s="512"/>
      <c r="W464" s="512"/>
      <c r="X464" s="512"/>
      <c r="Y464" s="512"/>
      <c r="Z464" s="512"/>
      <c r="AA464" s="512"/>
    </row>
    <row r="465">
      <c r="A465" s="512"/>
      <c r="B465" s="512"/>
      <c r="C465" s="512"/>
      <c r="D465" s="512"/>
      <c r="E465" s="512"/>
      <c r="F465" s="512"/>
      <c r="G465" s="512"/>
      <c r="H465" s="512"/>
      <c r="I465" s="512"/>
      <c r="J465" s="512"/>
      <c r="K465" s="512"/>
      <c r="L465" s="512"/>
      <c r="M465" s="512"/>
      <c r="N465" s="512"/>
      <c r="O465" s="512"/>
      <c r="P465" s="512"/>
      <c r="Q465" s="512"/>
      <c r="R465" s="512"/>
      <c r="S465" s="512"/>
      <c r="T465" s="512"/>
      <c r="U465" s="512"/>
      <c r="V465" s="512"/>
      <c r="W465" s="512"/>
      <c r="X465" s="512"/>
      <c r="Y465" s="512"/>
      <c r="Z465" s="512"/>
      <c r="AA465" s="512"/>
    </row>
    <row r="466">
      <c r="A466" s="512"/>
      <c r="B466" s="512"/>
      <c r="C466" s="512"/>
      <c r="D466" s="512"/>
      <c r="E466" s="512"/>
      <c r="F466" s="512"/>
      <c r="G466" s="512"/>
      <c r="H466" s="512"/>
      <c r="I466" s="512"/>
      <c r="J466" s="512"/>
      <c r="K466" s="512"/>
      <c r="L466" s="512"/>
      <c r="M466" s="512"/>
      <c r="N466" s="512"/>
      <c r="O466" s="512"/>
      <c r="P466" s="512"/>
      <c r="Q466" s="512"/>
      <c r="R466" s="512"/>
      <c r="S466" s="512"/>
      <c r="T466" s="512"/>
      <c r="U466" s="512"/>
      <c r="V466" s="512"/>
      <c r="W466" s="512"/>
      <c r="X466" s="512"/>
      <c r="Y466" s="512"/>
      <c r="Z466" s="512"/>
      <c r="AA466" s="512"/>
    </row>
    <row r="467">
      <c r="A467" s="512"/>
      <c r="B467" s="512"/>
      <c r="C467" s="512"/>
      <c r="D467" s="512"/>
      <c r="E467" s="512"/>
      <c r="F467" s="512"/>
      <c r="G467" s="512"/>
      <c r="H467" s="512"/>
      <c r="I467" s="512"/>
      <c r="J467" s="512"/>
      <c r="K467" s="512"/>
      <c r="L467" s="512"/>
      <c r="M467" s="512"/>
      <c r="N467" s="512"/>
      <c r="O467" s="512"/>
      <c r="P467" s="512"/>
      <c r="Q467" s="512"/>
      <c r="R467" s="512"/>
      <c r="S467" s="512"/>
      <c r="T467" s="512"/>
      <c r="U467" s="512"/>
      <c r="V467" s="512"/>
      <c r="W467" s="512"/>
      <c r="X467" s="512"/>
      <c r="Y467" s="512"/>
      <c r="Z467" s="512"/>
      <c r="AA467" s="512"/>
    </row>
    <row r="468">
      <c r="A468" s="512"/>
      <c r="B468" s="512"/>
      <c r="C468" s="512"/>
      <c r="D468" s="512"/>
      <c r="E468" s="512"/>
      <c r="F468" s="512"/>
      <c r="G468" s="512"/>
      <c r="H468" s="512"/>
      <c r="I468" s="512"/>
      <c r="J468" s="512"/>
      <c r="K468" s="512"/>
      <c r="L468" s="512"/>
      <c r="M468" s="512"/>
      <c r="N468" s="512"/>
      <c r="O468" s="512"/>
      <c r="P468" s="512"/>
      <c r="Q468" s="512"/>
      <c r="R468" s="512"/>
      <c r="S468" s="512"/>
      <c r="T468" s="512"/>
      <c r="U468" s="512"/>
      <c r="V468" s="512"/>
      <c r="W468" s="512"/>
      <c r="X468" s="512"/>
      <c r="Y468" s="512"/>
      <c r="Z468" s="512"/>
      <c r="AA468" s="512"/>
    </row>
    <row r="469">
      <c r="A469" s="512"/>
      <c r="B469" s="512"/>
      <c r="C469" s="512"/>
      <c r="D469" s="512"/>
      <c r="E469" s="512"/>
      <c r="F469" s="512"/>
      <c r="G469" s="512"/>
      <c r="H469" s="512"/>
      <c r="I469" s="512"/>
      <c r="J469" s="512"/>
      <c r="K469" s="512"/>
      <c r="L469" s="512"/>
      <c r="M469" s="512"/>
      <c r="N469" s="512"/>
      <c r="O469" s="512"/>
      <c r="P469" s="512"/>
      <c r="Q469" s="512"/>
      <c r="R469" s="512"/>
      <c r="S469" s="512"/>
      <c r="T469" s="512"/>
      <c r="U469" s="512"/>
      <c r="V469" s="512"/>
      <c r="W469" s="512"/>
      <c r="X469" s="512"/>
      <c r="Y469" s="512"/>
      <c r="Z469" s="512"/>
      <c r="AA469" s="512"/>
    </row>
    <row r="470">
      <c r="A470" s="512"/>
      <c r="B470" s="512"/>
      <c r="C470" s="512"/>
      <c r="D470" s="512"/>
      <c r="E470" s="512"/>
      <c r="F470" s="512"/>
      <c r="G470" s="512"/>
      <c r="H470" s="512"/>
      <c r="I470" s="512"/>
      <c r="J470" s="512"/>
      <c r="K470" s="512"/>
      <c r="L470" s="512"/>
      <c r="M470" s="512"/>
      <c r="N470" s="512"/>
      <c r="O470" s="512"/>
      <c r="P470" s="512"/>
      <c r="Q470" s="512"/>
      <c r="R470" s="512"/>
      <c r="S470" s="512"/>
      <c r="T470" s="512"/>
      <c r="U470" s="512"/>
      <c r="V470" s="512"/>
      <c r="W470" s="512"/>
      <c r="X470" s="512"/>
      <c r="Y470" s="512"/>
      <c r="Z470" s="512"/>
      <c r="AA470" s="512"/>
    </row>
    <row r="471">
      <c r="A471" s="512"/>
      <c r="B471" s="512"/>
      <c r="C471" s="512"/>
      <c r="D471" s="512"/>
      <c r="E471" s="512"/>
      <c r="F471" s="512"/>
      <c r="G471" s="512"/>
      <c r="H471" s="512"/>
      <c r="I471" s="512"/>
      <c r="J471" s="512"/>
      <c r="K471" s="512"/>
      <c r="L471" s="512"/>
      <c r="M471" s="512"/>
      <c r="N471" s="512"/>
      <c r="O471" s="512"/>
      <c r="P471" s="512"/>
      <c r="Q471" s="512"/>
      <c r="R471" s="512"/>
      <c r="S471" s="512"/>
      <c r="T471" s="512"/>
      <c r="U471" s="512"/>
      <c r="V471" s="512"/>
      <c r="W471" s="512"/>
      <c r="X471" s="512"/>
      <c r="Y471" s="512"/>
      <c r="Z471" s="512"/>
      <c r="AA471" s="512"/>
    </row>
    <row r="472">
      <c r="A472" s="512"/>
      <c r="B472" s="512"/>
      <c r="C472" s="512"/>
      <c r="D472" s="512"/>
      <c r="E472" s="512"/>
      <c r="F472" s="512"/>
      <c r="G472" s="512"/>
      <c r="H472" s="512"/>
      <c r="I472" s="512"/>
      <c r="J472" s="512"/>
      <c r="K472" s="512"/>
      <c r="L472" s="512"/>
      <c r="M472" s="512"/>
      <c r="N472" s="512"/>
      <c r="O472" s="512"/>
      <c r="P472" s="512"/>
      <c r="Q472" s="512"/>
      <c r="R472" s="512"/>
      <c r="S472" s="512"/>
      <c r="T472" s="512"/>
      <c r="U472" s="512"/>
      <c r="V472" s="512"/>
      <c r="W472" s="512"/>
      <c r="X472" s="512"/>
      <c r="Y472" s="512"/>
      <c r="Z472" s="512"/>
      <c r="AA472" s="512"/>
    </row>
    <row r="473">
      <c r="A473" s="512"/>
      <c r="B473" s="512"/>
      <c r="C473" s="512"/>
      <c r="D473" s="512"/>
      <c r="E473" s="512"/>
      <c r="F473" s="512"/>
      <c r="G473" s="512"/>
      <c r="H473" s="512"/>
      <c r="I473" s="512"/>
      <c r="J473" s="512"/>
      <c r="K473" s="512"/>
      <c r="L473" s="512"/>
      <c r="M473" s="512"/>
      <c r="N473" s="512"/>
      <c r="O473" s="512"/>
      <c r="P473" s="512"/>
      <c r="Q473" s="512"/>
      <c r="R473" s="512"/>
      <c r="S473" s="512"/>
      <c r="T473" s="512"/>
      <c r="U473" s="512"/>
      <c r="V473" s="512"/>
      <c r="W473" s="512"/>
      <c r="X473" s="512"/>
      <c r="Y473" s="512"/>
      <c r="Z473" s="512"/>
      <c r="AA473" s="512"/>
    </row>
    <row r="474">
      <c r="A474" s="512"/>
      <c r="B474" s="512"/>
      <c r="C474" s="512"/>
      <c r="D474" s="512"/>
      <c r="E474" s="512"/>
      <c r="F474" s="512"/>
      <c r="G474" s="512"/>
      <c r="H474" s="512"/>
      <c r="I474" s="512"/>
      <c r="J474" s="512"/>
      <c r="K474" s="512"/>
      <c r="L474" s="512"/>
      <c r="M474" s="512"/>
      <c r="N474" s="512"/>
      <c r="O474" s="512"/>
      <c r="P474" s="512"/>
      <c r="Q474" s="512"/>
      <c r="R474" s="512"/>
      <c r="S474" s="512"/>
      <c r="T474" s="512"/>
      <c r="U474" s="512"/>
      <c r="V474" s="512"/>
      <c r="W474" s="512"/>
      <c r="X474" s="512"/>
      <c r="Y474" s="512"/>
      <c r="Z474" s="512"/>
      <c r="AA474" s="512"/>
    </row>
    <row r="475">
      <c r="A475" s="512"/>
      <c r="B475" s="512"/>
      <c r="C475" s="512"/>
      <c r="D475" s="512"/>
      <c r="E475" s="512"/>
      <c r="F475" s="512"/>
      <c r="G475" s="512"/>
      <c r="H475" s="512"/>
      <c r="I475" s="512"/>
      <c r="J475" s="512"/>
      <c r="K475" s="512"/>
      <c r="L475" s="512"/>
      <c r="M475" s="512"/>
      <c r="N475" s="512"/>
      <c r="O475" s="512"/>
      <c r="P475" s="512"/>
      <c r="Q475" s="512"/>
      <c r="R475" s="512"/>
      <c r="S475" s="512"/>
      <c r="T475" s="512"/>
      <c r="U475" s="512"/>
      <c r="V475" s="512"/>
      <c r="W475" s="512"/>
      <c r="X475" s="512"/>
      <c r="Y475" s="512"/>
      <c r="Z475" s="512"/>
      <c r="AA475" s="512"/>
    </row>
    <row r="476">
      <c r="A476" s="512"/>
      <c r="B476" s="512"/>
      <c r="C476" s="512"/>
      <c r="D476" s="512"/>
      <c r="E476" s="512"/>
      <c r="F476" s="512"/>
      <c r="G476" s="512"/>
      <c r="H476" s="512"/>
      <c r="I476" s="512"/>
      <c r="J476" s="512"/>
      <c r="K476" s="512"/>
      <c r="L476" s="512"/>
      <c r="M476" s="512"/>
      <c r="N476" s="512"/>
      <c r="O476" s="512"/>
      <c r="P476" s="512"/>
      <c r="Q476" s="512"/>
      <c r="R476" s="512"/>
      <c r="S476" s="512"/>
      <c r="T476" s="512"/>
      <c r="U476" s="512"/>
      <c r="V476" s="512"/>
      <c r="W476" s="512"/>
      <c r="X476" s="512"/>
      <c r="Y476" s="512"/>
      <c r="Z476" s="512"/>
      <c r="AA476" s="512"/>
    </row>
    <row r="477">
      <c r="A477" s="512"/>
      <c r="B477" s="512"/>
      <c r="C477" s="512"/>
      <c r="D477" s="512"/>
      <c r="E477" s="512"/>
      <c r="F477" s="512"/>
      <c r="G477" s="512"/>
      <c r="H477" s="512"/>
      <c r="I477" s="512"/>
      <c r="J477" s="512"/>
      <c r="K477" s="512"/>
      <c r="L477" s="512"/>
      <c r="M477" s="512"/>
      <c r="N477" s="512"/>
      <c r="O477" s="512"/>
      <c r="P477" s="512"/>
      <c r="Q477" s="512"/>
      <c r="R477" s="512"/>
      <c r="S477" s="512"/>
      <c r="T477" s="512"/>
      <c r="U477" s="512"/>
      <c r="V477" s="512"/>
      <c r="W477" s="512"/>
      <c r="X477" s="512"/>
      <c r="Y477" s="512"/>
      <c r="Z477" s="512"/>
      <c r="AA477" s="512"/>
    </row>
    <row r="478">
      <c r="A478" s="512"/>
      <c r="B478" s="512"/>
      <c r="C478" s="512"/>
      <c r="D478" s="512"/>
      <c r="E478" s="512"/>
      <c r="F478" s="512"/>
      <c r="G478" s="512"/>
      <c r="H478" s="512"/>
      <c r="I478" s="512"/>
      <c r="J478" s="512"/>
      <c r="K478" s="512"/>
      <c r="L478" s="512"/>
      <c r="M478" s="512"/>
      <c r="N478" s="512"/>
      <c r="O478" s="512"/>
      <c r="P478" s="512"/>
      <c r="Q478" s="512"/>
      <c r="R478" s="512"/>
      <c r="S478" s="512"/>
      <c r="T478" s="512"/>
      <c r="U478" s="512"/>
      <c r="V478" s="512"/>
      <c r="W478" s="512"/>
      <c r="X478" s="512"/>
      <c r="Y478" s="512"/>
      <c r="Z478" s="512"/>
      <c r="AA478" s="512"/>
    </row>
    <row r="479">
      <c r="A479" s="512"/>
      <c r="B479" s="512"/>
      <c r="C479" s="512"/>
      <c r="D479" s="512"/>
      <c r="E479" s="512"/>
      <c r="F479" s="512"/>
      <c r="G479" s="512"/>
      <c r="H479" s="512"/>
      <c r="I479" s="512"/>
      <c r="J479" s="512"/>
      <c r="K479" s="512"/>
      <c r="L479" s="512"/>
      <c r="M479" s="512"/>
      <c r="N479" s="512"/>
      <c r="O479" s="512"/>
      <c r="P479" s="512"/>
      <c r="Q479" s="512"/>
      <c r="R479" s="512"/>
      <c r="S479" s="512"/>
      <c r="T479" s="512"/>
      <c r="U479" s="512"/>
      <c r="V479" s="512"/>
      <c r="W479" s="512"/>
      <c r="X479" s="512"/>
      <c r="Y479" s="512"/>
      <c r="Z479" s="512"/>
      <c r="AA479" s="512"/>
    </row>
    <row r="480">
      <c r="A480" s="512"/>
      <c r="B480" s="512"/>
      <c r="C480" s="512"/>
      <c r="D480" s="512"/>
      <c r="E480" s="512"/>
      <c r="F480" s="512"/>
      <c r="G480" s="512"/>
      <c r="H480" s="512"/>
      <c r="I480" s="512"/>
      <c r="J480" s="512"/>
      <c r="K480" s="512"/>
      <c r="L480" s="512"/>
      <c r="M480" s="512"/>
      <c r="N480" s="512"/>
      <c r="O480" s="512"/>
      <c r="P480" s="512"/>
      <c r="Q480" s="512"/>
      <c r="R480" s="512"/>
      <c r="S480" s="512"/>
      <c r="T480" s="512"/>
      <c r="U480" s="512"/>
      <c r="V480" s="512"/>
      <c r="W480" s="512"/>
      <c r="X480" s="512"/>
      <c r="Y480" s="512"/>
      <c r="Z480" s="512"/>
      <c r="AA480" s="512"/>
    </row>
    <row r="481">
      <c r="A481" s="512"/>
      <c r="B481" s="512"/>
      <c r="C481" s="512"/>
      <c r="D481" s="512"/>
      <c r="E481" s="512"/>
      <c r="F481" s="512"/>
      <c r="G481" s="512"/>
      <c r="H481" s="512"/>
      <c r="I481" s="512"/>
      <c r="J481" s="512"/>
      <c r="K481" s="512"/>
      <c r="L481" s="512"/>
      <c r="M481" s="512"/>
      <c r="N481" s="512"/>
      <c r="O481" s="512"/>
      <c r="P481" s="512"/>
      <c r="Q481" s="512"/>
      <c r="R481" s="512"/>
      <c r="S481" s="512"/>
      <c r="T481" s="512"/>
      <c r="U481" s="512"/>
      <c r="V481" s="512"/>
      <c r="W481" s="512"/>
      <c r="X481" s="512"/>
      <c r="Y481" s="512"/>
      <c r="Z481" s="512"/>
      <c r="AA481" s="512"/>
    </row>
    <row r="482">
      <c r="A482" s="512"/>
      <c r="B482" s="512"/>
      <c r="C482" s="512"/>
      <c r="D482" s="512"/>
      <c r="E482" s="512"/>
      <c r="F482" s="512"/>
      <c r="G482" s="512"/>
      <c r="H482" s="512"/>
      <c r="I482" s="512"/>
      <c r="J482" s="512"/>
      <c r="K482" s="512"/>
      <c r="L482" s="512"/>
      <c r="M482" s="512"/>
      <c r="N482" s="512"/>
      <c r="O482" s="512"/>
      <c r="P482" s="512"/>
      <c r="Q482" s="512"/>
      <c r="R482" s="512"/>
      <c r="S482" s="512"/>
      <c r="T482" s="512"/>
      <c r="U482" s="512"/>
      <c r="V482" s="512"/>
      <c r="W482" s="512"/>
      <c r="X482" s="512"/>
      <c r="Y482" s="512"/>
      <c r="Z482" s="512"/>
      <c r="AA482" s="512"/>
    </row>
    <row r="483">
      <c r="A483" s="512"/>
      <c r="B483" s="512"/>
      <c r="C483" s="512"/>
      <c r="D483" s="512"/>
      <c r="E483" s="512"/>
      <c r="F483" s="512"/>
      <c r="G483" s="512"/>
      <c r="H483" s="512"/>
      <c r="I483" s="512"/>
      <c r="J483" s="512"/>
      <c r="K483" s="512"/>
      <c r="L483" s="512"/>
      <c r="M483" s="512"/>
      <c r="N483" s="512"/>
      <c r="O483" s="512"/>
      <c r="P483" s="512"/>
      <c r="Q483" s="512"/>
      <c r="R483" s="512"/>
      <c r="S483" s="512"/>
      <c r="T483" s="512"/>
      <c r="U483" s="512"/>
      <c r="V483" s="512"/>
      <c r="W483" s="512"/>
      <c r="X483" s="512"/>
      <c r="Y483" s="512"/>
      <c r="Z483" s="512"/>
      <c r="AA483" s="512"/>
    </row>
    <row r="484">
      <c r="A484" s="512"/>
      <c r="B484" s="512"/>
      <c r="C484" s="512"/>
      <c r="D484" s="512"/>
      <c r="E484" s="512"/>
      <c r="F484" s="512"/>
      <c r="G484" s="512"/>
      <c r="H484" s="512"/>
      <c r="I484" s="512"/>
      <c r="J484" s="512"/>
      <c r="K484" s="512"/>
      <c r="L484" s="512"/>
      <c r="M484" s="512"/>
      <c r="N484" s="512"/>
      <c r="O484" s="512"/>
      <c r="P484" s="512"/>
      <c r="Q484" s="512"/>
      <c r="R484" s="512"/>
      <c r="S484" s="512"/>
      <c r="T484" s="512"/>
      <c r="U484" s="512"/>
      <c r="V484" s="512"/>
      <c r="W484" s="512"/>
      <c r="X484" s="512"/>
      <c r="Y484" s="512"/>
      <c r="Z484" s="512"/>
      <c r="AA484" s="512"/>
    </row>
    <row r="485">
      <c r="A485" s="512"/>
      <c r="B485" s="512"/>
      <c r="C485" s="512"/>
      <c r="D485" s="512"/>
      <c r="E485" s="512"/>
      <c r="F485" s="512"/>
      <c r="G485" s="512"/>
      <c r="H485" s="512"/>
      <c r="I485" s="512"/>
      <c r="J485" s="512"/>
      <c r="K485" s="512"/>
      <c r="L485" s="512"/>
      <c r="M485" s="512"/>
      <c r="N485" s="512"/>
      <c r="O485" s="512"/>
      <c r="P485" s="512"/>
      <c r="Q485" s="512"/>
      <c r="R485" s="512"/>
      <c r="S485" s="512"/>
      <c r="T485" s="512"/>
      <c r="U485" s="512"/>
      <c r="V485" s="512"/>
      <c r="W485" s="512"/>
      <c r="X485" s="512"/>
      <c r="Y485" s="512"/>
      <c r="Z485" s="512"/>
      <c r="AA485" s="512"/>
    </row>
    <row r="486">
      <c r="A486" s="512"/>
      <c r="B486" s="512"/>
      <c r="C486" s="512"/>
      <c r="D486" s="512"/>
      <c r="E486" s="512"/>
      <c r="F486" s="512"/>
      <c r="G486" s="512"/>
      <c r="H486" s="512"/>
      <c r="I486" s="512"/>
      <c r="J486" s="512"/>
      <c r="K486" s="512"/>
      <c r="L486" s="512"/>
      <c r="M486" s="512"/>
      <c r="N486" s="512"/>
      <c r="O486" s="512"/>
      <c r="P486" s="512"/>
      <c r="Q486" s="512"/>
      <c r="R486" s="512"/>
      <c r="S486" s="512"/>
      <c r="T486" s="512"/>
      <c r="U486" s="512"/>
      <c r="V486" s="512"/>
      <c r="W486" s="512"/>
      <c r="X486" s="512"/>
      <c r="Y486" s="512"/>
      <c r="Z486" s="512"/>
      <c r="AA486" s="512"/>
    </row>
    <row r="487">
      <c r="A487" s="512"/>
      <c r="B487" s="512"/>
      <c r="C487" s="512"/>
      <c r="D487" s="512"/>
      <c r="E487" s="512"/>
      <c r="F487" s="512"/>
      <c r="G487" s="512"/>
      <c r="H487" s="512"/>
      <c r="I487" s="512"/>
      <c r="J487" s="512"/>
      <c r="K487" s="512"/>
      <c r="L487" s="512"/>
      <c r="M487" s="512"/>
      <c r="N487" s="512"/>
      <c r="O487" s="512"/>
      <c r="P487" s="512"/>
      <c r="Q487" s="512"/>
      <c r="R487" s="512"/>
      <c r="S487" s="512"/>
      <c r="T487" s="512"/>
      <c r="U487" s="512"/>
      <c r="V487" s="512"/>
      <c r="W487" s="512"/>
      <c r="X487" s="512"/>
      <c r="Y487" s="512"/>
      <c r="Z487" s="512"/>
      <c r="AA487" s="512"/>
    </row>
    <row r="488">
      <c r="A488" s="512"/>
      <c r="B488" s="512"/>
      <c r="C488" s="512"/>
      <c r="D488" s="512"/>
      <c r="E488" s="512"/>
      <c r="F488" s="512"/>
      <c r="G488" s="512"/>
      <c r="H488" s="512"/>
      <c r="I488" s="512"/>
      <c r="J488" s="512"/>
      <c r="K488" s="512"/>
      <c r="L488" s="512"/>
      <c r="M488" s="512"/>
      <c r="N488" s="512"/>
      <c r="O488" s="512"/>
      <c r="P488" s="512"/>
      <c r="Q488" s="512"/>
      <c r="R488" s="512"/>
      <c r="S488" s="512"/>
      <c r="T488" s="512"/>
      <c r="U488" s="512"/>
      <c r="V488" s="512"/>
      <c r="W488" s="512"/>
      <c r="X488" s="512"/>
      <c r="Y488" s="512"/>
      <c r="Z488" s="512"/>
      <c r="AA488" s="512"/>
    </row>
    <row r="489">
      <c r="A489" s="512"/>
      <c r="B489" s="512"/>
      <c r="C489" s="512"/>
      <c r="D489" s="512"/>
      <c r="E489" s="512"/>
      <c r="F489" s="512"/>
      <c r="G489" s="512"/>
      <c r="H489" s="512"/>
      <c r="I489" s="512"/>
      <c r="J489" s="512"/>
      <c r="K489" s="512"/>
      <c r="L489" s="512"/>
      <c r="M489" s="512"/>
      <c r="N489" s="512"/>
      <c r="O489" s="512"/>
      <c r="P489" s="512"/>
      <c r="Q489" s="512"/>
      <c r="R489" s="512"/>
      <c r="S489" s="512"/>
      <c r="T489" s="512"/>
      <c r="U489" s="512"/>
      <c r="V489" s="512"/>
      <c r="W489" s="512"/>
      <c r="X489" s="512"/>
      <c r="Y489" s="512"/>
      <c r="Z489" s="512"/>
      <c r="AA489" s="512"/>
    </row>
    <row r="490">
      <c r="A490" s="512"/>
      <c r="B490" s="512"/>
      <c r="C490" s="512"/>
      <c r="D490" s="512"/>
      <c r="E490" s="512"/>
      <c r="F490" s="512"/>
      <c r="G490" s="512"/>
      <c r="H490" s="512"/>
      <c r="I490" s="512"/>
      <c r="J490" s="512"/>
      <c r="K490" s="512"/>
      <c r="L490" s="512"/>
      <c r="M490" s="512"/>
      <c r="N490" s="512"/>
      <c r="O490" s="512"/>
      <c r="P490" s="512"/>
      <c r="Q490" s="512"/>
      <c r="R490" s="512"/>
      <c r="S490" s="512"/>
      <c r="T490" s="512"/>
      <c r="U490" s="512"/>
      <c r="V490" s="512"/>
      <c r="W490" s="512"/>
      <c r="X490" s="512"/>
      <c r="Y490" s="512"/>
      <c r="Z490" s="512"/>
      <c r="AA490" s="512"/>
    </row>
    <row r="491">
      <c r="A491" s="512"/>
      <c r="B491" s="512"/>
      <c r="C491" s="512"/>
      <c r="D491" s="512"/>
      <c r="E491" s="512"/>
      <c r="F491" s="512"/>
      <c r="G491" s="512"/>
      <c r="H491" s="512"/>
      <c r="I491" s="512"/>
      <c r="J491" s="512"/>
      <c r="K491" s="512"/>
      <c r="L491" s="512"/>
      <c r="M491" s="512"/>
      <c r="N491" s="512"/>
      <c r="O491" s="512"/>
      <c r="P491" s="512"/>
      <c r="Q491" s="512"/>
      <c r="R491" s="512"/>
      <c r="S491" s="512"/>
      <c r="T491" s="512"/>
      <c r="U491" s="512"/>
      <c r="V491" s="512"/>
      <c r="W491" s="512"/>
      <c r="X491" s="512"/>
      <c r="Y491" s="512"/>
      <c r="Z491" s="512"/>
      <c r="AA491" s="512"/>
    </row>
    <row r="492">
      <c r="A492" s="512"/>
      <c r="B492" s="512"/>
      <c r="C492" s="512"/>
      <c r="D492" s="512"/>
      <c r="E492" s="512"/>
      <c r="F492" s="512"/>
      <c r="G492" s="512"/>
      <c r="H492" s="512"/>
      <c r="I492" s="512"/>
      <c r="J492" s="512"/>
      <c r="K492" s="512"/>
      <c r="L492" s="512"/>
      <c r="M492" s="512"/>
      <c r="N492" s="512"/>
      <c r="O492" s="512"/>
      <c r="P492" s="512"/>
      <c r="Q492" s="512"/>
      <c r="R492" s="512"/>
      <c r="S492" s="512"/>
      <c r="T492" s="512"/>
      <c r="U492" s="512"/>
      <c r="V492" s="512"/>
      <c r="W492" s="512"/>
      <c r="X492" s="512"/>
      <c r="Y492" s="512"/>
      <c r="Z492" s="512"/>
      <c r="AA492" s="512"/>
    </row>
    <row r="493">
      <c r="A493" s="512"/>
      <c r="B493" s="512"/>
      <c r="C493" s="512"/>
      <c r="D493" s="512"/>
      <c r="E493" s="512"/>
      <c r="F493" s="512"/>
      <c r="G493" s="512"/>
      <c r="H493" s="512"/>
      <c r="I493" s="512"/>
      <c r="J493" s="512"/>
      <c r="K493" s="512"/>
      <c r="L493" s="512"/>
      <c r="M493" s="512"/>
      <c r="N493" s="512"/>
      <c r="O493" s="512"/>
      <c r="P493" s="512"/>
      <c r="Q493" s="512"/>
      <c r="R493" s="512"/>
      <c r="S493" s="512"/>
      <c r="T493" s="512"/>
      <c r="U493" s="512"/>
      <c r="V493" s="512"/>
      <c r="W493" s="512"/>
      <c r="X493" s="512"/>
      <c r="Y493" s="512"/>
      <c r="Z493" s="512"/>
      <c r="AA493" s="512"/>
    </row>
    <row r="494">
      <c r="A494" s="512"/>
      <c r="B494" s="512"/>
      <c r="C494" s="512"/>
      <c r="D494" s="512"/>
      <c r="E494" s="512"/>
      <c r="F494" s="512"/>
      <c r="G494" s="512"/>
      <c r="H494" s="512"/>
      <c r="I494" s="512"/>
      <c r="J494" s="512"/>
      <c r="K494" s="512"/>
      <c r="L494" s="512"/>
      <c r="M494" s="512"/>
      <c r="N494" s="512"/>
      <c r="O494" s="512"/>
      <c r="P494" s="512"/>
      <c r="Q494" s="512"/>
      <c r="R494" s="512"/>
      <c r="S494" s="512"/>
      <c r="T494" s="512"/>
      <c r="U494" s="512"/>
      <c r="V494" s="512"/>
      <c r="W494" s="512"/>
      <c r="X494" s="512"/>
      <c r="Y494" s="512"/>
      <c r="Z494" s="512"/>
      <c r="AA494" s="512"/>
    </row>
    <row r="495">
      <c r="A495" s="512"/>
      <c r="B495" s="512"/>
      <c r="C495" s="512"/>
      <c r="D495" s="512"/>
      <c r="E495" s="512"/>
      <c r="F495" s="512"/>
      <c r="G495" s="512"/>
      <c r="H495" s="512"/>
      <c r="I495" s="512"/>
      <c r="J495" s="512"/>
      <c r="K495" s="512"/>
      <c r="L495" s="512"/>
      <c r="M495" s="512"/>
      <c r="N495" s="512"/>
      <c r="O495" s="512"/>
      <c r="P495" s="512"/>
      <c r="Q495" s="512"/>
      <c r="R495" s="512"/>
      <c r="S495" s="512"/>
      <c r="T495" s="512"/>
      <c r="U495" s="512"/>
      <c r="V495" s="512"/>
      <c r="W495" s="512"/>
      <c r="X495" s="512"/>
      <c r="Y495" s="512"/>
      <c r="Z495" s="512"/>
      <c r="AA495" s="512"/>
    </row>
    <row r="496">
      <c r="A496" s="512"/>
      <c r="B496" s="512"/>
      <c r="C496" s="512"/>
      <c r="D496" s="512"/>
      <c r="E496" s="512"/>
      <c r="F496" s="512"/>
      <c r="G496" s="512"/>
      <c r="H496" s="512"/>
      <c r="I496" s="512"/>
      <c r="J496" s="512"/>
      <c r="K496" s="512"/>
      <c r="L496" s="512"/>
      <c r="M496" s="512"/>
      <c r="N496" s="512"/>
      <c r="O496" s="512"/>
      <c r="P496" s="512"/>
      <c r="Q496" s="512"/>
      <c r="R496" s="512"/>
      <c r="S496" s="512"/>
      <c r="T496" s="512"/>
      <c r="U496" s="512"/>
      <c r="V496" s="512"/>
      <c r="W496" s="512"/>
      <c r="X496" s="512"/>
      <c r="Y496" s="512"/>
      <c r="Z496" s="512"/>
      <c r="AA496" s="512"/>
    </row>
    <row r="497">
      <c r="A497" s="512"/>
      <c r="B497" s="512"/>
      <c r="C497" s="512"/>
      <c r="D497" s="512"/>
      <c r="E497" s="512"/>
      <c r="F497" s="512"/>
      <c r="G497" s="512"/>
      <c r="H497" s="512"/>
      <c r="I497" s="512"/>
      <c r="J497" s="512"/>
      <c r="K497" s="512"/>
      <c r="L497" s="512"/>
      <c r="M497" s="512"/>
      <c r="N497" s="512"/>
      <c r="O497" s="512"/>
      <c r="P497" s="512"/>
      <c r="Q497" s="512"/>
      <c r="R497" s="512"/>
      <c r="S497" s="512"/>
      <c r="T497" s="512"/>
      <c r="U497" s="512"/>
      <c r="V497" s="512"/>
      <c r="W497" s="512"/>
      <c r="X497" s="512"/>
      <c r="Y497" s="512"/>
      <c r="Z497" s="512"/>
      <c r="AA497" s="512"/>
    </row>
    <row r="498">
      <c r="A498" s="512"/>
      <c r="B498" s="512"/>
      <c r="C498" s="512"/>
      <c r="D498" s="512"/>
      <c r="E498" s="512"/>
      <c r="F498" s="512"/>
      <c r="G498" s="512"/>
      <c r="H498" s="512"/>
      <c r="I498" s="512"/>
      <c r="J498" s="512"/>
      <c r="K498" s="512"/>
      <c r="L498" s="512"/>
      <c r="M498" s="512"/>
      <c r="N498" s="512"/>
      <c r="O498" s="512"/>
      <c r="P498" s="512"/>
      <c r="Q498" s="512"/>
      <c r="R498" s="512"/>
      <c r="S498" s="512"/>
      <c r="T498" s="512"/>
      <c r="U498" s="512"/>
      <c r="V498" s="512"/>
      <c r="W498" s="512"/>
      <c r="X498" s="512"/>
      <c r="Y498" s="512"/>
      <c r="Z498" s="512"/>
      <c r="AA498" s="512"/>
    </row>
    <row r="499">
      <c r="A499" s="512"/>
      <c r="B499" s="512"/>
      <c r="C499" s="512"/>
      <c r="D499" s="512"/>
      <c r="E499" s="512"/>
      <c r="F499" s="512"/>
      <c r="G499" s="512"/>
      <c r="H499" s="512"/>
      <c r="I499" s="512"/>
      <c r="J499" s="512"/>
      <c r="K499" s="512"/>
      <c r="L499" s="512"/>
      <c r="M499" s="512"/>
      <c r="N499" s="512"/>
      <c r="O499" s="512"/>
      <c r="P499" s="512"/>
      <c r="Q499" s="512"/>
      <c r="R499" s="512"/>
      <c r="S499" s="512"/>
      <c r="T499" s="512"/>
      <c r="U499" s="512"/>
      <c r="V499" s="512"/>
      <c r="W499" s="512"/>
      <c r="X499" s="512"/>
      <c r="Y499" s="512"/>
      <c r="Z499" s="512"/>
      <c r="AA499" s="512"/>
    </row>
    <row r="500">
      <c r="A500" s="512"/>
      <c r="B500" s="512"/>
      <c r="C500" s="512"/>
      <c r="D500" s="512"/>
      <c r="E500" s="512"/>
      <c r="F500" s="512"/>
      <c r="G500" s="512"/>
      <c r="H500" s="512"/>
      <c r="I500" s="512"/>
      <c r="J500" s="512"/>
      <c r="K500" s="512"/>
      <c r="L500" s="512"/>
      <c r="M500" s="512"/>
      <c r="N500" s="512"/>
      <c r="O500" s="512"/>
      <c r="P500" s="512"/>
      <c r="Q500" s="512"/>
      <c r="R500" s="512"/>
      <c r="S500" s="512"/>
      <c r="T500" s="512"/>
      <c r="U500" s="512"/>
      <c r="V500" s="512"/>
      <c r="W500" s="512"/>
      <c r="X500" s="512"/>
      <c r="Y500" s="512"/>
      <c r="Z500" s="512"/>
      <c r="AA500" s="512"/>
    </row>
    <row r="501">
      <c r="A501" s="512"/>
      <c r="B501" s="512"/>
      <c r="C501" s="512"/>
      <c r="D501" s="512"/>
      <c r="E501" s="512"/>
      <c r="F501" s="512"/>
      <c r="G501" s="512"/>
      <c r="H501" s="512"/>
      <c r="I501" s="512"/>
      <c r="J501" s="512"/>
      <c r="K501" s="512"/>
      <c r="L501" s="512"/>
      <c r="M501" s="512"/>
      <c r="N501" s="512"/>
      <c r="O501" s="512"/>
      <c r="P501" s="512"/>
      <c r="Q501" s="512"/>
      <c r="R501" s="512"/>
      <c r="S501" s="512"/>
      <c r="T501" s="512"/>
      <c r="U501" s="512"/>
      <c r="V501" s="512"/>
      <c r="W501" s="512"/>
      <c r="X501" s="512"/>
      <c r="Y501" s="512"/>
      <c r="Z501" s="512"/>
      <c r="AA501" s="512"/>
    </row>
    <row r="502">
      <c r="A502" s="512"/>
      <c r="B502" s="512"/>
      <c r="C502" s="512"/>
      <c r="D502" s="512"/>
      <c r="E502" s="512"/>
      <c r="F502" s="512"/>
      <c r="G502" s="512"/>
      <c r="H502" s="512"/>
      <c r="I502" s="512"/>
      <c r="J502" s="512"/>
      <c r="K502" s="512"/>
      <c r="L502" s="512"/>
      <c r="M502" s="512"/>
      <c r="N502" s="512"/>
      <c r="O502" s="512"/>
      <c r="P502" s="512"/>
      <c r="Q502" s="512"/>
      <c r="R502" s="512"/>
      <c r="S502" s="512"/>
      <c r="T502" s="512"/>
      <c r="U502" s="512"/>
      <c r="V502" s="512"/>
      <c r="W502" s="512"/>
      <c r="X502" s="512"/>
      <c r="Y502" s="512"/>
      <c r="Z502" s="512"/>
      <c r="AA502" s="512"/>
    </row>
    <row r="503">
      <c r="A503" s="512"/>
      <c r="B503" s="512"/>
      <c r="C503" s="512"/>
      <c r="D503" s="512"/>
      <c r="E503" s="512"/>
      <c r="F503" s="512"/>
      <c r="G503" s="512"/>
      <c r="H503" s="512"/>
      <c r="I503" s="512"/>
      <c r="J503" s="512"/>
      <c r="K503" s="512"/>
      <c r="L503" s="512"/>
      <c r="M503" s="512"/>
      <c r="N503" s="512"/>
      <c r="O503" s="512"/>
      <c r="P503" s="512"/>
      <c r="Q503" s="512"/>
      <c r="R503" s="512"/>
      <c r="S503" s="512"/>
      <c r="T503" s="512"/>
      <c r="U503" s="512"/>
      <c r="V503" s="512"/>
      <c r="W503" s="512"/>
      <c r="X503" s="512"/>
      <c r="Y503" s="512"/>
      <c r="Z503" s="512"/>
      <c r="AA503" s="512"/>
    </row>
    <row r="504">
      <c r="A504" s="512"/>
      <c r="B504" s="512"/>
      <c r="C504" s="512"/>
      <c r="D504" s="512"/>
      <c r="E504" s="512"/>
      <c r="F504" s="512"/>
      <c r="G504" s="512"/>
      <c r="H504" s="512"/>
      <c r="I504" s="512"/>
      <c r="J504" s="512"/>
      <c r="K504" s="512"/>
      <c r="L504" s="512"/>
      <c r="M504" s="512"/>
      <c r="N504" s="512"/>
      <c r="O504" s="512"/>
      <c r="P504" s="512"/>
      <c r="Q504" s="512"/>
      <c r="R504" s="512"/>
      <c r="S504" s="512"/>
      <c r="T504" s="512"/>
      <c r="U504" s="512"/>
      <c r="V504" s="512"/>
      <c r="W504" s="512"/>
      <c r="X504" s="512"/>
      <c r="Y504" s="512"/>
      <c r="Z504" s="512"/>
      <c r="AA504" s="512"/>
    </row>
    <row r="505">
      <c r="A505" s="512"/>
      <c r="B505" s="512"/>
      <c r="C505" s="512"/>
      <c r="D505" s="512"/>
      <c r="E505" s="512"/>
      <c r="F505" s="512"/>
      <c r="G505" s="512"/>
      <c r="H505" s="512"/>
      <c r="I505" s="512"/>
      <c r="J505" s="512"/>
      <c r="K505" s="512"/>
      <c r="L505" s="512"/>
      <c r="M505" s="512"/>
      <c r="N505" s="512"/>
      <c r="O505" s="512"/>
      <c r="P505" s="512"/>
      <c r="Q505" s="512"/>
      <c r="R505" s="512"/>
      <c r="S505" s="512"/>
      <c r="T505" s="512"/>
      <c r="U505" s="512"/>
      <c r="V505" s="512"/>
      <c r="W505" s="512"/>
      <c r="X505" s="512"/>
      <c r="Y505" s="512"/>
      <c r="Z505" s="512"/>
      <c r="AA505" s="512"/>
    </row>
    <row r="506">
      <c r="A506" s="512"/>
      <c r="B506" s="512"/>
      <c r="C506" s="512"/>
      <c r="D506" s="512"/>
      <c r="E506" s="512"/>
      <c r="F506" s="512"/>
      <c r="G506" s="512"/>
      <c r="H506" s="512"/>
      <c r="I506" s="512"/>
      <c r="J506" s="512"/>
      <c r="K506" s="512"/>
      <c r="L506" s="512"/>
      <c r="M506" s="512"/>
      <c r="N506" s="512"/>
      <c r="O506" s="512"/>
      <c r="P506" s="512"/>
      <c r="Q506" s="512"/>
      <c r="R506" s="512"/>
      <c r="S506" s="512"/>
      <c r="T506" s="512"/>
      <c r="U506" s="512"/>
      <c r="V506" s="512"/>
      <c r="W506" s="512"/>
      <c r="X506" s="512"/>
      <c r="Y506" s="512"/>
      <c r="Z506" s="512"/>
      <c r="AA506" s="512"/>
    </row>
    <row r="507">
      <c r="A507" s="512"/>
      <c r="B507" s="512"/>
      <c r="C507" s="512"/>
      <c r="D507" s="512"/>
      <c r="E507" s="512"/>
      <c r="F507" s="512"/>
      <c r="G507" s="512"/>
      <c r="H507" s="512"/>
      <c r="I507" s="512"/>
      <c r="J507" s="512"/>
      <c r="K507" s="512"/>
      <c r="L507" s="512"/>
      <c r="M507" s="512"/>
      <c r="N507" s="512"/>
      <c r="O507" s="512"/>
      <c r="P507" s="512"/>
      <c r="Q507" s="512"/>
      <c r="R507" s="512"/>
      <c r="S507" s="512"/>
      <c r="T507" s="512"/>
      <c r="U507" s="512"/>
      <c r="V507" s="512"/>
      <c r="W507" s="512"/>
      <c r="X507" s="512"/>
      <c r="Y507" s="512"/>
      <c r="Z507" s="512"/>
      <c r="AA507" s="512"/>
    </row>
    <row r="508">
      <c r="A508" s="512"/>
      <c r="B508" s="512"/>
      <c r="C508" s="512"/>
      <c r="D508" s="512"/>
      <c r="E508" s="512"/>
      <c r="F508" s="512"/>
      <c r="G508" s="512"/>
      <c r="H508" s="512"/>
      <c r="I508" s="512"/>
      <c r="J508" s="512"/>
      <c r="K508" s="512"/>
      <c r="L508" s="512"/>
      <c r="M508" s="512"/>
      <c r="N508" s="512"/>
      <c r="O508" s="512"/>
      <c r="P508" s="512"/>
      <c r="Q508" s="512"/>
      <c r="R508" s="512"/>
      <c r="S508" s="512"/>
      <c r="T508" s="512"/>
      <c r="U508" s="512"/>
      <c r="V508" s="512"/>
      <c r="W508" s="512"/>
      <c r="X508" s="512"/>
      <c r="Y508" s="512"/>
      <c r="Z508" s="512"/>
      <c r="AA508" s="512"/>
    </row>
    <row r="509">
      <c r="A509" s="512"/>
      <c r="B509" s="512"/>
      <c r="C509" s="512"/>
      <c r="D509" s="512"/>
      <c r="E509" s="512"/>
      <c r="F509" s="512"/>
      <c r="G509" s="512"/>
      <c r="H509" s="512"/>
      <c r="I509" s="512"/>
      <c r="J509" s="512"/>
      <c r="K509" s="512"/>
      <c r="L509" s="512"/>
      <c r="M509" s="512"/>
      <c r="N509" s="512"/>
      <c r="O509" s="512"/>
      <c r="P509" s="512"/>
      <c r="Q509" s="512"/>
      <c r="R509" s="512"/>
      <c r="S509" s="512"/>
      <c r="T509" s="512"/>
      <c r="U509" s="512"/>
      <c r="V509" s="512"/>
      <c r="W509" s="512"/>
      <c r="X509" s="512"/>
      <c r="Y509" s="512"/>
      <c r="Z509" s="512"/>
      <c r="AA509" s="512"/>
    </row>
    <row r="510">
      <c r="A510" s="512"/>
      <c r="B510" s="512"/>
      <c r="C510" s="512"/>
      <c r="D510" s="512"/>
      <c r="E510" s="512"/>
      <c r="F510" s="512"/>
      <c r="G510" s="512"/>
      <c r="H510" s="512"/>
      <c r="I510" s="512"/>
      <c r="J510" s="512"/>
      <c r="K510" s="512"/>
      <c r="L510" s="512"/>
      <c r="M510" s="512"/>
      <c r="N510" s="512"/>
      <c r="O510" s="512"/>
      <c r="P510" s="512"/>
      <c r="Q510" s="512"/>
      <c r="R510" s="512"/>
      <c r="S510" s="512"/>
      <c r="T510" s="512"/>
      <c r="U510" s="512"/>
      <c r="V510" s="512"/>
      <c r="W510" s="512"/>
      <c r="X510" s="512"/>
      <c r="Y510" s="512"/>
      <c r="Z510" s="512"/>
      <c r="AA510" s="512"/>
    </row>
    <row r="511">
      <c r="A511" s="512"/>
      <c r="B511" s="512"/>
      <c r="C511" s="512"/>
      <c r="D511" s="512"/>
      <c r="E511" s="512"/>
      <c r="F511" s="512"/>
      <c r="G511" s="512"/>
      <c r="H511" s="512"/>
      <c r="I511" s="512"/>
      <c r="J511" s="512"/>
      <c r="K511" s="512"/>
      <c r="L511" s="512"/>
      <c r="M511" s="512"/>
      <c r="N511" s="512"/>
      <c r="O511" s="512"/>
      <c r="P511" s="512"/>
      <c r="Q511" s="512"/>
      <c r="R511" s="512"/>
      <c r="S511" s="512"/>
      <c r="T511" s="512"/>
      <c r="U511" s="512"/>
      <c r="V511" s="512"/>
      <c r="W511" s="512"/>
      <c r="X511" s="512"/>
      <c r="Y511" s="512"/>
      <c r="Z511" s="512"/>
      <c r="AA511" s="512"/>
    </row>
    <row r="512">
      <c r="A512" s="512"/>
      <c r="B512" s="512"/>
      <c r="C512" s="512"/>
      <c r="D512" s="512"/>
      <c r="E512" s="512"/>
      <c r="F512" s="512"/>
      <c r="G512" s="512"/>
      <c r="H512" s="512"/>
      <c r="I512" s="512"/>
      <c r="J512" s="512"/>
      <c r="K512" s="512"/>
      <c r="L512" s="512"/>
      <c r="M512" s="512"/>
      <c r="N512" s="512"/>
      <c r="O512" s="512"/>
      <c r="P512" s="512"/>
      <c r="Q512" s="512"/>
      <c r="R512" s="512"/>
      <c r="S512" s="512"/>
      <c r="T512" s="512"/>
      <c r="U512" s="512"/>
      <c r="V512" s="512"/>
      <c r="W512" s="512"/>
      <c r="X512" s="512"/>
      <c r="Y512" s="512"/>
      <c r="Z512" s="512"/>
      <c r="AA512" s="512"/>
    </row>
    <row r="513">
      <c r="A513" s="512"/>
      <c r="B513" s="512"/>
      <c r="C513" s="512"/>
      <c r="D513" s="512"/>
      <c r="E513" s="512"/>
      <c r="F513" s="512"/>
      <c r="G513" s="512"/>
      <c r="H513" s="512"/>
      <c r="I513" s="512"/>
      <c r="J513" s="512"/>
      <c r="K513" s="512"/>
      <c r="L513" s="512"/>
      <c r="M513" s="512"/>
      <c r="N513" s="512"/>
      <c r="O513" s="512"/>
      <c r="P513" s="512"/>
      <c r="Q513" s="512"/>
      <c r="R513" s="512"/>
      <c r="S513" s="512"/>
      <c r="T513" s="512"/>
      <c r="U513" s="512"/>
      <c r="V513" s="512"/>
      <c r="W513" s="512"/>
      <c r="X513" s="512"/>
      <c r="Y513" s="512"/>
      <c r="Z513" s="512"/>
      <c r="AA513" s="512"/>
    </row>
    <row r="514">
      <c r="A514" s="512"/>
      <c r="B514" s="512"/>
      <c r="C514" s="512"/>
      <c r="D514" s="512"/>
      <c r="E514" s="512"/>
      <c r="F514" s="512"/>
      <c r="G514" s="512"/>
      <c r="H514" s="512"/>
      <c r="I514" s="512"/>
      <c r="J514" s="512"/>
      <c r="K514" s="512"/>
      <c r="L514" s="512"/>
      <c r="M514" s="512"/>
      <c r="N514" s="512"/>
      <c r="O514" s="512"/>
      <c r="P514" s="512"/>
      <c r="Q514" s="512"/>
      <c r="R514" s="512"/>
      <c r="S514" s="512"/>
      <c r="T514" s="512"/>
      <c r="U514" s="512"/>
      <c r="V514" s="512"/>
      <c r="W514" s="512"/>
      <c r="X514" s="512"/>
      <c r="Y514" s="512"/>
      <c r="Z514" s="512"/>
      <c r="AA514" s="512"/>
    </row>
    <row r="515">
      <c r="A515" s="512"/>
      <c r="B515" s="512"/>
      <c r="C515" s="512"/>
      <c r="D515" s="512"/>
      <c r="E515" s="512"/>
      <c r="F515" s="512"/>
      <c r="G515" s="512"/>
      <c r="H515" s="512"/>
      <c r="I515" s="512"/>
      <c r="J515" s="512"/>
      <c r="K515" s="512"/>
      <c r="L515" s="512"/>
      <c r="M515" s="512"/>
      <c r="N515" s="512"/>
      <c r="O515" s="512"/>
      <c r="P515" s="512"/>
      <c r="Q515" s="512"/>
      <c r="R515" s="512"/>
      <c r="S515" s="512"/>
      <c r="T515" s="512"/>
      <c r="U515" s="512"/>
      <c r="V515" s="512"/>
      <c r="W515" s="512"/>
      <c r="X515" s="512"/>
      <c r="Y515" s="512"/>
      <c r="Z515" s="512"/>
      <c r="AA515" s="512"/>
    </row>
    <row r="516">
      <c r="A516" s="512"/>
      <c r="B516" s="512"/>
      <c r="C516" s="512"/>
      <c r="D516" s="512"/>
      <c r="E516" s="512"/>
      <c r="F516" s="512"/>
      <c r="G516" s="512"/>
      <c r="H516" s="512"/>
      <c r="I516" s="512"/>
      <c r="J516" s="512"/>
      <c r="K516" s="512"/>
      <c r="L516" s="512"/>
      <c r="M516" s="512"/>
      <c r="N516" s="512"/>
      <c r="O516" s="512"/>
      <c r="P516" s="512"/>
      <c r="Q516" s="512"/>
      <c r="R516" s="512"/>
      <c r="S516" s="512"/>
      <c r="T516" s="512"/>
      <c r="U516" s="512"/>
      <c r="V516" s="512"/>
      <c r="W516" s="512"/>
      <c r="X516" s="512"/>
      <c r="Y516" s="512"/>
      <c r="Z516" s="512"/>
      <c r="AA516" s="512"/>
    </row>
    <row r="517">
      <c r="A517" s="512"/>
      <c r="B517" s="512"/>
      <c r="C517" s="512"/>
      <c r="D517" s="512"/>
      <c r="E517" s="512"/>
      <c r="F517" s="512"/>
      <c r="G517" s="512"/>
      <c r="H517" s="512"/>
      <c r="I517" s="512"/>
      <c r="J517" s="512"/>
      <c r="K517" s="512"/>
      <c r="L517" s="512"/>
      <c r="M517" s="512"/>
      <c r="N517" s="512"/>
      <c r="O517" s="512"/>
      <c r="P517" s="512"/>
      <c r="Q517" s="512"/>
      <c r="R517" s="512"/>
      <c r="S517" s="512"/>
      <c r="T517" s="512"/>
      <c r="U517" s="512"/>
      <c r="V517" s="512"/>
      <c r="W517" s="512"/>
      <c r="X517" s="512"/>
      <c r="Y517" s="512"/>
      <c r="Z517" s="512"/>
      <c r="AA517" s="512"/>
    </row>
    <row r="518">
      <c r="A518" s="512"/>
      <c r="B518" s="512"/>
      <c r="C518" s="512"/>
      <c r="D518" s="512"/>
      <c r="E518" s="512"/>
      <c r="F518" s="512"/>
      <c r="G518" s="512"/>
      <c r="H518" s="512"/>
      <c r="I518" s="512"/>
      <c r="J518" s="512"/>
      <c r="K518" s="512"/>
      <c r="L518" s="512"/>
      <c r="M518" s="512"/>
      <c r="N518" s="512"/>
      <c r="O518" s="512"/>
      <c r="P518" s="512"/>
      <c r="Q518" s="512"/>
      <c r="R518" s="512"/>
      <c r="S518" s="512"/>
      <c r="T518" s="512"/>
      <c r="U518" s="512"/>
      <c r="V518" s="512"/>
      <c r="W518" s="512"/>
      <c r="X518" s="512"/>
      <c r="Y518" s="512"/>
      <c r="Z518" s="512"/>
      <c r="AA518" s="512"/>
    </row>
    <row r="519">
      <c r="A519" s="512"/>
      <c r="B519" s="512"/>
      <c r="C519" s="512"/>
      <c r="D519" s="512"/>
      <c r="E519" s="512"/>
      <c r="F519" s="512"/>
      <c r="G519" s="512"/>
      <c r="H519" s="512"/>
      <c r="I519" s="512"/>
      <c r="J519" s="512"/>
      <c r="K519" s="512"/>
      <c r="L519" s="512"/>
      <c r="M519" s="512"/>
      <c r="N519" s="512"/>
      <c r="O519" s="512"/>
      <c r="P519" s="512"/>
      <c r="Q519" s="512"/>
      <c r="R519" s="512"/>
      <c r="S519" s="512"/>
      <c r="T519" s="512"/>
      <c r="U519" s="512"/>
      <c r="V519" s="512"/>
      <c r="W519" s="512"/>
      <c r="X519" s="512"/>
      <c r="Y519" s="512"/>
      <c r="Z519" s="512"/>
      <c r="AA519" s="512"/>
    </row>
    <row r="520">
      <c r="A520" s="512"/>
      <c r="B520" s="512"/>
      <c r="C520" s="512"/>
      <c r="D520" s="512"/>
      <c r="E520" s="512"/>
      <c r="F520" s="512"/>
      <c r="G520" s="512"/>
      <c r="H520" s="512"/>
      <c r="I520" s="512"/>
      <c r="J520" s="512"/>
      <c r="K520" s="512"/>
      <c r="L520" s="512"/>
      <c r="M520" s="512"/>
      <c r="N520" s="512"/>
      <c r="O520" s="512"/>
      <c r="P520" s="512"/>
      <c r="Q520" s="512"/>
      <c r="R520" s="512"/>
      <c r="S520" s="512"/>
      <c r="T520" s="512"/>
      <c r="U520" s="512"/>
      <c r="V520" s="512"/>
      <c r="W520" s="512"/>
      <c r="X520" s="512"/>
      <c r="Y520" s="512"/>
      <c r="Z520" s="512"/>
      <c r="AA520" s="512"/>
    </row>
    <row r="521">
      <c r="A521" s="512"/>
      <c r="B521" s="512"/>
      <c r="C521" s="512"/>
      <c r="D521" s="512"/>
      <c r="E521" s="512"/>
      <c r="F521" s="512"/>
      <c r="G521" s="512"/>
      <c r="H521" s="512"/>
      <c r="I521" s="512"/>
      <c r="J521" s="512"/>
      <c r="K521" s="512"/>
      <c r="L521" s="512"/>
      <c r="M521" s="512"/>
      <c r="N521" s="512"/>
      <c r="O521" s="512"/>
      <c r="P521" s="512"/>
      <c r="Q521" s="512"/>
      <c r="R521" s="512"/>
      <c r="S521" s="512"/>
      <c r="T521" s="512"/>
      <c r="U521" s="512"/>
      <c r="V521" s="512"/>
      <c r="W521" s="512"/>
      <c r="X521" s="512"/>
      <c r="Y521" s="512"/>
      <c r="Z521" s="512"/>
      <c r="AA521" s="512"/>
    </row>
    <row r="522">
      <c r="A522" s="512"/>
      <c r="B522" s="512"/>
      <c r="C522" s="512"/>
      <c r="D522" s="512"/>
      <c r="E522" s="512"/>
      <c r="F522" s="512"/>
      <c r="G522" s="512"/>
      <c r="H522" s="512"/>
      <c r="I522" s="512"/>
      <c r="J522" s="512"/>
      <c r="K522" s="512"/>
      <c r="L522" s="512"/>
      <c r="M522" s="512"/>
      <c r="N522" s="512"/>
      <c r="O522" s="512"/>
      <c r="P522" s="512"/>
      <c r="Q522" s="512"/>
      <c r="R522" s="512"/>
      <c r="S522" s="512"/>
      <c r="T522" s="512"/>
      <c r="U522" s="512"/>
      <c r="V522" s="512"/>
      <c r="W522" s="512"/>
      <c r="X522" s="512"/>
      <c r="Y522" s="512"/>
      <c r="Z522" s="512"/>
      <c r="AA522" s="512"/>
    </row>
    <row r="523">
      <c r="A523" s="512"/>
      <c r="B523" s="512"/>
      <c r="C523" s="512"/>
      <c r="D523" s="512"/>
      <c r="E523" s="512"/>
      <c r="F523" s="512"/>
      <c r="G523" s="512"/>
      <c r="H523" s="512"/>
      <c r="I523" s="512"/>
      <c r="J523" s="512"/>
      <c r="K523" s="512"/>
      <c r="L523" s="512"/>
      <c r="M523" s="512"/>
      <c r="N523" s="512"/>
      <c r="O523" s="512"/>
      <c r="P523" s="512"/>
      <c r="Q523" s="512"/>
      <c r="R523" s="512"/>
      <c r="S523" s="512"/>
      <c r="T523" s="512"/>
      <c r="U523" s="512"/>
      <c r="V523" s="512"/>
      <c r="W523" s="512"/>
      <c r="X523" s="512"/>
      <c r="Y523" s="512"/>
      <c r="Z523" s="512"/>
      <c r="AA523" s="512"/>
    </row>
    <row r="524">
      <c r="A524" s="512"/>
      <c r="B524" s="512"/>
      <c r="C524" s="512"/>
      <c r="D524" s="512"/>
      <c r="E524" s="512"/>
      <c r="F524" s="512"/>
      <c r="G524" s="512"/>
      <c r="H524" s="512"/>
      <c r="I524" s="512"/>
      <c r="J524" s="512"/>
      <c r="K524" s="512"/>
      <c r="L524" s="512"/>
      <c r="M524" s="512"/>
      <c r="N524" s="512"/>
      <c r="O524" s="512"/>
      <c r="P524" s="512"/>
      <c r="Q524" s="512"/>
      <c r="R524" s="512"/>
      <c r="S524" s="512"/>
      <c r="T524" s="512"/>
      <c r="U524" s="512"/>
      <c r="V524" s="512"/>
      <c r="W524" s="512"/>
      <c r="X524" s="512"/>
      <c r="Y524" s="512"/>
      <c r="Z524" s="512"/>
      <c r="AA524" s="512"/>
    </row>
    <row r="525">
      <c r="A525" s="512"/>
      <c r="B525" s="512"/>
      <c r="C525" s="512"/>
      <c r="D525" s="512"/>
      <c r="E525" s="512"/>
      <c r="F525" s="512"/>
      <c r="G525" s="512"/>
      <c r="H525" s="512"/>
      <c r="I525" s="512"/>
      <c r="J525" s="512"/>
      <c r="K525" s="512"/>
      <c r="L525" s="512"/>
      <c r="M525" s="512"/>
      <c r="N525" s="512"/>
      <c r="O525" s="512"/>
      <c r="P525" s="512"/>
      <c r="Q525" s="512"/>
      <c r="R525" s="512"/>
      <c r="S525" s="512"/>
      <c r="T525" s="512"/>
      <c r="U525" s="512"/>
      <c r="V525" s="512"/>
      <c r="W525" s="512"/>
      <c r="X525" s="512"/>
      <c r="Y525" s="512"/>
      <c r="Z525" s="512"/>
      <c r="AA525" s="512"/>
    </row>
    <row r="526">
      <c r="A526" s="512"/>
      <c r="B526" s="512"/>
      <c r="C526" s="512"/>
      <c r="D526" s="512"/>
      <c r="E526" s="512"/>
      <c r="F526" s="512"/>
      <c r="G526" s="512"/>
      <c r="H526" s="512"/>
      <c r="I526" s="512"/>
      <c r="J526" s="512"/>
      <c r="K526" s="512"/>
      <c r="L526" s="512"/>
      <c r="M526" s="512"/>
      <c r="N526" s="512"/>
      <c r="O526" s="512"/>
      <c r="P526" s="512"/>
      <c r="Q526" s="512"/>
      <c r="R526" s="512"/>
      <c r="S526" s="512"/>
      <c r="T526" s="512"/>
      <c r="U526" s="512"/>
      <c r="V526" s="512"/>
      <c r="W526" s="512"/>
      <c r="X526" s="512"/>
      <c r="Y526" s="512"/>
      <c r="Z526" s="512"/>
      <c r="AA526" s="512"/>
    </row>
    <row r="527">
      <c r="A527" s="512"/>
      <c r="B527" s="512"/>
      <c r="C527" s="512"/>
      <c r="D527" s="512"/>
      <c r="E527" s="512"/>
      <c r="F527" s="512"/>
      <c r="G527" s="512"/>
      <c r="H527" s="512"/>
      <c r="I527" s="512"/>
      <c r="J527" s="512"/>
      <c r="K527" s="512"/>
      <c r="L527" s="512"/>
      <c r="M527" s="512"/>
      <c r="N527" s="512"/>
      <c r="O527" s="512"/>
      <c r="P527" s="512"/>
      <c r="Q527" s="512"/>
      <c r="R527" s="512"/>
      <c r="S527" s="512"/>
      <c r="T527" s="512"/>
      <c r="U527" s="512"/>
      <c r="V527" s="512"/>
      <c r="W527" s="512"/>
      <c r="X527" s="512"/>
      <c r="Y527" s="512"/>
      <c r="Z527" s="512"/>
      <c r="AA527" s="512"/>
    </row>
    <row r="528">
      <c r="A528" s="512"/>
      <c r="B528" s="512"/>
      <c r="C528" s="512"/>
      <c r="D528" s="512"/>
      <c r="E528" s="512"/>
      <c r="F528" s="512"/>
      <c r="G528" s="512"/>
      <c r="H528" s="512"/>
      <c r="I528" s="512"/>
      <c r="J528" s="512"/>
      <c r="K528" s="512"/>
      <c r="L528" s="512"/>
      <c r="M528" s="512"/>
      <c r="N528" s="512"/>
      <c r="O528" s="512"/>
      <c r="P528" s="512"/>
      <c r="Q528" s="512"/>
      <c r="R528" s="512"/>
      <c r="S528" s="512"/>
      <c r="T528" s="512"/>
      <c r="U528" s="512"/>
      <c r="V528" s="512"/>
      <c r="W528" s="512"/>
      <c r="X528" s="512"/>
      <c r="Y528" s="512"/>
      <c r="Z528" s="512"/>
      <c r="AA528" s="512"/>
    </row>
    <row r="529">
      <c r="A529" s="512"/>
      <c r="B529" s="512"/>
      <c r="C529" s="512"/>
      <c r="D529" s="512"/>
      <c r="E529" s="512"/>
      <c r="F529" s="512"/>
      <c r="G529" s="512"/>
      <c r="H529" s="512"/>
      <c r="I529" s="512"/>
      <c r="J529" s="512"/>
      <c r="K529" s="512"/>
      <c r="L529" s="512"/>
      <c r="M529" s="512"/>
      <c r="N529" s="512"/>
      <c r="O529" s="512"/>
      <c r="P529" s="512"/>
      <c r="Q529" s="512"/>
      <c r="R529" s="512"/>
      <c r="S529" s="512"/>
      <c r="T529" s="512"/>
      <c r="U529" s="512"/>
      <c r="V529" s="512"/>
      <c r="W529" s="512"/>
      <c r="X529" s="512"/>
      <c r="Y529" s="512"/>
      <c r="Z529" s="512"/>
      <c r="AA529" s="512"/>
    </row>
    <row r="530">
      <c r="A530" s="512"/>
      <c r="B530" s="512"/>
      <c r="C530" s="512"/>
      <c r="D530" s="512"/>
      <c r="E530" s="512"/>
      <c r="F530" s="512"/>
      <c r="G530" s="512"/>
      <c r="H530" s="512"/>
      <c r="I530" s="512"/>
      <c r="J530" s="512"/>
      <c r="K530" s="512"/>
      <c r="L530" s="512"/>
      <c r="M530" s="512"/>
      <c r="N530" s="512"/>
      <c r="O530" s="512"/>
      <c r="P530" s="512"/>
      <c r="Q530" s="512"/>
      <c r="R530" s="512"/>
      <c r="S530" s="512"/>
      <c r="T530" s="512"/>
      <c r="U530" s="512"/>
      <c r="V530" s="512"/>
      <c r="W530" s="512"/>
      <c r="X530" s="512"/>
      <c r="Y530" s="512"/>
      <c r="Z530" s="512"/>
      <c r="AA530" s="512"/>
    </row>
    <row r="531">
      <c r="A531" s="512"/>
      <c r="B531" s="512"/>
      <c r="C531" s="512"/>
      <c r="D531" s="512"/>
      <c r="E531" s="512"/>
      <c r="F531" s="512"/>
      <c r="G531" s="512"/>
      <c r="H531" s="512"/>
      <c r="I531" s="512"/>
      <c r="J531" s="512"/>
      <c r="K531" s="512"/>
      <c r="L531" s="512"/>
      <c r="M531" s="512"/>
      <c r="N531" s="512"/>
      <c r="O531" s="512"/>
      <c r="P531" s="512"/>
      <c r="Q531" s="512"/>
      <c r="R531" s="512"/>
      <c r="S531" s="512"/>
      <c r="T531" s="512"/>
      <c r="U531" s="512"/>
      <c r="V531" s="512"/>
      <c r="W531" s="512"/>
      <c r="X531" s="512"/>
      <c r="Y531" s="512"/>
      <c r="Z531" s="512"/>
      <c r="AA531" s="512"/>
    </row>
    <row r="532">
      <c r="A532" s="512"/>
      <c r="B532" s="512"/>
      <c r="C532" s="512"/>
      <c r="D532" s="512"/>
      <c r="E532" s="512"/>
      <c r="F532" s="512"/>
      <c r="G532" s="512"/>
      <c r="H532" s="512"/>
      <c r="I532" s="512"/>
      <c r="J532" s="512"/>
      <c r="K532" s="512"/>
      <c r="L532" s="512"/>
      <c r="M532" s="512"/>
      <c r="N532" s="512"/>
      <c r="O532" s="512"/>
      <c r="P532" s="512"/>
      <c r="Q532" s="512"/>
      <c r="R532" s="512"/>
      <c r="S532" s="512"/>
      <c r="T532" s="512"/>
      <c r="U532" s="512"/>
      <c r="V532" s="512"/>
      <c r="W532" s="512"/>
      <c r="X532" s="512"/>
      <c r="Y532" s="512"/>
      <c r="Z532" s="512"/>
      <c r="AA532" s="512"/>
    </row>
    <row r="533">
      <c r="A533" s="512"/>
      <c r="B533" s="512"/>
      <c r="C533" s="512"/>
      <c r="D533" s="512"/>
      <c r="E533" s="512"/>
      <c r="F533" s="512"/>
      <c r="G533" s="512"/>
      <c r="H533" s="512"/>
      <c r="I533" s="512"/>
      <c r="J533" s="512"/>
      <c r="K533" s="512"/>
      <c r="L533" s="512"/>
      <c r="M533" s="512"/>
      <c r="N533" s="512"/>
      <c r="O533" s="512"/>
      <c r="P533" s="512"/>
      <c r="Q533" s="512"/>
      <c r="R533" s="512"/>
      <c r="S533" s="512"/>
      <c r="T533" s="512"/>
      <c r="U533" s="512"/>
      <c r="V533" s="512"/>
      <c r="W533" s="512"/>
      <c r="X533" s="512"/>
      <c r="Y533" s="512"/>
      <c r="Z533" s="512"/>
      <c r="AA533" s="512"/>
    </row>
    <row r="534">
      <c r="A534" s="512"/>
      <c r="B534" s="512"/>
      <c r="C534" s="512"/>
      <c r="D534" s="512"/>
      <c r="E534" s="512"/>
      <c r="F534" s="512"/>
      <c r="G534" s="512"/>
      <c r="H534" s="512"/>
      <c r="I534" s="512"/>
      <c r="J534" s="512"/>
      <c r="K534" s="512"/>
      <c r="L534" s="512"/>
      <c r="M534" s="512"/>
      <c r="N534" s="512"/>
      <c r="O534" s="512"/>
      <c r="P534" s="512"/>
      <c r="Q534" s="512"/>
      <c r="R534" s="512"/>
      <c r="S534" s="512"/>
      <c r="T534" s="512"/>
      <c r="U534" s="512"/>
      <c r="V534" s="512"/>
      <c r="W534" s="512"/>
      <c r="X534" s="512"/>
      <c r="Y534" s="512"/>
      <c r="Z534" s="512"/>
      <c r="AA534" s="512"/>
    </row>
    <row r="535">
      <c r="A535" s="512"/>
      <c r="B535" s="512"/>
      <c r="C535" s="512"/>
      <c r="D535" s="512"/>
      <c r="E535" s="512"/>
      <c r="F535" s="512"/>
      <c r="G535" s="512"/>
      <c r="H535" s="512"/>
      <c r="I535" s="512"/>
      <c r="J535" s="512"/>
      <c r="K535" s="512"/>
      <c r="L535" s="512"/>
      <c r="M535" s="512"/>
      <c r="N535" s="512"/>
      <c r="O535" s="512"/>
      <c r="P535" s="512"/>
      <c r="Q535" s="512"/>
      <c r="R535" s="512"/>
      <c r="S535" s="512"/>
      <c r="T535" s="512"/>
      <c r="U535" s="512"/>
      <c r="V535" s="512"/>
      <c r="W535" s="512"/>
      <c r="X535" s="512"/>
      <c r="Y535" s="512"/>
      <c r="Z535" s="512"/>
      <c r="AA535" s="512"/>
    </row>
    <row r="536">
      <c r="A536" s="512"/>
      <c r="B536" s="512"/>
      <c r="C536" s="512"/>
      <c r="D536" s="512"/>
      <c r="E536" s="512"/>
      <c r="F536" s="512"/>
      <c r="G536" s="512"/>
      <c r="H536" s="512"/>
      <c r="I536" s="512"/>
      <c r="J536" s="512"/>
      <c r="K536" s="512"/>
      <c r="L536" s="512"/>
      <c r="M536" s="512"/>
      <c r="N536" s="512"/>
      <c r="O536" s="512"/>
      <c r="P536" s="512"/>
      <c r="Q536" s="512"/>
      <c r="R536" s="512"/>
      <c r="S536" s="512"/>
      <c r="T536" s="512"/>
      <c r="U536" s="512"/>
      <c r="V536" s="512"/>
      <c r="W536" s="512"/>
      <c r="X536" s="512"/>
      <c r="Y536" s="512"/>
      <c r="Z536" s="512"/>
      <c r="AA536" s="512"/>
    </row>
    <row r="537">
      <c r="A537" s="512"/>
      <c r="B537" s="512"/>
      <c r="C537" s="512"/>
      <c r="D537" s="512"/>
      <c r="E537" s="512"/>
      <c r="F537" s="512"/>
      <c r="G537" s="512"/>
      <c r="H537" s="512"/>
      <c r="I537" s="512"/>
      <c r="J537" s="512"/>
      <c r="K537" s="512"/>
      <c r="L537" s="512"/>
      <c r="M537" s="512"/>
      <c r="N537" s="512"/>
      <c r="O537" s="512"/>
      <c r="P537" s="512"/>
      <c r="Q537" s="512"/>
      <c r="R537" s="512"/>
      <c r="S537" s="512"/>
      <c r="T537" s="512"/>
      <c r="U537" s="512"/>
      <c r="V537" s="512"/>
      <c r="W537" s="512"/>
      <c r="X537" s="512"/>
      <c r="Y537" s="512"/>
      <c r="Z537" s="512"/>
      <c r="AA537" s="512"/>
    </row>
    <row r="538">
      <c r="A538" s="512"/>
      <c r="B538" s="512"/>
      <c r="C538" s="512"/>
      <c r="D538" s="512"/>
      <c r="E538" s="512"/>
      <c r="F538" s="512"/>
      <c r="G538" s="512"/>
      <c r="H538" s="512"/>
      <c r="I538" s="512"/>
      <c r="J538" s="512"/>
      <c r="K538" s="512"/>
      <c r="L538" s="512"/>
      <c r="M538" s="512"/>
      <c r="N538" s="512"/>
      <c r="O538" s="512"/>
      <c r="P538" s="512"/>
      <c r="Q538" s="512"/>
      <c r="R538" s="512"/>
      <c r="S538" s="512"/>
      <c r="T538" s="512"/>
      <c r="U538" s="512"/>
      <c r="V538" s="512"/>
      <c r="W538" s="512"/>
      <c r="X538" s="512"/>
      <c r="Y538" s="512"/>
      <c r="Z538" s="512"/>
      <c r="AA538" s="512"/>
    </row>
    <row r="539">
      <c r="A539" s="512"/>
      <c r="B539" s="512"/>
      <c r="C539" s="512"/>
      <c r="D539" s="512"/>
      <c r="E539" s="512"/>
      <c r="F539" s="512"/>
      <c r="G539" s="512"/>
      <c r="H539" s="512"/>
      <c r="I539" s="512"/>
      <c r="J539" s="512"/>
      <c r="K539" s="512"/>
      <c r="L539" s="512"/>
      <c r="M539" s="512"/>
      <c r="N539" s="512"/>
      <c r="O539" s="512"/>
      <c r="P539" s="512"/>
      <c r="Q539" s="512"/>
      <c r="R539" s="512"/>
      <c r="S539" s="512"/>
      <c r="T539" s="512"/>
      <c r="U539" s="512"/>
      <c r="V539" s="512"/>
      <c r="W539" s="512"/>
      <c r="X539" s="512"/>
      <c r="Y539" s="512"/>
      <c r="Z539" s="512"/>
      <c r="AA539" s="512"/>
    </row>
    <row r="540">
      <c r="A540" s="512"/>
      <c r="B540" s="512"/>
      <c r="C540" s="512"/>
      <c r="D540" s="512"/>
      <c r="E540" s="512"/>
      <c r="F540" s="512"/>
      <c r="G540" s="512"/>
      <c r="H540" s="512"/>
      <c r="I540" s="512"/>
      <c r="J540" s="512"/>
      <c r="K540" s="512"/>
      <c r="L540" s="512"/>
      <c r="M540" s="512"/>
      <c r="N540" s="512"/>
      <c r="O540" s="512"/>
      <c r="P540" s="512"/>
      <c r="Q540" s="512"/>
      <c r="R540" s="512"/>
      <c r="S540" s="512"/>
      <c r="T540" s="512"/>
      <c r="U540" s="512"/>
      <c r="V540" s="512"/>
      <c r="W540" s="512"/>
      <c r="X540" s="512"/>
      <c r="Y540" s="512"/>
      <c r="Z540" s="512"/>
      <c r="AA540" s="512"/>
    </row>
    <row r="541">
      <c r="A541" s="512"/>
      <c r="B541" s="512"/>
      <c r="C541" s="512"/>
      <c r="D541" s="512"/>
      <c r="E541" s="512"/>
      <c r="F541" s="512"/>
      <c r="G541" s="512"/>
      <c r="H541" s="512"/>
      <c r="I541" s="512"/>
      <c r="J541" s="512"/>
      <c r="K541" s="512"/>
      <c r="L541" s="512"/>
      <c r="M541" s="512"/>
      <c r="N541" s="512"/>
      <c r="O541" s="512"/>
      <c r="P541" s="512"/>
      <c r="Q541" s="512"/>
      <c r="R541" s="512"/>
      <c r="S541" s="512"/>
      <c r="T541" s="512"/>
      <c r="U541" s="512"/>
      <c r="V541" s="512"/>
      <c r="W541" s="512"/>
      <c r="X541" s="512"/>
      <c r="Y541" s="512"/>
      <c r="Z541" s="512"/>
      <c r="AA541" s="512"/>
    </row>
    <row r="542">
      <c r="A542" s="512"/>
      <c r="B542" s="512"/>
      <c r="C542" s="512"/>
      <c r="D542" s="512"/>
      <c r="E542" s="512"/>
      <c r="F542" s="512"/>
      <c r="G542" s="512"/>
      <c r="H542" s="512"/>
      <c r="I542" s="512"/>
      <c r="J542" s="512"/>
      <c r="K542" s="512"/>
      <c r="L542" s="512"/>
      <c r="M542" s="512"/>
      <c r="N542" s="512"/>
      <c r="O542" s="512"/>
      <c r="P542" s="512"/>
      <c r="Q542" s="512"/>
      <c r="R542" s="512"/>
      <c r="S542" s="512"/>
      <c r="T542" s="512"/>
      <c r="U542" s="512"/>
      <c r="V542" s="512"/>
      <c r="W542" s="512"/>
      <c r="X542" s="512"/>
      <c r="Y542" s="512"/>
      <c r="Z542" s="512"/>
      <c r="AA542" s="512"/>
    </row>
    <row r="543">
      <c r="A543" s="512"/>
      <c r="B543" s="512"/>
      <c r="C543" s="512"/>
      <c r="D543" s="512"/>
      <c r="E543" s="512"/>
      <c r="F543" s="512"/>
      <c r="G543" s="512"/>
      <c r="H543" s="512"/>
      <c r="I543" s="512"/>
      <c r="J543" s="512"/>
      <c r="K543" s="512"/>
      <c r="L543" s="512"/>
      <c r="M543" s="512"/>
      <c r="N543" s="512"/>
      <c r="O543" s="512"/>
      <c r="P543" s="512"/>
      <c r="Q543" s="512"/>
      <c r="R543" s="512"/>
      <c r="S543" s="512"/>
      <c r="T543" s="512"/>
      <c r="U543" s="512"/>
      <c r="V543" s="512"/>
      <c r="W543" s="512"/>
      <c r="X543" s="512"/>
      <c r="Y543" s="512"/>
      <c r="Z543" s="512"/>
      <c r="AA543" s="512"/>
    </row>
    <row r="544">
      <c r="A544" s="512"/>
      <c r="B544" s="512"/>
      <c r="C544" s="512"/>
      <c r="D544" s="512"/>
      <c r="E544" s="512"/>
      <c r="F544" s="512"/>
      <c r="G544" s="512"/>
      <c r="H544" s="512"/>
      <c r="I544" s="512"/>
      <c r="J544" s="512"/>
      <c r="K544" s="512"/>
      <c r="L544" s="512"/>
      <c r="M544" s="512"/>
      <c r="N544" s="512"/>
      <c r="O544" s="512"/>
      <c r="P544" s="512"/>
      <c r="Q544" s="512"/>
      <c r="R544" s="512"/>
      <c r="S544" s="512"/>
      <c r="T544" s="512"/>
      <c r="U544" s="512"/>
      <c r="V544" s="512"/>
      <c r="W544" s="512"/>
      <c r="X544" s="512"/>
      <c r="Y544" s="512"/>
      <c r="Z544" s="512"/>
      <c r="AA544" s="512"/>
    </row>
    <row r="545">
      <c r="A545" s="512"/>
      <c r="B545" s="512"/>
      <c r="C545" s="512"/>
      <c r="D545" s="512"/>
      <c r="E545" s="512"/>
      <c r="F545" s="512"/>
      <c r="G545" s="512"/>
      <c r="H545" s="512"/>
      <c r="I545" s="512"/>
      <c r="J545" s="512"/>
      <c r="K545" s="512"/>
      <c r="L545" s="512"/>
      <c r="M545" s="512"/>
      <c r="N545" s="512"/>
      <c r="O545" s="512"/>
      <c r="P545" s="512"/>
      <c r="Q545" s="512"/>
      <c r="R545" s="512"/>
      <c r="S545" s="512"/>
      <c r="T545" s="512"/>
      <c r="U545" s="512"/>
      <c r="V545" s="512"/>
      <c r="W545" s="512"/>
      <c r="X545" s="512"/>
      <c r="Y545" s="512"/>
      <c r="Z545" s="512"/>
      <c r="AA545" s="512"/>
    </row>
    <row r="546">
      <c r="A546" s="512"/>
      <c r="B546" s="512"/>
      <c r="C546" s="512"/>
      <c r="D546" s="512"/>
      <c r="E546" s="512"/>
      <c r="F546" s="512"/>
      <c r="G546" s="512"/>
      <c r="H546" s="512"/>
      <c r="I546" s="512"/>
      <c r="J546" s="512"/>
      <c r="K546" s="512"/>
      <c r="L546" s="512"/>
      <c r="M546" s="512"/>
      <c r="N546" s="512"/>
      <c r="O546" s="512"/>
      <c r="P546" s="512"/>
      <c r="Q546" s="512"/>
      <c r="R546" s="512"/>
      <c r="S546" s="512"/>
      <c r="T546" s="512"/>
      <c r="U546" s="512"/>
      <c r="V546" s="512"/>
      <c r="W546" s="512"/>
      <c r="X546" s="512"/>
      <c r="Y546" s="512"/>
      <c r="Z546" s="512"/>
      <c r="AA546" s="512"/>
    </row>
    <row r="547">
      <c r="A547" s="512"/>
      <c r="B547" s="512"/>
      <c r="C547" s="512"/>
      <c r="D547" s="512"/>
      <c r="E547" s="512"/>
      <c r="F547" s="512"/>
      <c r="G547" s="512"/>
      <c r="H547" s="512"/>
      <c r="I547" s="512"/>
      <c r="J547" s="512"/>
      <c r="K547" s="512"/>
      <c r="L547" s="512"/>
      <c r="M547" s="512"/>
      <c r="N547" s="512"/>
      <c r="O547" s="512"/>
      <c r="P547" s="512"/>
      <c r="Q547" s="512"/>
      <c r="R547" s="512"/>
      <c r="S547" s="512"/>
      <c r="T547" s="512"/>
      <c r="U547" s="512"/>
      <c r="V547" s="512"/>
      <c r="W547" s="512"/>
      <c r="X547" s="512"/>
      <c r="Y547" s="512"/>
      <c r="Z547" s="512"/>
      <c r="AA547" s="512"/>
    </row>
    <row r="548">
      <c r="A548" s="512"/>
      <c r="B548" s="512"/>
      <c r="C548" s="512"/>
      <c r="D548" s="512"/>
      <c r="E548" s="512"/>
      <c r="F548" s="512"/>
      <c r="G548" s="512"/>
      <c r="H548" s="512"/>
      <c r="I548" s="512"/>
      <c r="J548" s="512"/>
      <c r="K548" s="512"/>
      <c r="L548" s="512"/>
      <c r="M548" s="512"/>
      <c r="N548" s="512"/>
      <c r="O548" s="512"/>
      <c r="P548" s="512"/>
      <c r="Q548" s="512"/>
      <c r="R548" s="512"/>
      <c r="S548" s="512"/>
      <c r="T548" s="512"/>
      <c r="U548" s="512"/>
      <c r="V548" s="512"/>
      <c r="W548" s="512"/>
      <c r="X548" s="512"/>
      <c r="Y548" s="512"/>
      <c r="Z548" s="512"/>
      <c r="AA548" s="512"/>
    </row>
    <row r="549">
      <c r="A549" s="512"/>
      <c r="B549" s="512"/>
      <c r="C549" s="512"/>
      <c r="D549" s="512"/>
      <c r="E549" s="512"/>
      <c r="F549" s="512"/>
      <c r="G549" s="512"/>
      <c r="H549" s="512"/>
      <c r="I549" s="512"/>
      <c r="J549" s="512"/>
      <c r="K549" s="512"/>
      <c r="L549" s="512"/>
      <c r="M549" s="512"/>
      <c r="N549" s="512"/>
      <c r="O549" s="512"/>
      <c r="P549" s="512"/>
      <c r="Q549" s="512"/>
      <c r="R549" s="512"/>
      <c r="S549" s="512"/>
      <c r="T549" s="512"/>
      <c r="U549" s="512"/>
      <c r="V549" s="512"/>
      <c r="W549" s="512"/>
      <c r="X549" s="512"/>
      <c r="Y549" s="512"/>
      <c r="Z549" s="512"/>
      <c r="AA549" s="512"/>
    </row>
    <row r="550">
      <c r="A550" s="512"/>
      <c r="B550" s="512"/>
      <c r="C550" s="512"/>
      <c r="D550" s="512"/>
      <c r="E550" s="512"/>
      <c r="F550" s="512"/>
      <c r="G550" s="512"/>
      <c r="H550" s="512"/>
      <c r="I550" s="512"/>
      <c r="J550" s="512"/>
      <c r="K550" s="512"/>
      <c r="L550" s="512"/>
      <c r="M550" s="512"/>
      <c r="N550" s="512"/>
      <c r="O550" s="512"/>
      <c r="P550" s="512"/>
      <c r="Q550" s="512"/>
      <c r="R550" s="512"/>
      <c r="S550" s="512"/>
      <c r="T550" s="512"/>
      <c r="U550" s="512"/>
      <c r="V550" s="512"/>
      <c r="W550" s="512"/>
      <c r="X550" s="512"/>
      <c r="Y550" s="512"/>
      <c r="Z550" s="512"/>
      <c r="AA550" s="512"/>
    </row>
    <row r="551">
      <c r="A551" s="512"/>
      <c r="B551" s="512"/>
      <c r="C551" s="512"/>
      <c r="D551" s="512"/>
      <c r="E551" s="512"/>
      <c r="F551" s="512"/>
      <c r="G551" s="512"/>
      <c r="H551" s="512"/>
      <c r="I551" s="512"/>
      <c r="J551" s="512"/>
      <c r="K551" s="512"/>
      <c r="L551" s="512"/>
      <c r="M551" s="512"/>
      <c r="N551" s="512"/>
      <c r="O551" s="512"/>
      <c r="P551" s="512"/>
      <c r="Q551" s="512"/>
      <c r="R551" s="512"/>
      <c r="S551" s="512"/>
      <c r="T551" s="512"/>
      <c r="U551" s="512"/>
      <c r="V551" s="512"/>
      <c r="W551" s="512"/>
      <c r="X551" s="512"/>
      <c r="Y551" s="512"/>
      <c r="Z551" s="512"/>
      <c r="AA551" s="512"/>
    </row>
    <row r="552">
      <c r="A552" s="512"/>
      <c r="B552" s="512"/>
      <c r="C552" s="512"/>
      <c r="D552" s="512"/>
      <c r="E552" s="512"/>
      <c r="F552" s="512"/>
      <c r="G552" s="512"/>
      <c r="H552" s="512"/>
      <c r="I552" s="512"/>
      <c r="J552" s="512"/>
      <c r="K552" s="512"/>
      <c r="L552" s="512"/>
      <c r="M552" s="512"/>
      <c r="N552" s="512"/>
      <c r="O552" s="512"/>
      <c r="P552" s="512"/>
      <c r="Q552" s="512"/>
      <c r="R552" s="512"/>
      <c r="S552" s="512"/>
      <c r="T552" s="512"/>
      <c r="U552" s="512"/>
      <c r="V552" s="512"/>
      <c r="W552" s="512"/>
      <c r="X552" s="512"/>
      <c r="Y552" s="512"/>
      <c r="Z552" s="512"/>
      <c r="AA552" s="512"/>
    </row>
    <row r="553">
      <c r="A553" s="512"/>
      <c r="B553" s="512"/>
      <c r="C553" s="512"/>
      <c r="D553" s="512"/>
      <c r="E553" s="512"/>
      <c r="F553" s="512"/>
      <c r="G553" s="512"/>
      <c r="H553" s="512"/>
      <c r="I553" s="512"/>
      <c r="J553" s="512"/>
      <c r="K553" s="512"/>
      <c r="L553" s="512"/>
      <c r="M553" s="512"/>
      <c r="N553" s="512"/>
      <c r="O553" s="512"/>
      <c r="P553" s="512"/>
      <c r="Q553" s="512"/>
      <c r="R553" s="512"/>
      <c r="S553" s="512"/>
      <c r="T553" s="512"/>
      <c r="U553" s="512"/>
      <c r="V553" s="512"/>
      <c r="W553" s="512"/>
      <c r="X553" s="512"/>
      <c r="Y553" s="512"/>
      <c r="Z553" s="512"/>
      <c r="AA553" s="512"/>
    </row>
    <row r="554">
      <c r="A554" s="512"/>
      <c r="B554" s="512"/>
      <c r="C554" s="512"/>
      <c r="D554" s="512"/>
      <c r="E554" s="512"/>
      <c r="F554" s="512"/>
      <c r="G554" s="512"/>
      <c r="H554" s="512"/>
      <c r="I554" s="512"/>
      <c r="J554" s="512"/>
      <c r="K554" s="512"/>
      <c r="L554" s="512"/>
      <c r="M554" s="512"/>
      <c r="N554" s="512"/>
      <c r="O554" s="512"/>
      <c r="P554" s="512"/>
      <c r="Q554" s="512"/>
      <c r="R554" s="512"/>
      <c r="S554" s="512"/>
      <c r="T554" s="512"/>
      <c r="U554" s="512"/>
      <c r="V554" s="512"/>
      <c r="W554" s="512"/>
      <c r="X554" s="512"/>
      <c r="Y554" s="512"/>
      <c r="Z554" s="512"/>
      <c r="AA554" s="512"/>
    </row>
    <row r="555">
      <c r="A555" s="512"/>
      <c r="B555" s="512"/>
      <c r="C555" s="512"/>
      <c r="D555" s="512"/>
      <c r="E555" s="512"/>
      <c r="F555" s="512"/>
      <c r="G555" s="512"/>
      <c r="H555" s="512"/>
      <c r="I555" s="512"/>
      <c r="J555" s="512"/>
      <c r="K555" s="512"/>
      <c r="L555" s="512"/>
      <c r="M555" s="512"/>
      <c r="N555" s="512"/>
      <c r="O555" s="512"/>
      <c r="P555" s="512"/>
      <c r="Q555" s="512"/>
      <c r="R555" s="512"/>
      <c r="S555" s="512"/>
      <c r="T555" s="512"/>
      <c r="U555" s="512"/>
      <c r="V555" s="512"/>
      <c r="W555" s="512"/>
      <c r="X555" s="512"/>
      <c r="Y555" s="512"/>
      <c r="Z555" s="512"/>
      <c r="AA555" s="512"/>
    </row>
    <row r="556">
      <c r="A556" s="512"/>
      <c r="B556" s="512"/>
      <c r="C556" s="512"/>
      <c r="D556" s="512"/>
      <c r="E556" s="512"/>
      <c r="F556" s="512"/>
      <c r="G556" s="512"/>
      <c r="H556" s="512"/>
      <c r="I556" s="512"/>
      <c r="J556" s="512"/>
      <c r="K556" s="512"/>
      <c r="L556" s="512"/>
      <c r="M556" s="512"/>
      <c r="N556" s="512"/>
      <c r="O556" s="512"/>
      <c r="P556" s="512"/>
      <c r="Q556" s="512"/>
      <c r="R556" s="512"/>
      <c r="S556" s="512"/>
      <c r="T556" s="512"/>
      <c r="U556" s="512"/>
      <c r="V556" s="512"/>
      <c r="W556" s="512"/>
      <c r="X556" s="512"/>
      <c r="Y556" s="512"/>
      <c r="Z556" s="512"/>
      <c r="AA556" s="512"/>
    </row>
    <row r="557">
      <c r="A557" s="512"/>
      <c r="B557" s="512"/>
      <c r="C557" s="512"/>
      <c r="D557" s="512"/>
      <c r="E557" s="512"/>
      <c r="F557" s="512"/>
      <c r="G557" s="512"/>
      <c r="H557" s="512"/>
      <c r="I557" s="512"/>
      <c r="J557" s="512"/>
      <c r="K557" s="512"/>
      <c r="L557" s="512"/>
      <c r="M557" s="512"/>
      <c r="N557" s="512"/>
      <c r="O557" s="512"/>
      <c r="P557" s="512"/>
      <c r="Q557" s="512"/>
      <c r="R557" s="512"/>
      <c r="S557" s="512"/>
      <c r="T557" s="512"/>
      <c r="U557" s="512"/>
      <c r="V557" s="512"/>
      <c r="W557" s="512"/>
      <c r="X557" s="512"/>
      <c r="Y557" s="512"/>
      <c r="Z557" s="512"/>
      <c r="AA557" s="512"/>
    </row>
    <row r="558">
      <c r="A558" s="512"/>
      <c r="B558" s="512"/>
      <c r="C558" s="512"/>
      <c r="D558" s="512"/>
      <c r="E558" s="512"/>
      <c r="F558" s="512"/>
      <c r="G558" s="512"/>
      <c r="H558" s="512"/>
      <c r="I558" s="512"/>
      <c r="J558" s="512"/>
      <c r="K558" s="512"/>
      <c r="L558" s="512"/>
      <c r="M558" s="512"/>
      <c r="N558" s="512"/>
      <c r="O558" s="512"/>
      <c r="P558" s="512"/>
      <c r="Q558" s="512"/>
      <c r="R558" s="512"/>
      <c r="S558" s="512"/>
      <c r="T558" s="512"/>
      <c r="U558" s="512"/>
      <c r="V558" s="512"/>
      <c r="W558" s="512"/>
      <c r="X558" s="512"/>
      <c r="Y558" s="512"/>
      <c r="Z558" s="512"/>
      <c r="AA558" s="512"/>
    </row>
    <row r="559">
      <c r="A559" s="512"/>
      <c r="B559" s="512"/>
      <c r="C559" s="512"/>
      <c r="D559" s="512"/>
      <c r="E559" s="512"/>
      <c r="F559" s="512"/>
      <c r="G559" s="512"/>
      <c r="H559" s="512"/>
      <c r="I559" s="512"/>
      <c r="J559" s="512"/>
      <c r="K559" s="512"/>
      <c r="L559" s="512"/>
      <c r="M559" s="512"/>
      <c r="N559" s="512"/>
      <c r="O559" s="512"/>
      <c r="P559" s="512"/>
      <c r="Q559" s="512"/>
      <c r="R559" s="512"/>
      <c r="S559" s="512"/>
      <c r="T559" s="512"/>
      <c r="U559" s="512"/>
      <c r="V559" s="512"/>
      <c r="W559" s="512"/>
      <c r="X559" s="512"/>
      <c r="Y559" s="512"/>
      <c r="Z559" s="512"/>
      <c r="AA559" s="512"/>
    </row>
    <row r="560">
      <c r="A560" s="512"/>
      <c r="B560" s="512"/>
      <c r="C560" s="512"/>
      <c r="D560" s="512"/>
      <c r="E560" s="512"/>
      <c r="F560" s="512"/>
      <c r="G560" s="512"/>
      <c r="H560" s="512"/>
      <c r="I560" s="512"/>
      <c r="J560" s="512"/>
      <c r="K560" s="512"/>
      <c r="L560" s="512"/>
      <c r="M560" s="512"/>
      <c r="N560" s="512"/>
      <c r="O560" s="512"/>
      <c r="P560" s="512"/>
      <c r="Q560" s="512"/>
      <c r="R560" s="512"/>
      <c r="S560" s="512"/>
      <c r="T560" s="512"/>
      <c r="U560" s="512"/>
      <c r="V560" s="512"/>
      <c r="W560" s="512"/>
      <c r="X560" s="512"/>
      <c r="Y560" s="512"/>
      <c r="Z560" s="512"/>
      <c r="AA560" s="512"/>
    </row>
    <row r="561">
      <c r="A561" s="512"/>
      <c r="B561" s="512"/>
      <c r="C561" s="512"/>
      <c r="D561" s="512"/>
      <c r="E561" s="512"/>
      <c r="F561" s="512"/>
      <c r="G561" s="512"/>
      <c r="H561" s="512"/>
      <c r="I561" s="512"/>
      <c r="J561" s="512"/>
      <c r="K561" s="512"/>
      <c r="L561" s="512"/>
      <c r="M561" s="512"/>
      <c r="N561" s="512"/>
      <c r="O561" s="512"/>
      <c r="P561" s="512"/>
      <c r="Q561" s="512"/>
      <c r="R561" s="512"/>
      <c r="S561" s="512"/>
      <c r="T561" s="512"/>
      <c r="U561" s="512"/>
      <c r="V561" s="512"/>
      <c r="W561" s="512"/>
      <c r="X561" s="512"/>
      <c r="Y561" s="512"/>
      <c r="Z561" s="512"/>
      <c r="AA561" s="512"/>
    </row>
    <row r="562">
      <c r="A562" s="512"/>
      <c r="B562" s="512"/>
      <c r="C562" s="512"/>
      <c r="D562" s="512"/>
      <c r="E562" s="512"/>
      <c r="F562" s="512"/>
      <c r="G562" s="512"/>
      <c r="H562" s="512"/>
      <c r="I562" s="512"/>
      <c r="J562" s="512"/>
      <c r="K562" s="512"/>
      <c r="L562" s="512"/>
      <c r="M562" s="512"/>
      <c r="N562" s="512"/>
      <c r="O562" s="512"/>
      <c r="P562" s="512"/>
      <c r="Q562" s="512"/>
      <c r="R562" s="512"/>
      <c r="S562" s="512"/>
      <c r="T562" s="512"/>
      <c r="U562" s="512"/>
      <c r="V562" s="512"/>
      <c r="W562" s="512"/>
      <c r="X562" s="512"/>
      <c r="Y562" s="512"/>
      <c r="Z562" s="512"/>
      <c r="AA562" s="512"/>
    </row>
    <row r="563">
      <c r="A563" s="512"/>
      <c r="B563" s="512"/>
      <c r="C563" s="512"/>
      <c r="D563" s="512"/>
      <c r="E563" s="512"/>
      <c r="F563" s="512"/>
      <c r="G563" s="512"/>
      <c r="H563" s="512"/>
      <c r="I563" s="512"/>
      <c r="J563" s="512"/>
      <c r="K563" s="512"/>
      <c r="L563" s="512"/>
      <c r="M563" s="512"/>
      <c r="N563" s="512"/>
      <c r="O563" s="512"/>
      <c r="P563" s="512"/>
      <c r="Q563" s="512"/>
      <c r="R563" s="512"/>
      <c r="S563" s="512"/>
      <c r="T563" s="512"/>
      <c r="U563" s="512"/>
      <c r="V563" s="512"/>
      <c r="W563" s="512"/>
      <c r="X563" s="512"/>
      <c r="Y563" s="512"/>
      <c r="Z563" s="512"/>
      <c r="AA563" s="512"/>
    </row>
    <row r="564">
      <c r="A564" s="512"/>
      <c r="B564" s="512"/>
      <c r="C564" s="512"/>
      <c r="D564" s="512"/>
      <c r="E564" s="512"/>
      <c r="F564" s="512"/>
      <c r="G564" s="512"/>
      <c r="H564" s="512"/>
      <c r="I564" s="512"/>
      <c r="J564" s="512"/>
      <c r="K564" s="512"/>
      <c r="L564" s="512"/>
      <c r="M564" s="512"/>
      <c r="N564" s="512"/>
      <c r="O564" s="512"/>
      <c r="P564" s="512"/>
      <c r="Q564" s="512"/>
      <c r="R564" s="512"/>
      <c r="S564" s="512"/>
      <c r="T564" s="512"/>
      <c r="U564" s="512"/>
      <c r="V564" s="512"/>
      <c r="W564" s="512"/>
      <c r="X564" s="512"/>
      <c r="Y564" s="512"/>
      <c r="Z564" s="512"/>
      <c r="AA564" s="512"/>
    </row>
    <row r="565">
      <c r="A565" s="512"/>
      <c r="B565" s="512"/>
      <c r="C565" s="512"/>
      <c r="D565" s="512"/>
      <c r="E565" s="512"/>
      <c r="F565" s="512"/>
      <c r="G565" s="512"/>
      <c r="H565" s="512"/>
      <c r="I565" s="512"/>
      <c r="J565" s="512"/>
      <c r="K565" s="512"/>
      <c r="L565" s="512"/>
      <c r="M565" s="512"/>
      <c r="N565" s="512"/>
      <c r="O565" s="512"/>
      <c r="P565" s="512"/>
      <c r="Q565" s="512"/>
      <c r="R565" s="512"/>
      <c r="S565" s="512"/>
      <c r="T565" s="512"/>
      <c r="U565" s="512"/>
      <c r="V565" s="512"/>
      <c r="W565" s="512"/>
      <c r="X565" s="512"/>
      <c r="Y565" s="512"/>
      <c r="Z565" s="512"/>
      <c r="AA565" s="512"/>
    </row>
    <row r="566">
      <c r="A566" s="512"/>
      <c r="B566" s="512"/>
      <c r="C566" s="512"/>
      <c r="D566" s="512"/>
      <c r="E566" s="512"/>
      <c r="F566" s="512"/>
      <c r="G566" s="512"/>
      <c r="H566" s="512"/>
      <c r="I566" s="512"/>
      <c r="J566" s="512"/>
      <c r="K566" s="512"/>
      <c r="L566" s="512"/>
      <c r="M566" s="512"/>
      <c r="N566" s="512"/>
      <c r="O566" s="512"/>
      <c r="P566" s="512"/>
      <c r="Q566" s="512"/>
      <c r="R566" s="512"/>
      <c r="S566" s="512"/>
      <c r="T566" s="512"/>
      <c r="U566" s="512"/>
      <c r="V566" s="512"/>
      <c r="W566" s="512"/>
      <c r="X566" s="512"/>
      <c r="Y566" s="512"/>
      <c r="Z566" s="512"/>
      <c r="AA566" s="512"/>
    </row>
    <row r="567">
      <c r="A567" s="512"/>
      <c r="B567" s="512"/>
      <c r="C567" s="512"/>
      <c r="D567" s="512"/>
      <c r="E567" s="512"/>
      <c r="F567" s="512"/>
      <c r="G567" s="512"/>
      <c r="H567" s="512"/>
      <c r="I567" s="512"/>
      <c r="J567" s="512"/>
      <c r="K567" s="512"/>
      <c r="L567" s="512"/>
      <c r="M567" s="512"/>
      <c r="N567" s="512"/>
      <c r="O567" s="512"/>
      <c r="P567" s="512"/>
      <c r="Q567" s="512"/>
      <c r="R567" s="512"/>
      <c r="S567" s="512"/>
      <c r="T567" s="512"/>
      <c r="U567" s="512"/>
      <c r="V567" s="512"/>
      <c r="W567" s="512"/>
      <c r="X567" s="512"/>
      <c r="Y567" s="512"/>
      <c r="Z567" s="512"/>
      <c r="AA567" s="512"/>
    </row>
    <row r="568">
      <c r="A568" s="512"/>
      <c r="B568" s="512"/>
      <c r="C568" s="512"/>
      <c r="D568" s="512"/>
      <c r="E568" s="512"/>
      <c r="F568" s="512"/>
      <c r="G568" s="512"/>
      <c r="H568" s="512"/>
      <c r="I568" s="512"/>
      <c r="J568" s="512"/>
      <c r="K568" s="512"/>
      <c r="L568" s="512"/>
      <c r="M568" s="512"/>
      <c r="N568" s="512"/>
      <c r="O568" s="512"/>
      <c r="P568" s="512"/>
      <c r="Q568" s="512"/>
      <c r="R568" s="512"/>
      <c r="S568" s="512"/>
      <c r="T568" s="512"/>
      <c r="U568" s="512"/>
      <c r="V568" s="512"/>
      <c r="W568" s="512"/>
      <c r="X568" s="512"/>
      <c r="Y568" s="512"/>
      <c r="Z568" s="512"/>
      <c r="AA568" s="512"/>
    </row>
    <row r="569">
      <c r="A569" s="512"/>
      <c r="B569" s="512"/>
      <c r="C569" s="512"/>
      <c r="D569" s="512"/>
      <c r="E569" s="512"/>
      <c r="F569" s="512"/>
      <c r="G569" s="512"/>
      <c r="H569" s="512"/>
      <c r="I569" s="512"/>
      <c r="J569" s="512"/>
      <c r="K569" s="512"/>
      <c r="L569" s="512"/>
      <c r="M569" s="512"/>
      <c r="N569" s="512"/>
      <c r="O569" s="512"/>
      <c r="P569" s="512"/>
      <c r="Q569" s="512"/>
      <c r="R569" s="512"/>
      <c r="S569" s="512"/>
      <c r="T569" s="512"/>
      <c r="U569" s="512"/>
      <c r="V569" s="512"/>
      <c r="W569" s="512"/>
      <c r="X569" s="512"/>
      <c r="Y569" s="512"/>
      <c r="Z569" s="512"/>
      <c r="AA569" s="512"/>
    </row>
    <row r="570">
      <c r="A570" s="512"/>
      <c r="B570" s="512"/>
      <c r="C570" s="512"/>
      <c r="D570" s="512"/>
      <c r="E570" s="512"/>
      <c r="F570" s="512"/>
      <c r="G570" s="512"/>
      <c r="H570" s="512"/>
      <c r="I570" s="512"/>
      <c r="J570" s="512"/>
      <c r="K570" s="512"/>
      <c r="L570" s="512"/>
      <c r="M570" s="512"/>
      <c r="N570" s="512"/>
      <c r="O570" s="512"/>
      <c r="P570" s="512"/>
      <c r="Q570" s="512"/>
      <c r="R570" s="512"/>
      <c r="S570" s="512"/>
      <c r="T570" s="512"/>
      <c r="U570" s="512"/>
      <c r="V570" s="512"/>
      <c r="W570" s="512"/>
      <c r="X570" s="512"/>
      <c r="Y570" s="512"/>
      <c r="Z570" s="512"/>
      <c r="AA570" s="512"/>
    </row>
    <row r="571">
      <c r="A571" s="512"/>
      <c r="B571" s="512"/>
      <c r="C571" s="512"/>
      <c r="D571" s="512"/>
      <c r="E571" s="512"/>
      <c r="F571" s="512"/>
      <c r="G571" s="512"/>
      <c r="H571" s="512"/>
      <c r="I571" s="512"/>
      <c r="J571" s="512"/>
      <c r="K571" s="512"/>
      <c r="L571" s="512"/>
      <c r="M571" s="512"/>
      <c r="N571" s="512"/>
      <c r="O571" s="512"/>
      <c r="P571" s="512"/>
      <c r="Q571" s="512"/>
      <c r="R571" s="512"/>
      <c r="S571" s="512"/>
      <c r="T571" s="512"/>
      <c r="U571" s="512"/>
      <c r="V571" s="512"/>
      <c r="W571" s="512"/>
      <c r="X571" s="512"/>
      <c r="Y571" s="512"/>
      <c r="Z571" s="512"/>
      <c r="AA571" s="512"/>
    </row>
    <row r="572">
      <c r="A572" s="512"/>
      <c r="B572" s="512"/>
      <c r="C572" s="512"/>
      <c r="D572" s="512"/>
      <c r="E572" s="512"/>
      <c r="F572" s="512"/>
      <c r="G572" s="512"/>
      <c r="H572" s="512"/>
      <c r="I572" s="512"/>
      <c r="J572" s="512"/>
      <c r="K572" s="512"/>
      <c r="L572" s="512"/>
      <c r="M572" s="512"/>
      <c r="N572" s="512"/>
      <c r="O572" s="512"/>
      <c r="P572" s="512"/>
      <c r="Q572" s="512"/>
      <c r="R572" s="512"/>
      <c r="S572" s="512"/>
      <c r="T572" s="512"/>
      <c r="U572" s="512"/>
      <c r="V572" s="512"/>
      <c r="W572" s="512"/>
      <c r="X572" s="512"/>
      <c r="Y572" s="512"/>
      <c r="Z572" s="512"/>
      <c r="AA572" s="512"/>
    </row>
    <row r="573">
      <c r="A573" s="512"/>
      <c r="B573" s="512"/>
      <c r="C573" s="512"/>
      <c r="D573" s="512"/>
      <c r="E573" s="512"/>
      <c r="F573" s="512"/>
      <c r="G573" s="512"/>
      <c r="H573" s="512"/>
      <c r="I573" s="512"/>
      <c r="J573" s="512"/>
      <c r="K573" s="512"/>
      <c r="L573" s="512"/>
      <c r="M573" s="512"/>
      <c r="N573" s="512"/>
      <c r="O573" s="512"/>
      <c r="P573" s="512"/>
      <c r="Q573" s="512"/>
      <c r="R573" s="512"/>
      <c r="S573" s="512"/>
      <c r="T573" s="512"/>
      <c r="U573" s="512"/>
      <c r="V573" s="512"/>
      <c r="W573" s="512"/>
      <c r="X573" s="512"/>
      <c r="Y573" s="512"/>
      <c r="Z573" s="512"/>
      <c r="AA573" s="512"/>
    </row>
    <row r="574">
      <c r="A574" s="512"/>
      <c r="B574" s="512"/>
      <c r="C574" s="512"/>
      <c r="D574" s="512"/>
      <c r="E574" s="512"/>
      <c r="F574" s="512"/>
      <c r="G574" s="512"/>
      <c r="H574" s="512"/>
      <c r="I574" s="512"/>
      <c r="J574" s="512"/>
      <c r="K574" s="512"/>
      <c r="L574" s="512"/>
      <c r="M574" s="512"/>
      <c r="N574" s="512"/>
      <c r="O574" s="512"/>
      <c r="P574" s="512"/>
      <c r="Q574" s="512"/>
      <c r="R574" s="512"/>
      <c r="S574" s="512"/>
      <c r="T574" s="512"/>
      <c r="U574" s="512"/>
      <c r="V574" s="512"/>
      <c r="W574" s="512"/>
      <c r="X574" s="512"/>
      <c r="Y574" s="512"/>
      <c r="Z574" s="512"/>
      <c r="AA574" s="512"/>
    </row>
    <row r="575">
      <c r="A575" s="512"/>
      <c r="B575" s="512"/>
      <c r="C575" s="512"/>
      <c r="D575" s="512"/>
      <c r="E575" s="512"/>
      <c r="F575" s="512"/>
      <c r="G575" s="512"/>
      <c r="H575" s="512"/>
      <c r="I575" s="512"/>
      <c r="J575" s="512"/>
      <c r="K575" s="512"/>
      <c r="L575" s="512"/>
      <c r="M575" s="512"/>
      <c r="N575" s="512"/>
      <c r="O575" s="512"/>
      <c r="P575" s="512"/>
      <c r="Q575" s="512"/>
      <c r="R575" s="512"/>
      <c r="S575" s="512"/>
      <c r="T575" s="512"/>
      <c r="U575" s="512"/>
      <c r="V575" s="512"/>
      <c r="W575" s="512"/>
      <c r="X575" s="512"/>
      <c r="Y575" s="512"/>
      <c r="Z575" s="512"/>
      <c r="AA575" s="512"/>
    </row>
    <row r="576">
      <c r="A576" s="512"/>
      <c r="B576" s="512"/>
      <c r="C576" s="512"/>
      <c r="D576" s="512"/>
      <c r="E576" s="512"/>
      <c r="F576" s="512"/>
      <c r="G576" s="512"/>
      <c r="H576" s="512"/>
      <c r="I576" s="512"/>
      <c r="J576" s="512"/>
      <c r="K576" s="512"/>
      <c r="L576" s="512"/>
      <c r="M576" s="512"/>
      <c r="N576" s="512"/>
      <c r="O576" s="512"/>
      <c r="P576" s="512"/>
      <c r="Q576" s="512"/>
      <c r="R576" s="512"/>
      <c r="S576" s="512"/>
      <c r="T576" s="512"/>
      <c r="U576" s="512"/>
      <c r="V576" s="512"/>
      <c r="W576" s="512"/>
      <c r="X576" s="512"/>
      <c r="Y576" s="512"/>
      <c r="Z576" s="512"/>
      <c r="AA576" s="512"/>
    </row>
    <row r="577">
      <c r="A577" s="512"/>
      <c r="B577" s="512"/>
      <c r="C577" s="512"/>
      <c r="D577" s="512"/>
      <c r="E577" s="512"/>
      <c r="F577" s="512"/>
      <c r="G577" s="512"/>
      <c r="H577" s="512"/>
      <c r="I577" s="512"/>
      <c r="J577" s="512"/>
      <c r="K577" s="512"/>
      <c r="L577" s="512"/>
      <c r="M577" s="512"/>
      <c r="N577" s="512"/>
      <c r="O577" s="512"/>
      <c r="P577" s="512"/>
      <c r="Q577" s="512"/>
      <c r="R577" s="512"/>
      <c r="S577" s="512"/>
      <c r="T577" s="512"/>
      <c r="U577" s="512"/>
      <c r="V577" s="512"/>
      <c r="W577" s="512"/>
      <c r="X577" s="512"/>
      <c r="Y577" s="512"/>
      <c r="Z577" s="512"/>
      <c r="AA577" s="512"/>
    </row>
    <row r="578">
      <c r="A578" s="512"/>
      <c r="B578" s="512"/>
      <c r="C578" s="512"/>
      <c r="D578" s="512"/>
      <c r="E578" s="512"/>
      <c r="F578" s="512"/>
      <c r="G578" s="512"/>
      <c r="H578" s="512"/>
      <c r="I578" s="512"/>
      <c r="J578" s="512"/>
      <c r="K578" s="512"/>
      <c r="L578" s="512"/>
      <c r="M578" s="512"/>
      <c r="N578" s="512"/>
      <c r="O578" s="512"/>
      <c r="P578" s="512"/>
      <c r="Q578" s="512"/>
      <c r="R578" s="512"/>
      <c r="S578" s="512"/>
      <c r="T578" s="512"/>
      <c r="U578" s="512"/>
      <c r="V578" s="512"/>
      <c r="W578" s="512"/>
      <c r="X578" s="512"/>
      <c r="Y578" s="512"/>
      <c r="Z578" s="512"/>
      <c r="AA578" s="512"/>
    </row>
    <row r="579">
      <c r="A579" s="512"/>
      <c r="B579" s="512"/>
      <c r="C579" s="512"/>
      <c r="D579" s="512"/>
      <c r="E579" s="512"/>
      <c r="F579" s="512"/>
      <c r="G579" s="512"/>
      <c r="H579" s="512"/>
      <c r="I579" s="512"/>
      <c r="J579" s="512"/>
      <c r="K579" s="512"/>
      <c r="L579" s="512"/>
      <c r="M579" s="512"/>
      <c r="N579" s="512"/>
      <c r="O579" s="512"/>
      <c r="P579" s="512"/>
      <c r="Q579" s="512"/>
      <c r="R579" s="512"/>
      <c r="S579" s="512"/>
      <c r="T579" s="512"/>
      <c r="U579" s="512"/>
      <c r="V579" s="512"/>
      <c r="W579" s="512"/>
      <c r="X579" s="512"/>
      <c r="Y579" s="512"/>
      <c r="Z579" s="512"/>
      <c r="AA579" s="512"/>
    </row>
    <row r="580">
      <c r="A580" s="512"/>
      <c r="B580" s="512"/>
      <c r="C580" s="512"/>
      <c r="D580" s="512"/>
      <c r="E580" s="512"/>
      <c r="F580" s="512"/>
      <c r="G580" s="512"/>
      <c r="H580" s="512"/>
      <c r="I580" s="512"/>
      <c r="J580" s="512"/>
      <c r="K580" s="512"/>
      <c r="L580" s="512"/>
      <c r="M580" s="512"/>
      <c r="N580" s="512"/>
      <c r="O580" s="512"/>
      <c r="P580" s="512"/>
      <c r="Q580" s="512"/>
      <c r="R580" s="512"/>
      <c r="S580" s="512"/>
      <c r="T580" s="512"/>
      <c r="U580" s="512"/>
      <c r="V580" s="512"/>
      <c r="W580" s="512"/>
      <c r="X580" s="512"/>
      <c r="Y580" s="512"/>
      <c r="Z580" s="512"/>
      <c r="AA580" s="512"/>
    </row>
    <row r="581">
      <c r="A581" s="512"/>
      <c r="B581" s="512"/>
      <c r="C581" s="512"/>
      <c r="D581" s="512"/>
      <c r="E581" s="512"/>
      <c r="F581" s="512"/>
      <c r="G581" s="512"/>
      <c r="H581" s="512"/>
      <c r="I581" s="512"/>
      <c r="J581" s="512"/>
      <c r="K581" s="512"/>
      <c r="L581" s="512"/>
      <c r="M581" s="512"/>
      <c r="N581" s="512"/>
      <c r="O581" s="512"/>
      <c r="P581" s="512"/>
      <c r="Q581" s="512"/>
      <c r="R581" s="512"/>
      <c r="S581" s="512"/>
      <c r="T581" s="512"/>
      <c r="U581" s="512"/>
      <c r="V581" s="512"/>
      <c r="W581" s="512"/>
      <c r="X581" s="512"/>
      <c r="Y581" s="512"/>
      <c r="Z581" s="512"/>
      <c r="AA581" s="512"/>
    </row>
    <row r="582">
      <c r="A582" s="512"/>
      <c r="B582" s="512"/>
      <c r="C582" s="512"/>
      <c r="D582" s="512"/>
      <c r="E582" s="512"/>
      <c r="F582" s="512"/>
      <c r="G582" s="512"/>
      <c r="H582" s="512"/>
      <c r="I582" s="512"/>
      <c r="J582" s="512"/>
      <c r="K582" s="512"/>
      <c r="L582" s="512"/>
      <c r="M582" s="512"/>
      <c r="N582" s="512"/>
      <c r="O582" s="512"/>
      <c r="P582" s="512"/>
      <c r="Q582" s="512"/>
      <c r="R582" s="512"/>
      <c r="S582" s="512"/>
      <c r="T582" s="512"/>
      <c r="U582" s="512"/>
      <c r="V582" s="512"/>
      <c r="W582" s="512"/>
      <c r="X582" s="512"/>
      <c r="Y582" s="512"/>
      <c r="Z582" s="512"/>
      <c r="AA582" s="512"/>
    </row>
    <row r="583">
      <c r="A583" s="512"/>
      <c r="B583" s="512"/>
      <c r="C583" s="512"/>
      <c r="D583" s="512"/>
      <c r="E583" s="512"/>
      <c r="F583" s="512"/>
      <c r="G583" s="512"/>
      <c r="H583" s="512"/>
      <c r="I583" s="512"/>
      <c r="J583" s="512"/>
      <c r="K583" s="512"/>
      <c r="L583" s="512"/>
      <c r="M583" s="512"/>
      <c r="N583" s="512"/>
      <c r="O583" s="512"/>
      <c r="P583" s="512"/>
      <c r="Q583" s="512"/>
      <c r="R583" s="512"/>
      <c r="S583" s="512"/>
      <c r="T583" s="512"/>
      <c r="U583" s="512"/>
      <c r="V583" s="512"/>
      <c r="W583" s="512"/>
      <c r="X583" s="512"/>
      <c r="Y583" s="512"/>
      <c r="Z583" s="512"/>
      <c r="AA583" s="512"/>
    </row>
    <row r="584">
      <c r="A584" s="512"/>
      <c r="B584" s="512"/>
      <c r="C584" s="512"/>
      <c r="D584" s="512"/>
      <c r="E584" s="512"/>
      <c r="F584" s="512"/>
      <c r="G584" s="512"/>
      <c r="H584" s="512"/>
      <c r="I584" s="512"/>
      <c r="J584" s="512"/>
      <c r="K584" s="512"/>
      <c r="L584" s="512"/>
      <c r="M584" s="512"/>
      <c r="N584" s="512"/>
      <c r="O584" s="512"/>
      <c r="P584" s="512"/>
      <c r="Q584" s="512"/>
      <c r="R584" s="512"/>
      <c r="S584" s="512"/>
      <c r="T584" s="512"/>
      <c r="U584" s="512"/>
      <c r="V584" s="512"/>
      <c r="W584" s="512"/>
      <c r="X584" s="512"/>
      <c r="Y584" s="512"/>
      <c r="Z584" s="512"/>
      <c r="AA584" s="512"/>
    </row>
    <row r="585">
      <c r="A585" s="512"/>
      <c r="B585" s="512"/>
      <c r="C585" s="512"/>
      <c r="D585" s="512"/>
      <c r="E585" s="512"/>
      <c r="F585" s="512"/>
      <c r="G585" s="512"/>
      <c r="H585" s="512"/>
      <c r="I585" s="512"/>
      <c r="J585" s="512"/>
      <c r="K585" s="512"/>
      <c r="L585" s="512"/>
      <c r="M585" s="512"/>
      <c r="N585" s="512"/>
      <c r="O585" s="512"/>
      <c r="P585" s="512"/>
      <c r="Q585" s="512"/>
      <c r="R585" s="512"/>
      <c r="S585" s="512"/>
      <c r="T585" s="512"/>
      <c r="U585" s="512"/>
      <c r="V585" s="512"/>
      <c r="W585" s="512"/>
      <c r="X585" s="512"/>
      <c r="Y585" s="512"/>
      <c r="Z585" s="512"/>
      <c r="AA585" s="512"/>
    </row>
    <row r="586">
      <c r="A586" s="512"/>
      <c r="B586" s="512"/>
      <c r="C586" s="512"/>
      <c r="D586" s="512"/>
      <c r="E586" s="512"/>
      <c r="F586" s="512"/>
      <c r="G586" s="512"/>
      <c r="H586" s="512"/>
      <c r="I586" s="512"/>
      <c r="J586" s="512"/>
      <c r="K586" s="512"/>
      <c r="L586" s="512"/>
      <c r="M586" s="512"/>
      <c r="N586" s="512"/>
      <c r="O586" s="512"/>
      <c r="P586" s="512"/>
      <c r="Q586" s="512"/>
      <c r="R586" s="512"/>
      <c r="S586" s="512"/>
      <c r="T586" s="512"/>
      <c r="U586" s="512"/>
      <c r="V586" s="512"/>
      <c r="W586" s="512"/>
      <c r="X586" s="512"/>
      <c r="Y586" s="512"/>
      <c r="Z586" s="512"/>
      <c r="AA586" s="512"/>
    </row>
    <row r="587">
      <c r="A587" s="512"/>
      <c r="B587" s="512"/>
      <c r="C587" s="512"/>
      <c r="D587" s="512"/>
      <c r="E587" s="512"/>
      <c r="F587" s="512"/>
      <c r="G587" s="512"/>
      <c r="H587" s="512"/>
      <c r="I587" s="512"/>
      <c r="J587" s="512"/>
      <c r="K587" s="512"/>
      <c r="L587" s="512"/>
      <c r="M587" s="512"/>
      <c r="N587" s="512"/>
      <c r="O587" s="512"/>
      <c r="P587" s="512"/>
      <c r="Q587" s="512"/>
      <c r="R587" s="512"/>
      <c r="S587" s="512"/>
      <c r="T587" s="512"/>
      <c r="U587" s="512"/>
      <c r="V587" s="512"/>
      <c r="W587" s="512"/>
      <c r="X587" s="512"/>
      <c r="Y587" s="512"/>
      <c r="Z587" s="512"/>
      <c r="AA587" s="512"/>
    </row>
    <row r="588">
      <c r="A588" s="512"/>
      <c r="B588" s="512"/>
      <c r="C588" s="512"/>
      <c r="D588" s="512"/>
      <c r="E588" s="512"/>
      <c r="F588" s="512"/>
      <c r="G588" s="512"/>
      <c r="H588" s="512"/>
      <c r="I588" s="512"/>
      <c r="J588" s="512"/>
      <c r="K588" s="512"/>
      <c r="L588" s="512"/>
      <c r="M588" s="512"/>
      <c r="N588" s="512"/>
      <c r="O588" s="512"/>
      <c r="P588" s="512"/>
      <c r="Q588" s="512"/>
      <c r="R588" s="512"/>
      <c r="S588" s="512"/>
      <c r="T588" s="512"/>
      <c r="U588" s="512"/>
      <c r="V588" s="512"/>
      <c r="W588" s="512"/>
      <c r="X588" s="512"/>
      <c r="Y588" s="512"/>
      <c r="Z588" s="512"/>
      <c r="AA588" s="512"/>
    </row>
    <row r="589">
      <c r="A589" s="512"/>
      <c r="B589" s="512"/>
      <c r="C589" s="512"/>
      <c r="D589" s="512"/>
      <c r="E589" s="512"/>
      <c r="F589" s="512"/>
      <c r="G589" s="512"/>
      <c r="H589" s="512"/>
      <c r="I589" s="512"/>
      <c r="J589" s="512"/>
      <c r="K589" s="512"/>
      <c r="L589" s="512"/>
      <c r="M589" s="512"/>
      <c r="N589" s="512"/>
      <c r="O589" s="512"/>
      <c r="P589" s="512"/>
      <c r="Q589" s="512"/>
      <c r="R589" s="512"/>
      <c r="S589" s="512"/>
      <c r="T589" s="512"/>
      <c r="U589" s="512"/>
      <c r="V589" s="512"/>
      <c r="W589" s="512"/>
      <c r="X589" s="512"/>
      <c r="Y589" s="512"/>
      <c r="Z589" s="512"/>
      <c r="AA589" s="512"/>
    </row>
    <row r="590">
      <c r="A590" s="512"/>
      <c r="B590" s="512"/>
      <c r="C590" s="512"/>
      <c r="D590" s="512"/>
      <c r="E590" s="512"/>
      <c r="F590" s="512"/>
      <c r="G590" s="512"/>
      <c r="H590" s="512"/>
      <c r="I590" s="512"/>
      <c r="J590" s="512"/>
      <c r="K590" s="512"/>
      <c r="L590" s="512"/>
      <c r="M590" s="512"/>
      <c r="N590" s="512"/>
      <c r="O590" s="512"/>
      <c r="P590" s="512"/>
      <c r="Q590" s="512"/>
      <c r="R590" s="512"/>
      <c r="S590" s="512"/>
      <c r="T590" s="512"/>
      <c r="U590" s="512"/>
      <c r="V590" s="512"/>
      <c r="W590" s="512"/>
      <c r="X590" s="512"/>
      <c r="Y590" s="512"/>
      <c r="Z590" s="512"/>
      <c r="AA590" s="512"/>
    </row>
    <row r="591">
      <c r="A591" s="512"/>
      <c r="B591" s="512"/>
      <c r="C591" s="512"/>
      <c r="D591" s="512"/>
      <c r="E591" s="512"/>
      <c r="F591" s="512"/>
      <c r="G591" s="512"/>
      <c r="H591" s="512"/>
      <c r="I591" s="512"/>
      <c r="J591" s="512"/>
      <c r="K591" s="512"/>
      <c r="L591" s="512"/>
      <c r="M591" s="512"/>
      <c r="N591" s="512"/>
      <c r="O591" s="512"/>
      <c r="P591" s="512"/>
      <c r="Q591" s="512"/>
      <c r="R591" s="512"/>
      <c r="S591" s="512"/>
      <c r="T591" s="512"/>
      <c r="U591" s="512"/>
      <c r="V591" s="512"/>
      <c r="W591" s="512"/>
      <c r="X591" s="512"/>
      <c r="Y591" s="512"/>
      <c r="Z591" s="512"/>
      <c r="AA591" s="512"/>
    </row>
    <row r="592">
      <c r="A592" s="512"/>
      <c r="B592" s="512"/>
      <c r="C592" s="512"/>
      <c r="D592" s="512"/>
      <c r="E592" s="512"/>
      <c r="F592" s="512"/>
      <c r="G592" s="512"/>
      <c r="H592" s="512"/>
      <c r="I592" s="512"/>
      <c r="J592" s="512"/>
      <c r="K592" s="512"/>
      <c r="L592" s="512"/>
      <c r="M592" s="512"/>
      <c r="N592" s="512"/>
      <c r="O592" s="512"/>
      <c r="P592" s="512"/>
      <c r="Q592" s="512"/>
      <c r="R592" s="512"/>
      <c r="S592" s="512"/>
      <c r="T592" s="512"/>
      <c r="U592" s="512"/>
      <c r="V592" s="512"/>
      <c r="W592" s="512"/>
      <c r="X592" s="512"/>
      <c r="Y592" s="512"/>
      <c r="Z592" s="512"/>
      <c r="AA592" s="512"/>
    </row>
    <row r="593">
      <c r="A593" s="512"/>
      <c r="B593" s="512"/>
      <c r="C593" s="512"/>
      <c r="D593" s="512"/>
      <c r="E593" s="512"/>
      <c r="F593" s="512"/>
      <c r="G593" s="512"/>
      <c r="H593" s="512"/>
      <c r="I593" s="512"/>
      <c r="J593" s="512"/>
      <c r="K593" s="512"/>
      <c r="L593" s="512"/>
      <c r="M593" s="512"/>
      <c r="N593" s="512"/>
      <c r="O593" s="512"/>
      <c r="P593" s="512"/>
      <c r="Q593" s="512"/>
      <c r="R593" s="512"/>
      <c r="S593" s="512"/>
      <c r="T593" s="512"/>
      <c r="U593" s="512"/>
      <c r="V593" s="512"/>
      <c r="W593" s="512"/>
      <c r="X593" s="512"/>
      <c r="Y593" s="512"/>
      <c r="Z593" s="512"/>
      <c r="AA593" s="512"/>
    </row>
    <row r="594">
      <c r="A594" s="512"/>
      <c r="B594" s="512"/>
      <c r="C594" s="512"/>
      <c r="D594" s="512"/>
      <c r="E594" s="512"/>
      <c r="F594" s="512"/>
      <c r="G594" s="512"/>
      <c r="H594" s="512"/>
      <c r="I594" s="512"/>
      <c r="J594" s="512"/>
      <c r="K594" s="512"/>
      <c r="L594" s="512"/>
      <c r="M594" s="512"/>
      <c r="N594" s="512"/>
      <c r="O594" s="512"/>
      <c r="P594" s="512"/>
      <c r="Q594" s="512"/>
      <c r="R594" s="512"/>
      <c r="S594" s="512"/>
      <c r="T594" s="512"/>
      <c r="U594" s="512"/>
      <c r="V594" s="512"/>
      <c r="W594" s="512"/>
      <c r="X594" s="512"/>
      <c r="Y594" s="512"/>
      <c r="Z594" s="512"/>
      <c r="AA594" s="512"/>
    </row>
    <row r="595">
      <c r="A595" s="512"/>
      <c r="B595" s="512"/>
      <c r="C595" s="512"/>
      <c r="D595" s="512"/>
      <c r="E595" s="512"/>
      <c r="F595" s="512"/>
      <c r="G595" s="512"/>
      <c r="H595" s="512"/>
      <c r="I595" s="512"/>
      <c r="J595" s="512"/>
      <c r="K595" s="512"/>
      <c r="L595" s="512"/>
      <c r="M595" s="512"/>
      <c r="N595" s="512"/>
      <c r="O595" s="512"/>
      <c r="P595" s="512"/>
      <c r="Q595" s="512"/>
      <c r="R595" s="512"/>
      <c r="S595" s="512"/>
      <c r="T595" s="512"/>
      <c r="U595" s="512"/>
      <c r="V595" s="512"/>
      <c r="W595" s="512"/>
      <c r="X595" s="512"/>
      <c r="Y595" s="512"/>
      <c r="Z595" s="512"/>
      <c r="AA595" s="512"/>
    </row>
    <row r="596">
      <c r="A596" s="512"/>
      <c r="B596" s="512"/>
      <c r="C596" s="512"/>
      <c r="D596" s="512"/>
      <c r="E596" s="512"/>
      <c r="F596" s="512"/>
      <c r="G596" s="512"/>
      <c r="H596" s="512"/>
      <c r="I596" s="512"/>
      <c r="J596" s="512"/>
      <c r="K596" s="512"/>
      <c r="L596" s="512"/>
      <c r="M596" s="512"/>
      <c r="N596" s="512"/>
      <c r="O596" s="512"/>
      <c r="P596" s="512"/>
      <c r="Q596" s="512"/>
      <c r="R596" s="512"/>
      <c r="S596" s="512"/>
      <c r="T596" s="512"/>
      <c r="U596" s="512"/>
      <c r="V596" s="512"/>
      <c r="W596" s="512"/>
      <c r="X596" s="512"/>
      <c r="Y596" s="512"/>
      <c r="Z596" s="512"/>
      <c r="AA596" s="512"/>
    </row>
    <row r="597">
      <c r="A597" s="512"/>
      <c r="B597" s="512"/>
      <c r="C597" s="512"/>
      <c r="D597" s="512"/>
      <c r="E597" s="512"/>
      <c r="F597" s="512"/>
      <c r="G597" s="512"/>
      <c r="H597" s="512"/>
      <c r="I597" s="512"/>
      <c r="J597" s="512"/>
      <c r="K597" s="512"/>
      <c r="L597" s="512"/>
      <c r="M597" s="512"/>
      <c r="N597" s="512"/>
      <c r="O597" s="512"/>
      <c r="P597" s="512"/>
      <c r="Q597" s="512"/>
      <c r="R597" s="512"/>
      <c r="S597" s="512"/>
      <c r="T597" s="512"/>
      <c r="U597" s="512"/>
      <c r="V597" s="512"/>
      <c r="W597" s="512"/>
      <c r="X597" s="512"/>
      <c r="Y597" s="512"/>
      <c r="Z597" s="512"/>
      <c r="AA597" s="512"/>
    </row>
    <row r="598">
      <c r="A598" s="512"/>
      <c r="B598" s="512"/>
      <c r="C598" s="512"/>
      <c r="D598" s="512"/>
      <c r="E598" s="512"/>
      <c r="F598" s="512"/>
      <c r="G598" s="512"/>
      <c r="H598" s="512"/>
      <c r="I598" s="512"/>
      <c r="J598" s="512"/>
      <c r="K598" s="512"/>
      <c r="L598" s="512"/>
      <c r="M598" s="512"/>
      <c r="N598" s="512"/>
      <c r="O598" s="512"/>
      <c r="P598" s="512"/>
      <c r="Q598" s="512"/>
      <c r="R598" s="512"/>
      <c r="S598" s="512"/>
      <c r="T598" s="512"/>
      <c r="U598" s="512"/>
      <c r="V598" s="512"/>
      <c r="W598" s="512"/>
      <c r="X598" s="512"/>
      <c r="Y598" s="512"/>
      <c r="Z598" s="512"/>
      <c r="AA598" s="512"/>
    </row>
    <row r="599">
      <c r="A599" s="512"/>
      <c r="B599" s="512"/>
      <c r="C599" s="512"/>
      <c r="D599" s="512"/>
      <c r="E599" s="512"/>
      <c r="F599" s="512"/>
      <c r="G599" s="512"/>
      <c r="H599" s="512"/>
      <c r="I599" s="512"/>
      <c r="J599" s="512"/>
      <c r="K599" s="512"/>
      <c r="L599" s="512"/>
      <c r="M599" s="512"/>
      <c r="N599" s="512"/>
      <c r="O599" s="512"/>
      <c r="P599" s="512"/>
      <c r="Q599" s="512"/>
      <c r="R599" s="512"/>
      <c r="S599" s="512"/>
      <c r="T599" s="512"/>
      <c r="U599" s="512"/>
      <c r="V599" s="512"/>
      <c r="W599" s="512"/>
      <c r="X599" s="512"/>
      <c r="Y599" s="512"/>
      <c r="Z599" s="512"/>
      <c r="AA599" s="512"/>
    </row>
    <row r="600">
      <c r="A600" s="512"/>
      <c r="B600" s="512"/>
      <c r="C600" s="512"/>
      <c r="D600" s="512"/>
      <c r="E600" s="512"/>
      <c r="F600" s="512"/>
      <c r="G600" s="512"/>
      <c r="H600" s="512"/>
      <c r="I600" s="512"/>
      <c r="J600" s="512"/>
      <c r="K600" s="512"/>
      <c r="L600" s="512"/>
      <c r="M600" s="512"/>
      <c r="N600" s="512"/>
      <c r="O600" s="512"/>
      <c r="P600" s="512"/>
      <c r="Q600" s="512"/>
      <c r="R600" s="512"/>
      <c r="S600" s="512"/>
      <c r="T600" s="512"/>
      <c r="U600" s="512"/>
      <c r="V600" s="512"/>
      <c r="W600" s="512"/>
      <c r="X600" s="512"/>
      <c r="Y600" s="512"/>
      <c r="Z600" s="512"/>
      <c r="AA600" s="512"/>
    </row>
    <row r="601">
      <c r="A601" s="512"/>
      <c r="B601" s="512"/>
      <c r="C601" s="512"/>
      <c r="D601" s="512"/>
      <c r="E601" s="512"/>
      <c r="F601" s="512"/>
      <c r="G601" s="512"/>
      <c r="H601" s="512"/>
      <c r="I601" s="512"/>
      <c r="J601" s="512"/>
      <c r="K601" s="512"/>
      <c r="L601" s="512"/>
      <c r="M601" s="512"/>
      <c r="N601" s="512"/>
      <c r="O601" s="512"/>
      <c r="P601" s="512"/>
      <c r="Q601" s="512"/>
      <c r="R601" s="512"/>
      <c r="S601" s="512"/>
      <c r="T601" s="512"/>
      <c r="U601" s="512"/>
      <c r="V601" s="512"/>
      <c r="W601" s="512"/>
      <c r="X601" s="512"/>
      <c r="Y601" s="512"/>
      <c r="Z601" s="512"/>
      <c r="AA601" s="512"/>
    </row>
    <row r="602">
      <c r="A602" s="512"/>
      <c r="B602" s="512"/>
      <c r="C602" s="512"/>
      <c r="D602" s="512"/>
      <c r="E602" s="512"/>
      <c r="F602" s="512"/>
      <c r="G602" s="512"/>
      <c r="H602" s="512"/>
      <c r="I602" s="512"/>
      <c r="J602" s="512"/>
      <c r="K602" s="512"/>
      <c r="L602" s="512"/>
      <c r="M602" s="512"/>
      <c r="N602" s="512"/>
      <c r="O602" s="512"/>
      <c r="P602" s="512"/>
      <c r="Q602" s="512"/>
      <c r="R602" s="512"/>
      <c r="S602" s="512"/>
      <c r="T602" s="512"/>
      <c r="U602" s="512"/>
      <c r="V602" s="512"/>
      <c r="W602" s="512"/>
      <c r="X602" s="512"/>
      <c r="Y602" s="512"/>
      <c r="Z602" s="512"/>
      <c r="AA602" s="512"/>
    </row>
    <row r="603">
      <c r="A603" s="512"/>
      <c r="B603" s="512"/>
      <c r="C603" s="512"/>
      <c r="D603" s="512"/>
      <c r="E603" s="512"/>
      <c r="F603" s="512"/>
      <c r="G603" s="512"/>
      <c r="H603" s="512"/>
      <c r="I603" s="512"/>
      <c r="J603" s="512"/>
      <c r="K603" s="512"/>
      <c r="L603" s="512"/>
      <c r="M603" s="512"/>
      <c r="N603" s="512"/>
      <c r="O603" s="512"/>
      <c r="P603" s="512"/>
      <c r="Q603" s="512"/>
      <c r="R603" s="512"/>
      <c r="S603" s="512"/>
      <c r="T603" s="512"/>
      <c r="U603" s="512"/>
      <c r="V603" s="512"/>
      <c r="W603" s="512"/>
      <c r="X603" s="512"/>
      <c r="Y603" s="512"/>
      <c r="Z603" s="512"/>
      <c r="AA603" s="512"/>
    </row>
    <row r="604">
      <c r="A604" s="512"/>
      <c r="B604" s="512"/>
      <c r="C604" s="512"/>
      <c r="D604" s="512"/>
      <c r="E604" s="512"/>
      <c r="F604" s="512"/>
      <c r="G604" s="512"/>
      <c r="H604" s="512"/>
      <c r="I604" s="512"/>
      <c r="J604" s="512"/>
      <c r="K604" s="512"/>
      <c r="L604" s="512"/>
      <c r="M604" s="512"/>
      <c r="N604" s="512"/>
      <c r="O604" s="512"/>
      <c r="P604" s="512"/>
      <c r="Q604" s="512"/>
      <c r="R604" s="512"/>
      <c r="S604" s="512"/>
      <c r="T604" s="512"/>
      <c r="U604" s="512"/>
      <c r="V604" s="512"/>
      <c r="W604" s="512"/>
      <c r="X604" s="512"/>
      <c r="Y604" s="512"/>
      <c r="Z604" s="512"/>
      <c r="AA604" s="512"/>
    </row>
    <row r="605">
      <c r="A605" s="512"/>
      <c r="B605" s="512"/>
      <c r="C605" s="512"/>
      <c r="D605" s="512"/>
      <c r="E605" s="512"/>
      <c r="F605" s="512"/>
      <c r="G605" s="512"/>
      <c r="H605" s="512"/>
      <c r="I605" s="512"/>
      <c r="J605" s="512"/>
      <c r="K605" s="512"/>
      <c r="L605" s="512"/>
      <c r="M605" s="512"/>
      <c r="N605" s="512"/>
      <c r="O605" s="512"/>
      <c r="P605" s="512"/>
      <c r="Q605" s="512"/>
      <c r="R605" s="512"/>
      <c r="S605" s="512"/>
      <c r="T605" s="512"/>
      <c r="U605" s="512"/>
      <c r="V605" s="512"/>
      <c r="W605" s="512"/>
      <c r="X605" s="512"/>
      <c r="Y605" s="512"/>
      <c r="Z605" s="512"/>
      <c r="AA605" s="512"/>
    </row>
    <row r="606">
      <c r="A606" s="512"/>
      <c r="B606" s="512"/>
      <c r="C606" s="512"/>
      <c r="D606" s="512"/>
      <c r="E606" s="512"/>
      <c r="F606" s="512"/>
      <c r="G606" s="512"/>
      <c r="H606" s="512"/>
      <c r="I606" s="512"/>
      <c r="J606" s="512"/>
      <c r="K606" s="512"/>
      <c r="L606" s="512"/>
      <c r="M606" s="512"/>
      <c r="N606" s="512"/>
      <c r="O606" s="512"/>
      <c r="P606" s="512"/>
      <c r="Q606" s="512"/>
      <c r="R606" s="512"/>
      <c r="S606" s="512"/>
      <c r="T606" s="512"/>
      <c r="U606" s="512"/>
      <c r="V606" s="512"/>
      <c r="W606" s="512"/>
      <c r="X606" s="512"/>
      <c r="Y606" s="512"/>
      <c r="Z606" s="512"/>
      <c r="AA606" s="512"/>
    </row>
    <row r="607">
      <c r="A607" s="512"/>
      <c r="B607" s="512"/>
      <c r="C607" s="512"/>
      <c r="D607" s="512"/>
      <c r="E607" s="512"/>
      <c r="F607" s="512"/>
      <c r="G607" s="512"/>
      <c r="H607" s="512"/>
      <c r="I607" s="512"/>
      <c r="J607" s="512"/>
      <c r="K607" s="512"/>
      <c r="L607" s="512"/>
      <c r="M607" s="512"/>
      <c r="N607" s="512"/>
      <c r="O607" s="512"/>
      <c r="P607" s="512"/>
      <c r="Q607" s="512"/>
      <c r="R607" s="512"/>
      <c r="S607" s="512"/>
      <c r="T607" s="512"/>
      <c r="U607" s="512"/>
      <c r="V607" s="512"/>
      <c r="W607" s="512"/>
      <c r="X607" s="512"/>
      <c r="Y607" s="512"/>
      <c r="Z607" s="512"/>
      <c r="AA607" s="512"/>
    </row>
    <row r="608">
      <c r="A608" s="512"/>
      <c r="B608" s="512"/>
      <c r="C608" s="512"/>
      <c r="D608" s="512"/>
      <c r="E608" s="512"/>
      <c r="F608" s="512"/>
      <c r="G608" s="512"/>
      <c r="H608" s="512"/>
      <c r="I608" s="512"/>
      <c r="J608" s="512"/>
      <c r="K608" s="512"/>
      <c r="L608" s="512"/>
      <c r="M608" s="512"/>
      <c r="N608" s="512"/>
      <c r="O608" s="512"/>
      <c r="P608" s="512"/>
      <c r="Q608" s="512"/>
      <c r="R608" s="512"/>
      <c r="S608" s="512"/>
      <c r="T608" s="512"/>
      <c r="U608" s="512"/>
      <c r="V608" s="512"/>
      <c r="W608" s="512"/>
      <c r="X608" s="512"/>
      <c r="Y608" s="512"/>
      <c r="Z608" s="512"/>
      <c r="AA608" s="512"/>
    </row>
    <row r="609">
      <c r="A609" s="512"/>
      <c r="B609" s="512"/>
      <c r="C609" s="512"/>
      <c r="D609" s="512"/>
      <c r="E609" s="512"/>
      <c r="F609" s="512"/>
      <c r="G609" s="512"/>
      <c r="H609" s="512"/>
      <c r="I609" s="512"/>
      <c r="J609" s="512"/>
      <c r="K609" s="512"/>
      <c r="L609" s="512"/>
      <c r="M609" s="512"/>
      <c r="N609" s="512"/>
      <c r="O609" s="512"/>
      <c r="P609" s="512"/>
      <c r="Q609" s="512"/>
      <c r="R609" s="512"/>
      <c r="S609" s="512"/>
      <c r="T609" s="512"/>
      <c r="U609" s="512"/>
      <c r="V609" s="512"/>
      <c r="W609" s="512"/>
      <c r="X609" s="512"/>
      <c r="Y609" s="512"/>
      <c r="Z609" s="512"/>
      <c r="AA609" s="512"/>
    </row>
    <row r="610">
      <c r="A610" s="512"/>
      <c r="B610" s="512"/>
      <c r="C610" s="512"/>
      <c r="D610" s="512"/>
      <c r="E610" s="512"/>
      <c r="F610" s="512"/>
      <c r="G610" s="512"/>
      <c r="H610" s="512"/>
      <c r="I610" s="512"/>
      <c r="J610" s="512"/>
      <c r="K610" s="512"/>
      <c r="L610" s="512"/>
      <c r="M610" s="512"/>
      <c r="N610" s="512"/>
      <c r="O610" s="512"/>
      <c r="P610" s="512"/>
      <c r="Q610" s="512"/>
      <c r="R610" s="512"/>
      <c r="S610" s="512"/>
      <c r="T610" s="512"/>
      <c r="U610" s="512"/>
      <c r="V610" s="512"/>
      <c r="W610" s="512"/>
      <c r="X610" s="512"/>
      <c r="Y610" s="512"/>
      <c r="Z610" s="512"/>
      <c r="AA610" s="512"/>
    </row>
    <row r="611">
      <c r="A611" s="512"/>
      <c r="B611" s="512"/>
      <c r="C611" s="512"/>
      <c r="D611" s="512"/>
      <c r="E611" s="512"/>
      <c r="F611" s="512"/>
      <c r="G611" s="512"/>
      <c r="H611" s="512"/>
      <c r="I611" s="512"/>
      <c r="J611" s="512"/>
      <c r="K611" s="512"/>
      <c r="L611" s="512"/>
      <c r="M611" s="512"/>
      <c r="N611" s="512"/>
      <c r="O611" s="512"/>
      <c r="P611" s="512"/>
      <c r="Q611" s="512"/>
      <c r="R611" s="512"/>
      <c r="S611" s="512"/>
      <c r="T611" s="512"/>
      <c r="U611" s="512"/>
      <c r="V611" s="512"/>
      <c r="W611" s="512"/>
      <c r="X611" s="512"/>
      <c r="Y611" s="512"/>
      <c r="Z611" s="512"/>
      <c r="AA611" s="512"/>
    </row>
    <row r="612">
      <c r="A612" s="512"/>
      <c r="B612" s="512"/>
      <c r="C612" s="512"/>
      <c r="D612" s="512"/>
      <c r="E612" s="512"/>
      <c r="F612" s="512"/>
      <c r="G612" s="512"/>
      <c r="H612" s="512"/>
      <c r="I612" s="512"/>
      <c r="J612" s="512"/>
      <c r="K612" s="512"/>
      <c r="L612" s="512"/>
      <c r="M612" s="512"/>
      <c r="N612" s="512"/>
      <c r="O612" s="512"/>
      <c r="P612" s="512"/>
      <c r="Q612" s="512"/>
      <c r="R612" s="512"/>
      <c r="S612" s="512"/>
      <c r="T612" s="512"/>
      <c r="U612" s="512"/>
      <c r="V612" s="512"/>
      <c r="W612" s="512"/>
      <c r="X612" s="512"/>
      <c r="Y612" s="512"/>
      <c r="Z612" s="512"/>
      <c r="AA612" s="512"/>
    </row>
    <row r="613">
      <c r="A613" s="512"/>
      <c r="B613" s="512"/>
      <c r="C613" s="512"/>
      <c r="D613" s="512"/>
      <c r="E613" s="512"/>
      <c r="F613" s="512"/>
      <c r="G613" s="512"/>
      <c r="H613" s="512"/>
      <c r="I613" s="512"/>
      <c r="J613" s="512"/>
      <c r="K613" s="512"/>
      <c r="L613" s="512"/>
      <c r="M613" s="512"/>
      <c r="N613" s="512"/>
      <c r="O613" s="512"/>
      <c r="P613" s="512"/>
      <c r="Q613" s="512"/>
      <c r="R613" s="512"/>
      <c r="S613" s="512"/>
      <c r="T613" s="512"/>
      <c r="U613" s="512"/>
      <c r="V613" s="512"/>
      <c r="W613" s="512"/>
      <c r="X613" s="512"/>
      <c r="Y613" s="512"/>
      <c r="Z613" s="512"/>
      <c r="AA613" s="512"/>
    </row>
    <row r="614">
      <c r="A614" s="512"/>
      <c r="B614" s="512"/>
      <c r="C614" s="512"/>
      <c r="D614" s="512"/>
      <c r="E614" s="512"/>
      <c r="F614" s="512"/>
      <c r="G614" s="512"/>
      <c r="H614" s="512"/>
      <c r="I614" s="512"/>
      <c r="J614" s="512"/>
      <c r="K614" s="512"/>
      <c r="L614" s="512"/>
      <c r="M614" s="512"/>
      <c r="N614" s="512"/>
      <c r="O614" s="512"/>
      <c r="P614" s="512"/>
      <c r="Q614" s="512"/>
      <c r="R614" s="512"/>
      <c r="S614" s="512"/>
      <c r="T614" s="512"/>
      <c r="U614" s="512"/>
      <c r="V614" s="512"/>
      <c r="W614" s="512"/>
      <c r="X614" s="512"/>
      <c r="Y614" s="512"/>
      <c r="Z614" s="512"/>
      <c r="AA614" s="512"/>
    </row>
    <row r="615">
      <c r="A615" s="512"/>
      <c r="B615" s="512"/>
      <c r="C615" s="512"/>
      <c r="D615" s="512"/>
      <c r="E615" s="512"/>
      <c r="F615" s="512"/>
      <c r="G615" s="512"/>
      <c r="H615" s="512"/>
      <c r="I615" s="512"/>
      <c r="J615" s="512"/>
      <c r="K615" s="512"/>
      <c r="L615" s="512"/>
      <c r="M615" s="512"/>
      <c r="N615" s="512"/>
      <c r="O615" s="512"/>
      <c r="P615" s="512"/>
      <c r="Q615" s="512"/>
      <c r="R615" s="512"/>
      <c r="S615" s="512"/>
      <c r="T615" s="512"/>
      <c r="U615" s="512"/>
      <c r="V615" s="512"/>
      <c r="W615" s="512"/>
      <c r="X615" s="512"/>
      <c r="Y615" s="512"/>
      <c r="Z615" s="512"/>
      <c r="AA615" s="512"/>
    </row>
    <row r="616">
      <c r="A616" s="512"/>
      <c r="B616" s="512"/>
      <c r="C616" s="512"/>
      <c r="D616" s="512"/>
      <c r="E616" s="512"/>
      <c r="F616" s="512"/>
      <c r="G616" s="512"/>
      <c r="H616" s="512"/>
      <c r="I616" s="512"/>
      <c r="J616" s="512"/>
      <c r="K616" s="512"/>
      <c r="L616" s="512"/>
      <c r="M616" s="512"/>
      <c r="N616" s="512"/>
      <c r="O616" s="512"/>
      <c r="P616" s="512"/>
      <c r="Q616" s="512"/>
      <c r="R616" s="512"/>
      <c r="S616" s="512"/>
      <c r="T616" s="512"/>
      <c r="U616" s="512"/>
      <c r="V616" s="512"/>
      <c r="W616" s="512"/>
      <c r="X616" s="512"/>
      <c r="Y616" s="512"/>
      <c r="Z616" s="512"/>
      <c r="AA616" s="512"/>
    </row>
    <row r="617">
      <c r="A617" s="512"/>
      <c r="B617" s="512"/>
      <c r="C617" s="512"/>
      <c r="D617" s="512"/>
      <c r="E617" s="512"/>
      <c r="F617" s="512"/>
      <c r="G617" s="512"/>
      <c r="H617" s="512"/>
      <c r="I617" s="512"/>
      <c r="J617" s="512"/>
      <c r="K617" s="512"/>
      <c r="L617" s="512"/>
      <c r="M617" s="512"/>
      <c r="N617" s="512"/>
      <c r="O617" s="512"/>
      <c r="P617" s="512"/>
      <c r="Q617" s="512"/>
      <c r="R617" s="512"/>
      <c r="S617" s="512"/>
      <c r="T617" s="512"/>
      <c r="U617" s="512"/>
      <c r="V617" s="512"/>
      <c r="W617" s="512"/>
      <c r="X617" s="512"/>
      <c r="Y617" s="512"/>
      <c r="Z617" s="512"/>
      <c r="AA617" s="512"/>
    </row>
    <row r="618">
      <c r="A618" s="512"/>
      <c r="B618" s="512"/>
      <c r="C618" s="512"/>
      <c r="D618" s="512"/>
      <c r="E618" s="512"/>
      <c r="F618" s="512"/>
      <c r="G618" s="512"/>
      <c r="H618" s="512"/>
      <c r="I618" s="512"/>
      <c r="J618" s="512"/>
      <c r="K618" s="512"/>
      <c r="L618" s="512"/>
      <c r="M618" s="512"/>
      <c r="N618" s="512"/>
      <c r="O618" s="512"/>
      <c r="P618" s="512"/>
      <c r="Q618" s="512"/>
      <c r="R618" s="512"/>
      <c r="S618" s="512"/>
      <c r="T618" s="512"/>
      <c r="U618" s="512"/>
      <c r="V618" s="512"/>
      <c r="W618" s="512"/>
      <c r="X618" s="512"/>
      <c r="Y618" s="512"/>
      <c r="Z618" s="512"/>
      <c r="AA618" s="512"/>
    </row>
    <row r="619">
      <c r="A619" s="512"/>
      <c r="B619" s="512"/>
      <c r="C619" s="512"/>
      <c r="D619" s="512"/>
      <c r="E619" s="512"/>
      <c r="F619" s="512"/>
      <c r="G619" s="512"/>
      <c r="H619" s="512"/>
      <c r="I619" s="512"/>
      <c r="J619" s="512"/>
      <c r="K619" s="512"/>
      <c r="L619" s="512"/>
      <c r="M619" s="512"/>
      <c r="N619" s="512"/>
      <c r="O619" s="512"/>
      <c r="P619" s="512"/>
      <c r="Q619" s="512"/>
      <c r="R619" s="512"/>
      <c r="S619" s="512"/>
      <c r="T619" s="512"/>
      <c r="U619" s="512"/>
      <c r="V619" s="512"/>
      <c r="W619" s="512"/>
      <c r="X619" s="512"/>
      <c r="Y619" s="512"/>
      <c r="Z619" s="512"/>
      <c r="AA619" s="512"/>
    </row>
    <row r="620">
      <c r="A620" s="512"/>
      <c r="B620" s="512"/>
      <c r="C620" s="512"/>
      <c r="D620" s="512"/>
      <c r="E620" s="512"/>
      <c r="F620" s="512"/>
      <c r="G620" s="512"/>
      <c r="H620" s="512"/>
      <c r="I620" s="512"/>
      <c r="J620" s="512"/>
      <c r="K620" s="512"/>
      <c r="L620" s="512"/>
      <c r="M620" s="512"/>
      <c r="N620" s="512"/>
      <c r="O620" s="512"/>
      <c r="P620" s="512"/>
      <c r="Q620" s="512"/>
      <c r="R620" s="512"/>
      <c r="S620" s="512"/>
      <c r="T620" s="512"/>
      <c r="U620" s="512"/>
      <c r="V620" s="512"/>
      <c r="W620" s="512"/>
      <c r="X620" s="512"/>
      <c r="Y620" s="512"/>
      <c r="Z620" s="512"/>
      <c r="AA620" s="512"/>
    </row>
    <row r="621">
      <c r="A621" s="512"/>
      <c r="B621" s="512"/>
      <c r="C621" s="512"/>
      <c r="D621" s="512"/>
      <c r="E621" s="512"/>
      <c r="F621" s="512"/>
      <c r="G621" s="512"/>
      <c r="H621" s="512"/>
      <c r="I621" s="512"/>
      <c r="J621" s="512"/>
      <c r="K621" s="512"/>
      <c r="L621" s="512"/>
      <c r="M621" s="512"/>
      <c r="N621" s="512"/>
      <c r="O621" s="512"/>
      <c r="P621" s="512"/>
      <c r="Q621" s="512"/>
      <c r="R621" s="512"/>
      <c r="S621" s="512"/>
      <c r="T621" s="512"/>
      <c r="U621" s="512"/>
      <c r="V621" s="512"/>
      <c r="W621" s="512"/>
      <c r="X621" s="512"/>
      <c r="Y621" s="512"/>
      <c r="Z621" s="512"/>
      <c r="AA621" s="512"/>
    </row>
    <row r="622">
      <c r="A622" s="512"/>
      <c r="B622" s="512"/>
      <c r="C622" s="512"/>
      <c r="D622" s="512"/>
      <c r="E622" s="512"/>
      <c r="F622" s="512"/>
      <c r="G622" s="512"/>
      <c r="H622" s="512"/>
      <c r="I622" s="512"/>
      <c r="J622" s="512"/>
      <c r="K622" s="512"/>
      <c r="L622" s="512"/>
      <c r="M622" s="512"/>
      <c r="N622" s="512"/>
      <c r="O622" s="512"/>
      <c r="P622" s="512"/>
      <c r="Q622" s="512"/>
      <c r="R622" s="512"/>
      <c r="S622" s="512"/>
      <c r="T622" s="512"/>
      <c r="U622" s="512"/>
      <c r="V622" s="512"/>
      <c r="W622" s="512"/>
      <c r="X622" s="512"/>
      <c r="Y622" s="512"/>
      <c r="Z622" s="512"/>
      <c r="AA622" s="512"/>
    </row>
    <row r="623">
      <c r="A623" s="512"/>
      <c r="B623" s="512"/>
      <c r="C623" s="512"/>
      <c r="D623" s="512"/>
      <c r="E623" s="512"/>
      <c r="F623" s="512"/>
      <c r="G623" s="512"/>
      <c r="H623" s="512"/>
      <c r="I623" s="512"/>
      <c r="J623" s="512"/>
      <c r="K623" s="512"/>
      <c r="L623" s="512"/>
      <c r="M623" s="512"/>
      <c r="N623" s="512"/>
      <c r="O623" s="512"/>
      <c r="P623" s="512"/>
      <c r="Q623" s="512"/>
      <c r="R623" s="512"/>
      <c r="S623" s="512"/>
      <c r="T623" s="512"/>
      <c r="U623" s="512"/>
      <c r="V623" s="512"/>
      <c r="W623" s="512"/>
      <c r="X623" s="512"/>
      <c r="Y623" s="512"/>
      <c r="Z623" s="512"/>
      <c r="AA623" s="512"/>
    </row>
    <row r="624">
      <c r="A624" s="512"/>
      <c r="B624" s="512"/>
      <c r="C624" s="512"/>
      <c r="D624" s="512"/>
      <c r="E624" s="512"/>
      <c r="F624" s="512"/>
      <c r="G624" s="512"/>
      <c r="H624" s="512"/>
      <c r="I624" s="512"/>
      <c r="J624" s="512"/>
      <c r="K624" s="512"/>
      <c r="L624" s="512"/>
      <c r="M624" s="512"/>
      <c r="N624" s="512"/>
      <c r="O624" s="512"/>
      <c r="P624" s="512"/>
      <c r="Q624" s="512"/>
      <c r="R624" s="512"/>
      <c r="S624" s="512"/>
      <c r="T624" s="512"/>
      <c r="U624" s="512"/>
      <c r="V624" s="512"/>
      <c r="W624" s="512"/>
      <c r="X624" s="512"/>
      <c r="Y624" s="512"/>
      <c r="Z624" s="512"/>
      <c r="AA624" s="512"/>
    </row>
    <row r="625">
      <c r="A625" s="512"/>
      <c r="B625" s="512"/>
      <c r="C625" s="512"/>
      <c r="D625" s="512"/>
      <c r="E625" s="512"/>
      <c r="F625" s="512"/>
      <c r="G625" s="512"/>
      <c r="H625" s="512"/>
      <c r="I625" s="512"/>
      <c r="J625" s="512"/>
      <c r="K625" s="512"/>
      <c r="L625" s="512"/>
      <c r="M625" s="512"/>
      <c r="N625" s="512"/>
      <c r="O625" s="512"/>
      <c r="P625" s="512"/>
      <c r="Q625" s="512"/>
      <c r="R625" s="512"/>
      <c r="S625" s="512"/>
      <c r="T625" s="512"/>
      <c r="U625" s="512"/>
      <c r="V625" s="512"/>
      <c r="W625" s="512"/>
      <c r="X625" s="512"/>
      <c r="Y625" s="512"/>
      <c r="Z625" s="512"/>
      <c r="AA625" s="512"/>
    </row>
    <row r="626">
      <c r="A626" s="512"/>
      <c r="B626" s="512"/>
      <c r="C626" s="512"/>
      <c r="D626" s="512"/>
      <c r="E626" s="512"/>
      <c r="F626" s="512"/>
      <c r="G626" s="512"/>
      <c r="H626" s="512"/>
      <c r="I626" s="512"/>
      <c r="J626" s="512"/>
      <c r="K626" s="512"/>
      <c r="L626" s="512"/>
      <c r="M626" s="512"/>
      <c r="N626" s="512"/>
      <c r="O626" s="512"/>
      <c r="P626" s="512"/>
      <c r="Q626" s="512"/>
      <c r="R626" s="512"/>
      <c r="S626" s="512"/>
      <c r="T626" s="512"/>
      <c r="U626" s="512"/>
      <c r="V626" s="512"/>
      <c r="W626" s="512"/>
      <c r="X626" s="512"/>
      <c r="Y626" s="512"/>
      <c r="Z626" s="512"/>
      <c r="AA626" s="512"/>
    </row>
    <row r="627">
      <c r="A627" s="512"/>
      <c r="B627" s="512"/>
      <c r="C627" s="512"/>
      <c r="D627" s="512"/>
      <c r="E627" s="512"/>
      <c r="F627" s="512"/>
      <c r="G627" s="512"/>
      <c r="H627" s="512"/>
      <c r="I627" s="512"/>
      <c r="J627" s="512"/>
      <c r="K627" s="512"/>
      <c r="L627" s="512"/>
      <c r="M627" s="512"/>
      <c r="N627" s="512"/>
      <c r="O627" s="512"/>
      <c r="P627" s="512"/>
      <c r="Q627" s="512"/>
      <c r="R627" s="512"/>
      <c r="S627" s="512"/>
      <c r="T627" s="512"/>
      <c r="U627" s="512"/>
      <c r="V627" s="512"/>
      <c r="W627" s="512"/>
      <c r="X627" s="512"/>
      <c r="Y627" s="512"/>
      <c r="Z627" s="512"/>
      <c r="AA627" s="512"/>
    </row>
    <row r="628">
      <c r="A628" s="512"/>
      <c r="B628" s="512"/>
      <c r="C628" s="512"/>
      <c r="D628" s="512"/>
      <c r="E628" s="512"/>
      <c r="F628" s="512"/>
      <c r="G628" s="512"/>
      <c r="H628" s="512"/>
      <c r="I628" s="512"/>
      <c r="J628" s="512"/>
      <c r="K628" s="512"/>
      <c r="L628" s="512"/>
      <c r="M628" s="512"/>
      <c r="N628" s="512"/>
      <c r="O628" s="512"/>
      <c r="P628" s="512"/>
      <c r="Q628" s="512"/>
      <c r="R628" s="512"/>
      <c r="S628" s="512"/>
      <c r="T628" s="512"/>
      <c r="U628" s="512"/>
      <c r="V628" s="512"/>
      <c r="W628" s="512"/>
      <c r="X628" s="512"/>
      <c r="Y628" s="512"/>
      <c r="Z628" s="512"/>
      <c r="AA628" s="512"/>
    </row>
    <row r="629">
      <c r="A629" s="512"/>
      <c r="B629" s="512"/>
      <c r="C629" s="512"/>
      <c r="D629" s="512"/>
      <c r="E629" s="512"/>
      <c r="F629" s="512"/>
      <c r="G629" s="512"/>
      <c r="H629" s="512"/>
      <c r="I629" s="512"/>
      <c r="J629" s="512"/>
      <c r="K629" s="512"/>
      <c r="L629" s="512"/>
      <c r="M629" s="512"/>
      <c r="N629" s="512"/>
      <c r="O629" s="512"/>
      <c r="P629" s="512"/>
      <c r="Q629" s="512"/>
      <c r="R629" s="512"/>
      <c r="S629" s="512"/>
      <c r="T629" s="512"/>
      <c r="U629" s="512"/>
      <c r="V629" s="512"/>
      <c r="W629" s="512"/>
      <c r="X629" s="512"/>
      <c r="Y629" s="512"/>
      <c r="Z629" s="512"/>
      <c r="AA629" s="512"/>
    </row>
    <row r="630">
      <c r="A630" s="512"/>
      <c r="B630" s="512"/>
      <c r="C630" s="512"/>
      <c r="D630" s="512"/>
      <c r="E630" s="512"/>
      <c r="F630" s="512"/>
      <c r="G630" s="512"/>
      <c r="H630" s="512"/>
      <c r="I630" s="512"/>
      <c r="J630" s="512"/>
      <c r="K630" s="512"/>
      <c r="L630" s="512"/>
      <c r="M630" s="512"/>
      <c r="N630" s="512"/>
      <c r="O630" s="512"/>
      <c r="P630" s="512"/>
      <c r="Q630" s="512"/>
      <c r="R630" s="512"/>
      <c r="S630" s="512"/>
      <c r="T630" s="512"/>
      <c r="U630" s="512"/>
      <c r="V630" s="512"/>
      <c r="W630" s="512"/>
      <c r="X630" s="512"/>
      <c r="Y630" s="512"/>
      <c r="Z630" s="512"/>
      <c r="AA630" s="512"/>
    </row>
    <row r="631">
      <c r="A631" s="512"/>
      <c r="B631" s="512"/>
      <c r="C631" s="512"/>
      <c r="D631" s="512"/>
      <c r="E631" s="512"/>
      <c r="F631" s="512"/>
      <c r="G631" s="512"/>
      <c r="H631" s="512"/>
      <c r="I631" s="512"/>
      <c r="J631" s="512"/>
      <c r="K631" s="512"/>
      <c r="L631" s="512"/>
      <c r="M631" s="512"/>
      <c r="N631" s="512"/>
      <c r="O631" s="512"/>
      <c r="P631" s="512"/>
      <c r="Q631" s="512"/>
      <c r="R631" s="512"/>
      <c r="S631" s="512"/>
      <c r="T631" s="512"/>
      <c r="U631" s="512"/>
      <c r="V631" s="512"/>
      <c r="W631" s="512"/>
      <c r="X631" s="512"/>
      <c r="Y631" s="512"/>
      <c r="Z631" s="512"/>
      <c r="AA631" s="512"/>
    </row>
    <row r="632">
      <c r="A632" s="512"/>
      <c r="B632" s="512"/>
      <c r="C632" s="512"/>
      <c r="D632" s="512"/>
      <c r="E632" s="512"/>
      <c r="F632" s="512"/>
      <c r="G632" s="512"/>
      <c r="H632" s="512"/>
      <c r="I632" s="512"/>
      <c r="J632" s="512"/>
      <c r="K632" s="512"/>
      <c r="L632" s="512"/>
      <c r="M632" s="512"/>
      <c r="N632" s="512"/>
      <c r="O632" s="512"/>
      <c r="P632" s="512"/>
      <c r="Q632" s="512"/>
      <c r="R632" s="512"/>
      <c r="S632" s="512"/>
      <c r="T632" s="512"/>
      <c r="U632" s="512"/>
      <c r="V632" s="512"/>
      <c r="W632" s="512"/>
      <c r="X632" s="512"/>
      <c r="Y632" s="512"/>
      <c r="Z632" s="512"/>
      <c r="AA632" s="512"/>
    </row>
    <row r="633">
      <c r="A633" s="512"/>
      <c r="B633" s="512"/>
      <c r="C633" s="512"/>
      <c r="D633" s="512"/>
      <c r="E633" s="512"/>
      <c r="F633" s="512"/>
      <c r="G633" s="512"/>
      <c r="H633" s="512"/>
      <c r="I633" s="512"/>
      <c r="J633" s="512"/>
      <c r="K633" s="512"/>
      <c r="L633" s="512"/>
      <c r="M633" s="512"/>
      <c r="N633" s="512"/>
      <c r="O633" s="512"/>
      <c r="P633" s="512"/>
      <c r="Q633" s="512"/>
      <c r="R633" s="512"/>
      <c r="S633" s="512"/>
      <c r="T633" s="512"/>
      <c r="U633" s="512"/>
      <c r="V633" s="512"/>
      <c r="W633" s="512"/>
      <c r="X633" s="512"/>
      <c r="Y633" s="512"/>
      <c r="Z633" s="512"/>
      <c r="AA633" s="512"/>
    </row>
    <row r="634">
      <c r="A634" s="512"/>
      <c r="B634" s="512"/>
      <c r="C634" s="512"/>
      <c r="D634" s="512"/>
      <c r="E634" s="512"/>
      <c r="F634" s="512"/>
      <c r="G634" s="512"/>
      <c r="H634" s="512"/>
      <c r="I634" s="512"/>
      <c r="J634" s="512"/>
      <c r="K634" s="512"/>
      <c r="L634" s="512"/>
      <c r="M634" s="512"/>
      <c r="N634" s="512"/>
      <c r="O634" s="512"/>
      <c r="P634" s="512"/>
      <c r="Q634" s="512"/>
      <c r="R634" s="512"/>
      <c r="S634" s="512"/>
      <c r="T634" s="512"/>
      <c r="U634" s="512"/>
      <c r="V634" s="512"/>
      <c r="W634" s="512"/>
      <c r="X634" s="512"/>
      <c r="Y634" s="512"/>
      <c r="Z634" s="512"/>
      <c r="AA634" s="512"/>
    </row>
    <row r="635">
      <c r="A635" s="512"/>
      <c r="B635" s="512"/>
      <c r="C635" s="512"/>
      <c r="D635" s="512"/>
      <c r="E635" s="512"/>
      <c r="F635" s="512"/>
      <c r="G635" s="512"/>
      <c r="H635" s="512"/>
      <c r="I635" s="512"/>
      <c r="J635" s="512"/>
      <c r="K635" s="512"/>
      <c r="L635" s="512"/>
      <c r="M635" s="512"/>
      <c r="N635" s="512"/>
      <c r="O635" s="512"/>
      <c r="P635" s="512"/>
      <c r="Q635" s="512"/>
      <c r="R635" s="512"/>
      <c r="S635" s="512"/>
      <c r="T635" s="512"/>
      <c r="U635" s="512"/>
      <c r="V635" s="512"/>
      <c r="W635" s="512"/>
      <c r="X635" s="512"/>
      <c r="Y635" s="512"/>
      <c r="Z635" s="512"/>
      <c r="AA635" s="512"/>
    </row>
    <row r="636">
      <c r="A636" s="512"/>
      <c r="B636" s="512"/>
      <c r="C636" s="512"/>
      <c r="D636" s="512"/>
      <c r="E636" s="512"/>
      <c r="F636" s="512"/>
      <c r="G636" s="512"/>
      <c r="H636" s="512"/>
      <c r="I636" s="512"/>
      <c r="J636" s="512"/>
      <c r="K636" s="512"/>
      <c r="L636" s="512"/>
      <c r="M636" s="512"/>
      <c r="N636" s="512"/>
      <c r="O636" s="512"/>
      <c r="P636" s="512"/>
      <c r="Q636" s="512"/>
      <c r="R636" s="512"/>
      <c r="S636" s="512"/>
      <c r="T636" s="512"/>
      <c r="U636" s="512"/>
      <c r="V636" s="512"/>
      <c r="W636" s="512"/>
      <c r="X636" s="512"/>
      <c r="Y636" s="512"/>
      <c r="Z636" s="512"/>
      <c r="AA636" s="512"/>
    </row>
    <row r="637">
      <c r="A637" s="512"/>
      <c r="B637" s="512"/>
      <c r="C637" s="512"/>
      <c r="D637" s="512"/>
      <c r="E637" s="512"/>
      <c r="F637" s="512"/>
      <c r="G637" s="512"/>
      <c r="H637" s="512"/>
      <c r="I637" s="512"/>
      <c r="J637" s="512"/>
      <c r="K637" s="512"/>
      <c r="L637" s="512"/>
      <c r="M637" s="512"/>
      <c r="N637" s="512"/>
      <c r="O637" s="512"/>
      <c r="P637" s="512"/>
      <c r="Q637" s="512"/>
      <c r="R637" s="512"/>
      <c r="S637" s="512"/>
      <c r="T637" s="512"/>
      <c r="U637" s="512"/>
      <c r="V637" s="512"/>
      <c r="W637" s="512"/>
      <c r="X637" s="512"/>
      <c r="Y637" s="512"/>
      <c r="Z637" s="512"/>
      <c r="AA637" s="512"/>
    </row>
    <row r="638">
      <c r="A638" s="512"/>
      <c r="B638" s="512"/>
      <c r="C638" s="512"/>
      <c r="D638" s="512"/>
      <c r="E638" s="512"/>
      <c r="F638" s="512"/>
      <c r="G638" s="512"/>
      <c r="H638" s="512"/>
      <c r="I638" s="512"/>
      <c r="J638" s="512"/>
      <c r="K638" s="512"/>
      <c r="L638" s="512"/>
      <c r="M638" s="512"/>
      <c r="N638" s="512"/>
      <c r="O638" s="512"/>
      <c r="P638" s="512"/>
      <c r="Q638" s="512"/>
      <c r="R638" s="512"/>
      <c r="S638" s="512"/>
      <c r="T638" s="512"/>
      <c r="U638" s="512"/>
      <c r="V638" s="512"/>
      <c r="W638" s="512"/>
      <c r="X638" s="512"/>
      <c r="Y638" s="512"/>
      <c r="Z638" s="512"/>
      <c r="AA638" s="512"/>
    </row>
    <row r="639">
      <c r="A639" s="512"/>
      <c r="B639" s="512"/>
      <c r="C639" s="512"/>
      <c r="D639" s="512"/>
      <c r="E639" s="512"/>
      <c r="F639" s="512"/>
      <c r="G639" s="512"/>
      <c r="H639" s="512"/>
      <c r="I639" s="512"/>
      <c r="J639" s="512"/>
      <c r="K639" s="512"/>
      <c r="L639" s="512"/>
      <c r="M639" s="512"/>
      <c r="N639" s="512"/>
      <c r="O639" s="512"/>
      <c r="P639" s="512"/>
      <c r="Q639" s="512"/>
      <c r="R639" s="512"/>
      <c r="S639" s="512"/>
      <c r="T639" s="512"/>
      <c r="U639" s="512"/>
      <c r="V639" s="512"/>
      <c r="W639" s="512"/>
      <c r="X639" s="512"/>
      <c r="Y639" s="512"/>
      <c r="Z639" s="512"/>
      <c r="AA639" s="512"/>
    </row>
    <row r="640">
      <c r="A640" s="512"/>
      <c r="B640" s="512"/>
      <c r="C640" s="512"/>
      <c r="D640" s="512"/>
      <c r="E640" s="512"/>
      <c r="F640" s="512"/>
      <c r="G640" s="512"/>
      <c r="H640" s="512"/>
      <c r="I640" s="512"/>
      <c r="J640" s="512"/>
      <c r="K640" s="512"/>
      <c r="L640" s="512"/>
      <c r="M640" s="512"/>
      <c r="N640" s="512"/>
      <c r="O640" s="512"/>
      <c r="P640" s="512"/>
      <c r="Q640" s="512"/>
      <c r="R640" s="512"/>
      <c r="S640" s="512"/>
      <c r="T640" s="512"/>
      <c r="U640" s="512"/>
      <c r="V640" s="512"/>
      <c r="W640" s="512"/>
      <c r="X640" s="512"/>
      <c r="Y640" s="512"/>
      <c r="Z640" s="512"/>
      <c r="AA640" s="512"/>
    </row>
    <row r="641">
      <c r="A641" s="512"/>
      <c r="B641" s="512"/>
      <c r="C641" s="512"/>
      <c r="D641" s="512"/>
      <c r="E641" s="512"/>
      <c r="F641" s="512"/>
      <c r="G641" s="512"/>
      <c r="H641" s="512"/>
      <c r="I641" s="512"/>
      <c r="J641" s="512"/>
      <c r="K641" s="512"/>
      <c r="L641" s="512"/>
      <c r="M641" s="512"/>
      <c r="N641" s="512"/>
      <c r="O641" s="512"/>
      <c r="P641" s="512"/>
      <c r="Q641" s="512"/>
      <c r="R641" s="512"/>
      <c r="S641" s="512"/>
      <c r="T641" s="512"/>
      <c r="U641" s="512"/>
      <c r="V641" s="512"/>
      <c r="W641" s="512"/>
      <c r="X641" s="512"/>
      <c r="Y641" s="512"/>
      <c r="Z641" s="512"/>
      <c r="AA641" s="512"/>
    </row>
    <row r="642">
      <c r="A642" s="512"/>
      <c r="B642" s="512"/>
      <c r="C642" s="512"/>
      <c r="D642" s="512"/>
      <c r="E642" s="512"/>
      <c r="F642" s="512"/>
      <c r="G642" s="512"/>
      <c r="H642" s="512"/>
      <c r="I642" s="512"/>
      <c r="J642" s="512"/>
      <c r="K642" s="512"/>
      <c r="L642" s="512"/>
      <c r="M642" s="512"/>
      <c r="N642" s="512"/>
      <c r="O642" s="512"/>
      <c r="P642" s="512"/>
      <c r="Q642" s="512"/>
      <c r="R642" s="512"/>
      <c r="S642" s="512"/>
      <c r="T642" s="512"/>
      <c r="U642" s="512"/>
      <c r="V642" s="512"/>
      <c r="W642" s="512"/>
      <c r="X642" s="512"/>
      <c r="Y642" s="512"/>
      <c r="Z642" s="512"/>
      <c r="AA642" s="512"/>
    </row>
    <row r="643">
      <c r="A643" s="512"/>
      <c r="B643" s="512"/>
      <c r="C643" s="512"/>
      <c r="D643" s="512"/>
      <c r="E643" s="512"/>
      <c r="F643" s="512"/>
      <c r="G643" s="512"/>
      <c r="H643" s="512"/>
      <c r="I643" s="512"/>
      <c r="J643" s="512"/>
      <c r="K643" s="512"/>
      <c r="L643" s="512"/>
      <c r="M643" s="512"/>
      <c r="N643" s="512"/>
      <c r="O643" s="512"/>
      <c r="P643" s="512"/>
      <c r="Q643" s="512"/>
      <c r="R643" s="512"/>
      <c r="S643" s="512"/>
      <c r="T643" s="512"/>
      <c r="U643" s="512"/>
      <c r="V643" s="512"/>
      <c r="W643" s="512"/>
      <c r="X643" s="512"/>
      <c r="Y643" s="512"/>
      <c r="Z643" s="512"/>
      <c r="AA643" s="512"/>
    </row>
    <row r="644">
      <c r="A644" s="512"/>
      <c r="B644" s="512"/>
      <c r="C644" s="512"/>
      <c r="D644" s="512"/>
      <c r="E644" s="512"/>
      <c r="F644" s="512"/>
      <c r="G644" s="512"/>
      <c r="H644" s="512"/>
      <c r="I644" s="512"/>
      <c r="J644" s="512"/>
      <c r="K644" s="512"/>
      <c r="L644" s="512"/>
      <c r="M644" s="512"/>
      <c r="N644" s="512"/>
      <c r="O644" s="512"/>
      <c r="P644" s="512"/>
      <c r="Q644" s="512"/>
      <c r="R644" s="512"/>
      <c r="S644" s="512"/>
      <c r="T644" s="512"/>
      <c r="U644" s="512"/>
      <c r="V644" s="512"/>
      <c r="W644" s="512"/>
      <c r="X644" s="512"/>
      <c r="Y644" s="512"/>
      <c r="Z644" s="512"/>
      <c r="AA644" s="512"/>
    </row>
    <row r="645">
      <c r="A645" s="512"/>
      <c r="B645" s="512"/>
      <c r="C645" s="512"/>
      <c r="D645" s="512"/>
      <c r="E645" s="512"/>
      <c r="F645" s="512"/>
      <c r="G645" s="512"/>
      <c r="H645" s="512"/>
      <c r="I645" s="512"/>
      <c r="J645" s="512"/>
      <c r="K645" s="512"/>
      <c r="L645" s="512"/>
      <c r="M645" s="512"/>
      <c r="N645" s="512"/>
      <c r="O645" s="512"/>
      <c r="P645" s="512"/>
      <c r="Q645" s="512"/>
      <c r="R645" s="512"/>
      <c r="S645" s="512"/>
      <c r="T645" s="512"/>
      <c r="U645" s="512"/>
      <c r="V645" s="512"/>
      <c r="W645" s="512"/>
      <c r="X645" s="512"/>
      <c r="Y645" s="512"/>
      <c r="Z645" s="512"/>
      <c r="AA645" s="512"/>
    </row>
    <row r="646">
      <c r="A646" s="512"/>
      <c r="B646" s="512"/>
      <c r="C646" s="512"/>
      <c r="D646" s="512"/>
      <c r="E646" s="512"/>
      <c r="F646" s="512"/>
      <c r="G646" s="512"/>
      <c r="H646" s="512"/>
      <c r="I646" s="512"/>
      <c r="J646" s="512"/>
      <c r="K646" s="512"/>
      <c r="L646" s="512"/>
      <c r="M646" s="512"/>
      <c r="N646" s="512"/>
      <c r="O646" s="512"/>
      <c r="P646" s="512"/>
      <c r="Q646" s="512"/>
      <c r="R646" s="512"/>
      <c r="S646" s="512"/>
      <c r="T646" s="512"/>
      <c r="U646" s="512"/>
      <c r="V646" s="512"/>
      <c r="W646" s="512"/>
      <c r="X646" s="512"/>
      <c r="Y646" s="512"/>
      <c r="Z646" s="512"/>
      <c r="AA646" s="512"/>
    </row>
    <row r="647">
      <c r="A647" s="512"/>
      <c r="B647" s="512"/>
      <c r="C647" s="512"/>
      <c r="D647" s="512"/>
      <c r="E647" s="512"/>
      <c r="F647" s="512"/>
      <c r="G647" s="512"/>
      <c r="H647" s="512"/>
      <c r="I647" s="512"/>
      <c r="J647" s="512"/>
      <c r="K647" s="512"/>
      <c r="L647" s="512"/>
      <c r="M647" s="512"/>
      <c r="N647" s="512"/>
      <c r="O647" s="512"/>
      <c r="P647" s="512"/>
      <c r="Q647" s="512"/>
      <c r="R647" s="512"/>
      <c r="S647" s="512"/>
      <c r="T647" s="512"/>
      <c r="U647" s="512"/>
      <c r="V647" s="512"/>
      <c r="W647" s="512"/>
      <c r="X647" s="512"/>
      <c r="Y647" s="512"/>
      <c r="Z647" s="512"/>
      <c r="AA647" s="512"/>
    </row>
    <row r="648">
      <c r="A648" s="512"/>
      <c r="B648" s="512"/>
      <c r="C648" s="512"/>
      <c r="D648" s="512"/>
      <c r="E648" s="512"/>
      <c r="F648" s="512"/>
      <c r="G648" s="512"/>
      <c r="H648" s="512"/>
      <c r="I648" s="512"/>
      <c r="J648" s="512"/>
      <c r="K648" s="512"/>
      <c r="L648" s="512"/>
      <c r="M648" s="512"/>
      <c r="N648" s="512"/>
      <c r="O648" s="512"/>
      <c r="P648" s="512"/>
      <c r="Q648" s="512"/>
      <c r="R648" s="512"/>
      <c r="S648" s="512"/>
      <c r="T648" s="512"/>
      <c r="U648" s="512"/>
      <c r="V648" s="512"/>
      <c r="W648" s="512"/>
      <c r="X648" s="512"/>
      <c r="Y648" s="512"/>
      <c r="Z648" s="512"/>
      <c r="AA648" s="512"/>
    </row>
    <row r="649">
      <c r="A649" s="512"/>
      <c r="B649" s="512"/>
      <c r="C649" s="512"/>
      <c r="D649" s="512"/>
      <c r="E649" s="512"/>
      <c r="F649" s="512"/>
      <c r="G649" s="512"/>
      <c r="H649" s="512"/>
      <c r="I649" s="512"/>
      <c r="J649" s="512"/>
      <c r="K649" s="512"/>
      <c r="L649" s="512"/>
      <c r="M649" s="512"/>
      <c r="N649" s="512"/>
      <c r="O649" s="512"/>
      <c r="P649" s="512"/>
      <c r="Q649" s="512"/>
      <c r="R649" s="512"/>
      <c r="S649" s="512"/>
      <c r="T649" s="512"/>
      <c r="U649" s="512"/>
      <c r="V649" s="512"/>
      <c r="W649" s="512"/>
      <c r="X649" s="512"/>
      <c r="Y649" s="512"/>
      <c r="Z649" s="512"/>
      <c r="AA649" s="512"/>
    </row>
    <row r="650">
      <c r="A650" s="512"/>
      <c r="B650" s="512"/>
      <c r="C650" s="512"/>
      <c r="D650" s="512"/>
      <c r="E650" s="512"/>
      <c r="F650" s="512"/>
      <c r="G650" s="512"/>
      <c r="H650" s="512"/>
      <c r="I650" s="512"/>
      <c r="J650" s="512"/>
      <c r="K650" s="512"/>
      <c r="L650" s="512"/>
      <c r="M650" s="512"/>
      <c r="N650" s="512"/>
      <c r="O650" s="512"/>
      <c r="P650" s="512"/>
      <c r="Q650" s="512"/>
      <c r="R650" s="512"/>
      <c r="S650" s="512"/>
      <c r="T650" s="512"/>
      <c r="U650" s="512"/>
      <c r="V650" s="512"/>
      <c r="W650" s="512"/>
      <c r="X650" s="512"/>
      <c r="Y650" s="512"/>
      <c r="Z650" s="512"/>
      <c r="AA650" s="512"/>
    </row>
    <row r="651">
      <c r="A651" s="512"/>
      <c r="B651" s="512"/>
      <c r="C651" s="512"/>
      <c r="D651" s="512"/>
      <c r="E651" s="512"/>
      <c r="F651" s="512"/>
      <c r="G651" s="512"/>
      <c r="H651" s="512"/>
      <c r="I651" s="512"/>
      <c r="J651" s="512"/>
      <c r="K651" s="512"/>
      <c r="L651" s="512"/>
      <c r="M651" s="512"/>
      <c r="N651" s="512"/>
      <c r="O651" s="512"/>
      <c r="P651" s="512"/>
      <c r="Q651" s="512"/>
      <c r="R651" s="512"/>
      <c r="S651" s="512"/>
      <c r="T651" s="512"/>
      <c r="U651" s="512"/>
      <c r="V651" s="512"/>
      <c r="W651" s="512"/>
      <c r="X651" s="512"/>
      <c r="Y651" s="512"/>
      <c r="Z651" s="512"/>
      <c r="AA651" s="512"/>
    </row>
    <row r="652">
      <c r="A652" s="512"/>
      <c r="B652" s="512"/>
      <c r="C652" s="512"/>
      <c r="D652" s="512"/>
      <c r="E652" s="512"/>
      <c r="F652" s="512"/>
      <c r="G652" s="512"/>
      <c r="H652" s="512"/>
      <c r="I652" s="512"/>
      <c r="J652" s="512"/>
      <c r="K652" s="512"/>
      <c r="L652" s="512"/>
      <c r="M652" s="512"/>
      <c r="N652" s="512"/>
      <c r="O652" s="512"/>
      <c r="P652" s="512"/>
      <c r="Q652" s="512"/>
      <c r="R652" s="512"/>
      <c r="S652" s="512"/>
      <c r="T652" s="512"/>
      <c r="U652" s="512"/>
      <c r="V652" s="512"/>
      <c r="W652" s="512"/>
      <c r="X652" s="512"/>
      <c r="Y652" s="512"/>
      <c r="Z652" s="512"/>
      <c r="AA652" s="512"/>
    </row>
    <row r="653">
      <c r="A653" s="512"/>
      <c r="B653" s="512"/>
      <c r="C653" s="512"/>
      <c r="D653" s="512"/>
      <c r="E653" s="512"/>
      <c r="F653" s="512"/>
      <c r="G653" s="512"/>
      <c r="H653" s="512"/>
      <c r="I653" s="512"/>
      <c r="J653" s="512"/>
      <c r="K653" s="512"/>
      <c r="L653" s="512"/>
      <c r="M653" s="512"/>
      <c r="N653" s="512"/>
      <c r="O653" s="512"/>
      <c r="P653" s="512"/>
      <c r="Q653" s="512"/>
      <c r="R653" s="512"/>
      <c r="S653" s="512"/>
      <c r="T653" s="512"/>
      <c r="U653" s="512"/>
      <c r="V653" s="512"/>
      <c r="W653" s="512"/>
      <c r="X653" s="512"/>
      <c r="Y653" s="512"/>
      <c r="Z653" s="512"/>
      <c r="AA653" s="512"/>
    </row>
    <row r="654">
      <c r="A654" s="512"/>
      <c r="B654" s="512"/>
      <c r="C654" s="512"/>
      <c r="D654" s="512"/>
      <c r="E654" s="512"/>
      <c r="F654" s="512"/>
      <c r="G654" s="512"/>
      <c r="H654" s="512"/>
      <c r="I654" s="512"/>
      <c r="J654" s="512"/>
      <c r="K654" s="512"/>
      <c r="L654" s="512"/>
      <c r="M654" s="512"/>
      <c r="N654" s="512"/>
      <c r="O654" s="512"/>
      <c r="P654" s="512"/>
      <c r="Q654" s="512"/>
      <c r="R654" s="512"/>
      <c r="S654" s="512"/>
      <c r="T654" s="512"/>
      <c r="U654" s="512"/>
      <c r="V654" s="512"/>
      <c r="W654" s="512"/>
      <c r="X654" s="512"/>
      <c r="Y654" s="512"/>
      <c r="Z654" s="512"/>
      <c r="AA654" s="512"/>
    </row>
    <row r="655">
      <c r="A655" s="512"/>
      <c r="B655" s="512"/>
      <c r="C655" s="512"/>
      <c r="D655" s="512"/>
      <c r="E655" s="512"/>
      <c r="F655" s="512"/>
      <c r="G655" s="512"/>
      <c r="H655" s="512"/>
      <c r="I655" s="512"/>
      <c r="J655" s="512"/>
      <c r="K655" s="512"/>
      <c r="L655" s="512"/>
      <c r="M655" s="512"/>
      <c r="N655" s="512"/>
      <c r="O655" s="512"/>
      <c r="P655" s="512"/>
      <c r="Q655" s="512"/>
      <c r="R655" s="512"/>
      <c r="S655" s="512"/>
      <c r="T655" s="512"/>
      <c r="U655" s="512"/>
      <c r="V655" s="512"/>
      <c r="W655" s="512"/>
      <c r="X655" s="512"/>
      <c r="Y655" s="512"/>
      <c r="Z655" s="512"/>
      <c r="AA655" s="512"/>
    </row>
    <row r="656">
      <c r="A656" s="512"/>
      <c r="B656" s="512"/>
      <c r="C656" s="512"/>
      <c r="D656" s="512"/>
      <c r="E656" s="512"/>
      <c r="F656" s="512"/>
      <c r="G656" s="512"/>
      <c r="H656" s="512"/>
      <c r="I656" s="512"/>
      <c r="J656" s="512"/>
      <c r="K656" s="512"/>
      <c r="L656" s="512"/>
      <c r="M656" s="512"/>
      <c r="N656" s="512"/>
      <c r="O656" s="512"/>
      <c r="P656" s="512"/>
      <c r="Q656" s="512"/>
      <c r="R656" s="512"/>
      <c r="S656" s="512"/>
      <c r="T656" s="512"/>
      <c r="U656" s="512"/>
      <c r="V656" s="512"/>
      <c r="W656" s="512"/>
      <c r="X656" s="512"/>
      <c r="Y656" s="512"/>
      <c r="Z656" s="512"/>
      <c r="AA656" s="512"/>
    </row>
    <row r="657">
      <c r="A657" s="512"/>
      <c r="B657" s="512"/>
      <c r="C657" s="512"/>
      <c r="D657" s="512"/>
      <c r="E657" s="512"/>
      <c r="F657" s="512"/>
      <c r="G657" s="512"/>
      <c r="H657" s="512"/>
      <c r="I657" s="512"/>
      <c r="J657" s="512"/>
      <c r="K657" s="512"/>
      <c r="L657" s="512"/>
      <c r="M657" s="512"/>
      <c r="N657" s="512"/>
      <c r="O657" s="512"/>
      <c r="P657" s="512"/>
      <c r="Q657" s="512"/>
      <c r="R657" s="512"/>
      <c r="S657" s="512"/>
      <c r="T657" s="512"/>
      <c r="U657" s="512"/>
      <c r="V657" s="512"/>
      <c r="W657" s="512"/>
      <c r="X657" s="512"/>
      <c r="Y657" s="512"/>
      <c r="Z657" s="512"/>
      <c r="AA657" s="512"/>
    </row>
    <row r="658">
      <c r="A658" s="512"/>
      <c r="B658" s="512"/>
      <c r="C658" s="512"/>
      <c r="D658" s="512"/>
      <c r="E658" s="512"/>
      <c r="F658" s="512"/>
      <c r="G658" s="512"/>
      <c r="H658" s="512"/>
      <c r="I658" s="512"/>
      <c r="J658" s="512"/>
      <c r="K658" s="512"/>
      <c r="L658" s="512"/>
      <c r="M658" s="512"/>
      <c r="N658" s="512"/>
      <c r="O658" s="512"/>
      <c r="P658" s="512"/>
      <c r="Q658" s="512"/>
      <c r="R658" s="512"/>
      <c r="S658" s="512"/>
      <c r="T658" s="512"/>
      <c r="U658" s="512"/>
      <c r="V658" s="512"/>
      <c r="W658" s="512"/>
      <c r="X658" s="512"/>
      <c r="Y658" s="512"/>
      <c r="Z658" s="512"/>
      <c r="AA658" s="512"/>
    </row>
    <row r="659">
      <c r="A659" s="512"/>
      <c r="B659" s="512"/>
      <c r="C659" s="512"/>
      <c r="D659" s="512"/>
      <c r="E659" s="512"/>
      <c r="F659" s="512"/>
      <c r="G659" s="512"/>
      <c r="H659" s="512"/>
      <c r="I659" s="512"/>
      <c r="J659" s="512"/>
      <c r="K659" s="512"/>
      <c r="L659" s="512"/>
      <c r="M659" s="512"/>
      <c r="N659" s="512"/>
      <c r="O659" s="512"/>
      <c r="P659" s="512"/>
      <c r="Q659" s="512"/>
      <c r="R659" s="512"/>
      <c r="S659" s="512"/>
      <c r="T659" s="512"/>
      <c r="U659" s="512"/>
      <c r="V659" s="512"/>
      <c r="W659" s="512"/>
      <c r="X659" s="512"/>
      <c r="Y659" s="512"/>
      <c r="Z659" s="512"/>
      <c r="AA659" s="512"/>
    </row>
    <row r="660">
      <c r="A660" s="512"/>
      <c r="B660" s="512"/>
      <c r="C660" s="512"/>
      <c r="D660" s="512"/>
      <c r="E660" s="512"/>
      <c r="F660" s="512"/>
      <c r="G660" s="512"/>
      <c r="H660" s="512"/>
      <c r="I660" s="512"/>
      <c r="J660" s="512"/>
      <c r="K660" s="512"/>
      <c r="L660" s="512"/>
      <c r="M660" s="512"/>
      <c r="N660" s="512"/>
      <c r="O660" s="512"/>
      <c r="P660" s="512"/>
      <c r="Q660" s="512"/>
      <c r="R660" s="512"/>
      <c r="S660" s="512"/>
      <c r="T660" s="512"/>
      <c r="U660" s="512"/>
      <c r="V660" s="512"/>
      <c r="W660" s="512"/>
      <c r="X660" s="512"/>
      <c r="Y660" s="512"/>
      <c r="Z660" s="512"/>
      <c r="AA660" s="512"/>
    </row>
    <row r="661">
      <c r="A661" s="512"/>
      <c r="B661" s="512"/>
      <c r="C661" s="512"/>
      <c r="D661" s="512"/>
      <c r="E661" s="512"/>
      <c r="F661" s="512"/>
      <c r="G661" s="512"/>
      <c r="H661" s="512"/>
      <c r="I661" s="512"/>
      <c r="J661" s="512"/>
      <c r="K661" s="512"/>
      <c r="L661" s="512"/>
      <c r="M661" s="512"/>
      <c r="N661" s="512"/>
      <c r="O661" s="512"/>
      <c r="P661" s="512"/>
      <c r="Q661" s="512"/>
      <c r="R661" s="512"/>
      <c r="S661" s="512"/>
      <c r="T661" s="512"/>
      <c r="U661" s="512"/>
      <c r="V661" s="512"/>
      <c r="W661" s="512"/>
      <c r="X661" s="512"/>
      <c r="Y661" s="512"/>
      <c r="Z661" s="512"/>
      <c r="AA661" s="512"/>
    </row>
    <row r="662">
      <c r="A662" s="512"/>
      <c r="B662" s="512"/>
      <c r="C662" s="512"/>
      <c r="D662" s="512"/>
      <c r="E662" s="512"/>
      <c r="F662" s="512"/>
      <c r="G662" s="512"/>
      <c r="H662" s="512"/>
      <c r="I662" s="512"/>
      <c r="J662" s="512"/>
      <c r="K662" s="512"/>
      <c r="L662" s="512"/>
      <c r="M662" s="512"/>
      <c r="N662" s="512"/>
      <c r="O662" s="512"/>
      <c r="P662" s="512"/>
      <c r="Q662" s="512"/>
      <c r="R662" s="512"/>
      <c r="S662" s="512"/>
      <c r="T662" s="512"/>
      <c r="U662" s="512"/>
      <c r="V662" s="512"/>
      <c r="W662" s="512"/>
      <c r="X662" s="512"/>
      <c r="Y662" s="512"/>
      <c r="Z662" s="512"/>
      <c r="AA662" s="512"/>
    </row>
    <row r="663">
      <c r="A663" s="512"/>
      <c r="B663" s="512"/>
      <c r="C663" s="512"/>
      <c r="D663" s="512"/>
      <c r="E663" s="512"/>
      <c r="F663" s="512"/>
      <c r="G663" s="512"/>
      <c r="H663" s="512"/>
      <c r="I663" s="512"/>
      <c r="J663" s="512"/>
      <c r="K663" s="512"/>
      <c r="L663" s="512"/>
      <c r="M663" s="512"/>
      <c r="N663" s="512"/>
      <c r="O663" s="512"/>
      <c r="P663" s="512"/>
      <c r="Q663" s="512"/>
      <c r="R663" s="512"/>
      <c r="S663" s="512"/>
      <c r="T663" s="512"/>
      <c r="U663" s="512"/>
      <c r="V663" s="512"/>
      <c r="W663" s="512"/>
      <c r="X663" s="512"/>
      <c r="Y663" s="512"/>
      <c r="Z663" s="512"/>
      <c r="AA663" s="512"/>
    </row>
    <row r="664">
      <c r="A664" s="512"/>
      <c r="B664" s="512"/>
      <c r="C664" s="512"/>
      <c r="D664" s="512"/>
      <c r="E664" s="512"/>
      <c r="F664" s="512"/>
      <c r="G664" s="512"/>
      <c r="H664" s="512"/>
      <c r="I664" s="512"/>
      <c r="J664" s="512"/>
      <c r="K664" s="512"/>
      <c r="L664" s="512"/>
      <c r="M664" s="512"/>
      <c r="N664" s="512"/>
      <c r="O664" s="512"/>
      <c r="P664" s="512"/>
      <c r="Q664" s="512"/>
      <c r="R664" s="512"/>
      <c r="S664" s="512"/>
      <c r="T664" s="512"/>
      <c r="U664" s="512"/>
      <c r="V664" s="512"/>
      <c r="W664" s="512"/>
      <c r="X664" s="512"/>
      <c r="Y664" s="512"/>
      <c r="Z664" s="512"/>
      <c r="AA664" s="512"/>
    </row>
    <row r="665">
      <c r="A665" s="512"/>
      <c r="B665" s="512"/>
      <c r="C665" s="512"/>
      <c r="D665" s="512"/>
      <c r="E665" s="512"/>
      <c r="F665" s="512"/>
      <c r="G665" s="512"/>
      <c r="H665" s="512"/>
      <c r="I665" s="512"/>
      <c r="J665" s="512"/>
      <c r="K665" s="512"/>
      <c r="L665" s="512"/>
      <c r="M665" s="512"/>
      <c r="N665" s="512"/>
      <c r="O665" s="512"/>
      <c r="P665" s="512"/>
      <c r="Q665" s="512"/>
      <c r="R665" s="512"/>
      <c r="S665" s="512"/>
      <c r="T665" s="512"/>
      <c r="U665" s="512"/>
      <c r="V665" s="512"/>
      <c r="W665" s="512"/>
      <c r="X665" s="512"/>
      <c r="Y665" s="512"/>
      <c r="Z665" s="512"/>
      <c r="AA665" s="512"/>
    </row>
    <row r="666">
      <c r="A666" s="512"/>
      <c r="B666" s="512"/>
      <c r="C666" s="512"/>
      <c r="D666" s="512"/>
      <c r="E666" s="512"/>
      <c r="F666" s="512"/>
      <c r="G666" s="512"/>
      <c r="H666" s="512"/>
      <c r="I666" s="512"/>
      <c r="J666" s="512"/>
      <c r="K666" s="512"/>
      <c r="L666" s="512"/>
      <c r="M666" s="512"/>
      <c r="N666" s="512"/>
      <c r="O666" s="512"/>
      <c r="P666" s="512"/>
      <c r="Q666" s="512"/>
      <c r="R666" s="512"/>
      <c r="S666" s="512"/>
      <c r="T666" s="512"/>
      <c r="U666" s="512"/>
      <c r="V666" s="512"/>
      <c r="W666" s="512"/>
      <c r="X666" s="512"/>
      <c r="Y666" s="512"/>
      <c r="Z666" s="512"/>
      <c r="AA666" s="512"/>
    </row>
    <row r="667">
      <c r="A667" s="512"/>
      <c r="B667" s="512"/>
      <c r="C667" s="512"/>
      <c r="D667" s="512"/>
      <c r="E667" s="512"/>
      <c r="F667" s="512"/>
      <c r="G667" s="512"/>
      <c r="H667" s="512"/>
      <c r="I667" s="512"/>
      <c r="J667" s="512"/>
      <c r="K667" s="512"/>
      <c r="L667" s="512"/>
      <c r="M667" s="512"/>
      <c r="N667" s="512"/>
      <c r="O667" s="512"/>
      <c r="P667" s="512"/>
      <c r="Q667" s="512"/>
      <c r="R667" s="512"/>
      <c r="S667" s="512"/>
      <c r="T667" s="512"/>
      <c r="U667" s="512"/>
      <c r="V667" s="512"/>
      <c r="W667" s="512"/>
      <c r="X667" s="512"/>
      <c r="Y667" s="512"/>
      <c r="Z667" s="512"/>
      <c r="AA667" s="512"/>
    </row>
    <row r="668">
      <c r="A668" s="512"/>
      <c r="B668" s="512"/>
      <c r="C668" s="512"/>
      <c r="D668" s="512"/>
      <c r="E668" s="512"/>
      <c r="F668" s="512"/>
      <c r="G668" s="512"/>
      <c r="H668" s="512"/>
      <c r="I668" s="512"/>
      <c r="J668" s="512"/>
      <c r="K668" s="512"/>
      <c r="L668" s="512"/>
      <c r="M668" s="512"/>
      <c r="N668" s="512"/>
      <c r="O668" s="512"/>
      <c r="P668" s="512"/>
      <c r="Q668" s="512"/>
      <c r="R668" s="512"/>
      <c r="S668" s="512"/>
      <c r="T668" s="512"/>
      <c r="U668" s="512"/>
      <c r="V668" s="512"/>
      <c r="W668" s="512"/>
      <c r="X668" s="512"/>
      <c r="Y668" s="512"/>
      <c r="Z668" s="512"/>
      <c r="AA668" s="512"/>
    </row>
    <row r="669">
      <c r="A669" s="512"/>
      <c r="B669" s="512"/>
      <c r="C669" s="512"/>
      <c r="D669" s="512"/>
      <c r="E669" s="512"/>
      <c r="F669" s="512"/>
      <c r="G669" s="512"/>
      <c r="H669" s="512"/>
      <c r="I669" s="512"/>
      <c r="J669" s="512"/>
      <c r="K669" s="512"/>
      <c r="L669" s="512"/>
      <c r="M669" s="512"/>
      <c r="N669" s="512"/>
      <c r="O669" s="512"/>
      <c r="P669" s="512"/>
      <c r="Q669" s="512"/>
      <c r="R669" s="512"/>
      <c r="S669" s="512"/>
      <c r="T669" s="512"/>
      <c r="U669" s="512"/>
      <c r="V669" s="512"/>
      <c r="W669" s="512"/>
      <c r="X669" s="512"/>
      <c r="Y669" s="512"/>
      <c r="Z669" s="512"/>
      <c r="AA669" s="512"/>
    </row>
    <row r="670">
      <c r="A670" s="512"/>
      <c r="B670" s="512"/>
      <c r="C670" s="512"/>
      <c r="D670" s="512"/>
      <c r="E670" s="512"/>
      <c r="F670" s="512"/>
      <c r="G670" s="512"/>
      <c r="H670" s="512"/>
      <c r="I670" s="512"/>
      <c r="J670" s="512"/>
      <c r="K670" s="512"/>
      <c r="L670" s="512"/>
      <c r="M670" s="512"/>
      <c r="N670" s="512"/>
      <c r="O670" s="512"/>
      <c r="P670" s="512"/>
      <c r="Q670" s="512"/>
      <c r="R670" s="512"/>
      <c r="S670" s="512"/>
      <c r="T670" s="512"/>
      <c r="U670" s="512"/>
      <c r="V670" s="512"/>
      <c r="W670" s="512"/>
      <c r="X670" s="512"/>
      <c r="Y670" s="512"/>
      <c r="Z670" s="512"/>
      <c r="AA670" s="512"/>
    </row>
    <row r="671">
      <c r="A671" s="512"/>
      <c r="B671" s="512"/>
      <c r="C671" s="512"/>
      <c r="D671" s="512"/>
      <c r="E671" s="512"/>
      <c r="F671" s="512"/>
      <c r="G671" s="512"/>
      <c r="H671" s="512"/>
      <c r="I671" s="512"/>
      <c r="J671" s="512"/>
      <c r="K671" s="512"/>
      <c r="L671" s="512"/>
      <c r="M671" s="512"/>
      <c r="N671" s="512"/>
      <c r="O671" s="512"/>
      <c r="P671" s="512"/>
      <c r="Q671" s="512"/>
      <c r="R671" s="512"/>
      <c r="S671" s="512"/>
      <c r="T671" s="512"/>
      <c r="U671" s="512"/>
      <c r="V671" s="512"/>
      <c r="W671" s="512"/>
      <c r="X671" s="512"/>
      <c r="Y671" s="512"/>
      <c r="Z671" s="512"/>
      <c r="AA671" s="512"/>
    </row>
    <row r="672">
      <c r="A672" s="512"/>
      <c r="B672" s="512"/>
      <c r="C672" s="512"/>
      <c r="D672" s="512"/>
      <c r="E672" s="512"/>
      <c r="F672" s="512"/>
      <c r="G672" s="512"/>
      <c r="H672" s="512"/>
      <c r="I672" s="512"/>
      <c r="J672" s="512"/>
      <c r="K672" s="512"/>
      <c r="L672" s="512"/>
      <c r="M672" s="512"/>
      <c r="N672" s="512"/>
      <c r="O672" s="512"/>
      <c r="P672" s="512"/>
      <c r="Q672" s="512"/>
      <c r="R672" s="512"/>
      <c r="S672" s="512"/>
      <c r="T672" s="512"/>
      <c r="U672" s="512"/>
      <c r="V672" s="512"/>
      <c r="W672" s="512"/>
      <c r="X672" s="512"/>
      <c r="Y672" s="512"/>
      <c r="Z672" s="512"/>
      <c r="AA672" s="512"/>
    </row>
    <row r="673">
      <c r="A673" s="512"/>
      <c r="B673" s="512"/>
      <c r="C673" s="512"/>
      <c r="D673" s="512"/>
      <c r="E673" s="512"/>
      <c r="F673" s="512"/>
      <c r="G673" s="512"/>
      <c r="H673" s="512"/>
      <c r="I673" s="512"/>
      <c r="J673" s="512"/>
      <c r="K673" s="512"/>
      <c r="L673" s="512"/>
      <c r="M673" s="512"/>
      <c r="N673" s="512"/>
      <c r="O673" s="512"/>
      <c r="P673" s="512"/>
      <c r="Q673" s="512"/>
      <c r="R673" s="512"/>
      <c r="S673" s="512"/>
      <c r="T673" s="512"/>
      <c r="U673" s="512"/>
      <c r="V673" s="512"/>
      <c r="W673" s="512"/>
      <c r="X673" s="512"/>
      <c r="Y673" s="512"/>
      <c r="Z673" s="512"/>
      <c r="AA673" s="512"/>
    </row>
    <row r="674">
      <c r="A674" s="512"/>
      <c r="B674" s="512"/>
      <c r="C674" s="512"/>
      <c r="D674" s="512"/>
      <c r="E674" s="512"/>
      <c r="F674" s="512"/>
      <c r="G674" s="512"/>
      <c r="H674" s="512"/>
      <c r="I674" s="512"/>
      <c r="J674" s="512"/>
      <c r="K674" s="512"/>
      <c r="L674" s="512"/>
      <c r="M674" s="512"/>
      <c r="N674" s="512"/>
      <c r="O674" s="512"/>
      <c r="P674" s="512"/>
      <c r="Q674" s="512"/>
      <c r="R674" s="512"/>
      <c r="S674" s="512"/>
      <c r="T674" s="512"/>
      <c r="U674" s="512"/>
      <c r="V674" s="512"/>
      <c r="W674" s="512"/>
      <c r="X674" s="512"/>
      <c r="Y674" s="512"/>
      <c r="Z674" s="512"/>
      <c r="AA674" s="512"/>
    </row>
    <row r="675">
      <c r="A675" s="512"/>
      <c r="B675" s="512"/>
      <c r="C675" s="512"/>
      <c r="D675" s="512"/>
      <c r="E675" s="512"/>
      <c r="F675" s="512"/>
      <c r="G675" s="512"/>
      <c r="H675" s="512"/>
      <c r="I675" s="512"/>
      <c r="J675" s="512"/>
      <c r="K675" s="512"/>
      <c r="L675" s="512"/>
      <c r="M675" s="512"/>
      <c r="N675" s="512"/>
      <c r="O675" s="512"/>
      <c r="P675" s="512"/>
      <c r="Q675" s="512"/>
      <c r="R675" s="512"/>
      <c r="S675" s="512"/>
      <c r="T675" s="512"/>
      <c r="U675" s="512"/>
      <c r="V675" s="512"/>
      <c r="W675" s="512"/>
      <c r="X675" s="512"/>
      <c r="Y675" s="512"/>
      <c r="Z675" s="512"/>
      <c r="AA675" s="512"/>
    </row>
    <row r="676">
      <c r="A676" s="512"/>
      <c r="B676" s="512"/>
      <c r="C676" s="512"/>
      <c r="D676" s="512"/>
      <c r="E676" s="512"/>
      <c r="F676" s="512"/>
      <c r="G676" s="512"/>
      <c r="H676" s="512"/>
      <c r="I676" s="512"/>
      <c r="J676" s="512"/>
      <c r="K676" s="512"/>
      <c r="L676" s="512"/>
      <c r="M676" s="512"/>
      <c r="N676" s="512"/>
      <c r="O676" s="512"/>
      <c r="P676" s="512"/>
      <c r="Q676" s="512"/>
      <c r="R676" s="512"/>
      <c r="S676" s="512"/>
      <c r="T676" s="512"/>
      <c r="U676" s="512"/>
      <c r="V676" s="512"/>
      <c r="W676" s="512"/>
      <c r="X676" s="512"/>
      <c r="Y676" s="512"/>
      <c r="Z676" s="512"/>
      <c r="AA676" s="512"/>
    </row>
    <row r="677">
      <c r="A677" s="512"/>
      <c r="B677" s="512"/>
      <c r="C677" s="512"/>
      <c r="D677" s="512"/>
      <c r="E677" s="512"/>
      <c r="F677" s="512"/>
      <c r="G677" s="512"/>
      <c r="H677" s="512"/>
      <c r="I677" s="512"/>
      <c r="J677" s="512"/>
      <c r="K677" s="512"/>
      <c r="L677" s="512"/>
      <c r="M677" s="512"/>
      <c r="N677" s="512"/>
      <c r="O677" s="512"/>
      <c r="P677" s="512"/>
      <c r="Q677" s="512"/>
      <c r="R677" s="512"/>
      <c r="S677" s="512"/>
      <c r="T677" s="512"/>
      <c r="U677" s="512"/>
      <c r="V677" s="512"/>
      <c r="W677" s="512"/>
      <c r="X677" s="512"/>
      <c r="Y677" s="512"/>
      <c r="Z677" s="512"/>
      <c r="AA677" s="512"/>
    </row>
    <row r="678">
      <c r="A678" s="512"/>
      <c r="B678" s="512"/>
      <c r="C678" s="512"/>
      <c r="D678" s="512"/>
      <c r="E678" s="512"/>
      <c r="F678" s="512"/>
      <c r="G678" s="512"/>
      <c r="H678" s="512"/>
      <c r="I678" s="512"/>
      <c r="J678" s="512"/>
      <c r="K678" s="512"/>
      <c r="L678" s="512"/>
      <c r="M678" s="512"/>
      <c r="N678" s="512"/>
      <c r="O678" s="512"/>
      <c r="P678" s="512"/>
      <c r="Q678" s="512"/>
      <c r="R678" s="512"/>
      <c r="S678" s="512"/>
      <c r="T678" s="512"/>
      <c r="U678" s="512"/>
      <c r="V678" s="512"/>
      <c r="W678" s="512"/>
      <c r="X678" s="512"/>
      <c r="Y678" s="512"/>
      <c r="Z678" s="512"/>
      <c r="AA678" s="512"/>
    </row>
    <row r="679">
      <c r="A679" s="512"/>
      <c r="B679" s="512"/>
      <c r="C679" s="512"/>
      <c r="D679" s="512"/>
      <c r="E679" s="512"/>
      <c r="F679" s="512"/>
      <c r="G679" s="512"/>
      <c r="H679" s="512"/>
      <c r="I679" s="512"/>
      <c r="J679" s="512"/>
      <c r="K679" s="512"/>
      <c r="L679" s="512"/>
      <c r="M679" s="512"/>
      <c r="N679" s="512"/>
      <c r="O679" s="512"/>
      <c r="P679" s="512"/>
      <c r="Q679" s="512"/>
      <c r="R679" s="512"/>
      <c r="S679" s="512"/>
      <c r="T679" s="512"/>
      <c r="U679" s="512"/>
      <c r="V679" s="512"/>
      <c r="W679" s="512"/>
      <c r="X679" s="512"/>
      <c r="Y679" s="512"/>
      <c r="Z679" s="512"/>
      <c r="AA679" s="512"/>
    </row>
    <row r="680">
      <c r="A680" s="512"/>
      <c r="B680" s="512"/>
      <c r="C680" s="512"/>
      <c r="D680" s="512"/>
      <c r="E680" s="512"/>
      <c r="F680" s="512"/>
      <c r="G680" s="512"/>
      <c r="H680" s="512"/>
      <c r="I680" s="512"/>
      <c r="J680" s="512"/>
      <c r="K680" s="512"/>
      <c r="L680" s="512"/>
      <c r="M680" s="512"/>
      <c r="N680" s="512"/>
      <c r="O680" s="512"/>
      <c r="P680" s="512"/>
      <c r="Q680" s="512"/>
      <c r="R680" s="512"/>
      <c r="S680" s="512"/>
      <c r="T680" s="512"/>
      <c r="U680" s="512"/>
      <c r="V680" s="512"/>
      <c r="W680" s="512"/>
      <c r="X680" s="512"/>
      <c r="Y680" s="512"/>
      <c r="Z680" s="512"/>
      <c r="AA680" s="512"/>
    </row>
    <row r="681">
      <c r="A681" s="512"/>
      <c r="B681" s="512"/>
      <c r="C681" s="512"/>
      <c r="D681" s="512"/>
      <c r="E681" s="512"/>
      <c r="F681" s="512"/>
      <c r="G681" s="512"/>
      <c r="H681" s="512"/>
      <c r="I681" s="512"/>
      <c r="J681" s="512"/>
      <c r="K681" s="512"/>
      <c r="L681" s="512"/>
      <c r="M681" s="512"/>
      <c r="N681" s="512"/>
      <c r="O681" s="512"/>
      <c r="P681" s="512"/>
      <c r="Q681" s="512"/>
      <c r="R681" s="512"/>
      <c r="S681" s="512"/>
      <c r="T681" s="512"/>
      <c r="U681" s="512"/>
      <c r="V681" s="512"/>
      <c r="W681" s="512"/>
      <c r="X681" s="512"/>
      <c r="Y681" s="512"/>
      <c r="Z681" s="512"/>
      <c r="AA681" s="512"/>
    </row>
    <row r="682">
      <c r="A682" s="512"/>
      <c r="B682" s="512"/>
      <c r="C682" s="512"/>
      <c r="D682" s="512"/>
      <c r="E682" s="512"/>
      <c r="F682" s="512"/>
      <c r="G682" s="512"/>
      <c r="H682" s="512"/>
      <c r="I682" s="512"/>
      <c r="J682" s="512"/>
      <c r="K682" s="512"/>
      <c r="L682" s="512"/>
      <c r="M682" s="512"/>
      <c r="N682" s="512"/>
      <c r="O682" s="512"/>
      <c r="P682" s="512"/>
      <c r="Q682" s="512"/>
      <c r="R682" s="512"/>
      <c r="S682" s="512"/>
      <c r="T682" s="512"/>
      <c r="U682" s="512"/>
      <c r="V682" s="512"/>
      <c r="W682" s="512"/>
      <c r="X682" s="512"/>
      <c r="Y682" s="512"/>
      <c r="Z682" s="512"/>
      <c r="AA682" s="512"/>
    </row>
    <row r="683">
      <c r="A683" s="512"/>
      <c r="B683" s="512"/>
      <c r="C683" s="512"/>
      <c r="D683" s="512"/>
      <c r="E683" s="512"/>
      <c r="F683" s="512"/>
      <c r="G683" s="512"/>
      <c r="H683" s="512"/>
      <c r="I683" s="512"/>
      <c r="J683" s="512"/>
      <c r="K683" s="512"/>
      <c r="L683" s="512"/>
      <c r="M683" s="512"/>
      <c r="N683" s="512"/>
      <c r="O683" s="512"/>
      <c r="P683" s="512"/>
      <c r="Q683" s="512"/>
      <c r="R683" s="512"/>
      <c r="S683" s="512"/>
      <c r="T683" s="512"/>
      <c r="U683" s="512"/>
      <c r="V683" s="512"/>
      <c r="W683" s="512"/>
      <c r="X683" s="512"/>
      <c r="Y683" s="512"/>
      <c r="Z683" s="512"/>
      <c r="AA683" s="512"/>
    </row>
    <row r="684">
      <c r="A684" s="512"/>
      <c r="B684" s="512"/>
      <c r="C684" s="512"/>
      <c r="D684" s="512"/>
      <c r="E684" s="512"/>
      <c r="F684" s="512"/>
      <c r="G684" s="512"/>
      <c r="H684" s="512"/>
      <c r="I684" s="512"/>
      <c r="J684" s="512"/>
      <c r="K684" s="512"/>
      <c r="L684" s="512"/>
      <c r="M684" s="512"/>
      <c r="N684" s="512"/>
      <c r="O684" s="512"/>
      <c r="P684" s="512"/>
      <c r="Q684" s="512"/>
      <c r="R684" s="512"/>
      <c r="S684" s="512"/>
      <c r="T684" s="512"/>
      <c r="U684" s="512"/>
      <c r="V684" s="512"/>
      <c r="W684" s="512"/>
      <c r="X684" s="512"/>
      <c r="Y684" s="512"/>
      <c r="Z684" s="512"/>
      <c r="AA684" s="512"/>
    </row>
    <row r="685">
      <c r="A685" s="512"/>
      <c r="B685" s="512"/>
      <c r="C685" s="512"/>
      <c r="D685" s="512"/>
      <c r="E685" s="512"/>
      <c r="F685" s="512"/>
      <c r="G685" s="512"/>
      <c r="H685" s="512"/>
      <c r="I685" s="512"/>
      <c r="J685" s="512"/>
      <c r="K685" s="512"/>
      <c r="L685" s="512"/>
      <c r="M685" s="512"/>
      <c r="N685" s="512"/>
      <c r="O685" s="512"/>
      <c r="P685" s="512"/>
      <c r="Q685" s="512"/>
      <c r="R685" s="512"/>
      <c r="S685" s="512"/>
      <c r="T685" s="512"/>
      <c r="U685" s="512"/>
      <c r="V685" s="512"/>
      <c r="W685" s="512"/>
      <c r="X685" s="512"/>
      <c r="Y685" s="512"/>
      <c r="Z685" s="512"/>
      <c r="AA685" s="512"/>
    </row>
    <row r="686">
      <c r="A686" s="512"/>
      <c r="B686" s="512"/>
      <c r="C686" s="512"/>
      <c r="D686" s="512"/>
      <c r="E686" s="512"/>
      <c r="F686" s="512"/>
      <c r="G686" s="512"/>
      <c r="H686" s="512"/>
      <c r="I686" s="512"/>
      <c r="J686" s="512"/>
      <c r="K686" s="512"/>
      <c r="L686" s="512"/>
      <c r="M686" s="512"/>
      <c r="N686" s="512"/>
      <c r="O686" s="512"/>
      <c r="P686" s="512"/>
      <c r="Q686" s="512"/>
      <c r="R686" s="512"/>
      <c r="S686" s="512"/>
      <c r="T686" s="512"/>
      <c r="U686" s="512"/>
      <c r="V686" s="512"/>
      <c r="W686" s="512"/>
      <c r="X686" s="512"/>
      <c r="Y686" s="512"/>
      <c r="Z686" s="512"/>
      <c r="AA686" s="512"/>
    </row>
    <row r="687">
      <c r="A687" s="512"/>
      <c r="B687" s="512"/>
      <c r="C687" s="512"/>
      <c r="D687" s="512"/>
      <c r="E687" s="512"/>
      <c r="F687" s="512"/>
      <c r="G687" s="512"/>
      <c r="H687" s="512"/>
      <c r="I687" s="512"/>
      <c r="J687" s="512"/>
      <c r="K687" s="512"/>
      <c r="L687" s="512"/>
      <c r="M687" s="512"/>
      <c r="N687" s="512"/>
      <c r="O687" s="512"/>
      <c r="P687" s="512"/>
      <c r="Q687" s="512"/>
      <c r="R687" s="512"/>
      <c r="S687" s="512"/>
      <c r="T687" s="512"/>
      <c r="U687" s="512"/>
      <c r="V687" s="512"/>
      <c r="W687" s="512"/>
      <c r="X687" s="512"/>
      <c r="Y687" s="512"/>
      <c r="Z687" s="512"/>
      <c r="AA687" s="512"/>
    </row>
    <row r="688">
      <c r="A688" s="512"/>
      <c r="B688" s="512"/>
      <c r="C688" s="512"/>
      <c r="D688" s="512"/>
      <c r="E688" s="512"/>
      <c r="F688" s="512"/>
      <c r="G688" s="512"/>
      <c r="H688" s="512"/>
      <c r="I688" s="512"/>
      <c r="J688" s="512"/>
      <c r="K688" s="512"/>
      <c r="L688" s="512"/>
      <c r="M688" s="512"/>
      <c r="N688" s="512"/>
      <c r="O688" s="512"/>
      <c r="P688" s="512"/>
      <c r="Q688" s="512"/>
      <c r="R688" s="512"/>
      <c r="S688" s="512"/>
      <c r="T688" s="512"/>
      <c r="U688" s="512"/>
      <c r="V688" s="512"/>
      <c r="W688" s="512"/>
      <c r="X688" s="512"/>
      <c r="Y688" s="512"/>
      <c r="Z688" s="512"/>
      <c r="AA688" s="512"/>
    </row>
    <row r="689">
      <c r="A689" s="512"/>
      <c r="B689" s="512"/>
      <c r="C689" s="512"/>
      <c r="D689" s="512"/>
      <c r="E689" s="512"/>
      <c r="F689" s="512"/>
      <c r="G689" s="512"/>
      <c r="H689" s="512"/>
      <c r="I689" s="512"/>
      <c r="J689" s="512"/>
      <c r="K689" s="512"/>
      <c r="L689" s="512"/>
      <c r="M689" s="512"/>
      <c r="N689" s="512"/>
      <c r="O689" s="512"/>
      <c r="P689" s="512"/>
      <c r="Q689" s="512"/>
      <c r="R689" s="512"/>
      <c r="S689" s="512"/>
      <c r="T689" s="512"/>
      <c r="U689" s="512"/>
      <c r="V689" s="512"/>
      <c r="W689" s="512"/>
      <c r="X689" s="512"/>
      <c r="Y689" s="512"/>
      <c r="Z689" s="512"/>
      <c r="AA689" s="512"/>
    </row>
    <row r="690">
      <c r="A690" s="512"/>
      <c r="B690" s="512"/>
      <c r="C690" s="512"/>
      <c r="D690" s="512"/>
      <c r="E690" s="512"/>
      <c r="F690" s="512"/>
      <c r="G690" s="512"/>
      <c r="H690" s="512"/>
      <c r="I690" s="512"/>
      <c r="J690" s="512"/>
      <c r="K690" s="512"/>
      <c r="L690" s="512"/>
      <c r="M690" s="512"/>
      <c r="N690" s="512"/>
      <c r="O690" s="512"/>
      <c r="P690" s="512"/>
      <c r="Q690" s="512"/>
      <c r="R690" s="512"/>
      <c r="S690" s="512"/>
      <c r="T690" s="512"/>
      <c r="U690" s="512"/>
      <c r="V690" s="512"/>
      <c r="W690" s="512"/>
      <c r="X690" s="512"/>
      <c r="Y690" s="512"/>
      <c r="Z690" s="512"/>
      <c r="AA690" s="512"/>
    </row>
    <row r="691">
      <c r="A691" s="512"/>
      <c r="B691" s="512"/>
      <c r="C691" s="512"/>
      <c r="D691" s="512"/>
      <c r="E691" s="512"/>
      <c r="F691" s="512"/>
      <c r="G691" s="512"/>
      <c r="H691" s="512"/>
      <c r="I691" s="512"/>
      <c r="J691" s="512"/>
      <c r="K691" s="512"/>
      <c r="L691" s="512"/>
      <c r="M691" s="512"/>
      <c r="N691" s="512"/>
      <c r="O691" s="512"/>
      <c r="P691" s="512"/>
      <c r="Q691" s="512"/>
      <c r="R691" s="512"/>
      <c r="S691" s="512"/>
      <c r="T691" s="512"/>
      <c r="U691" s="512"/>
      <c r="V691" s="512"/>
      <c r="W691" s="512"/>
      <c r="X691" s="512"/>
      <c r="Y691" s="512"/>
      <c r="Z691" s="512"/>
      <c r="AA691" s="512"/>
    </row>
    <row r="692">
      <c r="A692" s="512"/>
      <c r="B692" s="512"/>
      <c r="C692" s="512"/>
      <c r="D692" s="512"/>
      <c r="E692" s="512"/>
      <c r="F692" s="512"/>
      <c r="G692" s="512"/>
      <c r="H692" s="512"/>
      <c r="I692" s="512"/>
      <c r="J692" s="512"/>
      <c r="K692" s="512"/>
      <c r="L692" s="512"/>
      <c r="M692" s="512"/>
      <c r="N692" s="512"/>
      <c r="O692" s="512"/>
      <c r="P692" s="512"/>
      <c r="Q692" s="512"/>
      <c r="R692" s="512"/>
      <c r="S692" s="512"/>
      <c r="T692" s="512"/>
      <c r="U692" s="512"/>
      <c r="V692" s="512"/>
      <c r="W692" s="512"/>
      <c r="X692" s="512"/>
      <c r="Y692" s="512"/>
      <c r="Z692" s="512"/>
      <c r="AA692" s="512"/>
    </row>
    <row r="693">
      <c r="A693" s="512"/>
      <c r="B693" s="512"/>
      <c r="C693" s="512"/>
      <c r="D693" s="512"/>
      <c r="E693" s="512"/>
      <c r="F693" s="512"/>
      <c r="G693" s="512"/>
      <c r="H693" s="512"/>
      <c r="I693" s="512"/>
      <c r="J693" s="512"/>
      <c r="K693" s="512"/>
      <c r="L693" s="512"/>
      <c r="M693" s="512"/>
      <c r="N693" s="512"/>
      <c r="O693" s="512"/>
      <c r="P693" s="512"/>
      <c r="Q693" s="512"/>
      <c r="R693" s="512"/>
      <c r="S693" s="512"/>
      <c r="T693" s="512"/>
      <c r="U693" s="512"/>
      <c r="V693" s="512"/>
      <c r="W693" s="512"/>
      <c r="X693" s="512"/>
      <c r="Y693" s="512"/>
      <c r="Z693" s="512"/>
      <c r="AA693" s="512"/>
    </row>
    <row r="694">
      <c r="A694" s="512"/>
      <c r="B694" s="512"/>
      <c r="C694" s="512"/>
      <c r="D694" s="512"/>
      <c r="E694" s="512"/>
      <c r="F694" s="512"/>
      <c r="G694" s="512"/>
      <c r="H694" s="512"/>
      <c r="I694" s="512"/>
      <c r="J694" s="512"/>
      <c r="K694" s="512"/>
      <c r="L694" s="512"/>
      <c r="M694" s="512"/>
      <c r="N694" s="512"/>
      <c r="O694" s="512"/>
      <c r="P694" s="512"/>
      <c r="Q694" s="512"/>
      <c r="R694" s="512"/>
      <c r="S694" s="512"/>
      <c r="T694" s="512"/>
      <c r="U694" s="512"/>
      <c r="V694" s="512"/>
      <c r="W694" s="512"/>
      <c r="X694" s="512"/>
      <c r="Y694" s="512"/>
      <c r="Z694" s="512"/>
      <c r="AA694" s="512"/>
    </row>
    <row r="695">
      <c r="A695" s="512"/>
      <c r="B695" s="512"/>
      <c r="C695" s="512"/>
      <c r="D695" s="512"/>
      <c r="E695" s="512"/>
      <c r="F695" s="512"/>
      <c r="G695" s="512"/>
      <c r="H695" s="512"/>
      <c r="I695" s="512"/>
      <c r="J695" s="512"/>
      <c r="K695" s="512"/>
      <c r="L695" s="512"/>
      <c r="M695" s="512"/>
      <c r="N695" s="512"/>
      <c r="O695" s="512"/>
      <c r="P695" s="512"/>
      <c r="Q695" s="512"/>
      <c r="R695" s="512"/>
      <c r="S695" s="512"/>
      <c r="T695" s="512"/>
      <c r="U695" s="512"/>
      <c r="V695" s="512"/>
      <c r="W695" s="512"/>
      <c r="X695" s="512"/>
      <c r="Y695" s="512"/>
      <c r="Z695" s="512"/>
      <c r="AA695" s="512"/>
    </row>
    <row r="696">
      <c r="A696" s="512"/>
      <c r="B696" s="512"/>
      <c r="C696" s="512"/>
      <c r="D696" s="512"/>
      <c r="E696" s="512"/>
      <c r="F696" s="512"/>
      <c r="G696" s="512"/>
      <c r="H696" s="512"/>
      <c r="I696" s="512"/>
      <c r="J696" s="512"/>
      <c r="K696" s="512"/>
      <c r="L696" s="512"/>
      <c r="M696" s="512"/>
      <c r="N696" s="512"/>
      <c r="O696" s="512"/>
      <c r="P696" s="512"/>
      <c r="Q696" s="512"/>
      <c r="R696" s="512"/>
      <c r="S696" s="512"/>
      <c r="T696" s="512"/>
      <c r="U696" s="512"/>
      <c r="V696" s="512"/>
      <c r="W696" s="512"/>
      <c r="X696" s="512"/>
      <c r="Y696" s="512"/>
      <c r="Z696" s="512"/>
      <c r="AA696" s="512"/>
    </row>
    <row r="697">
      <c r="A697" s="512"/>
      <c r="B697" s="512"/>
      <c r="C697" s="512"/>
      <c r="D697" s="512"/>
      <c r="E697" s="512"/>
      <c r="F697" s="512"/>
      <c r="G697" s="512"/>
      <c r="H697" s="512"/>
      <c r="I697" s="512"/>
      <c r="J697" s="512"/>
      <c r="K697" s="512"/>
      <c r="L697" s="512"/>
      <c r="M697" s="512"/>
      <c r="N697" s="512"/>
      <c r="O697" s="512"/>
      <c r="P697" s="512"/>
      <c r="Q697" s="512"/>
      <c r="R697" s="512"/>
      <c r="S697" s="512"/>
      <c r="T697" s="512"/>
      <c r="U697" s="512"/>
      <c r="V697" s="512"/>
      <c r="W697" s="512"/>
      <c r="X697" s="512"/>
      <c r="Y697" s="512"/>
      <c r="Z697" s="512"/>
      <c r="AA697" s="512"/>
    </row>
    <row r="698">
      <c r="A698" s="512"/>
      <c r="B698" s="512"/>
      <c r="C698" s="512"/>
      <c r="D698" s="512"/>
      <c r="E698" s="512"/>
      <c r="F698" s="512"/>
      <c r="G698" s="512"/>
      <c r="H698" s="512"/>
      <c r="I698" s="512"/>
      <c r="J698" s="512"/>
      <c r="K698" s="512"/>
      <c r="L698" s="512"/>
      <c r="M698" s="512"/>
      <c r="N698" s="512"/>
      <c r="O698" s="512"/>
      <c r="P698" s="512"/>
      <c r="Q698" s="512"/>
      <c r="R698" s="512"/>
      <c r="S698" s="512"/>
      <c r="T698" s="512"/>
      <c r="U698" s="512"/>
      <c r="V698" s="512"/>
      <c r="W698" s="512"/>
      <c r="X698" s="512"/>
      <c r="Y698" s="512"/>
      <c r="Z698" s="512"/>
      <c r="AA698" s="512"/>
    </row>
    <row r="699">
      <c r="A699" s="512"/>
      <c r="B699" s="512"/>
      <c r="C699" s="512"/>
      <c r="D699" s="512"/>
      <c r="E699" s="512"/>
      <c r="F699" s="512"/>
      <c r="G699" s="512"/>
      <c r="H699" s="512"/>
      <c r="I699" s="512"/>
      <c r="J699" s="512"/>
      <c r="K699" s="512"/>
      <c r="L699" s="512"/>
      <c r="M699" s="512"/>
      <c r="N699" s="512"/>
      <c r="O699" s="512"/>
      <c r="P699" s="512"/>
      <c r="Q699" s="512"/>
      <c r="R699" s="512"/>
      <c r="S699" s="512"/>
      <c r="T699" s="512"/>
      <c r="U699" s="512"/>
      <c r="V699" s="512"/>
      <c r="W699" s="512"/>
      <c r="X699" s="512"/>
      <c r="Y699" s="512"/>
      <c r="Z699" s="512"/>
      <c r="AA699" s="512"/>
    </row>
    <row r="700">
      <c r="A700" s="512"/>
      <c r="B700" s="512"/>
      <c r="C700" s="512"/>
      <c r="D700" s="512"/>
      <c r="E700" s="512"/>
      <c r="F700" s="512"/>
      <c r="G700" s="512"/>
      <c r="H700" s="512"/>
      <c r="I700" s="512"/>
      <c r="J700" s="512"/>
      <c r="K700" s="512"/>
      <c r="L700" s="512"/>
      <c r="M700" s="512"/>
      <c r="N700" s="512"/>
      <c r="O700" s="512"/>
      <c r="P700" s="512"/>
      <c r="Q700" s="512"/>
      <c r="R700" s="512"/>
      <c r="S700" s="512"/>
      <c r="T700" s="512"/>
      <c r="U700" s="512"/>
      <c r="V700" s="512"/>
      <c r="W700" s="512"/>
      <c r="X700" s="512"/>
      <c r="Y700" s="512"/>
      <c r="Z700" s="512"/>
      <c r="AA700" s="512"/>
    </row>
    <row r="701">
      <c r="A701" s="512"/>
      <c r="B701" s="512"/>
      <c r="C701" s="512"/>
      <c r="D701" s="512"/>
      <c r="E701" s="512"/>
      <c r="F701" s="512"/>
      <c r="G701" s="512"/>
      <c r="H701" s="512"/>
      <c r="I701" s="512"/>
      <c r="J701" s="512"/>
      <c r="K701" s="512"/>
      <c r="L701" s="512"/>
      <c r="M701" s="512"/>
      <c r="N701" s="512"/>
      <c r="O701" s="512"/>
      <c r="P701" s="512"/>
      <c r="Q701" s="512"/>
      <c r="R701" s="512"/>
      <c r="S701" s="512"/>
      <c r="T701" s="512"/>
      <c r="U701" s="512"/>
      <c r="V701" s="512"/>
      <c r="W701" s="512"/>
      <c r="X701" s="512"/>
      <c r="Y701" s="512"/>
      <c r="Z701" s="512"/>
      <c r="AA701" s="512"/>
    </row>
    <row r="702">
      <c r="A702" s="512"/>
      <c r="B702" s="512"/>
      <c r="C702" s="512"/>
      <c r="D702" s="512"/>
      <c r="E702" s="512"/>
      <c r="F702" s="512"/>
      <c r="G702" s="512"/>
      <c r="H702" s="512"/>
      <c r="I702" s="512"/>
      <c r="J702" s="512"/>
      <c r="K702" s="512"/>
      <c r="L702" s="512"/>
      <c r="M702" s="512"/>
      <c r="N702" s="512"/>
      <c r="O702" s="512"/>
      <c r="P702" s="512"/>
      <c r="Q702" s="512"/>
      <c r="R702" s="512"/>
      <c r="S702" s="512"/>
      <c r="T702" s="512"/>
      <c r="U702" s="512"/>
      <c r="V702" s="512"/>
      <c r="W702" s="512"/>
      <c r="X702" s="512"/>
      <c r="Y702" s="512"/>
      <c r="Z702" s="512"/>
      <c r="AA702" s="512"/>
    </row>
    <row r="703">
      <c r="A703" s="512"/>
      <c r="B703" s="512"/>
      <c r="C703" s="512"/>
      <c r="D703" s="512"/>
      <c r="E703" s="512"/>
      <c r="F703" s="512"/>
      <c r="G703" s="512"/>
      <c r="H703" s="512"/>
      <c r="I703" s="512"/>
      <c r="J703" s="512"/>
      <c r="K703" s="512"/>
      <c r="L703" s="512"/>
      <c r="M703" s="512"/>
      <c r="N703" s="512"/>
      <c r="O703" s="512"/>
      <c r="P703" s="512"/>
      <c r="Q703" s="512"/>
      <c r="R703" s="512"/>
      <c r="S703" s="512"/>
      <c r="T703" s="512"/>
      <c r="U703" s="512"/>
      <c r="V703" s="512"/>
      <c r="W703" s="512"/>
      <c r="X703" s="512"/>
      <c r="Y703" s="512"/>
      <c r="Z703" s="512"/>
      <c r="AA703" s="512"/>
    </row>
    <row r="704">
      <c r="A704" s="512"/>
      <c r="B704" s="512"/>
      <c r="C704" s="512"/>
      <c r="D704" s="512"/>
      <c r="E704" s="512"/>
      <c r="F704" s="512"/>
      <c r="G704" s="512"/>
      <c r="H704" s="512"/>
      <c r="I704" s="512"/>
      <c r="J704" s="512"/>
      <c r="K704" s="512"/>
      <c r="L704" s="512"/>
      <c r="M704" s="512"/>
      <c r="N704" s="512"/>
      <c r="O704" s="512"/>
      <c r="P704" s="512"/>
      <c r="Q704" s="512"/>
      <c r="R704" s="512"/>
      <c r="S704" s="512"/>
      <c r="T704" s="512"/>
      <c r="U704" s="512"/>
      <c r="V704" s="512"/>
      <c r="W704" s="512"/>
      <c r="X704" s="512"/>
      <c r="Y704" s="512"/>
      <c r="Z704" s="512"/>
      <c r="AA704" s="512"/>
    </row>
    <row r="705">
      <c r="A705" s="512"/>
      <c r="B705" s="512"/>
      <c r="C705" s="512"/>
      <c r="D705" s="512"/>
      <c r="E705" s="512"/>
      <c r="F705" s="512"/>
      <c r="G705" s="512"/>
      <c r="H705" s="512"/>
      <c r="I705" s="512"/>
      <c r="J705" s="512"/>
      <c r="K705" s="512"/>
      <c r="L705" s="512"/>
      <c r="M705" s="512"/>
      <c r="N705" s="512"/>
      <c r="O705" s="512"/>
      <c r="P705" s="512"/>
      <c r="Q705" s="512"/>
      <c r="R705" s="512"/>
      <c r="S705" s="512"/>
      <c r="T705" s="512"/>
      <c r="U705" s="512"/>
      <c r="V705" s="512"/>
      <c r="W705" s="512"/>
      <c r="X705" s="512"/>
      <c r="Y705" s="512"/>
      <c r="Z705" s="512"/>
      <c r="AA705" s="512"/>
    </row>
    <row r="706">
      <c r="A706" s="512"/>
      <c r="B706" s="512"/>
      <c r="C706" s="512"/>
      <c r="D706" s="512"/>
      <c r="E706" s="512"/>
      <c r="F706" s="512"/>
      <c r="G706" s="512"/>
      <c r="H706" s="512"/>
      <c r="I706" s="512"/>
      <c r="J706" s="512"/>
      <c r="K706" s="512"/>
      <c r="L706" s="512"/>
      <c r="M706" s="512"/>
      <c r="N706" s="512"/>
      <c r="O706" s="512"/>
      <c r="P706" s="512"/>
      <c r="Q706" s="512"/>
      <c r="R706" s="512"/>
      <c r="S706" s="512"/>
      <c r="T706" s="512"/>
      <c r="U706" s="512"/>
      <c r="V706" s="512"/>
      <c r="W706" s="512"/>
      <c r="X706" s="512"/>
      <c r="Y706" s="512"/>
      <c r="Z706" s="512"/>
      <c r="AA706" s="512"/>
    </row>
    <row r="707">
      <c r="A707" s="512"/>
      <c r="B707" s="512"/>
      <c r="C707" s="512"/>
      <c r="D707" s="512"/>
      <c r="E707" s="512"/>
      <c r="F707" s="512"/>
      <c r="G707" s="512"/>
      <c r="H707" s="512"/>
      <c r="I707" s="512"/>
      <c r="J707" s="512"/>
      <c r="K707" s="512"/>
      <c r="L707" s="512"/>
      <c r="M707" s="512"/>
      <c r="N707" s="512"/>
      <c r="O707" s="512"/>
      <c r="P707" s="512"/>
      <c r="Q707" s="512"/>
      <c r="R707" s="512"/>
      <c r="S707" s="512"/>
      <c r="T707" s="512"/>
      <c r="U707" s="512"/>
      <c r="V707" s="512"/>
      <c r="W707" s="512"/>
      <c r="X707" s="512"/>
      <c r="Y707" s="512"/>
      <c r="Z707" s="512"/>
      <c r="AA707" s="512"/>
    </row>
    <row r="708">
      <c r="A708" s="512"/>
      <c r="B708" s="512"/>
      <c r="C708" s="512"/>
      <c r="D708" s="512"/>
      <c r="E708" s="512"/>
      <c r="F708" s="512"/>
      <c r="G708" s="512"/>
      <c r="H708" s="512"/>
      <c r="I708" s="512"/>
      <c r="J708" s="512"/>
      <c r="K708" s="512"/>
      <c r="L708" s="512"/>
      <c r="M708" s="512"/>
      <c r="N708" s="512"/>
      <c r="O708" s="512"/>
      <c r="P708" s="512"/>
      <c r="Q708" s="512"/>
      <c r="R708" s="512"/>
      <c r="S708" s="512"/>
      <c r="T708" s="512"/>
      <c r="U708" s="512"/>
      <c r="V708" s="512"/>
      <c r="W708" s="512"/>
      <c r="X708" s="512"/>
      <c r="Y708" s="512"/>
      <c r="Z708" s="512"/>
      <c r="AA708" s="512"/>
    </row>
    <row r="709">
      <c r="A709" s="512"/>
      <c r="B709" s="512"/>
      <c r="C709" s="512"/>
      <c r="D709" s="512"/>
      <c r="E709" s="512"/>
      <c r="F709" s="512"/>
      <c r="G709" s="512"/>
      <c r="H709" s="512"/>
      <c r="I709" s="512"/>
      <c r="J709" s="512"/>
      <c r="K709" s="512"/>
      <c r="L709" s="512"/>
      <c r="M709" s="512"/>
      <c r="N709" s="512"/>
      <c r="O709" s="512"/>
      <c r="P709" s="512"/>
      <c r="Q709" s="512"/>
      <c r="R709" s="512"/>
      <c r="S709" s="512"/>
      <c r="T709" s="512"/>
      <c r="U709" s="512"/>
      <c r="V709" s="512"/>
      <c r="W709" s="512"/>
      <c r="X709" s="512"/>
      <c r="Y709" s="512"/>
      <c r="Z709" s="512"/>
      <c r="AA709" s="512"/>
    </row>
    <row r="710">
      <c r="A710" s="512"/>
      <c r="B710" s="512"/>
      <c r="C710" s="512"/>
      <c r="D710" s="512"/>
      <c r="E710" s="512"/>
      <c r="F710" s="512"/>
      <c r="G710" s="512"/>
      <c r="H710" s="512"/>
      <c r="I710" s="512"/>
      <c r="J710" s="512"/>
      <c r="K710" s="512"/>
      <c r="L710" s="512"/>
      <c r="M710" s="512"/>
      <c r="N710" s="512"/>
      <c r="O710" s="512"/>
      <c r="P710" s="512"/>
      <c r="Q710" s="512"/>
      <c r="R710" s="512"/>
      <c r="S710" s="512"/>
      <c r="T710" s="512"/>
      <c r="U710" s="512"/>
      <c r="V710" s="512"/>
      <c r="W710" s="512"/>
      <c r="X710" s="512"/>
      <c r="Y710" s="512"/>
      <c r="Z710" s="512"/>
      <c r="AA710" s="512"/>
    </row>
    <row r="711">
      <c r="A711" s="512"/>
      <c r="B711" s="512"/>
      <c r="C711" s="512"/>
      <c r="D711" s="512"/>
      <c r="E711" s="512"/>
      <c r="F711" s="512"/>
      <c r="G711" s="512"/>
      <c r="H711" s="512"/>
      <c r="I711" s="512"/>
      <c r="J711" s="512"/>
      <c r="K711" s="512"/>
      <c r="L711" s="512"/>
      <c r="M711" s="512"/>
      <c r="N711" s="512"/>
      <c r="O711" s="512"/>
      <c r="P711" s="512"/>
      <c r="Q711" s="512"/>
      <c r="R711" s="512"/>
      <c r="S711" s="512"/>
      <c r="T711" s="512"/>
      <c r="U711" s="512"/>
      <c r="V711" s="512"/>
      <c r="W711" s="512"/>
      <c r="X711" s="512"/>
      <c r="Y711" s="512"/>
      <c r="Z711" s="512"/>
      <c r="AA711" s="512"/>
    </row>
    <row r="712">
      <c r="A712" s="512"/>
      <c r="B712" s="512"/>
      <c r="C712" s="512"/>
      <c r="D712" s="512"/>
      <c r="E712" s="512"/>
      <c r="F712" s="512"/>
      <c r="G712" s="512"/>
      <c r="H712" s="512"/>
      <c r="I712" s="512"/>
      <c r="J712" s="512"/>
      <c r="K712" s="512"/>
      <c r="L712" s="512"/>
      <c r="M712" s="512"/>
      <c r="N712" s="512"/>
      <c r="O712" s="512"/>
      <c r="P712" s="512"/>
      <c r="Q712" s="512"/>
      <c r="R712" s="512"/>
      <c r="S712" s="512"/>
      <c r="T712" s="512"/>
      <c r="U712" s="512"/>
      <c r="V712" s="512"/>
      <c r="W712" s="512"/>
      <c r="X712" s="512"/>
      <c r="Y712" s="512"/>
      <c r="Z712" s="512"/>
      <c r="AA712" s="512"/>
    </row>
    <row r="713">
      <c r="A713" s="512"/>
      <c r="B713" s="512"/>
      <c r="C713" s="512"/>
      <c r="D713" s="512"/>
      <c r="E713" s="512"/>
      <c r="F713" s="512"/>
      <c r="G713" s="512"/>
      <c r="H713" s="512"/>
      <c r="I713" s="512"/>
      <c r="J713" s="512"/>
      <c r="K713" s="512"/>
      <c r="L713" s="512"/>
      <c r="M713" s="512"/>
      <c r="N713" s="512"/>
      <c r="O713" s="512"/>
      <c r="P713" s="512"/>
      <c r="Q713" s="512"/>
      <c r="R713" s="512"/>
      <c r="S713" s="512"/>
      <c r="T713" s="512"/>
      <c r="U713" s="512"/>
      <c r="V713" s="512"/>
      <c r="W713" s="512"/>
      <c r="X713" s="512"/>
      <c r="Y713" s="512"/>
      <c r="Z713" s="512"/>
      <c r="AA713" s="512"/>
    </row>
    <row r="714">
      <c r="A714" s="512"/>
      <c r="B714" s="512"/>
      <c r="C714" s="512"/>
      <c r="D714" s="512"/>
      <c r="E714" s="512"/>
      <c r="F714" s="512"/>
      <c r="G714" s="512"/>
      <c r="H714" s="512"/>
      <c r="I714" s="512"/>
      <c r="J714" s="512"/>
      <c r="K714" s="512"/>
      <c r="L714" s="512"/>
      <c r="M714" s="512"/>
      <c r="N714" s="512"/>
      <c r="O714" s="512"/>
      <c r="P714" s="512"/>
      <c r="Q714" s="512"/>
      <c r="R714" s="512"/>
      <c r="S714" s="512"/>
      <c r="T714" s="512"/>
      <c r="U714" s="512"/>
      <c r="V714" s="512"/>
      <c r="W714" s="512"/>
      <c r="X714" s="512"/>
      <c r="Y714" s="512"/>
      <c r="Z714" s="512"/>
      <c r="AA714" s="512"/>
    </row>
    <row r="715">
      <c r="A715" s="512"/>
      <c r="B715" s="512"/>
      <c r="C715" s="512"/>
      <c r="D715" s="512"/>
      <c r="E715" s="512"/>
      <c r="F715" s="512"/>
      <c r="G715" s="512"/>
      <c r="H715" s="512"/>
      <c r="I715" s="512"/>
      <c r="J715" s="512"/>
      <c r="K715" s="512"/>
      <c r="L715" s="512"/>
      <c r="M715" s="512"/>
      <c r="N715" s="512"/>
      <c r="O715" s="512"/>
      <c r="P715" s="512"/>
      <c r="Q715" s="512"/>
      <c r="R715" s="512"/>
      <c r="S715" s="512"/>
      <c r="T715" s="512"/>
      <c r="U715" s="512"/>
      <c r="V715" s="512"/>
      <c r="W715" s="512"/>
      <c r="X715" s="512"/>
      <c r="Y715" s="512"/>
      <c r="Z715" s="512"/>
      <c r="AA715" s="512"/>
    </row>
    <row r="716">
      <c r="A716" s="512"/>
      <c r="B716" s="512"/>
      <c r="C716" s="512"/>
      <c r="D716" s="512"/>
      <c r="E716" s="512"/>
      <c r="F716" s="512"/>
      <c r="G716" s="512"/>
      <c r="H716" s="512"/>
      <c r="I716" s="512"/>
      <c r="J716" s="512"/>
      <c r="K716" s="512"/>
      <c r="L716" s="512"/>
      <c r="M716" s="512"/>
      <c r="N716" s="512"/>
      <c r="O716" s="512"/>
      <c r="P716" s="512"/>
      <c r="Q716" s="512"/>
      <c r="R716" s="512"/>
      <c r="S716" s="512"/>
      <c r="T716" s="512"/>
      <c r="U716" s="512"/>
      <c r="V716" s="512"/>
      <c r="W716" s="512"/>
      <c r="X716" s="512"/>
      <c r="Y716" s="512"/>
      <c r="Z716" s="512"/>
      <c r="AA716" s="512"/>
    </row>
    <row r="717">
      <c r="A717" s="512"/>
      <c r="B717" s="512"/>
      <c r="C717" s="512"/>
      <c r="D717" s="512"/>
      <c r="E717" s="512"/>
      <c r="F717" s="512"/>
      <c r="G717" s="512"/>
      <c r="H717" s="512"/>
      <c r="I717" s="512"/>
      <c r="J717" s="512"/>
      <c r="K717" s="512"/>
      <c r="L717" s="512"/>
      <c r="M717" s="512"/>
      <c r="N717" s="512"/>
      <c r="O717" s="512"/>
      <c r="P717" s="512"/>
      <c r="Q717" s="512"/>
      <c r="R717" s="512"/>
      <c r="S717" s="512"/>
      <c r="T717" s="512"/>
      <c r="U717" s="512"/>
      <c r="V717" s="512"/>
      <c r="W717" s="512"/>
      <c r="X717" s="512"/>
      <c r="Y717" s="512"/>
      <c r="Z717" s="512"/>
      <c r="AA717" s="512"/>
    </row>
    <row r="718">
      <c r="A718" s="512"/>
      <c r="B718" s="512"/>
      <c r="C718" s="512"/>
      <c r="D718" s="512"/>
      <c r="E718" s="512"/>
      <c r="F718" s="512"/>
      <c r="G718" s="512"/>
      <c r="H718" s="512"/>
      <c r="I718" s="512"/>
      <c r="J718" s="512"/>
      <c r="K718" s="512"/>
      <c r="L718" s="512"/>
      <c r="M718" s="512"/>
      <c r="N718" s="512"/>
      <c r="O718" s="512"/>
      <c r="P718" s="512"/>
      <c r="Q718" s="512"/>
      <c r="R718" s="512"/>
      <c r="S718" s="512"/>
      <c r="T718" s="512"/>
      <c r="U718" s="512"/>
      <c r="V718" s="512"/>
      <c r="W718" s="512"/>
      <c r="X718" s="512"/>
      <c r="Y718" s="512"/>
      <c r="Z718" s="512"/>
      <c r="AA718" s="512"/>
    </row>
    <row r="719">
      <c r="A719" s="512"/>
      <c r="B719" s="512"/>
      <c r="C719" s="512"/>
      <c r="D719" s="512"/>
      <c r="E719" s="512"/>
      <c r="F719" s="512"/>
      <c r="G719" s="512"/>
      <c r="H719" s="512"/>
      <c r="I719" s="512"/>
      <c r="J719" s="512"/>
      <c r="K719" s="512"/>
      <c r="L719" s="512"/>
      <c r="M719" s="512"/>
      <c r="N719" s="512"/>
      <c r="O719" s="512"/>
      <c r="P719" s="512"/>
      <c r="Q719" s="512"/>
      <c r="R719" s="512"/>
      <c r="S719" s="512"/>
      <c r="T719" s="512"/>
      <c r="U719" s="512"/>
      <c r="V719" s="512"/>
      <c r="W719" s="512"/>
      <c r="X719" s="512"/>
      <c r="Y719" s="512"/>
      <c r="Z719" s="512"/>
      <c r="AA719" s="512"/>
    </row>
    <row r="720">
      <c r="A720" s="512"/>
      <c r="B720" s="512"/>
      <c r="C720" s="512"/>
      <c r="D720" s="512"/>
      <c r="E720" s="512"/>
      <c r="F720" s="512"/>
      <c r="G720" s="512"/>
      <c r="H720" s="512"/>
      <c r="I720" s="512"/>
      <c r="J720" s="512"/>
      <c r="K720" s="512"/>
      <c r="L720" s="512"/>
      <c r="M720" s="512"/>
      <c r="N720" s="512"/>
      <c r="O720" s="512"/>
      <c r="P720" s="512"/>
      <c r="Q720" s="512"/>
      <c r="R720" s="512"/>
      <c r="S720" s="512"/>
      <c r="T720" s="512"/>
      <c r="U720" s="512"/>
      <c r="V720" s="512"/>
      <c r="W720" s="512"/>
      <c r="X720" s="512"/>
      <c r="Y720" s="512"/>
      <c r="Z720" s="512"/>
      <c r="AA720" s="512"/>
    </row>
    <row r="721">
      <c r="A721" s="512"/>
      <c r="B721" s="512"/>
      <c r="C721" s="512"/>
      <c r="D721" s="512"/>
      <c r="E721" s="512"/>
      <c r="F721" s="512"/>
      <c r="G721" s="512"/>
      <c r="H721" s="512"/>
      <c r="I721" s="512"/>
      <c r="J721" s="512"/>
      <c r="K721" s="512"/>
      <c r="L721" s="512"/>
      <c r="M721" s="512"/>
      <c r="N721" s="512"/>
      <c r="O721" s="512"/>
      <c r="P721" s="512"/>
      <c r="Q721" s="512"/>
      <c r="R721" s="512"/>
      <c r="S721" s="512"/>
      <c r="T721" s="512"/>
      <c r="U721" s="512"/>
      <c r="V721" s="512"/>
      <c r="W721" s="512"/>
      <c r="X721" s="512"/>
      <c r="Y721" s="512"/>
      <c r="Z721" s="512"/>
      <c r="AA721" s="512"/>
    </row>
    <row r="722">
      <c r="A722" s="512"/>
      <c r="B722" s="512"/>
      <c r="C722" s="512"/>
      <c r="D722" s="512"/>
      <c r="E722" s="512"/>
      <c r="F722" s="512"/>
      <c r="G722" s="512"/>
      <c r="H722" s="512"/>
      <c r="I722" s="512"/>
      <c r="J722" s="512"/>
      <c r="K722" s="512"/>
      <c r="L722" s="512"/>
      <c r="M722" s="512"/>
      <c r="N722" s="512"/>
      <c r="O722" s="512"/>
      <c r="P722" s="512"/>
      <c r="Q722" s="512"/>
      <c r="R722" s="512"/>
      <c r="S722" s="512"/>
      <c r="T722" s="512"/>
      <c r="U722" s="512"/>
      <c r="V722" s="512"/>
      <c r="W722" s="512"/>
      <c r="X722" s="512"/>
      <c r="Y722" s="512"/>
      <c r="Z722" s="512"/>
      <c r="AA722" s="512"/>
    </row>
    <row r="723">
      <c r="A723" s="512"/>
      <c r="B723" s="512"/>
      <c r="C723" s="512"/>
      <c r="D723" s="512"/>
      <c r="E723" s="512"/>
      <c r="F723" s="512"/>
      <c r="G723" s="512"/>
      <c r="H723" s="512"/>
      <c r="I723" s="512"/>
      <c r="J723" s="512"/>
      <c r="K723" s="512"/>
      <c r="L723" s="512"/>
      <c r="M723" s="512"/>
      <c r="N723" s="512"/>
      <c r="O723" s="512"/>
      <c r="P723" s="512"/>
      <c r="Q723" s="512"/>
      <c r="R723" s="512"/>
      <c r="S723" s="512"/>
      <c r="T723" s="512"/>
      <c r="U723" s="512"/>
      <c r="V723" s="512"/>
      <c r="W723" s="512"/>
      <c r="X723" s="512"/>
      <c r="Y723" s="512"/>
      <c r="Z723" s="512"/>
      <c r="AA723" s="512"/>
    </row>
    <row r="724">
      <c r="A724" s="512"/>
      <c r="B724" s="512"/>
      <c r="C724" s="512"/>
      <c r="D724" s="512"/>
      <c r="E724" s="512"/>
      <c r="F724" s="512"/>
      <c r="G724" s="512"/>
      <c r="H724" s="512"/>
      <c r="I724" s="512"/>
      <c r="J724" s="512"/>
      <c r="K724" s="512"/>
      <c r="L724" s="512"/>
      <c r="M724" s="512"/>
      <c r="N724" s="512"/>
      <c r="O724" s="512"/>
      <c r="P724" s="512"/>
      <c r="Q724" s="512"/>
      <c r="R724" s="512"/>
      <c r="S724" s="512"/>
      <c r="T724" s="512"/>
      <c r="U724" s="512"/>
      <c r="V724" s="512"/>
      <c r="W724" s="512"/>
      <c r="X724" s="512"/>
      <c r="Y724" s="512"/>
      <c r="Z724" s="512"/>
      <c r="AA724" s="512"/>
    </row>
    <row r="725">
      <c r="A725" s="512"/>
      <c r="B725" s="512"/>
      <c r="C725" s="512"/>
      <c r="D725" s="512"/>
      <c r="E725" s="512"/>
      <c r="F725" s="512"/>
      <c r="G725" s="512"/>
      <c r="H725" s="512"/>
      <c r="I725" s="512"/>
      <c r="J725" s="512"/>
      <c r="K725" s="512"/>
      <c r="L725" s="512"/>
      <c r="M725" s="512"/>
      <c r="N725" s="512"/>
      <c r="O725" s="512"/>
      <c r="P725" s="512"/>
      <c r="Q725" s="512"/>
      <c r="R725" s="512"/>
      <c r="S725" s="512"/>
      <c r="T725" s="512"/>
      <c r="U725" s="512"/>
      <c r="V725" s="512"/>
      <c r="W725" s="512"/>
      <c r="X725" s="512"/>
      <c r="Y725" s="512"/>
      <c r="Z725" s="512"/>
      <c r="AA725" s="512"/>
    </row>
    <row r="726">
      <c r="A726" s="512"/>
      <c r="B726" s="512"/>
      <c r="C726" s="512"/>
      <c r="D726" s="512"/>
      <c r="E726" s="512"/>
      <c r="F726" s="512"/>
      <c r="G726" s="512"/>
      <c r="H726" s="512"/>
      <c r="I726" s="512"/>
      <c r="J726" s="512"/>
      <c r="K726" s="512"/>
      <c r="L726" s="512"/>
      <c r="M726" s="512"/>
      <c r="N726" s="512"/>
      <c r="O726" s="512"/>
      <c r="P726" s="512"/>
      <c r="Q726" s="512"/>
      <c r="R726" s="512"/>
      <c r="S726" s="512"/>
      <c r="T726" s="512"/>
      <c r="U726" s="512"/>
      <c r="V726" s="512"/>
      <c r="W726" s="512"/>
      <c r="X726" s="512"/>
      <c r="Y726" s="512"/>
      <c r="Z726" s="512"/>
      <c r="AA726" s="512"/>
    </row>
    <row r="727">
      <c r="A727" s="512"/>
      <c r="B727" s="512"/>
      <c r="C727" s="512"/>
      <c r="D727" s="512"/>
      <c r="E727" s="512"/>
      <c r="F727" s="512"/>
      <c r="G727" s="512"/>
      <c r="H727" s="512"/>
      <c r="I727" s="512"/>
      <c r="J727" s="512"/>
      <c r="K727" s="512"/>
      <c r="L727" s="512"/>
      <c r="M727" s="512"/>
      <c r="N727" s="512"/>
      <c r="O727" s="512"/>
      <c r="P727" s="512"/>
      <c r="Q727" s="512"/>
      <c r="R727" s="512"/>
      <c r="S727" s="512"/>
      <c r="T727" s="512"/>
      <c r="U727" s="512"/>
      <c r="V727" s="512"/>
      <c r="W727" s="512"/>
      <c r="X727" s="512"/>
      <c r="Y727" s="512"/>
      <c r="Z727" s="512"/>
      <c r="AA727" s="512"/>
    </row>
    <row r="728">
      <c r="A728" s="512"/>
      <c r="B728" s="512"/>
      <c r="C728" s="512"/>
      <c r="D728" s="512"/>
      <c r="E728" s="512"/>
      <c r="F728" s="512"/>
      <c r="G728" s="512"/>
      <c r="H728" s="512"/>
      <c r="I728" s="512"/>
      <c r="J728" s="512"/>
      <c r="K728" s="512"/>
      <c r="L728" s="512"/>
      <c r="M728" s="512"/>
      <c r="N728" s="512"/>
      <c r="O728" s="512"/>
      <c r="P728" s="512"/>
      <c r="Q728" s="512"/>
      <c r="R728" s="512"/>
      <c r="S728" s="512"/>
      <c r="T728" s="512"/>
      <c r="U728" s="512"/>
      <c r="V728" s="512"/>
      <c r="W728" s="512"/>
      <c r="X728" s="512"/>
      <c r="Y728" s="512"/>
      <c r="Z728" s="512"/>
      <c r="AA728" s="512"/>
    </row>
    <row r="729">
      <c r="A729" s="512"/>
      <c r="B729" s="512"/>
      <c r="C729" s="512"/>
      <c r="D729" s="512"/>
      <c r="E729" s="512"/>
      <c r="F729" s="512"/>
      <c r="G729" s="512"/>
      <c r="H729" s="512"/>
      <c r="I729" s="512"/>
      <c r="J729" s="512"/>
      <c r="K729" s="512"/>
      <c r="L729" s="512"/>
      <c r="M729" s="512"/>
      <c r="N729" s="512"/>
      <c r="O729" s="512"/>
      <c r="P729" s="512"/>
      <c r="Q729" s="512"/>
      <c r="R729" s="512"/>
      <c r="S729" s="512"/>
      <c r="T729" s="512"/>
      <c r="U729" s="512"/>
      <c r="V729" s="512"/>
      <c r="W729" s="512"/>
      <c r="X729" s="512"/>
      <c r="Y729" s="512"/>
      <c r="Z729" s="512"/>
      <c r="AA729" s="512"/>
    </row>
    <row r="730">
      <c r="A730" s="512"/>
      <c r="B730" s="512"/>
      <c r="C730" s="512"/>
      <c r="D730" s="512"/>
      <c r="E730" s="512"/>
      <c r="F730" s="512"/>
      <c r="G730" s="512"/>
      <c r="H730" s="512"/>
      <c r="I730" s="512"/>
      <c r="J730" s="512"/>
      <c r="K730" s="512"/>
      <c r="L730" s="512"/>
      <c r="M730" s="512"/>
      <c r="N730" s="512"/>
      <c r="O730" s="512"/>
      <c r="P730" s="512"/>
      <c r="Q730" s="512"/>
      <c r="R730" s="512"/>
      <c r="S730" s="512"/>
      <c r="T730" s="512"/>
      <c r="U730" s="512"/>
      <c r="V730" s="512"/>
      <c r="W730" s="512"/>
      <c r="X730" s="512"/>
      <c r="Y730" s="512"/>
      <c r="Z730" s="512"/>
      <c r="AA730" s="512"/>
    </row>
    <row r="731">
      <c r="A731" s="512"/>
      <c r="B731" s="512"/>
      <c r="C731" s="512"/>
      <c r="D731" s="512"/>
      <c r="E731" s="512"/>
      <c r="F731" s="512"/>
      <c r="G731" s="512"/>
      <c r="H731" s="512"/>
      <c r="I731" s="512"/>
      <c r="J731" s="512"/>
      <c r="K731" s="512"/>
      <c r="L731" s="512"/>
      <c r="M731" s="512"/>
      <c r="N731" s="512"/>
      <c r="O731" s="512"/>
      <c r="P731" s="512"/>
      <c r="Q731" s="512"/>
      <c r="R731" s="512"/>
      <c r="S731" s="512"/>
      <c r="T731" s="512"/>
      <c r="U731" s="512"/>
      <c r="V731" s="512"/>
      <c r="W731" s="512"/>
      <c r="X731" s="512"/>
      <c r="Y731" s="512"/>
      <c r="Z731" s="512"/>
      <c r="AA731" s="512"/>
    </row>
    <row r="732">
      <c r="A732" s="512"/>
      <c r="B732" s="512"/>
      <c r="C732" s="512"/>
      <c r="D732" s="512"/>
      <c r="E732" s="512"/>
      <c r="F732" s="512"/>
      <c r="G732" s="512"/>
      <c r="H732" s="512"/>
      <c r="I732" s="512"/>
      <c r="J732" s="512"/>
      <c r="K732" s="512"/>
      <c r="L732" s="512"/>
      <c r="M732" s="512"/>
      <c r="N732" s="512"/>
      <c r="O732" s="512"/>
      <c r="P732" s="512"/>
      <c r="Q732" s="512"/>
      <c r="R732" s="512"/>
      <c r="S732" s="512"/>
      <c r="T732" s="512"/>
      <c r="U732" s="512"/>
      <c r="V732" s="512"/>
      <c r="W732" s="512"/>
      <c r="X732" s="512"/>
      <c r="Y732" s="512"/>
      <c r="Z732" s="512"/>
      <c r="AA732" s="512"/>
    </row>
    <row r="733">
      <c r="A733" s="512"/>
      <c r="B733" s="512"/>
      <c r="C733" s="512"/>
      <c r="D733" s="512"/>
      <c r="E733" s="512"/>
      <c r="F733" s="512"/>
      <c r="G733" s="512"/>
      <c r="H733" s="512"/>
      <c r="I733" s="512"/>
      <c r="J733" s="512"/>
      <c r="K733" s="512"/>
      <c r="L733" s="512"/>
      <c r="M733" s="512"/>
      <c r="N733" s="512"/>
      <c r="O733" s="512"/>
      <c r="P733" s="512"/>
      <c r="Q733" s="512"/>
      <c r="R733" s="512"/>
      <c r="S733" s="512"/>
      <c r="T733" s="512"/>
      <c r="U733" s="512"/>
      <c r="V733" s="512"/>
      <c r="W733" s="512"/>
      <c r="X733" s="512"/>
      <c r="Y733" s="512"/>
      <c r="Z733" s="512"/>
      <c r="AA733" s="512"/>
    </row>
    <row r="734">
      <c r="A734" s="512"/>
      <c r="B734" s="512"/>
      <c r="C734" s="512"/>
      <c r="D734" s="512"/>
      <c r="E734" s="512"/>
      <c r="F734" s="512"/>
      <c r="G734" s="512"/>
      <c r="H734" s="512"/>
      <c r="I734" s="512"/>
      <c r="J734" s="512"/>
      <c r="K734" s="512"/>
      <c r="L734" s="512"/>
      <c r="M734" s="512"/>
      <c r="N734" s="512"/>
      <c r="O734" s="512"/>
      <c r="P734" s="512"/>
      <c r="Q734" s="512"/>
      <c r="R734" s="512"/>
      <c r="S734" s="512"/>
      <c r="T734" s="512"/>
      <c r="U734" s="512"/>
      <c r="V734" s="512"/>
      <c r="W734" s="512"/>
      <c r="X734" s="512"/>
      <c r="Y734" s="512"/>
      <c r="Z734" s="512"/>
      <c r="AA734" s="512"/>
    </row>
    <row r="735">
      <c r="A735" s="512"/>
      <c r="B735" s="512"/>
      <c r="C735" s="512"/>
      <c r="D735" s="512"/>
      <c r="E735" s="512"/>
      <c r="F735" s="512"/>
      <c r="G735" s="512"/>
      <c r="H735" s="512"/>
      <c r="I735" s="512"/>
      <c r="J735" s="512"/>
      <c r="K735" s="512"/>
      <c r="L735" s="512"/>
      <c r="M735" s="512"/>
      <c r="N735" s="512"/>
      <c r="O735" s="512"/>
      <c r="P735" s="512"/>
      <c r="Q735" s="512"/>
      <c r="R735" s="512"/>
      <c r="S735" s="512"/>
      <c r="T735" s="512"/>
      <c r="U735" s="512"/>
      <c r="V735" s="512"/>
      <c r="W735" s="512"/>
      <c r="X735" s="512"/>
      <c r="Y735" s="512"/>
      <c r="Z735" s="512"/>
      <c r="AA735" s="512"/>
    </row>
    <row r="736">
      <c r="A736" s="512"/>
      <c r="B736" s="512"/>
      <c r="C736" s="512"/>
      <c r="D736" s="512"/>
      <c r="E736" s="512"/>
      <c r="F736" s="512"/>
      <c r="G736" s="512"/>
      <c r="H736" s="512"/>
      <c r="I736" s="512"/>
      <c r="J736" s="512"/>
      <c r="K736" s="512"/>
      <c r="L736" s="512"/>
      <c r="M736" s="512"/>
      <c r="N736" s="512"/>
      <c r="O736" s="512"/>
      <c r="P736" s="512"/>
      <c r="Q736" s="512"/>
      <c r="R736" s="512"/>
      <c r="S736" s="512"/>
      <c r="T736" s="512"/>
      <c r="U736" s="512"/>
      <c r="V736" s="512"/>
      <c r="W736" s="512"/>
      <c r="X736" s="512"/>
      <c r="Y736" s="512"/>
      <c r="Z736" s="512"/>
      <c r="AA736" s="512"/>
    </row>
    <row r="737">
      <c r="A737" s="512"/>
      <c r="B737" s="512"/>
      <c r="C737" s="512"/>
      <c r="D737" s="512"/>
      <c r="E737" s="512"/>
      <c r="F737" s="512"/>
      <c r="G737" s="512"/>
      <c r="H737" s="512"/>
      <c r="I737" s="512"/>
      <c r="J737" s="512"/>
      <c r="K737" s="512"/>
      <c r="L737" s="512"/>
      <c r="M737" s="512"/>
      <c r="N737" s="512"/>
      <c r="O737" s="512"/>
      <c r="P737" s="512"/>
      <c r="Q737" s="512"/>
      <c r="R737" s="512"/>
      <c r="S737" s="512"/>
      <c r="T737" s="512"/>
      <c r="U737" s="512"/>
      <c r="V737" s="512"/>
      <c r="W737" s="512"/>
      <c r="X737" s="512"/>
      <c r="Y737" s="512"/>
      <c r="Z737" s="512"/>
      <c r="AA737" s="512"/>
    </row>
    <row r="738">
      <c r="A738" s="512"/>
      <c r="B738" s="512"/>
      <c r="C738" s="512"/>
      <c r="D738" s="512"/>
      <c r="E738" s="512"/>
      <c r="F738" s="512"/>
      <c r="G738" s="512"/>
      <c r="H738" s="512"/>
      <c r="I738" s="512"/>
      <c r="J738" s="512"/>
      <c r="K738" s="512"/>
      <c r="L738" s="512"/>
      <c r="M738" s="512"/>
      <c r="N738" s="512"/>
      <c r="O738" s="512"/>
      <c r="P738" s="512"/>
      <c r="Q738" s="512"/>
      <c r="R738" s="512"/>
      <c r="S738" s="512"/>
      <c r="T738" s="512"/>
      <c r="U738" s="512"/>
      <c r="V738" s="512"/>
      <c r="W738" s="512"/>
      <c r="X738" s="512"/>
      <c r="Y738" s="512"/>
      <c r="Z738" s="512"/>
      <c r="AA738" s="512"/>
    </row>
    <row r="739">
      <c r="A739" s="512"/>
      <c r="B739" s="512"/>
      <c r="C739" s="512"/>
      <c r="D739" s="512"/>
      <c r="E739" s="512"/>
      <c r="F739" s="512"/>
      <c r="G739" s="512"/>
      <c r="H739" s="512"/>
      <c r="I739" s="512"/>
      <c r="J739" s="512"/>
      <c r="K739" s="512"/>
      <c r="L739" s="512"/>
      <c r="M739" s="512"/>
      <c r="N739" s="512"/>
      <c r="O739" s="512"/>
      <c r="P739" s="512"/>
      <c r="Q739" s="512"/>
      <c r="R739" s="512"/>
      <c r="S739" s="512"/>
      <c r="T739" s="512"/>
      <c r="U739" s="512"/>
      <c r="V739" s="512"/>
      <c r="W739" s="512"/>
      <c r="X739" s="512"/>
      <c r="Y739" s="512"/>
      <c r="Z739" s="512"/>
      <c r="AA739" s="512"/>
    </row>
    <row r="740">
      <c r="A740" s="512"/>
      <c r="B740" s="512"/>
      <c r="C740" s="512"/>
      <c r="D740" s="512"/>
      <c r="E740" s="512"/>
      <c r="F740" s="512"/>
      <c r="G740" s="512"/>
      <c r="H740" s="512"/>
      <c r="I740" s="512"/>
      <c r="J740" s="512"/>
      <c r="K740" s="512"/>
      <c r="L740" s="512"/>
      <c r="M740" s="512"/>
      <c r="N740" s="512"/>
      <c r="O740" s="512"/>
      <c r="P740" s="512"/>
      <c r="Q740" s="512"/>
      <c r="R740" s="512"/>
      <c r="S740" s="512"/>
      <c r="T740" s="512"/>
      <c r="U740" s="512"/>
      <c r="V740" s="512"/>
      <c r="W740" s="512"/>
      <c r="X740" s="512"/>
      <c r="Y740" s="512"/>
      <c r="Z740" s="512"/>
      <c r="AA740" s="512"/>
    </row>
    <row r="741">
      <c r="A741" s="512"/>
      <c r="B741" s="512"/>
      <c r="C741" s="512"/>
      <c r="D741" s="512"/>
      <c r="E741" s="512"/>
      <c r="F741" s="512"/>
      <c r="G741" s="512"/>
      <c r="H741" s="512"/>
      <c r="I741" s="512"/>
      <c r="J741" s="512"/>
      <c r="K741" s="512"/>
      <c r="L741" s="512"/>
      <c r="M741" s="512"/>
      <c r="N741" s="512"/>
      <c r="O741" s="512"/>
      <c r="P741" s="512"/>
      <c r="Q741" s="512"/>
      <c r="R741" s="512"/>
      <c r="S741" s="512"/>
      <c r="T741" s="512"/>
      <c r="U741" s="512"/>
      <c r="V741" s="512"/>
      <c r="W741" s="512"/>
      <c r="X741" s="512"/>
      <c r="Y741" s="512"/>
      <c r="Z741" s="512"/>
      <c r="AA741" s="512"/>
    </row>
    <row r="742">
      <c r="A742" s="512"/>
      <c r="B742" s="512"/>
      <c r="C742" s="512"/>
      <c r="D742" s="512"/>
      <c r="E742" s="512"/>
      <c r="F742" s="512"/>
      <c r="G742" s="512"/>
      <c r="H742" s="512"/>
      <c r="I742" s="512"/>
      <c r="J742" s="512"/>
      <c r="K742" s="512"/>
      <c r="L742" s="512"/>
      <c r="M742" s="512"/>
      <c r="N742" s="512"/>
      <c r="O742" s="512"/>
      <c r="P742" s="512"/>
      <c r="Q742" s="512"/>
      <c r="R742" s="512"/>
      <c r="S742" s="512"/>
      <c r="T742" s="512"/>
      <c r="U742" s="512"/>
      <c r="V742" s="512"/>
      <c r="W742" s="512"/>
      <c r="X742" s="512"/>
      <c r="Y742" s="512"/>
      <c r="Z742" s="512"/>
      <c r="AA742" s="512"/>
    </row>
    <row r="743">
      <c r="A743" s="512"/>
      <c r="B743" s="512"/>
      <c r="C743" s="512"/>
      <c r="D743" s="512"/>
      <c r="E743" s="512"/>
      <c r="F743" s="512"/>
      <c r="G743" s="512"/>
      <c r="H743" s="512"/>
      <c r="I743" s="512"/>
      <c r="J743" s="512"/>
      <c r="K743" s="512"/>
      <c r="L743" s="512"/>
      <c r="M743" s="512"/>
      <c r="N743" s="512"/>
      <c r="O743" s="512"/>
      <c r="P743" s="512"/>
      <c r="Q743" s="512"/>
      <c r="R743" s="512"/>
      <c r="S743" s="512"/>
      <c r="T743" s="512"/>
      <c r="U743" s="512"/>
      <c r="V743" s="512"/>
      <c r="W743" s="512"/>
      <c r="X743" s="512"/>
      <c r="Y743" s="512"/>
      <c r="Z743" s="512"/>
      <c r="AA743" s="512"/>
    </row>
    <row r="744">
      <c r="A744" s="512"/>
      <c r="B744" s="512"/>
      <c r="C744" s="512"/>
      <c r="D744" s="512"/>
      <c r="E744" s="512"/>
      <c r="F744" s="512"/>
      <c r="G744" s="512"/>
      <c r="H744" s="512"/>
      <c r="I744" s="512"/>
      <c r="J744" s="512"/>
      <c r="K744" s="512"/>
      <c r="L744" s="512"/>
      <c r="M744" s="512"/>
      <c r="N744" s="512"/>
      <c r="O744" s="512"/>
      <c r="P744" s="512"/>
      <c r="Q744" s="512"/>
      <c r="R744" s="512"/>
      <c r="S744" s="512"/>
      <c r="T744" s="512"/>
      <c r="U744" s="512"/>
      <c r="V744" s="512"/>
      <c r="W744" s="512"/>
      <c r="X744" s="512"/>
      <c r="Y744" s="512"/>
      <c r="Z744" s="512"/>
      <c r="AA744" s="512"/>
    </row>
    <row r="745">
      <c r="A745" s="512"/>
      <c r="B745" s="512"/>
      <c r="C745" s="512"/>
      <c r="D745" s="512"/>
      <c r="E745" s="512"/>
      <c r="F745" s="512"/>
      <c r="G745" s="512"/>
      <c r="H745" s="512"/>
      <c r="I745" s="512"/>
      <c r="J745" s="512"/>
      <c r="K745" s="512"/>
      <c r="L745" s="512"/>
      <c r="M745" s="512"/>
      <c r="N745" s="512"/>
      <c r="O745" s="512"/>
      <c r="P745" s="512"/>
      <c r="Q745" s="512"/>
      <c r="R745" s="512"/>
      <c r="S745" s="512"/>
      <c r="T745" s="512"/>
      <c r="U745" s="512"/>
      <c r="V745" s="512"/>
      <c r="W745" s="512"/>
      <c r="X745" s="512"/>
      <c r="Y745" s="512"/>
      <c r="Z745" s="512"/>
      <c r="AA745" s="512"/>
    </row>
    <row r="746">
      <c r="A746" s="512"/>
      <c r="B746" s="512"/>
      <c r="C746" s="512"/>
      <c r="D746" s="512"/>
      <c r="E746" s="512"/>
      <c r="F746" s="512"/>
      <c r="G746" s="512"/>
      <c r="H746" s="512"/>
      <c r="I746" s="512"/>
      <c r="J746" s="512"/>
      <c r="K746" s="512"/>
      <c r="L746" s="512"/>
      <c r="M746" s="512"/>
      <c r="N746" s="512"/>
      <c r="O746" s="512"/>
      <c r="P746" s="512"/>
      <c r="Q746" s="512"/>
      <c r="R746" s="512"/>
      <c r="S746" s="512"/>
      <c r="T746" s="512"/>
      <c r="U746" s="512"/>
      <c r="V746" s="512"/>
      <c r="W746" s="512"/>
      <c r="X746" s="512"/>
      <c r="Y746" s="512"/>
      <c r="Z746" s="512"/>
      <c r="AA746" s="512"/>
    </row>
    <row r="747">
      <c r="A747" s="512"/>
      <c r="B747" s="512"/>
      <c r="C747" s="512"/>
      <c r="D747" s="512"/>
      <c r="E747" s="512"/>
      <c r="F747" s="512"/>
      <c r="G747" s="512"/>
      <c r="H747" s="512"/>
      <c r="I747" s="512"/>
      <c r="J747" s="512"/>
      <c r="K747" s="512"/>
      <c r="L747" s="512"/>
      <c r="M747" s="512"/>
      <c r="N747" s="512"/>
      <c r="O747" s="512"/>
      <c r="P747" s="512"/>
      <c r="Q747" s="512"/>
      <c r="R747" s="512"/>
      <c r="S747" s="512"/>
      <c r="T747" s="512"/>
      <c r="U747" s="512"/>
      <c r="V747" s="512"/>
      <c r="W747" s="512"/>
      <c r="X747" s="512"/>
      <c r="Y747" s="512"/>
      <c r="Z747" s="512"/>
      <c r="AA747" s="512"/>
    </row>
    <row r="748">
      <c r="A748" s="512"/>
      <c r="B748" s="512"/>
      <c r="C748" s="512"/>
      <c r="D748" s="512"/>
      <c r="E748" s="512"/>
      <c r="F748" s="512"/>
      <c r="G748" s="512"/>
      <c r="H748" s="512"/>
      <c r="I748" s="512"/>
      <c r="J748" s="512"/>
      <c r="K748" s="512"/>
      <c r="L748" s="512"/>
      <c r="M748" s="512"/>
      <c r="N748" s="512"/>
      <c r="O748" s="512"/>
      <c r="P748" s="512"/>
      <c r="Q748" s="512"/>
      <c r="R748" s="512"/>
      <c r="S748" s="512"/>
      <c r="T748" s="512"/>
      <c r="U748" s="512"/>
      <c r="V748" s="512"/>
      <c r="W748" s="512"/>
      <c r="X748" s="512"/>
      <c r="Y748" s="512"/>
      <c r="Z748" s="512"/>
      <c r="AA748" s="512"/>
    </row>
    <row r="749">
      <c r="A749" s="512"/>
      <c r="B749" s="512"/>
      <c r="C749" s="512"/>
      <c r="D749" s="512"/>
      <c r="E749" s="512"/>
      <c r="F749" s="512"/>
      <c r="G749" s="512"/>
      <c r="H749" s="512"/>
      <c r="I749" s="512"/>
      <c r="J749" s="512"/>
      <c r="K749" s="512"/>
      <c r="L749" s="512"/>
      <c r="M749" s="512"/>
      <c r="N749" s="512"/>
      <c r="O749" s="512"/>
      <c r="P749" s="512"/>
      <c r="Q749" s="512"/>
      <c r="R749" s="512"/>
      <c r="S749" s="512"/>
      <c r="T749" s="512"/>
      <c r="U749" s="512"/>
      <c r="V749" s="512"/>
      <c r="W749" s="512"/>
      <c r="X749" s="512"/>
      <c r="Y749" s="512"/>
      <c r="Z749" s="512"/>
      <c r="AA749" s="512"/>
    </row>
    <row r="750">
      <c r="A750" s="512"/>
      <c r="B750" s="512"/>
      <c r="C750" s="512"/>
      <c r="D750" s="512"/>
      <c r="E750" s="512"/>
      <c r="F750" s="512"/>
      <c r="G750" s="512"/>
      <c r="H750" s="512"/>
      <c r="I750" s="512"/>
      <c r="J750" s="512"/>
      <c r="K750" s="512"/>
      <c r="L750" s="512"/>
      <c r="M750" s="512"/>
      <c r="N750" s="512"/>
      <c r="O750" s="512"/>
      <c r="P750" s="512"/>
      <c r="Q750" s="512"/>
      <c r="R750" s="512"/>
      <c r="S750" s="512"/>
      <c r="T750" s="512"/>
      <c r="U750" s="512"/>
      <c r="V750" s="512"/>
      <c r="W750" s="512"/>
      <c r="X750" s="512"/>
      <c r="Y750" s="512"/>
      <c r="Z750" s="512"/>
      <c r="AA750" s="512"/>
    </row>
    <row r="751">
      <c r="A751" s="512"/>
      <c r="B751" s="512"/>
      <c r="C751" s="512"/>
      <c r="D751" s="512"/>
      <c r="E751" s="512"/>
      <c r="F751" s="512"/>
      <c r="G751" s="512"/>
      <c r="H751" s="512"/>
      <c r="I751" s="512"/>
      <c r="J751" s="512"/>
      <c r="K751" s="512"/>
      <c r="L751" s="512"/>
      <c r="M751" s="512"/>
      <c r="N751" s="512"/>
      <c r="O751" s="512"/>
      <c r="P751" s="512"/>
      <c r="Q751" s="512"/>
      <c r="R751" s="512"/>
      <c r="S751" s="512"/>
      <c r="T751" s="512"/>
      <c r="U751" s="512"/>
      <c r="V751" s="512"/>
      <c r="W751" s="512"/>
      <c r="X751" s="512"/>
      <c r="Y751" s="512"/>
      <c r="Z751" s="512"/>
      <c r="AA751" s="512"/>
    </row>
    <row r="752">
      <c r="A752" s="512"/>
      <c r="B752" s="512"/>
      <c r="C752" s="512"/>
      <c r="D752" s="512"/>
      <c r="E752" s="512"/>
      <c r="F752" s="512"/>
      <c r="G752" s="512"/>
      <c r="H752" s="512"/>
      <c r="I752" s="512"/>
      <c r="J752" s="512"/>
      <c r="K752" s="512"/>
      <c r="L752" s="512"/>
      <c r="M752" s="512"/>
      <c r="N752" s="512"/>
      <c r="O752" s="512"/>
      <c r="P752" s="512"/>
      <c r="Q752" s="512"/>
      <c r="R752" s="512"/>
      <c r="S752" s="512"/>
      <c r="T752" s="512"/>
      <c r="U752" s="512"/>
      <c r="V752" s="512"/>
      <c r="W752" s="512"/>
      <c r="X752" s="512"/>
      <c r="Y752" s="512"/>
      <c r="Z752" s="512"/>
      <c r="AA752" s="512"/>
    </row>
    <row r="753">
      <c r="A753" s="512"/>
      <c r="B753" s="512"/>
      <c r="C753" s="512"/>
      <c r="D753" s="512"/>
      <c r="E753" s="512"/>
      <c r="F753" s="512"/>
      <c r="G753" s="512"/>
      <c r="H753" s="512"/>
      <c r="I753" s="512"/>
      <c r="J753" s="512"/>
      <c r="K753" s="512"/>
      <c r="L753" s="512"/>
      <c r="M753" s="512"/>
      <c r="N753" s="512"/>
      <c r="O753" s="512"/>
      <c r="P753" s="512"/>
      <c r="Q753" s="512"/>
      <c r="R753" s="512"/>
      <c r="S753" s="512"/>
      <c r="T753" s="512"/>
      <c r="U753" s="512"/>
      <c r="V753" s="512"/>
      <c r="W753" s="512"/>
      <c r="X753" s="512"/>
      <c r="Y753" s="512"/>
      <c r="Z753" s="512"/>
      <c r="AA753" s="512"/>
    </row>
    <row r="754">
      <c r="A754" s="512"/>
      <c r="B754" s="512"/>
      <c r="C754" s="512"/>
      <c r="D754" s="512"/>
      <c r="E754" s="512"/>
      <c r="F754" s="512"/>
      <c r="G754" s="512"/>
      <c r="H754" s="512"/>
      <c r="I754" s="512"/>
      <c r="J754" s="512"/>
      <c r="K754" s="512"/>
      <c r="L754" s="512"/>
      <c r="M754" s="512"/>
      <c r="N754" s="512"/>
      <c r="O754" s="512"/>
      <c r="P754" s="512"/>
      <c r="Q754" s="512"/>
      <c r="R754" s="512"/>
      <c r="S754" s="512"/>
      <c r="T754" s="512"/>
      <c r="U754" s="512"/>
      <c r="V754" s="512"/>
      <c r="W754" s="512"/>
      <c r="X754" s="512"/>
      <c r="Y754" s="512"/>
      <c r="Z754" s="512"/>
      <c r="AA754" s="512"/>
    </row>
    <row r="755">
      <c r="A755" s="512"/>
      <c r="B755" s="512"/>
      <c r="C755" s="512"/>
      <c r="D755" s="512"/>
      <c r="E755" s="512"/>
      <c r="F755" s="512"/>
      <c r="G755" s="512"/>
      <c r="H755" s="512"/>
      <c r="I755" s="512"/>
      <c r="J755" s="512"/>
      <c r="K755" s="512"/>
      <c r="L755" s="512"/>
      <c r="M755" s="512"/>
      <c r="N755" s="512"/>
      <c r="O755" s="512"/>
      <c r="P755" s="512"/>
      <c r="Q755" s="512"/>
      <c r="R755" s="512"/>
      <c r="S755" s="512"/>
      <c r="T755" s="512"/>
      <c r="U755" s="512"/>
      <c r="V755" s="512"/>
      <c r="W755" s="512"/>
      <c r="X755" s="512"/>
      <c r="Y755" s="512"/>
      <c r="Z755" s="512"/>
      <c r="AA755" s="512"/>
    </row>
    <row r="756">
      <c r="A756" s="512"/>
      <c r="B756" s="512"/>
      <c r="C756" s="512"/>
      <c r="D756" s="512"/>
      <c r="E756" s="512"/>
      <c r="F756" s="512"/>
      <c r="G756" s="512"/>
      <c r="H756" s="512"/>
      <c r="I756" s="512"/>
      <c r="J756" s="512"/>
      <c r="K756" s="512"/>
      <c r="L756" s="512"/>
      <c r="M756" s="512"/>
      <c r="N756" s="512"/>
      <c r="O756" s="512"/>
      <c r="P756" s="512"/>
      <c r="Q756" s="512"/>
      <c r="R756" s="512"/>
      <c r="S756" s="512"/>
      <c r="T756" s="512"/>
      <c r="U756" s="512"/>
      <c r="V756" s="512"/>
      <c r="W756" s="512"/>
      <c r="X756" s="512"/>
      <c r="Y756" s="512"/>
      <c r="Z756" s="512"/>
      <c r="AA756" s="512"/>
    </row>
    <row r="757">
      <c r="A757" s="512"/>
      <c r="B757" s="512"/>
      <c r="C757" s="512"/>
      <c r="D757" s="512"/>
      <c r="E757" s="512"/>
      <c r="F757" s="512"/>
      <c r="G757" s="512"/>
      <c r="H757" s="512"/>
      <c r="I757" s="512"/>
      <c r="J757" s="512"/>
      <c r="K757" s="512"/>
      <c r="L757" s="512"/>
      <c r="M757" s="512"/>
      <c r="N757" s="512"/>
      <c r="O757" s="512"/>
      <c r="P757" s="512"/>
      <c r="Q757" s="512"/>
      <c r="R757" s="512"/>
      <c r="S757" s="512"/>
      <c r="T757" s="512"/>
      <c r="U757" s="512"/>
      <c r="V757" s="512"/>
      <c r="W757" s="512"/>
      <c r="X757" s="512"/>
      <c r="Y757" s="512"/>
      <c r="Z757" s="512"/>
      <c r="AA757" s="512"/>
    </row>
    <row r="758">
      <c r="A758" s="512"/>
      <c r="B758" s="512"/>
      <c r="C758" s="512"/>
      <c r="D758" s="512"/>
      <c r="E758" s="512"/>
      <c r="F758" s="512"/>
      <c r="G758" s="512"/>
      <c r="H758" s="512"/>
      <c r="I758" s="512"/>
      <c r="J758" s="512"/>
      <c r="K758" s="512"/>
      <c r="L758" s="512"/>
      <c r="M758" s="512"/>
      <c r="N758" s="512"/>
      <c r="O758" s="512"/>
      <c r="P758" s="512"/>
      <c r="Q758" s="512"/>
      <c r="R758" s="512"/>
      <c r="S758" s="512"/>
      <c r="T758" s="512"/>
      <c r="U758" s="512"/>
      <c r="V758" s="512"/>
      <c r="W758" s="512"/>
      <c r="X758" s="512"/>
      <c r="Y758" s="512"/>
      <c r="Z758" s="512"/>
      <c r="AA758" s="512"/>
    </row>
    <row r="759">
      <c r="A759" s="512"/>
      <c r="B759" s="512"/>
      <c r="C759" s="512"/>
      <c r="D759" s="512"/>
      <c r="E759" s="512"/>
      <c r="F759" s="512"/>
      <c r="G759" s="512"/>
      <c r="H759" s="512"/>
      <c r="I759" s="512"/>
      <c r="J759" s="512"/>
      <c r="K759" s="512"/>
      <c r="L759" s="512"/>
      <c r="M759" s="512"/>
      <c r="N759" s="512"/>
      <c r="O759" s="512"/>
      <c r="P759" s="512"/>
      <c r="Q759" s="512"/>
      <c r="R759" s="512"/>
      <c r="S759" s="512"/>
      <c r="T759" s="512"/>
      <c r="U759" s="512"/>
      <c r="V759" s="512"/>
      <c r="W759" s="512"/>
      <c r="X759" s="512"/>
      <c r="Y759" s="512"/>
      <c r="Z759" s="512"/>
      <c r="AA759" s="512"/>
    </row>
    <row r="760">
      <c r="A760" s="512"/>
      <c r="B760" s="512"/>
      <c r="C760" s="512"/>
      <c r="D760" s="512"/>
      <c r="E760" s="512"/>
      <c r="F760" s="512"/>
      <c r="G760" s="512"/>
      <c r="H760" s="512"/>
      <c r="I760" s="512"/>
      <c r="J760" s="512"/>
      <c r="K760" s="512"/>
      <c r="L760" s="512"/>
      <c r="M760" s="512"/>
      <c r="N760" s="512"/>
      <c r="O760" s="512"/>
      <c r="P760" s="512"/>
      <c r="Q760" s="512"/>
      <c r="R760" s="512"/>
      <c r="S760" s="512"/>
      <c r="T760" s="512"/>
      <c r="U760" s="512"/>
      <c r="V760" s="512"/>
      <c r="W760" s="512"/>
      <c r="X760" s="512"/>
      <c r="Y760" s="512"/>
      <c r="Z760" s="512"/>
      <c r="AA760" s="512"/>
    </row>
    <row r="761">
      <c r="A761" s="512"/>
      <c r="B761" s="512"/>
      <c r="C761" s="512"/>
      <c r="D761" s="512"/>
      <c r="E761" s="512"/>
      <c r="F761" s="512"/>
      <c r="G761" s="512"/>
      <c r="H761" s="512"/>
      <c r="I761" s="512"/>
      <c r="J761" s="512"/>
      <c r="K761" s="512"/>
      <c r="L761" s="512"/>
      <c r="M761" s="512"/>
      <c r="N761" s="512"/>
      <c r="O761" s="512"/>
      <c r="P761" s="512"/>
      <c r="Q761" s="512"/>
      <c r="R761" s="512"/>
      <c r="S761" s="512"/>
      <c r="T761" s="512"/>
      <c r="U761" s="512"/>
      <c r="V761" s="512"/>
      <c r="W761" s="512"/>
      <c r="X761" s="512"/>
      <c r="Y761" s="512"/>
      <c r="Z761" s="512"/>
      <c r="AA761" s="512"/>
    </row>
    <row r="762">
      <c r="A762" s="512"/>
      <c r="B762" s="512"/>
      <c r="C762" s="512"/>
      <c r="D762" s="512"/>
      <c r="E762" s="512"/>
      <c r="F762" s="512"/>
      <c r="G762" s="512"/>
      <c r="H762" s="512"/>
      <c r="I762" s="512"/>
      <c r="J762" s="512"/>
      <c r="K762" s="512"/>
      <c r="L762" s="512"/>
      <c r="M762" s="512"/>
      <c r="N762" s="512"/>
      <c r="O762" s="512"/>
      <c r="P762" s="512"/>
      <c r="Q762" s="512"/>
      <c r="R762" s="512"/>
      <c r="S762" s="512"/>
      <c r="T762" s="512"/>
      <c r="U762" s="512"/>
      <c r="V762" s="512"/>
      <c r="W762" s="512"/>
      <c r="X762" s="512"/>
      <c r="Y762" s="512"/>
      <c r="Z762" s="512"/>
      <c r="AA762" s="512"/>
    </row>
    <row r="763">
      <c r="A763" s="512"/>
      <c r="B763" s="512"/>
      <c r="C763" s="512"/>
      <c r="D763" s="512"/>
      <c r="E763" s="512"/>
      <c r="F763" s="512"/>
      <c r="G763" s="512"/>
      <c r="H763" s="512"/>
      <c r="I763" s="512"/>
      <c r="J763" s="512"/>
      <c r="K763" s="512"/>
      <c r="L763" s="512"/>
      <c r="M763" s="512"/>
      <c r="N763" s="512"/>
      <c r="O763" s="512"/>
      <c r="P763" s="512"/>
      <c r="Q763" s="512"/>
      <c r="R763" s="512"/>
      <c r="S763" s="512"/>
      <c r="T763" s="512"/>
      <c r="U763" s="512"/>
      <c r="V763" s="512"/>
      <c r="W763" s="512"/>
      <c r="X763" s="512"/>
      <c r="Y763" s="512"/>
      <c r="Z763" s="512"/>
      <c r="AA763" s="512"/>
    </row>
    <row r="764">
      <c r="A764" s="512"/>
      <c r="B764" s="512"/>
      <c r="C764" s="512"/>
      <c r="D764" s="512"/>
      <c r="E764" s="512"/>
      <c r="F764" s="512"/>
      <c r="G764" s="512"/>
      <c r="H764" s="512"/>
      <c r="I764" s="512"/>
      <c r="J764" s="512"/>
      <c r="K764" s="512"/>
      <c r="L764" s="512"/>
      <c r="M764" s="512"/>
      <c r="N764" s="512"/>
      <c r="O764" s="512"/>
      <c r="P764" s="512"/>
      <c r="Q764" s="512"/>
      <c r="R764" s="512"/>
      <c r="S764" s="512"/>
      <c r="T764" s="512"/>
      <c r="U764" s="512"/>
      <c r="V764" s="512"/>
      <c r="W764" s="512"/>
      <c r="X764" s="512"/>
      <c r="Y764" s="512"/>
      <c r="Z764" s="512"/>
      <c r="AA764" s="512"/>
    </row>
    <row r="765">
      <c r="A765" s="512"/>
      <c r="B765" s="512"/>
      <c r="C765" s="512"/>
      <c r="D765" s="512"/>
      <c r="E765" s="512"/>
      <c r="F765" s="512"/>
      <c r="G765" s="512"/>
      <c r="H765" s="512"/>
      <c r="I765" s="512"/>
      <c r="J765" s="512"/>
      <c r="K765" s="512"/>
      <c r="L765" s="512"/>
      <c r="M765" s="512"/>
      <c r="N765" s="512"/>
      <c r="O765" s="512"/>
      <c r="P765" s="512"/>
      <c r="Q765" s="512"/>
      <c r="R765" s="512"/>
      <c r="S765" s="512"/>
      <c r="T765" s="512"/>
      <c r="U765" s="512"/>
      <c r="V765" s="512"/>
      <c r="W765" s="512"/>
      <c r="X765" s="512"/>
      <c r="Y765" s="512"/>
      <c r="Z765" s="512"/>
      <c r="AA765" s="512"/>
    </row>
    <row r="766">
      <c r="A766" s="512"/>
      <c r="B766" s="512"/>
      <c r="C766" s="512"/>
      <c r="D766" s="512"/>
      <c r="E766" s="512"/>
      <c r="F766" s="512"/>
      <c r="G766" s="512"/>
      <c r="H766" s="512"/>
      <c r="I766" s="512"/>
      <c r="J766" s="512"/>
      <c r="K766" s="512"/>
      <c r="L766" s="512"/>
      <c r="M766" s="512"/>
      <c r="N766" s="512"/>
      <c r="O766" s="512"/>
      <c r="P766" s="512"/>
      <c r="Q766" s="512"/>
      <c r="R766" s="512"/>
      <c r="S766" s="512"/>
      <c r="T766" s="512"/>
      <c r="U766" s="512"/>
      <c r="V766" s="512"/>
      <c r="W766" s="512"/>
      <c r="X766" s="512"/>
      <c r="Y766" s="512"/>
      <c r="Z766" s="512"/>
      <c r="AA766" s="512"/>
    </row>
    <row r="767">
      <c r="A767" s="512"/>
      <c r="B767" s="512"/>
      <c r="C767" s="512"/>
      <c r="D767" s="512"/>
      <c r="E767" s="512"/>
      <c r="F767" s="512"/>
      <c r="G767" s="512"/>
      <c r="H767" s="512"/>
      <c r="I767" s="512"/>
      <c r="J767" s="512"/>
      <c r="K767" s="512"/>
      <c r="L767" s="512"/>
      <c r="M767" s="512"/>
      <c r="N767" s="512"/>
      <c r="O767" s="512"/>
      <c r="P767" s="512"/>
      <c r="Q767" s="512"/>
      <c r="R767" s="512"/>
      <c r="S767" s="512"/>
      <c r="T767" s="512"/>
      <c r="U767" s="512"/>
      <c r="V767" s="512"/>
      <c r="W767" s="512"/>
      <c r="X767" s="512"/>
      <c r="Y767" s="512"/>
      <c r="Z767" s="512"/>
      <c r="AA767" s="512"/>
    </row>
    <row r="768">
      <c r="A768" s="512"/>
      <c r="B768" s="512"/>
      <c r="C768" s="512"/>
      <c r="D768" s="512"/>
      <c r="E768" s="512"/>
      <c r="F768" s="512"/>
      <c r="G768" s="512"/>
      <c r="H768" s="512"/>
      <c r="I768" s="512"/>
      <c r="J768" s="512"/>
      <c r="K768" s="512"/>
      <c r="L768" s="512"/>
      <c r="M768" s="512"/>
      <c r="N768" s="512"/>
      <c r="O768" s="512"/>
      <c r="P768" s="512"/>
      <c r="Q768" s="512"/>
      <c r="R768" s="512"/>
      <c r="S768" s="512"/>
      <c r="T768" s="512"/>
      <c r="U768" s="512"/>
      <c r="V768" s="512"/>
      <c r="W768" s="512"/>
      <c r="X768" s="512"/>
      <c r="Y768" s="512"/>
      <c r="Z768" s="512"/>
      <c r="AA768" s="512"/>
    </row>
    <row r="769">
      <c r="A769" s="512"/>
      <c r="B769" s="512"/>
      <c r="C769" s="512"/>
      <c r="D769" s="512"/>
      <c r="E769" s="512"/>
      <c r="F769" s="512"/>
      <c r="G769" s="512"/>
      <c r="H769" s="512"/>
      <c r="I769" s="512"/>
      <c r="J769" s="512"/>
      <c r="K769" s="512"/>
      <c r="L769" s="512"/>
      <c r="M769" s="512"/>
      <c r="N769" s="512"/>
      <c r="O769" s="512"/>
      <c r="P769" s="512"/>
      <c r="Q769" s="512"/>
      <c r="R769" s="512"/>
      <c r="S769" s="512"/>
      <c r="T769" s="512"/>
      <c r="U769" s="512"/>
      <c r="V769" s="512"/>
      <c r="W769" s="512"/>
      <c r="X769" s="512"/>
      <c r="Y769" s="512"/>
      <c r="Z769" s="512"/>
      <c r="AA769" s="512"/>
    </row>
    <row r="770">
      <c r="A770" s="512"/>
      <c r="B770" s="512"/>
      <c r="C770" s="512"/>
      <c r="D770" s="512"/>
      <c r="E770" s="512"/>
      <c r="F770" s="512"/>
      <c r="G770" s="512"/>
      <c r="H770" s="512"/>
      <c r="I770" s="512"/>
      <c r="J770" s="512"/>
      <c r="K770" s="512"/>
      <c r="L770" s="512"/>
      <c r="M770" s="512"/>
      <c r="N770" s="512"/>
      <c r="O770" s="512"/>
      <c r="P770" s="512"/>
      <c r="Q770" s="512"/>
      <c r="R770" s="512"/>
      <c r="S770" s="512"/>
      <c r="T770" s="512"/>
      <c r="U770" s="512"/>
      <c r="V770" s="512"/>
      <c r="W770" s="512"/>
      <c r="X770" s="512"/>
      <c r="Y770" s="512"/>
      <c r="Z770" s="512"/>
      <c r="AA770" s="512"/>
    </row>
    <row r="771">
      <c r="A771" s="512"/>
      <c r="B771" s="512"/>
      <c r="C771" s="512"/>
      <c r="D771" s="512"/>
      <c r="E771" s="512"/>
      <c r="F771" s="512"/>
      <c r="G771" s="512"/>
      <c r="H771" s="512"/>
      <c r="I771" s="512"/>
      <c r="J771" s="512"/>
      <c r="K771" s="512"/>
      <c r="L771" s="512"/>
      <c r="M771" s="512"/>
      <c r="N771" s="512"/>
      <c r="O771" s="512"/>
      <c r="P771" s="512"/>
      <c r="Q771" s="512"/>
      <c r="R771" s="512"/>
      <c r="S771" s="512"/>
      <c r="T771" s="512"/>
      <c r="U771" s="512"/>
      <c r="V771" s="512"/>
      <c r="W771" s="512"/>
      <c r="X771" s="512"/>
      <c r="Y771" s="512"/>
      <c r="Z771" s="512"/>
      <c r="AA771" s="512"/>
    </row>
    <row r="772">
      <c r="A772" s="512"/>
      <c r="B772" s="512"/>
      <c r="C772" s="512"/>
      <c r="D772" s="512"/>
      <c r="E772" s="512"/>
      <c r="F772" s="512"/>
      <c r="G772" s="512"/>
      <c r="H772" s="512"/>
      <c r="I772" s="512"/>
      <c r="J772" s="512"/>
      <c r="K772" s="512"/>
      <c r="L772" s="512"/>
      <c r="M772" s="512"/>
      <c r="N772" s="512"/>
      <c r="O772" s="512"/>
      <c r="P772" s="512"/>
      <c r="Q772" s="512"/>
      <c r="R772" s="512"/>
      <c r="S772" s="512"/>
      <c r="T772" s="512"/>
      <c r="U772" s="512"/>
      <c r="V772" s="512"/>
      <c r="W772" s="512"/>
      <c r="X772" s="512"/>
      <c r="Y772" s="512"/>
      <c r="Z772" s="512"/>
      <c r="AA772" s="512"/>
    </row>
    <row r="773">
      <c r="A773" s="512"/>
      <c r="B773" s="512"/>
      <c r="C773" s="512"/>
      <c r="D773" s="512"/>
      <c r="E773" s="512"/>
      <c r="F773" s="512"/>
      <c r="G773" s="512"/>
      <c r="H773" s="512"/>
      <c r="I773" s="512"/>
      <c r="J773" s="512"/>
      <c r="K773" s="512"/>
      <c r="L773" s="512"/>
      <c r="M773" s="512"/>
      <c r="N773" s="512"/>
      <c r="O773" s="512"/>
      <c r="P773" s="512"/>
      <c r="Q773" s="512"/>
      <c r="R773" s="512"/>
      <c r="S773" s="512"/>
      <c r="T773" s="512"/>
      <c r="U773" s="512"/>
      <c r="V773" s="512"/>
      <c r="W773" s="512"/>
      <c r="X773" s="512"/>
      <c r="Y773" s="512"/>
      <c r="Z773" s="512"/>
      <c r="AA773" s="512"/>
    </row>
    <row r="774">
      <c r="A774" s="512"/>
      <c r="B774" s="512"/>
      <c r="C774" s="512"/>
      <c r="D774" s="512"/>
      <c r="E774" s="512"/>
      <c r="F774" s="512"/>
      <c r="G774" s="512"/>
      <c r="H774" s="512"/>
      <c r="I774" s="512"/>
      <c r="J774" s="512"/>
      <c r="K774" s="512"/>
      <c r="L774" s="512"/>
      <c r="M774" s="512"/>
      <c r="N774" s="512"/>
      <c r="O774" s="512"/>
      <c r="P774" s="512"/>
      <c r="Q774" s="512"/>
      <c r="R774" s="512"/>
      <c r="S774" s="512"/>
      <c r="T774" s="512"/>
      <c r="U774" s="512"/>
      <c r="V774" s="512"/>
      <c r="W774" s="512"/>
      <c r="X774" s="512"/>
      <c r="Y774" s="512"/>
      <c r="Z774" s="512"/>
      <c r="AA774" s="512"/>
    </row>
    <row r="775">
      <c r="A775" s="512"/>
      <c r="B775" s="512"/>
      <c r="C775" s="512"/>
      <c r="D775" s="512"/>
      <c r="E775" s="512"/>
      <c r="F775" s="512"/>
      <c r="G775" s="512"/>
      <c r="H775" s="512"/>
      <c r="I775" s="512"/>
      <c r="J775" s="512"/>
      <c r="K775" s="512"/>
      <c r="L775" s="512"/>
      <c r="M775" s="512"/>
      <c r="N775" s="512"/>
      <c r="O775" s="512"/>
      <c r="P775" s="512"/>
      <c r="Q775" s="512"/>
      <c r="R775" s="512"/>
      <c r="S775" s="512"/>
      <c r="T775" s="512"/>
      <c r="U775" s="512"/>
      <c r="V775" s="512"/>
      <c r="W775" s="512"/>
      <c r="X775" s="512"/>
      <c r="Y775" s="512"/>
      <c r="Z775" s="512"/>
      <c r="AA775" s="512"/>
    </row>
    <row r="776">
      <c r="A776" s="512"/>
      <c r="B776" s="512"/>
      <c r="C776" s="512"/>
      <c r="D776" s="512"/>
      <c r="E776" s="512"/>
      <c r="F776" s="512"/>
      <c r="G776" s="512"/>
      <c r="H776" s="512"/>
      <c r="I776" s="512"/>
      <c r="J776" s="512"/>
      <c r="K776" s="512"/>
      <c r="L776" s="512"/>
      <c r="M776" s="512"/>
      <c r="N776" s="512"/>
      <c r="O776" s="512"/>
      <c r="P776" s="512"/>
      <c r="Q776" s="512"/>
      <c r="R776" s="512"/>
      <c r="S776" s="512"/>
      <c r="T776" s="512"/>
      <c r="U776" s="512"/>
      <c r="V776" s="512"/>
      <c r="W776" s="512"/>
      <c r="X776" s="512"/>
      <c r="Y776" s="512"/>
      <c r="Z776" s="512"/>
      <c r="AA776" s="512"/>
    </row>
    <row r="777">
      <c r="A777" s="512"/>
      <c r="B777" s="512"/>
      <c r="C777" s="512"/>
      <c r="D777" s="512"/>
      <c r="E777" s="512"/>
      <c r="F777" s="512"/>
      <c r="G777" s="512"/>
      <c r="H777" s="512"/>
      <c r="I777" s="512"/>
      <c r="J777" s="512"/>
      <c r="K777" s="512"/>
      <c r="L777" s="512"/>
      <c r="M777" s="512"/>
      <c r="N777" s="512"/>
      <c r="O777" s="512"/>
      <c r="P777" s="512"/>
      <c r="Q777" s="512"/>
      <c r="R777" s="512"/>
      <c r="S777" s="512"/>
      <c r="T777" s="512"/>
      <c r="U777" s="512"/>
      <c r="V777" s="512"/>
      <c r="W777" s="512"/>
      <c r="X777" s="512"/>
      <c r="Y777" s="512"/>
      <c r="Z777" s="512"/>
      <c r="AA777" s="512"/>
    </row>
    <row r="778">
      <c r="A778" s="512"/>
      <c r="B778" s="512"/>
      <c r="C778" s="512"/>
      <c r="D778" s="512"/>
      <c r="E778" s="512"/>
      <c r="F778" s="512"/>
      <c r="G778" s="512"/>
      <c r="H778" s="512"/>
      <c r="I778" s="512"/>
      <c r="J778" s="512"/>
      <c r="K778" s="512"/>
      <c r="L778" s="512"/>
      <c r="M778" s="512"/>
      <c r="N778" s="512"/>
      <c r="O778" s="512"/>
      <c r="P778" s="512"/>
      <c r="Q778" s="512"/>
      <c r="R778" s="512"/>
      <c r="S778" s="512"/>
      <c r="T778" s="512"/>
      <c r="U778" s="512"/>
      <c r="V778" s="512"/>
      <c r="W778" s="512"/>
      <c r="X778" s="512"/>
      <c r="Y778" s="512"/>
      <c r="Z778" s="512"/>
      <c r="AA778" s="512"/>
    </row>
    <row r="779">
      <c r="A779" s="512"/>
      <c r="B779" s="512"/>
      <c r="C779" s="512"/>
      <c r="D779" s="512"/>
      <c r="E779" s="512"/>
      <c r="F779" s="512"/>
      <c r="G779" s="512"/>
      <c r="H779" s="512"/>
      <c r="I779" s="512"/>
      <c r="J779" s="512"/>
      <c r="K779" s="512"/>
      <c r="L779" s="512"/>
      <c r="M779" s="512"/>
      <c r="N779" s="512"/>
      <c r="O779" s="512"/>
      <c r="P779" s="512"/>
      <c r="Q779" s="512"/>
      <c r="R779" s="512"/>
      <c r="S779" s="512"/>
      <c r="T779" s="512"/>
      <c r="U779" s="512"/>
      <c r="V779" s="512"/>
      <c r="W779" s="512"/>
      <c r="X779" s="512"/>
      <c r="Y779" s="512"/>
      <c r="Z779" s="512"/>
      <c r="AA779" s="512"/>
    </row>
    <row r="780">
      <c r="A780" s="512"/>
      <c r="B780" s="512"/>
      <c r="C780" s="512"/>
      <c r="D780" s="512"/>
      <c r="E780" s="512"/>
      <c r="F780" s="512"/>
      <c r="G780" s="512"/>
      <c r="H780" s="512"/>
      <c r="I780" s="512"/>
      <c r="J780" s="512"/>
      <c r="K780" s="512"/>
      <c r="L780" s="512"/>
      <c r="M780" s="512"/>
      <c r="N780" s="512"/>
      <c r="O780" s="512"/>
      <c r="P780" s="512"/>
      <c r="Q780" s="512"/>
      <c r="R780" s="512"/>
      <c r="S780" s="512"/>
      <c r="T780" s="512"/>
      <c r="U780" s="512"/>
      <c r="V780" s="512"/>
      <c r="W780" s="512"/>
      <c r="X780" s="512"/>
      <c r="Y780" s="512"/>
      <c r="Z780" s="512"/>
      <c r="AA780" s="512"/>
    </row>
    <row r="781">
      <c r="A781" s="512"/>
      <c r="B781" s="512"/>
      <c r="C781" s="512"/>
      <c r="D781" s="512"/>
      <c r="E781" s="512"/>
      <c r="F781" s="512"/>
      <c r="G781" s="512"/>
      <c r="H781" s="512"/>
      <c r="I781" s="512"/>
      <c r="J781" s="512"/>
      <c r="K781" s="512"/>
      <c r="L781" s="512"/>
      <c r="M781" s="512"/>
      <c r="N781" s="512"/>
      <c r="O781" s="512"/>
      <c r="P781" s="512"/>
      <c r="Q781" s="512"/>
      <c r="R781" s="512"/>
      <c r="S781" s="512"/>
      <c r="T781" s="512"/>
      <c r="U781" s="512"/>
      <c r="V781" s="512"/>
      <c r="W781" s="512"/>
      <c r="X781" s="512"/>
      <c r="Y781" s="512"/>
      <c r="Z781" s="512"/>
      <c r="AA781" s="512"/>
    </row>
    <row r="782">
      <c r="A782" s="512"/>
      <c r="B782" s="512"/>
      <c r="C782" s="512"/>
      <c r="D782" s="512"/>
      <c r="E782" s="512"/>
      <c r="F782" s="512"/>
      <c r="G782" s="512"/>
      <c r="H782" s="512"/>
      <c r="I782" s="512"/>
      <c r="J782" s="512"/>
      <c r="K782" s="512"/>
      <c r="L782" s="512"/>
      <c r="M782" s="512"/>
      <c r="N782" s="512"/>
      <c r="O782" s="512"/>
      <c r="P782" s="512"/>
      <c r="Q782" s="512"/>
      <c r="R782" s="512"/>
      <c r="S782" s="512"/>
      <c r="T782" s="512"/>
      <c r="U782" s="512"/>
      <c r="V782" s="512"/>
      <c r="W782" s="512"/>
      <c r="X782" s="512"/>
      <c r="Y782" s="512"/>
      <c r="Z782" s="512"/>
      <c r="AA782" s="512"/>
    </row>
    <row r="783">
      <c r="A783" s="512"/>
      <c r="B783" s="512"/>
      <c r="C783" s="512"/>
      <c r="D783" s="512"/>
      <c r="E783" s="512"/>
      <c r="F783" s="512"/>
      <c r="G783" s="512"/>
      <c r="H783" s="512"/>
      <c r="I783" s="512"/>
      <c r="J783" s="512"/>
      <c r="K783" s="512"/>
      <c r="L783" s="512"/>
      <c r="M783" s="512"/>
      <c r="N783" s="512"/>
      <c r="O783" s="512"/>
      <c r="P783" s="512"/>
      <c r="Q783" s="512"/>
      <c r="R783" s="512"/>
      <c r="S783" s="512"/>
      <c r="T783" s="512"/>
      <c r="U783" s="512"/>
      <c r="V783" s="512"/>
      <c r="W783" s="512"/>
      <c r="X783" s="512"/>
      <c r="Y783" s="512"/>
      <c r="Z783" s="512"/>
      <c r="AA783" s="512"/>
    </row>
    <row r="784">
      <c r="A784" s="512"/>
      <c r="B784" s="512"/>
      <c r="C784" s="512"/>
      <c r="D784" s="512"/>
      <c r="E784" s="512"/>
      <c r="F784" s="512"/>
      <c r="G784" s="512"/>
      <c r="H784" s="512"/>
      <c r="I784" s="512"/>
      <c r="J784" s="512"/>
      <c r="K784" s="512"/>
      <c r="L784" s="512"/>
      <c r="M784" s="512"/>
      <c r="N784" s="512"/>
      <c r="O784" s="512"/>
      <c r="P784" s="512"/>
      <c r="Q784" s="512"/>
      <c r="R784" s="512"/>
      <c r="S784" s="512"/>
      <c r="T784" s="512"/>
      <c r="U784" s="512"/>
      <c r="V784" s="512"/>
      <c r="W784" s="512"/>
      <c r="X784" s="512"/>
      <c r="Y784" s="512"/>
      <c r="Z784" s="512"/>
      <c r="AA784" s="512"/>
    </row>
    <row r="785">
      <c r="A785" s="512"/>
      <c r="B785" s="512"/>
      <c r="C785" s="512"/>
      <c r="D785" s="512"/>
      <c r="E785" s="512"/>
      <c r="F785" s="512"/>
      <c r="G785" s="512"/>
      <c r="H785" s="512"/>
      <c r="I785" s="512"/>
      <c r="J785" s="512"/>
      <c r="K785" s="512"/>
      <c r="L785" s="512"/>
      <c r="M785" s="512"/>
      <c r="N785" s="512"/>
      <c r="O785" s="512"/>
      <c r="P785" s="512"/>
      <c r="Q785" s="512"/>
      <c r="R785" s="512"/>
      <c r="S785" s="512"/>
      <c r="T785" s="512"/>
      <c r="U785" s="512"/>
      <c r="V785" s="512"/>
      <c r="W785" s="512"/>
      <c r="X785" s="512"/>
      <c r="Y785" s="512"/>
      <c r="Z785" s="512"/>
      <c r="AA785" s="512"/>
    </row>
    <row r="786">
      <c r="A786" s="512"/>
      <c r="B786" s="512"/>
      <c r="C786" s="512"/>
      <c r="D786" s="512"/>
      <c r="E786" s="512"/>
      <c r="F786" s="512"/>
      <c r="G786" s="512"/>
      <c r="H786" s="512"/>
      <c r="I786" s="512"/>
      <c r="J786" s="512"/>
      <c r="K786" s="512"/>
      <c r="L786" s="512"/>
      <c r="M786" s="512"/>
      <c r="N786" s="512"/>
      <c r="O786" s="512"/>
      <c r="P786" s="512"/>
      <c r="Q786" s="512"/>
      <c r="R786" s="512"/>
      <c r="S786" s="512"/>
      <c r="T786" s="512"/>
      <c r="U786" s="512"/>
      <c r="V786" s="512"/>
      <c r="W786" s="512"/>
      <c r="X786" s="512"/>
      <c r="Y786" s="512"/>
      <c r="Z786" s="512"/>
      <c r="AA786" s="512"/>
    </row>
    <row r="787">
      <c r="A787" s="512"/>
      <c r="B787" s="512"/>
      <c r="C787" s="512"/>
      <c r="D787" s="512"/>
      <c r="E787" s="512"/>
      <c r="F787" s="512"/>
      <c r="G787" s="512"/>
      <c r="H787" s="512"/>
      <c r="I787" s="512"/>
      <c r="J787" s="512"/>
      <c r="K787" s="512"/>
      <c r="L787" s="512"/>
      <c r="M787" s="512"/>
      <c r="N787" s="512"/>
      <c r="O787" s="512"/>
      <c r="P787" s="512"/>
      <c r="Q787" s="512"/>
      <c r="R787" s="512"/>
      <c r="S787" s="512"/>
      <c r="T787" s="512"/>
      <c r="U787" s="512"/>
      <c r="V787" s="512"/>
      <c r="W787" s="512"/>
      <c r="X787" s="512"/>
      <c r="Y787" s="512"/>
      <c r="Z787" s="512"/>
      <c r="AA787" s="512"/>
    </row>
    <row r="788">
      <c r="A788" s="512"/>
      <c r="B788" s="512"/>
      <c r="C788" s="512"/>
      <c r="D788" s="512"/>
      <c r="E788" s="512"/>
      <c r="F788" s="512"/>
      <c r="G788" s="512"/>
      <c r="H788" s="512"/>
      <c r="I788" s="512"/>
      <c r="J788" s="512"/>
      <c r="K788" s="512"/>
      <c r="L788" s="512"/>
      <c r="M788" s="512"/>
      <c r="N788" s="512"/>
      <c r="O788" s="512"/>
      <c r="P788" s="512"/>
      <c r="Q788" s="512"/>
      <c r="R788" s="512"/>
      <c r="S788" s="512"/>
      <c r="T788" s="512"/>
      <c r="U788" s="512"/>
      <c r="V788" s="512"/>
      <c r="W788" s="512"/>
      <c r="X788" s="512"/>
      <c r="Y788" s="512"/>
      <c r="Z788" s="512"/>
      <c r="AA788" s="512"/>
    </row>
    <row r="789">
      <c r="A789" s="512"/>
      <c r="B789" s="512"/>
      <c r="C789" s="512"/>
      <c r="D789" s="512"/>
      <c r="E789" s="512"/>
      <c r="F789" s="512"/>
      <c r="G789" s="512"/>
      <c r="H789" s="512"/>
      <c r="I789" s="512"/>
      <c r="J789" s="512"/>
      <c r="K789" s="512"/>
      <c r="L789" s="512"/>
      <c r="M789" s="512"/>
      <c r="N789" s="512"/>
      <c r="O789" s="512"/>
      <c r="P789" s="512"/>
      <c r="Q789" s="512"/>
      <c r="R789" s="512"/>
      <c r="S789" s="512"/>
      <c r="T789" s="512"/>
      <c r="U789" s="512"/>
      <c r="V789" s="512"/>
      <c r="W789" s="512"/>
      <c r="X789" s="512"/>
      <c r="Y789" s="512"/>
      <c r="Z789" s="512"/>
      <c r="AA789" s="512"/>
    </row>
    <row r="790">
      <c r="A790" s="512"/>
      <c r="B790" s="512"/>
      <c r="C790" s="512"/>
      <c r="D790" s="512"/>
      <c r="E790" s="512"/>
      <c r="F790" s="512"/>
      <c r="G790" s="512"/>
      <c r="H790" s="512"/>
      <c r="I790" s="512"/>
      <c r="J790" s="512"/>
      <c r="K790" s="512"/>
      <c r="L790" s="512"/>
      <c r="M790" s="512"/>
      <c r="N790" s="512"/>
      <c r="O790" s="512"/>
      <c r="P790" s="512"/>
      <c r="Q790" s="512"/>
      <c r="R790" s="512"/>
      <c r="S790" s="512"/>
      <c r="T790" s="512"/>
      <c r="U790" s="512"/>
      <c r="V790" s="512"/>
      <c r="W790" s="512"/>
      <c r="X790" s="512"/>
      <c r="Y790" s="512"/>
      <c r="Z790" s="512"/>
      <c r="AA790" s="512"/>
    </row>
    <row r="791">
      <c r="A791" s="512"/>
      <c r="B791" s="512"/>
      <c r="C791" s="512"/>
      <c r="D791" s="512"/>
      <c r="E791" s="512"/>
      <c r="F791" s="512"/>
      <c r="G791" s="512"/>
      <c r="H791" s="512"/>
      <c r="I791" s="512"/>
      <c r="J791" s="512"/>
      <c r="K791" s="512"/>
      <c r="L791" s="512"/>
      <c r="M791" s="512"/>
      <c r="N791" s="512"/>
      <c r="O791" s="512"/>
      <c r="P791" s="512"/>
      <c r="Q791" s="512"/>
      <c r="R791" s="512"/>
      <c r="S791" s="512"/>
      <c r="T791" s="512"/>
      <c r="U791" s="512"/>
      <c r="V791" s="512"/>
      <c r="W791" s="512"/>
      <c r="X791" s="512"/>
      <c r="Y791" s="512"/>
      <c r="Z791" s="512"/>
      <c r="AA791" s="512"/>
    </row>
    <row r="792">
      <c r="A792" s="512"/>
      <c r="B792" s="512"/>
      <c r="C792" s="512"/>
      <c r="D792" s="512"/>
      <c r="E792" s="512"/>
      <c r="F792" s="512"/>
      <c r="G792" s="512"/>
      <c r="H792" s="512"/>
      <c r="I792" s="512"/>
      <c r="J792" s="512"/>
      <c r="K792" s="512"/>
      <c r="L792" s="512"/>
      <c r="M792" s="512"/>
      <c r="N792" s="512"/>
      <c r="O792" s="512"/>
      <c r="P792" s="512"/>
      <c r="Q792" s="512"/>
      <c r="R792" s="512"/>
      <c r="S792" s="512"/>
      <c r="T792" s="512"/>
      <c r="U792" s="512"/>
      <c r="V792" s="512"/>
      <c r="W792" s="512"/>
      <c r="X792" s="512"/>
      <c r="Y792" s="512"/>
      <c r="Z792" s="512"/>
      <c r="AA792" s="512"/>
    </row>
    <row r="793">
      <c r="A793" s="512"/>
      <c r="B793" s="512"/>
      <c r="C793" s="512"/>
      <c r="D793" s="512"/>
      <c r="E793" s="512"/>
      <c r="F793" s="512"/>
      <c r="G793" s="512"/>
      <c r="H793" s="512"/>
      <c r="I793" s="512"/>
      <c r="J793" s="512"/>
      <c r="K793" s="512"/>
      <c r="L793" s="512"/>
      <c r="M793" s="512"/>
      <c r="N793" s="512"/>
      <c r="O793" s="512"/>
      <c r="P793" s="512"/>
      <c r="Q793" s="512"/>
      <c r="R793" s="512"/>
      <c r="S793" s="512"/>
      <c r="T793" s="512"/>
      <c r="U793" s="512"/>
      <c r="V793" s="512"/>
      <c r="W793" s="512"/>
      <c r="X793" s="512"/>
      <c r="Y793" s="512"/>
      <c r="Z793" s="512"/>
      <c r="AA793" s="512"/>
    </row>
    <row r="794">
      <c r="A794" s="512"/>
      <c r="B794" s="512"/>
      <c r="C794" s="512"/>
      <c r="D794" s="512"/>
      <c r="E794" s="512"/>
      <c r="F794" s="512"/>
      <c r="G794" s="512"/>
      <c r="H794" s="512"/>
      <c r="I794" s="512"/>
      <c r="J794" s="512"/>
      <c r="K794" s="512"/>
      <c r="L794" s="512"/>
      <c r="M794" s="512"/>
      <c r="N794" s="512"/>
      <c r="O794" s="512"/>
      <c r="P794" s="512"/>
      <c r="Q794" s="512"/>
      <c r="R794" s="512"/>
      <c r="S794" s="512"/>
      <c r="T794" s="512"/>
      <c r="U794" s="512"/>
      <c r="V794" s="512"/>
      <c r="W794" s="512"/>
      <c r="X794" s="512"/>
      <c r="Y794" s="512"/>
      <c r="Z794" s="512"/>
      <c r="AA794" s="512"/>
    </row>
    <row r="795">
      <c r="A795" s="512"/>
      <c r="B795" s="512"/>
      <c r="C795" s="512"/>
      <c r="D795" s="512"/>
      <c r="E795" s="512"/>
      <c r="F795" s="512"/>
      <c r="G795" s="512"/>
      <c r="H795" s="512"/>
      <c r="I795" s="512"/>
      <c r="J795" s="512"/>
      <c r="K795" s="512"/>
      <c r="L795" s="512"/>
      <c r="M795" s="512"/>
      <c r="N795" s="512"/>
      <c r="O795" s="512"/>
      <c r="P795" s="512"/>
      <c r="Q795" s="512"/>
      <c r="R795" s="512"/>
      <c r="S795" s="512"/>
      <c r="T795" s="512"/>
      <c r="U795" s="512"/>
      <c r="V795" s="512"/>
      <c r="W795" s="512"/>
      <c r="X795" s="512"/>
      <c r="Y795" s="512"/>
      <c r="Z795" s="512"/>
      <c r="AA795" s="512"/>
    </row>
    <row r="796">
      <c r="A796" s="512"/>
      <c r="B796" s="512"/>
      <c r="C796" s="512"/>
      <c r="D796" s="512"/>
      <c r="E796" s="512"/>
      <c r="F796" s="512"/>
      <c r="G796" s="512"/>
      <c r="H796" s="512"/>
      <c r="I796" s="512"/>
      <c r="J796" s="512"/>
      <c r="K796" s="512"/>
      <c r="L796" s="512"/>
      <c r="M796" s="512"/>
      <c r="N796" s="512"/>
      <c r="O796" s="512"/>
      <c r="P796" s="512"/>
      <c r="Q796" s="512"/>
      <c r="R796" s="512"/>
      <c r="S796" s="512"/>
      <c r="T796" s="512"/>
      <c r="U796" s="512"/>
      <c r="V796" s="512"/>
      <c r="W796" s="512"/>
      <c r="X796" s="512"/>
      <c r="Y796" s="512"/>
      <c r="Z796" s="512"/>
      <c r="AA796" s="512"/>
    </row>
    <row r="797">
      <c r="A797" s="512"/>
      <c r="B797" s="512"/>
      <c r="C797" s="512"/>
      <c r="D797" s="512"/>
      <c r="E797" s="512"/>
      <c r="F797" s="512"/>
      <c r="G797" s="512"/>
      <c r="H797" s="512"/>
      <c r="I797" s="512"/>
      <c r="J797" s="512"/>
      <c r="K797" s="512"/>
      <c r="L797" s="512"/>
      <c r="M797" s="512"/>
      <c r="N797" s="512"/>
      <c r="O797" s="512"/>
      <c r="P797" s="512"/>
      <c r="Q797" s="512"/>
      <c r="R797" s="512"/>
      <c r="S797" s="512"/>
      <c r="T797" s="512"/>
      <c r="U797" s="512"/>
      <c r="V797" s="512"/>
      <c r="W797" s="512"/>
      <c r="X797" s="512"/>
      <c r="Y797" s="512"/>
      <c r="Z797" s="512"/>
      <c r="AA797" s="512"/>
    </row>
    <row r="798">
      <c r="A798" s="512"/>
      <c r="B798" s="512"/>
      <c r="C798" s="512"/>
      <c r="D798" s="512"/>
      <c r="E798" s="512"/>
      <c r="F798" s="512"/>
      <c r="G798" s="512"/>
      <c r="H798" s="512"/>
      <c r="I798" s="512"/>
      <c r="J798" s="512"/>
      <c r="K798" s="512"/>
      <c r="L798" s="512"/>
      <c r="M798" s="512"/>
      <c r="N798" s="512"/>
      <c r="O798" s="512"/>
      <c r="P798" s="512"/>
      <c r="Q798" s="512"/>
      <c r="R798" s="512"/>
      <c r="S798" s="512"/>
      <c r="T798" s="512"/>
      <c r="U798" s="512"/>
      <c r="V798" s="512"/>
      <c r="W798" s="512"/>
      <c r="X798" s="512"/>
      <c r="Y798" s="512"/>
      <c r="Z798" s="512"/>
      <c r="AA798" s="512"/>
    </row>
    <row r="799">
      <c r="A799" s="512"/>
      <c r="B799" s="512"/>
      <c r="C799" s="512"/>
      <c r="D799" s="512"/>
      <c r="E799" s="512"/>
      <c r="F799" s="512"/>
      <c r="G799" s="512"/>
      <c r="H799" s="512"/>
      <c r="I799" s="512"/>
      <c r="J799" s="512"/>
      <c r="K799" s="512"/>
      <c r="L799" s="512"/>
      <c r="M799" s="512"/>
      <c r="N799" s="512"/>
      <c r="O799" s="512"/>
      <c r="P799" s="512"/>
      <c r="Q799" s="512"/>
      <c r="R799" s="512"/>
      <c r="S799" s="512"/>
      <c r="T799" s="512"/>
      <c r="U799" s="512"/>
      <c r="V799" s="512"/>
      <c r="W799" s="512"/>
      <c r="X799" s="512"/>
      <c r="Y799" s="512"/>
      <c r="Z799" s="512"/>
      <c r="AA799" s="512"/>
    </row>
    <row r="800">
      <c r="A800" s="512"/>
      <c r="B800" s="512"/>
      <c r="C800" s="512"/>
      <c r="D800" s="512"/>
      <c r="E800" s="512"/>
      <c r="F800" s="512"/>
      <c r="G800" s="512"/>
      <c r="H800" s="512"/>
      <c r="I800" s="512"/>
      <c r="J800" s="512"/>
      <c r="K800" s="512"/>
      <c r="L800" s="512"/>
      <c r="M800" s="512"/>
      <c r="N800" s="512"/>
      <c r="O800" s="512"/>
      <c r="P800" s="512"/>
      <c r="Q800" s="512"/>
      <c r="R800" s="512"/>
      <c r="S800" s="512"/>
      <c r="T800" s="512"/>
      <c r="U800" s="512"/>
      <c r="V800" s="512"/>
      <c r="W800" s="512"/>
      <c r="X800" s="512"/>
      <c r="Y800" s="512"/>
      <c r="Z800" s="512"/>
      <c r="AA800" s="512"/>
    </row>
    <row r="801">
      <c r="A801" s="512"/>
      <c r="B801" s="512"/>
      <c r="C801" s="512"/>
      <c r="D801" s="512"/>
      <c r="E801" s="512"/>
      <c r="F801" s="512"/>
      <c r="G801" s="512"/>
      <c r="H801" s="512"/>
      <c r="I801" s="512"/>
      <c r="J801" s="512"/>
      <c r="K801" s="512"/>
      <c r="L801" s="512"/>
      <c r="M801" s="512"/>
      <c r="N801" s="512"/>
      <c r="O801" s="512"/>
      <c r="P801" s="512"/>
      <c r="Q801" s="512"/>
      <c r="R801" s="512"/>
      <c r="S801" s="512"/>
      <c r="T801" s="512"/>
      <c r="U801" s="512"/>
      <c r="V801" s="512"/>
      <c r="W801" s="512"/>
      <c r="X801" s="512"/>
      <c r="Y801" s="512"/>
      <c r="Z801" s="512"/>
      <c r="AA801" s="512"/>
    </row>
    <row r="802">
      <c r="A802" s="512"/>
      <c r="B802" s="512"/>
      <c r="C802" s="512"/>
      <c r="D802" s="512"/>
      <c r="E802" s="512"/>
      <c r="F802" s="512"/>
      <c r="G802" s="512"/>
      <c r="H802" s="512"/>
      <c r="I802" s="512"/>
      <c r="J802" s="512"/>
      <c r="K802" s="512"/>
      <c r="L802" s="512"/>
      <c r="M802" s="512"/>
      <c r="N802" s="512"/>
      <c r="O802" s="512"/>
      <c r="P802" s="512"/>
      <c r="Q802" s="512"/>
      <c r="R802" s="512"/>
      <c r="S802" s="512"/>
      <c r="T802" s="512"/>
      <c r="U802" s="512"/>
      <c r="V802" s="512"/>
      <c r="W802" s="512"/>
      <c r="X802" s="512"/>
      <c r="Y802" s="512"/>
      <c r="Z802" s="512"/>
      <c r="AA802" s="512"/>
    </row>
    <row r="803">
      <c r="A803" s="512"/>
      <c r="B803" s="512"/>
      <c r="C803" s="512"/>
      <c r="D803" s="512"/>
      <c r="E803" s="512"/>
      <c r="F803" s="512"/>
      <c r="G803" s="512"/>
      <c r="H803" s="512"/>
      <c r="I803" s="512"/>
      <c r="J803" s="512"/>
      <c r="K803" s="512"/>
      <c r="L803" s="512"/>
      <c r="M803" s="512"/>
      <c r="N803" s="512"/>
      <c r="O803" s="512"/>
      <c r="P803" s="512"/>
      <c r="Q803" s="512"/>
      <c r="R803" s="512"/>
      <c r="S803" s="512"/>
      <c r="T803" s="512"/>
      <c r="U803" s="512"/>
      <c r="V803" s="512"/>
      <c r="W803" s="512"/>
      <c r="X803" s="512"/>
      <c r="Y803" s="512"/>
      <c r="Z803" s="512"/>
      <c r="AA803" s="512"/>
    </row>
    <row r="804">
      <c r="A804" s="512"/>
      <c r="B804" s="512"/>
      <c r="C804" s="512"/>
      <c r="D804" s="512"/>
      <c r="E804" s="512"/>
      <c r="F804" s="512"/>
      <c r="G804" s="512"/>
      <c r="H804" s="512"/>
      <c r="I804" s="512"/>
      <c r="J804" s="512"/>
      <c r="K804" s="512"/>
      <c r="L804" s="512"/>
      <c r="M804" s="512"/>
      <c r="N804" s="512"/>
      <c r="O804" s="512"/>
      <c r="P804" s="512"/>
      <c r="Q804" s="512"/>
      <c r="R804" s="512"/>
      <c r="S804" s="512"/>
      <c r="T804" s="512"/>
      <c r="U804" s="512"/>
      <c r="V804" s="512"/>
      <c r="W804" s="512"/>
      <c r="X804" s="512"/>
      <c r="Y804" s="512"/>
      <c r="Z804" s="512"/>
      <c r="AA804" s="512"/>
    </row>
    <row r="805">
      <c r="A805" s="512"/>
      <c r="B805" s="512"/>
      <c r="C805" s="512"/>
      <c r="D805" s="512"/>
      <c r="E805" s="512"/>
      <c r="F805" s="512"/>
      <c r="G805" s="512"/>
      <c r="H805" s="512"/>
      <c r="I805" s="512"/>
      <c r="J805" s="512"/>
      <c r="K805" s="512"/>
      <c r="L805" s="512"/>
      <c r="M805" s="512"/>
      <c r="N805" s="512"/>
      <c r="O805" s="512"/>
      <c r="P805" s="512"/>
      <c r="Q805" s="512"/>
      <c r="R805" s="512"/>
      <c r="S805" s="512"/>
      <c r="T805" s="512"/>
      <c r="U805" s="512"/>
      <c r="V805" s="512"/>
      <c r="W805" s="512"/>
      <c r="X805" s="512"/>
      <c r="Y805" s="512"/>
      <c r="Z805" s="512"/>
      <c r="AA805" s="512"/>
    </row>
    <row r="806">
      <c r="A806" s="512"/>
      <c r="B806" s="512"/>
      <c r="C806" s="512"/>
      <c r="D806" s="512"/>
      <c r="E806" s="512"/>
      <c r="F806" s="512"/>
      <c r="G806" s="512"/>
      <c r="H806" s="512"/>
      <c r="I806" s="512"/>
      <c r="J806" s="512"/>
      <c r="K806" s="512"/>
      <c r="L806" s="512"/>
      <c r="M806" s="512"/>
      <c r="N806" s="512"/>
      <c r="O806" s="512"/>
      <c r="P806" s="512"/>
      <c r="Q806" s="512"/>
      <c r="R806" s="512"/>
      <c r="S806" s="512"/>
      <c r="T806" s="512"/>
      <c r="U806" s="512"/>
      <c r="V806" s="512"/>
      <c r="W806" s="512"/>
      <c r="X806" s="512"/>
      <c r="Y806" s="512"/>
      <c r="Z806" s="512"/>
      <c r="AA806" s="512"/>
    </row>
    <row r="807">
      <c r="A807" s="512"/>
      <c r="B807" s="512"/>
      <c r="C807" s="512"/>
      <c r="D807" s="512"/>
      <c r="E807" s="512"/>
      <c r="F807" s="512"/>
      <c r="G807" s="512"/>
      <c r="H807" s="512"/>
      <c r="I807" s="512"/>
      <c r="J807" s="512"/>
      <c r="K807" s="512"/>
      <c r="L807" s="512"/>
      <c r="M807" s="512"/>
      <c r="N807" s="512"/>
      <c r="O807" s="512"/>
      <c r="P807" s="512"/>
      <c r="Q807" s="512"/>
      <c r="R807" s="512"/>
      <c r="S807" s="512"/>
      <c r="T807" s="512"/>
      <c r="U807" s="512"/>
      <c r="V807" s="512"/>
      <c r="W807" s="512"/>
      <c r="X807" s="512"/>
      <c r="Y807" s="512"/>
      <c r="Z807" s="512"/>
      <c r="AA807" s="512"/>
    </row>
    <row r="808">
      <c r="A808" s="512"/>
      <c r="B808" s="512"/>
      <c r="C808" s="512"/>
      <c r="D808" s="512"/>
      <c r="E808" s="512"/>
      <c r="F808" s="512"/>
      <c r="G808" s="512"/>
      <c r="H808" s="512"/>
      <c r="I808" s="512"/>
      <c r="J808" s="512"/>
      <c r="K808" s="512"/>
      <c r="L808" s="512"/>
      <c r="M808" s="512"/>
      <c r="N808" s="512"/>
      <c r="O808" s="512"/>
      <c r="P808" s="512"/>
      <c r="Q808" s="512"/>
      <c r="R808" s="512"/>
      <c r="S808" s="512"/>
      <c r="T808" s="512"/>
      <c r="U808" s="512"/>
      <c r="V808" s="512"/>
      <c r="W808" s="512"/>
      <c r="X808" s="512"/>
      <c r="Y808" s="512"/>
      <c r="Z808" s="512"/>
      <c r="AA808" s="512"/>
    </row>
    <row r="809">
      <c r="A809" s="512"/>
      <c r="B809" s="512"/>
      <c r="C809" s="512"/>
      <c r="D809" s="512"/>
      <c r="E809" s="512"/>
      <c r="F809" s="512"/>
      <c r="G809" s="512"/>
      <c r="H809" s="512"/>
      <c r="I809" s="512"/>
      <c r="J809" s="512"/>
      <c r="K809" s="512"/>
      <c r="L809" s="512"/>
      <c r="M809" s="512"/>
      <c r="N809" s="512"/>
      <c r="O809" s="512"/>
      <c r="P809" s="512"/>
      <c r="Q809" s="512"/>
      <c r="R809" s="512"/>
      <c r="S809" s="512"/>
      <c r="T809" s="512"/>
      <c r="U809" s="512"/>
      <c r="V809" s="512"/>
      <c r="W809" s="512"/>
      <c r="X809" s="512"/>
      <c r="Y809" s="512"/>
      <c r="Z809" s="512"/>
      <c r="AA809" s="512"/>
    </row>
    <row r="810">
      <c r="A810" s="512"/>
      <c r="B810" s="512"/>
      <c r="C810" s="512"/>
      <c r="D810" s="512"/>
      <c r="E810" s="512"/>
      <c r="F810" s="512"/>
      <c r="G810" s="512"/>
      <c r="H810" s="512"/>
      <c r="I810" s="512"/>
      <c r="J810" s="512"/>
      <c r="K810" s="512"/>
      <c r="L810" s="512"/>
      <c r="M810" s="512"/>
      <c r="N810" s="512"/>
      <c r="O810" s="512"/>
      <c r="P810" s="512"/>
      <c r="Q810" s="512"/>
      <c r="R810" s="512"/>
      <c r="S810" s="512"/>
      <c r="T810" s="512"/>
      <c r="U810" s="512"/>
      <c r="V810" s="512"/>
      <c r="W810" s="512"/>
      <c r="X810" s="512"/>
      <c r="Y810" s="512"/>
      <c r="Z810" s="512"/>
      <c r="AA810" s="512"/>
    </row>
    <row r="811">
      <c r="A811" s="512"/>
      <c r="B811" s="512"/>
      <c r="C811" s="512"/>
      <c r="D811" s="512"/>
      <c r="E811" s="512"/>
      <c r="F811" s="512"/>
      <c r="G811" s="512"/>
      <c r="H811" s="512"/>
      <c r="I811" s="512"/>
      <c r="J811" s="512"/>
      <c r="K811" s="512"/>
      <c r="L811" s="512"/>
      <c r="M811" s="512"/>
      <c r="N811" s="512"/>
      <c r="O811" s="512"/>
      <c r="P811" s="512"/>
      <c r="Q811" s="512"/>
      <c r="R811" s="512"/>
      <c r="S811" s="512"/>
      <c r="T811" s="512"/>
      <c r="U811" s="512"/>
      <c r="V811" s="512"/>
      <c r="W811" s="512"/>
      <c r="X811" s="512"/>
      <c r="Y811" s="512"/>
      <c r="Z811" s="512"/>
      <c r="AA811" s="512"/>
    </row>
    <row r="812">
      <c r="A812" s="512"/>
      <c r="B812" s="512"/>
      <c r="C812" s="512"/>
      <c r="D812" s="512"/>
      <c r="E812" s="512"/>
      <c r="F812" s="512"/>
      <c r="G812" s="512"/>
      <c r="H812" s="512"/>
      <c r="I812" s="512"/>
      <c r="J812" s="512"/>
      <c r="K812" s="512"/>
      <c r="L812" s="512"/>
      <c r="M812" s="512"/>
      <c r="N812" s="512"/>
      <c r="O812" s="512"/>
      <c r="P812" s="512"/>
      <c r="Q812" s="512"/>
      <c r="R812" s="512"/>
      <c r="S812" s="512"/>
      <c r="T812" s="512"/>
      <c r="U812" s="512"/>
      <c r="V812" s="512"/>
      <c r="W812" s="512"/>
      <c r="X812" s="512"/>
      <c r="Y812" s="512"/>
      <c r="Z812" s="512"/>
      <c r="AA812" s="512"/>
    </row>
    <row r="813">
      <c r="A813" s="512"/>
      <c r="B813" s="512"/>
      <c r="C813" s="512"/>
      <c r="D813" s="512"/>
      <c r="E813" s="512"/>
      <c r="F813" s="512"/>
      <c r="G813" s="512"/>
      <c r="H813" s="512"/>
      <c r="I813" s="512"/>
      <c r="J813" s="512"/>
      <c r="K813" s="512"/>
      <c r="L813" s="512"/>
      <c r="M813" s="512"/>
      <c r="N813" s="512"/>
      <c r="O813" s="512"/>
      <c r="P813" s="512"/>
      <c r="Q813" s="512"/>
      <c r="R813" s="512"/>
      <c r="S813" s="512"/>
      <c r="T813" s="512"/>
      <c r="U813" s="512"/>
      <c r="V813" s="512"/>
      <c r="W813" s="512"/>
      <c r="X813" s="512"/>
      <c r="Y813" s="512"/>
      <c r="Z813" s="512"/>
      <c r="AA813" s="512"/>
    </row>
    <row r="814">
      <c r="A814" s="512"/>
      <c r="B814" s="512"/>
      <c r="C814" s="512"/>
      <c r="D814" s="512"/>
      <c r="E814" s="512"/>
      <c r="F814" s="512"/>
      <c r="G814" s="512"/>
      <c r="H814" s="512"/>
      <c r="I814" s="512"/>
      <c r="J814" s="512"/>
      <c r="K814" s="512"/>
      <c r="L814" s="512"/>
      <c r="M814" s="512"/>
      <c r="N814" s="512"/>
      <c r="O814" s="512"/>
      <c r="P814" s="512"/>
      <c r="Q814" s="512"/>
      <c r="R814" s="512"/>
      <c r="S814" s="512"/>
      <c r="T814" s="512"/>
      <c r="U814" s="512"/>
      <c r="V814" s="512"/>
      <c r="W814" s="512"/>
      <c r="X814" s="512"/>
      <c r="Y814" s="512"/>
      <c r="Z814" s="512"/>
      <c r="AA814" s="512"/>
    </row>
    <row r="815">
      <c r="A815" s="512"/>
      <c r="B815" s="512"/>
      <c r="C815" s="512"/>
      <c r="D815" s="512"/>
      <c r="E815" s="512"/>
      <c r="F815" s="512"/>
      <c r="G815" s="512"/>
      <c r="H815" s="512"/>
      <c r="I815" s="512"/>
      <c r="J815" s="512"/>
      <c r="K815" s="512"/>
      <c r="L815" s="512"/>
      <c r="M815" s="512"/>
      <c r="N815" s="512"/>
      <c r="O815" s="512"/>
      <c r="P815" s="512"/>
      <c r="Q815" s="512"/>
      <c r="R815" s="512"/>
      <c r="S815" s="512"/>
      <c r="T815" s="512"/>
      <c r="U815" s="512"/>
      <c r="V815" s="512"/>
      <c r="W815" s="512"/>
      <c r="X815" s="512"/>
      <c r="Y815" s="512"/>
      <c r="Z815" s="512"/>
      <c r="AA815" s="512"/>
    </row>
    <row r="816">
      <c r="A816" s="512"/>
      <c r="B816" s="512"/>
      <c r="C816" s="512"/>
      <c r="D816" s="512"/>
      <c r="E816" s="512"/>
      <c r="F816" s="512"/>
      <c r="G816" s="512"/>
      <c r="H816" s="512"/>
      <c r="I816" s="512"/>
      <c r="J816" s="512"/>
      <c r="K816" s="512"/>
      <c r="L816" s="512"/>
      <c r="M816" s="512"/>
      <c r="N816" s="512"/>
      <c r="O816" s="512"/>
      <c r="P816" s="512"/>
      <c r="Q816" s="512"/>
      <c r="R816" s="512"/>
      <c r="S816" s="512"/>
      <c r="T816" s="512"/>
      <c r="U816" s="512"/>
      <c r="V816" s="512"/>
      <c r="W816" s="512"/>
      <c r="X816" s="512"/>
      <c r="Y816" s="512"/>
      <c r="Z816" s="512"/>
      <c r="AA816" s="512"/>
    </row>
    <row r="817">
      <c r="A817" s="512"/>
      <c r="B817" s="512"/>
      <c r="C817" s="512"/>
      <c r="D817" s="512"/>
      <c r="E817" s="512"/>
      <c r="F817" s="512"/>
      <c r="G817" s="512"/>
      <c r="H817" s="512"/>
      <c r="I817" s="512"/>
      <c r="J817" s="512"/>
      <c r="K817" s="512"/>
      <c r="L817" s="512"/>
      <c r="M817" s="512"/>
      <c r="N817" s="512"/>
      <c r="O817" s="512"/>
      <c r="P817" s="512"/>
      <c r="Q817" s="512"/>
      <c r="R817" s="512"/>
      <c r="S817" s="512"/>
      <c r="T817" s="512"/>
      <c r="U817" s="512"/>
      <c r="V817" s="512"/>
      <c r="W817" s="512"/>
      <c r="X817" s="512"/>
      <c r="Y817" s="512"/>
      <c r="Z817" s="512"/>
      <c r="AA817" s="512"/>
    </row>
    <row r="818">
      <c r="A818" s="512"/>
      <c r="B818" s="512"/>
      <c r="C818" s="512"/>
      <c r="D818" s="512"/>
      <c r="E818" s="512"/>
      <c r="F818" s="512"/>
      <c r="G818" s="512"/>
      <c r="H818" s="512"/>
      <c r="I818" s="512"/>
      <c r="J818" s="512"/>
      <c r="K818" s="512"/>
      <c r="L818" s="512"/>
      <c r="M818" s="512"/>
      <c r="N818" s="512"/>
      <c r="O818" s="512"/>
      <c r="P818" s="512"/>
      <c r="Q818" s="512"/>
      <c r="R818" s="512"/>
      <c r="S818" s="512"/>
      <c r="T818" s="512"/>
      <c r="U818" s="512"/>
      <c r="V818" s="512"/>
      <c r="W818" s="512"/>
      <c r="X818" s="512"/>
      <c r="Y818" s="512"/>
      <c r="Z818" s="512"/>
      <c r="AA818" s="512"/>
    </row>
    <row r="819">
      <c r="A819" s="512"/>
      <c r="B819" s="512"/>
      <c r="C819" s="512"/>
      <c r="D819" s="512"/>
      <c r="E819" s="512"/>
      <c r="F819" s="512"/>
      <c r="G819" s="512"/>
      <c r="H819" s="512"/>
      <c r="I819" s="512"/>
      <c r="J819" s="512"/>
      <c r="K819" s="512"/>
      <c r="L819" s="512"/>
      <c r="M819" s="512"/>
      <c r="N819" s="512"/>
      <c r="O819" s="512"/>
      <c r="P819" s="512"/>
      <c r="Q819" s="512"/>
      <c r="R819" s="512"/>
      <c r="S819" s="512"/>
      <c r="T819" s="512"/>
      <c r="U819" s="512"/>
      <c r="V819" s="512"/>
      <c r="W819" s="512"/>
      <c r="X819" s="512"/>
      <c r="Y819" s="512"/>
      <c r="Z819" s="512"/>
      <c r="AA819" s="512"/>
    </row>
    <row r="820">
      <c r="A820" s="512"/>
      <c r="B820" s="512"/>
      <c r="C820" s="512"/>
      <c r="D820" s="512"/>
      <c r="E820" s="512"/>
      <c r="F820" s="512"/>
      <c r="G820" s="512"/>
      <c r="H820" s="512"/>
      <c r="I820" s="512"/>
      <c r="J820" s="512"/>
      <c r="K820" s="512"/>
      <c r="L820" s="512"/>
      <c r="M820" s="512"/>
      <c r="N820" s="512"/>
      <c r="O820" s="512"/>
      <c r="P820" s="512"/>
      <c r="Q820" s="512"/>
      <c r="R820" s="512"/>
      <c r="S820" s="512"/>
      <c r="T820" s="512"/>
      <c r="U820" s="512"/>
      <c r="V820" s="512"/>
      <c r="W820" s="512"/>
      <c r="X820" s="512"/>
      <c r="Y820" s="512"/>
      <c r="Z820" s="512"/>
      <c r="AA820" s="512"/>
    </row>
    <row r="821">
      <c r="A821" s="512"/>
      <c r="B821" s="512"/>
      <c r="C821" s="512"/>
      <c r="D821" s="512"/>
      <c r="E821" s="512"/>
      <c r="F821" s="512"/>
      <c r="G821" s="512"/>
      <c r="H821" s="512"/>
      <c r="I821" s="512"/>
      <c r="J821" s="512"/>
      <c r="K821" s="512"/>
      <c r="L821" s="512"/>
      <c r="M821" s="512"/>
      <c r="N821" s="512"/>
      <c r="O821" s="512"/>
      <c r="P821" s="512"/>
      <c r="Q821" s="512"/>
      <c r="R821" s="512"/>
      <c r="S821" s="512"/>
      <c r="T821" s="512"/>
      <c r="U821" s="512"/>
      <c r="V821" s="512"/>
      <c r="W821" s="512"/>
      <c r="X821" s="512"/>
      <c r="Y821" s="512"/>
      <c r="Z821" s="512"/>
      <c r="AA821" s="512"/>
    </row>
    <row r="822">
      <c r="A822" s="512"/>
      <c r="B822" s="512"/>
      <c r="C822" s="512"/>
      <c r="D822" s="512"/>
      <c r="E822" s="512"/>
      <c r="F822" s="512"/>
      <c r="G822" s="512"/>
      <c r="H822" s="512"/>
      <c r="I822" s="512"/>
      <c r="J822" s="512"/>
      <c r="K822" s="512"/>
      <c r="L822" s="512"/>
      <c r="M822" s="512"/>
      <c r="N822" s="512"/>
      <c r="O822" s="512"/>
      <c r="P822" s="512"/>
      <c r="Q822" s="512"/>
      <c r="R822" s="512"/>
      <c r="S822" s="512"/>
      <c r="T822" s="512"/>
      <c r="U822" s="512"/>
      <c r="V822" s="512"/>
      <c r="W822" s="512"/>
      <c r="X822" s="512"/>
      <c r="Y822" s="512"/>
      <c r="Z822" s="512"/>
      <c r="AA822" s="512"/>
    </row>
    <row r="823">
      <c r="A823" s="512"/>
      <c r="B823" s="512"/>
      <c r="C823" s="512"/>
      <c r="D823" s="512"/>
      <c r="E823" s="512"/>
      <c r="F823" s="512"/>
      <c r="G823" s="512"/>
      <c r="H823" s="512"/>
      <c r="I823" s="512"/>
      <c r="J823" s="512"/>
      <c r="K823" s="512"/>
      <c r="L823" s="512"/>
      <c r="M823" s="512"/>
      <c r="N823" s="512"/>
      <c r="O823" s="512"/>
      <c r="P823" s="512"/>
      <c r="Q823" s="512"/>
      <c r="R823" s="512"/>
      <c r="S823" s="512"/>
      <c r="T823" s="512"/>
      <c r="U823" s="512"/>
      <c r="V823" s="512"/>
      <c r="W823" s="512"/>
      <c r="X823" s="512"/>
      <c r="Y823" s="512"/>
      <c r="Z823" s="512"/>
      <c r="AA823" s="512"/>
    </row>
    <row r="824">
      <c r="A824" s="512"/>
      <c r="B824" s="512"/>
      <c r="C824" s="512"/>
      <c r="D824" s="512"/>
      <c r="E824" s="512"/>
      <c r="F824" s="512"/>
      <c r="G824" s="512"/>
      <c r="H824" s="512"/>
      <c r="I824" s="512"/>
      <c r="J824" s="512"/>
      <c r="K824" s="512"/>
      <c r="L824" s="512"/>
      <c r="M824" s="512"/>
      <c r="N824" s="512"/>
      <c r="O824" s="512"/>
      <c r="P824" s="512"/>
      <c r="Q824" s="512"/>
      <c r="R824" s="512"/>
      <c r="S824" s="512"/>
      <c r="T824" s="512"/>
      <c r="U824" s="512"/>
      <c r="V824" s="512"/>
      <c r="W824" s="512"/>
      <c r="X824" s="512"/>
      <c r="Y824" s="512"/>
      <c r="Z824" s="512"/>
      <c r="AA824" s="512"/>
    </row>
    <row r="825">
      <c r="A825" s="512"/>
      <c r="B825" s="512"/>
      <c r="C825" s="512"/>
      <c r="D825" s="512"/>
      <c r="E825" s="512"/>
      <c r="F825" s="512"/>
      <c r="G825" s="512"/>
      <c r="H825" s="512"/>
      <c r="I825" s="512"/>
      <c r="J825" s="512"/>
      <c r="K825" s="512"/>
      <c r="L825" s="512"/>
      <c r="M825" s="512"/>
      <c r="N825" s="512"/>
      <c r="O825" s="512"/>
      <c r="P825" s="512"/>
      <c r="Q825" s="512"/>
      <c r="R825" s="512"/>
      <c r="S825" s="512"/>
      <c r="T825" s="512"/>
      <c r="U825" s="512"/>
      <c r="V825" s="512"/>
      <c r="W825" s="512"/>
      <c r="X825" s="512"/>
      <c r="Y825" s="512"/>
      <c r="Z825" s="512"/>
      <c r="AA825" s="512"/>
    </row>
    <row r="826">
      <c r="A826" s="512"/>
      <c r="B826" s="512"/>
      <c r="C826" s="512"/>
      <c r="D826" s="512"/>
      <c r="E826" s="512"/>
      <c r="F826" s="512"/>
      <c r="G826" s="512"/>
      <c r="H826" s="512"/>
      <c r="I826" s="512"/>
      <c r="J826" s="512"/>
      <c r="K826" s="512"/>
      <c r="L826" s="512"/>
      <c r="M826" s="512"/>
      <c r="N826" s="512"/>
      <c r="O826" s="512"/>
      <c r="P826" s="512"/>
      <c r="Q826" s="512"/>
      <c r="R826" s="512"/>
      <c r="S826" s="512"/>
      <c r="T826" s="512"/>
      <c r="U826" s="512"/>
      <c r="V826" s="512"/>
      <c r="W826" s="512"/>
      <c r="X826" s="512"/>
      <c r="Y826" s="512"/>
      <c r="Z826" s="512"/>
      <c r="AA826" s="512"/>
    </row>
    <row r="827">
      <c r="A827" s="512"/>
      <c r="B827" s="512"/>
      <c r="C827" s="512"/>
      <c r="D827" s="512"/>
      <c r="E827" s="512"/>
      <c r="F827" s="512"/>
      <c r="G827" s="512"/>
      <c r="H827" s="512"/>
      <c r="I827" s="512"/>
      <c r="J827" s="512"/>
      <c r="K827" s="512"/>
      <c r="L827" s="512"/>
      <c r="M827" s="512"/>
      <c r="N827" s="512"/>
      <c r="O827" s="512"/>
      <c r="P827" s="512"/>
      <c r="Q827" s="512"/>
      <c r="R827" s="512"/>
      <c r="S827" s="512"/>
      <c r="T827" s="512"/>
      <c r="U827" s="512"/>
      <c r="V827" s="512"/>
      <c r="W827" s="512"/>
      <c r="X827" s="512"/>
      <c r="Y827" s="512"/>
      <c r="Z827" s="512"/>
      <c r="AA827" s="512"/>
    </row>
    <row r="828">
      <c r="A828" s="512"/>
      <c r="B828" s="512"/>
      <c r="C828" s="512"/>
      <c r="D828" s="512"/>
      <c r="E828" s="512"/>
      <c r="F828" s="512"/>
      <c r="G828" s="512"/>
      <c r="H828" s="512"/>
      <c r="I828" s="512"/>
      <c r="J828" s="512"/>
      <c r="K828" s="512"/>
      <c r="L828" s="512"/>
      <c r="M828" s="512"/>
      <c r="N828" s="512"/>
      <c r="O828" s="512"/>
      <c r="P828" s="512"/>
      <c r="Q828" s="512"/>
      <c r="R828" s="512"/>
      <c r="S828" s="512"/>
      <c r="T828" s="512"/>
      <c r="U828" s="512"/>
      <c r="V828" s="512"/>
      <c r="W828" s="512"/>
      <c r="X828" s="512"/>
      <c r="Y828" s="512"/>
      <c r="Z828" s="512"/>
      <c r="AA828" s="512"/>
    </row>
    <row r="829">
      <c r="A829" s="512"/>
      <c r="B829" s="512"/>
      <c r="C829" s="512"/>
      <c r="D829" s="512"/>
      <c r="E829" s="512"/>
      <c r="F829" s="512"/>
      <c r="G829" s="512"/>
      <c r="H829" s="512"/>
      <c r="I829" s="512"/>
      <c r="J829" s="512"/>
      <c r="K829" s="512"/>
      <c r="L829" s="512"/>
      <c r="M829" s="512"/>
      <c r="N829" s="512"/>
      <c r="O829" s="512"/>
      <c r="P829" s="512"/>
      <c r="Q829" s="512"/>
      <c r="R829" s="512"/>
      <c r="S829" s="512"/>
      <c r="T829" s="512"/>
      <c r="U829" s="512"/>
      <c r="V829" s="512"/>
      <c r="W829" s="512"/>
      <c r="X829" s="512"/>
      <c r="Y829" s="512"/>
      <c r="Z829" s="512"/>
      <c r="AA829" s="512"/>
    </row>
    <row r="830">
      <c r="A830" s="512"/>
      <c r="B830" s="512"/>
      <c r="C830" s="512"/>
      <c r="D830" s="512"/>
      <c r="E830" s="512"/>
      <c r="F830" s="512"/>
      <c r="G830" s="512"/>
      <c r="H830" s="512"/>
      <c r="I830" s="512"/>
      <c r="J830" s="512"/>
      <c r="K830" s="512"/>
      <c r="L830" s="512"/>
      <c r="M830" s="512"/>
      <c r="N830" s="512"/>
      <c r="O830" s="512"/>
      <c r="P830" s="512"/>
      <c r="Q830" s="512"/>
      <c r="R830" s="512"/>
      <c r="S830" s="512"/>
      <c r="T830" s="512"/>
      <c r="U830" s="512"/>
      <c r="V830" s="512"/>
      <c r="W830" s="512"/>
      <c r="X830" s="512"/>
      <c r="Y830" s="512"/>
      <c r="Z830" s="512"/>
      <c r="AA830" s="512"/>
    </row>
    <row r="831">
      <c r="A831" s="512"/>
      <c r="B831" s="512"/>
      <c r="C831" s="512"/>
      <c r="D831" s="512"/>
      <c r="E831" s="512"/>
      <c r="F831" s="512"/>
      <c r="G831" s="512"/>
      <c r="H831" s="512"/>
      <c r="I831" s="512"/>
      <c r="J831" s="512"/>
      <c r="K831" s="512"/>
      <c r="L831" s="512"/>
      <c r="M831" s="512"/>
      <c r="N831" s="512"/>
      <c r="O831" s="512"/>
      <c r="P831" s="512"/>
      <c r="Q831" s="512"/>
      <c r="R831" s="512"/>
      <c r="S831" s="512"/>
      <c r="T831" s="512"/>
      <c r="U831" s="512"/>
      <c r="V831" s="512"/>
      <c r="W831" s="512"/>
      <c r="X831" s="512"/>
      <c r="Y831" s="512"/>
      <c r="Z831" s="512"/>
      <c r="AA831" s="512"/>
    </row>
    <row r="832">
      <c r="A832" s="512"/>
      <c r="B832" s="512"/>
      <c r="C832" s="512"/>
      <c r="D832" s="512"/>
      <c r="E832" s="512"/>
      <c r="F832" s="512"/>
      <c r="G832" s="512"/>
      <c r="H832" s="512"/>
      <c r="I832" s="512"/>
      <c r="J832" s="512"/>
      <c r="K832" s="512"/>
      <c r="L832" s="512"/>
      <c r="M832" s="512"/>
      <c r="N832" s="512"/>
      <c r="O832" s="512"/>
      <c r="P832" s="512"/>
      <c r="Q832" s="512"/>
      <c r="R832" s="512"/>
      <c r="S832" s="512"/>
      <c r="T832" s="512"/>
      <c r="U832" s="512"/>
      <c r="V832" s="512"/>
      <c r="W832" s="512"/>
      <c r="X832" s="512"/>
      <c r="Y832" s="512"/>
      <c r="Z832" s="512"/>
      <c r="AA832" s="512"/>
    </row>
    <row r="833">
      <c r="A833" s="512"/>
      <c r="B833" s="512"/>
      <c r="C833" s="512"/>
      <c r="D833" s="512"/>
      <c r="E833" s="512"/>
      <c r="F833" s="512"/>
      <c r="G833" s="512"/>
      <c r="H833" s="512"/>
      <c r="I833" s="512"/>
      <c r="J833" s="512"/>
      <c r="K833" s="512"/>
      <c r="L833" s="512"/>
      <c r="M833" s="512"/>
      <c r="N833" s="512"/>
      <c r="O833" s="512"/>
      <c r="P833" s="512"/>
      <c r="Q833" s="512"/>
      <c r="R833" s="512"/>
      <c r="S833" s="512"/>
      <c r="T833" s="512"/>
      <c r="U833" s="512"/>
      <c r="V833" s="512"/>
      <c r="W833" s="512"/>
      <c r="X833" s="512"/>
      <c r="Y833" s="512"/>
      <c r="Z833" s="512"/>
      <c r="AA833" s="512"/>
    </row>
    <row r="834">
      <c r="A834" s="512"/>
      <c r="B834" s="512"/>
      <c r="C834" s="512"/>
      <c r="D834" s="512"/>
      <c r="E834" s="512"/>
      <c r="F834" s="512"/>
      <c r="G834" s="512"/>
      <c r="H834" s="512"/>
      <c r="I834" s="512"/>
      <c r="J834" s="512"/>
      <c r="K834" s="512"/>
      <c r="L834" s="512"/>
      <c r="M834" s="512"/>
      <c r="N834" s="512"/>
      <c r="O834" s="512"/>
      <c r="P834" s="512"/>
      <c r="Q834" s="512"/>
      <c r="R834" s="512"/>
      <c r="S834" s="512"/>
      <c r="T834" s="512"/>
      <c r="U834" s="512"/>
      <c r="V834" s="512"/>
      <c r="W834" s="512"/>
      <c r="X834" s="512"/>
      <c r="Y834" s="512"/>
      <c r="Z834" s="512"/>
      <c r="AA834" s="512"/>
    </row>
    <row r="835">
      <c r="A835" s="512"/>
      <c r="B835" s="512"/>
      <c r="C835" s="512"/>
      <c r="D835" s="512"/>
      <c r="E835" s="512"/>
      <c r="F835" s="512"/>
      <c r="G835" s="512"/>
      <c r="H835" s="512"/>
      <c r="I835" s="512"/>
      <c r="J835" s="512"/>
      <c r="K835" s="512"/>
      <c r="L835" s="512"/>
      <c r="M835" s="512"/>
      <c r="N835" s="512"/>
      <c r="O835" s="512"/>
      <c r="P835" s="512"/>
      <c r="Q835" s="512"/>
      <c r="R835" s="512"/>
      <c r="S835" s="512"/>
      <c r="T835" s="512"/>
      <c r="U835" s="512"/>
      <c r="V835" s="512"/>
      <c r="W835" s="512"/>
      <c r="X835" s="512"/>
      <c r="Y835" s="512"/>
      <c r="Z835" s="512"/>
      <c r="AA835" s="512"/>
    </row>
    <row r="836">
      <c r="A836" s="512"/>
      <c r="B836" s="512"/>
      <c r="C836" s="512"/>
      <c r="D836" s="512"/>
      <c r="E836" s="512"/>
      <c r="F836" s="512"/>
      <c r="G836" s="512"/>
      <c r="H836" s="512"/>
      <c r="I836" s="512"/>
      <c r="J836" s="512"/>
      <c r="K836" s="512"/>
      <c r="L836" s="512"/>
      <c r="M836" s="512"/>
      <c r="N836" s="512"/>
      <c r="O836" s="512"/>
      <c r="P836" s="512"/>
      <c r="Q836" s="512"/>
      <c r="R836" s="512"/>
      <c r="S836" s="512"/>
      <c r="T836" s="512"/>
      <c r="U836" s="512"/>
      <c r="V836" s="512"/>
      <c r="W836" s="512"/>
      <c r="X836" s="512"/>
      <c r="Y836" s="512"/>
      <c r="Z836" s="512"/>
      <c r="AA836" s="512"/>
    </row>
    <row r="837">
      <c r="A837" s="512"/>
      <c r="B837" s="512"/>
      <c r="C837" s="512"/>
      <c r="D837" s="512"/>
      <c r="E837" s="512"/>
      <c r="F837" s="512"/>
      <c r="G837" s="512"/>
      <c r="H837" s="512"/>
      <c r="I837" s="512"/>
      <c r="J837" s="512"/>
      <c r="K837" s="512"/>
      <c r="L837" s="512"/>
      <c r="M837" s="512"/>
      <c r="N837" s="512"/>
      <c r="O837" s="512"/>
      <c r="P837" s="512"/>
      <c r="Q837" s="512"/>
      <c r="R837" s="512"/>
      <c r="S837" s="512"/>
      <c r="T837" s="512"/>
      <c r="U837" s="512"/>
      <c r="V837" s="512"/>
      <c r="W837" s="512"/>
      <c r="X837" s="512"/>
      <c r="Y837" s="512"/>
      <c r="Z837" s="512"/>
      <c r="AA837" s="512"/>
    </row>
    <row r="838">
      <c r="A838" s="512"/>
      <c r="B838" s="512"/>
      <c r="C838" s="512"/>
      <c r="D838" s="512"/>
      <c r="E838" s="512"/>
      <c r="F838" s="512"/>
      <c r="G838" s="512"/>
      <c r="H838" s="512"/>
      <c r="I838" s="512"/>
      <c r="J838" s="512"/>
      <c r="K838" s="512"/>
      <c r="L838" s="512"/>
      <c r="M838" s="512"/>
      <c r="N838" s="512"/>
      <c r="O838" s="512"/>
      <c r="P838" s="512"/>
      <c r="Q838" s="512"/>
      <c r="R838" s="512"/>
      <c r="S838" s="512"/>
      <c r="T838" s="512"/>
      <c r="U838" s="512"/>
      <c r="V838" s="512"/>
      <c r="W838" s="512"/>
      <c r="X838" s="512"/>
      <c r="Y838" s="512"/>
      <c r="Z838" s="512"/>
      <c r="AA838" s="512"/>
    </row>
    <row r="839">
      <c r="A839" s="512"/>
      <c r="B839" s="512"/>
      <c r="C839" s="512"/>
      <c r="D839" s="512"/>
      <c r="E839" s="512"/>
      <c r="F839" s="512"/>
      <c r="G839" s="512"/>
      <c r="H839" s="512"/>
      <c r="I839" s="512"/>
      <c r="J839" s="512"/>
      <c r="K839" s="512"/>
      <c r="L839" s="512"/>
      <c r="M839" s="512"/>
      <c r="N839" s="512"/>
      <c r="O839" s="512"/>
      <c r="P839" s="512"/>
      <c r="Q839" s="512"/>
      <c r="R839" s="512"/>
      <c r="S839" s="512"/>
      <c r="T839" s="512"/>
      <c r="U839" s="512"/>
      <c r="V839" s="512"/>
      <c r="W839" s="512"/>
      <c r="X839" s="512"/>
      <c r="Y839" s="512"/>
      <c r="Z839" s="512"/>
      <c r="AA839" s="512"/>
    </row>
    <row r="840">
      <c r="A840" s="512"/>
      <c r="B840" s="512"/>
      <c r="C840" s="512"/>
      <c r="D840" s="512"/>
      <c r="E840" s="512"/>
      <c r="F840" s="512"/>
      <c r="G840" s="512"/>
      <c r="H840" s="512"/>
      <c r="I840" s="512"/>
      <c r="J840" s="512"/>
      <c r="K840" s="512"/>
      <c r="L840" s="512"/>
      <c r="M840" s="512"/>
      <c r="N840" s="512"/>
      <c r="O840" s="512"/>
      <c r="P840" s="512"/>
      <c r="Q840" s="512"/>
      <c r="R840" s="512"/>
      <c r="S840" s="512"/>
      <c r="T840" s="512"/>
      <c r="U840" s="512"/>
      <c r="V840" s="512"/>
      <c r="W840" s="512"/>
      <c r="X840" s="512"/>
      <c r="Y840" s="512"/>
      <c r="Z840" s="512"/>
      <c r="AA840" s="512"/>
    </row>
    <row r="841">
      <c r="A841" s="512"/>
      <c r="B841" s="512"/>
      <c r="C841" s="512"/>
      <c r="D841" s="512"/>
      <c r="E841" s="512"/>
      <c r="F841" s="512"/>
      <c r="G841" s="512"/>
      <c r="H841" s="512"/>
      <c r="I841" s="512"/>
      <c r="J841" s="512"/>
      <c r="K841" s="512"/>
      <c r="L841" s="512"/>
      <c r="M841" s="512"/>
      <c r="N841" s="512"/>
      <c r="O841" s="512"/>
      <c r="P841" s="512"/>
      <c r="Q841" s="512"/>
      <c r="R841" s="512"/>
      <c r="S841" s="512"/>
      <c r="T841" s="512"/>
      <c r="U841" s="512"/>
      <c r="V841" s="512"/>
      <c r="W841" s="512"/>
      <c r="X841" s="512"/>
      <c r="Y841" s="512"/>
      <c r="Z841" s="512"/>
      <c r="AA841" s="512"/>
    </row>
    <row r="842">
      <c r="A842" s="512"/>
      <c r="B842" s="512"/>
      <c r="C842" s="512"/>
      <c r="D842" s="512"/>
      <c r="E842" s="512"/>
      <c r="F842" s="512"/>
      <c r="G842" s="512"/>
      <c r="H842" s="512"/>
      <c r="I842" s="512"/>
      <c r="J842" s="512"/>
      <c r="K842" s="512"/>
      <c r="L842" s="512"/>
      <c r="M842" s="512"/>
      <c r="N842" s="512"/>
      <c r="O842" s="512"/>
      <c r="P842" s="512"/>
      <c r="Q842" s="512"/>
      <c r="R842" s="512"/>
      <c r="S842" s="512"/>
      <c r="T842" s="512"/>
      <c r="U842" s="512"/>
      <c r="V842" s="512"/>
      <c r="W842" s="512"/>
      <c r="X842" s="512"/>
      <c r="Y842" s="512"/>
      <c r="Z842" s="512"/>
      <c r="AA842" s="512"/>
    </row>
    <row r="843">
      <c r="A843" s="512"/>
      <c r="B843" s="512"/>
      <c r="C843" s="512"/>
      <c r="D843" s="512"/>
      <c r="E843" s="512"/>
      <c r="F843" s="512"/>
      <c r="G843" s="512"/>
      <c r="H843" s="512"/>
      <c r="I843" s="512"/>
      <c r="J843" s="512"/>
      <c r="K843" s="512"/>
      <c r="L843" s="512"/>
      <c r="M843" s="512"/>
      <c r="N843" s="512"/>
      <c r="O843" s="512"/>
      <c r="P843" s="512"/>
      <c r="Q843" s="512"/>
      <c r="R843" s="512"/>
      <c r="S843" s="512"/>
      <c r="T843" s="512"/>
      <c r="U843" s="512"/>
      <c r="V843" s="512"/>
      <c r="W843" s="512"/>
      <c r="X843" s="512"/>
      <c r="Y843" s="512"/>
      <c r="Z843" s="512"/>
      <c r="AA843" s="512"/>
    </row>
    <row r="844">
      <c r="A844" s="512"/>
      <c r="B844" s="512"/>
      <c r="C844" s="512"/>
      <c r="D844" s="512"/>
      <c r="E844" s="512"/>
      <c r="F844" s="512"/>
      <c r="G844" s="512"/>
      <c r="H844" s="512"/>
      <c r="I844" s="512"/>
      <c r="J844" s="512"/>
      <c r="K844" s="512"/>
      <c r="L844" s="512"/>
      <c r="M844" s="512"/>
      <c r="N844" s="512"/>
      <c r="O844" s="512"/>
      <c r="P844" s="512"/>
      <c r="Q844" s="512"/>
      <c r="R844" s="512"/>
      <c r="S844" s="512"/>
      <c r="T844" s="512"/>
      <c r="U844" s="512"/>
      <c r="V844" s="512"/>
      <c r="W844" s="512"/>
      <c r="X844" s="512"/>
      <c r="Y844" s="512"/>
      <c r="Z844" s="512"/>
      <c r="AA844" s="512"/>
    </row>
    <row r="845">
      <c r="A845" s="512"/>
      <c r="B845" s="512"/>
      <c r="C845" s="512"/>
      <c r="D845" s="512"/>
      <c r="E845" s="512"/>
      <c r="F845" s="512"/>
      <c r="G845" s="512"/>
      <c r="H845" s="512"/>
      <c r="I845" s="512"/>
      <c r="J845" s="512"/>
      <c r="K845" s="512"/>
      <c r="L845" s="512"/>
      <c r="M845" s="512"/>
      <c r="N845" s="512"/>
      <c r="O845" s="512"/>
      <c r="P845" s="512"/>
      <c r="Q845" s="512"/>
      <c r="R845" s="512"/>
      <c r="S845" s="512"/>
      <c r="T845" s="512"/>
      <c r="U845" s="512"/>
      <c r="V845" s="512"/>
      <c r="W845" s="512"/>
      <c r="X845" s="512"/>
      <c r="Y845" s="512"/>
      <c r="Z845" s="512"/>
      <c r="AA845" s="512"/>
    </row>
    <row r="846">
      <c r="A846" s="512"/>
      <c r="B846" s="512"/>
      <c r="C846" s="512"/>
      <c r="D846" s="512"/>
      <c r="E846" s="512"/>
      <c r="F846" s="512"/>
      <c r="G846" s="512"/>
      <c r="H846" s="512"/>
      <c r="I846" s="512"/>
      <c r="J846" s="512"/>
      <c r="K846" s="512"/>
      <c r="L846" s="512"/>
      <c r="M846" s="512"/>
      <c r="N846" s="512"/>
      <c r="O846" s="512"/>
      <c r="P846" s="512"/>
      <c r="Q846" s="512"/>
      <c r="R846" s="512"/>
      <c r="S846" s="512"/>
      <c r="T846" s="512"/>
      <c r="U846" s="512"/>
      <c r="V846" s="512"/>
      <c r="W846" s="512"/>
      <c r="X846" s="512"/>
      <c r="Y846" s="512"/>
      <c r="Z846" s="512"/>
      <c r="AA846" s="512"/>
    </row>
    <row r="847">
      <c r="A847" s="512"/>
      <c r="B847" s="512"/>
      <c r="C847" s="512"/>
      <c r="D847" s="512"/>
      <c r="E847" s="512"/>
      <c r="F847" s="512"/>
      <c r="G847" s="512"/>
      <c r="H847" s="512"/>
      <c r="I847" s="512"/>
      <c r="J847" s="512"/>
      <c r="K847" s="512"/>
      <c r="L847" s="512"/>
      <c r="M847" s="512"/>
      <c r="N847" s="512"/>
      <c r="O847" s="512"/>
      <c r="P847" s="512"/>
      <c r="Q847" s="512"/>
      <c r="R847" s="512"/>
      <c r="S847" s="512"/>
      <c r="T847" s="512"/>
      <c r="U847" s="512"/>
      <c r="V847" s="512"/>
      <c r="W847" s="512"/>
      <c r="X847" s="512"/>
      <c r="Y847" s="512"/>
      <c r="Z847" s="512"/>
      <c r="AA847" s="512"/>
    </row>
    <row r="848">
      <c r="A848" s="512"/>
      <c r="B848" s="512"/>
      <c r="C848" s="512"/>
      <c r="D848" s="512"/>
      <c r="E848" s="512"/>
      <c r="F848" s="512"/>
      <c r="G848" s="512"/>
      <c r="H848" s="512"/>
      <c r="I848" s="512"/>
      <c r="J848" s="512"/>
      <c r="K848" s="512"/>
      <c r="L848" s="512"/>
      <c r="M848" s="512"/>
      <c r="N848" s="512"/>
      <c r="O848" s="512"/>
      <c r="P848" s="512"/>
      <c r="Q848" s="512"/>
      <c r="R848" s="512"/>
      <c r="S848" s="512"/>
      <c r="T848" s="512"/>
      <c r="U848" s="512"/>
      <c r="V848" s="512"/>
      <c r="W848" s="512"/>
      <c r="X848" s="512"/>
      <c r="Y848" s="512"/>
      <c r="Z848" s="512"/>
      <c r="AA848" s="512"/>
    </row>
    <row r="849">
      <c r="A849" s="512"/>
      <c r="B849" s="512"/>
      <c r="C849" s="512"/>
      <c r="D849" s="512"/>
      <c r="E849" s="512"/>
      <c r="F849" s="512"/>
      <c r="G849" s="512"/>
      <c r="H849" s="512"/>
      <c r="I849" s="512"/>
      <c r="J849" s="512"/>
      <c r="K849" s="512"/>
      <c r="L849" s="512"/>
      <c r="M849" s="512"/>
      <c r="N849" s="512"/>
      <c r="O849" s="512"/>
      <c r="P849" s="512"/>
      <c r="Q849" s="512"/>
      <c r="R849" s="512"/>
      <c r="S849" s="512"/>
      <c r="T849" s="512"/>
      <c r="U849" s="512"/>
      <c r="V849" s="512"/>
      <c r="W849" s="512"/>
      <c r="X849" s="512"/>
      <c r="Y849" s="512"/>
      <c r="Z849" s="512"/>
      <c r="AA849" s="512"/>
    </row>
    <row r="850">
      <c r="A850" s="512"/>
      <c r="B850" s="512"/>
      <c r="C850" s="512"/>
      <c r="D850" s="512"/>
      <c r="E850" s="512"/>
      <c r="F850" s="512"/>
      <c r="G850" s="512"/>
      <c r="H850" s="512"/>
      <c r="I850" s="512"/>
      <c r="J850" s="512"/>
      <c r="K850" s="512"/>
      <c r="L850" s="512"/>
      <c r="M850" s="512"/>
      <c r="N850" s="512"/>
      <c r="O850" s="512"/>
      <c r="P850" s="512"/>
      <c r="Q850" s="512"/>
      <c r="R850" s="512"/>
      <c r="S850" s="512"/>
      <c r="T850" s="512"/>
      <c r="U850" s="512"/>
      <c r="V850" s="512"/>
      <c r="W850" s="512"/>
      <c r="X850" s="512"/>
      <c r="Y850" s="512"/>
      <c r="Z850" s="512"/>
      <c r="AA850" s="512"/>
    </row>
    <row r="851">
      <c r="A851" s="512"/>
      <c r="B851" s="512"/>
      <c r="C851" s="512"/>
      <c r="D851" s="512"/>
      <c r="E851" s="512"/>
      <c r="F851" s="512"/>
      <c r="G851" s="512"/>
      <c r="H851" s="512"/>
      <c r="I851" s="512"/>
      <c r="J851" s="512"/>
      <c r="K851" s="512"/>
      <c r="L851" s="512"/>
      <c r="M851" s="512"/>
      <c r="N851" s="512"/>
      <c r="O851" s="512"/>
      <c r="P851" s="512"/>
      <c r="Q851" s="512"/>
      <c r="R851" s="512"/>
      <c r="S851" s="512"/>
      <c r="T851" s="512"/>
      <c r="U851" s="512"/>
      <c r="V851" s="512"/>
      <c r="W851" s="512"/>
      <c r="X851" s="512"/>
      <c r="Y851" s="512"/>
      <c r="Z851" s="512"/>
      <c r="AA851" s="512"/>
    </row>
    <row r="852">
      <c r="A852" s="512"/>
      <c r="B852" s="512"/>
      <c r="C852" s="512"/>
      <c r="D852" s="512"/>
      <c r="E852" s="512"/>
      <c r="F852" s="512"/>
      <c r="G852" s="512"/>
      <c r="H852" s="512"/>
      <c r="I852" s="512"/>
      <c r="J852" s="512"/>
      <c r="K852" s="512"/>
      <c r="L852" s="512"/>
      <c r="M852" s="512"/>
      <c r="N852" s="512"/>
      <c r="O852" s="512"/>
      <c r="P852" s="512"/>
      <c r="Q852" s="512"/>
      <c r="R852" s="512"/>
      <c r="S852" s="512"/>
      <c r="T852" s="512"/>
      <c r="U852" s="512"/>
      <c r="V852" s="512"/>
      <c r="W852" s="512"/>
      <c r="X852" s="512"/>
      <c r="Y852" s="512"/>
      <c r="Z852" s="512"/>
      <c r="AA852" s="512"/>
    </row>
    <row r="853">
      <c r="A853" s="512"/>
      <c r="B853" s="512"/>
      <c r="C853" s="512"/>
      <c r="D853" s="512"/>
      <c r="E853" s="512"/>
      <c r="F853" s="512"/>
      <c r="G853" s="512"/>
      <c r="H853" s="512"/>
      <c r="I853" s="512"/>
      <c r="J853" s="512"/>
      <c r="K853" s="512"/>
      <c r="L853" s="512"/>
      <c r="M853" s="512"/>
      <c r="N853" s="512"/>
      <c r="O853" s="512"/>
      <c r="P853" s="512"/>
      <c r="Q853" s="512"/>
      <c r="R853" s="512"/>
      <c r="S853" s="512"/>
      <c r="T853" s="512"/>
      <c r="U853" s="512"/>
      <c r="V853" s="512"/>
      <c r="W853" s="512"/>
      <c r="X853" s="512"/>
      <c r="Y853" s="512"/>
      <c r="Z853" s="512"/>
      <c r="AA853" s="512"/>
    </row>
    <row r="854">
      <c r="A854" s="512"/>
      <c r="B854" s="512"/>
      <c r="C854" s="512"/>
      <c r="D854" s="512"/>
      <c r="E854" s="512"/>
      <c r="F854" s="512"/>
      <c r="G854" s="512"/>
      <c r="H854" s="512"/>
      <c r="I854" s="512"/>
      <c r="J854" s="512"/>
      <c r="K854" s="512"/>
      <c r="L854" s="512"/>
      <c r="M854" s="512"/>
      <c r="N854" s="512"/>
      <c r="O854" s="512"/>
      <c r="P854" s="512"/>
      <c r="Q854" s="512"/>
      <c r="R854" s="512"/>
      <c r="S854" s="512"/>
      <c r="T854" s="512"/>
      <c r="U854" s="512"/>
      <c r="V854" s="512"/>
      <c r="W854" s="512"/>
      <c r="X854" s="512"/>
      <c r="Y854" s="512"/>
      <c r="Z854" s="512"/>
      <c r="AA854" s="512"/>
    </row>
    <row r="855">
      <c r="A855" s="512"/>
      <c r="B855" s="512"/>
      <c r="C855" s="512"/>
      <c r="D855" s="512"/>
      <c r="E855" s="512"/>
      <c r="F855" s="512"/>
      <c r="G855" s="512"/>
      <c r="H855" s="512"/>
      <c r="I855" s="512"/>
      <c r="J855" s="512"/>
      <c r="K855" s="512"/>
      <c r="L855" s="512"/>
      <c r="M855" s="512"/>
      <c r="N855" s="512"/>
      <c r="O855" s="512"/>
      <c r="P855" s="512"/>
      <c r="Q855" s="512"/>
      <c r="R855" s="512"/>
      <c r="S855" s="512"/>
      <c r="T855" s="512"/>
      <c r="U855" s="512"/>
      <c r="V855" s="512"/>
      <c r="W855" s="512"/>
      <c r="X855" s="512"/>
      <c r="Y855" s="512"/>
      <c r="Z855" s="512"/>
      <c r="AA855" s="512"/>
    </row>
    <row r="856">
      <c r="A856" s="512"/>
      <c r="B856" s="512"/>
      <c r="C856" s="512"/>
      <c r="D856" s="512"/>
      <c r="E856" s="512"/>
      <c r="F856" s="512"/>
      <c r="G856" s="512"/>
      <c r="H856" s="512"/>
      <c r="I856" s="512"/>
      <c r="J856" s="512"/>
      <c r="K856" s="512"/>
      <c r="L856" s="512"/>
      <c r="M856" s="512"/>
      <c r="N856" s="512"/>
      <c r="O856" s="512"/>
      <c r="P856" s="512"/>
      <c r="Q856" s="512"/>
      <c r="R856" s="512"/>
      <c r="S856" s="512"/>
      <c r="T856" s="512"/>
      <c r="U856" s="512"/>
      <c r="V856" s="512"/>
      <c r="W856" s="512"/>
      <c r="X856" s="512"/>
      <c r="Y856" s="512"/>
      <c r="Z856" s="512"/>
      <c r="AA856" s="512"/>
    </row>
    <row r="857">
      <c r="A857" s="512"/>
      <c r="B857" s="512"/>
      <c r="C857" s="512"/>
      <c r="D857" s="512"/>
      <c r="E857" s="512"/>
      <c r="F857" s="512"/>
      <c r="G857" s="512"/>
      <c r="H857" s="512"/>
      <c r="I857" s="512"/>
      <c r="J857" s="512"/>
      <c r="K857" s="512"/>
      <c r="L857" s="512"/>
      <c r="M857" s="512"/>
      <c r="N857" s="512"/>
      <c r="O857" s="512"/>
      <c r="P857" s="512"/>
      <c r="Q857" s="512"/>
      <c r="R857" s="512"/>
      <c r="S857" s="512"/>
      <c r="T857" s="512"/>
      <c r="U857" s="512"/>
      <c r="V857" s="512"/>
      <c r="W857" s="512"/>
      <c r="X857" s="512"/>
      <c r="Y857" s="512"/>
      <c r="Z857" s="512"/>
      <c r="AA857" s="512"/>
    </row>
    <row r="858">
      <c r="A858" s="512"/>
      <c r="B858" s="512"/>
      <c r="C858" s="512"/>
      <c r="D858" s="512"/>
      <c r="E858" s="512"/>
      <c r="F858" s="512"/>
      <c r="G858" s="512"/>
      <c r="H858" s="512"/>
      <c r="I858" s="512"/>
      <c r="J858" s="512"/>
      <c r="K858" s="512"/>
      <c r="L858" s="512"/>
      <c r="M858" s="512"/>
      <c r="N858" s="512"/>
      <c r="O858" s="512"/>
      <c r="P858" s="512"/>
      <c r="Q858" s="512"/>
      <c r="R858" s="512"/>
      <c r="S858" s="512"/>
      <c r="T858" s="512"/>
      <c r="U858" s="512"/>
      <c r="V858" s="512"/>
      <c r="W858" s="512"/>
      <c r="X858" s="512"/>
      <c r="Y858" s="512"/>
      <c r="Z858" s="512"/>
      <c r="AA858" s="512"/>
    </row>
    <row r="859">
      <c r="A859" s="512"/>
      <c r="B859" s="512"/>
      <c r="C859" s="512"/>
      <c r="D859" s="512"/>
      <c r="E859" s="512"/>
      <c r="F859" s="512"/>
      <c r="G859" s="512"/>
      <c r="H859" s="512"/>
      <c r="I859" s="512"/>
      <c r="J859" s="512"/>
      <c r="K859" s="512"/>
      <c r="L859" s="512"/>
      <c r="M859" s="512"/>
      <c r="N859" s="512"/>
      <c r="O859" s="512"/>
      <c r="P859" s="512"/>
      <c r="Q859" s="512"/>
      <c r="R859" s="512"/>
      <c r="S859" s="512"/>
      <c r="T859" s="512"/>
      <c r="U859" s="512"/>
      <c r="V859" s="512"/>
      <c r="W859" s="512"/>
      <c r="X859" s="512"/>
      <c r="Y859" s="512"/>
      <c r="Z859" s="512"/>
      <c r="AA859" s="512"/>
    </row>
    <row r="860">
      <c r="A860" s="512"/>
      <c r="B860" s="512"/>
      <c r="C860" s="512"/>
      <c r="D860" s="512"/>
      <c r="E860" s="512"/>
      <c r="F860" s="512"/>
      <c r="G860" s="512"/>
      <c r="H860" s="512"/>
      <c r="I860" s="512"/>
      <c r="J860" s="512"/>
      <c r="K860" s="512"/>
      <c r="L860" s="512"/>
      <c r="M860" s="512"/>
      <c r="N860" s="512"/>
      <c r="O860" s="512"/>
      <c r="P860" s="512"/>
      <c r="Q860" s="512"/>
      <c r="R860" s="512"/>
      <c r="S860" s="512"/>
      <c r="T860" s="512"/>
      <c r="U860" s="512"/>
      <c r="V860" s="512"/>
      <c r="W860" s="512"/>
      <c r="X860" s="512"/>
      <c r="Y860" s="512"/>
      <c r="Z860" s="512"/>
      <c r="AA860" s="512"/>
    </row>
    <row r="861">
      <c r="A861" s="512"/>
      <c r="B861" s="512"/>
      <c r="C861" s="512"/>
      <c r="D861" s="512"/>
      <c r="E861" s="512"/>
      <c r="F861" s="512"/>
      <c r="G861" s="512"/>
      <c r="H861" s="512"/>
      <c r="I861" s="512"/>
      <c r="J861" s="512"/>
      <c r="K861" s="512"/>
      <c r="L861" s="512"/>
      <c r="M861" s="512"/>
      <c r="N861" s="512"/>
      <c r="O861" s="512"/>
      <c r="P861" s="512"/>
      <c r="Q861" s="512"/>
      <c r="R861" s="512"/>
      <c r="S861" s="512"/>
      <c r="T861" s="512"/>
      <c r="U861" s="512"/>
      <c r="V861" s="512"/>
      <c r="W861" s="512"/>
      <c r="X861" s="512"/>
      <c r="Y861" s="512"/>
      <c r="Z861" s="512"/>
      <c r="AA861" s="512"/>
    </row>
    <row r="862">
      <c r="A862" s="512"/>
      <c r="B862" s="512"/>
      <c r="C862" s="512"/>
      <c r="D862" s="512"/>
      <c r="E862" s="512"/>
      <c r="F862" s="512"/>
      <c r="G862" s="512"/>
      <c r="H862" s="512"/>
      <c r="I862" s="512"/>
      <c r="J862" s="512"/>
      <c r="K862" s="512"/>
      <c r="L862" s="512"/>
      <c r="M862" s="512"/>
      <c r="N862" s="512"/>
      <c r="O862" s="512"/>
      <c r="P862" s="512"/>
      <c r="Q862" s="512"/>
      <c r="R862" s="512"/>
      <c r="S862" s="512"/>
      <c r="T862" s="512"/>
      <c r="U862" s="512"/>
      <c r="V862" s="512"/>
      <c r="W862" s="512"/>
      <c r="X862" s="512"/>
      <c r="Y862" s="512"/>
      <c r="Z862" s="512"/>
      <c r="AA862" s="512"/>
    </row>
    <row r="863">
      <c r="A863" s="512"/>
      <c r="B863" s="512"/>
      <c r="C863" s="512"/>
      <c r="D863" s="512"/>
      <c r="E863" s="512"/>
      <c r="F863" s="512"/>
      <c r="G863" s="512"/>
      <c r="H863" s="512"/>
      <c r="I863" s="512"/>
      <c r="J863" s="512"/>
      <c r="K863" s="512"/>
      <c r="L863" s="512"/>
      <c r="M863" s="512"/>
      <c r="N863" s="512"/>
      <c r="O863" s="512"/>
      <c r="P863" s="512"/>
      <c r="Q863" s="512"/>
      <c r="R863" s="512"/>
      <c r="S863" s="512"/>
      <c r="T863" s="512"/>
      <c r="U863" s="512"/>
      <c r="V863" s="512"/>
      <c r="W863" s="512"/>
      <c r="X863" s="512"/>
      <c r="Y863" s="512"/>
      <c r="Z863" s="512"/>
      <c r="AA863" s="512"/>
    </row>
    <row r="864">
      <c r="A864" s="512"/>
      <c r="B864" s="512"/>
      <c r="C864" s="512"/>
      <c r="D864" s="512"/>
      <c r="E864" s="512"/>
      <c r="F864" s="512"/>
      <c r="G864" s="512"/>
      <c r="H864" s="512"/>
      <c r="I864" s="512"/>
      <c r="J864" s="512"/>
      <c r="K864" s="512"/>
      <c r="L864" s="512"/>
      <c r="M864" s="512"/>
      <c r="N864" s="512"/>
      <c r="O864" s="512"/>
      <c r="P864" s="512"/>
      <c r="Q864" s="512"/>
      <c r="R864" s="512"/>
      <c r="S864" s="512"/>
      <c r="T864" s="512"/>
      <c r="U864" s="512"/>
      <c r="V864" s="512"/>
      <c r="W864" s="512"/>
      <c r="X864" s="512"/>
      <c r="Y864" s="512"/>
      <c r="Z864" s="512"/>
      <c r="AA864" s="512"/>
    </row>
    <row r="865">
      <c r="A865" s="512"/>
      <c r="B865" s="512"/>
      <c r="C865" s="512"/>
      <c r="D865" s="512"/>
      <c r="E865" s="512"/>
      <c r="F865" s="512"/>
      <c r="G865" s="512"/>
      <c r="H865" s="512"/>
      <c r="I865" s="512"/>
      <c r="J865" s="512"/>
      <c r="K865" s="512"/>
      <c r="L865" s="512"/>
      <c r="M865" s="512"/>
      <c r="N865" s="512"/>
      <c r="O865" s="512"/>
      <c r="P865" s="512"/>
      <c r="Q865" s="512"/>
      <c r="R865" s="512"/>
      <c r="S865" s="512"/>
      <c r="T865" s="512"/>
      <c r="U865" s="512"/>
      <c r="V865" s="512"/>
      <c r="W865" s="512"/>
      <c r="X865" s="512"/>
      <c r="Y865" s="512"/>
      <c r="Z865" s="512"/>
      <c r="AA865" s="512"/>
    </row>
    <row r="866">
      <c r="A866" s="512"/>
      <c r="B866" s="512"/>
      <c r="C866" s="512"/>
      <c r="D866" s="512"/>
      <c r="E866" s="512"/>
      <c r="F866" s="512"/>
      <c r="G866" s="512"/>
      <c r="H866" s="512"/>
      <c r="I866" s="512"/>
      <c r="J866" s="512"/>
      <c r="K866" s="512"/>
      <c r="L866" s="512"/>
      <c r="M866" s="512"/>
      <c r="N866" s="512"/>
      <c r="O866" s="512"/>
      <c r="P866" s="512"/>
      <c r="Q866" s="512"/>
      <c r="R866" s="512"/>
      <c r="S866" s="512"/>
      <c r="T866" s="512"/>
      <c r="U866" s="512"/>
      <c r="V866" s="512"/>
      <c r="W866" s="512"/>
      <c r="X866" s="512"/>
      <c r="Y866" s="512"/>
      <c r="Z866" s="512"/>
      <c r="AA866" s="512"/>
    </row>
    <row r="867">
      <c r="A867" s="512"/>
      <c r="B867" s="512"/>
      <c r="C867" s="512"/>
      <c r="D867" s="512"/>
      <c r="E867" s="512"/>
      <c r="F867" s="512"/>
      <c r="G867" s="512"/>
      <c r="H867" s="512"/>
      <c r="I867" s="512"/>
      <c r="J867" s="512"/>
      <c r="K867" s="512"/>
      <c r="L867" s="512"/>
      <c r="M867" s="512"/>
      <c r="N867" s="512"/>
      <c r="O867" s="512"/>
      <c r="P867" s="512"/>
      <c r="Q867" s="512"/>
      <c r="R867" s="512"/>
      <c r="S867" s="512"/>
      <c r="T867" s="512"/>
      <c r="U867" s="512"/>
      <c r="V867" s="512"/>
      <c r="W867" s="512"/>
      <c r="X867" s="512"/>
      <c r="Y867" s="512"/>
      <c r="Z867" s="512"/>
      <c r="AA867" s="512"/>
    </row>
    <row r="868">
      <c r="A868" s="512"/>
      <c r="B868" s="512"/>
      <c r="C868" s="512"/>
      <c r="D868" s="512"/>
      <c r="E868" s="512"/>
      <c r="F868" s="512"/>
      <c r="G868" s="512"/>
      <c r="H868" s="512"/>
      <c r="I868" s="512"/>
      <c r="J868" s="512"/>
      <c r="K868" s="512"/>
      <c r="L868" s="512"/>
      <c r="M868" s="512"/>
      <c r="N868" s="512"/>
      <c r="O868" s="512"/>
      <c r="P868" s="512"/>
      <c r="Q868" s="512"/>
      <c r="R868" s="512"/>
      <c r="S868" s="512"/>
      <c r="T868" s="512"/>
      <c r="U868" s="512"/>
      <c r="V868" s="512"/>
      <c r="W868" s="512"/>
      <c r="X868" s="512"/>
      <c r="Y868" s="512"/>
      <c r="Z868" s="512"/>
      <c r="AA868" s="512"/>
    </row>
    <row r="869">
      <c r="A869" s="512"/>
      <c r="B869" s="512"/>
      <c r="C869" s="512"/>
      <c r="D869" s="512"/>
      <c r="E869" s="512"/>
      <c r="F869" s="512"/>
      <c r="G869" s="512"/>
      <c r="H869" s="512"/>
      <c r="I869" s="512"/>
      <c r="J869" s="512"/>
      <c r="K869" s="512"/>
      <c r="L869" s="512"/>
      <c r="M869" s="512"/>
      <c r="N869" s="512"/>
      <c r="O869" s="512"/>
      <c r="P869" s="512"/>
      <c r="Q869" s="512"/>
      <c r="R869" s="512"/>
      <c r="S869" s="512"/>
      <c r="T869" s="512"/>
      <c r="U869" s="512"/>
      <c r="V869" s="512"/>
      <c r="W869" s="512"/>
      <c r="X869" s="512"/>
      <c r="Y869" s="512"/>
      <c r="Z869" s="512"/>
      <c r="AA869" s="512"/>
    </row>
    <row r="870">
      <c r="A870" s="512"/>
      <c r="B870" s="512"/>
      <c r="C870" s="512"/>
      <c r="D870" s="512"/>
      <c r="E870" s="512"/>
      <c r="F870" s="512"/>
      <c r="G870" s="512"/>
      <c r="H870" s="512"/>
      <c r="I870" s="512"/>
      <c r="J870" s="512"/>
      <c r="K870" s="512"/>
      <c r="L870" s="512"/>
      <c r="M870" s="512"/>
      <c r="N870" s="512"/>
      <c r="O870" s="512"/>
      <c r="P870" s="512"/>
      <c r="Q870" s="512"/>
      <c r="R870" s="512"/>
      <c r="S870" s="512"/>
      <c r="T870" s="512"/>
      <c r="U870" s="512"/>
      <c r="V870" s="512"/>
      <c r="W870" s="512"/>
      <c r="X870" s="512"/>
      <c r="Y870" s="512"/>
      <c r="Z870" s="512"/>
      <c r="AA870" s="512"/>
    </row>
    <row r="871">
      <c r="A871" s="512"/>
      <c r="B871" s="512"/>
      <c r="C871" s="512"/>
      <c r="D871" s="512"/>
      <c r="E871" s="512"/>
      <c r="F871" s="512"/>
      <c r="G871" s="512"/>
      <c r="H871" s="512"/>
      <c r="I871" s="512"/>
      <c r="J871" s="512"/>
      <c r="K871" s="512"/>
      <c r="L871" s="512"/>
      <c r="M871" s="512"/>
      <c r="N871" s="512"/>
      <c r="O871" s="512"/>
      <c r="P871" s="512"/>
      <c r="Q871" s="512"/>
      <c r="R871" s="512"/>
      <c r="S871" s="512"/>
      <c r="T871" s="512"/>
      <c r="U871" s="512"/>
      <c r="V871" s="512"/>
      <c r="W871" s="512"/>
      <c r="X871" s="512"/>
      <c r="Y871" s="512"/>
      <c r="Z871" s="512"/>
      <c r="AA871" s="512"/>
    </row>
    <row r="872">
      <c r="A872" s="512"/>
      <c r="B872" s="512"/>
      <c r="C872" s="512"/>
      <c r="D872" s="512"/>
      <c r="E872" s="512"/>
      <c r="F872" s="512"/>
      <c r="G872" s="512"/>
      <c r="H872" s="512"/>
      <c r="I872" s="512"/>
      <c r="J872" s="512"/>
      <c r="K872" s="512"/>
      <c r="L872" s="512"/>
      <c r="M872" s="512"/>
      <c r="N872" s="512"/>
      <c r="O872" s="512"/>
      <c r="P872" s="512"/>
      <c r="Q872" s="512"/>
      <c r="R872" s="512"/>
      <c r="S872" s="512"/>
      <c r="T872" s="512"/>
      <c r="U872" s="512"/>
      <c r="V872" s="512"/>
      <c r="W872" s="512"/>
      <c r="X872" s="512"/>
      <c r="Y872" s="512"/>
      <c r="Z872" s="512"/>
      <c r="AA872" s="512"/>
    </row>
    <row r="873">
      <c r="A873" s="512"/>
      <c r="B873" s="512"/>
      <c r="C873" s="512"/>
      <c r="D873" s="512"/>
      <c r="E873" s="512"/>
      <c r="F873" s="512"/>
      <c r="G873" s="512"/>
      <c r="H873" s="512"/>
      <c r="I873" s="512"/>
      <c r="J873" s="512"/>
      <c r="K873" s="512"/>
      <c r="L873" s="512"/>
      <c r="M873" s="512"/>
      <c r="N873" s="512"/>
      <c r="O873" s="512"/>
      <c r="P873" s="512"/>
      <c r="Q873" s="512"/>
      <c r="R873" s="512"/>
      <c r="S873" s="512"/>
      <c r="T873" s="512"/>
      <c r="U873" s="512"/>
      <c r="V873" s="512"/>
      <c r="W873" s="512"/>
      <c r="X873" s="512"/>
      <c r="Y873" s="512"/>
      <c r="Z873" s="512"/>
      <c r="AA873" s="512"/>
    </row>
    <row r="874">
      <c r="A874" s="512"/>
      <c r="B874" s="512"/>
      <c r="C874" s="512"/>
      <c r="D874" s="512"/>
      <c r="E874" s="512"/>
      <c r="F874" s="512"/>
      <c r="G874" s="512"/>
      <c r="H874" s="512"/>
      <c r="I874" s="512"/>
      <c r="J874" s="512"/>
      <c r="K874" s="512"/>
      <c r="L874" s="512"/>
      <c r="M874" s="512"/>
      <c r="N874" s="512"/>
      <c r="O874" s="512"/>
      <c r="P874" s="512"/>
      <c r="Q874" s="512"/>
      <c r="R874" s="512"/>
      <c r="S874" s="512"/>
      <c r="T874" s="512"/>
      <c r="U874" s="512"/>
      <c r="V874" s="512"/>
      <c r="W874" s="512"/>
      <c r="X874" s="512"/>
      <c r="Y874" s="512"/>
      <c r="Z874" s="512"/>
      <c r="AA874" s="512"/>
    </row>
    <row r="875">
      <c r="A875" s="512"/>
      <c r="B875" s="512"/>
      <c r="C875" s="512"/>
      <c r="D875" s="512"/>
      <c r="E875" s="512"/>
      <c r="F875" s="512"/>
      <c r="G875" s="512"/>
      <c r="H875" s="512"/>
      <c r="I875" s="512"/>
      <c r="J875" s="512"/>
      <c r="K875" s="512"/>
      <c r="L875" s="512"/>
      <c r="M875" s="512"/>
      <c r="N875" s="512"/>
      <c r="O875" s="512"/>
      <c r="P875" s="512"/>
      <c r="Q875" s="512"/>
      <c r="R875" s="512"/>
      <c r="S875" s="512"/>
      <c r="T875" s="512"/>
      <c r="U875" s="512"/>
      <c r="V875" s="512"/>
      <c r="W875" s="512"/>
      <c r="X875" s="512"/>
      <c r="Y875" s="512"/>
      <c r="Z875" s="512"/>
      <c r="AA875" s="512"/>
    </row>
    <row r="876">
      <c r="A876" s="512"/>
      <c r="B876" s="512"/>
      <c r="C876" s="512"/>
      <c r="D876" s="512"/>
      <c r="E876" s="512"/>
      <c r="F876" s="512"/>
      <c r="G876" s="512"/>
      <c r="H876" s="512"/>
      <c r="I876" s="512"/>
      <c r="J876" s="512"/>
      <c r="K876" s="512"/>
      <c r="L876" s="512"/>
      <c r="M876" s="512"/>
      <c r="N876" s="512"/>
      <c r="O876" s="512"/>
      <c r="P876" s="512"/>
      <c r="Q876" s="512"/>
      <c r="R876" s="512"/>
      <c r="S876" s="512"/>
      <c r="T876" s="512"/>
      <c r="U876" s="512"/>
      <c r="V876" s="512"/>
      <c r="W876" s="512"/>
      <c r="X876" s="512"/>
      <c r="Y876" s="512"/>
      <c r="Z876" s="512"/>
      <c r="AA876" s="512"/>
    </row>
    <row r="877">
      <c r="A877" s="512"/>
      <c r="B877" s="512"/>
      <c r="C877" s="512"/>
      <c r="D877" s="512"/>
      <c r="E877" s="512"/>
      <c r="F877" s="512"/>
      <c r="G877" s="512"/>
      <c r="H877" s="512"/>
      <c r="I877" s="512"/>
      <c r="J877" s="512"/>
      <c r="K877" s="512"/>
      <c r="L877" s="512"/>
      <c r="M877" s="512"/>
      <c r="N877" s="512"/>
      <c r="O877" s="512"/>
      <c r="P877" s="512"/>
      <c r="Q877" s="512"/>
      <c r="R877" s="512"/>
      <c r="S877" s="512"/>
      <c r="T877" s="512"/>
      <c r="U877" s="512"/>
      <c r="V877" s="512"/>
      <c r="W877" s="512"/>
      <c r="X877" s="512"/>
      <c r="Y877" s="512"/>
      <c r="Z877" s="512"/>
      <c r="AA877" s="512"/>
    </row>
    <row r="878">
      <c r="A878" s="512"/>
      <c r="B878" s="512"/>
      <c r="C878" s="512"/>
      <c r="D878" s="512"/>
      <c r="E878" s="512"/>
      <c r="F878" s="512"/>
      <c r="G878" s="512"/>
      <c r="H878" s="512"/>
      <c r="I878" s="512"/>
      <c r="J878" s="512"/>
      <c r="K878" s="512"/>
      <c r="L878" s="512"/>
      <c r="M878" s="512"/>
      <c r="N878" s="512"/>
      <c r="O878" s="512"/>
      <c r="P878" s="512"/>
      <c r="Q878" s="512"/>
      <c r="R878" s="512"/>
      <c r="S878" s="512"/>
      <c r="T878" s="512"/>
      <c r="U878" s="512"/>
      <c r="V878" s="512"/>
      <c r="W878" s="512"/>
      <c r="X878" s="512"/>
      <c r="Y878" s="512"/>
      <c r="Z878" s="512"/>
      <c r="AA878" s="512"/>
    </row>
    <row r="879">
      <c r="A879" s="512"/>
      <c r="B879" s="512"/>
      <c r="C879" s="512"/>
      <c r="D879" s="512"/>
      <c r="E879" s="512"/>
      <c r="F879" s="512"/>
      <c r="G879" s="512"/>
      <c r="H879" s="512"/>
      <c r="I879" s="512"/>
      <c r="J879" s="512"/>
      <c r="K879" s="512"/>
      <c r="L879" s="512"/>
      <c r="M879" s="512"/>
      <c r="N879" s="512"/>
      <c r="O879" s="512"/>
      <c r="P879" s="512"/>
      <c r="Q879" s="512"/>
      <c r="R879" s="512"/>
      <c r="S879" s="512"/>
      <c r="T879" s="512"/>
      <c r="U879" s="512"/>
      <c r="V879" s="512"/>
      <c r="W879" s="512"/>
      <c r="X879" s="512"/>
      <c r="Y879" s="512"/>
      <c r="Z879" s="512"/>
      <c r="AA879" s="512"/>
    </row>
    <row r="880">
      <c r="A880" s="512"/>
      <c r="B880" s="512"/>
      <c r="C880" s="512"/>
      <c r="D880" s="512"/>
      <c r="E880" s="512"/>
      <c r="F880" s="512"/>
      <c r="G880" s="512"/>
      <c r="H880" s="512"/>
      <c r="I880" s="512"/>
      <c r="J880" s="512"/>
      <c r="K880" s="512"/>
      <c r="L880" s="512"/>
      <c r="M880" s="512"/>
      <c r="N880" s="512"/>
      <c r="O880" s="512"/>
      <c r="P880" s="512"/>
      <c r="Q880" s="512"/>
      <c r="R880" s="512"/>
      <c r="S880" s="512"/>
      <c r="T880" s="512"/>
      <c r="U880" s="512"/>
      <c r="V880" s="512"/>
      <c r="W880" s="512"/>
      <c r="X880" s="512"/>
      <c r="Y880" s="512"/>
      <c r="Z880" s="512"/>
      <c r="AA880" s="512"/>
    </row>
    <row r="881">
      <c r="A881" s="512"/>
      <c r="B881" s="512"/>
      <c r="C881" s="512"/>
      <c r="D881" s="512"/>
      <c r="E881" s="512"/>
      <c r="F881" s="512"/>
      <c r="G881" s="512"/>
      <c r="H881" s="512"/>
      <c r="I881" s="512"/>
      <c r="J881" s="512"/>
      <c r="K881" s="512"/>
      <c r="L881" s="512"/>
      <c r="M881" s="512"/>
      <c r="N881" s="512"/>
      <c r="O881" s="512"/>
      <c r="P881" s="512"/>
      <c r="Q881" s="512"/>
      <c r="R881" s="512"/>
      <c r="S881" s="512"/>
      <c r="T881" s="512"/>
      <c r="U881" s="512"/>
      <c r="V881" s="512"/>
      <c r="W881" s="512"/>
      <c r="X881" s="512"/>
      <c r="Y881" s="512"/>
      <c r="Z881" s="512"/>
      <c r="AA881" s="512"/>
    </row>
    <row r="882">
      <c r="A882" s="512"/>
      <c r="B882" s="512"/>
      <c r="C882" s="512"/>
      <c r="D882" s="512"/>
      <c r="E882" s="512"/>
      <c r="F882" s="512"/>
      <c r="G882" s="512"/>
      <c r="H882" s="512"/>
      <c r="I882" s="512"/>
      <c r="J882" s="512"/>
      <c r="K882" s="512"/>
      <c r="L882" s="512"/>
      <c r="M882" s="512"/>
      <c r="N882" s="512"/>
      <c r="O882" s="512"/>
      <c r="P882" s="512"/>
      <c r="Q882" s="512"/>
      <c r="R882" s="512"/>
      <c r="S882" s="512"/>
      <c r="T882" s="512"/>
      <c r="U882" s="512"/>
      <c r="V882" s="512"/>
      <c r="W882" s="512"/>
      <c r="X882" s="512"/>
      <c r="Y882" s="512"/>
      <c r="Z882" s="512"/>
      <c r="AA882" s="512"/>
    </row>
    <row r="883">
      <c r="A883" s="512"/>
      <c r="B883" s="512"/>
      <c r="C883" s="512"/>
      <c r="D883" s="512"/>
      <c r="E883" s="512"/>
      <c r="F883" s="512"/>
      <c r="G883" s="512"/>
      <c r="H883" s="512"/>
      <c r="I883" s="512"/>
      <c r="J883" s="512"/>
      <c r="K883" s="512"/>
      <c r="L883" s="512"/>
      <c r="M883" s="512"/>
      <c r="N883" s="512"/>
      <c r="O883" s="512"/>
      <c r="P883" s="512"/>
      <c r="Q883" s="512"/>
      <c r="R883" s="512"/>
      <c r="S883" s="512"/>
      <c r="T883" s="512"/>
      <c r="U883" s="512"/>
      <c r="V883" s="512"/>
      <c r="W883" s="512"/>
      <c r="X883" s="512"/>
      <c r="Y883" s="512"/>
      <c r="Z883" s="512"/>
      <c r="AA883" s="512"/>
    </row>
    <row r="884">
      <c r="A884" s="512"/>
      <c r="B884" s="512"/>
      <c r="C884" s="512"/>
      <c r="D884" s="512"/>
      <c r="E884" s="512"/>
      <c r="F884" s="512"/>
      <c r="G884" s="512"/>
      <c r="H884" s="512"/>
      <c r="I884" s="512"/>
      <c r="J884" s="512"/>
      <c r="K884" s="512"/>
      <c r="L884" s="512"/>
      <c r="M884" s="512"/>
      <c r="N884" s="512"/>
      <c r="O884" s="512"/>
      <c r="P884" s="512"/>
      <c r="Q884" s="512"/>
      <c r="R884" s="512"/>
      <c r="S884" s="512"/>
      <c r="T884" s="512"/>
      <c r="U884" s="512"/>
      <c r="V884" s="512"/>
      <c r="W884" s="512"/>
      <c r="X884" s="512"/>
      <c r="Y884" s="512"/>
      <c r="Z884" s="512"/>
      <c r="AA884" s="512"/>
    </row>
    <row r="885">
      <c r="A885" s="512"/>
      <c r="B885" s="512"/>
      <c r="C885" s="512"/>
      <c r="D885" s="512"/>
      <c r="E885" s="512"/>
      <c r="F885" s="512"/>
      <c r="G885" s="512"/>
      <c r="H885" s="512"/>
      <c r="I885" s="512"/>
      <c r="J885" s="512"/>
      <c r="K885" s="512"/>
      <c r="L885" s="512"/>
      <c r="M885" s="512"/>
      <c r="N885" s="512"/>
      <c r="O885" s="512"/>
      <c r="P885" s="512"/>
      <c r="Q885" s="512"/>
      <c r="R885" s="512"/>
      <c r="S885" s="512"/>
      <c r="T885" s="512"/>
      <c r="U885" s="512"/>
      <c r="V885" s="512"/>
      <c r="W885" s="512"/>
      <c r="X885" s="512"/>
      <c r="Y885" s="512"/>
      <c r="Z885" s="512"/>
      <c r="AA885" s="512"/>
    </row>
    <row r="886">
      <c r="A886" s="512"/>
      <c r="B886" s="512"/>
      <c r="C886" s="512"/>
      <c r="D886" s="512"/>
      <c r="E886" s="512"/>
      <c r="F886" s="512"/>
      <c r="G886" s="512"/>
      <c r="H886" s="512"/>
      <c r="I886" s="512"/>
      <c r="J886" s="512"/>
      <c r="K886" s="512"/>
      <c r="L886" s="512"/>
      <c r="M886" s="512"/>
      <c r="N886" s="512"/>
      <c r="O886" s="512"/>
      <c r="P886" s="512"/>
      <c r="Q886" s="512"/>
      <c r="R886" s="512"/>
      <c r="S886" s="512"/>
      <c r="T886" s="512"/>
      <c r="U886" s="512"/>
      <c r="V886" s="512"/>
      <c r="W886" s="512"/>
      <c r="X886" s="512"/>
      <c r="Y886" s="512"/>
      <c r="Z886" s="512"/>
      <c r="AA886" s="512"/>
    </row>
    <row r="887">
      <c r="A887" s="512"/>
      <c r="B887" s="512"/>
      <c r="C887" s="512"/>
      <c r="D887" s="512"/>
      <c r="E887" s="512"/>
      <c r="F887" s="512"/>
      <c r="G887" s="512"/>
      <c r="H887" s="512"/>
      <c r="I887" s="512"/>
      <c r="J887" s="512"/>
      <c r="K887" s="512"/>
      <c r="L887" s="512"/>
      <c r="M887" s="512"/>
      <c r="N887" s="512"/>
      <c r="O887" s="512"/>
      <c r="P887" s="512"/>
      <c r="Q887" s="512"/>
      <c r="R887" s="512"/>
      <c r="S887" s="512"/>
      <c r="T887" s="512"/>
      <c r="U887" s="512"/>
      <c r="V887" s="512"/>
      <c r="W887" s="512"/>
      <c r="X887" s="512"/>
      <c r="Y887" s="512"/>
      <c r="Z887" s="512"/>
      <c r="AA887" s="512"/>
    </row>
    <row r="888">
      <c r="A888" s="512"/>
      <c r="B888" s="512"/>
      <c r="C888" s="512"/>
      <c r="D888" s="512"/>
      <c r="E888" s="512"/>
      <c r="F888" s="512"/>
      <c r="G888" s="512"/>
      <c r="H888" s="512"/>
      <c r="I888" s="512"/>
      <c r="J888" s="512"/>
      <c r="K888" s="512"/>
      <c r="L888" s="512"/>
      <c r="M888" s="512"/>
      <c r="N888" s="512"/>
      <c r="O888" s="512"/>
      <c r="P888" s="512"/>
      <c r="Q888" s="512"/>
      <c r="R888" s="512"/>
      <c r="S888" s="512"/>
      <c r="T888" s="512"/>
      <c r="U888" s="512"/>
      <c r="V888" s="512"/>
      <c r="W888" s="512"/>
      <c r="X888" s="512"/>
      <c r="Y888" s="512"/>
      <c r="Z888" s="512"/>
      <c r="AA888" s="512"/>
    </row>
    <row r="889">
      <c r="A889" s="512"/>
      <c r="B889" s="512"/>
      <c r="C889" s="512"/>
      <c r="D889" s="512"/>
      <c r="E889" s="512"/>
      <c r="F889" s="512"/>
      <c r="G889" s="512"/>
      <c r="H889" s="512"/>
      <c r="I889" s="512"/>
      <c r="J889" s="512"/>
      <c r="K889" s="512"/>
      <c r="L889" s="512"/>
      <c r="M889" s="512"/>
      <c r="N889" s="512"/>
      <c r="O889" s="512"/>
      <c r="P889" s="512"/>
      <c r="Q889" s="512"/>
      <c r="R889" s="512"/>
      <c r="S889" s="512"/>
      <c r="T889" s="512"/>
      <c r="U889" s="512"/>
      <c r="V889" s="512"/>
      <c r="W889" s="512"/>
      <c r="X889" s="512"/>
      <c r="Y889" s="512"/>
      <c r="Z889" s="512"/>
      <c r="AA889" s="512"/>
    </row>
    <row r="890">
      <c r="A890" s="512"/>
      <c r="B890" s="512"/>
      <c r="C890" s="512"/>
      <c r="D890" s="512"/>
      <c r="E890" s="512"/>
      <c r="F890" s="512"/>
      <c r="G890" s="512"/>
      <c r="H890" s="512"/>
      <c r="I890" s="512"/>
      <c r="J890" s="512"/>
      <c r="K890" s="512"/>
      <c r="L890" s="512"/>
      <c r="M890" s="512"/>
      <c r="N890" s="512"/>
      <c r="O890" s="512"/>
      <c r="P890" s="512"/>
      <c r="Q890" s="512"/>
      <c r="R890" s="512"/>
      <c r="S890" s="512"/>
      <c r="T890" s="512"/>
      <c r="U890" s="512"/>
      <c r="V890" s="512"/>
      <c r="W890" s="512"/>
      <c r="X890" s="512"/>
      <c r="Y890" s="512"/>
      <c r="Z890" s="512"/>
      <c r="AA890" s="512"/>
    </row>
    <row r="891">
      <c r="A891" s="512"/>
      <c r="B891" s="512"/>
      <c r="C891" s="512"/>
      <c r="D891" s="512"/>
      <c r="E891" s="512"/>
      <c r="F891" s="512"/>
      <c r="G891" s="512"/>
      <c r="H891" s="512"/>
      <c r="I891" s="512"/>
      <c r="J891" s="512"/>
      <c r="K891" s="512"/>
      <c r="L891" s="512"/>
      <c r="M891" s="512"/>
      <c r="N891" s="512"/>
      <c r="O891" s="512"/>
      <c r="P891" s="512"/>
      <c r="Q891" s="512"/>
      <c r="R891" s="512"/>
      <c r="S891" s="512"/>
      <c r="T891" s="512"/>
      <c r="U891" s="512"/>
      <c r="V891" s="512"/>
      <c r="W891" s="512"/>
      <c r="X891" s="512"/>
      <c r="Y891" s="512"/>
      <c r="Z891" s="512"/>
      <c r="AA891" s="512"/>
    </row>
    <row r="892">
      <c r="A892" s="512"/>
      <c r="B892" s="512"/>
      <c r="C892" s="512"/>
      <c r="D892" s="512"/>
      <c r="E892" s="512"/>
      <c r="F892" s="512"/>
      <c r="G892" s="512"/>
      <c r="H892" s="512"/>
      <c r="I892" s="512"/>
      <c r="J892" s="512"/>
      <c r="K892" s="512"/>
      <c r="L892" s="512"/>
      <c r="M892" s="512"/>
      <c r="N892" s="512"/>
      <c r="O892" s="512"/>
      <c r="P892" s="512"/>
      <c r="Q892" s="512"/>
      <c r="R892" s="512"/>
      <c r="S892" s="512"/>
      <c r="T892" s="512"/>
      <c r="U892" s="512"/>
      <c r="V892" s="512"/>
      <c r="W892" s="512"/>
      <c r="X892" s="512"/>
      <c r="Y892" s="512"/>
      <c r="Z892" s="512"/>
      <c r="AA892" s="512"/>
    </row>
    <row r="893">
      <c r="A893" s="512"/>
      <c r="B893" s="512"/>
      <c r="C893" s="512"/>
      <c r="D893" s="512"/>
      <c r="E893" s="512"/>
      <c r="F893" s="512"/>
      <c r="G893" s="512"/>
      <c r="H893" s="512"/>
      <c r="I893" s="512"/>
      <c r="J893" s="512"/>
      <c r="K893" s="512"/>
      <c r="L893" s="512"/>
      <c r="M893" s="512"/>
      <c r="N893" s="512"/>
      <c r="O893" s="512"/>
      <c r="P893" s="512"/>
      <c r="Q893" s="512"/>
      <c r="R893" s="512"/>
      <c r="S893" s="512"/>
      <c r="T893" s="512"/>
      <c r="U893" s="512"/>
      <c r="V893" s="512"/>
      <c r="W893" s="512"/>
      <c r="X893" s="512"/>
      <c r="Y893" s="512"/>
      <c r="Z893" s="512"/>
      <c r="AA893" s="512"/>
    </row>
    <row r="894">
      <c r="A894" s="512"/>
      <c r="B894" s="512"/>
      <c r="C894" s="512"/>
      <c r="D894" s="512"/>
      <c r="E894" s="512"/>
      <c r="F894" s="512"/>
      <c r="G894" s="512"/>
      <c r="H894" s="512"/>
      <c r="I894" s="512"/>
      <c r="J894" s="512"/>
      <c r="K894" s="512"/>
      <c r="L894" s="512"/>
      <c r="M894" s="512"/>
      <c r="N894" s="512"/>
      <c r="O894" s="512"/>
      <c r="P894" s="512"/>
      <c r="Q894" s="512"/>
      <c r="R894" s="512"/>
      <c r="S894" s="512"/>
      <c r="T894" s="512"/>
      <c r="U894" s="512"/>
      <c r="V894" s="512"/>
      <c r="W894" s="512"/>
      <c r="X894" s="512"/>
      <c r="Y894" s="512"/>
      <c r="Z894" s="512"/>
      <c r="AA894" s="512"/>
    </row>
    <row r="895">
      <c r="A895" s="512"/>
      <c r="B895" s="512"/>
      <c r="C895" s="512"/>
      <c r="D895" s="512"/>
      <c r="E895" s="512"/>
      <c r="F895" s="512"/>
      <c r="G895" s="512"/>
      <c r="H895" s="512"/>
      <c r="I895" s="512"/>
      <c r="J895" s="512"/>
      <c r="K895" s="512"/>
      <c r="L895" s="512"/>
      <c r="M895" s="512"/>
      <c r="N895" s="512"/>
      <c r="O895" s="512"/>
      <c r="P895" s="512"/>
      <c r="Q895" s="512"/>
      <c r="R895" s="512"/>
      <c r="S895" s="512"/>
      <c r="T895" s="512"/>
      <c r="U895" s="512"/>
      <c r="V895" s="512"/>
      <c r="W895" s="512"/>
      <c r="X895" s="512"/>
      <c r="Y895" s="512"/>
      <c r="Z895" s="512"/>
      <c r="AA895" s="512"/>
    </row>
    <row r="896">
      <c r="A896" s="512"/>
      <c r="B896" s="512"/>
      <c r="C896" s="512"/>
      <c r="D896" s="512"/>
      <c r="E896" s="512"/>
      <c r="F896" s="512"/>
      <c r="G896" s="512"/>
      <c r="H896" s="512"/>
      <c r="I896" s="512"/>
      <c r="J896" s="512"/>
      <c r="K896" s="512"/>
      <c r="L896" s="512"/>
      <c r="M896" s="512"/>
      <c r="N896" s="512"/>
      <c r="O896" s="512"/>
      <c r="P896" s="512"/>
      <c r="Q896" s="512"/>
      <c r="R896" s="512"/>
      <c r="S896" s="512"/>
      <c r="T896" s="512"/>
      <c r="U896" s="512"/>
      <c r="V896" s="512"/>
      <c r="W896" s="512"/>
      <c r="X896" s="512"/>
      <c r="Y896" s="512"/>
      <c r="Z896" s="512"/>
      <c r="AA896" s="512"/>
    </row>
    <row r="897">
      <c r="A897" s="512"/>
      <c r="B897" s="512"/>
      <c r="C897" s="512"/>
      <c r="D897" s="512"/>
      <c r="E897" s="512"/>
      <c r="F897" s="512"/>
      <c r="G897" s="512"/>
      <c r="H897" s="512"/>
      <c r="I897" s="512"/>
      <c r="J897" s="512"/>
      <c r="K897" s="512"/>
      <c r="L897" s="512"/>
      <c r="M897" s="512"/>
      <c r="N897" s="512"/>
      <c r="O897" s="512"/>
      <c r="P897" s="512"/>
      <c r="Q897" s="512"/>
      <c r="R897" s="512"/>
      <c r="S897" s="512"/>
      <c r="T897" s="512"/>
      <c r="U897" s="512"/>
      <c r="V897" s="512"/>
      <c r="W897" s="512"/>
      <c r="X897" s="512"/>
      <c r="Y897" s="512"/>
      <c r="Z897" s="512"/>
      <c r="AA897" s="512"/>
    </row>
    <row r="898">
      <c r="A898" s="512"/>
      <c r="B898" s="512"/>
      <c r="C898" s="512"/>
      <c r="D898" s="512"/>
      <c r="E898" s="512"/>
      <c r="F898" s="512"/>
      <c r="G898" s="512"/>
      <c r="H898" s="512"/>
      <c r="I898" s="512"/>
      <c r="J898" s="512"/>
      <c r="K898" s="512"/>
      <c r="L898" s="512"/>
      <c r="M898" s="512"/>
      <c r="N898" s="512"/>
      <c r="O898" s="512"/>
      <c r="P898" s="512"/>
      <c r="Q898" s="512"/>
      <c r="R898" s="512"/>
      <c r="S898" s="512"/>
      <c r="T898" s="512"/>
      <c r="U898" s="512"/>
      <c r="V898" s="512"/>
      <c r="W898" s="512"/>
      <c r="X898" s="512"/>
      <c r="Y898" s="512"/>
      <c r="Z898" s="512"/>
      <c r="AA898" s="512"/>
    </row>
    <row r="899">
      <c r="A899" s="512"/>
      <c r="B899" s="512"/>
      <c r="C899" s="512"/>
      <c r="D899" s="512"/>
      <c r="E899" s="512"/>
      <c r="F899" s="512"/>
      <c r="G899" s="512"/>
      <c r="H899" s="512"/>
      <c r="I899" s="512"/>
      <c r="J899" s="512"/>
      <c r="K899" s="512"/>
      <c r="L899" s="512"/>
      <c r="M899" s="512"/>
      <c r="N899" s="512"/>
      <c r="O899" s="512"/>
      <c r="P899" s="512"/>
      <c r="Q899" s="512"/>
      <c r="R899" s="512"/>
      <c r="S899" s="512"/>
      <c r="T899" s="512"/>
      <c r="U899" s="512"/>
      <c r="V899" s="512"/>
      <c r="W899" s="512"/>
      <c r="X899" s="512"/>
      <c r="Y899" s="512"/>
      <c r="Z899" s="512"/>
      <c r="AA899" s="512"/>
    </row>
    <row r="900">
      <c r="A900" s="512"/>
      <c r="B900" s="512"/>
      <c r="C900" s="512"/>
      <c r="D900" s="512"/>
      <c r="E900" s="512"/>
      <c r="F900" s="512"/>
      <c r="G900" s="512"/>
      <c r="H900" s="512"/>
      <c r="I900" s="512"/>
      <c r="J900" s="512"/>
      <c r="K900" s="512"/>
      <c r="L900" s="512"/>
      <c r="M900" s="512"/>
      <c r="N900" s="512"/>
      <c r="O900" s="512"/>
      <c r="P900" s="512"/>
      <c r="Q900" s="512"/>
      <c r="R900" s="512"/>
      <c r="S900" s="512"/>
      <c r="T900" s="512"/>
      <c r="U900" s="512"/>
      <c r="V900" s="512"/>
      <c r="W900" s="512"/>
      <c r="X900" s="512"/>
      <c r="Y900" s="512"/>
      <c r="Z900" s="512"/>
      <c r="AA900" s="512"/>
    </row>
    <row r="901">
      <c r="A901" s="512"/>
      <c r="B901" s="512"/>
      <c r="C901" s="512"/>
      <c r="D901" s="512"/>
      <c r="E901" s="512"/>
      <c r="F901" s="512"/>
      <c r="G901" s="512"/>
      <c r="H901" s="512"/>
      <c r="I901" s="512"/>
      <c r="J901" s="512"/>
      <c r="K901" s="512"/>
      <c r="L901" s="512"/>
      <c r="M901" s="512"/>
      <c r="N901" s="512"/>
      <c r="O901" s="512"/>
      <c r="P901" s="512"/>
      <c r="Q901" s="512"/>
      <c r="R901" s="512"/>
      <c r="S901" s="512"/>
      <c r="T901" s="512"/>
      <c r="U901" s="512"/>
      <c r="V901" s="512"/>
      <c r="W901" s="512"/>
      <c r="X901" s="512"/>
      <c r="Y901" s="512"/>
      <c r="Z901" s="512"/>
      <c r="AA901" s="512"/>
    </row>
    <row r="902">
      <c r="A902" s="512"/>
      <c r="B902" s="512"/>
      <c r="C902" s="512"/>
      <c r="D902" s="512"/>
      <c r="E902" s="512"/>
      <c r="F902" s="512"/>
      <c r="G902" s="512"/>
      <c r="H902" s="512"/>
      <c r="I902" s="512"/>
      <c r="J902" s="512"/>
      <c r="K902" s="512"/>
      <c r="L902" s="512"/>
      <c r="M902" s="512"/>
      <c r="N902" s="512"/>
      <c r="O902" s="512"/>
      <c r="P902" s="512"/>
      <c r="Q902" s="512"/>
      <c r="R902" s="512"/>
      <c r="S902" s="512"/>
      <c r="T902" s="512"/>
      <c r="U902" s="512"/>
      <c r="V902" s="512"/>
      <c r="W902" s="512"/>
      <c r="X902" s="512"/>
      <c r="Y902" s="512"/>
      <c r="Z902" s="512"/>
      <c r="AA902" s="512"/>
    </row>
    <row r="903">
      <c r="A903" s="512"/>
      <c r="B903" s="512"/>
      <c r="C903" s="512"/>
      <c r="D903" s="512"/>
      <c r="E903" s="512"/>
      <c r="F903" s="512"/>
      <c r="G903" s="512"/>
      <c r="H903" s="512"/>
      <c r="I903" s="512"/>
      <c r="J903" s="512"/>
      <c r="K903" s="512"/>
      <c r="L903" s="512"/>
      <c r="M903" s="512"/>
      <c r="N903" s="512"/>
      <c r="O903" s="512"/>
      <c r="P903" s="512"/>
      <c r="Q903" s="512"/>
      <c r="R903" s="512"/>
      <c r="S903" s="512"/>
      <c r="T903" s="512"/>
      <c r="U903" s="512"/>
      <c r="V903" s="512"/>
      <c r="W903" s="512"/>
      <c r="X903" s="512"/>
      <c r="Y903" s="512"/>
      <c r="Z903" s="512"/>
      <c r="AA903" s="512"/>
    </row>
    <row r="904">
      <c r="A904" s="512"/>
      <c r="B904" s="512"/>
      <c r="C904" s="512"/>
      <c r="D904" s="512"/>
      <c r="E904" s="512"/>
      <c r="F904" s="512"/>
      <c r="G904" s="512"/>
      <c r="H904" s="512"/>
      <c r="I904" s="512"/>
      <c r="J904" s="512"/>
      <c r="K904" s="512"/>
      <c r="L904" s="512"/>
      <c r="M904" s="512"/>
      <c r="N904" s="512"/>
      <c r="O904" s="512"/>
      <c r="P904" s="512"/>
      <c r="Q904" s="512"/>
      <c r="R904" s="512"/>
      <c r="S904" s="512"/>
      <c r="T904" s="512"/>
      <c r="U904" s="512"/>
      <c r="V904" s="512"/>
      <c r="W904" s="512"/>
      <c r="X904" s="512"/>
      <c r="Y904" s="512"/>
      <c r="Z904" s="512"/>
      <c r="AA904" s="512"/>
    </row>
    <row r="905">
      <c r="A905" s="512"/>
      <c r="B905" s="512"/>
      <c r="C905" s="512"/>
      <c r="D905" s="512"/>
      <c r="E905" s="512"/>
      <c r="F905" s="512"/>
      <c r="G905" s="512"/>
      <c r="H905" s="512"/>
      <c r="I905" s="512"/>
      <c r="J905" s="512"/>
      <c r="K905" s="512"/>
      <c r="L905" s="512"/>
      <c r="M905" s="512"/>
      <c r="N905" s="512"/>
      <c r="O905" s="512"/>
      <c r="P905" s="512"/>
      <c r="Q905" s="512"/>
      <c r="R905" s="512"/>
      <c r="S905" s="512"/>
      <c r="T905" s="512"/>
      <c r="U905" s="512"/>
      <c r="V905" s="512"/>
      <c r="W905" s="512"/>
      <c r="X905" s="512"/>
      <c r="Y905" s="512"/>
      <c r="Z905" s="512"/>
      <c r="AA905" s="512"/>
    </row>
    <row r="906">
      <c r="A906" s="512"/>
      <c r="B906" s="512"/>
      <c r="C906" s="512"/>
      <c r="D906" s="512"/>
      <c r="E906" s="512"/>
      <c r="F906" s="512"/>
      <c r="G906" s="512"/>
      <c r="H906" s="512"/>
      <c r="I906" s="512"/>
      <c r="J906" s="512"/>
      <c r="K906" s="512"/>
      <c r="L906" s="512"/>
      <c r="M906" s="512"/>
      <c r="N906" s="512"/>
      <c r="O906" s="512"/>
      <c r="P906" s="512"/>
      <c r="Q906" s="512"/>
      <c r="R906" s="512"/>
      <c r="S906" s="512"/>
      <c r="T906" s="512"/>
      <c r="U906" s="512"/>
      <c r="V906" s="512"/>
      <c r="W906" s="512"/>
      <c r="X906" s="512"/>
      <c r="Y906" s="512"/>
      <c r="Z906" s="512"/>
      <c r="AA906" s="512"/>
    </row>
    <row r="907">
      <c r="A907" s="512"/>
      <c r="B907" s="512"/>
      <c r="C907" s="512"/>
      <c r="D907" s="512"/>
      <c r="E907" s="512"/>
      <c r="F907" s="512"/>
      <c r="G907" s="512"/>
      <c r="H907" s="512"/>
      <c r="I907" s="512"/>
      <c r="J907" s="512"/>
      <c r="K907" s="512"/>
      <c r="L907" s="512"/>
      <c r="M907" s="512"/>
      <c r="N907" s="512"/>
      <c r="O907" s="512"/>
      <c r="P907" s="512"/>
      <c r="Q907" s="512"/>
      <c r="R907" s="512"/>
      <c r="S907" s="512"/>
      <c r="T907" s="512"/>
      <c r="U907" s="512"/>
      <c r="V907" s="512"/>
      <c r="W907" s="512"/>
      <c r="X907" s="512"/>
      <c r="Y907" s="512"/>
      <c r="Z907" s="512"/>
      <c r="AA907" s="512"/>
    </row>
    <row r="908">
      <c r="A908" s="512"/>
      <c r="B908" s="512"/>
      <c r="C908" s="512"/>
      <c r="D908" s="512"/>
      <c r="E908" s="512"/>
      <c r="F908" s="512"/>
      <c r="G908" s="512"/>
      <c r="H908" s="512"/>
      <c r="I908" s="512"/>
      <c r="J908" s="512"/>
      <c r="K908" s="512"/>
      <c r="L908" s="512"/>
      <c r="M908" s="512"/>
      <c r="N908" s="512"/>
      <c r="O908" s="512"/>
      <c r="P908" s="512"/>
      <c r="Q908" s="512"/>
      <c r="R908" s="512"/>
      <c r="S908" s="512"/>
      <c r="T908" s="512"/>
      <c r="U908" s="512"/>
      <c r="V908" s="512"/>
      <c r="W908" s="512"/>
      <c r="X908" s="512"/>
      <c r="Y908" s="512"/>
      <c r="Z908" s="512"/>
      <c r="AA908" s="512"/>
    </row>
    <row r="909">
      <c r="A909" s="512"/>
      <c r="B909" s="512"/>
      <c r="C909" s="512"/>
      <c r="D909" s="512"/>
      <c r="E909" s="512"/>
      <c r="F909" s="512"/>
      <c r="G909" s="512"/>
      <c r="H909" s="512"/>
      <c r="I909" s="512"/>
      <c r="J909" s="512"/>
      <c r="K909" s="512"/>
      <c r="L909" s="512"/>
      <c r="M909" s="512"/>
      <c r="N909" s="512"/>
      <c r="O909" s="512"/>
      <c r="P909" s="512"/>
      <c r="Q909" s="512"/>
      <c r="R909" s="512"/>
      <c r="S909" s="512"/>
      <c r="T909" s="512"/>
      <c r="U909" s="512"/>
      <c r="V909" s="512"/>
      <c r="W909" s="512"/>
      <c r="X909" s="512"/>
      <c r="Y909" s="512"/>
      <c r="Z909" s="512"/>
      <c r="AA909" s="512"/>
    </row>
    <row r="910">
      <c r="A910" s="512"/>
      <c r="B910" s="512"/>
      <c r="C910" s="512"/>
      <c r="D910" s="512"/>
      <c r="E910" s="512"/>
      <c r="F910" s="512"/>
      <c r="G910" s="512"/>
      <c r="H910" s="512"/>
      <c r="I910" s="512"/>
      <c r="J910" s="512"/>
      <c r="K910" s="512"/>
      <c r="L910" s="512"/>
      <c r="M910" s="512"/>
      <c r="N910" s="512"/>
      <c r="O910" s="512"/>
      <c r="P910" s="512"/>
      <c r="Q910" s="512"/>
      <c r="R910" s="512"/>
      <c r="S910" s="512"/>
      <c r="T910" s="512"/>
      <c r="U910" s="512"/>
      <c r="V910" s="512"/>
      <c r="W910" s="512"/>
      <c r="X910" s="512"/>
      <c r="Y910" s="512"/>
      <c r="Z910" s="512"/>
      <c r="AA910" s="512"/>
    </row>
    <row r="911">
      <c r="A911" s="512"/>
      <c r="B911" s="512"/>
      <c r="C911" s="512"/>
      <c r="D911" s="512"/>
      <c r="E911" s="512"/>
      <c r="F911" s="512"/>
      <c r="G911" s="512"/>
      <c r="H911" s="512"/>
      <c r="I911" s="512"/>
      <c r="J911" s="512"/>
      <c r="K911" s="512"/>
      <c r="L911" s="512"/>
      <c r="M911" s="512"/>
      <c r="N911" s="512"/>
      <c r="O911" s="512"/>
      <c r="P911" s="512"/>
      <c r="Q911" s="512"/>
      <c r="R911" s="512"/>
      <c r="S911" s="512"/>
      <c r="T911" s="512"/>
      <c r="U911" s="512"/>
      <c r="V911" s="512"/>
      <c r="W911" s="512"/>
      <c r="X911" s="512"/>
      <c r="Y911" s="512"/>
      <c r="Z911" s="512"/>
      <c r="AA911" s="512"/>
    </row>
    <row r="912">
      <c r="A912" s="512"/>
      <c r="B912" s="512"/>
      <c r="C912" s="512"/>
      <c r="D912" s="512"/>
      <c r="E912" s="512"/>
      <c r="F912" s="512"/>
      <c r="G912" s="512"/>
      <c r="H912" s="512"/>
      <c r="I912" s="512"/>
      <c r="J912" s="512"/>
      <c r="K912" s="512"/>
      <c r="L912" s="512"/>
      <c r="M912" s="512"/>
      <c r="N912" s="512"/>
      <c r="O912" s="512"/>
      <c r="P912" s="512"/>
      <c r="Q912" s="512"/>
      <c r="R912" s="512"/>
      <c r="S912" s="512"/>
      <c r="T912" s="512"/>
      <c r="U912" s="512"/>
      <c r="V912" s="512"/>
      <c r="W912" s="512"/>
      <c r="X912" s="512"/>
      <c r="Y912" s="512"/>
      <c r="Z912" s="512"/>
      <c r="AA912" s="512"/>
    </row>
    <row r="913">
      <c r="A913" s="512"/>
      <c r="B913" s="512"/>
      <c r="C913" s="512"/>
      <c r="D913" s="512"/>
      <c r="E913" s="512"/>
      <c r="F913" s="512"/>
      <c r="G913" s="512"/>
      <c r="H913" s="512"/>
      <c r="I913" s="512"/>
      <c r="J913" s="512"/>
      <c r="K913" s="512"/>
      <c r="L913" s="512"/>
      <c r="M913" s="512"/>
      <c r="N913" s="512"/>
      <c r="O913" s="512"/>
      <c r="P913" s="512"/>
      <c r="Q913" s="512"/>
      <c r="R913" s="512"/>
      <c r="S913" s="512"/>
      <c r="T913" s="512"/>
      <c r="U913" s="512"/>
      <c r="V913" s="512"/>
      <c r="W913" s="512"/>
      <c r="X913" s="512"/>
      <c r="Y913" s="512"/>
      <c r="Z913" s="512"/>
      <c r="AA913" s="512"/>
    </row>
    <row r="914">
      <c r="A914" s="512"/>
      <c r="B914" s="512"/>
      <c r="C914" s="512"/>
      <c r="D914" s="512"/>
      <c r="E914" s="512"/>
      <c r="F914" s="512"/>
      <c r="G914" s="512"/>
      <c r="H914" s="512"/>
      <c r="I914" s="512"/>
      <c r="J914" s="512"/>
      <c r="K914" s="512"/>
      <c r="L914" s="512"/>
      <c r="M914" s="512"/>
      <c r="N914" s="512"/>
      <c r="O914" s="512"/>
      <c r="P914" s="512"/>
      <c r="Q914" s="512"/>
      <c r="R914" s="512"/>
      <c r="S914" s="512"/>
      <c r="T914" s="512"/>
      <c r="U914" s="512"/>
      <c r="V914" s="512"/>
      <c r="W914" s="512"/>
      <c r="X914" s="512"/>
      <c r="Y914" s="512"/>
      <c r="Z914" s="512"/>
      <c r="AA914" s="512"/>
    </row>
    <row r="915">
      <c r="A915" s="512"/>
      <c r="B915" s="512"/>
      <c r="C915" s="512"/>
      <c r="D915" s="512"/>
      <c r="E915" s="512"/>
      <c r="F915" s="512"/>
      <c r="G915" s="512"/>
      <c r="H915" s="512"/>
      <c r="I915" s="512"/>
      <c r="J915" s="512"/>
      <c r="K915" s="512"/>
      <c r="L915" s="512"/>
      <c r="M915" s="512"/>
      <c r="N915" s="512"/>
      <c r="O915" s="512"/>
      <c r="P915" s="512"/>
      <c r="Q915" s="512"/>
      <c r="R915" s="512"/>
      <c r="S915" s="512"/>
      <c r="T915" s="512"/>
      <c r="U915" s="512"/>
      <c r="V915" s="512"/>
      <c r="W915" s="512"/>
      <c r="X915" s="512"/>
      <c r="Y915" s="512"/>
      <c r="Z915" s="512"/>
      <c r="AA915" s="512"/>
    </row>
    <row r="916">
      <c r="A916" s="512"/>
      <c r="B916" s="512"/>
      <c r="C916" s="512"/>
      <c r="D916" s="512"/>
      <c r="E916" s="512"/>
      <c r="F916" s="512"/>
      <c r="G916" s="512"/>
      <c r="H916" s="512"/>
      <c r="I916" s="512"/>
      <c r="J916" s="512"/>
      <c r="K916" s="512"/>
      <c r="L916" s="512"/>
      <c r="M916" s="512"/>
      <c r="N916" s="512"/>
      <c r="O916" s="512"/>
      <c r="P916" s="512"/>
      <c r="Q916" s="512"/>
      <c r="R916" s="512"/>
      <c r="S916" s="512"/>
      <c r="T916" s="512"/>
      <c r="U916" s="512"/>
      <c r="V916" s="512"/>
      <c r="W916" s="512"/>
      <c r="X916" s="512"/>
      <c r="Y916" s="512"/>
      <c r="Z916" s="512"/>
      <c r="AA916" s="512"/>
    </row>
    <row r="917">
      <c r="A917" s="512"/>
      <c r="B917" s="512"/>
      <c r="C917" s="512"/>
      <c r="D917" s="512"/>
      <c r="E917" s="512"/>
      <c r="F917" s="512"/>
      <c r="G917" s="512"/>
      <c r="H917" s="512"/>
      <c r="I917" s="512"/>
      <c r="J917" s="512"/>
      <c r="K917" s="512"/>
      <c r="L917" s="512"/>
      <c r="M917" s="512"/>
      <c r="N917" s="512"/>
      <c r="O917" s="512"/>
      <c r="P917" s="512"/>
      <c r="Q917" s="512"/>
      <c r="R917" s="512"/>
      <c r="S917" s="512"/>
      <c r="T917" s="512"/>
      <c r="U917" s="512"/>
      <c r="V917" s="512"/>
      <c r="W917" s="512"/>
      <c r="X917" s="512"/>
      <c r="Y917" s="512"/>
      <c r="Z917" s="512"/>
      <c r="AA917" s="512"/>
    </row>
    <row r="918">
      <c r="A918" s="512"/>
      <c r="B918" s="512"/>
      <c r="C918" s="512"/>
      <c r="D918" s="512"/>
      <c r="E918" s="512"/>
      <c r="F918" s="512"/>
      <c r="G918" s="512"/>
      <c r="H918" s="512"/>
      <c r="I918" s="512"/>
      <c r="J918" s="512"/>
      <c r="K918" s="512"/>
      <c r="L918" s="512"/>
      <c r="M918" s="512"/>
      <c r="N918" s="512"/>
      <c r="O918" s="512"/>
      <c r="P918" s="512"/>
      <c r="Q918" s="512"/>
      <c r="R918" s="512"/>
      <c r="S918" s="512"/>
      <c r="T918" s="512"/>
      <c r="U918" s="512"/>
      <c r="V918" s="512"/>
      <c r="W918" s="512"/>
      <c r="X918" s="512"/>
      <c r="Y918" s="512"/>
      <c r="Z918" s="512"/>
      <c r="AA918" s="512"/>
    </row>
    <row r="919">
      <c r="A919" s="512"/>
      <c r="B919" s="512"/>
      <c r="C919" s="512"/>
      <c r="D919" s="512"/>
      <c r="E919" s="512"/>
      <c r="F919" s="512"/>
      <c r="G919" s="512"/>
      <c r="H919" s="512"/>
      <c r="I919" s="512"/>
      <c r="J919" s="512"/>
      <c r="K919" s="512"/>
      <c r="L919" s="512"/>
      <c r="M919" s="512"/>
      <c r="N919" s="512"/>
      <c r="O919" s="512"/>
      <c r="P919" s="512"/>
      <c r="Q919" s="512"/>
      <c r="R919" s="512"/>
      <c r="S919" s="512"/>
      <c r="T919" s="512"/>
      <c r="U919" s="512"/>
      <c r="V919" s="512"/>
      <c r="W919" s="512"/>
      <c r="X919" s="512"/>
      <c r="Y919" s="512"/>
      <c r="Z919" s="512"/>
      <c r="AA919" s="512"/>
    </row>
    <row r="920">
      <c r="A920" s="512"/>
      <c r="B920" s="512"/>
      <c r="C920" s="512"/>
      <c r="D920" s="512"/>
      <c r="E920" s="512"/>
      <c r="F920" s="512"/>
      <c r="G920" s="512"/>
      <c r="H920" s="512"/>
      <c r="I920" s="512"/>
      <c r="J920" s="512"/>
      <c r="K920" s="512"/>
      <c r="L920" s="512"/>
      <c r="M920" s="512"/>
      <c r="N920" s="512"/>
      <c r="O920" s="512"/>
      <c r="P920" s="512"/>
      <c r="Q920" s="512"/>
      <c r="R920" s="512"/>
      <c r="S920" s="512"/>
      <c r="T920" s="512"/>
      <c r="U920" s="512"/>
      <c r="V920" s="512"/>
      <c r="W920" s="512"/>
      <c r="X920" s="512"/>
      <c r="Y920" s="512"/>
      <c r="Z920" s="512"/>
      <c r="AA920" s="512"/>
    </row>
    <row r="921">
      <c r="A921" s="512"/>
      <c r="B921" s="512"/>
      <c r="C921" s="512"/>
      <c r="D921" s="512"/>
      <c r="E921" s="512"/>
      <c r="F921" s="512"/>
      <c r="G921" s="512"/>
      <c r="H921" s="512"/>
      <c r="I921" s="512"/>
      <c r="J921" s="512"/>
      <c r="K921" s="512"/>
      <c r="L921" s="512"/>
      <c r="M921" s="512"/>
      <c r="N921" s="512"/>
      <c r="O921" s="512"/>
      <c r="P921" s="512"/>
      <c r="Q921" s="512"/>
      <c r="R921" s="512"/>
      <c r="S921" s="512"/>
      <c r="T921" s="512"/>
      <c r="U921" s="512"/>
      <c r="V921" s="512"/>
      <c r="W921" s="512"/>
      <c r="X921" s="512"/>
      <c r="Y921" s="512"/>
      <c r="Z921" s="512"/>
      <c r="AA921" s="512"/>
    </row>
    <row r="922">
      <c r="A922" s="512"/>
      <c r="B922" s="512"/>
      <c r="C922" s="512"/>
      <c r="D922" s="512"/>
      <c r="E922" s="512"/>
      <c r="F922" s="512"/>
      <c r="G922" s="512"/>
      <c r="H922" s="512"/>
      <c r="I922" s="512"/>
      <c r="J922" s="512"/>
      <c r="K922" s="512"/>
      <c r="L922" s="512"/>
      <c r="M922" s="512"/>
      <c r="N922" s="512"/>
      <c r="O922" s="512"/>
      <c r="P922" s="512"/>
      <c r="Q922" s="512"/>
      <c r="R922" s="512"/>
      <c r="S922" s="512"/>
      <c r="T922" s="512"/>
      <c r="U922" s="512"/>
      <c r="V922" s="512"/>
      <c r="W922" s="512"/>
      <c r="X922" s="512"/>
      <c r="Y922" s="512"/>
      <c r="Z922" s="512"/>
      <c r="AA922" s="512"/>
    </row>
    <row r="923">
      <c r="A923" s="512"/>
      <c r="B923" s="512"/>
      <c r="C923" s="512"/>
      <c r="D923" s="512"/>
      <c r="E923" s="512"/>
      <c r="F923" s="512"/>
      <c r="G923" s="512"/>
      <c r="H923" s="512"/>
      <c r="I923" s="512"/>
      <c r="J923" s="512"/>
      <c r="K923" s="512"/>
      <c r="L923" s="512"/>
      <c r="M923" s="512"/>
      <c r="N923" s="512"/>
      <c r="O923" s="512"/>
      <c r="P923" s="512"/>
      <c r="Q923" s="512"/>
      <c r="R923" s="512"/>
      <c r="S923" s="512"/>
      <c r="T923" s="512"/>
      <c r="U923" s="512"/>
      <c r="V923" s="512"/>
      <c r="W923" s="512"/>
      <c r="X923" s="512"/>
      <c r="Y923" s="512"/>
      <c r="Z923" s="512"/>
      <c r="AA923" s="512"/>
    </row>
    <row r="924">
      <c r="A924" s="512"/>
      <c r="B924" s="512"/>
      <c r="C924" s="512"/>
      <c r="D924" s="512"/>
      <c r="E924" s="512"/>
      <c r="F924" s="512"/>
      <c r="G924" s="512"/>
      <c r="H924" s="512"/>
      <c r="I924" s="512"/>
      <c r="J924" s="512"/>
      <c r="K924" s="512"/>
      <c r="L924" s="512"/>
      <c r="M924" s="512"/>
      <c r="N924" s="512"/>
      <c r="O924" s="512"/>
      <c r="P924" s="512"/>
      <c r="Q924" s="512"/>
      <c r="R924" s="512"/>
      <c r="S924" s="512"/>
      <c r="T924" s="512"/>
      <c r="U924" s="512"/>
      <c r="V924" s="512"/>
      <c r="W924" s="512"/>
      <c r="X924" s="512"/>
      <c r="Y924" s="512"/>
      <c r="Z924" s="512"/>
      <c r="AA924" s="512"/>
    </row>
    <row r="925">
      <c r="A925" s="512"/>
      <c r="B925" s="512"/>
      <c r="C925" s="512"/>
      <c r="D925" s="512"/>
      <c r="E925" s="512"/>
      <c r="F925" s="512"/>
      <c r="G925" s="512"/>
      <c r="H925" s="512"/>
      <c r="I925" s="512"/>
      <c r="J925" s="512"/>
      <c r="K925" s="512"/>
      <c r="L925" s="512"/>
      <c r="M925" s="512"/>
      <c r="N925" s="512"/>
      <c r="O925" s="512"/>
      <c r="P925" s="512"/>
      <c r="Q925" s="512"/>
      <c r="R925" s="512"/>
      <c r="S925" s="512"/>
      <c r="T925" s="512"/>
      <c r="U925" s="512"/>
      <c r="V925" s="512"/>
      <c r="W925" s="512"/>
      <c r="X925" s="512"/>
      <c r="Y925" s="512"/>
      <c r="Z925" s="512"/>
      <c r="AA925" s="512"/>
    </row>
    <row r="926">
      <c r="A926" s="512"/>
      <c r="B926" s="512"/>
      <c r="C926" s="512"/>
      <c r="D926" s="512"/>
      <c r="E926" s="512"/>
      <c r="F926" s="512"/>
      <c r="G926" s="512"/>
      <c r="H926" s="512"/>
      <c r="I926" s="512"/>
      <c r="J926" s="512"/>
      <c r="K926" s="512"/>
      <c r="L926" s="512"/>
      <c r="M926" s="512"/>
      <c r="N926" s="512"/>
      <c r="O926" s="512"/>
      <c r="P926" s="512"/>
      <c r="Q926" s="512"/>
      <c r="R926" s="512"/>
      <c r="S926" s="512"/>
      <c r="T926" s="512"/>
      <c r="U926" s="512"/>
      <c r="V926" s="512"/>
      <c r="W926" s="512"/>
      <c r="X926" s="512"/>
      <c r="Y926" s="512"/>
      <c r="Z926" s="512"/>
      <c r="AA926" s="512"/>
    </row>
    <row r="927">
      <c r="A927" s="512"/>
      <c r="B927" s="512"/>
      <c r="C927" s="512"/>
      <c r="D927" s="512"/>
      <c r="E927" s="512"/>
      <c r="F927" s="512"/>
      <c r="G927" s="512"/>
      <c r="H927" s="512"/>
      <c r="I927" s="512"/>
      <c r="J927" s="512"/>
      <c r="K927" s="512"/>
      <c r="L927" s="512"/>
      <c r="M927" s="512"/>
      <c r="N927" s="512"/>
      <c r="O927" s="512"/>
      <c r="P927" s="512"/>
      <c r="Q927" s="512"/>
      <c r="R927" s="512"/>
      <c r="S927" s="512"/>
      <c r="T927" s="512"/>
      <c r="U927" s="512"/>
      <c r="V927" s="512"/>
      <c r="W927" s="512"/>
      <c r="X927" s="512"/>
      <c r="Y927" s="512"/>
      <c r="Z927" s="512"/>
      <c r="AA927" s="512"/>
    </row>
    <row r="928">
      <c r="A928" s="512"/>
      <c r="B928" s="512"/>
      <c r="C928" s="512"/>
      <c r="D928" s="512"/>
      <c r="E928" s="512"/>
      <c r="F928" s="512"/>
      <c r="G928" s="512"/>
      <c r="H928" s="512"/>
      <c r="I928" s="512"/>
      <c r="J928" s="512"/>
      <c r="K928" s="512"/>
      <c r="L928" s="512"/>
      <c r="M928" s="512"/>
      <c r="N928" s="512"/>
      <c r="O928" s="512"/>
      <c r="P928" s="512"/>
      <c r="Q928" s="512"/>
      <c r="R928" s="512"/>
      <c r="S928" s="512"/>
      <c r="T928" s="512"/>
      <c r="U928" s="512"/>
      <c r="V928" s="512"/>
      <c r="W928" s="512"/>
      <c r="X928" s="512"/>
      <c r="Y928" s="512"/>
      <c r="Z928" s="512"/>
      <c r="AA928" s="512"/>
    </row>
    <row r="929">
      <c r="A929" s="512"/>
      <c r="B929" s="512"/>
      <c r="C929" s="512"/>
      <c r="D929" s="512"/>
      <c r="E929" s="512"/>
      <c r="F929" s="512"/>
      <c r="G929" s="512"/>
      <c r="H929" s="512"/>
      <c r="I929" s="512"/>
      <c r="J929" s="512"/>
      <c r="K929" s="512"/>
      <c r="L929" s="512"/>
      <c r="M929" s="512"/>
      <c r="N929" s="512"/>
      <c r="O929" s="512"/>
      <c r="P929" s="512"/>
      <c r="Q929" s="512"/>
      <c r="R929" s="512"/>
      <c r="S929" s="512"/>
      <c r="T929" s="512"/>
      <c r="U929" s="512"/>
      <c r="V929" s="512"/>
      <c r="W929" s="512"/>
      <c r="X929" s="512"/>
      <c r="Y929" s="512"/>
      <c r="Z929" s="512"/>
      <c r="AA929" s="512"/>
    </row>
    <row r="930">
      <c r="A930" s="512"/>
      <c r="B930" s="512"/>
      <c r="C930" s="512"/>
      <c r="D930" s="512"/>
      <c r="E930" s="512"/>
      <c r="F930" s="512"/>
      <c r="G930" s="512"/>
      <c r="H930" s="512"/>
      <c r="I930" s="512"/>
      <c r="J930" s="512"/>
      <c r="K930" s="512"/>
      <c r="L930" s="512"/>
      <c r="M930" s="512"/>
      <c r="N930" s="512"/>
      <c r="O930" s="512"/>
      <c r="P930" s="512"/>
      <c r="Q930" s="512"/>
      <c r="R930" s="512"/>
      <c r="S930" s="512"/>
      <c r="T930" s="512"/>
      <c r="U930" s="512"/>
      <c r="V930" s="512"/>
      <c r="W930" s="512"/>
      <c r="X930" s="512"/>
      <c r="Y930" s="512"/>
      <c r="Z930" s="512"/>
      <c r="AA930" s="512"/>
    </row>
    <row r="931">
      <c r="A931" s="512"/>
      <c r="B931" s="512"/>
      <c r="C931" s="512"/>
      <c r="D931" s="512"/>
      <c r="E931" s="512"/>
      <c r="F931" s="512"/>
      <c r="G931" s="512"/>
      <c r="H931" s="512"/>
      <c r="I931" s="512"/>
      <c r="J931" s="512"/>
      <c r="K931" s="512"/>
      <c r="L931" s="512"/>
      <c r="M931" s="512"/>
      <c r="N931" s="512"/>
      <c r="O931" s="512"/>
      <c r="P931" s="512"/>
      <c r="Q931" s="512"/>
      <c r="R931" s="512"/>
      <c r="S931" s="512"/>
      <c r="T931" s="512"/>
      <c r="U931" s="512"/>
      <c r="V931" s="512"/>
      <c r="W931" s="512"/>
      <c r="X931" s="512"/>
      <c r="Y931" s="512"/>
      <c r="Z931" s="512"/>
      <c r="AA931" s="512"/>
    </row>
    <row r="932">
      <c r="A932" s="512"/>
      <c r="B932" s="512"/>
      <c r="C932" s="512"/>
      <c r="D932" s="512"/>
      <c r="E932" s="512"/>
      <c r="F932" s="512"/>
      <c r="G932" s="512"/>
      <c r="H932" s="512"/>
      <c r="I932" s="512"/>
      <c r="J932" s="512"/>
      <c r="K932" s="512"/>
      <c r="L932" s="512"/>
      <c r="M932" s="512"/>
      <c r="N932" s="512"/>
      <c r="O932" s="512"/>
      <c r="P932" s="512"/>
      <c r="Q932" s="512"/>
      <c r="R932" s="512"/>
      <c r="S932" s="512"/>
      <c r="T932" s="512"/>
      <c r="U932" s="512"/>
      <c r="V932" s="512"/>
      <c r="W932" s="512"/>
      <c r="X932" s="512"/>
      <c r="Y932" s="512"/>
      <c r="Z932" s="512"/>
      <c r="AA932" s="512"/>
    </row>
    <row r="933">
      <c r="A933" s="512"/>
      <c r="B933" s="512"/>
      <c r="C933" s="512"/>
      <c r="D933" s="512"/>
      <c r="E933" s="512"/>
      <c r="F933" s="512"/>
      <c r="G933" s="512"/>
      <c r="H933" s="512"/>
      <c r="I933" s="512"/>
      <c r="J933" s="512"/>
      <c r="K933" s="512"/>
      <c r="L933" s="512"/>
      <c r="M933" s="512"/>
      <c r="N933" s="512"/>
      <c r="O933" s="512"/>
      <c r="P933" s="512"/>
      <c r="Q933" s="512"/>
      <c r="R933" s="512"/>
      <c r="S933" s="512"/>
      <c r="T933" s="512"/>
      <c r="U933" s="512"/>
      <c r="V933" s="512"/>
      <c r="W933" s="512"/>
      <c r="X933" s="512"/>
      <c r="Y933" s="512"/>
      <c r="Z933" s="512"/>
      <c r="AA933" s="512"/>
    </row>
    <row r="934">
      <c r="A934" s="512"/>
      <c r="B934" s="512"/>
      <c r="C934" s="512"/>
      <c r="D934" s="512"/>
      <c r="E934" s="512"/>
      <c r="F934" s="512"/>
      <c r="G934" s="512"/>
      <c r="H934" s="512"/>
      <c r="I934" s="512"/>
      <c r="J934" s="512"/>
      <c r="K934" s="512"/>
      <c r="L934" s="512"/>
      <c r="M934" s="512"/>
      <c r="N934" s="512"/>
      <c r="O934" s="512"/>
      <c r="P934" s="512"/>
      <c r="Q934" s="512"/>
      <c r="R934" s="512"/>
      <c r="S934" s="512"/>
      <c r="T934" s="512"/>
      <c r="U934" s="512"/>
      <c r="V934" s="512"/>
      <c r="W934" s="512"/>
      <c r="X934" s="512"/>
      <c r="Y934" s="512"/>
      <c r="Z934" s="512"/>
      <c r="AA934" s="512"/>
    </row>
    <row r="935">
      <c r="A935" s="512"/>
      <c r="B935" s="512"/>
      <c r="C935" s="512"/>
      <c r="D935" s="512"/>
      <c r="E935" s="512"/>
      <c r="F935" s="512"/>
      <c r="G935" s="512"/>
      <c r="H935" s="512"/>
      <c r="I935" s="512"/>
      <c r="J935" s="512"/>
      <c r="K935" s="512"/>
      <c r="L935" s="512"/>
      <c r="M935" s="512"/>
      <c r="N935" s="512"/>
      <c r="O935" s="512"/>
      <c r="P935" s="512"/>
      <c r="Q935" s="512"/>
      <c r="R935" s="512"/>
      <c r="S935" s="512"/>
      <c r="T935" s="512"/>
      <c r="U935" s="512"/>
      <c r="V935" s="512"/>
      <c r="W935" s="512"/>
      <c r="X935" s="512"/>
      <c r="Y935" s="512"/>
      <c r="Z935" s="512"/>
      <c r="AA935" s="512"/>
    </row>
    <row r="936">
      <c r="A936" s="512"/>
      <c r="B936" s="512"/>
      <c r="C936" s="512"/>
      <c r="D936" s="512"/>
      <c r="E936" s="512"/>
      <c r="F936" s="512"/>
      <c r="G936" s="512"/>
      <c r="H936" s="512"/>
      <c r="I936" s="512"/>
      <c r="J936" s="512"/>
      <c r="K936" s="512"/>
      <c r="L936" s="512"/>
      <c r="M936" s="512"/>
      <c r="N936" s="512"/>
      <c r="O936" s="512"/>
      <c r="P936" s="512"/>
      <c r="Q936" s="512"/>
      <c r="R936" s="512"/>
      <c r="S936" s="512"/>
      <c r="T936" s="512"/>
      <c r="U936" s="512"/>
      <c r="V936" s="512"/>
      <c r="W936" s="512"/>
      <c r="X936" s="512"/>
      <c r="Y936" s="512"/>
      <c r="Z936" s="512"/>
      <c r="AA936" s="512"/>
    </row>
    <row r="937">
      <c r="A937" s="512"/>
      <c r="B937" s="512"/>
      <c r="C937" s="512"/>
      <c r="D937" s="512"/>
      <c r="E937" s="512"/>
      <c r="F937" s="512"/>
      <c r="G937" s="512"/>
      <c r="H937" s="512"/>
      <c r="I937" s="512"/>
      <c r="J937" s="512"/>
      <c r="K937" s="512"/>
      <c r="L937" s="512"/>
      <c r="M937" s="512"/>
      <c r="N937" s="512"/>
      <c r="O937" s="512"/>
      <c r="P937" s="512"/>
      <c r="Q937" s="512"/>
      <c r="R937" s="512"/>
      <c r="S937" s="512"/>
      <c r="T937" s="512"/>
      <c r="U937" s="512"/>
      <c r="V937" s="512"/>
      <c r="W937" s="512"/>
      <c r="X937" s="512"/>
      <c r="Y937" s="512"/>
      <c r="Z937" s="512"/>
      <c r="AA937" s="512"/>
    </row>
    <row r="938">
      <c r="A938" s="512"/>
      <c r="B938" s="512"/>
      <c r="C938" s="512"/>
      <c r="D938" s="512"/>
      <c r="E938" s="512"/>
      <c r="F938" s="512"/>
      <c r="G938" s="512"/>
      <c r="H938" s="512"/>
      <c r="I938" s="512"/>
      <c r="J938" s="512"/>
      <c r="K938" s="512"/>
      <c r="L938" s="512"/>
      <c r="M938" s="512"/>
      <c r="N938" s="512"/>
      <c r="O938" s="512"/>
      <c r="P938" s="512"/>
      <c r="Q938" s="512"/>
      <c r="R938" s="512"/>
      <c r="S938" s="512"/>
      <c r="T938" s="512"/>
      <c r="U938" s="512"/>
      <c r="V938" s="512"/>
      <c r="W938" s="512"/>
      <c r="X938" s="512"/>
      <c r="Y938" s="512"/>
      <c r="Z938" s="512"/>
      <c r="AA938" s="512"/>
    </row>
    <row r="939">
      <c r="A939" s="512"/>
      <c r="B939" s="512"/>
      <c r="C939" s="512"/>
      <c r="D939" s="512"/>
      <c r="E939" s="512"/>
      <c r="F939" s="512"/>
      <c r="G939" s="512"/>
      <c r="H939" s="512"/>
      <c r="I939" s="512"/>
      <c r="J939" s="512"/>
      <c r="K939" s="512"/>
      <c r="L939" s="512"/>
      <c r="M939" s="512"/>
      <c r="N939" s="512"/>
      <c r="O939" s="512"/>
      <c r="P939" s="512"/>
      <c r="Q939" s="512"/>
      <c r="R939" s="512"/>
      <c r="S939" s="512"/>
      <c r="T939" s="512"/>
      <c r="U939" s="512"/>
      <c r="V939" s="512"/>
      <c r="W939" s="512"/>
      <c r="X939" s="512"/>
      <c r="Y939" s="512"/>
      <c r="Z939" s="512"/>
      <c r="AA939" s="512"/>
    </row>
    <row r="940">
      <c r="A940" s="512"/>
      <c r="B940" s="512"/>
      <c r="C940" s="512"/>
      <c r="D940" s="512"/>
      <c r="E940" s="512"/>
      <c r="F940" s="512"/>
      <c r="G940" s="512"/>
      <c r="H940" s="512"/>
      <c r="I940" s="512"/>
      <c r="J940" s="512"/>
      <c r="K940" s="512"/>
      <c r="L940" s="512"/>
      <c r="M940" s="512"/>
      <c r="N940" s="512"/>
      <c r="O940" s="512"/>
      <c r="P940" s="512"/>
      <c r="Q940" s="512"/>
      <c r="R940" s="512"/>
      <c r="S940" s="512"/>
      <c r="T940" s="512"/>
      <c r="U940" s="512"/>
      <c r="V940" s="512"/>
      <c r="W940" s="512"/>
      <c r="X940" s="512"/>
      <c r="Y940" s="512"/>
      <c r="Z940" s="512"/>
      <c r="AA940" s="512"/>
    </row>
    <row r="941">
      <c r="A941" s="512"/>
      <c r="B941" s="512"/>
      <c r="C941" s="512"/>
      <c r="D941" s="512"/>
      <c r="E941" s="512"/>
      <c r="F941" s="512"/>
      <c r="G941" s="512"/>
      <c r="H941" s="512"/>
      <c r="I941" s="512"/>
      <c r="J941" s="512"/>
      <c r="K941" s="512"/>
      <c r="L941" s="512"/>
      <c r="M941" s="512"/>
      <c r="N941" s="512"/>
      <c r="O941" s="512"/>
      <c r="P941" s="512"/>
      <c r="Q941" s="512"/>
      <c r="R941" s="512"/>
      <c r="S941" s="512"/>
      <c r="T941" s="512"/>
      <c r="U941" s="512"/>
      <c r="V941" s="512"/>
      <c r="W941" s="512"/>
      <c r="X941" s="512"/>
      <c r="Y941" s="512"/>
      <c r="Z941" s="512"/>
      <c r="AA941" s="512"/>
    </row>
    <row r="942">
      <c r="A942" s="512"/>
      <c r="B942" s="512"/>
      <c r="C942" s="512"/>
      <c r="D942" s="512"/>
      <c r="E942" s="512"/>
      <c r="F942" s="512"/>
      <c r="G942" s="512"/>
      <c r="H942" s="512"/>
      <c r="I942" s="512"/>
      <c r="J942" s="512"/>
      <c r="K942" s="512"/>
      <c r="L942" s="512"/>
      <c r="M942" s="512"/>
      <c r="N942" s="512"/>
      <c r="O942" s="512"/>
      <c r="P942" s="512"/>
      <c r="Q942" s="512"/>
      <c r="R942" s="512"/>
      <c r="S942" s="512"/>
      <c r="T942" s="512"/>
      <c r="U942" s="512"/>
      <c r="V942" s="512"/>
      <c r="W942" s="512"/>
      <c r="X942" s="512"/>
      <c r="Y942" s="512"/>
      <c r="Z942" s="512"/>
      <c r="AA942" s="512"/>
    </row>
    <row r="943">
      <c r="A943" s="512"/>
      <c r="B943" s="512"/>
      <c r="C943" s="512"/>
      <c r="D943" s="512"/>
      <c r="E943" s="512"/>
      <c r="F943" s="512"/>
      <c r="G943" s="512"/>
      <c r="H943" s="512"/>
      <c r="I943" s="512"/>
      <c r="J943" s="512"/>
      <c r="K943" s="512"/>
      <c r="L943" s="512"/>
      <c r="M943" s="512"/>
      <c r="N943" s="512"/>
      <c r="O943" s="512"/>
      <c r="P943" s="512"/>
      <c r="Q943" s="512"/>
      <c r="R943" s="512"/>
      <c r="S943" s="512"/>
      <c r="T943" s="512"/>
      <c r="U943" s="512"/>
      <c r="V943" s="512"/>
      <c r="W943" s="512"/>
      <c r="X943" s="512"/>
      <c r="Y943" s="512"/>
      <c r="Z943" s="512"/>
      <c r="AA943" s="512"/>
    </row>
    <row r="944">
      <c r="A944" s="512"/>
      <c r="B944" s="512"/>
      <c r="C944" s="512"/>
      <c r="D944" s="512"/>
      <c r="E944" s="512"/>
      <c r="F944" s="512"/>
      <c r="G944" s="512"/>
      <c r="H944" s="512"/>
      <c r="I944" s="512"/>
      <c r="J944" s="512"/>
      <c r="K944" s="512"/>
      <c r="L944" s="512"/>
      <c r="M944" s="512"/>
      <c r="N944" s="512"/>
      <c r="O944" s="512"/>
      <c r="P944" s="512"/>
      <c r="Q944" s="512"/>
      <c r="R944" s="512"/>
      <c r="S944" s="512"/>
      <c r="T944" s="512"/>
      <c r="U944" s="512"/>
      <c r="V944" s="512"/>
      <c r="W944" s="512"/>
      <c r="X944" s="512"/>
      <c r="Y944" s="512"/>
      <c r="Z944" s="512"/>
      <c r="AA944" s="512"/>
    </row>
    <row r="945">
      <c r="A945" s="512"/>
      <c r="B945" s="512"/>
      <c r="C945" s="512"/>
      <c r="D945" s="512"/>
      <c r="E945" s="512"/>
      <c r="F945" s="512"/>
      <c r="G945" s="512"/>
      <c r="H945" s="512"/>
      <c r="I945" s="512"/>
      <c r="J945" s="512"/>
      <c r="K945" s="512"/>
      <c r="L945" s="512"/>
      <c r="M945" s="512"/>
      <c r="N945" s="512"/>
      <c r="O945" s="512"/>
      <c r="P945" s="512"/>
      <c r="Q945" s="512"/>
      <c r="R945" s="512"/>
      <c r="S945" s="512"/>
      <c r="T945" s="512"/>
      <c r="U945" s="512"/>
      <c r="V945" s="512"/>
      <c r="W945" s="512"/>
      <c r="X945" s="512"/>
      <c r="Y945" s="512"/>
      <c r="Z945" s="512"/>
      <c r="AA945" s="512"/>
    </row>
    <row r="946">
      <c r="A946" s="512"/>
      <c r="B946" s="512"/>
      <c r="C946" s="512"/>
      <c r="D946" s="512"/>
      <c r="E946" s="512"/>
      <c r="F946" s="512"/>
      <c r="G946" s="512"/>
      <c r="H946" s="512"/>
      <c r="I946" s="512"/>
      <c r="J946" s="512"/>
      <c r="K946" s="512"/>
      <c r="L946" s="512"/>
      <c r="M946" s="512"/>
      <c r="N946" s="512"/>
      <c r="O946" s="512"/>
      <c r="P946" s="512"/>
      <c r="Q946" s="512"/>
      <c r="R946" s="512"/>
      <c r="S946" s="512"/>
      <c r="T946" s="512"/>
      <c r="U946" s="512"/>
      <c r="V946" s="512"/>
      <c r="W946" s="512"/>
      <c r="X946" s="512"/>
      <c r="Y946" s="512"/>
      <c r="Z946" s="512"/>
      <c r="AA946" s="512"/>
    </row>
    <row r="947">
      <c r="A947" s="512"/>
      <c r="B947" s="512"/>
      <c r="C947" s="512"/>
      <c r="D947" s="512"/>
      <c r="E947" s="512"/>
      <c r="F947" s="512"/>
      <c r="G947" s="512"/>
      <c r="H947" s="512"/>
      <c r="I947" s="512"/>
      <c r="J947" s="512"/>
      <c r="K947" s="512"/>
      <c r="L947" s="512"/>
      <c r="M947" s="512"/>
      <c r="N947" s="512"/>
      <c r="O947" s="512"/>
      <c r="P947" s="512"/>
      <c r="Q947" s="512"/>
      <c r="R947" s="512"/>
      <c r="S947" s="512"/>
      <c r="T947" s="512"/>
      <c r="U947" s="512"/>
      <c r="V947" s="512"/>
      <c r="W947" s="512"/>
      <c r="X947" s="512"/>
      <c r="Y947" s="512"/>
      <c r="Z947" s="512"/>
      <c r="AA947" s="512"/>
    </row>
    <row r="948">
      <c r="A948" s="512"/>
      <c r="B948" s="512"/>
      <c r="C948" s="512"/>
      <c r="D948" s="512"/>
      <c r="E948" s="512"/>
      <c r="F948" s="512"/>
      <c r="G948" s="512"/>
      <c r="H948" s="512"/>
      <c r="I948" s="512"/>
      <c r="J948" s="512"/>
      <c r="K948" s="512"/>
      <c r="L948" s="512"/>
      <c r="M948" s="512"/>
      <c r="N948" s="512"/>
      <c r="O948" s="512"/>
      <c r="P948" s="512"/>
      <c r="Q948" s="512"/>
      <c r="R948" s="512"/>
      <c r="S948" s="512"/>
      <c r="T948" s="512"/>
      <c r="U948" s="512"/>
      <c r="V948" s="512"/>
      <c r="W948" s="512"/>
      <c r="X948" s="512"/>
      <c r="Y948" s="512"/>
      <c r="Z948" s="512"/>
      <c r="AA948" s="512"/>
    </row>
    <row r="949">
      <c r="A949" s="512"/>
      <c r="B949" s="512"/>
      <c r="C949" s="512"/>
      <c r="D949" s="512"/>
      <c r="E949" s="512"/>
      <c r="F949" s="512"/>
      <c r="G949" s="512"/>
      <c r="H949" s="512"/>
      <c r="I949" s="512"/>
      <c r="J949" s="512"/>
      <c r="K949" s="512"/>
      <c r="L949" s="512"/>
      <c r="M949" s="512"/>
      <c r="N949" s="512"/>
      <c r="O949" s="512"/>
      <c r="P949" s="512"/>
      <c r="Q949" s="512"/>
      <c r="R949" s="512"/>
      <c r="S949" s="512"/>
      <c r="T949" s="512"/>
      <c r="U949" s="512"/>
      <c r="V949" s="512"/>
      <c r="W949" s="512"/>
      <c r="X949" s="512"/>
      <c r="Y949" s="512"/>
      <c r="Z949" s="512"/>
      <c r="AA949" s="512"/>
    </row>
    <row r="950">
      <c r="A950" s="512"/>
      <c r="B950" s="512"/>
      <c r="C950" s="512"/>
      <c r="D950" s="512"/>
      <c r="E950" s="512"/>
      <c r="F950" s="512"/>
      <c r="G950" s="512"/>
      <c r="H950" s="512"/>
      <c r="I950" s="512"/>
      <c r="J950" s="512"/>
      <c r="K950" s="512"/>
      <c r="L950" s="512"/>
      <c r="M950" s="512"/>
      <c r="N950" s="512"/>
      <c r="O950" s="512"/>
      <c r="P950" s="512"/>
      <c r="Q950" s="512"/>
      <c r="R950" s="512"/>
      <c r="S950" s="512"/>
      <c r="T950" s="512"/>
      <c r="U950" s="512"/>
      <c r="V950" s="512"/>
      <c r="W950" s="512"/>
      <c r="X950" s="512"/>
      <c r="Y950" s="512"/>
      <c r="Z950" s="512"/>
      <c r="AA950" s="512"/>
    </row>
    <row r="951">
      <c r="A951" s="512"/>
      <c r="B951" s="512"/>
      <c r="C951" s="512"/>
      <c r="D951" s="512"/>
      <c r="E951" s="512"/>
      <c r="F951" s="512"/>
      <c r="G951" s="512"/>
      <c r="H951" s="512"/>
      <c r="I951" s="512"/>
      <c r="J951" s="512"/>
      <c r="K951" s="512"/>
      <c r="L951" s="512"/>
      <c r="M951" s="512"/>
      <c r="N951" s="512"/>
      <c r="O951" s="512"/>
      <c r="P951" s="512"/>
      <c r="Q951" s="512"/>
      <c r="R951" s="512"/>
      <c r="S951" s="512"/>
      <c r="T951" s="512"/>
      <c r="U951" s="512"/>
      <c r="V951" s="512"/>
      <c r="W951" s="512"/>
      <c r="X951" s="512"/>
      <c r="Y951" s="512"/>
      <c r="Z951" s="512"/>
      <c r="AA951" s="512"/>
    </row>
    <row r="952">
      <c r="A952" s="512"/>
      <c r="B952" s="512"/>
      <c r="C952" s="512"/>
      <c r="D952" s="512"/>
      <c r="E952" s="512"/>
      <c r="F952" s="512"/>
      <c r="G952" s="512"/>
      <c r="H952" s="512"/>
      <c r="I952" s="512"/>
      <c r="J952" s="512"/>
      <c r="K952" s="512"/>
      <c r="L952" s="512"/>
      <c r="M952" s="512"/>
      <c r="N952" s="512"/>
      <c r="O952" s="512"/>
      <c r="P952" s="512"/>
      <c r="Q952" s="512"/>
      <c r="R952" s="512"/>
      <c r="S952" s="512"/>
      <c r="T952" s="512"/>
      <c r="U952" s="512"/>
      <c r="V952" s="512"/>
      <c r="W952" s="512"/>
      <c r="X952" s="512"/>
      <c r="Y952" s="512"/>
      <c r="Z952" s="512"/>
      <c r="AA952" s="512"/>
    </row>
    <row r="953">
      <c r="A953" s="512"/>
      <c r="B953" s="512"/>
      <c r="C953" s="512"/>
      <c r="D953" s="512"/>
      <c r="E953" s="512"/>
      <c r="F953" s="512"/>
      <c r="G953" s="512"/>
      <c r="H953" s="512"/>
      <c r="I953" s="512"/>
      <c r="J953" s="512"/>
      <c r="K953" s="512"/>
      <c r="L953" s="512"/>
      <c r="M953" s="512"/>
      <c r="N953" s="512"/>
      <c r="O953" s="512"/>
      <c r="P953" s="512"/>
      <c r="Q953" s="512"/>
      <c r="R953" s="512"/>
      <c r="S953" s="512"/>
      <c r="T953" s="512"/>
      <c r="U953" s="512"/>
      <c r="V953" s="512"/>
      <c r="W953" s="512"/>
      <c r="X953" s="512"/>
      <c r="Y953" s="512"/>
      <c r="Z953" s="512"/>
      <c r="AA953" s="512"/>
    </row>
    <row r="954">
      <c r="A954" s="512"/>
      <c r="B954" s="512"/>
      <c r="C954" s="512"/>
      <c r="D954" s="512"/>
      <c r="E954" s="512"/>
      <c r="F954" s="512"/>
      <c r="G954" s="512"/>
      <c r="H954" s="512"/>
      <c r="I954" s="512"/>
      <c r="J954" s="512"/>
      <c r="K954" s="512"/>
      <c r="L954" s="512"/>
      <c r="M954" s="512"/>
      <c r="N954" s="512"/>
      <c r="O954" s="512"/>
      <c r="P954" s="512"/>
      <c r="Q954" s="512"/>
      <c r="R954" s="512"/>
      <c r="S954" s="512"/>
      <c r="T954" s="512"/>
      <c r="U954" s="512"/>
      <c r="V954" s="512"/>
      <c r="W954" s="512"/>
      <c r="X954" s="512"/>
      <c r="Y954" s="512"/>
      <c r="Z954" s="512"/>
      <c r="AA954" s="512"/>
    </row>
    <row r="955">
      <c r="A955" s="512"/>
      <c r="B955" s="512"/>
      <c r="C955" s="512"/>
      <c r="D955" s="512"/>
      <c r="E955" s="512"/>
      <c r="F955" s="512"/>
      <c r="G955" s="512"/>
      <c r="H955" s="512"/>
      <c r="I955" s="512"/>
      <c r="J955" s="512"/>
      <c r="K955" s="512"/>
      <c r="L955" s="512"/>
      <c r="M955" s="512"/>
      <c r="N955" s="512"/>
      <c r="O955" s="512"/>
      <c r="P955" s="512"/>
      <c r="Q955" s="512"/>
      <c r="R955" s="512"/>
      <c r="S955" s="512"/>
      <c r="T955" s="512"/>
      <c r="U955" s="512"/>
      <c r="V955" s="512"/>
      <c r="W955" s="512"/>
      <c r="X955" s="512"/>
      <c r="Y955" s="512"/>
      <c r="Z955" s="512"/>
      <c r="AA955" s="512"/>
    </row>
    <row r="956">
      <c r="A956" s="512"/>
      <c r="B956" s="512"/>
      <c r="C956" s="512"/>
      <c r="D956" s="512"/>
      <c r="E956" s="512"/>
      <c r="F956" s="512"/>
      <c r="G956" s="512"/>
      <c r="H956" s="512"/>
      <c r="I956" s="512"/>
      <c r="J956" s="512"/>
      <c r="K956" s="512"/>
      <c r="L956" s="512"/>
      <c r="M956" s="512"/>
      <c r="N956" s="512"/>
      <c r="O956" s="512"/>
      <c r="P956" s="512"/>
      <c r="Q956" s="512"/>
      <c r="R956" s="512"/>
      <c r="S956" s="512"/>
      <c r="T956" s="512"/>
      <c r="U956" s="512"/>
      <c r="V956" s="512"/>
      <c r="W956" s="512"/>
      <c r="X956" s="512"/>
      <c r="Y956" s="512"/>
      <c r="Z956" s="512"/>
      <c r="AA956" s="512"/>
    </row>
    <row r="957">
      <c r="A957" s="512"/>
      <c r="B957" s="512"/>
      <c r="C957" s="512"/>
      <c r="D957" s="512"/>
      <c r="E957" s="512"/>
      <c r="F957" s="512"/>
      <c r="G957" s="512"/>
      <c r="H957" s="512"/>
      <c r="I957" s="512"/>
      <c r="J957" s="512"/>
      <c r="K957" s="512"/>
      <c r="L957" s="512"/>
      <c r="M957" s="512"/>
      <c r="N957" s="512"/>
      <c r="O957" s="512"/>
      <c r="P957" s="512"/>
      <c r="Q957" s="512"/>
      <c r="R957" s="512"/>
      <c r="S957" s="512"/>
      <c r="T957" s="512"/>
      <c r="U957" s="512"/>
      <c r="V957" s="512"/>
      <c r="W957" s="512"/>
      <c r="X957" s="512"/>
      <c r="Y957" s="512"/>
      <c r="Z957" s="512"/>
      <c r="AA957" s="512"/>
    </row>
    <row r="958">
      <c r="A958" s="512"/>
      <c r="B958" s="512"/>
      <c r="C958" s="512"/>
      <c r="D958" s="512"/>
      <c r="E958" s="512"/>
      <c r="F958" s="512"/>
      <c r="G958" s="512"/>
      <c r="H958" s="512"/>
      <c r="I958" s="512"/>
      <c r="J958" s="512"/>
      <c r="K958" s="512"/>
      <c r="L958" s="512"/>
      <c r="M958" s="512"/>
      <c r="N958" s="512"/>
      <c r="O958" s="512"/>
      <c r="P958" s="512"/>
      <c r="Q958" s="512"/>
      <c r="R958" s="512"/>
      <c r="S958" s="512"/>
      <c r="T958" s="512"/>
      <c r="U958" s="512"/>
      <c r="V958" s="512"/>
      <c r="W958" s="512"/>
      <c r="X958" s="512"/>
      <c r="Y958" s="512"/>
      <c r="Z958" s="512"/>
      <c r="AA958" s="512"/>
    </row>
    <row r="959">
      <c r="A959" s="512"/>
      <c r="B959" s="512"/>
      <c r="C959" s="512"/>
      <c r="D959" s="512"/>
      <c r="E959" s="512"/>
      <c r="F959" s="512"/>
      <c r="G959" s="512"/>
      <c r="H959" s="512"/>
      <c r="I959" s="512"/>
      <c r="J959" s="512"/>
      <c r="K959" s="512"/>
      <c r="L959" s="512"/>
      <c r="M959" s="512"/>
      <c r="N959" s="512"/>
      <c r="O959" s="512"/>
      <c r="P959" s="512"/>
      <c r="Q959" s="512"/>
      <c r="R959" s="512"/>
      <c r="S959" s="512"/>
      <c r="T959" s="512"/>
      <c r="U959" s="512"/>
      <c r="V959" s="512"/>
      <c r="W959" s="512"/>
      <c r="X959" s="512"/>
      <c r="Y959" s="512"/>
      <c r="Z959" s="512"/>
      <c r="AA959" s="512"/>
    </row>
    <row r="960">
      <c r="A960" s="512"/>
      <c r="B960" s="512"/>
      <c r="C960" s="512"/>
      <c r="D960" s="512"/>
      <c r="E960" s="512"/>
      <c r="F960" s="512"/>
      <c r="G960" s="512"/>
      <c r="H960" s="512"/>
      <c r="I960" s="512"/>
      <c r="J960" s="512"/>
      <c r="K960" s="512"/>
      <c r="L960" s="512"/>
      <c r="M960" s="512"/>
      <c r="N960" s="512"/>
      <c r="O960" s="512"/>
      <c r="P960" s="512"/>
      <c r="Q960" s="512"/>
      <c r="R960" s="512"/>
      <c r="S960" s="512"/>
      <c r="T960" s="512"/>
      <c r="U960" s="512"/>
      <c r="V960" s="512"/>
      <c r="W960" s="512"/>
      <c r="X960" s="512"/>
      <c r="Y960" s="512"/>
      <c r="Z960" s="512"/>
      <c r="AA960" s="512"/>
    </row>
    <row r="961">
      <c r="A961" s="512"/>
      <c r="B961" s="512"/>
      <c r="C961" s="512"/>
      <c r="D961" s="512"/>
      <c r="E961" s="512"/>
      <c r="F961" s="512"/>
      <c r="G961" s="512"/>
      <c r="H961" s="512"/>
      <c r="I961" s="512"/>
      <c r="J961" s="512"/>
      <c r="K961" s="512"/>
      <c r="L961" s="512"/>
      <c r="M961" s="512"/>
      <c r="N961" s="512"/>
      <c r="O961" s="512"/>
      <c r="P961" s="512"/>
      <c r="Q961" s="512"/>
      <c r="R961" s="512"/>
      <c r="S961" s="512"/>
      <c r="T961" s="512"/>
      <c r="U961" s="512"/>
      <c r="V961" s="512"/>
      <c r="W961" s="512"/>
      <c r="X961" s="512"/>
      <c r="Y961" s="512"/>
      <c r="Z961" s="512"/>
      <c r="AA961" s="512"/>
    </row>
    <row r="962">
      <c r="A962" s="512"/>
      <c r="B962" s="512"/>
      <c r="C962" s="512"/>
      <c r="D962" s="512"/>
      <c r="E962" s="512"/>
      <c r="F962" s="512"/>
      <c r="G962" s="512"/>
      <c r="H962" s="512"/>
      <c r="I962" s="512"/>
      <c r="J962" s="512"/>
      <c r="K962" s="512"/>
      <c r="L962" s="512"/>
      <c r="M962" s="512"/>
      <c r="N962" s="512"/>
      <c r="O962" s="512"/>
      <c r="P962" s="512"/>
      <c r="Q962" s="512"/>
      <c r="R962" s="512"/>
      <c r="S962" s="512"/>
      <c r="T962" s="512"/>
      <c r="U962" s="512"/>
      <c r="V962" s="512"/>
      <c r="W962" s="512"/>
      <c r="X962" s="512"/>
      <c r="Y962" s="512"/>
      <c r="Z962" s="512"/>
      <c r="AA962" s="512"/>
    </row>
    <row r="963">
      <c r="A963" s="512"/>
      <c r="B963" s="512"/>
      <c r="C963" s="512"/>
      <c r="D963" s="512"/>
      <c r="E963" s="512"/>
      <c r="F963" s="512"/>
      <c r="G963" s="512"/>
      <c r="H963" s="512"/>
      <c r="I963" s="512"/>
      <c r="J963" s="512"/>
      <c r="K963" s="512"/>
      <c r="L963" s="512"/>
      <c r="M963" s="512"/>
      <c r="N963" s="512"/>
      <c r="O963" s="512"/>
      <c r="P963" s="512"/>
      <c r="Q963" s="512"/>
      <c r="R963" s="512"/>
      <c r="S963" s="512"/>
      <c r="T963" s="512"/>
      <c r="U963" s="512"/>
      <c r="V963" s="512"/>
      <c r="W963" s="512"/>
      <c r="X963" s="512"/>
      <c r="Y963" s="512"/>
      <c r="Z963" s="512"/>
      <c r="AA963" s="512"/>
    </row>
    <row r="964">
      <c r="A964" s="512"/>
      <c r="B964" s="512"/>
      <c r="C964" s="512"/>
      <c r="D964" s="512"/>
      <c r="E964" s="512"/>
      <c r="F964" s="512"/>
      <c r="G964" s="512"/>
      <c r="H964" s="512"/>
      <c r="I964" s="512"/>
      <c r="J964" s="512"/>
      <c r="K964" s="512"/>
      <c r="L964" s="512"/>
      <c r="M964" s="512"/>
      <c r="N964" s="512"/>
      <c r="O964" s="512"/>
      <c r="P964" s="512"/>
      <c r="Q964" s="512"/>
      <c r="R964" s="512"/>
      <c r="S964" s="512"/>
      <c r="T964" s="512"/>
      <c r="U964" s="512"/>
      <c r="V964" s="512"/>
      <c r="W964" s="512"/>
      <c r="X964" s="512"/>
      <c r="Y964" s="512"/>
      <c r="Z964" s="512"/>
      <c r="AA964" s="512"/>
    </row>
    <row r="965">
      <c r="A965" s="512"/>
      <c r="B965" s="512"/>
      <c r="C965" s="512"/>
      <c r="D965" s="512"/>
      <c r="E965" s="512"/>
      <c r="F965" s="512"/>
      <c r="G965" s="512"/>
      <c r="H965" s="512"/>
      <c r="I965" s="512"/>
      <c r="J965" s="512"/>
      <c r="K965" s="512"/>
      <c r="L965" s="512"/>
      <c r="M965" s="512"/>
      <c r="N965" s="512"/>
      <c r="O965" s="512"/>
      <c r="P965" s="512"/>
      <c r="Q965" s="512"/>
      <c r="R965" s="512"/>
      <c r="S965" s="512"/>
      <c r="T965" s="512"/>
      <c r="U965" s="512"/>
      <c r="V965" s="512"/>
      <c r="W965" s="512"/>
      <c r="X965" s="512"/>
      <c r="Y965" s="512"/>
      <c r="Z965" s="512"/>
      <c r="AA965" s="512"/>
    </row>
    <row r="966">
      <c r="A966" s="512"/>
      <c r="B966" s="512"/>
      <c r="C966" s="512"/>
      <c r="D966" s="512"/>
      <c r="E966" s="512"/>
      <c r="F966" s="512"/>
      <c r="G966" s="512"/>
      <c r="H966" s="512"/>
      <c r="I966" s="512"/>
      <c r="J966" s="512"/>
      <c r="K966" s="512"/>
      <c r="L966" s="512"/>
      <c r="M966" s="512"/>
      <c r="N966" s="512"/>
      <c r="O966" s="512"/>
      <c r="P966" s="512"/>
      <c r="Q966" s="512"/>
      <c r="R966" s="512"/>
      <c r="S966" s="512"/>
      <c r="T966" s="512"/>
      <c r="U966" s="512"/>
      <c r="V966" s="512"/>
      <c r="W966" s="512"/>
      <c r="X966" s="512"/>
      <c r="Y966" s="512"/>
      <c r="Z966" s="512"/>
      <c r="AA966" s="512"/>
    </row>
    <row r="967">
      <c r="A967" s="512"/>
      <c r="B967" s="512"/>
      <c r="C967" s="512"/>
      <c r="D967" s="512"/>
      <c r="E967" s="512"/>
      <c r="F967" s="512"/>
      <c r="G967" s="512"/>
      <c r="H967" s="512"/>
      <c r="I967" s="512"/>
      <c r="J967" s="512"/>
      <c r="K967" s="512"/>
      <c r="L967" s="512"/>
      <c r="M967" s="512"/>
      <c r="N967" s="512"/>
      <c r="O967" s="512"/>
      <c r="P967" s="512"/>
      <c r="Q967" s="512"/>
      <c r="R967" s="512"/>
      <c r="S967" s="512"/>
      <c r="T967" s="512"/>
      <c r="U967" s="512"/>
      <c r="V967" s="512"/>
      <c r="W967" s="512"/>
      <c r="X967" s="512"/>
      <c r="Y967" s="512"/>
      <c r="Z967" s="512"/>
      <c r="AA967" s="512"/>
    </row>
    <row r="968">
      <c r="A968" s="512"/>
      <c r="B968" s="512"/>
      <c r="C968" s="512"/>
      <c r="D968" s="512"/>
      <c r="E968" s="512"/>
      <c r="F968" s="512"/>
      <c r="G968" s="512"/>
      <c r="H968" s="512"/>
      <c r="I968" s="512"/>
      <c r="J968" s="512"/>
      <c r="K968" s="512"/>
      <c r="L968" s="512"/>
      <c r="M968" s="512"/>
      <c r="N968" s="512"/>
      <c r="O968" s="512"/>
      <c r="P968" s="512"/>
      <c r="Q968" s="512"/>
      <c r="R968" s="512"/>
      <c r="S968" s="512"/>
      <c r="T968" s="512"/>
      <c r="U968" s="512"/>
      <c r="V968" s="512"/>
      <c r="W968" s="512"/>
      <c r="X968" s="512"/>
      <c r="Y968" s="512"/>
      <c r="Z968" s="512"/>
      <c r="AA968" s="512"/>
    </row>
    <row r="969">
      <c r="A969" s="512"/>
      <c r="B969" s="512"/>
      <c r="C969" s="512"/>
      <c r="D969" s="512"/>
      <c r="E969" s="512"/>
      <c r="F969" s="512"/>
      <c r="G969" s="512"/>
      <c r="H969" s="512"/>
      <c r="I969" s="512"/>
      <c r="J969" s="512"/>
      <c r="K969" s="512"/>
      <c r="L969" s="512"/>
      <c r="M969" s="512"/>
      <c r="N969" s="512"/>
      <c r="O969" s="512"/>
      <c r="P969" s="512"/>
      <c r="Q969" s="512"/>
      <c r="R969" s="512"/>
      <c r="S969" s="512"/>
      <c r="T969" s="512"/>
      <c r="U969" s="512"/>
      <c r="V969" s="512"/>
      <c r="W969" s="512"/>
      <c r="X969" s="512"/>
      <c r="Y969" s="512"/>
      <c r="Z969" s="512"/>
      <c r="AA969" s="512"/>
    </row>
    <row r="970">
      <c r="A970" s="512"/>
      <c r="B970" s="512"/>
      <c r="C970" s="512"/>
      <c r="D970" s="512"/>
      <c r="E970" s="512"/>
      <c r="F970" s="512"/>
      <c r="G970" s="512"/>
      <c r="H970" s="512"/>
      <c r="I970" s="512"/>
      <c r="J970" s="512"/>
      <c r="K970" s="512"/>
      <c r="L970" s="512"/>
      <c r="M970" s="512"/>
      <c r="N970" s="512"/>
      <c r="O970" s="512"/>
      <c r="P970" s="512"/>
      <c r="Q970" s="512"/>
      <c r="R970" s="512"/>
      <c r="S970" s="512"/>
      <c r="T970" s="512"/>
      <c r="U970" s="512"/>
      <c r="V970" s="512"/>
      <c r="W970" s="512"/>
      <c r="X970" s="512"/>
      <c r="Y970" s="512"/>
      <c r="Z970" s="512"/>
      <c r="AA970" s="512"/>
    </row>
    <row r="971">
      <c r="A971" s="512"/>
      <c r="B971" s="512"/>
      <c r="C971" s="512"/>
      <c r="D971" s="512"/>
      <c r="E971" s="512"/>
      <c r="F971" s="512"/>
      <c r="G971" s="512"/>
      <c r="H971" s="512"/>
      <c r="I971" s="512"/>
      <c r="J971" s="512"/>
      <c r="K971" s="512"/>
      <c r="L971" s="512"/>
      <c r="M971" s="512"/>
      <c r="N971" s="512"/>
      <c r="O971" s="512"/>
      <c r="P971" s="512"/>
      <c r="Q971" s="512"/>
      <c r="R971" s="512"/>
      <c r="S971" s="512"/>
      <c r="T971" s="512"/>
      <c r="U971" s="512"/>
      <c r="V971" s="512"/>
      <c r="W971" s="512"/>
      <c r="X971" s="512"/>
      <c r="Y971" s="512"/>
      <c r="Z971" s="512"/>
      <c r="AA971" s="512"/>
    </row>
    <row r="972">
      <c r="A972" s="512"/>
      <c r="B972" s="512"/>
      <c r="C972" s="512"/>
      <c r="D972" s="512"/>
      <c r="E972" s="512"/>
      <c r="F972" s="512"/>
      <c r="G972" s="512"/>
      <c r="H972" s="512"/>
      <c r="I972" s="512"/>
      <c r="J972" s="512"/>
      <c r="K972" s="512"/>
      <c r="L972" s="512"/>
      <c r="M972" s="512"/>
      <c r="N972" s="512"/>
      <c r="O972" s="512"/>
      <c r="P972" s="512"/>
      <c r="Q972" s="512"/>
      <c r="R972" s="512"/>
      <c r="S972" s="512"/>
      <c r="T972" s="512"/>
      <c r="U972" s="512"/>
      <c r="V972" s="512"/>
      <c r="W972" s="512"/>
      <c r="X972" s="512"/>
      <c r="Y972" s="512"/>
      <c r="Z972" s="512"/>
      <c r="AA972" s="512"/>
    </row>
    <row r="973">
      <c r="A973" s="512"/>
      <c r="B973" s="512"/>
      <c r="C973" s="512"/>
      <c r="D973" s="512"/>
      <c r="E973" s="512"/>
      <c r="F973" s="512"/>
      <c r="G973" s="512"/>
      <c r="H973" s="512"/>
      <c r="I973" s="512"/>
      <c r="J973" s="512"/>
      <c r="K973" s="512"/>
      <c r="L973" s="512"/>
      <c r="M973" s="512"/>
      <c r="N973" s="512"/>
      <c r="O973" s="512"/>
      <c r="P973" s="512"/>
      <c r="Q973" s="512"/>
      <c r="R973" s="512"/>
      <c r="S973" s="512"/>
      <c r="T973" s="512"/>
      <c r="U973" s="512"/>
      <c r="V973" s="512"/>
      <c r="W973" s="512"/>
      <c r="X973" s="512"/>
      <c r="Y973" s="512"/>
      <c r="Z973" s="512"/>
      <c r="AA973" s="512"/>
    </row>
    <row r="974">
      <c r="A974" s="512"/>
      <c r="B974" s="512"/>
      <c r="C974" s="512"/>
      <c r="D974" s="512"/>
      <c r="E974" s="512"/>
      <c r="F974" s="512"/>
      <c r="G974" s="512"/>
      <c r="H974" s="512"/>
      <c r="I974" s="512"/>
      <c r="J974" s="512"/>
      <c r="K974" s="512"/>
      <c r="L974" s="512"/>
      <c r="M974" s="512"/>
      <c r="N974" s="512"/>
      <c r="O974" s="512"/>
      <c r="P974" s="512"/>
      <c r="Q974" s="512"/>
      <c r="R974" s="512"/>
      <c r="S974" s="512"/>
      <c r="T974" s="512"/>
      <c r="U974" s="512"/>
      <c r="V974" s="512"/>
      <c r="W974" s="512"/>
      <c r="X974" s="512"/>
      <c r="Y974" s="512"/>
      <c r="Z974" s="512"/>
      <c r="AA974" s="512"/>
    </row>
    <row r="975">
      <c r="A975" s="512"/>
      <c r="B975" s="512"/>
      <c r="C975" s="512"/>
      <c r="D975" s="512"/>
      <c r="E975" s="512"/>
      <c r="F975" s="512"/>
      <c r="G975" s="512"/>
      <c r="H975" s="512"/>
      <c r="I975" s="512"/>
      <c r="J975" s="512"/>
      <c r="K975" s="512"/>
      <c r="L975" s="512"/>
      <c r="M975" s="512"/>
      <c r="N975" s="512"/>
      <c r="O975" s="512"/>
      <c r="P975" s="512"/>
      <c r="Q975" s="512"/>
      <c r="R975" s="512"/>
      <c r="S975" s="512"/>
      <c r="T975" s="512"/>
      <c r="U975" s="512"/>
      <c r="V975" s="512"/>
      <c r="W975" s="512"/>
      <c r="X975" s="512"/>
      <c r="Y975" s="512"/>
      <c r="Z975" s="512"/>
      <c r="AA975" s="512"/>
    </row>
    <row r="976">
      <c r="A976" s="512"/>
      <c r="B976" s="512"/>
      <c r="C976" s="512"/>
      <c r="D976" s="512"/>
      <c r="E976" s="512"/>
      <c r="F976" s="512"/>
      <c r="G976" s="512"/>
      <c r="H976" s="512"/>
      <c r="I976" s="512"/>
      <c r="J976" s="512"/>
      <c r="K976" s="512"/>
      <c r="L976" s="512"/>
      <c r="M976" s="512"/>
      <c r="N976" s="512"/>
      <c r="O976" s="512"/>
      <c r="P976" s="512"/>
      <c r="Q976" s="512"/>
      <c r="R976" s="512"/>
      <c r="S976" s="512"/>
      <c r="T976" s="512"/>
      <c r="U976" s="512"/>
      <c r="V976" s="512"/>
      <c r="W976" s="512"/>
      <c r="X976" s="512"/>
      <c r="Y976" s="512"/>
      <c r="Z976" s="512"/>
      <c r="AA976" s="512"/>
    </row>
    <row r="977">
      <c r="A977" s="512"/>
      <c r="B977" s="512"/>
      <c r="C977" s="512"/>
      <c r="D977" s="512"/>
      <c r="E977" s="512"/>
      <c r="F977" s="512"/>
      <c r="G977" s="512"/>
      <c r="H977" s="512"/>
      <c r="I977" s="512"/>
      <c r="J977" s="512"/>
      <c r="K977" s="512"/>
      <c r="L977" s="512"/>
      <c r="M977" s="512"/>
      <c r="N977" s="512"/>
      <c r="O977" s="512"/>
      <c r="P977" s="512"/>
      <c r="Q977" s="512"/>
      <c r="R977" s="512"/>
      <c r="S977" s="512"/>
      <c r="T977" s="512"/>
      <c r="U977" s="512"/>
      <c r="V977" s="512"/>
      <c r="W977" s="512"/>
      <c r="X977" s="512"/>
      <c r="Y977" s="512"/>
      <c r="Z977" s="512"/>
      <c r="AA977" s="512"/>
    </row>
    <row r="978">
      <c r="A978" s="512"/>
      <c r="B978" s="512"/>
      <c r="C978" s="512"/>
      <c r="D978" s="512"/>
      <c r="E978" s="512"/>
      <c r="F978" s="512"/>
      <c r="G978" s="512"/>
      <c r="H978" s="512"/>
      <c r="I978" s="512"/>
      <c r="J978" s="512"/>
      <c r="K978" s="512"/>
      <c r="L978" s="512"/>
      <c r="M978" s="512"/>
      <c r="N978" s="512"/>
      <c r="O978" s="512"/>
      <c r="P978" s="512"/>
      <c r="Q978" s="512"/>
      <c r="R978" s="512"/>
      <c r="S978" s="512"/>
      <c r="T978" s="512"/>
      <c r="U978" s="512"/>
      <c r="V978" s="512"/>
      <c r="W978" s="512"/>
      <c r="X978" s="512"/>
      <c r="Y978" s="512"/>
      <c r="Z978" s="512"/>
      <c r="AA978" s="512"/>
    </row>
    <row r="979">
      <c r="A979" s="512"/>
      <c r="B979" s="512"/>
      <c r="C979" s="512"/>
      <c r="D979" s="512"/>
      <c r="E979" s="512"/>
      <c r="F979" s="512"/>
      <c r="G979" s="512"/>
      <c r="H979" s="512"/>
      <c r="I979" s="512"/>
      <c r="J979" s="512"/>
      <c r="K979" s="512"/>
      <c r="L979" s="512"/>
      <c r="M979" s="512"/>
      <c r="N979" s="512"/>
      <c r="O979" s="512"/>
      <c r="P979" s="512"/>
      <c r="Q979" s="512"/>
      <c r="R979" s="512"/>
      <c r="S979" s="512"/>
      <c r="T979" s="512"/>
      <c r="U979" s="512"/>
      <c r="V979" s="512"/>
      <c r="W979" s="512"/>
      <c r="X979" s="512"/>
      <c r="Y979" s="512"/>
      <c r="Z979" s="512"/>
      <c r="AA979" s="512"/>
    </row>
    <row r="980">
      <c r="A980" s="512"/>
      <c r="B980" s="512"/>
      <c r="C980" s="512"/>
      <c r="D980" s="512"/>
      <c r="E980" s="512"/>
      <c r="F980" s="512"/>
      <c r="G980" s="512"/>
      <c r="H980" s="512"/>
      <c r="I980" s="512"/>
      <c r="J980" s="512"/>
      <c r="K980" s="512"/>
      <c r="L980" s="512"/>
      <c r="M980" s="512"/>
      <c r="N980" s="512"/>
      <c r="O980" s="512"/>
      <c r="P980" s="512"/>
      <c r="Q980" s="512"/>
      <c r="R980" s="512"/>
      <c r="S980" s="512"/>
      <c r="T980" s="512"/>
      <c r="U980" s="512"/>
      <c r="V980" s="512"/>
      <c r="W980" s="512"/>
      <c r="X980" s="512"/>
      <c r="Y980" s="512"/>
      <c r="Z980" s="512"/>
      <c r="AA980" s="512"/>
    </row>
    <row r="981">
      <c r="A981" s="512"/>
      <c r="B981" s="512"/>
      <c r="C981" s="512"/>
      <c r="D981" s="512"/>
      <c r="E981" s="512"/>
      <c r="F981" s="512"/>
      <c r="G981" s="512"/>
      <c r="H981" s="512"/>
      <c r="I981" s="512"/>
      <c r="J981" s="512"/>
      <c r="K981" s="512"/>
      <c r="L981" s="512"/>
      <c r="M981" s="512"/>
      <c r="N981" s="512"/>
      <c r="O981" s="512"/>
      <c r="P981" s="512"/>
      <c r="Q981" s="512"/>
      <c r="R981" s="512"/>
      <c r="S981" s="512"/>
      <c r="T981" s="512"/>
      <c r="U981" s="512"/>
      <c r="V981" s="512"/>
      <c r="W981" s="512"/>
      <c r="X981" s="512"/>
      <c r="Y981" s="512"/>
      <c r="Z981" s="512"/>
      <c r="AA981" s="512"/>
    </row>
    <row r="982">
      <c r="A982" s="512"/>
      <c r="B982" s="512"/>
      <c r="C982" s="512"/>
      <c r="D982" s="512"/>
      <c r="E982" s="512"/>
      <c r="F982" s="512"/>
      <c r="G982" s="512"/>
      <c r="H982" s="512"/>
      <c r="I982" s="512"/>
      <c r="J982" s="512"/>
      <c r="K982" s="512"/>
      <c r="L982" s="512"/>
      <c r="M982" s="512"/>
      <c r="N982" s="512"/>
      <c r="O982" s="512"/>
      <c r="P982" s="512"/>
      <c r="Q982" s="512"/>
      <c r="R982" s="512"/>
      <c r="S982" s="512"/>
      <c r="T982" s="512"/>
      <c r="U982" s="512"/>
      <c r="V982" s="512"/>
      <c r="W982" s="512"/>
      <c r="X982" s="512"/>
      <c r="Y982" s="512"/>
      <c r="Z982" s="512"/>
      <c r="AA982" s="512"/>
    </row>
    <row r="983">
      <c r="A983" s="512"/>
      <c r="B983" s="512"/>
      <c r="C983" s="512"/>
      <c r="D983" s="512"/>
      <c r="E983" s="512"/>
      <c r="F983" s="512"/>
      <c r="G983" s="512"/>
      <c r="H983" s="512"/>
      <c r="I983" s="512"/>
      <c r="J983" s="512"/>
      <c r="K983" s="512"/>
      <c r="L983" s="512"/>
      <c r="M983" s="512"/>
      <c r="N983" s="512"/>
      <c r="O983" s="512"/>
      <c r="P983" s="512"/>
      <c r="Q983" s="512"/>
      <c r="R983" s="512"/>
      <c r="S983" s="512"/>
      <c r="T983" s="512"/>
      <c r="U983" s="512"/>
      <c r="V983" s="512"/>
      <c r="W983" s="512"/>
      <c r="X983" s="512"/>
      <c r="Y983" s="512"/>
      <c r="Z983" s="512"/>
      <c r="AA983" s="512"/>
    </row>
    <row r="984">
      <c r="A984" s="512"/>
      <c r="B984" s="512"/>
      <c r="C984" s="512"/>
      <c r="D984" s="512"/>
      <c r="E984" s="512"/>
      <c r="F984" s="512"/>
      <c r="G984" s="512"/>
      <c r="H984" s="512"/>
      <c r="I984" s="512"/>
      <c r="J984" s="512"/>
      <c r="K984" s="512"/>
      <c r="L984" s="512"/>
      <c r="M984" s="512"/>
      <c r="N984" s="512"/>
      <c r="O984" s="512"/>
      <c r="P984" s="512"/>
      <c r="Q984" s="512"/>
      <c r="R984" s="512"/>
      <c r="S984" s="512"/>
      <c r="T984" s="512"/>
      <c r="U984" s="512"/>
      <c r="V984" s="512"/>
      <c r="W984" s="512"/>
      <c r="X984" s="512"/>
      <c r="Y984" s="512"/>
      <c r="Z984" s="512"/>
      <c r="AA984" s="512"/>
    </row>
    <row r="985">
      <c r="A985" s="512"/>
      <c r="B985" s="512"/>
      <c r="C985" s="512"/>
      <c r="D985" s="512"/>
      <c r="E985" s="512"/>
      <c r="F985" s="512"/>
      <c r="G985" s="512"/>
      <c r="H985" s="512"/>
      <c r="I985" s="512"/>
      <c r="J985" s="512"/>
      <c r="K985" s="512"/>
      <c r="L985" s="512"/>
      <c r="M985" s="512"/>
      <c r="N985" s="512"/>
      <c r="O985" s="512"/>
      <c r="P985" s="512"/>
      <c r="Q985" s="512"/>
      <c r="R985" s="512"/>
      <c r="S985" s="512"/>
      <c r="T985" s="512"/>
      <c r="U985" s="512"/>
      <c r="V985" s="512"/>
      <c r="W985" s="512"/>
      <c r="X985" s="512"/>
      <c r="Y985" s="512"/>
      <c r="Z985" s="512"/>
      <c r="AA985" s="512"/>
    </row>
    <row r="986">
      <c r="A986" s="512"/>
      <c r="B986" s="512"/>
      <c r="C986" s="512"/>
      <c r="D986" s="512"/>
      <c r="E986" s="512"/>
      <c r="F986" s="512"/>
      <c r="G986" s="512"/>
      <c r="H986" s="512"/>
      <c r="I986" s="512"/>
      <c r="J986" s="512"/>
      <c r="K986" s="512"/>
      <c r="L986" s="512"/>
      <c r="M986" s="512"/>
      <c r="N986" s="512"/>
      <c r="O986" s="512"/>
      <c r="P986" s="512"/>
      <c r="Q986" s="512"/>
      <c r="R986" s="512"/>
      <c r="S986" s="512"/>
      <c r="T986" s="512"/>
      <c r="U986" s="512"/>
      <c r="V986" s="512"/>
      <c r="W986" s="512"/>
      <c r="X986" s="512"/>
      <c r="Y986" s="512"/>
      <c r="Z986" s="512"/>
      <c r="AA986" s="512"/>
    </row>
    <row r="987">
      <c r="A987" s="512"/>
      <c r="B987" s="512"/>
      <c r="C987" s="512"/>
      <c r="D987" s="512"/>
      <c r="E987" s="512"/>
      <c r="F987" s="512"/>
      <c r="G987" s="512"/>
      <c r="H987" s="512"/>
      <c r="I987" s="512"/>
      <c r="J987" s="512"/>
      <c r="K987" s="512"/>
      <c r="L987" s="512"/>
      <c r="M987" s="512"/>
      <c r="N987" s="512"/>
      <c r="O987" s="512"/>
      <c r="P987" s="512"/>
      <c r="Q987" s="512"/>
      <c r="R987" s="512"/>
      <c r="S987" s="512"/>
      <c r="T987" s="512"/>
      <c r="U987" s="512"/>
      <c r="V987" s="512"/>
      <c r="W987" s="512"/>
      <c r="X987" s="512"/>
      <c r="Y987" s="512"/>
      <c r="Z987" s="512"/>
      <c r="AA987" s="512"/>
    </row>
    <row r="988">
      <c r="A988" s="512"/>
      <c r="B988" s="512"/>
      <c r="C988" s="512"/>
      <c r="D988" s="512"/>
      <c r="E988" s="512"/>
      <c r="F988" s="512"/>
      <c r="G988" s="512"/>
      <c r="H988" s="512"/>
      <c r="I988" s="512"/>
      <c r="J988" s="512"/>
      <c r="K988" s="512"/>
      <c r="L988" s="512"/>
      <c r="M988" s="512"/>
      <c r="N988" s="512"/>
      <c r="O988" s="512"/>
      <c r="P988" s="512"/>
      <c r="Q988" s="512"/>
      <c r="R988" s="512"/>
      <c r="S988" s="512"/>
      <c r="T988" s="512"/>
      <c r="U988" s="512"/>
      <c r="V988" s="512"/>
      <c r="W988" s="512"/>
      <c r="X988" s="512"/>
      <c r="Y988" s="512"/>
      <c r="Z988" s="512"/>
      <c r="AA988" s="512"/>
    </row>
    <row r="989">
      <c r="A989" s="512"/>
      <c r="B989" s="512"/>
      <c r="C989" s="512"/>
      <c r="D989" s="512"/>
      <c r="E989" s="512"/>
      <c r="F989" s="512"/>
      <c r="G989" s="512"/>
      <c r="H989" s="512"/>
      <c r="I989" s="512"/>
      <c r="J989" s="512"/>
      <c r="K989" s="512"/>
      <c r="L989" s="512"/>
      <c r="M989" s="512"/>
      <c r="N989" s="512"/>
      <c r="O989" s="512"/>
      <c r="P989" s="512"/>
      <c r="Q989" s="512"/>
      <c r="R989" s="512"/>
      <c r="S989" s="512"/>
      <c r="T989" s="512"/>
      <c r="U989" s="512"/>
      <c r="V989" s="512"/>
      <c r="W989" s="512"/>
      <c r="X989" s="512"/>
      <c r="Y989" s="512"/>
      <c r="Z989" s="512"/>
      <c r="AA989" s="512"/>
    </row>
    <row r="990">
      <c r="A990" s="512"/>
      <c r="B990" s="512"/>
      <c r="C990" s="512"/>
      <c r="D990" s="512"/>
      <c r="E990" s="512"/>
      <c r="F990" s="512"/>
      <c r="G990" s="512"/>
      <c r="H990" s="512"/>
      <c r="I990" s="512"/>
      <c r="J990" s="512"/>
      <c r="K990" s="512"/>
      <c r="L990" s="512"/>
      <c r="M990" s="512"/>
      <c r="N990" s="512"/>
      <c r="O990" s="512"/>
      <c r="P990" s="512"/>
      <c r="Q990" s="512"/>
      <c r="R990" s="512"/>
      <c r="S990" s="512"/>
      <c r="T990" s="512"/>
      <c r="U990" s="512"/>
      <c r="V990" s="512"/>
      <c r="W990" s="512"/>
      <c r="X990" s="512"/>
      <c r="Y990" s="512"/>
      <c r="Z990" s="512"/>
      <c r="AA990" s="512"/>
    </row>
    <row r="991">
      <c r="A991" s="512"/>
      <c r="B991" s="512"/>
      <c r="C991" s="512"/>
      <c r="D991" s="512"/>
      <c r="E991" s="512"/>
      <c r="F991" s="512"/>
      <c r="G991" s="512"/>
      <c r="H991" s="512"/>
      <c r="I991" s="512"/>
      <c r="J991" s="512"/>
      <c r="K991" s="512"/>
      <c r="L991" s="512"/>
      <c r="M991" s="512"/>
      <c r="N991" s="512"/>
      <c r="O991" s="512"/>
      <c r="P991" s="512"/>
      <c r="Q991" s="512"/>
      <c r="R991" s="512"/>
      <c r="S991" s="512"/>
      <c r="T991" s="512"/>
      <c r="U991" s="512"/>
      <c r="V991" s="512"/>
      <c r="W991" s="512"/>
      <c r="X991" s="512"/>
      <c r="Y991" s="512"/>
      <c r="Z991" s="512"/>
      <c r="AA991" s="512"/>
    </row>
    <row r="992">
      <c r="A992" s="512"/>
      <c r="B992" s="512"/>
      <c r="C992" s="512"/>
      <c r="D992" s="512"/>
      <c r="E992" s="512"/>
      <c r="F992" s="512"/>
      <c r="G992" s="512"/>
      <c r="H992" s="512"/>
      <c r="I992" s="512"/>
      <c r="J992" s="512"/>
      <c r="K992" s="512"/>
      <c r="L992" s="512"/>
      <c r="M992" s="512"/>
      <c r="N992" s="512"/>
      <c r="O992" s="512"/>
      <c r="P992" s="512"/>
      <c r="Q992" s="512"/>
      <c r="R992" s="512"/>
      <c r="S992" s="512"/>
      <c r="T992" s="512"/>
      <c r="U992" s="512"/>
      <c r="V992" s="512"/>
      <c r="W992" s="512"/>
      <c r="X992" s="512"/>
      <c r="Y992" s="512"/>
      <c r="Z992" s="512"/>
      <c r="AA992" s="512"/>
    </row>
    <row r="993">
      <c r="A993" s="512"/>
      <c r="B993" s="512"/>
      <c r="C993" s="512"/>
      <c r="D993" s="512"/>
      <c r="E993" s="512"/>
      <c r="F993" s="512"/>
      <c r="G993" s="512"/>
      <c r="H993" s="512"/>
      <c r="I993" s="512"/>
      <c r="J993" s="512"/>
      <c r="K993" s="512"/>
      <c r="L993" s="512"/>
      <c r="M993" s="512"/>
      <c r="N993" s="512"/>
      <c r="O993" s="512"/>
      <c r="P993" s="512"/>
      <c r="Q993" s="512"/>
      <c r="R993" s="512"/>
      <c r="S993" s="512"/>
      <c r="T993" s="512"/>
      <c r="U993" s="512"/>
      <c r="V993" s="512"/>
      <c r="W993" s="512"/>
      <c r="X993" s="512"/>
      <c r="Y993" s="512"/>
      <c r="Z993" s="512"/>
      <c r="AA993" s="512"/>
    </row>
    <row r="994">
      <c r="A994" s="512"/>
      <c r="B994" s="512"/>
      <c r="C994" s="512"/>
      <c r="D994" s="512"/>
      <c r="E994" s="512"/>
      <c r="F994" s="512"/>
      <c r="G994" s="512"/>
      <c r="H994" s="512"/>
      <c r="I994" s="512"/>
      <c r="J994" s="512"/>
      <c r="K994" s="512"/>
      <c r="L994" s="512"/>
      <c r="M994" s="512"/>
      <c r="N994" s="512"/>
      <c r="O994" s="512"/>
      <c r="P994" s="512"/>
      <c r="Q994" s="512"/>
      <c r="R994" s="512"/>
      <c r="S994" s="512"/>
      <c r="T994" s="512"/>
      <c r="U994" s="512"/>
      <c r="V994" s="512"/>
      <c r="W994" s="512"/>
      <c r="X994" s="512"/>
      <c r="Y994" s="512"/>
      <c r="Z994" s="512"/>
      <c r="AA994" s="512"/>
    </row>
    <row r="995">
      <c r="A995" s="512"/>
      <c r="B995" s="512"/>
      <c r="C995" s="512"/>
      <c r="D995" s="512"/>
      <c r="E995" s="512"/>
      <c r="F995" s="512"/>
      <c r="G995" s="512"/>
      <c r="H995" s="512"/>
      <c r="I995" s="512"/>
      <c r="J995" s="512"/>
      <c r="K995" s="512"/>
      <c r="L995" s="512"/>
      <c r="M995" s="512"/>
      <c r="N995" s="512"/>
      <c r="O995" s="512"/>
      <c r="P995" s="512"/>
      <c r="Q995" s="512"/>
      <c r="R995" s="512"/>
      <c r="S995" s="512"/>
      <c r="T995" s="512"/>
      <c r="U995" s="512"/>
      <c r="V995" s="512"/>
      <c r="W995" s="512"/>
      <c r="X995" s="512"/>
      <c r="Y995" s="512"/>
      <c r="Z995" s="512"/>
      <c r="AA995" s="512"/>
    </row>
    <row r="996">
      <c r="A996" s="512"/>
      <c r="B996" s="512"/>
      <c r="C996" s="512"/>
      <c r="D996" s="512"/>
      <c r="E996" s="512"/>
      <c r="F996" s="512"/>
      <c r="G996" s="512"/>
      <c r="H996" s="512"/>
      <c r="I996" s="512"/>
      <c r="J996" s="512"/>
      <c r="K996" s="512"/>
      <c r="L996" s="512"/>
      <c r="M996" s="512"/>
      <c r="N996" s="512"/>
      <c r="O996" s="512"/>
      <c r="P996" s="512"/>
      <c r="Q996" s="512"/>
      <c r="R996" s="512"/>
      <c r="S996" s="512"/>
      <c r="T996" s="512"/>
      <c r="U996" s="512"/>
      <c r="V996" s="512"/>
      <c r="W996" s="512"/>
      <c r="X996" s="512"/>
      <c r="Y996" s="512"/>
      <c r="Z996" s="512"/>
      <c r="AA996" s="512"/>
    </row>
    <row r="997">
      <c r="A997" s="512"/>
      <c r="B997" s="512"/>
      <c r="C997" s="512"/>
      <c r="D997" s="512"/>
      <c r="E997" s="512"/>
      <c r="F997" s="512"/>
      <c r="G997" s="512"/>
      <c r="H997" s="512"/>
      <c r="I997" s="512"/>
      <c r="J997" s="512"/>
      <c r="K997" s="512"/>
      <c r="L997" s="512"/>
      <c r="M997" s="512"/>
      <c r="N997" s="512"/>
      <c r="O997" s="512"/>
      <c r="P997" s="512"/>
      <c r="Q997" s="512"/>
      <c r="R997" s="512"/>
      <c r="S997" s="512"/>
      <c r="T997" s="512"/>
      <c r="U997" s="512"/>
      <c r="V997" s="512"/>
      <c r="W997" s="512"/>
      <c r="X997" s="512"/>
      <c r="Y997" s="512"/>
      <c r="Z997" s="512"/>
      <c r="AA997" s="512"/>
    </row>
    <row r="998">
      <c r="A998" s="512"/>
      <c r="B998" s="512"/>
      <c r="C998" s="512"/>
      <c r="D998" s="512"/>
      <c r="E998" s="512"/>
      <c r="F998" s="512"/>
      <c r="G998" s="512"/>
      <c r="H998" s="512"/>
      <c r="I998" s="512"/>
      <c r="J998" s="512"/>
      <c r="K998" s="512"/>
      <c r="L998" s="512"/>
      <c r="M998" s="512"/>
      <c r="N998" s="512"/>
      <c r="O998" s="512"/>
      <c r="P998" s="512"/>
      <c r="Q998" s="512"/>
      <c r="R998" s="512"/>
      <c r="S998" s="512"/>
      <c r="T998" s="512"/>
      <c r="U998" s="512"/>
      <c r="V998" s="512"/>
      <c r="W998" s="512"/>
      <c r="X998" s="512"/>
      <c r="Y998" s="512"/>
      <c r="Z998" s="512"/>
      <c r="AA998" s="512"/>
    </row>
    <row r="999">
      <c r="A999" s="512"/>
      <c r="B999" s="512"/>
      <c r="C999" s="512"/>
      <c r="D999" s="512"/>
      <c r="E999" s="512"/>
      <c r="F999" s="512"/>
      <c r="G999" s="512"/>
      <c r="H999" s="512"/>
      <c r="I999" s="512"/>
      <c r="J999" s="512"/>
      <c r="K999" s="512"/>
      <c r="L999" s="512"/>
      <c r="M999" s="512"/>
      <c r="N999" s="512"/>
      <c r="O999" s="512"/>
      <c r="P999" s="512"/>
      <c r="Q999" s="512"/>
      <c r="R999" s="512"/>
      <c r="S999" s="512"/>
      <c r="T999" s="512"/>
      <c r="U999" s="512"/>
      <c r="V999" s="512"/>
      <c r="W999" s="512"/>
      <c r="X999" s="512"/>
      <c r="Y999" s="512"/>
      <c r="Z999" s="512"/>
      <c r="AA999" s="512"/>
    </row>
    <row r="1000">
      <c r="A1000" s="512"/>
      <c r="B1000" s="512"/>
      <c r="C1000" s="512"/>
      <c r="D1000" s="512"/>
      <c r="E1000" s="512"/>
      <c r="F1000" s="512"/>
      <c r="G1000" s="512"/>
      <c r="H1000" s="512"/>
      <c r="I1000" s="512"/>
      <c r="J1000" s="512"/>
      <c r="K1000" s="512"/>
      <c r="L1000" s="512"/>
      <c r="M1000" s="512"/>
      <c r="N1000" s="512"/>
      <c r="O1000" s="512"/>
      <c r="P1000" s="512"/>
      <c r="Q1000" s="512"/>
      <c r="R1000" s="512"/>
      <c r="S1000" s="512"/>
      <c r="T1000" s="512"/>
      <c r="U1000" s="512"/>
      <c r="V1000" s="512"/>
      <c r="W1000" s="512"/>
      <c r="X1000" s="512"/>
      <c r="Y1000" s="512"/>
      <c r="Z1000" s="512"/>
      <c r="AA1000" s="512"/>
    </row>
    <row r="1001">
      <c r="A1001" s="512"/>
      <c r="B1001" s="512"/>
      <c r="C1001" s="512"/>
      <c r="D1001" s="512"/>
      <c r="E1001" s="512"/>
      <c r="F1001" s="512"/>
      <c r="G1001" s="512"/>
      <c r="H1001" s="512"/>
      <c r="I1001" s="512"/>
      <c r="J1001" s="512"/>
      <c r="K1001" s="512"/>
      <c r="L1001" s="512"/>
      <c r="M1001" s="512"/>
      <c r="N1001" s="512"/>
      <c r="O1001" s="512"/>
      <c r="P1001" s="512"/>
      <c r="Q1001" s="512"/>
      <c r="R1001" s="512"/>
      <c r="S1001" s="512"/>
      <c r="T1001" s="512"/>
      <c r="U1001" s="512"/>
      <c r="V1001" s="512"/>
      <c r="W1001" s="512"/>
      <c r="X1001" s="512"/>
      <c r="Y1001" s="512"/>
      <c r="Z1001" s="512"/>
      <c r="AA1001" s="512"/>
    </row>
    <row r="1002">
      <c r="A1002" s="512"/>
      <c r="B1002" s="512"/>
      <c r="C1002" s="512"/>
      <c r="D1002" s="512"/>
      <c r="E1002" s="512"/>
      <c r="F1002" s="512"/>
      <c r="G1002" s="512"/>
      <c r="H1002" s="512"/>
      <c r="I1002" s="512"/>
      <c r="J1002" s="512"/>
      <c r="K1002" s="512"/>
      <c r="L1002" s="512"/>
      <c r="M1002" s="512"/>
      <c r="N1002" s="512"/>
      <c r="O1002" s="512"/>
      <c r="P1002" s="512"/>
      <c r="Q1002" s="512"/>
      <c r="R1002" s="512"/>
      <c r="S1002" s="512"/>
      <c r="T1002" s="512"/>
      <c r="U1002" s="512"/>
      <c r="V1002" s="512"/>
      <c r="W1002" s="512"/>
      <c r="X1002" s="512"/>
      <c r="Y1002" s="512"/>
      <c r="Z1002" s="512"/>
      <c r="AA1002" s="512"/>
    </row>
    <row r="1003">
      <c r="A1003" s="512"/>
      <c r="B1003" s="512"/>
      <c r="C1003" s="512"/>
      <c r="D1003" s="512"/>
      <c r="E1003" s="512"/>
      <c r="F1003" s="512"/>
      <c r="G1003" s="512"/>
      <c r="H1003" s="512"/>
      <c r="I1003" s="512"/>
      <c r="J1003" s="512"/>
      <c r="K1003" s="512"/>
      <c r="L1003" s="512"/>
      <c r="M1003" s="512"/>
      <c r="N1003" s="512"/>
      <c r="O1003" s="512"/>
      <c r="P1003" s="512"/>
      <c r="Q1003" s="512"/>
      <c r="R1003" s="512"/>
      <c r="S1003" s="512"/>
      <c r="T1003" s="512"/>
      <c r="U1003" s="512"/>
      <c r="V1003" s="512"/>
      <c r="W1003" s="512"/>
      <c r="X1003" s="512"/>
      <c r="Y1003" s="512"/>
      <c r="Z1003" s="512"/>
      <c r="AA1003" s="512"/>
    </row>
    <row r="1004">
      <c r="A1004" s="512"/>
      <c r="B1004" s="512"/>
      <c r="C1004" s="512"/>
      <c r="D1004" s="512"/>
      <c r="E1004" s="512"/>
      <c r="F1004" s="512"/>
      <c r="G1004" s="512"/>
      <c r="H1004" s="512"/>
      <c r="I1004" s="512"/>
      <c r="J1004" s="512"/>
      <c r="K1004" s="512"/>
      <c r="L1004" s="512"/>
      <c r="M1004" s="512"/>
      <c r="N1004" s="512"/>
      <c r="O1004" s="512"/>
      <c r="P1004" s="512"/>
      <c r="Q1004" s="512"/>
      <c r="R1004" s="512"/>
      <c r="S1004" s="512"/>
      <c r="T1004" s="512"/>
      <c r="U1004" s="512"/>
      <c r="V1004" s="512"/>
      <c r="W1004" s="512"/>
      <c r="X1004" s="512"/>
      <c r="Y1004" s="512"/>
      <c r="Z1004" s="512"/>
      <c r="AA1004" s="512"/>
    </row>
    <row r="1005">
      <c r="A1005" s="512"/>
      <c r="B1005" s="512"/>
      <c r="C1005" s="512"/>
      <c r="D1005" s="512"/>
      <c r="E1005" s="512"/>
      <c r="F1005" s="512"/>
      <c r="G1005" s="512"/>
      <c r="H1005" s="512"/>
      <c r="I1005" s="512"/>
      <c r="J1005" s="512"/>
      <c r="K1005" s="512"/>
      <c r="L1005" s="512"/>
      <c r="M1005" s="512"/>
      <c r="N1005" s="512"/>
      <c r="O1005" s="512"/>
      <c r="P1005" s="512"/>
      <c r="Q1005" s="512"/>
      <c r="R1005" s="512"/>
      <c r="S1005" s="512"/>
      <c r="T1005" s="512"/>
      <c r="U1005" s="512"/>
      <c r="V1005" s="512"/>
      <c r="W1005" s="512"/>
      <c r="X1005" s="512"/>
      <c r="Y1005" s="512"/>
      <c r="Z1005" s="512"/>
      <c r="AA1005" s="512"/>
    </row>
    <row r="1006">
      <c r="A1006" s="512"/>
      <c r="B1006" s="512"/>
      <c r="C1006" s="512"/>
      <c r="D1006" s="512"/>
      <c r="E1006" s="512"/>
      <c r="F1006" s="512"/>
      <c r="G1006" s="512"/>
      <c r="H1006" s="512"/>
      <c r="I1006" s="512"/>
      <c r="J1006" s="512"/>
      <c r="K1006" s="512"/>
      <c r="L1006" s="512"/>
      <c r="M1006" s="512"/>
      <c r="N1006" s="512"/>
      <c r="O1006" s="512"/>
      <c r="P1006" s="512"/>
      <c r="Q1006" s="512"/>
      <c r="R1006" s="512"/>
      <c r="S1006" s="512"/>
      <c r="T1006" s="512"/>
      <c r="U1006" s="512"/>
      <c r="V1006" s="512"/>
      <c r="W1006" s="512"/>
      <c r="X1006" s="512"/>
      <c r="Y1006" s="512"/>
      <c r="Z1006" s="512"/>
      <c r="AA1006" s="512"/>
    </row>
  </sheetData>
  <dataValidations>
    <dataValidation type="custom" allowBlank="1" showDropDown="1" sqref="I2:I40">
      <formula1>AND(ISNUMBER(I2),(NOT(OR(NOT(ISERROR(DATEVALUE(I2))), AND(ISNUMBER(I2), LEFT(CELL("format", I2))="D")))))</formula1>
    </dataValidation>
  </dataValidations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2.63"/>
    <col customWidth="1" min="3" max="4" width="51.63"/>
    <col customWidth="1" min="5" max="5" width="21.88"/>
    <col customWidth="1" min="6" max="6" width="12.63"/>
  </cols>
  <sheetData>
    <row r="1" ht="15.75" customHeight="1">
      <c r="A1" s="558" t="s">
        <v>3309</v>
      </c>
      <c r="B1" s="558" t="s">
        <v>2</v>
      </c>
      <c r="C1" s="558"/>
      <c r="D1" s="558" t="s">
        <v>3310</v>
      </c>
      <c r="E1" s="558" t="s">
        <v>3311</v>
      </c>
      <c r="F1" s="558" t="s">
        <v>2867</v>
      </c>
      <c r="G1" s="559" t="s">
        <v>3312</v>
      </c>
      <c r="H1" s="559" t="s">
        <v>3313</v>
      </c>
      <c r="I1" s="558" t="s">
        <v>3314</v>
      </c>
      <c r="J1" s="558" t="s">
        <v>17</v>
      </c>
      <c r="K1" s="558" t="s">
        <v>3315</v>
      </c>
      <c r="L1" s="560"/>
      <c r="M1" s="560"/>
      <c r="N1" s="560"/>
    </row>
    <row r="2" ht="15.75" customHeight="1">
      <c r="A2" s="561">
        <v>262265.0</v>
      </c>
      <c r="B2" s="562">
        <v>45444.0</v>
      </c>
      <c r="C2" s="561"/>
      <c r="D2" s="561" t="s">
        <v>3316</v>
      </c>
      <c r="E2" s="561" t="s">
        <v>3317</v>
      </c>
      <c r="F2" s="561" t="s">
        <v>281</v>
      </c>
      <c r="G2" s="563">
        <v>7522.18</v>
      </c>
      <c r="H2" s="563">
        <v>6076.0</v>
      </c>
      <c r="I2" s="564">
        <f t="shared" ref="I2:I42" si="1">H2/G2</f>
        <v>0.8077445634</v>
      </c>
      <c r="J2" s="561">
        <v>1332275.0</v>
      </c>
      <c r="K2" s="561">
        <v>5217400.0</v>
      </c>
    </row>
    <row r="3" ht="15.75" customHeight="1">
      <c r="A3" s="565">
        <v>262236.0</v>
      </c>
      <c r="B3" s="562">
        <v>45444.0</v>
      </c>
      <c r="C3" s="561"/>
      <c r="D3" s="561" t="s">
        <v>3316</v>
      </c>
      <c r="E3" s="561" t="s">
        <v>3317</v>
      </c>
      <c r="F3" s="561" t="s">
        <v>3318</v>
      </c>
      <c r="G3" s="563">
        <v>7522.18</v>
      </c>
      <c r="H3" s="563">
        <v>6076.0</v>
      </c>
      <c r="I3" s="564">
        <f t="shared" si="1"/>
        <v>0.8077445634</v>
      </c>
      <c r="J3" s="561">
        <v>1332214.0</v>
      </c>
      <c r="K3" s="561"/>
    </row>
    <row r="4" ht="15.75" customHeight="1">
      <c r="A4" s="561">
        <v>262389.0</v>
      </c>
      <c r="B4" s="562">
        <v>45447.0</v>
      </c>
      <c r="C4" s="561"/>
      <c r="D4" s="561" t="s">
        <v>3316</v>
      </c>
      <c r="E4" s="561" t="s">
        <v>3317</v>
      </c>
      <c r="F4" s="561" t="s">
        <v>261</v>
      </c>
      <c r="G4" s="563">
        <v>7522.18</v>
      </c>
      <c r="H4" s="563">
        <v>6076.0</v>
      </c>
      <c r="I4" s="564">
        <f t="shared" si="1"/>
        <v>0.8077445634</v>
      </c>
      <c r="J4" s="561">
        <v>1333430.0</v>
      </c>
      <c r="K4" s="561">
        <v>5222636.0</v>
      </c>
    </row>
    <row r="5" ht="15.75" customHeight="1">
      <c r="A5" s="565">
        <v>262549.0</v>
      </c>
      <c r="B5" s="562">
        <v>45447.0</v>
      </c>
      <c r="C5" s="561"/>
      <c r="D5" s="561" t="s">
        <v>3319</v>
      </c>
      <c r="E5" s="561" t="s">
        <v>93</v>
      </c>
      <c r="F5" s="561" t="s">
        <v>395</v>
      </c>
      <c r="G5" s="563">
        <v>6537.87</v>
      </c>
      <c r="H5" s="563">
        <v>5295.8</v>
      </c>
      <c r="I5" s="564">
        <f t="shared" si="1"/>
        <v>0.8100191653</v>
      </c>
      <c r="J5" s="561">
        <v>1333858.0</v>
      </c>
      <c r="K5" s="561">
        <v>5225888.0</v>
      </c>
    </row>
    <row r="6" ht="15.75" customHeight="1">
      <c r="A6" s="565">
        <v>262662.0</v>
      </c>
      <c r="B6" s="562">
        <v>45448.0</v>
      </c>
      <c r="C6" s="561"/>
      <c r="D6" s="561" t="s">
        <v>3320</v>
      </c>
      <c r="E6" s="561" t="s">
        <v>2089</v>
      </c>
      <c r="F6" s="561" t="s">
        <v>69</v>
      </c>
      <c r="G6" s="563">
        <v>6463.99</v>
      </c>
      <c r="H6" s="563">
        <v>4371.0</v>
      </c>
      <c r="I6" s="564">
        <f t="shared" si="1"/>
        <v>0.6762077293</v>
      </c>
      <c r="J6" s="561">
        <v>1334442.0</v>
      </c>
      <c r="K6" s="561">
        <v>5229984.0</v>
      </c>
    </row>
    <row r="7" ht="15.75" customHeight="1">
      <c r="A7" s="561">
        <v>263089.0</v>
      </c>
      <c r="B7" s="562">
        <v>45451.0</v>
      </c>
      <c r="C7" s="561"/>
      <c r="D7" s="561" t="s">
        <v>3321</v>
      </c>
      <c r="E7" s="561" t="s">
        <v>3322</v>
      </c>
      <c r="F7" s="561" t="s">
        <v>395</v>
      </c>
      <c r="G7" s="563">
        <v>6276.93</v>
      </c>
      <c r="H7" s="563">
        <v>5040.6</v>
      </c>
      <c r="I7" s="564">
        <f t="shared" si="1"/>
        <v>0.803035879</v>
      </c>
      <c r="J7" s="561">
        <v>1336090.0</v>
      </c>
      <c r="K7" s="561">
        <v>5240847.0</v>
      </c>
    </row>
    <row r="8" ht="15.75" customHeight="1">
      <c r="A8" s="561">
        <v>263109.0</v>
      </c>
      <c r="B8" s="562">
        <v>45451.0</v>
      </c>
      <c r="C8" s="561"/>
      <c r="D8" s="561" t="s">
        <v>3323</v>
      </c>
      <c r="E8" s="566" t="s">
        <v>3324</v>
      </c>
      <c r="F8" s="566" t="s">
        <v>394</v>
      </c>
      <c r="G8" s="563">
        <v>7522.18</v>
      </c>
      <c r="H8" s="563">
        <v>6076.0</v>
      </c>
      <c r="I8" s="564">
        <f t="shared" si="1"/>
        <v>0.8077445634</v>
      </c>
      <c r="J8" s="561">
        <v>1336153.0</v>
      </c>
      <c r="K8" s="561">
        <v>5241079.0</v>
      </c>
    </row>
    <row r="9" ht="15.75" customHeight="1">
      <c r="A9" s="561">
        <v>263181.0</v>
      </c>
      <c r="B9" s="562">
        <v>45453.0</v>
      </c>
      <c r="C9" s="561"/>
      <c r="D9" s="561" t="s">
        <v>3325</v>
      </c>
      <c r="E9" s="561" t="s">
        <v>507</v>
      </c>
      <c r="F9" s="561" t="s">
        <v>3318</v>
      </c>
      <c r="G9" s="563">
        <v>5069.65</v>
      </c>
      <c r="H9" s="563">
        <v>4464.0</v>
      </c>
      <c r="I9" s="564">
        <f t="shared" si="1"/>
        <v>0.8805341592</v>
      </c>
      <c r="J9" s="561">
        <v>1336926.0</v>
      </c>
      <c r="K9" s="561">
        <v>5244007.0</v>
      </c>
    </row>
    <row r="10" ht="15.75" customHeight="1">
      <c r="A10" s="561">
        <v>263314.0</v>
      </c>
      <c r="B10" s="562">
        <v>45454.0</v>
      </c>
      <c r="C10" s="561"/>
      <c r="D10" s="561" t="s">
        <v>3321</v>
      </c>
      <c r="E10" s="561" t="s">
        <v>3322</v>
      </c>
      <c r="F10" s="561" t="s">
        <v>69</v>
      </c>
      <c r="G10" s="563">
        <v>6276.93</v>
      </c>
      <c r="H10" s="563">
        <v>4371.0</v>
      </c>
      <c r="I10" s="564">
        <f t="shared" si="1"/>
        <v>0.6963595261</v>
      </c>
      <c r="J10" s="565">
        <v>1337438.0</v>
      </c>
      <c r="K10" s="561">
        <v>5248198.0</v>
      </c>
    </row>
    <row r="11" ht="15.75" customHeight="1">
      <c r="A11" s="567">
        <v>263375.0</v>
      </c>
      <c r="B11" s="562">
        <v>45454.0</v>
      </c>
      <c r="C11" s="568"/>
      <c r="D11" s="568" t="s">
        <v>3326</v>
      </c>
      <c r="E11" s="561" t="s">
        <v>3327</v>
      </c>
      <c r="F11" s="561" t="s">
        <v>419</v>
      </c>
      <c r="G11" s="563">
        <v>6210.37</v>
      </c>
      <c r="H11" s="563">
        <v>4767.8</v>
      </c>
      <c r="I11" s="564">
        <f t="shared" si="1"/>
        <v>0.7677159332</v>
      </c>
      <c r="J11" s="561">
        <v>1337635.0</v>
      </c>
      <c r="K11" s="561">
        <v>5323394.0</v>
      </c>
    </row>
    <row r="12" ht="15.75" customHeight="1">
      <c r="A12" s="567">
        <v>263400.0</v>
      </c>
      <c r="B12" s="562">
        <v>45454.0</v>
      </c>
      <c r="C12" s="567"/>
      <c r="D12" s="567" t="s">
        <v>3328</v>
      </c>
      <c r="E12" s="561" t="s">
        <v>3329</v>
      </c>
      <c r="F12" s="561" t="s">
        <v>395</v>
      </c>
      <c r="G12" s="563">
        <v>5362.02</v>
      </c>
      <c r="H12" s="563">
        <v>5443.6</v>
      </c>
      <c r="I12" s="564">
        <f t="shared" si="1"/>
        <v>1.015214415</v>
      </c>
      <c r="J12" s="561">
        <v>1337926.0</v>
      </c>
      <c r="K12" s="561">
        <v>5323503.0</v>
      </c>
    </row>
    <row r="13" ht="15.75" customHeight="1">
      <c r="A13" s="561">
        <v>263531.0</v>
      </c>
      <c r="B13" s="562">
        <v>45455.0</v>
      </c>
      <c r="C13" s="561"/>
      <c r="D13" s="561" t="s">
        <v>3330</v>
      </c>
      <c r="E13" s="561" t="s">
        <v>3331</v>
      </c>
      <c r="F13" s="561" t="s">
        <v>3332</v>
      </c>
      <c r="G13" s="563">
        <v>5905.23</v>
      </c>
      <c r="H13" s="563">
        <v>4879.4</v>
      </c>
      <c r="I13" s="564">
        <f t="shared" si="1"/>
        <v>0.826284497</v>
      </c>
      <c r="J13" s="561">
        <v>1338628.0</v>
      </c>
      <c r="K13" s="561">
        <v>5324005.0</v>
      </c>
    </row>
    <row r="14" ht="15.75" customHeight="1">
      <c r="A14" s="561">
        <v>263666.0</v>
      </c>
      <c r="B14" s="562">
        <v>45456.0</v>
      </c>
      <c r="C14" s="561"/>
      <c r="D14" s="561" t="s">
        <v>3321</v>
      </c>
      <c r="E14" s="561" t="s">
        <v>3333</v>
      </c>
      <c r="F14" s="561" t="s">
        <v>3334</v>
      </c>
      <c r="G14" s="563">
        <v>6276.93</v>
      </c>
      <c r="H14" s="563">
        <v>5040.6</v>
      </c>
      <c r="I14" s="564">
        <f t="shared" si="1"/>
        <v>0.803035879</v>
      </c>
      <c r="J14" s="561">
        <v>1338916.0</v>
      </c>
      <c r="K14" s="561">
        <v>5324520.0</v>
      </c>
    </row>
    <row r="15" ht="15.75" customHeight="1">
      <c r="A15" s="561">
        <v>263671.0</v>
      </c>
      <c r="B15" s="562">
        <v>45456.0</v>
      </c>
      <c r="C15" s="561"/>
      <c r="D15" s="561" t="s">
        <v>3335</v>
      </c>
      <c r="E15" s="561" t="s">
        <v>3336</v>
      </c>
      <c r="F15" s="561" t="s">
        <v>3318</v>
      </c>
      <c r="G15" s="563">
        <v>5345.63</v>
      </c>
      <c r="H15" s="563">
        <v>4619.0</v>
      </c>
      <c r="I15" s="564">
        <f t="shared" si="1"/>
        <v>0.864070278</v>
      </c>
      <c r="J15" s="561">
        <v>1338968.0</v>
      </c>
      <c r="K15" s="561">
        <v>5324572.0</v>
      </c>
    </row>
    <row r="16" ht="15.75" customHeight="1">
      <c r="A16" s="561">
        <v>264112.0</v>
      </c>
      <c r="B16" s="562">
        <v>45461.0</v>
      </c>
      <c r="C16" s="561"/>
      <c r="D16" s="561" t="s">
        <v>3337</v>
      </c>
      <c r="E16" s="561" t="s">
        <v>3338</v>
      </c>
      <c r="F16" s="561" t="s">
        <v>419</v>
      </c>
      <c r="G16" s="563">
        <v>6966.38</v>
      </c>
      <c r="H16" s="563">
        <v>5189.4</v>
      </c>
      <c r="I16" s="564">
        <f t="shared" si="1"/>
        <v>0.7449206044</v>
      </c>
      <c r="J16" s="561">
        <v>1341487.0</v>
      </c>
      <c r="K16" s="561">
        <v>5326953.0</v>
      </c>
    </row>
    <row r="17" ht="15.75" customHeight="1">
      <c r="A17" s="567">
        <v>264213.0</v>
      </c>
      <c r="B17" s="562">
        <v>45462.0</v>
      </c>
      <c r="C17" s="567"/>
      <c r="D17" s="567" t="s">
        <v>3339</v>
      </c>
      <c r="E17" s="561" t="s">
        <v>3331</v>
      </c>
      <c r="F17" s="561" t="s">
        <v>3318</v>
      </c>
      <c r="G17" s="563">
        <v>5905.23</v>
      </c>
      <c r="H17" s="563">
        <v>4879.4</v>
      </c>
      <c r="I17" s="564">
        <f t="shared" si="1"/>
        <v>0.826284497</v>
      </c>
      <c r="J17" s="561">
        <v>1342092.0</v>
      </c>
      <c r="K17" s="561">
        <v>5327494.0</v>
      </c>
    </row>
    <row r="18" ht="15.75" customHeight="1">
      <c r="A18" s="561">
        <v>264319.0</v>
      </c>
      <c r="B18" s="562">
        <v>45462.0</v>
      </c>
      <c r="C18" s="561"/>
      <c r="D18" s="561" t="s">
        <v>3340</v>
      </c>
      <c r="E18" s="561" t="s">
        <v>3341</v>
      </c>
      <c r="F18" s="561" t="s">
        <v>3334</v>
      </c>
      <c r="G18" s="563">
        <v>5145.69</v>
      </c>
      <c r="H18" s="563">
        <v>4662.4</v>
      </c>
      <c r="I18" s="564">
        <f t="shared" si="1"/>
        <v>0.9060786794</v>
      </c>
      <c r="J18" s="561">
        <v>1342575.0</v>
      </c>
      <c r="K18" s="561">
        <v>5327928.0</v>
      </c>
    </row>
    <row r="19" ht="15.75" customHeight="1">
      <c r="A19" s="567">
        <v>264338.0</v>
      </c>
      <c r="B19" s="562">
        <v>45462.0</v>
      </c>
      <c r="C19" s="567"/>
      <c r="D19" s="567" t="s">
        <v>3342</v>
      </c>
      <c r="E19" s="561" t="s">
        <v>3343</v>
      </c>
      <c r="F19" s="561" t="s">
        <v>3332</v>
      </c>
      <c r="G19" s="563">
        <v>4783.18</v>
      </c>
      <c r="H19" s="563">
        <v>3800.6</v>
      </c>
      <c r="I19" s="564">
        <f t="shared" si="1"/>
        <v>0.7945759934</v>
      </c>
      <c r="J19" s="561">
        <v>1342799.0</v>
      </c>
      <c r="K19" s="561">
        <v>5328020.0</v>
      </c>
    </row>
    <row r="20" ht="15.75" customHeight="1">
      <c r="A20" s="561">
        <v>264474.0</v>
      </c>
      <c r="B20" s="562">
        <v>45464.0</v>
      </c>
      <c r="C20" s="561"/>
      <c r="D20" s="561" t="s">
        <v>3344</v>
      </c>
      <c r="E20" s="561" t="s">
        <v>3322</v>
      </c>
      <c r="F20" s="561" t="s">
        <v>69</v>
      </c>
      <c r="G20" s="563">
        <v>6276.93</v>
      </c>
      <c r="H20" s="569">
        <v>5040.6</v>
      </c>
      <c r="I20" s="564">
        <f t="shared" si="1"/>
        <v>0.803035879</v>
      </c>
      <c r="J20" s="561">
        <v>1343751.0</v>
      </c>
      <c r="K20" s="561">
        <v>5287435.0</v>
      </c>
    </row>
    <row r="21" ht="15.75" customHeight="1">
      <c r="A21" s="561">
        <v>264494.0</v>
      </c>
      <c r="B21" s="562">
        <v>45464.0</v>
      </c>
      <c r="C21" s="561"/>
      <c r="D21" s="561" t="s">
        <v>3344</v>
      </c>
      <c r="E21" s="561" t="s">
        <v>3322</v>
      </c>
      <c r="F21" s="561" t="s">
        <v>395</v>
      </c>
      <c r="G21" s="563">
        <v>6276.93</v>
      </c>
      <c r="H21" s="563">
        <v>5040.6</v>
      </c>
      <c r="I21" s="564">
        <f t="shared" si="1"/>
        <v>0.803035879</v>
      </c>
      <c r="J21" s="561">
        <v>1343737.0</v>
      </c>
      <c r="K21" s="561">
        <v>5287290.0</v>
      </c>
    </row>
    <row r="22" ht="15.75" customHeight="1">
      <c r="A22" s="561" t="s">
        <v>3345</v>
      </c>
      <c r="B22" s="562">
        <v>45465.0</v>
      </c>
      <c r="C22" s="561"/>
      <c r="D22" s="561" t="s">
        <v>3346</v>
      </c>
      <c r="E22" s="561" t="s">
        <v>3347</v>
      </c>
      <c r="F22" s="561" t="s">
        <v>419</v>
      </c>
      <c r="G22" s="563">
        <v>5216.26</v>
      </c>
      <c r="H22" s="563">
        <v>4302.8</v>
      </c>
      <c r="I22" s="564">
        <f t="shared" si="1"/>
        <v>0.8248821953</v>
      </c>
      <c r="J22" s="561">
        <v>1344736.0</v>
      </c>
      <c r="K22" s="561">
        <v>5329854.0</v>
      </c>
    </row>
    <row r="23" ht="15.75" customHeight="1">
      <c r="A23" s="561">
        <v>264857.0</v>
      </c>
      <c r="B23" s="562">
        <v>45468.0</v>
      </c>
      <c r="C23" s="561"/>
      <c r="D23" s="561" t="s">
        <v>3348</v>
      </c>
      <c r="E23" s="570" t="s">
        <v>3333</v>
      </c>
      <c r="F23" s="561" t="s">
        <v>395</v>
      </c>
      <c r="G23" s="563">
        <v>6276.93</v>
      </c>
      <c r="H23" s="563">
        <v>5528.4</v>
      </c>
      <c r="I23" s="564">
        <f t="shared" si="1"/>
        <v>0.8807490286</v>
      </c>
      <c r="J23" s="561">
        <v>1346224.0</v>
      </c>
      <c r="K23" s="561">
        <v>5331181.0</v>
      </c>
    </row>
    <row r="24" ht="15.75" customHeight="1">
      <c r="A24" s="561">
        <v>265290.0</v>
      </c>
      <c r="B24" s="562">
        <v>45471.0</v>
      </c>
      <c r="C24" s="561"/>
      <c r="D24" s="561" t="s">
        <v>3330</v>
      </c>
      <c r="E24" s="561" t="s">
        <v>3331</v>
      </c>
      <c r="F24" s="561" t="s">
        <v>419</v>
      </c>
      <c r="G24" s="563">
        <v>5905.23</v>
      </c>
      <c r="H24" s="563">
        <v>5351.6</v>
      </c>
      <c r="I24" s="564">
        <f t="shared" si="1"/>
        <v>0.9062475128</v>
      </c>
      <c r="J24" s="561">
        <v>1348153.0</v>
      </c>
      <c r="K24" s="561">
        <v>5312354.0</v>
      </c>
    </row>
    <row r="25" ht="15.75" customHeight="1">
      <c r="A25" s="567">
        <v>265414.0</v>
      </c>
      <c r="B25" s="562">
        <v>45471.0</v>
      </c>
      <c r="C25" s="571"/>
      <c r="D25" s="571" t="s">
        <v>3321</v>
      </c>
      <c r="E25" s="561" t="s">
        <v>270</v>
      </c>
      <c r="F25" s="561" t="s">
        <v>395</v>
      </c>
      <c r="G25" s="572">
        <v>6039.19</v>
      </c>
      <c r="H25" s="572">
        <v>5044.19</v>
      </c>
      <c r="I25" s="564">
        <f t="shared" si="1"/>
        <v>0.8352428057</v>
      </c>
      <c r="J25" s="573">
        <v>1348816.0</v>
      </c>
      <c r="K25" s="561">
        <v>5333176.0</v>
      </c>
    </row>
    <row r="26" ht="15.75" customHeight="1">
      <c r="A26" s="573">
        <v>265724.0</v>
      </c>
      <c r="B26" s="562">
        <v>45475.0</v>
      </c>
      <c r="C26" s="573"/>
      <c r="D26" s="573" t="s">
        <v>3335</v>
      </c>
      <c r="E26" s="561" t="s">
        <v>3336</v>
      </c>
      <c r="F26" s="561" t="s">
        <v>419</v>
      </c>
      <c r="G26" s="572">
        <v>5345.63</v>
      </c>
      <c r="H26" s="572">
        <v>5066.0</v>
      </c>
      <c r="I26" s="564">
        <f t="shared" si="1"/>
        <v>0.9476899823</v>
      </c>
      <c r="J26" s="573">
        <v>1350415.0</v>
      </c>
      <c r="K26" s="561">
        <v>5326514.0</v>
      </c>
    </row>
    <row r="27" ht="15.75" customHeight="1">
      <c r="A27" s="573">
        <v>265789.0</v>
      </c>
      <c r="B27" s="562">
        <v>45476.0</v>
      </c>
      <c r="C27" s="573"/>
      <c r="D27" s="573" t="s">
        <v>3349</v>
      </c>
      <c r="E27" s="561" t="s">
        <v>3350</v>
      </c>
      <c r="F27" s="561" t="s">
        <v>395</v>
      </c>
      <c r="G27" s="572">
        <v>6830.51</v>
      </c>
      <c r="H27" s="572">
        <v>5168.0</v>
      </c>
      <c r="I27" s="564">
        <f t="shared" si="1"/>
        <v>0.7566052901</v>
      </c>
      <c r="J27" s="561">
        <v>1350828.0</v>
      </c>
      <c r="K27" s="561">
        <v>5329338.0</v>
      </c>
    </row>
    <row r="28" ht="15.75" customHeight="1">
      <c r="A28" s="561">
        <v>266270.0</v>
      </c>
      <c r="B28" s="562">
        <v>45479.0</v>
      </c>
      <c r="C28" s="561"/>
      <c r="D28" s="561" t="s">
        <v>3321</v>
      </c>
      <c r="E28" s="561" t="s">
        <v>3333</v>
      </c>
      <c r="F28" s="561" t="s">
        <v>3351</v>
      </c>
      <c r="G28" s="572">
        <v>7132.88</v>
      </c>
      <c r="H28" s="572">
        <v>5378.4</v>
      </c>
      <c r="I28" s="564">
        <f t="shared" si="1"/>
        <v>0.754029228</v>
      </c>
      <c r="J28" s="573">
        <v>1353031.0</v>
      </c>
      <c r="K28" s="561">
        <v>5336916.0</v>
      </c>
    </row>
    <row r="29" ht="15.75" customHeight="1">
      <c r="A29" s="573">
        <v>266432.0</v>
      </c>
      <c r="B29" s="562">
        <v>45482.0</v>
      </c>
      <c r="C29" s="573"/>
      <c r="D29" s="573" t="s">
        <v>3352</v>
      </c>
      <c r="E29" s="561" t="s">
        <v>138</v>
      </c>
      <c r="F29" s="561" t="s">
        <v>3353</v>
      </c>
      <c r="G29" s="572">
        <v>5731.47</v>
      </c>
      <c r="H29" s="572">
        <v>4672.0</v>
      </c>
      <c r="I29" s="564">
        <f t="shared" si="1"/>
        <v>0.8151486442</v>
      </c>
      <c r="J29" s="573">
        <v>1354532.0</v>
      </c>
      <c r="K29" s="561">
        <v>5338341.0</v>
      </c>
    </row>
    <row r="30" ht="15.75" customHeight="1">
      <c r="A30" s="573" t="s">
        <v>3354</v>
      </c>
      <c r="B30" s="562">
        <v>45482.0</v>
      </c>
      <c r="C30" s="573"/>
      <c r="D30" s="573" t="s">
        <v>3355</v>
      </c>
      <c r="E30" s="561" t="s">
        <v>3356</v>
      </c>
      <c r="F30" s="561" t="s">
        <v>419</v>
      </c>
      <c r="G30" s="572">
        <v>6361.07</v>
      </c>
      <c r="H30" s="572">
        <v>4608.0</v>
      </c>
      <c r="I30" s="564">
        <f t="shared" si="1"/>
        <v>0.7244064285</v>
      </c>
      <c r="J30" s="573">
        <v>1354940.0</v>
      </c>
      <c r="K30" s="561">
        <v>5338501.0</v>
      </c>
    </row>
    <row r="31" ht="15.75" customHeight="1">
      <c r="A31" s="561">
        <v>266640.0</v>
      </c>
      <c r="B31" s="562">
        <v>45484.0</v>
      </c>
      <c r="C31" s="561"/>
      <c r="D31" s="561" t="s">
        <v>3357</v>
      </c>
      <c r="E31" s="561" t="s">
        <v>3358</v>
      </c>
      <c r="F31" s="561" t="s">
        <v>3351</v>
      </c>
      <c r="G31" s="572">
        <v>5868.94</v>
      </c>
      <c r="H31" s="572">
        <v>5049.6</v>
      </c>
      <c r="I31" s="564">
        <f t="shared" si="1"/>
        <v>0.8603938701</v>
      </c>
      <c r="J31" s="573">
        <v>1355614.0</v>
      </c>
      <c r="K31" s="561">
        <v>5339287.0</v>
      </c>
    </row>
    <row r="32" ht="15.75" customHeight="1">
      <c r="A32" s="573">
        <v>266800.0</v>
      </c>
      <c r="B32" s="562">
        <v>45485.0</v>
      </c>
      <c r="C32" s="573"/>
      <c r="D32" s="573" t="s">
        <v>3346</v>
      </c>
      <c r="E32" s="561" t="s">
        <v>3347</v>
      </c>
      <c r="F32" s="561" t="s">
        <v>395</v>
      </c>
      <c r="G32" s="572">
        <v>5927.57</v>
      </c>
      <c r="H32" s="572">
        <v>4456.36</v>
      </c>
      <c r="I32" s="564">
        <f t="shared" si="1"/>
        <v>0.7518021719</v>
      </c>
      <c r="J32" s="561">
        <v>1356658.0</v>
      </c>
      <c r="K32" s="561">
        <v>5340160.0</v>
      </c>
    </row>
    <row r="33" ht="15.75" customHeight="1">
      <c r="A33" s="573">
        <v>266804.0</v>
      </c>
      <c r="B33" s="562">
        <v>45485.0</v>
      </c>
      <c r="C33" s="573"/>
      <c r="D33" s="573" t="s">
        <v>3321</v>
      </c>
      <c r="E33" s="561" t="s">
        <v>3333</v>
      </c>
      <c r="F33" s="561" t="s">
        <v>3353</v>
      </c>
      <c r="G33" s="574">
        <v>7132.88</v>
      </c>
      <c r="H33" s="574">
        <v>5378.4</v>
      </c>
      <c r="I33" s="564">
        <f t="shared" si="1"/>
        <v>0.754029228</v>
      </c>
      <c r="J33" s="573">
        <v>1356637.0</v>
      </c>
      <c r="K33" s="561">
        <v>5364201.0</v>
      </c>
    </row>
    <row r="34" ht="15.75" customHeight="1">
      <c r="A34" s="573">
        <v>266881.0</v>
      </c>
      <c r="B34" s="562">
        <v>45486.0</v>
      </c>
      <c r="C34" s="561"/>
      <c r="D34" s="561" t="s">
        <v>3321</v>
      </c>
      <c r="E34" s="561" t="s">
        <v>3333</v>
      </c>
      <c r="F34" s="561" t="s">
        <v>419</v>
      </c>
      <c r="G34" s="574">
        <v>7132.88</v>
      </c>
      <c r="H34" s="574">
        <v>5378.4</v>
      </c>
      <c r="I34" s="564">
        <f t="shared" si="1"/>
        <v>0.754029228</v>
      </c>
      <c r="J34" s="573">
        <v>1357168.0</v>
      </c>
      <c r="K34" s="561">
        <v>5340612.0</v>
      </c>
    </row>
    <row r="35" ht="15.75" customHeight="1">
      <c r="A35" s="573">
        <v>266977.0</v>
      </c>
      <c r="B35" s="562">
        <v>45488.0</v>
      </c>
      <c r="C35" s="573"/>
      <c r="D35" s="573" t="s">
        <v>3339</v>
      </c>
      <c r="E35" s="561" t="s">
        <v>3331</v>
      </c>
      <c r="F35" s="561" t="s">
        <v>3351</v>
      </c>
      <c r="G35" s="572">
        <v>6710.49</v>
      </c>
      <c r="H35" s="572">
        <v>5036.8</v>
      </c>
      <c r="I35" s="564">
        <f t="shared" si="1"/>
        <v>0.7505860228</v>
      </c>
      <c r="J35" s="573">
        <v>1358015.0</v>
      </c>
      <c r="K35" s="561">
        <v>5370715.0</v>
      </c>
    </row>
    <row r="36" ht="15.75" customHeight="1">
      <c r="A36" s="573">
        <v>267272.0</v>
      </c>
      <c r="B36" s="562">
        <v>45490.0</v>
      </c>
      <c r="C36" s="573"/>
      <c r="D36" s="573" t="s">
        <v>3346</v>
      </c>
      <c r="E36" s="561" t="s">
        <v>3347</v>
      </c>
      <c r="F36" s="561" t="s">
        <v>3359</v>
      </c>
      <c r="G36" s="574">
        <v>5927.57</v>
      </c>
      <c r="H36" s="574">
        <v>4456.36</v>
      </c>
      <c r="I36" s="564">
        <f t="shared" si="1"/>
        <v>0.7518021719</v>
      </c>
      <c r="J36" s="573">
        <v>1359549.0</v>
      </c>
      <c r="K36" s="561">
        <v>5391667.0</v>
      </c>
    </row>
    <row r="37" ht="15.75" customHeight="1">
      <c r="A37" s="573">
        <v>267403.0</v>
      </c>
      <c r="B37" s="562">
        <v>45491.0</v>
      </c>
      <c r="C37" s="575"/>
      <c r="D37" s="575" t="s">
        <v>3360</v>
      </c>
      <c r="E37" s="561" t="s">
        <v>3341</v>
      </c>
      <c r="F37" s="561" t="s">
        <v>145</v>
      </c>
      <c r="G37" s="572">
        <v>5847.38</v>
      </c>
      <c r="H37" s="572">
        <v>4812.8</v>
      </c>
      <c r="I37" s="564">
        <f t="shared" si="1"/>
        <v>0.8230694773</v>
      </c>
      <c r="J37" s="573">
        <v>1360132.0</v>
      </c>
      <c r="K37" s="561">
        <v>5362465.0</v>
      </c>
    </row>
    <row r="38" ht="15.75" customHeight="1">
      <c r="A38" s="561">
        <v>267436.0</v>
      </c>
      <c r="B38" s="562">
        <v>45492.0</v>
      </c>
      <c r="C38" s="576"/>
      <c r="D38" s="576" t="s">
        <v>3355</v>
      </c>
      <c r="E38" s="576" t="s">
        <v>3356</v>
      </c>
      <c r="F38" s="561" t="s">
        <v>419</v>
      </c>
      <c r="G38" s="572">
        <v>6361.07</v>
      </c>
      <c r="H38" s="572">
        <v>4608.0</v>
      </c>
      <c r="I38" s="564">
        <f t="shared" si="1"/>
        <v>0.7244064285</v>
      </c>
      <c r="J38" s="573">
        <v>1360267.0</v>
      </c>
      <c r="K38" s="561">
        <v>5396974.0</v>
      </c>
    </row>
    <row r="39" ht="15.75" customHeight="1">
      <c r="A39" s="573">
        <v>267647.0</v>
      </c>
      <c r="B39" s="562">
        <v>45495.0</v>
      </c>
      <c r="C39" s="573"/>
      <c r="D39" s="573" t="s">
        <v>3349</v>
      </c>
      <c r="E39" s="561" t="s">
        <v>3350</v>
      </c>
      <c r="F39" s="561" t="s">
        <v>3353</v>
      </c>
      <c r="G39" s="572">
        <v>6830.51</v>
      </c>
      <c r="H39" s="572">
        <v>4864.0</v>
      </c>
      <c r="I39" s="564">
        <f t="shared" si="1"/>
        <v>0.7120990966</v>
      </c>
      <c r="J39" s="573">
        <v>1361413.0</v>
      </c>
      <c r="K39" s="561">
        <v>5404873.0</v>
      </c>
    </row>
    <row r="40" ht="15.75" customHeight="1">
      <c r="A40" s="577">
        <v>267930.0</v>
      </c>
      <c r="B40" s="562">
        <v>45497.0</v>
      </c>
      <c r="C40" s="577"/>
      <c r="D40" s="577" t="s">
        <v>3361</v>
      </c>
      <c r="E40" s="561" t="s">
        <v>3362</v>
      </c>
      <c r="F40" s="561" t="s">
        <v>3359</v>
      </c>
      <c r="G40" s="563">
        <v>4055.94241417422</v>
      </c>
      <c r="H40" s="572">
        <v>3003.33</v>
      </c>
      <c r="I40" s="564">
        <f t="shared" si="1"/>
        <v>0.7404764894</v>
      </c>
      <c r="J40" s="573">
        <v>1362669.0</v>
      </c>
      <c r="K40" s="561">
        <v>5359983.0</v>
      </c>
    </row>
    <row r="41" ht="15.75" customHeight="1">
      <c r="A41" s="573">
        <v>268303.0</v>
      </c>
      <c r="B41" s="562">
        <v>45499.0</v>
      </c>
      <c r="C41" s="573"/>
      <c r="D41" s="573" t="s">
        <v>3321</v>
      </c>
      <c r="E41" s="561" t="s">
        <v>3333</v>
      </c>
      <c r="F41" s="561" t="s">
        <v>162</v>
      </c>
      <c r="G41" s="574">
        <v>7132.88</v>
      </c>
      <c r="H41" s="572">
        <v>5203.2</v>
      </c>
      <c r="I41" s="564">
        <f t="shared" si="1"/>
        <v>0.7294669194</v>
      </c>
      <c r="J41" s="573">
        <v>1364273.0</v>
      </c>
      <c r="K41" s="561">
        <v>5425365.0</v>
      </c>
    </row>
    <row r="42" ht="15.75" customHeight="1">
      <c r="A42" s="567">
        <v>268345.0</v>
      </c>
      <c r="B42" s="562">
        <v>45499.0</v>
      </c>
      <c r="C42" s="573"/>
      <c r="D42" s="573" t="s">
        <v>3363</v>
      </c>
      <c r="E42" s="576" t="s">
        <v>3329</v>
      </c>
      <c r="F42" s="561" t="s">
        <v>3359</v>
      </c>
      <c r="G42" s="563">
        <v>6093.20904208328</v>
      </c>
      <c r="H42" s="563">
        <v>5619.2</v>
      </c>
      <c r="I42" s="564">
        <f t="shared" si="1"/>
        <v>0.9222069949</v>
      </c>
      <c r="J42" s="573">
        <v>1364514.0</v>
      </c>
      <c r="K42" s="561">
        <v>5426849.0</v>
      </c>
    </row>
    <row r="43" ht="15.75" customHeight="1">
      <c r="A43" s="561"/>
      <c r="B43" s="561"/>
      <c r="C43" s="578"/>
      <c r="D43" s="578"/>
      <c r="E43" s="561"/>
      <c r="F43" s="561"/>
      <c r="G43" s="563"/>
      <c r="H43" s="563"/>
      <c r="I43" s="561"/>
      <c r="J43" s="561"/>
      <c r="K43" s="561"/>
    </row>
    <row r="44" ht="15.75" customHeight="1">
      <c r="A44" s="561"/>
      <c r="B44" s="561"/>
      <c r="C44" s="561"/>
      <c r="D44" s="561"/>
      <c r="E44" s="578"/>
      <c r="F44" s="561"/>
      <c r="G44" s="563"/>
      <c r="H44" s="563"/>
      <c r="I44" s="561"/>
      <c r="J44" s="561"/>
      <c r="K44" s="561"/>
    </row>
    <row r="45" ht="15.75" customHeight="1">
      <c r="A45" s="561"/>
      <c r="B45" s="561"/>
      <c r="C45" s="579"/>
      <c r="D45" s="579"/>
      <c r="E45" s="561"/>
      <c r="F45" s="561"/>
      <c r="G45" s="563"/>
      <c r="H45" s="563"/>
      <c r="I45" s="561"/>
      <c r="J45" s="561"/>
      <c r="K45" s="561"/>
    </row>
    <row r="46" ht="15.75" customHeight="1">
      <c r="A46" s="561"/>
      <c r="B46" s="561"/>
      <c r="C46" s="580"/>
      <c r="D46" s="580" t="s">
        <v>3364</v>
      </c>
      <c r="E46" s="561"/>
      <c r="F46" s="561"/>
      <c r="G46" s="563"/>
      <c r="H46" s="563"/>
      <c r="I46" s="561"/>
      <c r="J46" s="561"/>
      <c r="K46" s="561"/>
    </row>
    <row r="47" ht="15.75" customHeight="1">
      <c r="A47" s="561"/>
      <c r="B47" s="561"/>
      <c r="C47" s="581"/>
      <c r="D47" s="581" t="s">
        <v>3365</v>
      </c>
      <c r="E47" s="561"/>
      <c r="F47" s="561"/>
      <c r="G47" s="563"/>
      <c r="H47" s="563"/>
      <c r="I47" s="561"/>
      <c r="J47" s="561"/>
      <c r="K47" s="561"/>
    </row>
    <row r="48" ht="15.75" customHeight="1">
      <c r="A48" s="561"/>
      <c r="B48" s="561"/>
      <c r="C48" s="579"/>
      <c r="D48" s="579" t="s">
        <v>3366</v>
      </c>
      <c r="E48" s="561"/>
      <c r="F48" s="561"/>
      <c r="G48" s="563"/>
      <c r="H48" s="563"/>
      <c r="I48" s="561"/>
      <c r="J48" s="561"/>
      <c r="K48" s="561"/>
    </row>
    <row r="49" ht="15.75" customHeight="1">
      <c r="A49" s="561"/>
      <c r="B49" s="561"/>
      <c r="C49" s="582"/>
      <c r="D49" s="582" t="s">
        <v>3367</v>
      </c>
      <c r="E49" s="561"/>
      <c r="F49" s="561"/>
      <c r="G49" s="563"/>
      <c r="H49" s="563"/>
      <c r="I49" s="561"/>
      <c r="J49" s="561"/>
      <c r="K49" s="561"/>
    </row>
    <row r="50" ht="15.75" customHeight="1">
      <c r="A50" s="561"/>
      <c r="B50" s="561"/>
      <c r="C50" s="561"/>
      <c r="D50" s="561"/>
      <c r="E50" s="561"/>
      <c r="F50" s="561"/>
      <c r="G50" s="563"/>
      <c r="H50" s="563"/>
      <c r="I50" s="561"/>
      <c r="J50" s="561"/>
      <c r="K50" s="561"/>
    </row>
    <row r="51" ht="15.75" customHeight="1">
      <c r="A51" s="561"/>
      <c r="B51" s="561"/>
      <c r="C51" s="561"/>
      <c r="D51" s="561"/>
      <c r="E51" s="561"/>
      <c r="F51" s="561"/>
      <c r="G51" s="563"/>
      <c r="H51" s="563"/>
      <c r="I51" s="561"/>
      <c r="J51" s="561"/>
      <c r="K51" s="561"/>
    </row>
    <row r="52" ht="15.75" customHeight="1">
      <c r="A52" s="561"/>
      <c r="B52" s="561"/>
      <c r="C52" s="561"/>
      <c r="D52" s="561"/>
      <c r="E52" s="561"/>
      <c r="F52" s="561"/>
      <c r="G52" s="563"/>
      <c r="H52" s="563"/>
      <c r="I52" s="561"/>
      <c r="J52" s="561"/>
      <c r="K52" s="561"/>
    </row>
    <row r="53" ht="15.75" customHeight="1">
      <c r="A53" s="561"/>
      <c r="B53" s="561"/>
      <c r="C53" s="561"/>
      <c r="D53" s="561"/>
      <c r="E53" s="561"/>
      <c r="F53" s="561"/>
      <c r="G53" s="563"/>
      <c r="H53" s="563"/>
      <c r="I53" s="561"/>
      <c r="J53" s="561"/>
      <c r="K53" s="561"/>
    </row>
    <row r="54" ht="15.75" customHeight="1">
      <c r="A54" s="561"/>
      <c r="B54" s="561"/>
      <c r="C54" s="561"/>
      <c r="D54" s="561"/>
      <c r="E54" s="561"/>
      <c r="F54" s="561"/>
      <c r="G54" s="563"/>
      <c r="H54" s="563"/>
      <c r="I54" s="561"/>
      <c r="J54" s="561"/>
      <c r="K54" s="561"/>
    </row>
    <row r="55" ht="15.75" customHeight="1">
      <c r="A55" s="561"/>
      <c r="B55" s="561"/>
      <c r="C55" s="561"/>
      <c r="D55" s="561"/>
      <c r="E55" s="561"/>
      <c r="F55" s="561"/>
      <c r="G55" s="563"/>
      <c r="H55" s="563"/>
      <c r="I55" s="561"/>
      <c r="J55" s="561"/>
      <c r="K55" s="561"/>
    </row>
    <row r="56" ht="15.75" customHeight="1">
      <c r="A56" s="561"/>
      <c r="B56" s="561"/>
      <c r="C56" s="561"/>
      <c r="D56" s="561"/>
      <c r="E56" s="561"/>
      <c r="F56" s="561"/>
      <c r="G56" s="563"/>
      <c r="H56" s="563"/>
      <c r="I56" s="561"/>
      <c r="J56" s="561"/>
      <c r="K56" s="561"/>
    </row>
    <row r="57" ht="15.75" customHeight="1">
      <c r="A57" s="561"/>
      <c r="B57" s="561"/>
      <c r="C57" s="561"/>
      <c r="D57" s="561"/>
      <c r="E57" s="561"/>
      <c r="F57" s="561"/>
      <c r="G57" s="563"/>
      <c r="H57" s="563"/>
      <c r="I57" s="561"/>
      <c r="J57" s="561"/>
      <c r="K57" s="561"/>
    </row>
    <row r="58" ht="15.75" customHeight="1">
      <c r="A58" s="561"/>
      <c r="B58" s="561"/>
      <c r="C58" s="561"/>
      <c r="D58" s="561"/>
      <c r="E58" s="561"/>
      <c r="F58" s="561"/>
      <c r="G58" s="563"/>
      <c r="H58" s="563"/>
      <c r="I58" s="561"/>
      <c r="J58" s="561"/>
      <c r="K58" s="561"/>
    </row>
    <row r="59" ht="15.75" customHeight="1">
      <c r="A59" s="561"/>
      <c r="B59" s="561"/>
      <c r="C59" s="561"/>
      <c r="D59" s="561"/>
      <c r="E59" s="561"/>
      <c r="F59" s="561"/>
      <c r="G59" s="563"/>
      <c r="H59" s="563"/>
      <c r="I59" s="561"/>
      <c r="J59" s="561"/>
      <c r="K59" s="561"/>
    </row>
    <row r="60" ht="15.75" customHeight="1">
      <c r="A60" s="561"/>
      <c r="B60" s="561"/>
      <c r="C60" s="561"/>
      <c r="D60" s="561"/>
      <c r="E60" s="561"/>
      <c r="F60" s="561"/>
      <c r="G60" s="563"/>
      <c r="H60" s="563"/>
      <c r="I60" s="561"/>
      <c r="J60" s="561"/>
      <c r="K60" s="561"/>
    </row>
    <row r="61" ht="15.75" customHeight="1">
      <c r="A61" s="561"/>
      <c r="B61" s="561"/>
      <c r="C61" s="561"/>
      <c r="D61" s="561"/>
      <c r="E61" s="561"/>
      <c r="F61" s="561"/>
      <c r="G61" s="563"/>
      <c r="H61" s="563"/>
      <c r="I61" s="561"/>
      <c r="J61" s="561"/>
      <c r="K61" s="561"/>
    </row>
    <row r="62" ht="15.75" customHeight="1">
      <c r="A62" s="561"/>
      <c r="B62" s="561"/>
      <c r="C62" s="561"/>
      <c r="D62" s="561"/>
      <c r="E62" s="561"/>
      <c r="F62" s="561"/>
      <c r="G62" s="561"/>
      <c r="H62" s="563"/>
      <c r="I62" s="561"/>
      <c r="J62" s="561"/>
      <c r="K62" s="561"/>
    </row>
    <row r="63" ht="15.75" customHeight="1">
      <c r="A63" s="561"/>
      <c r="B63" s="561"/>
      <c r="C63" s="561"/>
      <c r="D63" s="561"/>
      <c r="E63" s="561"/>
      <c r="F63" s="561"/>
      <c r="G63" s="561"/>
      <c r="H63" s="563"/>
      <c r="I63" s="561"/>
      <c r="J63" s="561"/>
      <c r="K63" s="561"/>
    </row>
    <row r="64" ht="15.75" customHeight="1">
      <c r="A64" s="561"/>
      <c r="B64" s="561"/>
      <c r="C64" s="561"/>
      <c r="D64" s="561"/>
      <c r="E64" s="561"/>
      <c r="F64" s="561"/>
      <c r="G64" s="561"/>
      <c r="H64" s="563"/>
      <c r="I64" s="561"/>
      <c r="J64" s="561"/>
      <c r="K64" s="561"/>
    </row>
    <row r="65" ht="15.75" customHeight="1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</row>
    <row r="66" ht="15.75" customHeight="1">
      <c r="A66" s="561"/>
      <c r="B66" s="561"/>
      <c r="C66" s="561"/>
      <c r="D66" s="561"/>
      <c r="E66" s="561"/>
      <c r="F66" s="561"/>
      <c r="G66" s="561"/>
      <c r="H66" s="561"/>
      <c r="I66" s="561"/>
      <c r="J66" s="561"/>
      <c r="K66" s="561"/>
    </row>
    <row r="67" ht="15.75" customHeight="1">
      <c r="A67" s="561"/>
      <c r="B67" s="561"/>
      <c r="C67" s="561"/>
      <c r="D67" s="561"/>
      <c r="E67" s="561"/>
      <c r="F67" s="561"/>
      <c r="G67" s="561"/>
      <c r="H67" s="561"/>
      <c r="I67" s="561"/>
      <c r="J67" s="561"/>
      <c r="K67" s="561"/>
    </row>
    <row r="68" ht="15.75" customHeight="1">
      <c r="A68" s="561"/>
      <c r="B68" s="561"/>
      <c r="C68" s="561"/>
      <c r="D68" s="561"/>
      <c r="E68" s="561"/>
      <c r="F68" s="561"/>
      <c r="G68" s="561"/>
      <c r="H68" s="561"/>
      <c r="I68" s="561"/>
      <c r="J68" s="561"/>
      <c r="K68" s="561"/>
    </row>
    <row r="69" ht="15.75" customHeight="1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</row>
    <row r="70" ht="15.75" customHeight="1">
      <c r="A70" s="561"/>
      <c r="B70" s="561"/>
      <c r="C70" s="561"/>
      <c r="D70" s="561"/>
      <c r="E70" s="561"/>
      <c r="F70" s="561"/>
      <c r="G70" s="561"/>
      <c r="H70" s="561"/>
      <c r="I70" s="561"/>
      <c r="J70" s="561"/>
      <c r="K70" s="561"/>
    </row>
    <row r="71" ht="15.75" customHeight="1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</row>
    <row r="72" ht="15.75" customHeight="1">
      <c r="A72" s="561"/>
      <c r="B72" s="561"/>
      <c r="C72" s="561"/>
      <c r="D72" s="561"/>
      <c r="E72" s="561"/>
      <c r="F72" s="561"/>
      <c r="G72" s="561"/>
      <c r="H72" s="561"/>
      <c r="I72" s="561"/>
      <c r="J72" s="561"/>
      <c r="K72" s="561"/>
    </row>
    <row r="73" ht="15.75" customHeight="1">
      <c r="A73" s="561"/>
      <c r="B73" s="561"/>
      <c r="C73" s="561"/>
      <c r="D73" s="561"/>
      <c r="E73" s="561"/>
      <c r="F73" s="561"/>
      <c r="G73" s="561"/>
      <c r="H73" s="561"/>
      <c r="I73" s="561"/>
      <c r="J73" s="561"/>
      <c r="K73" s="561"/>
    </row>
    <row r="74" ht="15.75" customHeight="1">
      <c r="A74" s="561"/>
      <c r="B74" s="561"/>
      <c r="C74" s="561"/>
      <c r="D74" s="561"/>
      <c r="E74" s="561"/>
      <c r="F74" s="561"/>
      <c r="G74" s="561"/>
      <c r="H74" s="561"/>
      <c r="I74" s="561"/>
      <c r="J74" s="561"/>
      <c r="K74" s="561"/>
    </row>
    <row r="75" ht="15.75" customHeight="1">
      <c r="A75" s="561"/>
      <c r="B75" s="561"/>
      <c r="C75" s="561"/>
      <c r="D75" s="561"/>
      <c r="E75" s="561"/>
      <c r="F75" s="561"/>
      <c r="G75" s="561"/>
      <c r="H75" s="561"/>
      <c r="I75" s="561"/>
      <c r="J75" s="561"/>
      <c r="K75" s="561"/>
    </row>
    <row r="76" ht="15.75" customHeight="1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</row>
    <row r="77" ht="15.75" customHeight="1">
      <c r="A77" s="561"/>
      <c r="B77" s="561"/>
      <c r="C77" s="561"/>
      <c r="D77" s="561"/>
      <c r="E77" s="561"/>
      <c r="F77" s="561"/>
      <c r="G77" s="561"/>
      <c r="H77" s="561"/>
      <c r="I77" s="561"/>
      <c r="J77" s="561"/>
      <c r="K77" s="561"/>
    </row>
    <row r="78" ht="15.75" customHeight="1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</row>
    <row r="79" ht="15.75" customHeight="1">
      <c r="A79" s="561"/>
      <c r="B79" s="561"/>
      <c r="C79" s="561"/>
      <c r="D79" s="561"/>
      <c r="E79" s="561"/>
      <c r="F79" s="561"/>
      <c r="G79" s="561"/>
      <c r="H79" s="561"/>
      <c r="I79" s="561"/>
      <c r="J79" s="561"/>
      <c r="K79" s="561"/>
    </row>
    <row r="80" ht="15.75" customHeight="1">
      <c r="A80" s="561"/>
      <c r="B80" s="561"/>
      <c r="C80" s="561"/>
      <c r="D80" s="561"/>
      <c r="E80" s="561"/>
      <c r="F80" s="561"/>
      <c r="G80" s="561"/>
      <c r="H80" s="561"/>
      <c r="I80" s="561"/>
      <c r="J80" s="561"/>
      <c r="K80" s="561"/>
    </row>
    <row r="81" ht="15.75" customHeight="1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</row>
    <row r="82" ht="15.75" customHeight="1">
      <c r="A82" s="561"/>
      <c r="B82" s="561"/>
      <c r="C82" s="561"/>
      <c r="D82" s="561"/>
      <c r="E82" s="561"/>
      <c r="F82" s="561"/>
      <c r="G82" s="561"/>
      <c r="H82" s="561"/>
      <c r="I82" s="561"/>
      <c r="J82" s="561"/>
      <c r="K82" s="561"/>
    </row>
    <row r="83" ht="15.75" customHeight="1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</row>
    <row r="84" ht="15.75" customHeight="1">
      <c r="A84" s="561"/>
      <c r="B84" s="561"/>
      <c r="C84" s="561"/>
      <c r="D84" s="561"/>
      <c r="E84" s="561"/>
      <c r="F84" s="561"/>
      <c r="G84" s="561"/>
      <c r="H84" s="561"/>
      <c r="I84" s="561"/>
      <c r="J84" s="561"/>
      <c r="K84" s="561"/>
    </row>
    <row r="85" ht="15.75" customHeight="1">
      <c r="A85" s="561"/>
      <c r="B85" s="561"/>
      <c r="C85" s="561"/>
      <c r="D85" s="561"/>
      <c r="E85" s="561"/>
      <c r="F85" s="561"/>
      <c r="G85" s="561"/>
      <c r="H85" s="561"/>
      <c r="I85" s="561"/>
      <c r="J85" s="561"/>
      <c r="K85" s="561"/>
    </row>
    <row r="86" ht="15.75" customHeight="1">
      <c r="A86" s="561"/>
      <c r="B86" s="561"/>
      <c r="C86" s="561"/>
      <c r="D86" s="561"/>
      <c r="E86" s="561"/>
      <c r="F86" s="561"/>
      <c r="G86" s="561"/>
      <c r="H86" s="561"/>
      <c r="I86" s="561"/>
      <c r="J86" s="561"/>
      <c r="K86" s="561"/>
    </row>
    <row r="87" ht="15.75" customHeight="1">
      <c r="A87" s="561"/>
      <c r="B87" s="561"/>
      <c r="C87" s="561"/>
      <c r="D87" s="561"/>
      <c r="E87" s="561"/>
      <c r="F87" s="561"/>
      <c r="G87" s="561"/>
      <c r="H87" s="561"/>
      <c r="I87" s="561"/>
      <c r="J87" s="561"/>
      <c r="K87" s="561"/>
    </row>
    <row r="88" ht="15.75" customHeight="1">
      <c r="A88" s="583"/>
      <c r="B88" s="583"/>
      <c r="C88" s="583"/>
      <c r="D88" s="583"/>
      <c r="E88" s="583"/>
      <c r="F88" s="583"/>
      <c r="G88" s="583"/>
      <c r="H88" s="583"/>
      <c r="I88" s="583"/>
      <c r="J88" s="583"/>
      <c r="K88" s="583"/>
    </row>
    <row r="89" ht="15.75" customHeight="1">
      <c r="A89" s="583"/>
      <c r="B89" s="583"/>
      <c r="C89" s="583"/>
      <c r="D89" s="583"/>
      <c r="E89" s="583"/>
      <c r="F89" s="583"/>
      <c r="G89" s="583"/>
      <c r="H89" s="583"/>
      <c r="I89" s="583"/>
      <c r="J89" s="583"/>
      <c r="K89" s="583"/>
    </row>
    <row r="90" ht="15.75" customHeight="1">
      <c r="A90" s="583"/>
      <c r="B90" s="583"/>
      <c r="C90" s="583"/>
      <c r="D90" s="583"/>
      <c r="E90" s="583"/>
      <c r="F90" s="583"/>
      <c r="G90" s="583"/>
      <c r="H90" s="583"/>
      <c r="I90" s="583"/>
      <c r="J90" s="583"/>
      <c r="K90" s="583"/>
    </row>
    <row r="91" ht="15.75" customHeight="1">
      <c r="A91" s="583"/>
      <c r="B91" s="583"/>
      <c r="C91" s="583"/>
      <c r="D91" s="583"/>
      <c r="E91" s="583"/>
      <c r="F91" s="583"/>
      <c r="G91" s="583"/>
      <c r="H91" s="583"/>
      <c r="I91" s="583"/>
      <c r="J91" s="583"/>
      <c r="K91" s="583"/>
    </row>
    <row r="92" ht="15.75" customHeight="1">
      <c r="A92" s="583"/>
      <c r="B92" s="583"/>
      <c r="C92" s="583"/>
      <c r="D92" s="583"/>
      <c r="E92" s="583"/>
      <c r="F92" s="583"/>
      <c r="G92" s="583"/>
      <c r="H92" s="583"/>
      <c r="I92" s="583"/>
      <c r="J92" s="583"/>
      <c r="K92" s="583"/>
    </row>
    <row r="93" ht="15.75" customHeight="1">
      <c r="A93" s="583"/>
      <c r="B93" s="583"/>
      <c r="C93" s="583"/>
      <c r="D93" s="583"/>
      <c r="E93" s="583"/>
      <c r="F93" s="583"/>
      <c r="G93" s="583"/>
      <c r="H93" s="583"/>
      <c r="I93" s="583"/>
      <c r="J93" s="583"/>
      <c r="K93" s="583"/>
    </row>
    <row r="94" ht="15.75" customHeight="1">
      <c r="A94" s="583"/>
      <c r="B94" s="583"/>
      <c r="C94" s="583"/>
      <c r="D94" s="583"/>
      <c r="E94" s="583"/>
      <c r="F94" s="583"/>
      <c r="G94" s="583"/>
      <c r="H94" s="583"/>
      <c r="I94" s="583"/>
      <c r="J94" s="583"/>
      <c r="K94" s="583"/>
    </row>
    <row r="95" ht="15.75" customHeight="1">
      <c r="A95" s="583"/>
      <c r="B95" s="583"/>
      <c r="C95" s="583"/>
      <c r="D95" s="583"/>
      <c r="E95" s="583"/>
      <c r="F95" s="583"/>
      <c r="G95" s="583"/>
      <c r="H95" s="583"/>
      <c r="I95" s="583"/>
      <c r="J95" s="583"/>
      <c r="K95" s="583"/>
    </row>
    <row r="96" ht="15.75" customHeight="1">
      <c r="A96" s="584"/>
      <c r="B96" s="584"/>
      <c r="C96" s="584"/>
      <c r="D96" s="584"/>
      <c r="E96" s="584"/>
      <c r="F96" s="584"/>
      <c r="G96" s="584"/>
      <c r="H96" s="584"/>
      <c r="I96" s="584"/>
      <c r="J96" s="584"/>
      <c r="K96" s="584"/>
    </row>
    <row r="97" ht="15.75" customHeight="1">
      <c r="A97" s="584"/>
      <c r="B97" s="584"/>
      <c r="C97" s="584"/>
      <c r="D97" s="584"/>
      <c r="E97" s="584"/>
      <c r="F97" s="584"/>
      <c r="G97" s="584"/>
      <c r="H97" s="584"/>
      <c r="I97" s="584"/>
      <c r="J97" s="584"/>
      <c r="K97" s="584"/>
    </row>
    <row r="98" ht="15.75" customHeight="1">
      <c r="A98" s="584"/>
      <c r="B98" s="584"/>
      <c r="C98" s="584"/>
      <c r="D98" s="584"/>
      <c r="E98" s="584"/>
      <c r="F98" s="584"/>
      <c r="G98" s="584"/>
      <c r="H98" s="584"/>
      <c r="I98" s="584"/>
      <c r="J98" s="584"/>
      <c r="K98" s="584"/>
    </row>
    <row r="99" ht="15.75" customHeight="1">
      <c r="A99" s="584"/>
      <c r="B99" s="584"/>
      <c r="C99" s="584"/>
      <c r="D99" s="584"/>
      <c r="E99" s="584"/>
      <c r="F99" s="584"/>
      <c r="G99" s="584"/>
      <c r="H99" s="584"/>
      <c r="I99" s="584"/>
      <c r="J99" s="584"/>
      <c r="K99" s="584"/>
    </row>
    <row r="100" ht="15.75" customHeight="1">
      <c r="A100" s="584"/>
      <c r="B100" s="584"/>
      <c r="C100" s="584"/>
      <c r="D100" s="584"/>
      <c r="E100" s="584"/>
      <c r="F100" s="584"/>
      <c r="G100" s="584"/>
      <c r="H100" s="584"/>
      <c r="I100" s="584"/>
      <c r="J100" s="584"/>
      <c r="K100" s="584"/>
    </row>
    <row r="101" ht="15.75" customHeight="1">
      <c r="A101" s="584"/>
      <c r="B101" s="584"/>
      <c r="C101" s="584"/>
      <c r="D101" s="584"/>
      <c r="E101" s="584"/>
      <c r="F101" s="584"/>
      <c r="G101" s="584"/>
      <c r="H101" s="584"/>
      <c r="I101" s="584"/>
      <c r="J101" s="584"/>
      <c r="K101" s="584"/>
    </row>
    <row r="102" ht="15.75" customHeight="1">
      <c r="A102" s="584"/>
      <c r="B102" s="584"/>
      <c r="C102" s="584"/>
      <c r="D102" s="584"/>
      <c r="E102" s="584"/>
      <c r="F102" s="584"/>
      <c r="G102" s="584"/>
      <c r="H102" s="584"/>
      <c r="I102" s="584"/>
      <c r="J102" s="584"/>
      <c r="K102" s="584"/>
    </row>
    <row r="103" ht="15.75" customHeight="1">
      <c r="A103" s="584"/>
      <c r="B103" s="584"/>
      <c r="C103" s="584"/>
      <c r="D103" s="584"/>
      <c r="E103" s="584"/>
      <c r="F103" s="584"/>
      <c r="G103" s="584"/>
      <c r="H103" s="584"/>
      <c r="I103" s="584"/>
      <c r="J103" s="584"/>
      <c r="K103" s="584"/>
    </row>
    <row r="104" ht="15.75" customHeight="1">
      <c r="A104" s="584"/>
      <c r="B104" s="584"/>
      <c r="C104" s="584"/>
      <c r="D104" s="584"/>
      <c r="E104" s="584"/>
      <c r="F104" s="584"/>
      <c r="G104" s="584"/>
      <c r="H104" s="584"/>
      <c r="I104" s="584"/>
      <c r="J104" s="584"/>
      <c r="K104" s="584"/>
    </row>
    <row r="105" ht="15.75" customHeight="1">
      <c r="A105" s="584"/>
      <c r="B105" s="584"/>
      <c r="C105" s="584"/>
      <c r="D105" s="584"/>
      <c r="E105" s="584"/>
      <c r="F105" s="584"/>
      <c r="G105" s="584"/>
      <c r="H105" s="584"/>
      <c r="I105" s="584"/>
      <c r="J105" s="584"/>
      <c r="K105" s="584"/>
    </row>
    <row r="106" ht="15.75" customHeight="1">
      <c r="A106" s="584"/>
      <c r="B106" s="584"/>
      <c r="C106" s="584"/>
      <c r="D106" s="584"/>
      <c r="E106" s="584"/>
      <c r="F106" s="584"/>
      <c r="G106" s="584"/>
      <c r="H106" s="584"/>
      <c r="I106" s="584"/>
      <c r="J106" s="584"/>
      <c r="K106" s="584"/>
    </row>
    <row r="107" ht="15.75" customHeight="1">
      <c r="A107" s="584"/>
      <c r="B107" s="584"/>
      <c r="C107" s="584"/>
      <c r="D107" s="584"/>
      <c r="E107" s="584"/>
      <c r="F107" s="584"/>
      <c r="G107" s="584"/>
      <c r="H107" s="584"/>
      <c r="I107" s="584"/>
      <c r="J107" s="584"/>
      <c r="K107" s="584"/>
    </row>
    <row r="108" ht="15.75" customHeight="1">
      <c r="A108" s="584"/>
      <c r="B108" s="584"/>
      <c r="C108" s="584"/>
      <c r="D108" s="584"/>
      <c r="E108" s="584"/>
      <c r="F108" s="584"/>
      <c r="G108" s="584"/>
      <c r="H108" s="584"/>
      <c r="I108" s="584"/>
      <c r="J108" s="584"/>
      <c r="K108" s="584"/>
    </row>
    <row r="109" ht="15.75" customHeight="1">
      <c r="A109" s="584"/>
      <c r="B109" s="584"/>
      <c r="C109" s="584"/>
      <c r="D109" s="584"/>
      <c r="E109" s="584"/>
      <c r="F109" s="584"/>
      <c r="G109" s="584"/>
      <c r="H109" s="584"/>
      <c r="I109" s="584"/>
      <c r="J109" s="584"/>
      <c r="K109" s="584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59">
    <cfRule type="notContainsBlanks" dxfId="3" priority="1">
      <formula>LEN(TRIM(K2))&gt;0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18.38"/>
    <col customWidth="1" min="3" max="3" width="14.13"/>
    <col customWidth="1" min="4" max="6" width="12.63"/>
    <col customWidth="1" min="7" max="7" width="17.13"/>
    <col customWidth="1" min="8" max="8" width="12.38"/>
    <col customWidth="1" min="14" max="14" width="11.88"/>
    <col customWidth="1" min="15" max="15" width="9.75"/>
    <col customWidth="1" min="16" max="16" width="5.38"/>
    <col customWidth="1" min="17" max="17" width="2.75"/>
  </cols>
  <sheetData>
    <row r="1" ht="15.75" customHeight="1">
      <c r="A1" s="585"/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</row>
    <row r="2" ht="15.75" customHeight="1">
      <c r="A2" s="585"/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5"/>
      <c r="Z2" s="585"/>
    </row>
    <row r="3" ht="15.75" customHeight="1">
      <c r="A3" s="585"/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</row>
    <row r="4" ht="15.75" customHeight="1">
      <c r="A4" s="585"/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  <c r="N4" s="585"/>
      <c r="O4" s="585"/>
      <c r="P4" s="585"/>
      <c r="Q4" s="585"/>
      <c r="R4" s="585"/>
      <c r="S4" s="585"/>
      <c r="T4" s="585"/>
      <c r="U4" s="585"/>
      <c r="V4" s="585"/>
      <c r="W4" s="585"/>
      <c r="X4" s="585"/>
      <c r="Y4" s="585"/>
      <c r="Z4" s="585"/>
    </row>
    <row r="5" ht="15.75" customHeight="1">
      <c r="A5" s="585"/>
      <c r="B5" s="585"/>
      <c r="C5" s="585"/>
      <c r="D5" s="585"/>
      <c r="E5" s="585"/>
      <c r="F5" s="585"/>
      <c r="G5" s="585"/>
      <c r="H5" s="585"/>
      <c r="I5" s="585"/>
      <c r="J5" s="585"/>
      <c r="K5" s="585"/>
      <c r="L5" s="585"/>
      <c r="M5" s="585"/>
      <c r="N5" s="585"/>
      <c r="O5" s="585"/>
      <c r="P5" s="585"/>
      <c r="Q5" s="585"/>
      <c r="R5" s="585"/>
      <c r="S5" s="585"/>
      <c r="T5" s="585"/>
      <c r="U5" s="585"/>
      <c r="V5" s="585"/>
      <c r="W5" s="585"/>
      <c r="X5" s="585"/>
      <c r="Y5" s="585"/>
      <c r="Z5" s="585"/>
    </row>
    <row r="6" ht="15.75" customHeight="1">
      <c r="A6" s="585"/>
      <c r="B6" s="585"/>
      <c r="C6" s="585"/>
      <c r="D6" s="585"/>
      <c r="E6" s="585"/>
      <c r="F6" s="585"/>
      <c r="G6" s="585"/>
      <c r="H6" s="585"/>
      <c r="I6" s="585"/>
      <c r="J6" s="585"/>
      <c r="K6" s="585"/>
      <c r="L6" s="585"/>
      <c r="M6" s="585"/>
      <c r="N6" s="585"/>
      <c r="O6" s="585"/>
      <c r="P6" s="585"/>
      <c r="Q6" s="585"/>
      <c r="R6" s="585"/>
      <c r="S6" s="585"/>
      <c r="T6" s="585"/>
      <c r="U6" s="585"/>
      <c r="V6" s="585"/>
      <c r="W6" s="585"/>
      <c r="X6" s="585"/>
      <c r="Y6" s="585"/>
      <c r="Z6" s="585"/>
    </row>
    <row r="7" ht="15.75" customHeight="1">
      <c r="A7" s="585"/>
      <c r="B7" s="585"/>
      <c r="C7" s="585"/>
      <c r="D7" s="585"/>
      <c r="E7" s="585"/>
      <c r="F7" s="585"/>
      <c r="G7" s="585"/>
      <c r="H7" s="585"/>
      <c r="I7" s="585"/>
      <c r="J7" s="585"/>
      <c r="K7" s="585"/>
      <c r="L7" s="585"/>
      <c r="M7" s="585"/>
      <c r="N7" s="585"/>
      <c r="O7" s="585"/>
      <c r="P7" s="585"/>
      <c r="Q7" s="585"/>
      <c r="R7" s="585"/>
      <c r="S7" s="585"/>
      <c r="T7" s="585"/>
      <c r="U7" s="585"/>
      <c r="V7" s="585"/>
      <c r="W7" s="585"/>
      <c r="X7" s="585"/>
      <c r="Y7" s="585"/>
      <c r="Z7" s="585"/>
    </row>
    <row r="8" ht="15.75" customHeight="1">
      <c r="A8" s="585"/>
      <c r="B8" s="585"/>
      <c r="C8" s="585"/>
      <c r="D8" s="585"/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</row>
    <row r="9" ht="15.75" customHeight="1">
      <c r="A9" s="585"/>
      <c r="B9" s="585"/>
      <c r="C9" s="585"/>
      <c r="D9" s="585"/>
      <c r="E9" s="585"/>
      <c r="F9" s="585"/>
      <c r="G9" s="585"/>
      <c r="H9" s="585"/>
      <c r="I9" s="585"/>
      <c r="J9" s="585"/>
      <c r="K9" s="585"/>
      <c r="L9" s="585"/>
      <c r="M9" s="585"/>
      <c r="N9" s="585"/>
      <c r="O9" s="585"/>
      <c r="P9" s="585"/>
      <c r="Q9" s="585"/>
      <c r="R9" s="585"/>
      <c r="S9" s="585"/>
      <c r="T9" s="585"/>
      <c r="U9" s="585"/>
      <c r="V9" s="585"/>
      <c r="W9" s="585"/>
      <c r="X9" s="585"/>
      <c r="Y9" s="585"/>
      <c r="Z9" s="585"/>
    </row>
    <row r="10" ht="15.75" customHeight="1">
      <c r="A10" s="585"/>
      <c r="B10" s="585"/>
      <c r="C10" s="585"/>
      <c r="D10" s="585"/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5"/>
      <c r="P10" s="585"/>
      <c r="Q10" s="585"/>
      <c r="R10" s="585"/>
      <c r="S10" s="585"/>
      <c r="T10" s="585"/>
      <c r="U10" s="585"/>
      <c r="V10" s="585"/>
      <c r="W10" s="585"/>
      <c r="X10" s="585"/>
      <c r="Y10" s="585"/>
      <c r="Z10" s="585"/>
    </row>
    <row r="11" ht="15.75" customHeight="1">
      <c r="A11" s="585"/>
      <c r="B11" s="585"/>
      <c r="C11" s="585"/>
      <c r="D11" s="585"/>
      <c r="E11" s="585"/>
      <c r="F11" s="585"/>
      <c r="G11" s="585"/>
      <c r="H11" s="585"/>
      <c r="I11" s="585"/>
      <c r="J11" s="585"/>
      <c r="K11" s="585"/>
      <c r="L11" s="585"/>
      <c r="M11" s="585"/>
      <c r="N11" s="585"/>
      <c r="O11" s="585"/>
      <c r="P11" s="585"/>
      <c r="Q11" s="585"/>
      <c r="R11" s="585"/>
      <c r="S11" s="585"/>
      <c r="T11" s="585"/>
      <c r="U11" s="585"/>
      <c r="V11" s="585"/>
      <c r="W11" s="585"/>
      <c r="X11" s="585"/>
      <c r="Y11" s="585"/>
      <c r="Z11" s="585"/>
    </row>
    <row r="12" ht="15.75" customHeight="1">
      <c r="A12" s="585"/>
      <c r="B12" s="585"/>
      <c r="C12" s="585"/>
      <c r="D12" s="585"/>
      <c r="E12" s="585"/>
      <c r="F12" s="585"/>
      <c r="G12" s="585"/>
      <c r="H12" s="585"/>
      <c r="I12" s="585"/>
      <c r="J12" s="585"/>
      <c r="K12" s="585"/>
      <c r="L12" s="585"/>
      <c r="M12" s="585"/>
      <c r="N12" s="585"/>
      <c r="O12" s="585"/>
      <c r="P12" s="585"/>
      <c r="Q12" s="585"/>
      <c r="R12" s="585"/>
      <c r="S12" s="585"/>
      <c r="T12" s="585"/>
      <c r="U12" s="585"/>
      <c r="V12" s="585"/>
      <c r="W12" s="585"/>
      <c r="X12" s="585"/>
      <c r="Y12" s="585"/>
      <c r="Z12" s="585"/>
    </row>
    <row r="13" ht="15.75" customHeight="1">
      <c r="A13" s="585"/>
      <c r="B13" s="585"/>
      <c r="C13" s="585"/>
      <c r="D13" s="585"/>
      <c r="E13" s="585"/>
      <c r="F13" s="585"/>
      <c r="G13" s="585"/>
      <c r="H13" s="585"/>
      <c r="I13" s="585"/>
      <c r="J13" s="585"/>
      <c r="K13" s="585"/>
      <c r="L13" s="585"/>
      <c r="M13" s="585"/>
      <c r="N13" s="585"/>
      <c r="O13" s="585"/>
      <c r="P13" s="585"/>
      <c r="Q13" s="585"/>
      <c r="R13" s="585"/>
      <c r="S13" s="585"/>
      <c r="T13" s="585"/>
      <c r="U13" s="585"/>
      <c r="V13" s="585"/>
      <c r="W13" s="585"/>
      <c r="X13" s="585"/>
      <c r="Y13" s="585"/>
      <c r="Z13" s="585"/>
    </row>
    <row r="14" ht="15.75" customHeight="1">
      <c r="A14" s="585"/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5"/>
      <c r="N14" s="585"/>
      <c r="O14" s="585"/>
      <c r="P14" s="585"/>
      <c r="Q14" s="585"/>
      <c r="R14" s="585"/>
      <c r="S14" s="585"/>
      <c r="T14" s="585"/>
      <c r="U14" s="585"/>
      <c r="V14" s="585"/>
      <c r="W14" s="585"/>
      <c r="X14" s="585"/>
      <c r="Y14" s="585"/>
      <c r="Z14" s="585"/>
    </row>
    <row r="15" ht="15.75" customHeight="1">
      <c r="A15" s="585"/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Q15" s="585"/>
      <c r="R15" s="585"/>
      <c r="S15" s="585"/>
      <c r="T15" s="585"/>
      <c r="U15" s="585"/>
      <c r="V15" s="585"/>
      <c r="W15" s="585"/>
      <c r="X15" s="585"/>
      <c r="Y15" s="585"/>
      <c r="Z15" s="585"/>
    </row>
    <row r="16" ht="15.75" customHeight="1">
      <c r="A16" s="585"/>
      <c r="B16" s="585"/>
      <c r="C16" s="585"/>
      <c r="D16" s="585"/>
      <c r="E16" s="585"/>
      <c r="F16" s="585"/>
      <c r="G16" s="585"/>
      <c r="H16" s="585"/>
      <c r="I16" s="585"/>
      <c r="J16" s="585"/>
      <c r="K16" s="585"/>
      <c r="L16" s="585"/>
      <c r="M16" s="585"/>
      <c r="N16" s="585"/>
      <c r="O16" s="585"/>
      <c r="P16" s="585"/>
      <c r="Q16" s="585"/>
      <c r="R16" s="585"/>
      <c r="S16" s="585"/>
      <c r="T16" s="585"/>
      <c r="U16" s="585"/>
      <c r="V16" s="585"/>
      <c r="W16" s="585"/>
      <c r="X16" s="585"/>
      <c r="Y16" s="585"/>
      <c r="Z16" s="585"/>
    </row>
    <row r="17" ht="12.75" customHeight="1">
      <c r="A17" s="585"/>
      <c r="B17" s="585"/>
      <c r="C17" s="585"/>
      <c r="D17" s="585"/>
      <c r="E17" s="585"/>
      <c r="F17" s="585"/>
      <c r="G17" s="585"/>
      <c r="H17" s="585"/>
      <c r="I17" s="585"/>
      <c r="J17" s="585"/>
      <c r="K17" s="585"/>
      <c r="L17" s="585"/>
      <c r="M17" s="585"/>
      <c r="N17" s="585"/>
      <c r="O17" s="585"/>
      <c r="P17" s="585"/>
      <c r="Q17" s="585"/>
      <c r="R17" s="585"/>
      <c r="S17" s="585"/>
      <c r="T17" s="585"/>
      <c r="U17" s="585"/>
      <c r="V17" s="585"/>
      <c r="W17" s="585"/>
      <c r="X17" s="585"/>
      <c r="Y17" s="585"/>
      <c r="Z17" s="585"/>
    </row>
    <row r="18" ht="12.75" customHeight="1">
      <c r="A18" s="585"/>
      <c r="B18" s="585"/>
      <c r="C18" s="585"/>
      <c r="D18" s="585"/>
      <c r="E18" s="58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85"/>
      <c r="Q18" s="585"/>
      <c r="R18" s="585"/>
      <c r="S18" s="585"/>
      <c r="T18" s="585"/>
      <c r="U18" s="585"/>
      <c r="V18" s="585"/>
      <c r="W18" s="585"/>
      <c r="X18" s="585"/>
      <c r="Y18" s="585"/>
      <c r="Z18" s="585"/>
    </row>
    <row r="19" ht="12.75" customHeight="1">
      <c r="A19" s="585"/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</row>
    <row r="20" ht="12.75" customHeight="1">
      <c r="A20" s="585"/>
      <c r="B20" s="585"/>
      <c r="C20" s="585"/>
      <c r="D20" s="585"/>
      <c r="E20" s="585"/>
      <c r="F20" s="585"/>
      <c r="G20" s="585"/>
      <c r="H20" s="585"/>
      <c r="I20" s="585"/>
      <c r="J20" s="585"/>
      <c r="K20" s="585"/>
      <c r="L20" s="585"/>
      <c r="M20" s="585"/>
      <c r="N20" s="585"/>
      <c r="O20" s="585"/>
      <c r="P20" s="585"/>
      <c r="Q20" s="585"/>
      <c r="R20" s="585"/>
      <c r="S20" s="585"/>
      <c r="T20" s="585"/>
      <c r="U20" s="585"/>
      <c r="V20" s="585"/>
      <c r="W20" s="585"/>
      <c r="X20" s="585"/>
      <c r="Y20" s="585"/>
      <c r="Z20" s="585"/>
    </row>
    <row r="21" ht="12.75" customHeight="1">
      <c r="A21" s="585"/>
      <c r="B21" s="585"/>
      <c r="C21" s="585"/>
      <c r="D21" s="585"/>
      <c r="E21" s="585"/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85"/>
      <c r="Q21" s="585"/>
      <c r="R21" s="585"/>
      <c r="S21" s="585"/>
      <c r="T21" s="585"/>
      <c r="U21" s="585"/>
      <c r="V21" s="585"/>
      <c r="W21" s="585"/>
      <c r="X21" s="585"/>
      <c r="Y21" s="585"/>
      <c r="Z21" s="585"/>
    </row>
    <row r="22" ht="12.75" customHeight="1">
      <c r="A22" s="585"/>
      <c r="B22" s="585"/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5"/>
      <c r="N22" s="585"/>
      <c r="O22" s="585"/>
      <c r="P22" s="585"/>
      <c r="Q22" s="585"/>
      <c r="R22" s="585"/>
      <c r="S22" s="585"/>
      <c r="T22" s="585"/>
      <c r="U22" s="585"/>
      <c r="V22" s="585"/>
      <c r="W22" s="585"/>
      <c r="X22" s="585"/>
      <c r="Y22" s="585"/>
      <c r="Z22" s="585"/>
    </row>
    <row r="23" ht="12.75" customHeight="1">
      <c r="A23" s="585"/>
      <c r="B23" s="585"/>
      <c r="C23" s="585"/>
      <c r="D23" s="585"/>
      <c r="E23" s="585"/>
      <c r="F23" s="585"/>
      <c r="G23" s="585"/>
      <c r="H23" s="585"/>
      <c r="I23" s="585"/>
      <c r="J23" s="585"/>
      <c r="K23" s="585"/>
      <c r="L23" s="585"/>
      <c r="M23" s="585"/>
      <c r="N23" s="585"/>
      <c r="O23" s="585"/>
      <c r="P23" s="585"/>
      <c r="Q23" s="585"/>
      <c r="R23" s="585"/>
      <c r="S23" s="585"/>
      <c r="T23" s="585"/>
      <c r="U23" s="585"/>
      <c r="V23" s="585"/>
      <c r="W23" s="585"/>
      <c r="X23" s="585"/>
      <c r="Y23" s="585"/>
      <c r="Z23" s="585"/>
    </row>
    <row r="24" ht="12.75" customHeight="1">
      <c r="A24" s="585"/>
      <c r="B24" s="585"/>
      <c r="C24" s="585"/>
      <c r="D24" s="585"/>
      <c r="E24" s="585"/>
      <c r="F24" s="585"/>
      <c r="G24" s="585"/>
      <c r="H24" s="585"/>
      <c r="I24" s="585"/>
      <c r="J24" s="585"/>
      <c r="K24" s="585"/>
      <c r="L24" s="585"/>
      <c r="M24" s="585"/>
      <c r="N24" s="585"/>
      <c r="O24" s="585"/>
      <c r="P24" s="585"/>
      <c r="Q24" s="585"/>
      <c r="R24" s="585"/>
      <c r="S24" s="585"/>
      <c r="T24" s="585"/>
      <c r="U24" s="585"/>
      <c r="V24" s="585"/>
      <c r="W24" s="585"/>
      <c r="X24" s="585"/>
      <c r="Y24" s="585"/>
      <c r="Z24" s="585"/>
    </row>
    <row r="25" ht="4.5" customHeight="1">
      <c r="A25" s="585"/>
      <c r="B25" s="585"/>
      <c r="C25" s="585"/>
      <c r="D25" s="585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85"/>
      <c r="Q25" s="585"/>
      <c r="R25" s="585"/>
      <c r="S25" s="585"/>
      <c r="T25" s="585"/>
      <c r="U25" s="585"/>
      <c r="V25" s="585"/>
      <c r="W25" s="585"/>
      <c r="X25" s="585"/>
      <c r="Y25" s="585"/>
      <c r="Z25" s="585"/>
    </row>
    <row r="26" ht="15.75" customHeight="1">
      <c r="A26" s="585"/>
      <c r="B26" s="586" t="s">
        <v>3368</v>
      </c>
      <c r="C26" s="587"/>
      <c r="D26" s="587"/>
      <c r="E26" s="587"/>
      <c r="F26" s="587"/>
      <c r="G26" s="587"/>
      <c r="H26" s="587"/>
      <c r="I26" s="587"/>
      <c r="J26" s="587"/>
      <c r="K26" s="587"/>
      <c r="L26" s="587"/>
      <c r="M26" s="587"/>
      <c r="P26" s="587"/>
      <c r="Q26" s="585"/>
      <c r="R26" s="585"/>
      <c r="S26" s="585"/>
      <c r="T26" s="585"/>
      <c r="U26" s="585"/>
      <c r="V26" s="585"/>
      <c r="W26" s="585"/>
      <c r="X26" s="585"/>
      <c r="Y26" s="585"/>
      <c r="Z26" s="585"/>
    </row>
    <row r="27" ht="15.75" customHeight="1">
      <c r="A27" s="585"/>
      <c r="B27" s="587"/>
      <c r="C27" s="587"/>
      <c r="D27" s="587"/>
      <c r="E27" s="587"/>
      <c r="F27" s="587"/>
      <c r="G27" s="587"/>
      <c r="H27" s="587"/>
      <c r="I27" s="587"/>
      <c r="J27" s="587"/>
      <c r="K27" s="587"/>
      <c r="L27" s="587"/>
      <c r="M27" s="587"/>
      <c r="P27" s="587"/>
      <c r="Q27" s="585"/>
      <c r="R27" s="585"/>
      <c r="S27" s="585"/>
      <c r="T27" s="585"/>
      <c r="U27" s="585"/>
      <c r="V27" s="585"/>
      <c r="W27" s="585"/>
      <c r="X27" s="585"/>
      <c r="Y27" s="585"/>
      <c r="Z27" s="585"/>
    </row>
    <row r="28" ht="15.75" customHeight="1">
      <c r="A28" s="585"/>
      <c r="B28" s="588" t="s">
        <v>3369</v>
      </c>
      <c r="C28" s="589" t="str">
        <f>Apoio!G21</f>
        <v/>
      </c>
      <c r="D28" s="587"/>
      <c r="E28" s="587"/>
      <c r="F28" s="587"/>
      <c r="G28" s="587"/>
      <c r="H28" s="587"/>
      <c r="I28" s="587"/>
      <c r="J28" s="587"/>
      <c r="K28" s="587"/>
      <c r="L28" s="587"/>
      <c r="M28" s="587"/>
      <c r="P28" s="587"/>
      <c r="Q28" s="585"/>
      <c r="R28" s="585"/>
      <c r="S28" s="585"/>
      <c r="T28" s="585"/>
      <c r="U28" s="585"/>
      <c r="V28" s="585"/>
      <c r="W28" s="585"/>
      <c r="X28" s="585"/>
      <c r="Y28" s="585"/>
      <c r="Z28" s="585"/>
    </row>
    <row r="29" ht="15.75" customHeight="1">
      <c r="A29" s="585"/>
      <c r="B29" s="588" t="s">
        <v>3370</v>
      </c>
      <c r="C29" s="590">
        <f>Apoio!P51</f>
        <v>367870.94</v>
      </c>
      <c r="D29" s="587"/>
      <c r="E29" s="587"/>
      <c r="F29" s="587"/>
      <c r="G29" s="587"/>
      <c r="H29" s="587"/>
      <c r="I29" s="587"/>
      <c r="J29" s="587"/>
      <c r="K29" s="587"/>
      <c r="L29" s="587"/>
      <c r="M29" s="587"/>
      <c r="N29" s="591"/>
      <c r="O29" s="592"/>
      <c r="P29" s="587"/>
      <c r="Q29" s="585"/>
      <c r="R29" s="585"/>
      <c r="S29" s="585"/>
      <c r="T29" s="585"/>
      <c r="U29" s="585"/>
      <c r="V29" s="585"/>
      <c r="W29" s="585"/>
      <c r="X29" s="585"/>
      <c r="Y29" s="585"/>
      <c r="Z29" s="585"/>
    </row>
    <row r="30" ht="15.75" customHeight="1">
      <c r="A30" s="585"/>
      <c r="B30" s="588" t="s">
        <v>3371</v>
      </c>
      <c r="C30" s="590">
        <f>Apoio!Q51</f>
        <v>4904.945867</v>
      </c>
      <c r="D30" s="587"/>
      <c r="E30" s="587"/>
      <c r="F30" s="587"/>
      <c r="G30" s="587"/>
      <c r="H30" s="587"/>
      <c r="I30" s="587"/>
      <c r="J30" s="587"/>
      <c r="K30" s="587"/>
      <c r="L30" s="587"/>
      <c r="M30" s="587"/>
      <c r="N30" s="591"/>
      <c r="O30" s="592"/>
      <c r="P30" s="587"/>
      <c r="Q30" s="585"/>
      <c r="R30" s="585"/>
      <c r="S30" s="585"/>
      <c r="T30" s="585"/>
      <c r="U30" s="585"/>
      <c r="V30" s="585"/>
      <c r="W30" s="585"/>
      <c r="X30" s="585"/>
      <c r="Y30" s="585"/>
      <c r="Z30" s="585"/>
    </row>
    <row r="31" ht="15.75" customHeight="1">
      <c r="A31" s="585"/>
      <c r="B31" s="588" t="s">
        <v>3372</v>
      </c>
      <c r="C31" s="593">
        <f>Apoio!I4</f>
        <v>0.6936416185</v>
      </c>
      <c r="Q31" s="585"/>
      <c r="R31" s="585"/>
      <c r="S31" s="585"/>
      <c r="T31" s="585"/>
      <c r="U31" s="585"/>
      <c r="V31" s="585"/>
      <c r="W31" s="585"/>
      <c r="X31" s="585"/>
      <c r="Y31" s="585"/>
      <c r="Z31" s="585"/>
    </row>
    <row r="32" ht="15.75" customHeight="1">
      <c r="A32" s="585"/>
      <c r="B32" s="587"/>
      <c r="C32" s="587"/>
      <c r="D32" s="587"/>
      <c r="E32" s="587"/>
      <c r="F32" s="587"/>
      <c r="G32" s="587"/>
      <c r="H32" s="587"/>
      <c r="I32" s="587"/>
      <c r="J32" s="587"/>
      <c r="K32" s="587"/>
      <c r="L32" s="587"/>
      <c r="M32" s="587"/>
      <c r="N32" s="591"/>
      <c r="O32" s="592" t="str">
        <f>Apoio!Q54</f>
        <v/>
      </c>
      <c r="P32" s="587"/>
      <c r="Q32" s="585"/>
      <c r="R32" s="585"/>
      <c r="S32" s="585"/>
      <c r="T32" s="585"/>
      <c r="U32" s="585"/>
      <c r="V32" s="585"/>
      <c r="W32" s="585"/>
      <c r="X32" s="585"/>
      <c r="Y32" s="585"/>
      <c r="Z32" s="585"/>
    </row>
    <row r="33" ht="15.75" customHeight="1">
      <c r="A33" s="585"/>
      <c r="B33" s="587"/>
      <c r="C33" s="587"/>
      <c r="D33" s="587"/>
      <c r="E33" s="587"/>
      <c r="F33" s="587"/>
      <c r="G33" s="587"/>
      <c r="H33" s="587"/>
      <c r="I33" s="587"/>
      <c r="J33" s="587"/>
      <c r="K33" s="587"/>
      <c r="L33" s="587"/>
      <c r="M33" s="587"/>
      <c r="N33" s="591"/>
      <c r="O33" s="592" t="str">
        <f>Apoio!Q55</f>
        <v/>
      </c>
      <c r="P33" s="587"/>
      <c r="Q33" s="585"/>
      <c r="R33" s="585"/>
      <c r="S33" s="585"/>
      <c r="T33" s="585"/>
      <c r="U33" s="585"/>
      <c r="V33" s="585"/>
      <c r="W33" s="585"/>
      <c r="X33" s="585"/>
      <c r="Y33" s="585"/>
      <c r="Z33" s="585"/>
    </row>
    <row r="34" ht="15.75" customHeight="1">
      <c r="A34" s="585"/>
      <c r="B34" s="587"/>
      <c r="C34" s="587"/>
      <c r="D34" s="587"/>
      <c r="E34" s="587"/>
      <c r="F34" s="587"/>
      <c r="G34" s="587"/>
      <c r="H34" s="587"/>
      <c r="I34" s="587"/>
      <c r="J34" s="587"/>
      <c r="K34" s="587"/>
      <c r="L34" s="587"/>
      <c r="M34" s="587"/>
      <c r="N34" s="591"/>
      <c r="O34" s="592" t="str">
        <f>Apoio!Q56</f>
        <v/>
      </c>
      <c r="P34" s="587"/>
      <c r="Q34" s="585"/>
      <c r="R34" s="585"/>
      <c r="S34" s="585"/>
      <c r="T34" s="585"/>
      <c r="U34" s="585"/>
      <c r="V34" s="585"/>
      <c r="W34" s="585"/>
      <c r="X34" s="585"/>
      <c r="Y34" s="585"/>
      <c r="Z34" s="585"/>
    </row>
    <row r="35" ht="15.75" customHeight="1">
      <c r="A35" s="585"/>
      <c r="B35" s="587"/>
      <c r="C35" s="587"/>
      <c r="D35" s="587"/>
      <c r="E35" s="587"/>
      <c r="F35" s="587"/>
      <c r="G35" s="587"/>
      <c r="H35" s="587"/>
      <c r="I35" s="587"/>
      <c r="J35" s="587"/>
      <c r="K35" s="587"/>
      <c r="L35" s="587"/>
      <c r="M35" s="587"/>
      <c r="N35" s="591"/>
      <c r="O35" s="592" t="str">
        <f>Apoio!Q57</f>
        <v/>
      </c>
      <c r="P35" s="587"/>
      <c r="Q35" s="585"/>
      <c r="R35" s="585"/>
      <c r="S35" s="585"/>
      <c r="T35" s="585"/>
      <c r="U35" s="585"/>
      <c r="V35" s="585"/>
      <c r="W35" s="585"/>
      <c r="X35" s="585"/>
      <c r="Y35" s="585"/>
      <c r="Z35" s="585"/>
    </row>
    <row r="36" ht="15.75" customHeight="1">
      <c r="A36" s="585"/>
      <c r="B36" s="587"/>
      <c r="C36" s="587"/>
      <c r="D36" s="587"/>
      <c r="E36" s="587"/>
      <c r="F36" s="587"/>
      <c r="G36" s="587"/>
      <c r="H36" s="587"/>
      <c r="I36" s="587"/>
      <c r="J36" s="587"/>
      <c r="K36" s="587"/>
      <c r="L36" s="587"/>
      <c r="M36" s="587"/>
      <c r="N36" s="591"/>
      <c r="O36" s="592" t="str">
        <f>Apoio!Q58</f>
        <v/>
      </c>
      <c r="P36" s="587"/>
      <c r="Q36" s="585"/>
      <c r="R36" s="585"/>
      <c r="S36" s="585"/>
      <c r="T36" s="585"/>
      <c r="U36" s="585"/>
      <c r="V36" s="585"/>
      <c r="W36" s="585"/>
      <c r="X36" s="585"/>
      <c r="Y36" s="585"/>
      <c r="Z36" s="585"/>
    </row>
    <row r="37" ht="15.75" customHeight="1">
      <c r="A37" s="585"/>
      <c r="B37" s="585"/>
      <c r="C37" s="585"/>
      <c r="D37" s="585"/>
      <c r="E37" s="585"/>
      <c r="F37" s="585"/>
      <c r="G37" s="585"/>
      <c r="H37" s="585"/>
      <c r="I37" s="585"/>
      <c r="J37" s="585"/>
      <c r="K37" s="585"/>
      <c r="L37" s="585"/>
      <c r="M37" s="585"/>
      <c r="N37" s="585"/>
      <c r="O37" s="585"/>
      <c r="P37" s="585"/>
      <c r="Q37" s="585"/>
      <c r="R37" s="585"/>
      <c r="S37" s="585"/>
      <c r="T37" s="585"/>
      <c r="U37" s="585"/>
      <c r="V37" s="585"/>
      <c r="W37" s="585"/>
      <c r="X37" s="585"/>
      <c r="Y37" s="585"/>
      <c r="Z37" s="585"/>
    </row>
    <row r="38" ht="15.75" customHeight="1">
      <c r="A38" s="585"/>
      <c r="B38" s="585"/>
      <c r="C38" s="585"/>
      <c r="D38" s="585"/>
      <c r="E38" s="585"/>
      <c r="F38" s="585"/>
      <c r="G38" s="585"/>
      <c r="H38" s="585"/>
      <c r="I38" s="585"/>
      <c r="J38" s="585"/>
      <c r="K38" s="585"/>
      <c r="L38" s="585"/>
      <c r="M38" s="585"/>
      <c r="N38" s="585"/>
      <c r="O38" s="585"/>
      <c r="P38" s="585"/>
      <c r="Q38" s="585"/>
      <c r="R38" s="585"/>
      <c r="S38" s="585"/>
      <c r="T38" s="585"/>
      <c r="U38" s="585"/>
      <c r="V38" s="585"/>
      <c r="W38" s="585"/>
      <c r="X38" s="585"/>
      <c r="Y38" s="585"/>
      <c r="Z38" s="585"/>
    </row>
    <row r="39" ht="15.75" customHeight="1">
      <c r="A39" s="585"/>
      <c r="B39" s="585"/>
      <c r="C39" s="585"/>
      <c r="D39" s="585"/>
      <c r="E39" s="585"/>
      <c r="F39" s="585"/>
      <c r="G39" s="585"/>
      <c r="H39" s="585"/>
      <c r="I39" s="585"/>
      <c r="J39" s="585"/>
      <c r="K39" s="585"/>
      <c r="L39" s="585"/>
      <c r="M39" s="585"/>
      <c r="N39" s="585"/>
      <c r="O39" s="585"/>
      <c r="P39" s="585"/>
      <c r="Q39" s="585"/>
      <c r="R39" s="585"/>
      <c r="S39" s="585"/>
      <c r="T39" s="585"/>
      <c r="U39" s="585"/>
      <c r="V39" s="585"/>
      <c r="W39" s="585"/>
      <c r="X39" s="585"/>
      <c r="Y39" s="585"/>
      <c r="Z39" s="585"/>
    </row>
    <row r="40" ht="15.75" customHeight="1">
      <c r="A40" s="585"/>
      <c r="B40" s="585"/>
      <c r="C40" s="585"/>
      <c r="D40" s="585"/>
      <c r="E40" s="585"/>
      <c r="F40" s="585"/>
      <c r="G40" s="585"/>
      <c r="H40" s="585"/>
      <c r="I40" s="585"/>
      <c r="J40" s="585"/>
      <c r="K40" s="585"/>
      <c r="L40" s="585"/>
      <c r="M40" s="585"/>
      <c r="N40" s="585"/>
      <c r="O40" s="585"/>
      <c r="P40" s="585"/>
      <c r="Q40" s="585"/>
      <c r="R40" s="585"/>
      <c r="S40" s="585"/>
      <c r="T40" s="585"/>
      <c r="U40" s="585"/>
      <c r="V40" s="585"/>
      <c r="W40" s="585"/>
      <c r="X40" s="585"/>
      <c r="Y40" s="585"/>
      <c r="Z40" s="585"/>
    </row>
    <row r="41" ht="15.75" customHeight="1">
      <c r="A41" s="585"/>
      <c r="B41" s="585"/>
      <c r="C41" s="585"/>
      <c r="D41" s="585"/>
      <c r="E41" s="585"/>
      <c r="F41" s="585"/>
      <c r="G41" s="585"/>
      <c r="H41" s="585"/>
      <c r="I41" s="585"/>
      <c r="J41" s="585"/>
      <c r="K41" s="585"/>
      <c r="L41" s="585"/>
      <c r="M41" s="585"/>
      <c r="N41" s="585"/>
      <c r="O41" s="585"/>
      <c r="P41" s="585"/>
      <c r="Q41" s="585"/>
      <c r="R41" s="585"/>
      <c r="S41" s="585"/>
      <c r="T41" s="585"/>
      <c r="U41" s="585"/>
      <c r="V41" s="585"/>
      <c r="W41" s="585"/>
      <c r="X41" s="585"/>
      <c r="Y41" s="585"/>
      <c r="Z41" s="585"/>
    </row>
    <row r="42" ht="15.75" customHeight="1">
      <c r="A42" s="585"/>
      <c r="B42" s="585"/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5"/>
      <c r="N42" s="585"/>
      <c r="O42" s="585"/>
      <c r="P42" s="585"/>
      <c r="Q42" s="585"/>
      <c r="R42" s="585"/>
      <c r="S42" s="585"/>
      <c r="T42" s="585"/>
      <c r="U42" s="585"/>
      <c r="V42" s="585"/>
      <c r="W42" s="585"/>
      <c r="X42" s="585"/>
      <c r="Y42" s="585"/>
      <c r="Z42" s="585"/>
    </row>
    <row r="43" ht="15.75" customHeight="1">
      <c r="A43" s="585"/>
      <c r="B43" s="585"/>
      <c r="C43" s="585"/>
      <c r="D43" s="585"/>
      <c r="E43" s="585"/>
      <c r="F43" s="585"/>
      <c r="G43" s="585"/>
      <c r="H43" s="585"/>
      <c r="I43" s="585"/>
      <c r="J43" s="585"/>
      <c r="K43" s="585"/>
      <c r="L43" s="585"/>
      <c r="M43" s="585"/>
      <c r="N43" s="585"/>
      <c r="O43" s="585"/>
      <c r="P43" s="585"/>
      <c r="Q43" s="585"/>
      <c r="R43" s="585"/>
      <c r="S43" s="585"/>
      <c r="T43" s="585"/>
      <c r="U43" s="585"/>
      <c r="V43" s="585"/>
      <c r="W43" s="585"/>
      <c r="X43" s="585"/>
      <c r="Y43" s="585"/>
      <c r="Z43" s="585"/>
    </row>
    <row r="44" ht="15.75" customHeight="1">
      <c r="A44" s="585"/>
      <c r="B44" s="585"/>
      <c r="C44" s="585"/>
      <c r="D44" s="585"/>
      <c r="E44" s="585"/>
      <c r="F44" s="585"/>
      <c r="G44" s="585"/>
      <c r="H44" s="585"/>
      <c r="I44" s="585"/>
      <c r="J44" s="585"/>
      <c r="K44" s="585"/>
      <c r="L44" s="585"/>
      <c r="M44" s="585"/>
      <c r="N44" s="585"/>
      <c r="O44" s="585"/>
      <c r="P44" s="585"/>
      <c r="Q44" s="585"/>
      <c r="R44" s="585"/>
      <c r="S44" s="585"/>
      <c r="T44" s="585"/>
      <c r="U44" s="585"/>
      <c r="V44" s="585"/>
      <c r="W44" s="585"/>
      <c r="X44" s="585"/>
      <c r="Y44" s="585"/>
      <c r="Z44" s="585"/>
    </row>
    <row r="45" ht="15.75" customHeight="1">
      <c r="A45" s="585"/>
      <c r="B45" s="585"/>
      <c r="C45" s="585"/>
      <c r="D45" s="585"/>
      <c r="E45" s="585"/>
      <c r="F45" s="585"/>
      <c r="G45" s="585"/>
      <c r="H45" s="585"/>
      <c r="I45" s="585"/>
      <c r="J45" s="585"/>
      <c r="K45" s="585"/>
      <c r="L45" s="585"/>
      <c r="M45" s="585"/>
      <c r="N45" s="585"/>
      <c r="O45" s="585"/>
      <c r="P45" s="585"/>
      <c r="Q45" s="585"/>
      <c r="R45" s="585"/>
      <c r="S45" s="585"/>
      <c r="T45" s="585"/>
      <c r="U45" s="585"/>
      <c r="V45" s="585"/>
      <c r="W45" s="585"/>
      <c r="X45" s="585"/>
      <c r="Y45" s="585"/>
      <c r="Z45" s="585"/>
    </row>
    <row r="46" ht="15.75" customHeight="1">
      <c r="A46" s="585"/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5"/>
      <c r="P46" s="585"/>
      <c r="Q46" s="585"/>
      <c r="R46" s="585"/>
      <c r="S46" s="585"/>
      <c r="T46" s="585"/>
      <c r="U46" s="585"/>
      <c r="V46" s="585"/>
      <c r="W46" s="585"/>
      <c r="X46" s="585"/>
      <c r="Y46" s="585"/>
      <c r="Z46" s="585"/>
    </row>
    <row r="47" ht="15.75" customHeight="1">
      <c r="A47" s="585"/>
      <c r="B47" s="588" t="s">
        <v>3373</v>
      </c>
      <c r="C47" s="587"/>
      <c r="D47" s="587"/>
      <c r="E47" s="587"/>
      <c r="F47" s="587"/>
      <c r="G47" s="591" t="s">
        <v>3374</v>
      </c>
      <c r="H47" s="592" t="str">
        <f>Apoio!G47</f>
        <v/>
      </c>
      <c r="I47" s="585"/>
      <c r="J47" s="585"/>
      <c r="K47" s="585"/>
      <c r="L47" s="585"/>
      <c r="M47" s="585"/>
      <c r="N47" s="585"/>
      <c r="O47" s="585"/>
      <c r="P47" s="585"/>
      <c r="Q47" s="585"/>
      <c r="R47" s="585"/>
      <c r="S47" s="585"/>
      <c r="T47" s="585"/>
      <c r="U47" s="585"/>
      <c r="V47" s="585"/>
      <c r="W47" s="585"/>
      <c r="X47" s="585"/>
      <c r="Y47" s="585"/>
      <c r="Z47" s="585"/>
    </row>
    <row r="48" ht="15.75" customHeight="1">
      <c r="A48" s="585"/>
      <c r="B48" s="585"/>
      <c r="C48" s="585"/>
      <c r="D48" s="585"/>
      <c r="E48" s="585"/>
      <c r="F48" s="585"/>
      <c r="G48" s="585"/>
      <c r="H48" s="585"/>
      <c r="I48" s="585"/>
      <c r="J48" s="585"/>
      <c r="K48" s="585"/>
      <c r="L48" s="585"/>
      <c r="M48" s="585"/>
      <c r="N48" s="585"/>
      <c r="O48" s="585"/>
      <c r="P48" s="585"/>
      <c r="Q48" s="585"/>
      <c r="R48" s="585"/>
      <c r="S48" s="585"/>
      <c r="T48" s="585"/>
      <c r="U48" s="585"/>
      <c r="V48" s="585"/>
      <c r="W48" s="585"/>
      <c r="X48" s="585"/>
      <c r="Y48" s="585"/>
      <c r="Z48" s="585"/>
    </row>
    <row r="49" ht="15.75" customHeight="1">
      <c r="A49" s="585"/>
      <c r="B49" s="585"/>
      <c r="C49" s="585"/>
      <c r="D49" s="585"/>
      <c r="E49" s="585"/>
      <c r="F49" s="585"/>
      <c r="G49" s="585"/>
      <c r="H49" s="585"/>
      <c r="I49" s="585"/>
      <c r="J49" s="585"/>
      <c r="K49" s="585"/>
      <c r="L49" s="585"/>
      <c r="M49" s="585"/>
      <c r="N49" s="585"/>
      <c r="O49" s="585"/>
      <c r="P49" s="585"/>
      <c r="Q49" s="585"/>
      <c r="R49" s="585"/>
      <c r="S49" s="585"/>
      <c r="T49" s="585"/>
      <c r="U49" s="585"/>
      <c r="V49" s="585"/>
      <c r="W49" s="585"/>
      <c r="X49" s="585"/>
      <c r="Y49" s="585"/>
      <c r="Z49" s="585"/>
    </row>
    <row r="50" ht="15.75" customHeight="1">
      <c r="A50" s="585"/>
      <c r="B50" s="585"/>
      <c r="C50" s="585"/>
      <c r="D50" s="585"/>
      <c r="E50" s="585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5"/>
      <c r="R50" s="585"/>
      <c r="S50" s="585"/>
      <c r="T50" s="585"/>
      <c r="U50" s="585"/>
      <c r="V50" s="585"/>
      <c r="W50" s="585"/>
      <c r="X50" s="585"/>
      <c r="Y50" s="585"/>
      <c r="Z50" s="585"/>
    </row>
    <row r="51" ht="15.75" customHeight="1">
      <c r="A51" s="585"/>
      <c r="B51" s="585"/>
      <c r="C51" s="585"/>
      <c r="D51" s="585"/>
      <c r="E51" s="585"/>
      <c r="F51" s="585"/>
      <c r="G51" s="585"/>
      <c r="H51" s="585"/>
      <c r="I51" s="585"/>
      <c r="J51" s="585"/>
      <c r="K51" s="585"/>
      <c r="L51" s="585"/>
      <c r="M51" s="585"/>
      <c r="N51" s="585"/>
      <c r="O51" s="585"/>
      <c r="P51" s="585"/>
      <c r="Q51" s="585"/>
      <c r="R51" s="585"/>
      <c r="S51" s="585"/>
      <c r="T51" s="585"/>
      <c r="U51" s="585"/>
      <c r="V51" s="585"/>
      <c r="W51" s="585"/>
      <c r="X51" s="585"/>
      <c r="Y51" s="585"/>
      <c r="Z51" s="585"/>
    </row>
    <row r="52" ht="15.75" customHeight="1">
      <c r="A52" s="585"/>
      <c r="B52" s="585"/>
      <c r="C52" s="585"/>
      <c r="D52" s="585"/>
      <c r="E52" s="585"/>
      <c r="F52" s="585"/>
      <c r="G52" s="585"/>
      <c r="H52" s="585"/>
      <c r="I52" s="585"/>
      <c r="J52" s="585"/>
      <c r="K52" s="585"/>
      <c r="L52" s="585"/>
      <c r="M52" s="585"/>
      <c r="N52" s="585"/>
      <c r="O52" s="585"/>
      <c r="P52" s="585"/>
      <c r="Q52" s="585"/>
      <c r="R52" s="585"/>
      <c r="S52" s="585"/>
      <c r="T52" s="585"/>
      <c r="U52" s="585"/>
      <c r="V52" s="585"/>
      <c r="W52" s="585"/>
      <c r="X52" s="585"/>
      <c r="Y52" s="585"/>
      <c r="Z52" s="585"/>
    </row>
    <row r="53" ht="15.75" customHeight="1">
      <c r="A53" s="585"/>
      <c r="B53" s="585"/>
      <c r="C53" s="585"/>
      <c r="D53" s="585"/>
      <c r="E53" s="585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85"/>
      <c r="Q53" s="585"/>
      <c r="R53" s="585"/>
      <c r="S53" s="585"/>
      <c r="T53" s="585"/>
      <c r="U53" s="585"/>
      <c r="V53" s="585"/>
      <c r="W53" s="585"/>
      <c r="X53" s="585"/>
      <c r="Y53" s="585"/>
      <c r="Z53" s="585"/>
    </row>
    <row r="54" ht="15.75" customHeight="1">
      <c r="A54" s="585"/>
      <c r="B54" s="585"/>
      <c r="C54" s="585"/>
      <c r="D54" s="585"/>
      <c r="E54" s="585"/>
      <c r="F54" s="585"/>
      <c r="G54" s="585"/>
      <c r="H54" s="585"/>
      <c r="I54" s="585"/>
      <c r="J54" s="585"/>
      <c r="K54" s="585"/>
      <c r="L54" s="585"/>
      <c r="M54" s="585"/>
      <c r="N54" s="585"/>
      <c r="O54" s="585"/>
      <c r="P54" s="585"/>
      <c r="Q54" s="585"/>
      <c r="R54" s="585"/>
      <c r="S54" s="585"/>
      <c r="T54" s="585"/>
      <c r="U54" s="585"/>
      <c r="V54" s="585"/>
      <c r="W54" s="585"/>
      <c r="X54" s="585"/>
      <c r="Y54" s="585"/>
      <c r="Z54" s="585"/>
    </row>
    <row r="55" ht="15.75" customHeight="1">
      <c r="A55" s="585"/>
      <c r="B55" s="585"/>
      <c r="C55" s="585"/>
      <c r="D55" s="585"/>
      <c r="E55" s="585"/>
      <c r="F55" s="585"/>
      <c r="G55" s="585"/>
      <c r="H55" s="585"/>
      <c r="I55" s="585"/>
      <c r="J55" s="585"/>
      <c r="K55" s="585"/>
      <c r="L55" s="585"/>
      <c r="M55" s="585"/>
      <c r="N55" s="585"/>
      <c r="O55" s="585"/>
      <c r="P55" s="585"/>
      <c r="Q55" s="585"/>
      <c r="R55" s="585"/>
      <c r="S55" s="585"/>
      <c r="T55" s="585"/>
      <c r="U55" s="585"/>
      <c r="V55" s="585"/>
      <c r="W55" s="585"/>
      <c r="X55" s="585"/>
      <c r="Y55" s="585"/>
      <c r="Z55" s="585"/>
    </row>
    <row r="56" ht="15.75" customHeight="1">
      <c r="A56" s="585"/>
      <c r="B56" s="585"/>
      <c r="C56" s="585"/>
      <c r="D56" s="585"/>
      <c r="E56" s="585"/>
      <c r="F56" s="585"/>
      <c r="G56" s="585"/>
      <c r="H56" s="585"/>
      <c r="I56" s="585"/>
      <c r="J56" s="585"/>
      <c r="K56" s="585"/>
      <c r="L56" s="585"/>
      <c r="M56" s="585"/>
      <c r="N56" s="585"/>
      <c r="O56" s="585"/>
      <c r="P56" s="585"/>
      <c r="Q56" s="585"/>
      <c r="R56" s="585"/>
      <c r="S56" s="585"/>
      <c r="T56" s="585"/>
      <c r="U56" s="585"/>
      <c r="V56" s="585"/>
      <c r="W56" s="585"/>
      <c r="X56" s="585"/>
      <c r="Y56" s="585"/>
      <c r="Z56" s="585"/>
    </row>
    <row r="57" ht="15.75" customHeight="1">
      <c r="A57" s="585"/>
      <c r="B57" s="585"/>
      <c r="C57" s="585"/>
      <c r="D57" s="585"/>
      <c r="E57" s="585"/>
      <c r="F57" s="585"/>
      <c r="G57" s="585"/>
      <c r="H57" s="585"/>
      <c r="I57" s="585"/>
      <c r="J57" s="585"/>
      <c r="K57" s="585"/>
      <c r="L57" s="585"/>
      <c r="M57" s="585"/>
      <c r="N57" s="585"/>
      <c r="O57" s="585"/>
      <c r="P57" s="585"/>
      <c r="Q57" s="585"/>
      <c r="R57" s="585"/>
      <c r="S57" s="585"/>
      <c r="T57" s="585"/>
      <c r="U57" s="585"/>
      <c r="V57" s="585"/>
      <c r="W57" s="585"/>
      <c r="X57" s="585"/>
      <c r="Y57" s="585"/>
      <c r="Z57" s="585"/>
    </row>
    <row r="58" ht="15.75" customHeight="1">
      <c r="A58" s="585"/>
      <c r="B58" s="585"/>
      <c r="C58" s="585"/>
      <c r="D58" s="585"/>
      <c r="E58" s="585"/>
      <c r="F58" s="585"/>
      <c r="G58" s="585"/>
      <c r="H58" s="585"/>
      <c r="I58" s="585"/>
      <c r="J58" s="585"/>
      <c r="K58" s="585"/>
      <c r="L58" s="585"/>
      <c r="M58" s="585"/>
      <c r="N58" s="585"/>
      <c r="O58" s="585"/>
      <c r="P58" s="585"/>
      <c r="Q58" s="585"/>
      <c r="R58" s="585"/>
      <c r="S58" s="585"/>
      <c r="T58" s="585"/>
      <c r="U58" s="585"/>
      <c r="V58" s="585"/>
      <c r="W58" s="585"/>
      <c r="X58" s="585"/>
      <c r="Y58" s="585"/>
      <c r="Z58" s="585"/>
    </row>
    <row r="59" ht="15.75" customHeight="1">
      <c r="A59" s="585"/>
      <c r="B59" s="585"/>
      <c r="C59" s="585"/>
      <c r="D59" s="585"/>
      <c r="E59" s="585"/>
      <c r="F59" s="585"/>
      <c r="G59" s="585"/>
      <c r="H59" s="585"/>
      <c r="I59" s="585"/>
      <c r="J59" s="585"/>
      <c r="K59" s="585"/>
      <c r="L59" s="585"/>
      <c r="M59" s="585"/>
      <c r="N59" s="585"/>
      <c r="O59" s="585"/>
      <c r="P59" s="585"/>
      <c r="Q59" s="585"/>
      <c r="R59" s="585"/>
      <c r="S59" s="585"/>
      <c r="T59" s="585"/>
      <c r="U59" s="585"/>
      <c r="V59" s="585"/>
      <c r="W59" s="585"/>
      <c r="X59" s="585"/>
      <c r="Y59" s="585"/>
      <c r="Z59" s="585"/>
    </row>
    <row r="60" ht="15.75" customHeight="1">
      <c r="A60" s="585"/>
      <c r="B60" s="585"/>
      <c r="C60" s="585"/>
      <c r="D60" s="585"/>
      <c r="E60" s="585"/>
      <c r="F60" s="585"/>
      <c r="G60" s="585"/>
      <c r="H60" s="585"/>
      <c r="I60" s="585"/>
      <c r="J60" s="585"/>
      <c r="K60" s="585"/>
      <c r="L60" s="585"/>
      <c r="M60" s="585"/>
      <c r="N60" s="585"/>
      <c r="O60" s="585"/>
      <c r="P60" s="585"/>
      <c r="Q60" s="585"/>
      <c r="R60" s="585"/>
      <c r="S60" s="585"/>
      <c r="T60" s="585"/>
      <c r="U60" s="585"/>
      <c r="V60" s="585"/>
      <c r="W60" s="585"/>
      <c r="X60" s="585"/>
      <c r="Y60" s="585"/>
      <c r="Z60" s="585"/>
    </row>
    <row r="61" ht="15.75" customHeight="1">
      <c r="A61" s="585"/>
      <c r="B61" s="585"/>
      <c r="C61" s="585"/>
      <c r="D61" s="585"/>
      <c r="E61" s="585"/>
      <c r="F61" s="585"/>
      <c r="G61" s="585"/>
      <c r="H61" s="585"/>
      <c r="I61" s="585"/>
      <c r="J61" s="585"/>
      <c r="K61" s="585"/>
      <c r="L61" s="585"/>
      <c r="M61" s="585"/>
      <c r="N61" s="585"/>
      <c r="O61" s="585"/>
      <c r="P61" s="585"/>
      <c r="Q61" s="585"/>
      <c r="R61" s="585"/>
      <c r="S61" s="585"/>
      <c r="T61" s="585"/>
      <c r="U61" s="585"/>
      <c r="V61" s="585"/>
      <c r="W61" s="585"/>
      <c r="X61" s="585"/>
      <c r="Y61" s="585"/>
      <c r="Z61" s="585"/>
    </row>
    <row r="62" ht="15.75" customHeight="1">
      <c r="A62" s="585"/>
      <c r="B62" s="585"/>
      <c r="C62" s="585"/>
      <c r="D62" s="585"/>
      <c r="E62" s="585"/>
      <c r="F62" s="585"/>
      <c r="G62" s="585"/>
      <c r="H62" s="585"/>
      <c r="I62" s="585"/>
      <c r="J62" s="585"/>
      <c r="K62" s="585"/>
      <c r="L62" s="585"/>
      <c r="M62" s="585"/>
      <c r="N62" s="585"/>
      <c r="O62" s="585"/>
      <c r="P62" s="585"/>
      <c r="Q62" s="585"/>
      <c r="R62" s="585"/>
      <c r="S62" s="585"/>
      <c r="T62" s="585"/>
      <c r="U62" s="585"/>
      <c r="V62" s="585"/>
      <c r="W62" s="585"/>
      <c r="X62" s="585"/>
      <c r="Y62" s="585"/>
      <c r="Z62" s="585"/>
    </row>
    <row r="63" ht="15.75" customHeight="1">
      <c r="A63" s="585"/>
      <c r="B63" s="585"/>
      <c r="C63" s="585"/>
      <c r="D63" s="585"/>
      <c r="E63" s="585"/>
      <c r="F63" s="585"/>
      <c r="G63" s="585"/>
      <c r="H63" s="585"/>
      <c r="I63" s="585"/>
      <c r="J63" s="585"/>
      <c r="K63" s="585"/>
      <c r="L63" s="585"/>
      <c r="M63" s="585"/>
      <c r="N63" s="585"/>
      <c r="O63" s="585"/>
      <c r="P63" s="585"/>
      <c r="Q63" s="585"/>
      <c r="R63" s="585"/>
      <c r="S63" s="585"/>
      <c r="T63" s="585"/>
      <c r="U63" s="585"/>
      <c r="V63" s="585"/>
      <c r="W63" s="585"/>
      <c r="X63" s="585"/>
      <c r="Y63" s="585"/>
      <c r="Z63" s="585"/>
    </row>
    <row r="64" ht="15.75" customHeight="1">
      <c r="A64" s="585"/>
      <c r="B64" s="585"/>
      <c r="C64" s="585"/>
      <c r="D64" s="585"/>
      <c r="E64" s="585"/>
      <c r="F64" s="585"/>
      <c r="G64" s="585"/>
      <c r="H64" s="585"/>
      <c r="I64" s="585"/>
      <c r="J64" s="585"/>
      <c r="K64" s="585"/>
      <c r="L64" s="585"/>
      <c r="M64" s="585"/>
      <c r="N64" s="585"/>
      <c r="O64" s="585"/>
      <c r="P64" s="585"/>
      <c r="Q64" s="585"/>
      <c r="R64" s="585"/>
      <c r="S64" s="585"/>
      <c r="T64" s="585"/>
      <c r="U64" s="585"/>
      <c r="V64" s="585"/>
      <c r="W64" s="585"/>
      <c r="X64" s="585"/>
      <c r="Y64" s="585"/>
      <c r="Z64" s="585"/>
    </row>
    <row r="65" ht="15.75" customHeight="1">
      <c r="A65" s="585"/>
      <c r="B65" s="585"/>
      <c r="C65" s="585"/>
      <c r="D65" s="585"/>
      <c r="E65" s="585"/>
      <c r="F65" s="585"/>
      <c r="G65" s="585"/>
      <c r="H65" s="585"/>
      <c r="I65" s="585"/>
      <c r="J65" s="585"/>
      <c r="K65" s="585"/>
      <c r="L65" s="585"/>
      <c r="M65" s="585"/>
      <c r="N65" s="585"/>
      <c r="O65" s="585"/>
      <c r="P65" s="585"/>
      <c r="Q65" s="585"/>
      <c r="R65" s="585"/>
      <c r="S65" s="585"/>
      <c r="T65" s="585"/>
      <c r="U65" s="585"/>
      <c r="V65" s="585"/>
      <c r="W65" s="585"/>
      <c r="X65" s="585"/>
      <c r="Y65" s="585"/>
      <c r="Z65" s="585"/>
    </row>
    <row r="66" ht="15.75" customHeight="1">
      <c r="A66" s="585"/>
      <c r="B66" s="585"/>
      <c r="C66" s="585"/>
      <c r="D66" s="585"/>
      <c r="E66" s="585"/>
      <c r="F66" s="585"/>
      <c r="G66" s="585"/>
      <c r="H66" s="585"/>
      <c r="I66" s="585"/>
      <c r="J66" s="585"/>
      <c r="K66" s="585"/>
      <c r="L66" s="585"/>
      <c r="M66" s="585"/>
      <c r="N66" s="585"/>
      <c r="O66" s="585"/>
      <c r="P66" s="585"/>
      <c r="Q66" s="585"/>
      <c r="R66" s="585"/>
      <c r="S66" s="585"/>
      <c r="T66" s="585"/>
      <c r="U66" s="585"/>
      <c r="V66" s="585"/>
      <c r="W66" s="585"/>
      <c r="X66" s="585"/>
      <c r="Y66" s="585"/>
      <c r="Z66" s="585"/>
    </row>
    <row r="67" ht="15.75" customHeight="1">
      <c r="A67" s="585"/>
      <c r="B67" s="585"/>
      <c r="C67" s="585"/>
      <c r="D67" s="585"/>
      <c r="E67" s="585"/>
      <c r="F67" s="585"/>
      <c r="G67" s="585"/>
      <c r="H67" s="585"/>
      <c r="I67" s="585"/>
      <c r="J67" s="585"/>
      <c r="K67" s="585"/>
      <c r="L67" s="585"/>
      <c r="M67" s="594"/>
      <c r="N67" s="585"/>
      <c r="O67" s="585"/>
      <c r="P67" s="585"/>
      <c r="Q67" s="585"/>
      <c r="R67" s="585"/>
      <c r="S67" s="585"/>
      <c r="T67" s="585"/>
      <c r="U67" s="585"/>
      <c r="V67" s="585"/>
      <c r="W67" s="585"/>
      <c r="X67" s="585"/>
      <c r="Y67" s="585"/>
      <c r="Z67" s="585"/>
    </row>
    <row r="68" ht="15.75" customHeight="1">
      <c r="A68" s="585"/>
      <c r="B68" s="585"/>
      <c r="C68" s="585"/>
      <c r="D68" s="585"/>
      <c r="E68" s="585"/>
      <c r="F68" s="585"/>
      <c r="G68" s="585"/>
      <c r="H68" s="585"/>
      <c r="I68" s="585"/>
      <c r="J68" s="585"/>
      <c r="K68" s="585"/>
      <c r="L68" s="585"/>
      <c r="M68" s="585"/>
      <c r="N68" s="585"/>
      <c r="O68" s="585"/>
      <c r="P68" s="585"/>
      <c r="Q68" s="585"/>
      <c r="R68" s="585"/>
      <c r="S68" s="585"/>
      <c r="T68" s="585"/>
      <c r="U68" s="585"/>
      <c r="V68" s="585"/>
      <c r="W68" s="585"/>
      <c r="X68" s="585"/>
      <c r="Y68" s="585"/>
      <c r="Z68" s="585"/>
    </row>
    <row r="69" ht="15.75" customHeight="1">
      <c r="A69" s="585"/>
      <c r="B69" s="585"/>
      <c r="C69" s="585"/>
      <c r="D69" s="585"/>
      <c r="E69" s="585"/>
      <c r="F69" s="585"/>
      <c r="G69" s="585"/>
      <c r="H69" s="585"/>
      <c r="I69" s="585"/>
      <c r="J69" s="585"/>
      <c r="K69" s="585"/>
      <c r="L69" s="585"/>
      <c r="M69" s="585"/>
      <c r="N69" s="585"/>
      <c r="O69" s="585"/>
      <c r="P69" s="585"/>
      <c r="Q69" s="585"/>
      <c r="R69" s="585"/>
      <c r="S69" s="585"/>
      <c r="T69" s="585"/>
      <c r="U69" s="585"/>
      <c r="V69" s="585"/>
      <c r="W69" s="585"/>
      <c r="X69" s="585"/>
      <c r="Y69" s="585"/>
      <c r="Z69" s="585"/>
    </row>
    <row r="70" ht="15.75" customHeight="1">
      <c r="A70" s="585"/>
      <c r="B70" s="585"/>
      <c r="C70" s="585"/>
      <c r="D70" s="585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585"/>
      <c r="P70" s="585"/>
      <c r="Q70" s="585"/>
      <c r="R70" s="585"/>
      <c r="S70" s="585"/>
      <c r="T70" s="585"/>
      <c r="U70" s="585"/>
      <c r="V70" s="585"/>
      <c r="W70" s="585"/>
      <c r="X70" s="585"/>
      <c r="Y70" s="585"/>
      <c r="Z70" s="585"/>
    </row>
    <row r="71" ht="15.75" customHeight="1">
      <c r="A71" s="585"/>
      <c r="B71" s="585"/>
      <c r="C71" s="585"/>
      <c r="D71" s="585"/>
      <c r="E71" s="585"/>
      <c r="F71" s="585"/>
      <c r="G71" s="585"/>
      <c r="H71" s="585"/>
      <c r="I71" s="585"/>
      <c r="J71" s="585"/>
      <c r="K71" s="585"/>
      <c r="L71" s="585"/>
      <c r="M71" s="585"/>
      <c r="N71" s="585"/>
      <c r="O71" s="585"/>
      <c r="P71" s="585"/>
      <c r="Q71" s="585"/>
      <c r="R71" s="585"/>
      <c r="S71" s="585"/>
      <c r="T71" s="585"/>
      <c r="U71" s="585"/>
      <c r="V71" s="585"/>
      <c r="W71" s="585"/>
      <c r="X71" s="585"/>
      <c r="Y71" s="585"/>
      <c r="Z71" s="585"/>
    </row>
    <row r="72" ht="15.75" customHeight="1">
      <c r="A72" s="585"/>
      <c r="B72" s="585"/>
      <c r="C72" s="585"/>
      <c r="D72" s="585"/>
      <c r="E72" s="585"/>
      <c r="F72" s="585"/>
      <c r="G72" s="585"/>
      <c r="H72" s="585"/>
      <c r="I72" s="585"/>
      <c r="J72" s="585"/>
      <c r="K72" s="585"/>
      <c r="L72" s="585"/>
      <c r="M72" s="585"/>
      <c r="N72" s="585"/>
      <c r="O72" s="585"/>
      <c r="P72" s="585"/>
      <c r="Q72" s="585"/>
      <c r="R72" s="585"/>
      <c r="S72" s="585"/>
      <c r="T72" s="585"/>
      <c r="U72" s="585"/>
      <c r="V72" s="585"/>
      <c r="W72" s="585"/>
      <c r="X72" s="585"/>
      <c r="Y72" s="585"/>
      <c r="Z72" s="585"/>
    </row>
    <row r="73" ht="15.75" customHeight="1">
      <c r="A73" s="585"/>
      <c r="B73" s="585"/>
      <c r="C73" s="585"/>
      <c r="D73" s="585"/>
      <c r="E73" s="585"/>
      <c r="F73" s="585"/>
      <c r="G73" s="585"/>
      <c r="H73" s="585"/>
      <c r="I73" s="585"/>
      <c r="J73" s="585"/>
      <c r="K73" s="585"/>
      <c r="L73" s="585"/>
      <c r="M73" s="585"/>
      <c r="N73" s="585"/>
      <c r="O73" s="585"/>
      <c r="P73" s="585"/>
      <c r="Q73" s="585"/>
      <c r="R73" s="585"/>
      <c r="S73" s="585"/>
      <c r="T73" s="585"/>
      <c r="U73" s="585"/>
      <c r="V73" s="585"/>
      <c r="W73" s="585"/>
      <c r="X73" s="585"/>
      <c r="Y73" s="585"/>
      <c r="Z73" s="585"/>
    </row>
    <row r="74" ht="15.75" customHeight="1">
      <c r="A74" s="585"/>
      <c r="B74" s="585"/>
      <c r="C74" s="585"/>
      <c r="D74" s="585"/>
      <c r="E74" s="585"/>
      <c r="F74" s="585"/>
      <c r="G74" s="585"/>
      <c r="H74" s="585"/>
      <c r="I74" s="585"/>
      <c r="J74" s="585"/>
      <c r="K74" s="585"/>
      <c r="L74" s="585"/>
      <c r="M74" s="585"/>
      <c r="N74" s="585"/>
      <c r="O74" s="585"/>
      <c r="P74" s="585"/>
      <c r="Q74" s="585"/>
      <c r="R74" s="585"/>
      <c r="S74" s="585"/>
      <c r="T74" s="585"/>
      <c r="U74" s="585"/>
      <c r="V74" s="585"/>
      <c r="W74" s="585"/>
      <c r="X74" s="585"/>
      <c r="Y74" s="585"/>
      <c r="Z74" s="585"/>
    </row>
    <row r="75" ht="15.75" customHeight="1">
      <c r="A75" s="585"/>
      <c r="B75" s="585"/>
      <c r="C75" s="585"/>
      <c r="D75" s="585"/>
      <c r="E75" s="585"/>
      <c r="F75" s="585"/>
      <c r="G75" s="585"/>
      <c r="H75" s="585"/>
      <c r="I75" s="585"/>
      <c r="J75" s="585"/>
      <c r="K75" s="585"/>
      <c r="L75" s="585"/>
      <c r="M75" s="585"/>
      <c r="N75" s="585"/>
      <c r="O75" s="585"/>
      <c r="P75" s="585"/>
      <c r="Q75" s="585"/>
      <c r="R75" s="585"/>
      <c r="S75" s="585"/>
      <c r="T75" s="585"/>
      <c r="U75" s="585"/>
      <c r="V75" s="585"/>
      <c r="W75" s="585"/>
      <c r="X75" s="585"/>
      <c r="Y75" s="585"/>
      <c r="Z75" s="585"/>
    </row>
    <row r="76" ht="15.75" customHeight="1">
      <c r="A76" s="585"/>
      <c r="B76" s="585"/>
      <c r="C76" s="585"/>
      <c r="D76" s="585"/>
      <c r="E76" s="585"/>
      <c r="F76" s="585"/>
      <c r="G76" s="585"/>
      <c r="H76" s="585"/>
      <c r="I76" s="585"/>
      <c r="J76" s="585"/>
      <c r="K76" s="585"/>
      <c r="L76" s="585"/>
      <c r="M76" s="585"/>
      <c r="N76" s="585"/>
      <c r="O76" s="585"/>
      <c r="P76" s="585"/>
      <c r="Q76" s="585"/>
      <c r="R76" s="585"/>
      <c r="S76" s="585"/>
      <c r="T76" s="585"/>
      <c r="U76" s="585"/>
      <c r="V76" s="585"/>
      <c r="W76" s="585"/>
      <c r="X76" s="585"/>
      <c r="Y76" s="585"/>
      <c r="Z76" s="585"/>
    </row>
    <row r="77" ht="15.75" customHeight="1">
      <c r="A77" s="585"/>
      <c r="B77" s="585"/>
      <c r="C77" s="585"/>
      <c r="D77" s="585"/>
      <c r="E77" s="585"/>
      <c r="F77" s="585"/>
      <c r="G77" s="585"/>
      <c r="H77" s="585"/>
      <c r="I77" s="585"/>
      <c r="J77" s="585"/>
      <c r="K77" s="585"/>
      <c r="L77" s="585"/>
      <c r="M77" s="585"/>
      <c r="N77" s="585"/>
      <c r="O77" s="585"/>
      <c r="P77" s="585"/>
      <c r="Q77" s="585"/>
      <c r="R77" s="585"/>
      <c r="S77" s="585"/>
      <c r="T77" s="585"/>
      <c r="U77" s="585"/>
      <c r="V77" s="585"/>
      <c r="W77" s="585"/>
      <c r="X77" s="585"/>
      <c r="Y77" s="585"/>
      <c r="Z77" s="585"/>
    </row>
    <row r="78" ht="15.75" customHeight="1">
      <c r="A78" s="585"/>
      <c r="B78" s="585"/>
      <c r="C78" s="585"/>
      <c r="D78" s="585"/>
      <c r="E78" s="585"/>
      <c r="F78" s="585"/>
      <c r="G78" s="585"/>
      <c r="H78" s="585"/>
      <c r="I78" s="585"/>
      <c r="J78" s="585"/>
      <c r="K78" s="585"/>
      <c r="L78" s="585"/>
      <c r="M78" s="585"/>
      <c r="N78" s="585"/>
      <c r="O78" s="585"/>
      <c r="P78" s="585"/>
      <c r="Q78" s="585"/>
      <c r="R78" s="585"/>
      <c r="S78" s="585"/>
      <c r="T78" s="585"/>
      <c r="U78" s="585"/>
      <c r="V78" s="585"/>
      <c r="W78" s="585"/>
      <c r="X78" s="585"/>
      <c r="Y78" s="585"/>
      <c r="Z78" s="585"/>
    </row>
    <row r="79" ht="15.75" customHeight="1">
      <c r="A79" s="585"/>
      <c r="B79" s="585"/>
      <c r="C79" s="585"/>
      <c r="D79" s="585"/>
      <c r="E79" s="585"/>
      <c r="F79" s="585"/>
      <c r="G79" s="585"/>
      <c r="H79" s="585"/>
      <c r="I79" s="585"/>
      <c r="J79" s="585"/>
      <c r="K79" s="585"/>
      <c r="L79" s="585"/>
      <c r="M79" s="585"/>
      <c r="N79" s="585"/>
      <c r="O79" s="585"/>
      <c r="P79" s="585"/>
      <c r="Q79" s="585"/>
      <c r="R79" s="585"/>
      <c r="S79" s="585"/>
      <c r="T79" s="585"/>
      <c r="U79" s="585"/>
      <c r="V79" s="585"/>
      <c r="W79" s="585"/>
      <c r="X79" s="585"/>
      <c r="Y79" s="585"/>
      <c r="Z79" s="585"/>
    </row>
    <row r="80" ht="15.75" customHeight="1">
      <c r="A80" s="585"/>
      <c r="B80" s="585"/>
      <c r="C80" s="585"/>
      <c r="D80" s="585"/>
      <c r="E80" s="585"/>
      <c r="F80" s="585"/>
      <c r="G80" s="585"/>
      <c r="H80" s="585"/>
      <c r="I80" s="585"/>
      <c r="J80" s="585"/>
      <c r="K80" s="585"/>
      <c r="L80" s="585"/>
      <c r="M80" s="585"/>
      <c r="N80" s="585"/>
      <c r="O80" s="585"/>
      <c r="P80" s="585"/>
      <c r="Q80" s="585"/>
      <c r="R80" s="585"/>
      <c r="S80" s="585"/>
      <c r="T80" s="585"/>
      <c r="U80" s="585"/>
      <c r="V80" s="585"/>
      <c r="W80" s="585"/>
      <c r="X80" s="585"/>
      <c r="Y80" s="585"/>
      <c r="Z80" s="585"/>
    </row>
    <row r="81" ht="15.75" customHeight="1">
      <c r="A81" s="585"/>
      <c r="B81" s="585"/>
      <c r="C81" s="585"/>
      <c r="D81" s="585"/>
      <c r="E81" s="585"/>
      <c r="F81" s="585"/>
      <c r="G81" s="585"/>
      <c r="H81" s="585"/>
      <c r="I81" s="585"/>
      <c r="J81" s="585"/>
      <c r="K81" s="585"/>
      <c r="L81" s="585"/>
      <c r="M81" s="585"/>
      <c r="N81" s="585"/>
      <c r="O81" s="585"/>
      <c r="P81" s="585"/>
      <c r="Q81" s="585"/>
      <c r="R81" s="585"/>
      <c r="S81" s="585"/>
      <c r="T81" s="585"/>
      <c r="U81" s="585"/>
      <c r="V81" s="585"/>
      <c r="W81" s="585"/>
      <c r="X81" s="585"/>
      <c r="Y81" s="585"/>
      <c r="Z81" s="585"/>
    </row>
    <row r="82" ht="15.75" customHeight="1">
      <c r="A82" s="585"/>
      <c r="B82" s="585"/>
      <c r="C82" s="585"/>
      <c r="D82" s="585"/>
      <c r="E82" s="585"/>
      <c r="F82" s="585"/>
      <c r="G82" s="585"/>
      <c r="H82" s="585"/>
      <c r="I82" s="585"/>
      <c r="J82" s="585"/>
      <c r="K82" s="585"/>
      <c r="L82" s="585"/>
      <c r="M82" s="585"/>
      <c r="N82" s="585"/>
      <c r="O82" s="585"/>
      <c r="P82" s="585"/>
      <c r="Q82" s="585"/>
      <c r="R82" s="585"/>
      <c r="S82" s="585"/>
      <c r="T82" s="585"/>
      <c r="U82" s="585"/>
      <c r="V82" s="585"/>
      <c r="W82" s="585"/>
      <c r="X82" s="585"/>
      <c r="Y82" s="585"/>
      <c r="Z82" s="585"/>
    </row>
    <row r="83" ht="15.75" customHeight="1">
      <c r="A83" s="585"/>
      <c r="B83" s="585"/>
      <c r="C83" s="585"/>
      <c r="D83" s="585"/>
      <c r="E83" s="585"/>
      <c r="F83" s="585"/>
      <c r="G83" s="585"/>
      <c r="H83" s="585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  <c r="W83" s="585"/>
      <c r="X83" s="585"/>
      <c r="Y83" s="585"/>
      <c r="Z83" s="585"/>
    </row>
    <row r="84" ht="15.75" customHeight="1">
      <c r="A84" s="585"/>
      <c r="B84" s="585"/>
      <c r="C84" s="585"/>
      <c r="D84" s="585"/>
      <c r="E84" s="585"/>
      <c r="F84" s="585"/>
      <c r="G84" s="585"/>
      <c r="H84" s="585"/>
      <c r="I84" s="585"/>
      <c r="J84" s="585"/>
      <c r="K84" s="585"/>
      <c r="L84" s="585"/>
      <c r="M84" s="585"/>
      <c r="N84" s="585"/>
      <c r="O84" s="585"/>
      <c r="P84" s="585"/>
      <c r="Q84" s="585"/>
      <c r="R84" s="585"/>
      <c r="S84" s="585"/>
      <c r="T84" s="585"/>
      <c r="U84" s="585"/>
      <c r="V84" s="585"/>
      <c r="W84" s="585"/>
      <c r="X84" s="585"/>
      <c r="Y84" s="585"/>
      <c r="Z84" s="585"/>
    </row>
    <row r="85" ht="15.75" customHeight="1">
      <c r="A85" s="585"/>
      <c r="B85" s="585"/>
      <c r="C85" s="585"/>
      <c r="D85" s="585"/>
      <c r="E85" s="585"/>
      <c r="F85" s="585"/>
      <c r="G85" s="585"/>
      <c r="H85" s="585"/>
      <c r="I85" s="585"/>
      <c r="J85" s="585"/>
      <c r="K85" s="585"/>
      <c r="L85" s="585"/>
      <c r="M85" s="585"/>
      <c r="N85" s="585"/>
      <c r="O85" s="585"/>
      <c r="P85" s="585"/>
      <c r="Q85" s="585"/>
      <c r="R85" s="585"/>
      <c r="S85" s="585"/>
      <c r="T85" s="585"/>
      <c r="U85" s="585"/>
      <c r="V85" s="585"/>
      <c r="W85" s="585"/>
      <c r="X85" s="585"/>
      <c r="Y85" s="585"/>
      <c r="Z85" s="585"/>
    </row>
    <row r="86" ht="15.75" customHeight="1">
      <c r="A86" s="585"/>
      <c r="B86" s="585"/>
      <c r="C86" s="585"/>
      <c r="D86" s="585"/>
      <c r="E86" s="585"/>
      <c r="F86" s="585"/>
      <c r="G86" s="585"/>
      <c r="H86" s="585"/>
      <c r="I86" s="585"/>
      <c r="J86" s="585"/>
      <c r="K86" s="585"/>
      <c r="L86" s="585"/>
      <c r="M86" s="585"/>
      <c r="N86" s="585"/>
      <c r="O86" s="585"/>
      <c r="P86" s="585"/>
      <c r="Q86" s="585"/>
      <c r="R86" s="585"/>
      <c r="S86" s="585"/>
      <c r="T86" s="585"/>
      <c r="U86" s="585"/>
      <c r="V86" s="585"/>
      <c r="W86" s="585"/>
      <c r="X86" s="585"/>
      <c r="Y86" s="585"/>
      <c r="Z86" s="585"/>
    </row>
    <row r="87" ht="15.75" customHeight="1">
      <c r="A87" s="585"/>
      <c r="B87" s="585"/>
      <c r="C87" s="585"/>
      <c r="D87" s="585"/>
      <c r="E87" s="585"/>
      <c r="F87" s="585"/>
      <c r="G87" s="585"/>
      <c r="H87" s="585"/>
      <c r="I87" s="585"/>
      <c r="J87" s="585"/>
      <c r="K87" s="585"/>
      <c r="L87" s="585"/>
      <c r="M87" s="585"/>
      <c r="N87" s="585"/>
      <c r="O87" s="585"/>
      <c r="P87" s="585"/>
      <c r="Q87" s="585"/>
      <c r="R87" s="585"/>
      <c r="S87" s="585"/>
      <c r="T87" s="585"/>
      <c r="U87" s="585"/>
      <c r="V87" s="585"/>
      <c r="W87" s="585"/>
      <c r="X87" s="585"/>
      <c r="Y87" s="585"/>
      <c r="Z87" s="585"/>
    </row>
    <row r="88" ht="15.75" customHeight="1">
      <c r="A88" s="585"/>
      <c r="B88" s="585"/>
      <c r="C88" s="585"/>
      <c r="D88" s="585"/>
      <c r="E88" s="585"/>
      <c r="F88" s="585"/>
      <c r="G88" s="585"/>
      <c r="H88" s="585"/>
      <c r="I88" s="585"/>
      <c r="J88" s="585"/>
      <c r="K88" s="585"/>
      <c r="L88" s="585"/>
      <c r="M88" s="585"/>
      <c r="N88" s="585"/>
      <c r="O88" s="585"/>
      <c r="P88" s="585"/>
      <c r="Q88" s="585"/>
      <c r="R88" s="585"/>
      <c r="S88" s="585"/>
      <c r="T88" s="585"/>
      <c r="U88" s="585"/>
      <c r="V88" s="585"/>
      <c r="W88" s="585"/>
      <c r="X88" s="585"/>
      <c r="Y88" s="585"/>
      <c r="Z88" s="585"/>
    </row>
    <row r="89" ht="15.75" customHeight="1">
      <c r="A89" s="585"/>
      <c r="B89" s="585"/>
      <c r="C89" s="585"/>
      <c r="D89" s="585"/>
      <c r="E89" s="585"/>
      <c r="F89" s="585"/>
      <c r="G89" s="585"/>
      <c r="H89" s="585"/>
      <c r="I89" s="585"/>
      <c r="J89" s="585"/>
      <c r="K89" s="585"/>
      <c r="L89" s="585"/>
      <c r="M89" s="585"/>
      <c r="N89" s="585"/>
      <c r="O89" s="585"/>
      <c r="P89" s="585"/>
      <c r="Q89" s="585"/>
      <c r="R89" s="585"/>
      <c r="S89" s="585"/>
      <c r="T89" s="585"/>
      <c r="U89" s="585"/>
      <c r="V89" s="585"/>
      <c r="W89" s="585"/>
      <c r="X89" s="585"/>
      <c r="Y89" s="585"/>
      <c r="Z89" s="585"/>
    </row>
    <row r="90" ht="15.75" customHeight="1">
      <c r="A90" s="585"/>
      <c r="B90" s="585"/>
      <c r="C90" s="585"/>
      <c r="D90" s="585"/>
      <c r="E90" s="585"/>
      <c r="F90" s="585"/>
      <c r="G90" s="585"/>
      <c r="H90" s="585"/>
      <c r="I90" s="585"/>
      <c r="J90" s="585"/>
      <c r="K90" s="585"/>
      <c r="L90" s="585"/>
      <c r="M90" s="585"/>
      <c r="N90" s="585"/>
      <c r="O90" s="585"/>
      <c r="P90" s="585"/>
      <c r="Q90" s="585"/>
      <c r="R90" s="585"/>
      <c r="S90" s="585"/>
      <c r="T90" s="585"/>
      <c r="U90" s="585"/>
      <c r="V90" s="585"/>
      <c r="W90" s="585"/>
      <c r="X90" s="585"/>
      <c r="Y90" s="585"/>
      <c r="Z90" s="585"/>
    </row>
    <row r="91" ht="15.75" customHeight="1">
      <c r="A91" s="585"/>
      <c r="B91" s="585"/>
      <c r="C91" s="585"/>
      <c r="D91" s="585"/>
      <c r="E91" s="585"/>
      <c r="F91" s="585"/>
      <c r="G91" s="585"/>
      <c r="H91" s="585"/>
      <c r="I91" s="585"/>
      <c r="J91" s="585"/>
      <c r="K91" s="585"/>
      <c r="L91" s="585"/>
      <c r="M91" s="585"/>
      <c r="N91" s="585"/>
      <c r="O91" s="585"/>
      <c r="P91" s="585"/>
      <c r="Q91" s="585"/>
      <c r="R91" s="585"/>
      <c r="S91" s="585"/>
      <c r="T91" s="585"/>
      <c r="U91" s="585"/>
      <c r="V91" s="585"/>
      <c r="W91" s="585"/>
      <c r="X91" s="585"/>
      <c r="Y91" s="585"/>
      <c r="Z91" s="585"/>
    </row>
    <row r="92" ht="15.75" customHeight="1">
      <c r="A92" s="585"/>
      <c r="B92" s="585"/>
      <c r="C92" s="585"/>
      <c r="D92" s="585"/>
      <c r="E92" s="585"/>
      <c r="F92" s="585"/>
      <c r="G92" s="585"/>
      <c r="H92" s="585"/>
      <c r="I92" s="585"/>
      <c r="J92" s="585"/>
      <c r="K92" s="585"/>
      <c r="L92" s="585"/>
      <c r="M92" s="585"/>
      <c r="N92" s="585"/>
      <c r="O92" s="585"/>
      <c r="P92" s="585"/>
      <c r="Q92" s="585"/>
      <c r="R92" s="585"/>
      <c r="S92" s="585"/>
      <c r="T92" s="585"/>
      <c r="U92" s="585"/>
      <c r="V92" s="585"/>
      <c r="W92" s="585"/>
      <c r="X92" s="585"/>
      <c r="Y92" s="585"/>
      <c r="Z92" s="585"/>
    </row>
    <row r="93" ht="15.75" customHeight="1">
      <c r="A93" s="585"/>
      <c r="B93" s="585"/>
      <c r="C93" s="585"/>
      <c r="D93" s="585"/>
      <c r="E93" s="585"/>
      <c r="F93" s="585"/>
      <c r="G93" s="585"/>
      <c r="H93" s="585"/>
      <c r="I93" s="585"/>
      <c r="J93" s="585"/>
      <c r="K93" s="585"/>
      <c r="L93" s="585"/>
      <c r="M93" s="585"/>
      <c r="N93" s="585"/>
      <c r="O93" s="585"/>
      <c r="P93" s="585"/>
      <c r="Q93" s="585"/>
      <c r="R93" s="585"/>
      <c r="S93" s="585"/>
      <c r="T93" s="585"/>
      <c r="U93" s="585"/>
      <c r="V93" s="585"/>
      <c r="W93" s="585"/>
      <c r="X93" s="585"/>
      <c r="Y93" s="585"/>
      <c r="Z93" s="585"/>
    </row>
    <row r="94" ht="15.75" customHeight="1">
      <c r="A94" s="585"/>
      <c r="B94" s="585"/>
      <c r="C94" s="585"/>
      <c r="D94" s="585"/>
      <c r="E94" s="585"/>
      <c r="F94" s="585"/>
      <c r="G94" s="585"/>
      <c r="H94" s="585"/>
      <c r="I94" s="585"/>
      <c r="J94" s="585"/>
      <c r="K94" s="585"/>
      <c r="L94" s="585"/>
      <c r="M94" s="585"/>
      <c r="N94" s="585"/>
      <c r="O94" s="585"/>
      <c r="P94" s="585"/>
      <c r="Q94" s="585"/>
      <c r="R94" s="585"/>
      <c r="S94" s="585"/>
      <c r="T94" s="585"/>
      <c r="U94" s="585"/>
      <c r="V94" s="585"/>
      <c r="W94" s="585"/>
      <c r="X94" s="585"/>
      <c r="Y94" s="585"/>
      <c r="Z94" s="585"/>
    </row>
    <row r="95" ht="15.75" customHeight="1">
      <c r="A95" s="585"/>
      <c r="B95" s="585"/>
      <c r="C95" s="585"/>
      <c r="D95" s="585"/>
      <c r="E95" s="585"/>
      <c r="F95" s="585"/>
      <c r="G95" s="585"/>
      <c r="H95" s="585"/>
      <c r="I95" s="585"/>
      <c r="J95" s="585"/>
      <c r="K95" s="585"/>
      <c r="L95" s="585"/>
      <c r="M95" s="585"/>
      <c r="N95" s="585"/>
      <c r="O95" s="585"/>
      <c r="P95" s="585"/>
      <c r="Q95" s="585"/>
      <c r="R95" s="585"/>
      <c r="S95" s="585"/>
      <c r="T95" s="585"/>
      <c r="U95" s="585"/>
      <c r="V95" s="585"/>
      <c r="W95" s="585"/>
      <c r="X95" s="585"/>
      <c r="Y95" s="585"/>
      <c r="Z95" s="585"/>
    </row>
    <row r="96" ht="15.75" customHeight="1">
      <c r="A96" s="585"/>
      <c r="B96" s="585"/>
      <c r="C96" s="585"/>
      <c r="D96" s="585"/>
      <c r="E96" s="585"/>
      <c r="F96" s="585"/>
      <c r="G96" s="585"/>
      <c r="H96" s="585"/>
      <c r="I96" s="585"/>
      <c r="J96" s="585"/>
      <c r="K96" s="585"/>
      <c r="L96" s="585"/>
      <c r="M96" s="585"/>
      <c r="N96" s="585"/>
      <c r="O96" s="585"/>
      <c r="P96" s="585"/>
      <c r="Q96" s="585"/>
      <c r="R96" s="585"/>
      <c r="S96" s="585"/>
      <c r="T96" s="585"/>
      <c r="U96" s="585"/>
      <c r="V96" s="585"/>
      <c r="W96" s="585"/>
      <c r="X96" s="585"/>
      <c r="Y96" s="585"/>
      <c r="Z96" s="585"/>
    </row>
    <row r="97" ht="15.75" customHeight="1">
      <c r="A97" s="585"/>
      <c r="B97" s="585"/>
      <c r="C97" s="585"/>
      <c r="D97" s="585"/>
      <c r="E97" s="585"/>
      <c r="F97" s="585"/>
      <c r="G97" s="585"/>
      <c r="H97" s="585"/>
      <c r="I97" s="585"/>
      <c r="J97" s="585"/>
      <c r="K97" s="585"/>
      <c r="L97" s="585"/>
      <c r="M97" s="585"/>
      <c r="N97" s="585"/>
      <c r="O97" s="585"/>
      <c r="P97" s="585"/>
      <c r="Q97" s="585"/>
      <c r="R97" s="585"/>
      <c r="S97" s="585"/>
      <c r="T97" s="585"/>
      <c r="U97" s="585"/>
      <c r="V97" s="585"/>
      <c r="W97" s="585"/>
      <c r="X97" s="585"/>
      <c r="Y97" s="585"/>
      <c r="Z97" s="585"/>
    </row>
    <row r="98" ht="15.75" customHeight="1">
      <c r="A98" s="585"/>
      <c r="B98" s="585"/>
      <c r="C98" s="585"/>
      <c r="D98" s="585"/>
      <c r="E98" s="585"/>
      <c r="F98" s="585"/>
      <c r="G98" s="585"/>
      <c r="H98" s="585"/>
      <c r="I98" s="585"/>
      <c r="J98" s="585"/>
      <c r="K98" s="585"/>
      <c r="L98" s="585"/>
      <c r="M98" s="585"/>
      <c r="N98" s="585"/>
      <c r="O98" s="585"/>
      <c r="P98" s="585"/>
      <c r="Q98" s="585"/>
      <c r="R98" s="585"/>
      <c r="S98" s="585"/>
      <c r="T98" s="585"/>
      <c r="U98" s="585"/>
      <c r="V98" s="585"/>
      <c r="W98" s="585"/>
      <c r="X98" s="585"/>
      <c r="Y98" s="585"/>
      <c r="Z98" s="585"/>
    </row>
    <row r="99" ht="15.75" customHeight="1">
      <c r="A99" s="585"/>
      <c r="B99" s="585"/>
      <c r="C99" s="585"/>
      <c r="D99" s="585"/>
      <c r="E99" s="585"/>
      <c r="F99" s="585"/>
      <c r="G99" s="585"/>
      <c r="H99" s="585"/>
      <c r="I99" s="585"/>
      <c r="J99" s="585"/>
      <c r="K99" s="585"/>
      <c r="L99" s="585"/>
      <c r="M99" s="585"/>
      <c r="N99" s="585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585"/>
    </row>
    <row r="100" ht="15.75" customHeight="1">
      <c r="A100" s="585"/>
      <c r="B100" s="585"/>
      <c r="C100" s="585"/>
      <c r="D100" s="585"/>
      <c r="E100" s="585"/>
      <c r="F100" s="585"/>
      <c r="G100" s="585"/>
      <c r="H100" s="585"/>
      <c r="I100" s="585"/>
      <c r="J100" s="585"/>
      <c r="K100" s="585"/>
      <c r="L100" s="585"/>
      <c r="M100" s="585"/>
      <c r="N100" s="585"/>
      <c r="O100" s="585"/>
      <c r="P100" s="585"/>
      <c r="Q100" s="585"/>
      <c r="R100" s="585"/>
      <c r="S100" s="585"/>
      <c r="T100" s="585"/>
      <c r="U100" s="585"/>
      <c r="V100" s="585"/>
      <c r="W100" s="585"/>
      <c r="X100" s="585"/>
      <c r="Y100" s="585"/>
      <c r="Z100" s="585"/>
    </row>
    <row r="101" ht="15.75" customHeight="1">
      <c r="A101" s="585"/>
      <c r="B101" s="585"/>
      <c r="C101" s="585"/>
      <c r="D101" s="585"/>
      <c r="E101" s="585"/>
      <c r="F101" s="585"/>
      <c r="G101" s="585"/>
      <c r="H101" s="585"/>
      <c r="I101" s="585"/>
      <c r="J101" s="585"/>
      <c r="K101" s="585"/>
      <c r="L101" s="585"/>
      <c r="M101" s="585"/>
      <c r="N101" s="585"/>
      <c r="O101" s="585"/>
      <c r="P101" s="585"/>
      <c r="Q101" s="585"/>
      <c r="R101" s="585"/>
      <c r="S101" s="585"/>
      <c r="T101" s="585"/>
      <c r="U101" s="585"/>
      <c r="V101" s="585"/>
      <c r="W101" s="585"/>
      <c r="X101" s="585"/>
      <c r="Y101" s="585"/>
      <c r="Z101" s="585"/>
    </row>
    <row r="102" ht="15.75" customHeight="1">
      <c r="A102" s="585"/>
      <c r="B102" s="585"/>
      <c r="C102" s="585"/>
      <c r="D102" s="585"/>
      <c r="E102" s="585"/>
      <c r="F102" s="585"/>
      <c r="G102" s="585"/>
      <c r="H102" s="585"/>
      <c r="I102" s="585"/>
      <c r="J102" s="585"/>
      <c r="K102" s="585"/>
      <c r="L102" s="585"/>
      <c r="M102" s="585"/>
      <c r="N102" s="585"/>
      <c r="O102" s="585"/>
      <c r="P102" s="585"/>
      <c r="Q102" s="585"/>
      <c r="R102" s="585"/>
      <c r="S102" s="585"/>
      <c r="T102" s="585"/>
      <c r="U102" s="585"/>
      <c r="V102" s="585"/>
      <c r="W102" s="585"/>
      <c r="X102" s="585"/>
      <c r="Y102" s="585"/>
      <c r="Z102" s="585"/>
    </row>
    <row r="103" ht="15.75" customHeight="1">
      <c r="A103" s="585"/>
      <c r="B103" s="585"/>
      <c r="C103" s="585"/>
      <c r="D103" s="585"/>
      <c r="E103" s="585"/>
      <c r="F103" s="585"/>
      <c r="G103" s="585"/>
      <c r="H103" s="585"/>
      <c r="I103" s="585"/>
      <c r="J103" s="585"/>
      <c r="K103" s="585"/>
      <c r="L103" s="585"/>
      <c r="M103" s="585"/>
      <c r="N103" s="585"/>
      <c r="O103" s="585"/>
      <c r="P103" s="585"/>
      <c r="Q103" s="585"/>
      <c r="R103" s="585"/>
      <c r="S103" s="585"/>
      <c r="T103" s="585"/>
      <c r="U103" s="585"/>
      <c r="V103" s="585"/>
      <c r="W103" s="585"/>
      <c r="X103" s="585"/>
      <c r="Y103" s="585"/>
      <c r="Z103" s="585"/>
    </row>
    <row r="104" ht="15.75" customHeight="1">
      <c r="A104" s="585"/>
      <c r="B104" s="585"/>
      <c r="C104" s="585"/>
      <c r="D104" s="585"/>
      <c r="E104" s="585"/>
      <c r="F104" s="585"/>
      <c r="G104" s="585"/>
      <c r="H104" s="585"/>
      <c r="I104" s="585"/>
      <c r="J104" s="585"/>
      <c r="K104" s="585"/>
      <c r="L104" s="585"/>
      <c r="M104" s="585"/>
      <c r="N104" s="585"/>
      <c r="O104" s="585"/>
      <c r="P104" s="585"/>
      <c r="Q104" s="585"/>
      <c r="R104" s="585"/>
      <c r="S104" s="585"/>
      <c r="T104" s="585"/>
      <c r="U104" s="585"/>
      <c r="V104" s="585"/>
      <c r="W104" s="585"/>
      <c r="X104" s="585"/>
      <c r="Y104" s="585"/>
      <c r="Z104" s="585"/>
    </row>
    <row r="105" ht="15.75" customHeight="1">
      <c r="A105" s="585"/>
      <c r="B105" s="585"/>
      <c r="C105" s="585"/>
      <c r="D105" s="585"/>
      <c r="E105" s="585"/>
      <c r="F105" s="585"/>
      <c r="G105" s="585"/>
      <c r="H105" s="585"/>
      <c r="I105" s="585"/>
      <c r="J105" s="585"/>
      <c r="K105" s="585"/>
      <c r="L105" s="585"/>
      <c r="M105" s="585"/>
      <c r="N105" s="585"/>
      <c r="O105" s="585"/>
      <c r="P105" s="585"/>
      <c r="Q105" s="585"/>
      <c r="R105" s="585"/>
      <c r="S105" s="585"/>
      <c r="T105" s="585"/>
      <c r="U105" s="585"/>
      <c r="V105" s="585"/>
      <c r="W105" s="585"/>
      <c r="X105" s="585"/>
      <c r="Y105" s="585"/>
      <c r="Z105" s="585"/>
    </row>
    <row r="106" ht="15.75" customHeight="1">
      <c r="A106" s="585"/>
      <c r="B106" s="585"/>
      <c r="C106" s="585"/>
      <c r="D106" s="585"/>
      <c r="E106" s="585"/>
      <c r="F106" s="585"/>
      <c r="G106" s="585"/>
      <c r="H106" s="585"/>
      <c r="I106" s="585"/>
      <c r="J106" s="585"/>
      <c r="K106" s="585"/>
      <c r="L106" s="585"/>
      <c r="M106" s="585"/>
      <c r="N106" s="585"/>
      <c r="O106" s="585"/>
      <c r="P106" s="585"/>
      <c r="Q106" s="585"/>
      <c r="R106" s="585"/>
      <c r="S106" s="585"/>
      <c r="T106" s="585"/>
      <c r="U106" s="585"/>
      <c r="V106" s="585"/>
      <c r="W106" s="585"/>
      <c r="X106" s="585"/>
      <c r="Y106" s="585"/>
      <c r="Z106" s="585"/>
    </row>
    <row r="107" ht="15.75" customHeight="1">
      <c r="A107" s="585"/>
      <c r="B107" s="585"/>
      <c r="C107" s="585"/>
      <c r="D107" s="585"/>
      <c r="E107" s="585"/>
      <c r="F107" s="585"/>
      <c r="G107" s="585"/>
      <c r="H107" s="585"/>
      <c r="I107" s="585"/>
      <c r="J107" s="585"/>
      <c r="K107" s="585"/>
      <c r="L107" s="585"/>
      <c r="M107" s="585"/>
      <c r="N107" s="585"/>
      <c r="O107" s="585"/>
      <c r="P107" s="585"/>
      <c r="Q107" s="585"/>
      <c r="R107" s="585"/>
      <c r="S107" s="585"/>
      <c r="T107" s="585"/>
      <c r="U107" s="585"/>
      <c r="V107" s="585"/>
      <c r="W107" s="585"/>
      <c r="X107" s="585"/>
      <c r="Y107" s="585"/>
      <c r="Z107" s="585"/>
    </row>
    <row r="108" ht="15.75" customHeight="1">
      <c r="A108" s="585"/>
      <c r="B108" s="585"/>
      <c r="C108" s="585"/>
      <c r="D108" s="585"/>
      <c r="E108" s="585"/>
      <c r="F108" s="585"/>
      <c r="G108" s="585"/>
      <c r="H108" s="585"/>
      <c r="I108" s="585"/>
      <c r="J108" s="585"/>
      <c r="K108" s="585"/>
      <c r="L108" s="585"/>
      <c r="M108" s="585"/>
      <c r="N108" s="585"/>
      <c r="O108" s="585"/>
      <c r="P108" s="585"/>
      <c r="Q108" s="585"/>
      <c r="R108" s="585"/>
      <c r="S108" s="585"/>
      <c r="T108" s="585"/>
      <c r="U108" s="585"/>
      <c r="V108" s="585"/>
      <c r="W108" s="585"/>
      <c r="X108" s="585"/>
      <c r="Y108" s="585"/>
      <c r="Z108" s="585"/>
    </row>
    <row r="109" ht="15.75" customHeight="1">
      <c r="A109" s="585"/>
      <c r="B109" s="585"/>
      <c r="C109" s="585"/>
      <c r="D109" s="585"/>
      <c r="E109" s="585"/>
      <c r="F109" s="585"/>
      <c r="G109" s="585"/>
      <c r="H109" s="585"/>
      <c r="I109" s="585"/>
      <c r="J109" s="585"/>
      <c r="K109" s="585"/>
      <c r="L109" s="585"/>
      <c r="M109" s="585"/>
      <c r="N109" s="585"/>
      <c r="O109" s="585"/>
      <c r="P109" s="585"/>
      <c r="Q109" s="585"/>
      <c r="R109" s="585"/>
      <c r="S109" s="585"/>
      <c r="T109" s="585"/>
      <c r="U109" s="585"/>
      <c r="V109" s="585"/>
      <c r="W109" s="585"/>
      <c r="X109" s="585"/>
      <c r="Y109" s="585"/>
      <c r="Z109" s="585"/>
    </row>
    <row r="110" ht="15.75" customHeight="1">
      <c r="A110" s="585"/>
      <c r="B110" s="585"/>
      <c r="C110" s="585"/>
      <c r="D110" s="585"/>
      <c r="E110" s="585"/>
      <c r="F110" s="585"/>
      <c r="G110" s="585"/>
      <c r="H110" s="585"/>
      <c r="I110" s="585"/>
      <c r="J110" s="585"/>
      <c r="K110" s="585"/>
      <c r="L110" s="585"/>
      <c r="M110" s="585"/>
      <c r="N110" s="585"/>
      <c r="O110" s="585"/>
      <c r="P110" s="585"/>
      <c r="Q110" s="585"/>
      <c r="R110" s="585"/>
      <c r="S110" s="585"/>
      <c r="T110" s="585"/>
      <c r="U110" s="585"/>
      <c r="V110" s="585"/>
      <c r="W110" s="585"/>
      <c r="X110" s="585"/>
      <c r="Y110" s="585"/>
      <c r="Z110" s="585"/>
    </row>
    <row r="111" ht="15.75" customHeight="1">
      <c r="A111" s="585"/>
      <c r="B111" s="585"/>
      <c r="C111" s="585"/>
      <c r="D111" s="585"/>
      <c r="E111" s="585"/>
      <c r="F111" s="585"/>
      <c r="G111" s="585"/>
      <c r="H111" s="585"/>
      <c r="I111" s="585"/>
      <c r="J111" s="585"/>
      <c r="K111" s="585"/>
      <c r="L111" s="585"/>
      <c r="M111" s="585"/>
      <c r="N111" s="585"/>
      <c r="O111" s="585"/>
      <c r="P111" s="585"/>
      <c r="Q111" s="585"/>
      <c r="R111" s="585"/>
      <c r="S111" s="585"/>
      <c r="T111" s="585"/>
      <c r="U111" s="585"/>
      <c r="V111" s="585"/>
      <c r="W111" s="585"/>
      <c r="X111" s="585"/>
      <c r="Y111" s="585"/>
      <c r="Z111" s="585"/>
    </row>
    <row r="112" ht="15.75" customHeight="1">
      <c r="A112" s="585"/>
      <c r="B112" s="585"/>
      <c r="C112" s="585"/>
      <c r="D112" s="585"/>
      <c r="E112" s="585"/>
      <c r="F112" s="585"/>
      <c r="G112" s="585"/>
      <c r="H112" s="585"/>
      <c r="I112" s="585"/>
      <c r="J112" s="585"/>
      <c r="K112" s="585"/>
      <c r="L112" s="585"/>
      <c r="M112" s="585"/>
      <c r="N112" s="585"/>
      <c r="O112" s="585"/>
      <c r="P112" s="585"/>
      <c r="Q112" s="585"/>
      <c r="R112" s="585"/>
      <c r="S112" s="585"/>
      <c r="T112" s="585"/>
      <c r="U112" s="585"/>
      <c r="V112" s="585"/>
      <c r="W112" s="585"/>
      <c r="X112" s="585"/>
      <c r="Y112" s="585"/>
      <c r="Z112" s="585"/>
    </row>
    <row r="113" ht="15.75" customHeight="1">
      <c r="A113" s="585"/>
      <c r="B113" s="585"/>
      <c r="C113" s="585"/>
      <c r="D113" s="585"/>
      <c r="E113" s="585"/>
      <c r="F113" s="585"/>
      <c r="G113" s="585"/>
      <c r="H113" s="585"/>
      <c r="I113" s="585"/>
      <c r="J113" s="585"/>
      <c r="K113" s="585"/>
      <c r="L113" s="585"/>
      <c r="M113" s="585"/>
      <c r="N113" s="585"/>
      <c r="O113" s="585"/>
      <c r="P113" s="585"/>
      <c r="Q113" s="585"/>
      <c r="R113" s="585"/>
      <c r="S113" s="585"/>
      <c r="T113" s="585"/>
      <c r="U113" s="585"/>
      <c r="V113" s="585"/>
      <c r="W113" s="585"/>
      <c r="X113" s="585"/>
      <c r="Y113" s="585"/>
      <c r="Z113" s="585"/>
    </row>
    <row r="114" ht="15.75" customHeight="1">
      <c r="A114" s="585"/>
      <c r="B114" s="585"/>
      <c r="C114" s="585"/>
      <c r="D114" s="585"/>
      <c r="E114" s="585"/>
      <c r="F114" s="585"/>
      <c r="G114" s="585"/>
      <c r="H114" s="585"/>
      <c r="I114" s="585"/>
      <c r="J114" s="585"/>
      <c r="K114" s="585"/>
      <c r="L114" s="585"/>
      <c r="M114" s="585"/>
      <c r="N114" s="585"/>
      <c r="O114" s="585"/>
      <c r="P114" s="585"/>
      <c r="Q114" s="585"/>
      <c r="R114" s="585"/>
      <c r="S114" s="585"/>
      <c r="T114" s="585"/>
      <c r="U114" s="585"/>
      <c r="V114" s="585"/>
      <c r="W114" s="585"/>
      <c r="X114" s="585"/>
      <c r="Y114" s="585"/>
      <c r="Z114" s="585"/>
    </row>
    <row r="115" ht="15.75" customHeight="1">
      <c r="A115" s="585"/>
      <c r="B115" s="585"/>
      <c r="C115" s="585"/>
      <c r="D115" s="585"/>
      <c r="E115" s="585"/>
      <c r="F115" s="585"/>
      <c r="G115" s="585"/>
      <c r="H115" s="585"/>
      <c r="I115" s="585"/>
      <c r="J115" s="585"/>
      <c r="K115" s="585"/>
      <c r="L115" s="585"/>
      <c r="M115" s="585"/>
      <c r="N115" s="585"/>
      <c r="O115" s="585"/>
      <c r="P115" s="585"/>
      <c r="Q115" s="585"/>
      <c r="R115" s="585"/>
      <c r="S115" s="585"/>
      <c r="T115" s="585"/>
      <c r="U115" s="585"/>
      <c r="V115" s="585"/>
      <c r="W115" s="585"/>
      <c r="X115" s="585"/>
      <c r="Y115" s="585"/>
      <c r="Z115" s="585"/>
    </row>
    <row r="116" ht="15.75" customHeight="1">
      <c r="A116" s="585"/>
      <c r="B116" s="585"/>
      <c r="C116" s="585"/>
      <c r="D116" s="585"/>
      <c r="E116" s="585"/>
      <c r="F116" s="585"/>
      <c r="G116" s="585"/>
      <c r="H116" s="585"/>
      <c r="I116" s="585"/>
      <c r="J116" s="585"/>
      <c r="K116" s="585"/>
      <c r="L116" s="585"/>
      <c r="M116" s="585"/>
      <c r="N116" s="585"/>
      <c r="O116" s="585"/>
      <c r="P116" s="585"/>
      <c r="Q116" s="585"/>
      <c r="R116" s="585"/>
      <c r="S116" s="585"/>
      <c r="T116" s="585"/>
      <c r="U116" s="585"/>
      <c r="V116" s="585"/>
      <c r="W116" s="585"/>
      <c r="X116" s="585"/>
      <c r="Y116" s="585"/>
      <c r="Z116" s="585"/>
    </row>
    <row r="117" ht="15.75" customHeight="1">
      <c r="A117" s="585"/>
      <c r="B117" s="585"/>
      <c r="C117" s="585"/>
      <c r="D117" s="585"/>
      <c r="E117" s="585"/>
      <c r="F117" s="585"/>
      <c r="G117" s="585"/>
      <c r="H117" s="585"/>
      <c r="I117" s="585"/>
      <c r="J117" s="585"/>
      <c r="K117" s="585"/>
      <c r="L117" s="585"/>
      <c r="M117" s="585"/>
      <c r="N117" s="585"/>
      <c r="O117" s="585"/>
      <c r="P117" s="585"/>
      <c r="Q117" s="585"/>
      <c r="R117" s="585"/>
      <c r="S117" s="585"/>
      <c r="T117" s="585"/>
      <c r="U117" s="585"/>
      <c r="V117" s="585"/>
      <c r="W117" s="585"/>
      <c r="X117" s="585"/>
      <c r="Y117" s="585"/>
      <c r="Z117" s="585"/>
    </row>
    <row r="118" ht="15.75" customHeight="1">
      <c r="A118" s="585"/>
      <c r="B118" s="585"/>
      <c r="C118" s="585"/>
      <c r="D118" s="585"/>
      <c r="E118" s="585"/>
      <c r="F118" s="585"/>
      <c r="G118" s="585"/>
      <c r="H118" s="585"/>
      <c r="I118" s="585"/>
      <c r="J118" s="585"/>
      <c r="K118" s="585"/>
      <c r="L118" s="585"/>
      <c r="M118" s="585"/>
      <c r="N118" s="585"/>
      <c r="O118" s="585"/>
      <c r="P118" s="585"/>
      <c r="Q118" s="585"/>
      <c r="R118" s="585"/>
      <c r="S118" s="585"/>
      <c r="T118" s="585"/>
      <c r="U118" s="585"/>
      <c r="V118" s="585"/>
      <c r="W118" s="585"/>
      <c r="X118" s="585"/>
      <c r="Y118" s="585"/>
      <c r="Z118" s="585"/>
    </row>
    <row r="119" ht="15.75" customHeight="1">
      <c r="A119" s="585"/>
      <c r="B119" s="585"/>
      <c r="C119" s="585"/>
      <c r="D119" s="585"/>
      <c r="E119" s="585"/>
      <c r="F119" s="585"/>
      <c r="G119" s="585"/>
      <c r="H119" s="585"/>
      <c r="I119" s="585"/>
      <c r="J119" s="585"/>
      <c r="K119" s="585"/>
      <c r="L119" s="585"/>
      <c r="M119" s="585"/>
      <c r="N119" s="585"/>
      <c r="O119" s="585"/>
      <c r="P119" s="585"/>
      <c r="Q119" s="585"/>
      <c r="R119" s="585"/>
      <c r="S119" s="585"/>
      <c r="T119" s="585"/>
      <c r="U119" s="585"/>
      <c r="V119" s="585"/>
      <c r="W119" s="585"/>
      <c r="X119" s="585"/>
      <c r="Y119" s="585"/>
      <c r="Z119" s="585"/>
    </row>
    <row r="120" ht="15.75" customHeight="1">
      <c r="A120" s="585"/>
      <c r="B120" s="585"/>
      <c r="C120" s="585"/>
      <c r="D120" s="585"/>
      <c r="E120" s="585"/>
      <c r="F120" s="585"/>
      <c r="G120" s="585"/>
      <c r="H120" s="585"/>
      <c r="I120" s="585"/>
      <c r="J120" s="585"/>
      <c r="K120" s="585"/>
      <c r="L120" s="585"/>
      <c r="M120" s="585"/>
      <c r="N120" s="585"/>
      <c r="O120" s="585"/>
      <c r="P120" s="585"/>
      <c r="Q120" s="585"/>
      <c r="R120" s="585"/>
      <c r="S120" s="585"/>
      <c r="T120" s="585"/>
      <c r="U120" s="585"/>
      <c r="V120" s="585"/>
      <c r="W120" s="585"/>
      <c r="X120" s="585"/>
      <c r="Y120" s="585"/>
      <c r="Z120" s="585"/>
    </row>
    <row r="121" ht="15.75" customHeight="1">
      <c r="A121" s="585"/>
      <c r="B121" s="585"/>
      <c r="C121" s="585"/>
      <c r="D121" s="585"/>
      <c r="E121" s="585"/>
      <c r="F121" s="585"/>
      <c r="G121" s="585"/>
      <c r="H121" s="585"/>
      <c r="I121" s="585"/>
      <c r="J121" s="585"/>
      <c r="K121" s="585"/>
      <c r="L121" s="585"/>
      <c r="M121" s="585"/>
      <c r="N121" s="585"/>
      <c r="O121" s="585"/>
      <c r="P121" s="585"/>
      <c r="Q121" s="585"/>
      <c r="R121" s="585"/>
      <c r="S121" s="585"/>
      <c r="T121" s="585"/>
      <c r="U121" s="585"/>
      <c r="V121" s="585"/>
      <c r="W121" s="585"/>
      <c r="X121" s="585"/>
      <c r="Y121" s="585"/>
      <c r="Z121" s="585"/>
    </row>
    <row r="122" ht="15.75" customHeight="1">
      <c r="A122" s="585"/>
      <c r="B122" s="585"/>
      <c r="C122" s="585"/>
      <c r="D122" s="585"/>
      <c r="E122" s="585"/>
      <c r="F122" s="585"/>
      <c r="G122" s="585"/>
      <c r="H122" s="585"/>
      <c r="I122" s="585"/>
      <c r="J122" s="585"/>
      <c r="K122" s="585"/>
      <c r="L122" s="585"/>
      <c r="M122" s="585"/>
      <c r="N122" s="585"/>
      <c r="O122" s="585"/>
      <c r="P122" s="585"/>
      <c r="Q122" s="585"/>
      <c r="R122" s="585"/>
      <c r="S122" s="585"/>
      <c r="T122" s="585"/>
      <c r="U122" s="585"/>
      <c r="V122" s="585"/>
      <c r="W122" s="585"/>
      <c r="X122" s="585"/>
      <c r="Y122" s="585"/>
      <c r="Z122" s="585"/>
    </row>
    <row r="123" ht="15.75" customHeight="1">
      <c r="A123" s="585"/>
      <c r="B123" s="585"/>
      <c r="C123" s="585"/>
      <c r="D123" s="585"/>
      <c r="E123" s="585"/>
      <c r="F123" s="585"/>
      <c r="G123" s="585"/>
      <c r="H123" s="585"/>
      <c r="I123" s="585"/>
      <c r="J123" s="585"/>
      <c r="K123" s="585"/>
      <c r="L123" s="585"/>
      <c r="M123" s="585"/>
      <c r="N123" s="585"/>
      <c r="O123" s="585"/>
      <c r="P123" s="585"/>
      <c r="Q123" s="585"/>
      <c r="R123" s="585"/>
      <c r="S123" s="585"/>
      <c r="T123" s="585"/>
      <c r="U123" s="585"/>
      <c r="V123" s="585"/>
      <c r="W123" s="585"/>
      <c r="X123" s="585"/>
      <c r="Y123" s="585"/>
      <c r="Z123" s="585"/>
    </row>
    <row r="124" ht="15.75" customHeight="1">
      <c r="A124" s="585"/>
      <c r="B124" s="585"/>
      <c r="C124" s="585"/>
      <c r="D124" s="585"/>
      <c r="E124" s="585"/>
      <c r="F124" s="585"/>
      <c r="G124" s="585"/>
      <c r="H124" s="585"/>
      <c r="I124" s="585"/>
      <c r="J124" s="585"/>
      <c r="K124" s="585"/>
      <c r="L124" s="585"/>
      <c r="M124" s="585"/>
      <c r="N124" s="585"/>
      <c r="O124" s="585"/>
      <c r="P124" s="585"/>
      <c r="Q124" s="585"/>
      <c r="R124" s="585"/>
      <c r="S124" s="585"/>
      <c r="T124" s="585"/>
      <c r="U124" s="585"/>
      <c r="V124" s="585"/>
      <c r="W124" s="585"/>
      <c r="X124" s="585"/>
      <c r="Y124" s="585"/>
      <c r="Z124" s="585"/>
    </row>
    <row r="125" ht="15.75" customHeight="1">
      <c r="A125" s="585"/>
      <c r="B125" s="585"/>
      <c r="C125" s="585"/>
      <c r="D125" s="585"/>
      <c r="E125" s="585"/>
      <c r="F125" s="585"/>
      <c r="G125" s="585"/>
      <c r="H125" s="585"/>
      <c r="I125" s="585"/>
      <c r="J125" s="585"/>
      <c r="K125" s="585"/>
      <c r="L125" s="585"/>
      <c r="M125" s="585"/>
      <c r="N125" s="585"/>
      <c r="O125" s="585"/>
      <c r="P125" s="585"/>
      <c r="Q125" s="585"/>
      <c r="R125" s="585"/>
      <c r="S125" s="585"/>
      <c r="T125" s="585"/>
      <c r="U125" s="585"/>
      <c r="V125" s="585"/>
      <c r="W125" s="585"/>
      <c r="X125" s="585"/>
      <c r="Y125" s="585"/>
      <c r="Z125" s="585"/>
    </row>
    <row r="126" ht="15.75" customHeight="1">
      <c r="A126" s="585"/>
      <c r="B126" s="585"/>
      <c r="C126" s="585"/>
      <c r="D126" s="585"/>
      <c r="E126" s="585"/>
      <c r="F126" s="585"/>
      <c r="G126" s="585"/>
      <c r="H126" s="585"/>
      <c r="I126" s="585"/>
      <c r="J126" s="585"/>
      <c r="K126" s="585"/>
      <c r="L126" s="585"/>
      <c r="M126" s="585"/>
      <c r="N126" s="585"/>
      <c r="O126" s="585"/>
      <c r="P126" s="585"/>
      <c r="Q126" s="585"/>
      <c r="R126" s="585"/>
      <c r="S126" s="585"/>
      <c r="T126" s="585"/>
      <c r="U126" s="585"/>
      <c r="V126" s="585"/>
      <c r="W126" s="585"/>
      <c r="X126" s="585"/>
      <c r="Y126" s="585"/>
      <c r="Z126" s="585"/>
    </row>
    <row r="127" ht="15.75" customHeight="1">
      <c r="A127" s="585"/>
      <c r="B127" s="585"/>
      <c r="C127" s="585"/>
      <c r="D127" s="585"/>
      <c r="E127" s="585"/>
      <c r="F127" s="585"/>
      <c r="G127" s="585"/>
      <c r="H127" s="585"/>
      <c r="I127" s="585"/>
      <c r="J127" s="585"/>
      <c r="K127" s="585"/>
      <c r="L127" s="585"/>
      <c r="M127" s="585"/>
      <c r="N127" s="585"/>
      <c r="O127" s="585"/>
      <c r="P127" s="585"/>
      <c r="Q127" s="585"/>
      <c r="R127" s="585"/>
      <c r="S127" s="585"/>
      <c r="T127" s="585"/>
      <c r="U127" s="585"/>
      <c r="V127" s="585"/>
      <c r="W127" s="585"/>
      <c r="X127" s="585"/>
      <c r="Y127" s="585"/>
      <c r="Z127" s="585"/>
    </row>
    <row r="128" ht="15.75" customHeight="1">
      <c r="A128" s="585"/>
      <c r="B128" s="585"/>
      <c r="C128" s="585"/>
      <c r="D128" s="585"/>
      <c r="E128" s="585"/>
      <c r="F128" s="585"/>
      <c r="G128" s="585"/>
      <c r="H128" s="585"/>
      <c r="I128" s="585"/>
      <c r="J128" s="585"/>
      <c r="K128" s="585"/>
      <c r="L128" s="585"/>
      <c r="M128" s="585"/>
      <c r="N128" s="585"/>
      <c r="O128" s="585"/>
      <c r="P128" s="585"/>
      <c r="Q128" s="585"/>
      <c r="R128" s="585"/>
      <c r="S128" s="585"/>
      <c r="T128" s="585"/>
      <c r="U128" s="585"/>
      <c r="V128" s="585"/>
      <c r="W128" s="585"/>
      <c r="X128" s="585"/>
      <c r="Y128" s="585"/>
      <c r="Z128" s="585"/>
    </row>
    <row r="129" ht="15.75" customHeight="1">
      <c r="A129" s="585"/>
      <c r="B129" s="585"/>
      <c r="C129" s="585"/>
      <c r="D129" s="585"/>
      <c r="E129" s="585"/>
      <c r="F129" s="585"/>
      <c r="G129" s="585"/>
      <c r="H129" s="585"/>
      <c r="I129" s="585"/>
      <c r="J129" s="585"/>
      <c r="K129" s="585"/>
      <c r="L129" s="585"/>
      <c r="M129" s="585"/>
      <c r="N129" s="585"/>
      <c r="O129" s="585"/>
      <c r="P129" s="585"/>
      <c r="Q129" s="585"/>
      <c r="R129" s="585"/>
      <c r="S129" s="585"/>
      <c r="T129" s="585"/>
      <c r="U129" s="585"/>
      <c r="V129" s="585"/>
      <c r="W129" s="585"/>
      <c r="X129" s="585"/>
      <c r="Y129" s="585"/>
      <c r="Z129" s="585"/>
    </row>
    <row r="130" ht="15.75" customHeight="1">
      <c r="A130" s="585"/>
      <c r="B130" s="585"/>
      <c r="C130" s="585"/>
      <c r="D130" s="585"/>
      <c r="E130" s="585"/>
      <c r="F130" s="585"/>
      <c r="G130" s="585"/>
      <c r="H130" s="585"/>
      <c r="I130" s="585"/>
      <c r="J130" s="585"/>
      <c r="K130" s="585"/>
      <c r="L130" s="585"/>
      <c r="M130" s="585"/>
      <c r="N130" s="585"/>
      <c r="O130" s="585"/>
      <c r="P130" s="585"/>
      <c r="Q130" s="585"/>
      <c r="R130" s="585"/>
      <c r="S130" s="585"/>
      <c r="T130" s="585"/>
      <c r="U130" s="585"/>
      <c r="V130" s="585"/>
      <c r="W130" s="585"/>
      <c r="X130" s="585"/>
      <c r="Y130" s="585"/>
      <c r="Z130" s="585"/>
    </row>
    <row r="131" ht="15.75" customHeight="1">
      <c r="A131" s="585"/>
      <c r="B131" s="585"/>
      <c r="C131" s="585"/>
      <c r="D131" s="585"/>
      <c r="E131" s="585"/>
      <c r="F131" s="585"/>
      <c r="G131" s="585"/>
      <c r="H131" s="585"/>
      <c r="I131" s="585"/>
      <c r="J131" s="585"/>
      <c r="K131" s="585"/>
      <c r="L131" s="585"/>
      <c r="M131" s="585"/>
      <c r="N131" s="585"/>
      <c r="O131" s="585"/>
      <c r="P131" s="585"/>
      <c r="Q131" s="585"/>
      <c r="R131" s="585"/>
      <c r="S131" s="585"/>
      <c r="T131" s="585"/>
      <c r="U131" s="585"/>
      <c r="V131" s="585"/>
      <c r="W131" s="585"/>
      <c r="X131" s="585"/>
      <c r="Y131" s="585"/>
      <c r="Z131" s="585"/>
    </row>
    <row r="132" ht="15.75" customHeight="1">
      <c r="A132" s="585"/>
      <c r="B132" s="585"/>
      <c r="C132" s="585"/>
      <c r="D132" s="585"/>
      <c r="E132" s="585"/>
      <c r="F132" s="585"/>
      <c r="G132" s="585"/>
      <c r="H132" s="585"/>
      <c r="I132" s="585"/>
      <c r="J132" s="585"/>
      <c r="K132" s="585"/>
      <c r="L132" s="585"/>
      <c r="M132" s="585"/>
      <c r="N132" s="585"/>
      <c r="O132" s="585"/>
      <c r="P132" s="585"/>
      <c r="Q132" s="585"/>
      <c r="R132" s="585"/>
      <c r="S132" s="585"/>
      <c r="T132" s="585"/>
      <c r="U132" s="585"/>
      <c r="V132" s="585"/>
      <c r="W132" s="585"/>
      <c r="X132" s="585"/>
      <c r="Y132" s="585"/>
      <c r="Z132" s="585"/>
    </row>
    <row r="133" ht="15.75" customHeight="1">
      <c r="A133" s="585"/>
      <c r="B133" s="585"/>
      <c r="C133" s="585"/>
      <c r="D133" s="585"/>
      <c r="E133" s="585"/>
      <c r="F133" s="585"/>
      <c r="G133" s="585"/>
      <c r="H133" s="585"/>
      <c r="I133" s="585"/>
      <c r="J133" s="585"/>
      <c r="K133" s="585"/>
      <c r="L133" s="585"/>
      <c r="M133" s="585"/>
      <c r="N133" s="585"/>
      <c r="O133" s="585"/>
      <c r="P133" s="585"/>
      <c r="Q133" s="585"/>
      <c r="R133" s="585"/>
      <c r="S133" s="585"/>
      <c r="T133" s="585"/>
      <c r="U133" s="585"/>
      <c r="V133" s="585"/>
      <c r="W133" s="585"/>
      <c r="X133" s="585"/>
      <c r="Y133" s="585"/>
      <c r="Z133" s="585"/>
    </row>
    <row r="134" ht="15.75" customHeight="1">
      <c r="A134" s="585"/>
      <c r="B134" s="585"/>
      <c r="C134" s="585"/>
      <c r="D134" s="585"/>
      <c r="E134" s="585"/>
      <c r="F134" s="585"/>
      <c r="G134" s="585"/>
      <c r="H134" s="585"/>
      <c r="I134" s="585"/>
      <c r="J134" s="585"/>
      <c r="K134" s="585"/>
      <c r="L134" s="585"/>
      <c r="M134" s="585"/>
      <c r="N134" s="585"/>
      <c r="O134" s="585"/>
      <c r="P134" s="585"/>
      <c r="Q134" s="585"/>
      <c r="R134" s="585"/>
      <c r="S134" s="585"/>
      <c r="T134" s="585"/>
      <c r="U134" s="585"/>
      <c r="V134" s="585"/>
      <c r="W134" s="585"/>
      <c r="X134" s="585"/>
      <c r="Y134" s="585"/>
      <c r="Z134" s="585"/>
    </row>
    <row r="135" ht="15.75" customHeight="1">
      <c r="A135" s="585"/>
      <c r="B135" s="585"/>
      <c r="C135" s="585"/>
      <c r="D135" s="585"/>
      <c r="E135" s="585"/>
      <c r="F135" s="585"/>
      <c r="G135" s="585"/>
      <c r="H135" s="585"/>
      <c r="I135" s="585"/>
      <c r="J135" s="585"/>
      <c r="K135" s="585"/>
      <c r="L135" s="585"/>
      <c r="M135" s="585"/>
      <c r="N135" s="585"/>
      <c r="O135" s="585"/>
      <c r="P135" s="585"/>
      <c r="Q135" s="585"/>
      <c r="R135" s="585"/>
      <c r="S135" s="585"/>
      <c r="T135" s="585"/>
      <c r="U135" s="585"/>
      <c r="V135" s="585"/>
      <c r="W135" s="585"/>
      <c r="X135" s="585"/>
      <c r="Y135" s="585"/>
      <c r="Z135" s="585"/>
    </row>
    <row r="136" ht="15.75" customHeight="1">
      <c r="A136" s="585"/>
      <c r="B136" s="585"/>
      <c r="C136" s="585"/>
      <c r="D136" s="585"/>
      <c r="E136" s="585"/>
      <c r="F136" s="585"/>
      <c r="G136" s="585"/>
      <c r="H136" s="585"/>
      <c r="I136" s="585"/>
      <c r="J136" s="585"/>
      <c r="K136" s="585"/>
      <c r="L136" s="585"/>
      <c r="M136" s="585"/>
      <c r="N136" s="585"/>
      <c r="O136" s="585"/>
      <c r="P136" s="585"/>
      <c r="Q136" s="585"/>
      <c r="R136" s="585"/>
      <c r="S136" s="585"/>
      <c r="T136" s="585"/>
      <c r="U136" s="585"/>
      <c r="V136" s="585"/>
      <c r="W136" s="585"/>
      <c r="X136" s="585"/>
      <c r="Y136" s="585"/>
      <c r="Z136" s="585"/>
    </row>
    <row r="137" ht="15.75" customHeight="1">
      <c r="A137" s="585"/>
      <c r="B137" s="585"/>
      <c r="C137" s="585"/>
      <c r="D137" s="585"/>
      <c r="E137" s="585"/>
      <c r="F137" s="585"/>
      <c r="G137" s="585"/>
      <c r="H137" s="585"/>
      <c r="I137" s="585"/>
      <c r="J137" s="585"/>
      <c r="K137" s="585"/>
      <c r="L137" s="585"/>
      <c r="M137" s="585"/>
      <c r="N137" s="585"/>
      <c r="O137" s="585"/>
      <c r="P137" s="585"/>
      <c r="Q137" s="585"/>
      <c r="R137" s="585"/>
      <c r="S137" s="585"/>
      <c r="T137" s="585"/>
      <c r="U137" s="585"/>
      <c r="V137" s="585"/>
      <c r="W137" s="585"/>
      <c r="X137" s="585"/>
      <c r="Y137" s="585"/>
      <c r="Z137" s="585"/>
    </row>
    <row r="138" ht="15.75" customHeight="1">
      <c r="A138" s="585"/>
      <c r="B138" s="585"/>
      <c r="C138" s="585"/>
      <c r="D138" s="585"/>
      <c r="E138" s="585"/>
      <c r="F138" s="585"/>
      <c r="G138" s="585"/>
      <c r="H138" s="585"/>
      <c r="I138" s="585"/>
      <c r="J138" s="585"/>
      <c r="K138" s="585"/>
      <c r="L138" s="585"/>
      <c r="M138" s="585"/>
      <c r="N138" s="585"/>
      <c r="O138" s="585"/>
      <c r="P138" s="585"/>
      <c r="Q138" s="585"/>
      <c r="R138" s="585"/>
      <c r="S138" s="585"/>
      <c r="T138" s="585"/>
      <c r="U138" s="585"/>
      <c r="V138" s="585"/>
      <c r="W138" s="585"/>
      <c r="X138" s="585"/>
      <c r="Y138" s="585"/>
      <c r="Z138" s="585"/>
    </row>
    <row r="139" ht="15.75" customHeight="1">
      <c r="A139" s="585"/>
      <c r="B139" s="585"/>
      <c r="C139" s="585"/>
      <c r="D139" s="585"/>
      <c r="E139" s="585"/>
      <c r="F139" s="585"/>
      <c r="G139" s="585"/>
      <c r="H139" s="585"/>
      <c r="I139" s="585"/>
      <c r="J139" s="585"/>
      <c r="K139" s="585"/>
      <c r="L139" s="585"/>
      <c r="M139" s="585"/>
      <c r="N139" s="585"/>
      <c r="O139" s="585"/>
      <c r="P139" s="585"/>
      <c r="Q139" s="585"/>
      <c r="R139" s="585"/>
      <c r="S139" s="585"/>
      <c r="T139" s="585"/>
      <c r="U139" s="585"/>
      <c r="V139" s="585"/>
      <c r="W139" s="585"/>
      <c r="X139" s="585"/>
      <c r="Y139" s="585"/>
      <c r="Z139" s="585"/>
    </row>
    <row r="140" ht="15.75" customHeight="1">
      <c r="A140" s="585"/>
      <c r="B140" s="585"/>
      <c r="C140" s="585"/>
      <c r="D140" s="585"/>
      <c r="E140" s="585"/>
      <c r="F140" s="585"/>
      <c r="G140" s="585"/>
      <c r="H140" s="585"/>
      <c r="I140" s="585"/>
      <c r="J140" s="585"/>
      <c r="K140" s="585"/>
      <c r="L140" s="585"/>
      <c r="M140" s="585"/>
      <c r="N140" s="585"/>
      <c r="O140" s="585"/>
      <c r="P140" s="585"/>
      <c r="Q140" s="585"/>
      <c r="R140" s="585"/>
      <c r="S140" s="585"/>
      <c r="T140" s="585"/>
      <c r="U140" s="585"/>
      <c r="V140" s="585"/>
      <c r="W140" s="585"/>
      <c r="X140" s="585"/>
      <c r="Y140" s="585"/>
      <c r="Z140" s="585"/>
    </row>
    <row r="141" ht="15.75" customHeight="1">
      <c r="A141" s="585"/>
      <c r="B141" s="585"/>
      <c r="C141" s="585"/>
      <c r="D141" s="585"/>
      <c r="E141" s="585"/>
      <c r="F141" s="585"/>
      <c r="G141" s="585"/>
      <c r="H141" s="585"/>
      <c r="I141" s="585"/>
      <c r="J141" s="585"/>
      <c r="K141" s="585"/>
      <c r="L141" s="585"/>
      <c r="M141" s="585"/>
      <c r="N141" s="585"/>
      <c r="O141" s="585"/>
      <c r="P141" s="585"/>
      <c r="Q141" s="585"/>
      <c r="R141" s="585"/>
      <c r="S141" s="585"/>
      <c r="T141" s="585"/>
      <c r="U141" s="585"/>
      <c r="V141" s="585"/>
      <c r="W141" s="585"/>
      <c r="X141" s="585"/>
      <c r="Y141" s="585"/>
      <c r="Z141" s="585"/>
    </row>
    <row r="142" ht="15.75" customHeight="1">
      <c r="A142" s="585"/>
      <c r="B142" s="585"/>
      <c r="C142" s="585"/>
      <c r="D142" s="585"/>
      <c r="E142" s="585"/>
      <c r="F142" s="585"/>
      <c r="G142" s="585"/>
      <c r="H142" s="585"/>
      <c r="I142" s="585"/>
      <c r="J142" s="585"/>
      <c r="K142" s="585"/>
      <c r="L142" s="585"/>
      <c r="M142" s="585"/>
      <c r="N142" s="585"/>
      <c r="O142" s="585"/>
      <c r="P142" s="585"/>
      <c r="Q142" s="585"/>
      <c r="R142" s="585"/>
      <c r="S142" s="585"/>
      <c r="T142" s="585"/>
      <c r="U142" s="585"/>
      <c r="V142" s="585"/>
      <c r="W142" s="585"/>
      <c r="X142" s="585"/>
      <c r="Y142" s="585"/>
      <c r="Z142" s="585"/>
    </row>
    <row r="143" ht="15.75" customHeight="1">
      <c r="A143" s="585"/>
      <c r="B143" s="585"/>
      <c r="C143" s="585"/>
      <c r="D143" s="585"/>
      <c r="E143" s="585"/>
      <c r="F143" s="585"/>
      <c r="G143" s="585"/>
      <c r="H143" s="585"/>
      <c r="I143" s="585"/>
      <c r="J143" s="585"/>
      <c r="K143" s="585"/>
      <c r="L143" s="585"/>
      <c r="M143" s="585"/>
      <c r="N143" s="585"/>
      <c r="O143" s="585"/>
      <c r="P143" s="585"/>
      <c r="Q143" s="585"/>
      <c r="R143" s="585"/>
      <c r="S143" s="585"/>
      <c r="T143" s="585"/>
      <c r="U143" s="585"/>
      <c r="V143" s="585"/>
      <c r="W143" s="585"/>
      <c r="X143" s="585"/>
      <c r="Y143" s="585"/>
      <c r="Z143" s="585"/>
    </row>
    <row r="144" ht="15.75" customHeight="1">
      <c r="A144" s="585"/>
      <c r="B144" s="585"/>
      <c r="C144" s="585"/>
      <c r="D144" s="585"/>
      <c r="E144" s="585"/>
      <c r="F144" s="585"/>
      <c r="G144" s="585"/>
      <c r="H144" s="585"/>
      <c r="I144" s="585"/>
      <c r="J144" s="585"/>
      <c r="K144" s="585"/>
      <c r="L144" s="585"/>
      <c r="M144" s="585"/>
      <c r="N144" s="585"/>
      <c r="O144" s="585"/>
      <c r="P144" s="585"/>
      <c r="Q144" s="585"/>
      <c r="R144" s="585"/>
      <c r="S144" s="585"/>
      <c r="T144" s="585"/>
      <c r="U144" s="585"/>
      <c r="V144" s="585"/>
      <c r="W144" s="585"/>
      <c r="X144" s="585"/>
      <c r="Y144" s="585"/>
      <c r="Z144" s="585"/>
    </row>
    <row r="145" ht="15.75" customHeight="1">
      <c r="A145" s="585"/>
      <c r="B145" s="585"/>
      <c r="C145" s="585"/>
      <c r="D145" s="585"/>
      <c r="E145" s="585"/>
      <c r="F145" s="585"/>
      <c r="G145" s="585"/>
      <c r="H145" s="585"/>
      <c r="I145" s="585"/>
      <c r="J145" s="585"/>
      <c r="K145" s="585"/>
      <c r="L145" s="585"/>
      <c r="M145" s="585"/>
      <c r="N145" s="585"/>
      <c r="O145" s="585"/>
      <c r="P145" s="585"/>
      <c r="Q145" s="585"/>
      <c r="R145" s="585"/>
      <c r="S145" s="585"/>
      <c r="T145" s="585"/>
      <c r="U145" s="585"/>
      <c r="V145" s="585"/>
      <c r="W145" s="585"/>
      <c r="X145" s="585"/>
      <c r="Y145" s="585"/>
      <c r="Z145" s="585"/>
    </row>
    <row r="146" ht="15.75" customHeight="1">
      <c r="A146" s="585"/>
      <c r="B146" s="585"/>
      <c r="C146" s="585"/>
      <c r="D146" s="585"/>
      <c r="E146" s="585"/>
      <c r="F146" s="585"/>
      <c r="G146" s="585"/>
      <c r="H146" s="585"/>
      <c r="I146" s="585"/>
      <c r="J146" s="585"/>
      <c r="K146" s="585"/>
      <c r="L146" s="585"/>
      <c r="M146" s="585"/>
      <c r="N146" s="585"/>
      <c r="O146" s="585"/>
      <c r="P146" s="585"/>
      <c r="Q146" s="585"/>
      <c r="R146" s="585"/>
      <c r="S146" s="585"/>
      <c r="T146" s="585"/>
      <c r="U146" s="585"/>
      <c r="V146" s="585"/>
      <c r="W146" s="585"/>
      <c r="X146" s="585"/>
      <c r="Y146" s="585"/>
      <c r="Z146" s="585"/>
    </row>
    <row r="147" ht="15.75" customHeight="1">
      <c r="A147" s="585"/>
      <c r="B147" s="585"/>
      <c r="C147" s="585"/>
      <c r="D147" s="585"/>
      <c r="E147" s="585"/>
      <c r="F147" s="585"/>
      <c r="G147" s="585"/>
      <c r="H147" s="585"/>
      <c r="I147" s="585"/>
      <c r="J147" s="585"/>
      <c r="K147" s="585"/>
      <c r="L147" s="585"/>
      <c r="M147" s="585"/>
      <c r="N147" s="585"/>
      <c r="O147" s="585"/>
      <c r="P147" s="585"/>
      <c r="Q147" s="585"/>
      <c r="R147" s="585"/>
      <c r="S147" s="585"/>
      <c r="T147" s="585"/>
      <c r="U147" s="585"/>
      <c r="V147" s="585"/>
      <c r="W147" s="585"/>
      <c r="X147" s="585"/>
      <c r="Y147" s="585"/>
      <c r="Z147" s="585"/>
    </row>
    <row r="148" ht="15.75" customHeight="1">
      <c r="A148" s="585"/>
      <c r="B148" s="585"/>
      <c r="C148" s="585"/>
      <c r="D148" s="585"/>
      <c r="E148" s="585"/>
      <c r="F148" s="585"/>
      <c r="G148" s="585"/>
      <c r="H148" s="585"/>
      <c r="I148" s="585"/>
      <c r="J148" s="585"/>
      <c r="K148" s="585"/>
      <c r="L148" s="585"/>
      <c r="M148" s="585"/>
      <c r="N148" s="585"/>
      <c r="O148" s="585"/>
      <c r="P148" s="585"/>
      <c r="Q148" s="585"/>
      <c r="R148" s="585"/>
      <c r="S148" s="585"/>
      <c r="T148" s="585"/>
      <c r="U148" s="585"/>
      <c r="V148" s="585"/>
      <c r="W148" s="585"/>
      <c r="X148" s="585"/>
      <c r="Y148" s="585"/>
      <c r="Z148" s="585"/>
    </row>
    <row r="149" ht="15.75" customHeight="1">
      <c r="A149" s="585"/>
      <c r="B149" s="585"/>
      <c r="C149" s="585"/>
      <c r="D149" s="585"/>
      <c r="E149" s="585"/>
      <c r="F149" s="585"/>
      <c r="G149" s="585"/>
      <c r="H149" s="585"/>
      <c r="I149" s="585"/>
      <c r="J149" s="585"/>
      <c r="K149" s="585"/>
      <c r="L149" s="585"/>
      <c r="M149" s="585"/>
      <c r="N149" s="585"/>
      <c r="O149" s="585"/>
      <c r="P149" s="585"/>
      <c r="Q149" s="585"/>
      <c r="R149" s="585"/>
      <c r="S149" s="585"/>
      <c r="T149" s="585"/>
      <c r="U149" s="585"/>
      <c r="V149" s="585"/>
      <c r="W149" s="585"/>
      <c r="X149" s="585"/>
      <c r="Y149" s="585"/>
      <c r="Z149" s="585"/>
    </row>
    <row r="150" ht="15.75" customHeight="1">
      <c r="A150" s="585"/>
      <c r="B150" s="585"/>
      <c r="C150" s="585"/>
      <c r="D150" s="585"/>
      <c r="E150" s="585"/>
      <c r="F150" s="585"/>
      <c r="G150" s="585"/>
      <c r="H150" s="585"/>
      <c r="I150" s="585"/>
      <c r="J150" s="585"/>
      <c r="K150" s="585"/>
      <c r="L150" s="585"/>
      <c r="M150" s="585"/>
      <c r="N150" s="585"/>
      <c r="O150" s="585"/>
      <c r="P150" s="585"/>
      <c r="Q150" s="585"/>
      <c r="R150" s="585"/>
      <c r="S150" s="585"/>
      <c r="T150" s="585"/>
      <c r="U150" s="585"/>
      <c r="V150" s="585"/>
      <c r="W150" s="585"/>
      <c r="X150" s="585"/>
      <c r="Y150" s="585"/>
      <c r="Z150" s="585"/>
    </row>
    <row r="151" ht="15.75" customHeight="1">
      <c r="A151" s="585"/>
      <c r="B151" s="585"/>
      <c r="C151" s="585"/>
      <c r="D151" s="585"/>
      <c r="E151" s="585"/>
      <c r="F151" s="585"/>
      <c r="G151" s="585"/>
      <c r="H151" s="585"/>
      <c r="I151" s="585"/>
      <c r="J151" s="585"/>
      <c r="K151" s="585"/>
      <c r="L151" s="585"/>
      <c r="M151" s="585"/>
      <c r="N151" s="585"/>
      <c r="O151" s="585"/>
      <c r="P151" s="585"/>
      <c r="Q151" s="585"/>
      <c r="R151" s="585"/>
      <c r="S151" s="585"/>
      <c r="T151" s="585"/>
      <c r="U151" s="585"/>
      <c r="V151" s="585"/>
      <c r="W151" s="585"/>
      <c r="X151" s="585"/>
      <c r="Y151" s="585"/>
      <c r="Z151" s="585"/>
    </row>
    <row r="152" ht="15.75" customHeight="1">
      <c r="A152" s="585"/>
      <c r="B152" s="585"/>
      <c r="C152" s="585"/>
      <c r="D152" s="585"/>
      <c r="E152" s="585"/>
      <c r="F152" s="585"/>
      <c r="G152" s="585"/>
      <c r="H152" s="585"/>
      <c r="I152" s="585"/>
      <c r="J152" s="585"/>
      <c r="K152" s="585"/>
      <c r="L152" s="585"/>
      <c r="M152" s="585"/>
      <c r="N152" s="585"/>
      <c r="O152" s="585"/>
      <c r="P152" s="585"/>
      <c r="Q152" s="585"/>
      <c r="R152" s="585"/>
      <c r="S152" s="585"/>
      <c r="T152" s="585"/>
      <c r="U152" s="585"/>
      <c r="V152" s="585"/>
      <c r="W152" s="585"/>
      <c r="X152" s="585"/>
      <c r="Y152" s="585"/>
      <c r="Z152" s="585"/>
    </row>
    <row r="153" ht="15.75" customHeight="1">
      <c r="A153" s="585"/>
      <c r="B153" s="585"/>
      <c r="C153" s="585"/>
      <c r="D153" s="585"/>
      <c r="E153" s="585"/>
      <c r="F153" s="585"/>
      <c r="G153" s="585"/>
      <c r="H153" s="585"/>
      <c r="I153" s="585"/>
      <c r="J153" s="585"/>
      <c r="K153" s="585"/>
      <c r="L153" s="585"/>
      <c r="M153" s="585"/>
      <c r="N153" s="585"/>
      <c r="O153" s="585"/>
      <c r="P153" s="585"/>
      <c r="Q153" s="585"/>
      <c r="R153" s="585"/>
      <c r="S153" s="585"/>
      <c r="T153" s="585"/>
      <c r="U153" s="585"/>
      <c r="V153" s="585"/>
      <c r="W153" s="585"/>
      <c r="X153" s="585"/>
      <c r="Y153" s="585"/>
      <c r="Z153" s="585"/>
    </row>
    <row r="154" ht="15.75" customHeight="1">
      <c r="A154" s="585"/>
      <c r="B154" s="585"/>
      <c r="C154" s="585"/>
      <c r="D154" s="585"/>
      <c r="E154" s="585"/>
      <c r="F154" s="585"/>
      <c r="G154" s="585"/>
      <c r="H154" s="585"/>
      <c r="I154" s="585"/>
      <c r="J154" s="585"/>
      <c r="K154" s="585"/>
      <c r="L154" s="585"/>
      <c r="M154" s="585"/>
      <c r="N154" s="585"/>
      <c r="O154" s="585"/>
      <c r="P154" s="585"/>
      <c r="Q154" s="585"/>
      <c r="R154" s="585"/>
      <c r="S154" s="585"/>
      <c r="T154" s="585"/>
      <c r="U154" s="585"/>
      <c r="V154" s="585"/>
      <c r="W154" s="585"/>
      <c r="X154" s="585"/>
      <c r="Y154" s="585"/>
      <c r="Z154" s="585"/>
    </row>
    <row r="155" ht="15.75" customHeight="1">
      <c r="A155" s="585"/>
      <c r="B155" s="585"/>
      <c r="C155" s="585"/>
      <c r="D155" s="585"/>
      <c r="E155" s="585"/>
      <c r="F155" s="585"/>
      <c r="G155" s="585"/>
      <c r="H155" s="585"/>
      <c r="I155" s="585"/>
      <c r="J155" s="585"/>
      <c r="K155" s="585"/>
      <c r="L155" s="585"/>
      <c r="M155" s="585"/>
      <c r="N155" s="585"/>
      <c r="O155" s="585"/>
      <c r="P155" s="585"/>
      <c r="Q155" s="585"/>
      <c r="R155" s="585"/>
      <c r="S155" s="585"/>
      <c r="T155" s="585"/>
      <c r="U155" s="585"/>
      <c r="V155" s="585"/>
      <c r="W155" s="585"/>
      <c r="X155" s="585"/>
      <c r="Y155" s="585"/>
      <c r="Z155" s="585"/>
    </row>
    <row r="156" ht="15.75" customHeight="1">
      <c r="A156" s="585"/>
      <c r="B156" s="585"/>
      <c r="C156" s="585"/>
      <c r="D156" s="585"/>
      <c r="E156" s="585"/>
      <c r="F156" s="585"/>
      <c r="G156" s="585"/>
      <c r="H156" s="585"/>
      <c r="I156" s="585"/>
      <c r="J156" s="585"/>
      <c r="K156" s="585"/>
      <c r="L156" s="585"/>
      <c r="M156" s="585"/>
      <c r="N156" s="585"/>
      <c r="O156" s="585"/>
      <c r="P156" s="585"/>
      <c r="Q156" s="585"/>
      <c r="R156" s="585"/>
      <c r="S156" s="585"/>
      <c r="T156" s="585"/>
      <c r="U156" s="585"/>
      <c r="V156" s="585"/>
      <c r="W156" s="585"/>
      <c r="X156" s="585"/>
      <c r="Y156" s="585"/>
      <c r="Z156" s="585"/>
    </row>
    <row r="157" ht="15.75" customHeight="1">
      <c r="A157" s="585"/>
      <c r="B157" s="585"/>
      <c r="C157" s="585"/>
      <c r="D157" s="585"/>
      <c r="E157" s="585"/>
      <c r="F157" s="585"/>
      <c r="G157" s="585"/>
      <c r="H157" s="585"/>
      <c r="I157" s="585"/>
      <c r="J157" s="585"/>
      <c r="K157" s="585"/>
      <c r="L157" s="585"/>
      <c r="M157" s="585"/>
      <c r="N157" s="585"/>
      <c r="O157" s="585"/>
      <c r="P157" s="585"/>
      <c r="Q157" s="585"/>
      <c r="R157" s="585"/>
      <c r="S157" s="585"/>
      <c r="T157" s="585"/>
      <c r="U157" s="585"/>
      <c r="V157" s="585"/>
      <c r="W157" s="585"/>
      <c r="X157" s="585"/>
      <c r="Y157" s="585"/>
      <c r="Z157" s="585"/>
    </row>
    <row r="158" ht="15.75" customHeight="1">
      <c r="A158" s="585"/>
      <c r="B158" s="585"/>
      <c r="C158" s="585"/>
      <c r="D158" s="585"/>
      <c r="E158" s="585"/>
      <c r="F158" s="585"/>
      <c r="G158" s="585"/>
      <c r="H158" s="585"/>
      <c r="I158" s="585"/>
      <c r="J158" s="585"/>
      <c r="K158" s="585"/>
      <c r="L158" s="585"/>
      <c r="M158" s="585"/>
      <c r="N158" s="585"/>
      <c r="O158" s="585"/>
      <c r="P158" s="585"/>
      <c r="Q158" s="585"/>
      <c r="R158" s="585"/>
      <c r="S158" s="585"/>
      <c r="T158" s="585"/>
      <c r="U158" s="585"/>
      <c r="V158" s="585"/>
      <c r="W158" s="585"/>
      <c r="X158" s="585"/>
      <c r="Y158" s="585"/>
      <c r="Z158" s="585"/>
    </row>
    <row r="159" ht="15.75" customHeight="1">
      <c r="A159" s="585"/>
      <c r="B159" s="585"/>
      <c r="C159" s="585"/>
      <c r="D159" s="585"/>
      <c r="E159" s="585"/>
      <c r="F159" s="585"/>
      <c r="G159" s="585"/>
      <c r="H159" s="585"/>
      <c r="I159" s="585"/>
      <c r="J159" s="585"/>
      <c r="K159" s="585"/>
      <c r="L159" s="585"/>
      <c r="M159" s="585"/>
      <c r="N159" s="585"/>
      <c r="O159" s="585"/>
      <c r="P159" s="585"/>
      <c r="Q159" s="585"/>
      <c r="R159" s="585"/>
      <c r="S159" s="585"/>
      <c r="T159" s="585"/>
      <c r="U159" s="585"/>
      <c r="V159" s="585"/>
      <c r="W159" s="585"/>
      <c r="X159" s="585"/>
      <c r="Y159" s="585"/>
      <c r="Z159" s="585"/>
    </row>
    <row r="160" ht="15.75" customHeight="1">
      <c r="A160" s="585"/>
      <c r="B160" s="585"/>
      <c r="C160" s="585"/>
      <c r="D160" s="585"/>
      <c r="E160" s="585"/>
      <c r="F160" s="585"/>
      <c r="G160" s="585"/>
      <c r="H160" s="585"/>
      <c r="I160" s="585"/>
      <c r="J160" s="585"/>
      <c r="K160" s="585"/>
      <c r="L160" s="585"/>
      <c r="M160" s="585"/>
      <c r="N160" s="585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</row>
    <row r="161" ht="15.75" customHeight="1">
      <c r="A161" s="585"/>
      <c r="B161" s="585"/>
      <c r="C161" s="585"/>
      <c r="D161" s="585"/>
      <c r="E161" s="585"/>
      <c r="F161" s="585"/>
      <c r="G161" s="585"/>
      <c r="H161" s="585"/>
      <c r="I161" s="585"/>
      <c r="J161" s="585"/>
      <c r="K161" s="585"/>
      <c r="L161" s="585"/>
      <c r="M161" s="585"/>
      <c r="N161" s="585"/>
      <c r="O161" s="585"/>
      <c r="P161" s="585"/>
      <c r="Q161" s="585"/>
      <c r="R161" s="585"/>
      <c r="S161" s="585"/>
      <c r="T161" s="585"/>
      <c r="U161" s="585"/>
      <c r="V161" s="585"/>
      <c r="W161" s="585"/>
      <c r="X161" s="585"/>
      <c r="Y161" s="585"/>
      <c r="Z161" s="585"/>
    </row>
    <row r="162" ht="15.75" customHeight="1">
      <c r="A162" s="585"/>
      <c r="B162" s="585"/>
      <c r="C162" s="585"/>
      <c r="D162" s="585"/>
      <c r="E162" s="585"/>
      <c r="F162" s="585"/>
      <c r="G162" s="585"/>
      <c r="H162" s="585"/>
      <c r="I162" s="585"/>
      <c r="J162" s="585"/>
      <c r="K162" s="585"/>
      <c r="L162" s="585"/>
      <c r="M162" s="585"/>
      <c r="N162" s="585"/>
      <c r="O162" s="585"/>
      <c r="P162" s="585"/>
      <c r="Q162" s="585"/>
      <c r="R162" s="585"/>
      <c r="S162" s="585"/>
      <c r="T162" s="585"/>
      <c r="U162" s="585"/>
      <c r="V162" s="585"/>
      <c r="W162" s="585"/>
      <c r="X162" s="585"/>
      <c r="Y162" s="585"/>
      <c r="Z162" s="585"/>
    </row>
    <row r="163" ht="15.75" customHeight="1">
      <c r="A163" s="585"/>
      <c r="B163" s="585"/>
      <c r="C163" s="585"/>
      <c r="D163" s="585"/>
      <c r="E163" s="585"/>
      <c r="F163" s="585"/>
      <c r="G163" s="585"/>
      <c r="H163" s="585"/>
      <c r="I163" s="585"/>
      <c r="J163" s="585"/>
      <c r="K163" s="585"/>
      <c r="L163" s="585"/>
      <c r="M163" s="585"/>
      <c r="N163" s="585"/>
      <c r="O163" s="585"/>
      <c r="P163" s="585"/>
      <c r="Q163" s="585"/>
      <c r="R163" s="585"/>
      <c r="S163" s="585"/>
      <c r="T163" s="585"/>
      <c r="U163" s="585"/>
      <c r="V163" s="585"/>
      <c r="W163" s="585"/>
      <c r="X163" s="585"/>
      <c r="Y163" s="585"/>
      <c r="Z163" s="585"/>
    </row>
    <row r="164" ht="15.75" customHeight="1">
      <c r="A164" s="585"/>
      <c r="B164" s="585"/>
      <c r="C164" s="585"/>
      <c r="D164" s="585"/>
      <c r="E164" s="585"/>
      <c r="F164" s="585"/>
      <c r="G164" s="585"/>
      <c r="H164" s="585"/>
      <c r="I164" s="585"/>
      <c r="J164" s="585"/>
      <c r="K164" s="585"/>
      <c r="L164" s="585"/>
      <c r="M164" s="585"/>
      <c r="N164" s="585"/>
      <c r="O164" s="585"/>
      <c r="P164" s="585"/>
      <c r="Q164" s="585"/>
      <c r="R164" s="585"/>
      <c r="S164" s="585"/>
      <c r="T164" s="585"/>
      <c r="U164" s="585"/>
      <c r="V164" s="585"/>
      <c r="W164" s="585"/>
      <c r="X164" s="585"/>
      <c r="Y164" s="585"/>
      <c r="Z164" s="585"/>
    </row>
    <row r="165" ht="15.75" customHeight="1">
      <c r="A165" s="585"/>
      <c r="B165" s="585"/>
      <c r="C165" s="585"/>
      <c r="D165" s="585"/>
      <c r="E165" s="585"/>
      <c r="F165" s="585"/>
      <c r="G165" s="585"/>
      <c r="H165" s="585"/>
      <c r="I165" s="585"/>
      <c r="J165" s="585"/>
      <c r="K165" s="585"/>
      <c r="L165" s="585"/>
      <c r="M165" s="585"/>
      <c r="N165" s="585"/>
      <c r="O165" s="585"/>
      <c r="P165" s="585"/>
      <c r="Q165" s="585"/>
      <c r="R165" s="585"/>
      <c r="S165" s="585"/>
      <c r="T165" s="585"/>
      <c r="U165" s="585"/>
      <c r="V165" s="585"/>
      <c r="W165" s="585"/>
      <c r="X165" s="585"/>
      <c r="Y165" s="585"/>
      <c r="Z165" s="585"/>
    </row>
    <row r="166" ht="15.75" customHeight="1">
      <c r="A166" s="585"/>
      <c r="B166" s="585"/>
      <c r="C166" s="585"/>
      <c r="D166" s="585"/>
      <c r="E166" s="585"/>
      <c r="F166" s="585"/>
      <c r="G166" s="585"/>
      <c r="H166" s="585"/>
      <c r="I166" s="585"/>
      <c r="J166" s="585"/>
      <c r="K166" s="585"/>
      <c r="L166" s="585"/>
      <c r="M166" s="585"/>
      <c r="N166" s="585"/>
      <c r="O166" s="585"/>
      <c r="P166" s="585"/>
      <c r="Q166" s="585"/>
      <c r="R166" s="585"/>
      <c r="S166" s="585"/>
      <c r="T166" s="585"/>
      <c r="U166" s="585"/>
      <c r="V166" s="585"/>
      <c r="W166" s="585"/>
      <c r="X166" s="585"/>
      <c r="Y166" s="585"/>
      <c r="Z166" s="585"/>
    </row>
    <row r="167" ht="15.75" customHeight="1">
      <c r="A167" s="585"/>
      <c r="B167" s="585"/>
      <c r="C167" s="585"/>
      <c r="D167" s="585"/>
      <c r="E167" s="585"/>
      <c r="F167" s="585"/>
      <c r="G167" s="585"/>
      <c r="H167" s="585"/>
      <c r="I167" s="585"/>
      <c r="J167" s="585"/>
      <c r="K167" s="585"/>
      <c r="L167" s="585"/>
      <c r="M167" s="585"/>
      <c r="N167" s="585"/>
      <c r="O167" s="585"/>
      <c r="P167" s="585"/>
      <c r="Q167" s="585"/>
      <c r="R167" s="585"/>
      <c r="S167" s="585"/>
      <c r="T167" s="585"/>
      <c r="U167" s="585"/>
      <c r="V167" s="585"/>
      <c r="W167" s="585"/>
      <c r="X167" s="585"/>
      <c r="Y167" s="585"/>
      <c r="Z167" s="585"/>
    </row>
    <row r="168" ht="15.75" customHeight="1">
      <c r="A168" s="585"/>
      <c r="B168" s="585"/>
      <c r="C168" s="585"/>
      <c r="D168" s="585"/>
      <c r="E168" s="585"/>
      <c r="F168" s="585"/>
      <c r="G168" s="585"/>
      <c r="H168" s="585"/>
      <c r="I168" s="585"/>
      <c r="J168" s="585"/>
      <c r="K168" s="585"/>
      <c r="L168" s="585"/>
      <c r="M168" s="585"/>
      <c r="N168" s="585"/>
      <c r="O168" s="585"/>
      <c r="P168" s="585"/>
      <c r="Q168" s="585"/>
      <c r="R168" s="585"/>
      <c r="S168" s="585"/>
      <c r="T168" s="585"/>
      <c r="U168" s="585"/>
      <c r="V168" s="585"/>
      <c r="W168" s="585"/>
      <c r="X168" s="585"/>
      <c r="Y168" s="585"/>
      <c r="Z168" s="585"/>
    </row>
    <row r="169" ht="15.75" customHeight="1">
      <c r="A169" s="585"/>
      <c r="B169" s="585"/>
      <c r="C169" s="585"/>
      <c r="D169" s="585"/>
      <c r="E169" s="585"/>
      <c r="F169" s="585"/>
      <c r="G169" s="585"/>
      <c r="H169" s="585"/>
      <c r="I169" s="585"/>
      <c r="J169" s="585"/>
      <c r="K169" s="585"/>
      <c r="L169" s="585"/>
      <c r="M169" s="585"/>
      <c r="N169" s="585"/>
      <c r="O169" s="585"/>
      <c r="P169" s="585"/>
      <c r="Q169" s="585"/>
      <c r="R169" s="585"/>
      <c r="S169" s="585"/>
      <c r="T169" s="585"/>
      <c r="U169" s="585"/>
      <c r="V169" s="585"/>
      <c r="W169" s="585"/>
      <c r="X169" s="585"/>
      <c r="Y169" s="585"/>
      <c r="Z169" s="585"/>
    </row>
    <row r="170" ht="15.75" customHeight="1">
      <c r="A170" s="585"/>
      <c r="B170" s="585"/>
      <c r="C170" s="585"/>
      <c r="D170" s="585"/>
      <c r="E170" s="585"/>
      <c r="F170" s="585"/>
      <c r="G170" s="585"/>
      <c r="H170" s="585"/>
      <c r="I170" s="585"/>
      <c r="J170" s="585"/>
      <c r="K170" s="585"/>
      <c r="L170" s="585"/>
      <c r="M170" s="585"/>
      <c r="N170" s="585"/>
      <c r="O170" s="585"/>
      <c r="P170" s="585"/>
      <c r="Q170" s="585"/>
      <c r="R170" s="585"/>
      <c r="S170" s="585"/>
      <c r="T170" s="585"/>
      <c r="U170" s="585"/>
      <c r="V170" s="585"/>
      <c r="W170" s="585"/>
      <c r="X170" s="585"/>
      <c r="Y170" s="585"/>
      <c r="Z170" s="585"/>
    </row>
    <row r="171" ht="15.75" customHeight="1">
      <c r="A171" s="585"/>
      <c r="B171" s="585"/>
      <c r="C171" s="585"/>
      <c r="D171" s="585"/>
      <c r="E171" s="585"/>
      <c r="F171" s="585"/>
      <c r="G171" s="585"/>
      <c r="H171" s="585"/>
      <c r="I171" s="585"/>
      <c r="J171" s="585"/>
      <c r="K171" s="585"/>
      <c r="L171" s="585"/>
      <c r="M171" s="585"/>
      <c r="N171" s="585"/>
      <c r="O171" s="585"/>
      <c r="P171" s="585"/>
      <c r="Q171" s="585"/>
      <c r="R171" s="585"/>
      <c r="S171" s="585"/>
      <c r="T171" s="585"/>
      <c r="U171" s="585"/>
      <c r="V171" s="585"/>
      <c r="W171" s="585"/>
      <c r="X171" s="585"/>
      <c r="Y171" s="585"/>
      <c r="Z171" s="585"/>
    </row>
    <row r="172" ht="15.75" customHeight="1">
      <c r="A172" s="585"/>
      <c r="B172" s="585"/>
      <c r="C172" s="585"/>
      <c r="D172" s="585"/>
      <c r="E172" s="585"/>
      <c r="F172" s="585"/>
      <c r="G172" s="585"/>
      <c r="H172" s="585"/>
      <c r="I172" s="585"/>
      <c r="J172" s="585"/>
      <c r="K172" s="585"/>
      <c r="L172" s="585"/>
      <c r="M172" s="585"/>
      <c r="N172" s="585"/>
      <c r="O172" s="585"/>
      <c r="P172" s="585"/>
      <c r="Q172" s="585"/>
      <c r="R172" s="585"/>
      <c r="S172" s="585"/>
      <c r="T172" s="585"/>
      <c r="U172" s="585"/>
      <c r="V172" s="585"/>
      <c r="W172" s="585"/>
      <c r="X172" s="585"/>
      <c r="Y172" s="585"/>
      <c r="Z172" s="585"/>
    </row>
    <row r="173" ht="15.75" customHeight="1">
      <c r="A173" s="585"/>
      <c r="B173" s="585"/>
      <c r="C173" s="585"/>
      <c r="D173" s="585"/>
      <c r="E173" s="585"/>
      <c r="F173" s="585"/>
      <c r="G173" s="585"/>
      <c r="H173" s="585"/>
      <c r="I173" s="585"/>
      <c r="J173" s="585"/>
      <c r="K173" s="585"/>
      <c r="L173" s="585"/>
      <c r="M173" s="585"/>
      <c r="N173" s="585"/>
      <c r="O173" s="585"/>
      <c r="P173" s="585"/>
      <c r="Q173" s="585"/>
      <c r="R173" s="585"/>
      <c r="S173" s="585"/>
      <c r="T173" s="585"/>
      <c r="U173" s="585"/>
      <c r="V173" s="585"/>
      <c r="W173" s="585"/>
      <c r="X173" s="585"/>
      <c r="Y173" s="585"/>
      <c r="Z173" s="585"/>
    </row>
    <row r="174" ht="15.75" customHeight="1">
      <c r="A174" s="585"/>
      <c r="B174" s="585"/>
      <c r="C174" s="585"/>
      <c r="D174" s="585"/>
      <c r="E174" s="585"/>
      <c r="F174" s="585"/>
      <c r="G174" s="585"/>
      <c r="H174" s="585"/>
      <c r="I174" s="585"/>
      <c r="J174" s="585"/>
      <c r="K174" s="585"/>
      <c r="L174" s="585"/>
      <c r="M174" s="585"/>
      <c r="N174" s="585"/>
      <c r="O174" s="585"/>
      <c r="P174" s="585"/>
      <c r="Q174" s="585"/>
      <c r="R174" s="585"/>
      <c r="S174" s="585"/>
      <c r="T174" s="585"/>
      <c r="U174" s="585"/>
      <c r="V174" s="585"/>
      <c r="W174" s="585"/>
      <c r="X174" s="585"/>
      <c r="Y174" s="585"/>
      <c r="Z174" s="585"/>
    </row>
    <row r="175" ht="15.75" customHeight="1">
      <c r="A175" s="585"/>
      <c r="B175" s="585"/>
      <c r="C175" s="585"/>
      <c r="D175" s="585"/>
      <c r="E175" s="585"/>
      <c r="F175" s="585"/>
      <c r="G175" s="585"/>
      <c r="H175" s="585"/>
      <c r="I175" s="585"/>
      <c r="J175" s="585"/>
      <c r="K175" s="585"/>
      <c r="L175" s="585"/>
      <c r="M175" s="585"/>
      <c r="N175" s="585"/>
      <c r="O175" s="585"/>
      <c r="P175" s="585"/>
      <c r="Q175" s="585"/>
      <c r="R175" s="585"/>
      <c r="S175" s="585"/>
      <c r="T175" s="585"/>
      <c r="U175" s="585"/>
      <c r="V175" s="585"/>
      <c r="W175" s="585"/>
      <c r="X175" s="585"/>
      <c r="Y175" s="585"/>
      <c r="Z175" s="585"/>
    </row>
    <row r="176" ht="15.75" customHeight="1">
      <c r="A176" s="585"/>
      <c r="B176" s="585"/>
      <c r="C176" s="585"/>
      <c r="D176" s="585"/>
      <c r="E176" s="585"/>
      <c r="F176" s="585"/>
      <c r="G176" s="585"/>
      <c r="H176" s="585"/>
      <c r="I176" s="585"/>
      <c r="J176" s="585"/>
      <c r="K176" s="585"/>
      <c r="L176" s="585"/>
      <c r="M176" s="585"/>
      <c r="N176" s="585"/>
      <c r="O176" s="585"/>
      <c r="P176" s="585"/>
      <c r="Q176" s="585"/>
      <c r="R176" s="585"/>
      <c r="S176" s="585"/>
      <c r="T176" s="585"/>
      <c r="U176" s="585"/>
      <c r="V176" s="585"/>
      <c r="W176" s="585"/>
      <c r="X176" s="585"/>
      <c r="Y176" s="585"/>
      <c r="Z176" s="585"/>
    </row>
    <row r="177" ht="15.75" customHeight="1">
      <c r="A177" s="585"/>
      <c r="B177" s="585"/>
      <c r="C177" s="585"/>
      <c r="D177" s="585"/>
      <c r="E177" s="585"/>
      <c r="F177" s="585"/>
      <c r="G177" s="585"/>
      <c r="H177" s="585"/>
      <c r="I177" s="585"/>
      <c r="J177" s="585"/>
      <c r="K177" s="585"/>
      <c r="L177" s="585"/>
      <c r="M177" s="585"/>
      <c r="N177" s="585"/>
      <c r="O177" s="585"/>
      <c r="P177" s="585"/>
      <c r="Q177" s="585"/>
      <c r="R177" s="585"/>
      <c r="S177" s="585"/>
      <c r="T177" s="585"/>
      <c r="U177" s="585"/>
      <c r="V177" s="585"/>
      <c r="W177" s="585"/>
      <c r="X177" s="585"/>
      <c r="Y177" s="585"/>
      <c r="Z177" s="585"/>
    </row>
    <row r="178" ht="15.75" customHeight="1">
      <c r="A178" s="585"/>
      <c r="B178" s="585"/>
      <c r="C178" s="585"/>
      <c r="D178" s="585"/>
      <c r="E178" s="585"/>
      <c r="F178" s="585"/>
      <c r="G178" s="585"/>
      <c r="H178" s="585"/>
      <c r="I178" s="585"/>
      <c r="J178" s="585"/>
      <c r="K178" s="585"/>
      <c r="L178" s="585"/>
      <c r="M178" s="585"/>
      <c r="N178" s="585"/>
      <c r="O178" s="585"/>
      <c r="P178" s="585"/>
      <c r="Q178" s="585"/>
      <c r="R178" s="585"/>
      <c r="S178" s="585"/>
      <c r="T178" s="585"/>
      <c r="U178" s="585"/>
      <c r="V178" s="585"/>
      <c r="W178" s="585"/>
      <c r="X178" s="585"/>
      <c r="Y178" s="585"/>
      <c r="Z178" s="585"/>
    </row>
    <row r="179" ht="15.75" customHeight="1">
      <c r="A179" s="585"/>
      <c r="B179" s="585"/>
      <c r="C179" s="585"/>
      <c r="D179" s="585"/>
      <c r="E179" s="585"/>
      <c r="F179" s="585"/>
      <c r="G179" s="585"/>
      <c r="H179" s="585"/>
      <c r="I179" s="585"/>
      <c r="J179" s="585"/>
      <c r="K179" s="585"/>
      <c r="L179" s="585"/>
      <c r="M179" s="585"/>
      <c r="N179" s="585"/>
      <c r="O179" s="585"/>
      <c r="P179" s="585"/>
      <c r="Q179" s="585"/>
      <c r="R179" s="585"/>
      <c r="S179" s="585"/>
      <c r="T179" s="585"/>
      <c r="U179" s="585"/>
      <c r="V179" s="585"/>
      <c r="W179" s="585"/>
      <c r="X179" s="585"/>
      <c r="Y179" s="585"/>
      <c r="Z179" s="585"/>
    </row>
    <row r="180" ht="15.75" customHeight="1">
      <c r="A180" s="585"/>
      <c r="B180" s="585"/>
      <c r="C180" s="585"/>
      <c r="D180" s="585"/>
      <c r="E180" s="585"/>
      <c r="F180" s="585"/>
      <c r="G180" s="585"/>
      <c r="H180" s="585"/>
      <c r="I180" s="585"/>
      <c r="J180" s="585"/>
      <c r="K180" s="585"/>
      <c r="L180" s="585"/>
      <c r="M180" s="585"/>
      <c r="N180" s="585"/>
      <c r="O180" s="585"/>
      <c r="P180" s="585"/>
      <c r="Q180" s="585"/>
      <c r="R180" s="585"/>
      <c r="S180" s="585"/>
      <c r="T180" s="585"/>
      <c r="U180" s="585"/>
      <c r="V180" s="585"/>
      <c r="W180" s="585"/>
      <c r="X180" s="585"/>
      <c r="Y180" s="585"/>
      <c r="Z180" s="585"/>
    </row>
    <row r="181" ht="15.75" customHeight="1">
      <c r="A181" s="585"/>
      <c r="B181" s="585"/>
      <c r="C181" s="585"/>
      <c r="D181" s="585"/>
      <c r="E181" s="585"/>
      <c r="F181" s="585"/>
      <c r="G181" s="585"/>
      <c r="H181" s="585"/>
      <c r="I181" s="585"/>
      <c r="J181" s="585"/>
      <c r="K181" s="585"/>
      <c r="L181" s="585"/>
      <c r="M181" s="585"/>
      <c r="N181" s="585"/>
      <c r="O181" s="585"/>
      <c r="P181" s="585"/>
      <c r="Q181" s="585"/>
      <c r="R181" s="585"/>
      <c r="S181" s="585"/>
      <c r="T181" s="585"/>
      <c r="U181" s="585"/>
      <c r="V181" s="585"/>
      <c r="W181" s="585"/>
      <c r="X181" s="585"/>
      <c r="Y181" s="585"/>
      <c r="Z181" s="585"/>
    </row>
    <row r="182" ht="15.75" customHeight="1">
      <c r="A182" s="585"/>
      <c r="B182" s="585"/>
      <c r="C182" s="585"/>
      <c r="D182" s="585"/>
      <c r="E182" s="585"/>
      <c r="F182" s="585"/>
      <c r="G182" s="585"/>
      <c r="H182" s="585"/>
      <c r="I182" s="585"/>
      <c r="J182" s="585"/>
      <c r="K182" s="585"/>
      <c r="L182" s="585"/>
      <c r="M182" s="585"/>
      <c r="N182" s="585"/>
      <c r="O182" s="585"/>
      <c r="P182" s="585"/>
      <c r="Q182" s="585"/>
      <c r="R182" s="585"/>
      <c r="S182" s="585"/>
      <c r="T182" s="585"/>
      <c r="U182" s="585"/>
      <c r="V182" s="585"/>
      <c r="W182" s="585"/>
      <c r="X182" s="585"/>
      <c r="Y182" s="585"/>
      <c r="Z182" s="585"/>
    </row>
    <row r="183" ht="15.75" customHeight="1">
      <c r="A183" s="585"/>
      <c r="B183" s="585"/>
      <c r="C183" s="585"/>
      <c r="D183" s="585"/>
      <c r="E183" s="585"/>
      <c r="F183" s="585"/>
      <c r="G183" s="585"/>
      <c r="H183" s="585"/>
      <c r="I183" s="585"/>
      <c r="J183" s="585"/>
      <c r="K183" s="585"/>
      <c r="L183" s="585"/>
      <c r="M183" s="585"/>
      <c r="N183" s="585"/>
      <c r="O183" s="585"/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</row>
    <row r="184" ht="15.75" customHeight="1">
      <c r="A184" s="585"/>
      <c r="B184" s="585"/>
      <c r="C184" s="585"/>
      <c r="D184" s="585"/>
      <c r="E184" s="585"/>
      <c r="F184" s="585"/>
      <c r="G184" s="585"/>
      <c r="H184" s="585"/>
      <c r="I184" s="585"/>
      <c r="J184" s="585"/>
      <c r="K184" s="585"/>
      <c r="L184" s="585"/>
      <c r="M184" s="585"/>
      <c r="N184" s="585"/>
      <c r="O184" s="585"/>
      <c r="P184" s="585"/>
      <c r="Q184" s="585"/>
      <c r="R184" s="585"/>
      <c r="S184" s="585"/>
      <c r="T184" s="585"/>
      <c r="U184" s="585"/>
      <c r="V184" s="585"/>
      <c r="W184" s="585"/>
      <c r="X184" s="585"/>
      <c r="Y184" s="585"/>
      <c r="Z184" s="585"/>
    </row>
    <row r="185" ht="15.75" customHeight="1">
      <c r="A185" s="585"/>
      <c r="B185" s="585"/>
      <c r="C185" s="585"/>
      <c r="D185" s="585"/>
      <c r="E185" s="585"/>
      <c r="F185" s="585"/>
      <c r="G185" s="585"/>
      <c r="H185" s="585"/>
      <c r="I185" s="585"/>
      <c r="J185" s="585"/>
      <c r="K185" s="585"/>
      <c r="L185" s="585"/>
      <c r="M185" s="585"/>
      <c r="N185" s="585"/>
      <c r="O185" s="585"/>
      <c r="P185" s="585"/>
      <c r="Q185" s="585"/>
      <c r="R185" s="585"/>
      <c r="S185" s="585"/>
      <c r="T185" s="585"/>
      <c r="U185" s="585"/>
      <c r="V185" s="585"/>
      <c r="W185" s="585"/>
      <c r="X185" s="585"/>
      <c r="Y185" s="585"/>
      <c r="Z185" s="585"/>
    </row>
    <row r="186" ht="15.75" customHeight="1">
      <c r="A186" s="585"/>
      <c r="B186" s="585"/>
      <c r="C186" s="585"/>
      <c r="D186" s="585"/>
      <c r="E186" s="585"/>
      <c r="F186" s="585"/>
      <c r="G186" s="585"/>
      <c r="H186" s="585"/>
      <c r="I186" s="585"/>
      <c r="J186" s="585"/>
      <c r="K186" s="585"/>
      <c r="L186" s="585"/>
      <c r="M186" s="585"/>
      <c r="N186" s="585"/>
      <c r="O186" s="585"/>
      <c r="P186" s="585"/>
      <c r="Q186" s="585"/>
      <c r="R186" s="585"/>
      <c r="S186" s="585"/>
      <c r="T186" s="585"/>
      <c r="U186" s="585"/>
      <c r="V186" s="585"/>
      <c r="W186" s="585"/>
      <c r="X186" s="585"/>
      <c r="Y186" s="585"/>
      <c r="Z186" s="585"/>
    </row>
    <row r="187" ht="15.75" customHeight="1">
      <c r="A187" s="585"/>
      <c r="B187" s="585"/>
      <c r="C187" s="585"/>
      <c r="D187" s="585"/>
      <c r="E187" s="585"/>
      <c r="F187" s="585"/>
      <c r="G187" s="585"/>
      <c r="H187" s="585"/>
      <c r="I187" s="585"/>
      <c r="J187" s="585"/>
      <c r="K187" s="585"/>
      <c r="L187" s="585"/>
      <c r="M187" s="585"/>
      <c r="N187" s="585"/>
      <c r="O187" s="585"/>
      <c r="P187" s="585"/>
      <c r="Q187" s="585"/>
      <c r="R187" s="585"/>
      <c r="S187" s="585"/>
      <c r="T187" s="585"/>
      <c r="U187" s="585"/>
      <c r="V187" s="585"/>
      <c r="W187" s="585"/>
      <c r="X187" s="585"/>
      <c r="Y187" s="585"/>
      <c r="Z187" s="585"/>
    </row>
    <row r="188" ht="15.75" customHeight="1">
      <c r="A188" s="585"/>
      <c r="B188" s="585"/>
      <c r="C188" s="585"/>
      <c r="D188" s="585"/>
      <c r="E188" s="585"/>
      <c r="F188" s="585"/>
      <c r="G188" s="585"/>
      <c r="H188" s="585"/>
      <c r="I188" s="585"/>
      <c r="J188" s="585"/>
      <c r="K188" s="585"/>
      <c r="L188" s="585"/>
      <c r="M188" s="585"/>
      <c r="N188" s="585"/>
      <c r="O188" s="585"/>
      <c r="P188" s="585"/>
      <c r="Q188" s="585"/>
      <c r="R188" s="585"/>
      <c r="S188" s="585"/>
      <c r="T188" s="585"/>
      <c r="U188" s="585"/>
      <c r="V188" s="585"/>
      <c r="W188" s="585"/>
      <c r="X188" s="585"/>
      <c r="Y188" s="585"/>
      <c r="Z188" s="585"/>
    </row>
    <row r="189" ht="15.75" customHeight="1">
      <c r="A189" s="585"/>
      <c r="B189" s="585"/>
      <c r="C189" s="585"/>
      <c r="D189" s="585"/>
      <c r="E189" s="585"/>
      <c r="F189" s="585"/>
      <c r="G189" s="585"/>
      <c r="H189" s="585"/>
      <c r="I189" s="585"/>
      <c r="J189" s="585"/>
      <c r="K189" s="585"/>
      <c r="L189" s="585"/>
      <c r="M189" s="585"/>
      <c r="N189" s="585"/>
      <c r="O189" s="585"/>
      <c r="P189" s="585"/>
      <c r="Q189" s="585"/>
      <c r="R189" s="585"/>
      <c r="S189" s="585"/>
      <c r="T189" s="585"/>
      <c r="U189" s="585"/>
      <c r="V189" s="585"/>
      <c r="W189" s="585"/>
      <c r="X189" s="585"/>
      <c r="Y189" s="585"/>
      <c r="Z189" s="585"/>
    </row>
    <row r="190" ht="15.75" customHeight="1">
      <c r="A190" s="585"/>
      <c r="B190" s="585"/>
      <c r="C190" s="585"/>
      <c r="D190" s="585"/>
      <c r="E190" s="585"/>
      <c r="F190" s="585"/>
      <c r="G190" s="585"/>
      <c r="H190" s="585"/>
      <c r="I190" s="585"/>
      <c r="J190" s="585"/>
      <c r="K190" s="585"/>
      <c r="L190" s="585"/>
      <c r="M190" s="585"/>
      <c r="N190" s="585"/>
      <c r="O190" s="585"/>
      <c r="P190" s="585"/>
      <c r="Q190" s="585"/>
      <c r="R190" s="585"/>
      <c r="S190" s="585"/>
      <c r="T190" s="585"/>
      <c r="U190" s="585"/>
      <c r="V190" s="585"/>
      <c r="W190" s="585"/>
      <c r="X190" s="585"/>
      <c r="Y190" s="585"/>
      <c r="Z190" s="585"/>
    </row>
    <row r="191" ht="15.75" customHeight="1">
      <c r="A191" s="585"/>
      <c r="B191" s="585"/>
      <c r="C191" s="585"/>
      <c r="D191" s="585"/>
      <c r="E191" s="585"/>
      <c r="F191" s="585"/>
      <c r="G191" s="585"/>
      <c r="H191" s="585"/>
      <c r="I191" s="585"/>
      <c r="J191" s="585"/>
      <c r="K191" s="585"/>
      <c r="L191" s="585"/>
      <c r="M191" s="585"/>
      <c r="N191" s="585"/>
      <c r="O191" s="585"/>
      <c r="P191" s="585"/>
      <c r="Q191" s="585"/>
      <c r="R191" s="585"/>
      <c r="S191" s="585"/>
      <c r="T191" s="585"/>
      <c r="U191" s="585"/>
      <c r="V191" s="585"/>
      <c r="W191" s="585"/>
      <c r="X191" s="585"/>
      <c r="Y191" s="585"/>
      <c r="Z191" s="585"/>
    </row>
    <row r="192" ht="15.75" customHeight="1">
      <c r="A192" s="585"/>
      <c r="B192" s="585"/>
      <c r="C192" s="585"/>
      <c r="D192" s="585"/>
      <c r="E192" s="585"/>
      <c r="F192" s="585"/>
      <c r="G192" s="585"/>
      <c r="H192" s="585"/>
      <c r="I192" s="585"/>
      <c r="J192" s="585"/>
      <c r="K192" s="585"/>
      <c r="L192" s="585"/>
      <c r="M192" s="585"/>
      <c r="N192" s="585"/>
      <c r="O192" s="585"/>
      <c r="P192" s="585"/>
      <c r="Q192" s="585"/>
      <c r="R192" s="585"/>
      <c r="S192" s="585"/>
      <c r="T192" s="585"/>
      <c r="U192" s="585"/>
      <c r="V192" s="585"/>
      <c r="W192" s="585"/>
      <c r="X192" s="585"/>
      <c r="Y192" s="585"/>
      <c r="Z192" s="585"/>
    </row>
    <row r="193" ht="15.75" customHeight="1">
      <c r="A193" s="585"/>
      <c r="B193" s="585"/>
      <c r="C193" s="585"/>
      <c r="D193" s="585"/>
      <c r="E193" s="585"/>
      <c r="F193" s="585"/>
      <c r="G193" s="585"/>
      <c r="H193" s="585"/>
      <c r="I193" s="585"/>
      <c r="J193" s="585"/>
      <c r="K193" s="585"/>
      <c r="L193" s="585"/>
      <c r="M193" s="585"/>
      <c r="N193" s="585"/>
      <c r="O193" s="585"/>
      <c r="P193" s="585"/>
      <c r="Q193" s="585"/>
      <c r="R193" s="585"/>
      <c r="S193" s="585"/>
      <c r="T193" s="585"/>
      <c r="U193" s="585"/>
      <c r="V193" s="585"/>
      <c r="W193" s="585"/>
      <c r="X193" s="585"/>
      <c r="Y193" s="585"/>
      <c r="Z193" s="585"/>
    </row>
    <row r="194" ht="15.75" customHeight="1">
      <c r="A194" s="585"/>
      <c r="B194" s="585"/>
      <c r="C194" s="585"/>
      <c r="D194" s="585"/>
      <c r="E194" s="585"/>
      <c r="F194" s="585"/>
      <c r="G194" s="585"/>
      <c r="H194" s="585"/>
      <c r="I194" s="585"/>
      <c r="J194" s="585"/>
      <c r="K194" s="585"/>
      <c r="L194" s="585"/>
      <c r="M194" s="585"/>
      <c r="N194" s="585"/>
      <c r="O194" s="585"/>
      <c r="P194" s="585"/>
      <c r="Q194" s="585"/>
      <c r="R194" s="585"/>
      <c r="S194" s="585"/>
      <c r="T194" s="585"/>
      <c r="U194" s="585"/>
      <c r="V194" s="585"/>
      <c r="W194" s="585"/>
      <c r="X194" s="585"/>
      <c r="Y194" s="585"/>
      <c r="Z194" s="585"/>
    </row>
    <row r="195" ht="15.75" customHeight="1">
      <c r="A195" s="585"/>
      <c r="B195" s="585"/>
      <c r="C195" s="585"/>
      <c r="D195" s="585"/>
      <c r="E195" s="585"/>
      <c r="F195" s="585"/>
      <c r="G195" s="585"/>
      <c r="H195" s="585"/>
      <c r="I195" s="585"/>
      <c r="J195" s="585"/>
      <c r="K195" s="585"/>
      <c r="L195" s="585"/>
      <c r="M195" s="585"/>
      <c r="N195" s="585"/>
      <c r="O195" s="585"/>
      <c r="P195" s="585"/>
      <c r="Q195" s="585"/>
      <c r="R195" s="585"/>
      <c r="S195" s="585"/>
      <c r="T195" s="585"/>
      <c r="U195" s="585"/>
      <c r="V195" s="585"/>
      <c r="W195" s="585"/>
      <c r="X195" s="585"/>
      <c r="Y195" s="585"/>
      <c r="Z195" s="585"/>
    </row>
    <row r="196" ht="15.75" customHeight="1">
      <c r="A196" s="585"/>
      <c r="B196" s="585"/>
      <c r="C196" s="585"/>
      <c r="D196" s="585"/>
      <c r="E196" s="585"/>
      <c r="F196" s="585"/>
      <c r="G196" s="585"/>
      <c r="H196" s="585"/>
      <c r="I196" s="585"/>
      <c r="J196" s="585"/>
      <c r="K196" s="585"/>
      <c r="L196" s="585"/>
      <c r="M196" s="585"/>
      <c r="N196" s="585"/>
      <c r="O196" s="585"/>
      <c r="P196" s="585"/>
      <c r="Q196" s="585"/>
      <c r="R196" s="585"/>
      <c r="S196" s="585"/>
      <c r="T196" s="585"/>
      <c r="U196" s="585"/>
      <c r="V196" s="585"/>
      <c r="W196" s="585"/>
      <c r="X196" s="585"/>
      <c r="Y196" s="585"/>
      <c r="Z196" s="585"/>
    </row>
    <row r="197" ht="15.75" customHeight="1">
      <c r="A197" s="585"/>
      <c r="B197" s="585"/>
      <c r="C197" s="585"/>
      <c r="D197" s="585"/>
      <c r="E197" s="585"/>
      <c r="F197" s="585"/>
      <c r="G197" s="585"/>
      <c r="H197" s="585"/>
      <c r="I197" s="585"/>
      <c r="J197" s="585"/>
      <c r="K197" s="585"/>
      <c r="L197" s="585"/>
      <c r="M197" s="585"/>
      <c r="N197" s="585"/>
      <c r="O197" s="585"/>
      <c r="P197" s="585"/>
      <c r="Q197" s="585"/>
      <c r="R197" s="585"/>
      <c r="S197" s="585"/>
      <c r="T197" s="585"/>
      <c r="U197" s="585"/>
      <c r="V197" s="585"/>
      <c r="W197" s="585"/>
      <c r="X197" s="585"/>
      <c r="Y197" s="585"/>
      <c r="Z197" s="585"/>
    </row>
    <row r="198" ht="15.75" customHeight="1">
      <c r="A198" s="585"/>
      <c r="B198" s="585"/>
      <c r="C198" s="585"/>
      <c r="D198" s="585"/>
      <c r="E198" s="585"/>
      <c r="F198" s="585"/>
      <c r="G198" s="585"/>
      <c r="H198" s="585"/>
      <c r="I198" s="585"/>
      <c r="J198" s="585"/>
      <c r="K198" s="585"/>
      <c r="L198" s="585"/>
      <c r="M198" s="585"/>
      <c r="N198" s="585"/>
      <c r="O198" s="585"/>
      <c r="P198" s="585"/>
      <c r="Q198" s="585"/>
      <c r="R198" s="585"/>
      <c r="S198" s="585"/>
      <c r="T198" s="585"/>
      <c r="U198" s="585"/>
      <c r="V198" s="585"/>
      <c r="W198" s="585"/>
      <c r="X198" s="585"/>
      <c r="Y198" s="585"/>
      <c r="Z198" s="585"/>
    </row>
    <row r="199" ht="15.75" customHeight="1">
      <c r="A199" s="585"/>
      <c r="B199" s="585"/>
      <c r="C199" s="585"/>
      <c r="D199" s="585"/>
      <c r="E199" s="585"/>
      <c r="F199" s="585"/>
      <c r="G199" s="585"/>
      <c r="H199" s="585"/>
      <c r="I199" s="585"/>
      <c r="J199" s="585"/>
      <c r="K199" s="585"/>
      <c r="L199" s="585"/>
      <c r="M199" s="585"/>
      <c r="N199" s="585"/>
      <c r="O199" s="585"/>
      <c r="P199" s="585"/>
      <c r="Q199" s="585"/>
      <c r="R199" s="585"/>
      <c r="S199" s="585"/>
      <c r="T199" s="585"/>
      <c r="U199" s="585"/>
      <c r="V199" s="585"/>
      <c r="W199" s="585"/>
      <c r="X199" s="585"/>
      <c r="Y199" s="585"/>
      <c r="Z199" s="585"/>
    </row>
    <row r="200" ht="15.75" customHeight="1">
      <c r="A200" s="585"/>
      <c r="B200" s="585"/>
      <c r="C200" s="585"/>
      <c r="D200" s="585"/>
      <c r="E200" s="585"/>
      <c r="F200" s="585"/>
      <c r="G200" s="585"/>
      <c r="H200" s="585"/>
      <c r="I200" s="585"/>
      <c r="J200" s="585"/>
      <c r="K200" s="585"/>
      <c r="L200" s="585"/>
      <c r="M200" s="585"/>
      <c r="N200" s="585"/>
      <c r="O200" s="585"/>
      <c r="P200" s="585"/>
      <c r="Q200" s="585"/>
      <c r="R200" s="585"/>
      <c r="S200" s="585"/>
      <c r="T200" s="585"/>
      <c r="U200" s="585"/>
      <c r="V200" s="585"/>
      <c r="W200" s="585"/>
      <c r="X200" s="585"/>
      <c r="Y200" s="585"/>
      <c r="Z200" s="585"/>
    </row>
    <row r="201" ht="15.75" customHeight="1">
      <c r="A201" s="585"/>
      <c r="B201" s="585"/>
      <c r="C201" s="585"/>
      <c r="D201" s="585"/>
      <c r="E201" s="585"/>
      <c r="F201" s="585"/>
      <c r="G201" s="585"/>
      <c r="H201" s="585"/>
      <c r="I201" s="585"/>
      <c r="J201" s="585"/>
      <c r="K201" s="585"/>
      <c r="L201" s="585"/>
      <c r="M201" s="585"/>
      <c r="N201" s="585"/>
      <c r="O201" s="585"/>
      <c r="P201" s="585"/>
      <c r="Q201" s="585"/>
      <c r="R201" s="585"/>
      <c r="S201" s="585"/>
      <c r="T201" s="585"/>
      <c r="U201" s="585"/>
      <c r="V201" s="585"/>
      <c r="W201" s="585"/>
      <c r="X201" s="585"/>
      <c r="Y201" s="585"/>
      <c r="Z201" s="585"/>
    </row>
    <row r="202" ht="15.75" customHeight="1">
      <c r="A202" s="585"/>
      <c r="B202" s="585"/>
      <c r="C202" s="585"/>
      <c r="D202" s="585"/>
      <c r="E202" s="585"/>
      <c r="F202" s="585"/>
      <c r="G202" s="585"/>
      <c r="H202" s="585"/>
      <c r="I202" s="585"/>
      <c r="J202" s="585"/>
      <c r="K202" s="585"/>
      <c r="L202" s="585"/>
      <c r="M202" s="585"/>
      <c r="N202" s="585"/>
      <c r="O202" s="585"/>
      <c r="P202" s="585"/>
      <c r="Q202" s="585"/>
      <c r="R202" s="585"/>
      <c r="S202" s="585"/>
      <c r="T202" s="585"/>
      <c r="U202" s="585"/>
      <c r="V202" s="585"/>
      <c r="W202" s="585"/>
      <c r="X202" s="585"/>
      <c r="Y202" s="585"/>
      <c r="Z202" s="585"/>
    </row>
    <row r="203" ht="15.75" customHeight="1">
      <c r="A203" s="585"/>
      <c r="B203" s="585"/>
      <c r="C203" s="585"/>
      <c r="D203" s="585"/>
      <c r="E203" s="585"/>
      <c r="F203" s="585"/>
      <c r="G203" s="585"/>
      <c r="H203" s="585"/>
      <c r="I203" s="585"/>
      <c r="J203" s="585"/>
      <c r="K203" s="585"/>
      <c r="L203" s="585"/>
      <c r="M203" s="585"/>
      <c r="N203" s="585"/>
      <c r="O203" s="585"/>
      <c r="P203" s="585"/>
      <c r="Q203" s="585"/>
      <c r="R203" s="585"/>
      <c r="S203" s="585"/>
      <c r="T203" s="585"/>
      <c r="U203" s="585"/>
      <c r="V203" s="585"/>
      <c r="W203" s="585"/>
      <c r="X203" s="585"/>
      <c r="Y203" s="585"/>
      <c r="Z203" s="585"/>
    </row>
    <row r="204" ht="15.75" customHeight="1">
      <c r="A204" s="585"/>
      <c r="B204" s="585"/>
      <c r="C204" s="585"/>
      <c r="D204" s="585"/>
      <c r="E204" s="585"/>
      <c r="F204" s="585"/>
      <c r="G204" s="585"/>
      <c r="H204" s="585"/>
      <c r="I204" s="585"/>
      <c r="J204" s="585"/>
      <c r="K204" s="585"/>
      <c r="L204" s="585"/>
      <c r="M204" s="585"/>
      <c r="N204" s="585"/>
      <c r="O204" s="585"/>
      <c r="P204" s="585"/>
      <c r="Q204" s="585"/>
      <c r="R204" s="585"/>
      <c r="S204" s="585"/>
      <c r="T204" s="585"/>
      <c r="U204" s="585"/>
      <c r="V204" s="585"/>
      <c r="W204" s="585"/>
      <c r="X204" s="585"/>
      <c r="Y204" s="585"/>
      <c r="Z204" s="585"/>
    </row>
    <row r="205" ht="15.75" customHeight="1">
      <c r="A205" s="585"/>
      <c r="B205" s="585"/>
      <c r="C205" s="585"/>
      <c r="D205" s="585"/>
      <c r="E205" s="585"/>
      <c r="F205" s="585"/>
      <c r="G205" s="585"/>
      <c r="H205" s="585"/>
      <c r="I205" s="585"/>
      <c r="J205" s="585"/>
      <c r="K205" s="585"/>
      <c r="L205" s="585"/>
      <c r="M205" s="585"/>
      <c r="N205" s="585"/>
      <c r="O205" s="585"/>
      <c r="P205" s="585"/>
      <c r="Q205" s="585"/>
      <c r="R205" s="585"/>
      <c r="S205" s="585"/>
      <c r="T205" s="585"/>
      <c r="U205" s="585"/>
      <c r="V205" s="585"/>
      <c r="W205" s="585"/>
      <c r="X205" s="585"/>
      <c r="Y205" s="585"/>
      <c r="Z205" s="585"/>
    </row>
    <row r="206" ht="15.75" customHeight="1">
      <c r="A206" s="585"/>
      <c r="B206" s="585"/>
      <c r="C206" s="585"/>
      <c r="D206" s="585"/>
      <c r="E206" s="585"/>
      <c r="F206" s="585"/>
      <c r="G206" s="585"/>
      <c r="H206" s="585"/>
      <c r="I206" s="585"/>
      <c r="J206" s="585"/>
      <c r="K206" s="585"/>
      <c r="L206" s="585"/>
      <c r="M206" s="585"/>
      <c r="N206" s="585"/>
      <c r="O206" s="585"/>
      <c r="P206" s="585"/>
      <c r="Q206" s="585"/>
      <c r="R206" s="585"/>
      <c r="S206" s="585"/>
      <c r="T206" s="585"/>
      <c r="U206" s="585"/>
      <c r="V206" s="585"/>
      <c r="W206" s="585"/>
      <c r="X206" s="585"/>
      <c r="Y206" s="585"/>
      <c r="Z206" s="585"/>
    </row>
    <row r="207" ht="15.75" customHeight="1">
      <c r="A207" s="585"/>
      <c r="B207" s="585"/>
      <c r="C207" s="585"/>
      <c r="D207" s="585"/>
      <c r="E207" s="585"/>
      <c r="F207" s="585"/>
      <c r="G207" s="585"/>
      <c r="H207" s="585"/>
      <c r="I207" s="585"/>
      <c r="J207" s="585"/>
      <c r="K207" s="585"/>
      <c r="L207" s="585"/>
      <c r="M207" s="585"/>
      <c r="N207" s="585"/>
      <c r="O207" s="585"/>
      <c r="P207" s="585"/>
      <c r="Q207" s="585"/>
      <c r="R207" s="585"/>
      <c r="S207" s="585"/>
      <c r="T207" s="585"/>
      <c r="U207" s="585"/>
      <c r="V207" s="585"/>
      <c r="W207" s="585"/>
      <c r="X207" s="585"/>
      <c r="Y207" s="585"/>
      <c r="Z207" s="585"/>
    </row>
    <row r="208" ht="15.75" customHeight="1">
      <c r="A208" s="585"/>
      <c r="B208" s="585"/>
      <c r="C208" s="585"/>
      <c r="D208" s="585"/>
      <c r="E208" s="585"/>
      <c r="F208" s="585"/>
      <c r="G208" s="585"/>
      <c r="H208" s="585"/>
      <c r="I208" s="585"/>
      <c r="J208" s="585"/>
      <c r="K208" s="585"/>
      <c r="L208" s="585"/>
      <c r="M208" s="585"/>
      <c r="N208" s="585"/>
      <c r="O208" s="585"/>
      <c r="P208" s="585"/>
      <c r="Q208" s="585"/>
      <c r="R208" s="585"/>
      <c r="S208" s="585"/>
      <c r="T208" s="585"/>
      <c r="U208" s="585"/>
      <c r="V208" s="585"/>
      <c r="W208" s="585"/>
      <c r="X208" s="585"/>
      <c r="Y208" s="585"/>
      <c r="Z208" s="585"/>
    </row>
    <row r="209" ht="15.75" customHeight="1">
      <c r="A209" s="585"/>
      <c r="B209" s="585"/>
      <c r="C209" s="585"/>
      <c r="D209" s="585"/>
      <c r="E209" s="585"/>
      <c r="F209" s="585"/>
      <c r="G209" s="585"/>
      <c r="H209" s="585"/>
      <c r="I209" s="585"/>
      <c r="J209" s="585"/>
      <c r="K209" s="585"/>
      <c r="L209" s="585"/>
      <c r="M209" s="585"/>
      <c r="N209" s="585"/>
      <c r="O209" s="585"/>
      <c r="P209" s="585"/>
      <c r="Q209" s="585"/>
      <c r="R209" s="585"/>
      <c r="S209" s="585"/>
      <c r="T209" s="585"/>
      <c r="U209" s="585"/>
      <c r="V209" s="585"/>
      <c r="W209" s="585"/>
      <c r="X209" s="585"/>
      <c r="Y209" s="585"/>
      <c r="Z209" s="585"/>
    </row>
    <row r="210" ht="15.75" customHeight="1">
      <c r="A210" s="585"/>
      <c r="B210" s="585"/>
      <c r="C210" s="585"/>
      <c r="D210" s="585"/>
      <c r="E210" s="585"/>
      <c r="F210" s="585"/>
      <c r="G210" s="585"/>
      <c r="H210" s="585"/>
      <c r="I210" s="585"/>
      <c r="J210" s="585"/>
      <c r="K210" s="585"/>
      <c r="L210" s="585"/>
      <c r="M210" s="585"/>
      <c r="N210" s="585"/>
      <c r="O210" s="585"/>
      <c r="P210" s="585"/>
      <c r="Q210" s="585"/>
      <c r="R210" s="585"/>
      <c r="S210" s="585"/>
      <c r="T210" s="585"/>
      <c r="U210" s="585"/>
      <c r="V210" s="585"/>
      <c r="W210" s="585"/>
      <c r="X210" s="585"/>
      <c r="Y210" s="585"/>
      <c r="Z210" s="585"/>
    </row>
    <row r="211" ht="15.75" customHeight="1">
      <c r="A211" s="585"/>
      <c r="B211" s="585"/>
      <c r="C211" s="585"/>
      <c r="D211" s="585"/>
      <c r="E211" s="585"/>
      <c r="F211" s="585"/>
      <c r="G211" s="585"/>
      <c r="H211" s="585"/>
      <c r="I211" s="585"/>
      <c r="J211" s="585"/>
      <c r="K211" s="585"/>
      <c r="L211" s="585"/>
      <c r="M211" s="585"/>
      <c r="N211" s="585"/>
      <c r="O211" s="585"/>
      <c r="P211" s="585"/>
      <c r="Q211" s="585"/>
      <c r="R211" s="585"/>
      <c r="S211" s="585"/>
      <c r="T211" s="585"/>
      <c r="U211" s="585"/>
      <c r="V211" s="585"/>
      <c r="W211" s="585"/>
      <c r="X211" s="585"/>
      <c r="Y211" s="585"/>
      <c r="Z211" s="585"/>
    </row>
    <row r="212" ht="15.75" customHeight="1">
      <c r="A212" s="585"/>
      <c r="B212" s="585"/>
      <c r="C212" s="585"/>
      <c r="D212" s="585"/>
      <c r="E212" s="585"/>
      <c r="F212" s="585"/>
      <c r="G212" s="585"/>
      <c r="H212" s="585"/>
      <c r="I212" s="585"/>
      <c r="J212" s="585"/>
      <c r="K212" s="585"/>
      <c r="L212" s="585"/>
      <c r="M212" s="585"/>
      <c r="N212" s="585"/>
      <c r="O212" s="585"/>
      <c r="P212" s="585"/>
      <c r="Q212" s="585"/>
      <c r="R212" s="585"/>
      <c r="S212" s="585"/>
      <c r="T212" s="585"/>
      <c r="U212" s="585"/>
      <c r="V212" s="585"/>
      <c r="W212" s="585"/>
      <c r="X212" s="585"/>
      <c r="Y212" s="585"/>
      <c r="Z212" s="585"/>
    </row>
    <row r="213" ht="15.75" customHeight="1">
      <c r="A213" s="585"/>
      <c r="B213" s="585"/>
      <c r="C213" s="585"/>
      <c r="D213" s="585"/>
      <c r="E213" s="585"/>
      <c r="F213" s="585"/>
      <c r="G213" s="585"/>
      <c r="H213" s="585"/>
      <c r="I213" s="585"/>
      <c r="J213" s="585"/>
      <c r="K213" s="585"/>
      <c r="L213" s="585"/>
      <c r="M213" s="585"/>
      <c r="N213" s="585"/>
      <c r="O213" s="585"/>
      <c r="P213" s="585"/>
      <c r="Q213" s="585"/>
      <c r="R213" s="585"/>
      <c r="S213" s="585"/>
      <c r="T213" s="585"/>
      <c r="U213" s="585"/>
      <c r="V213" s="585"/>
      <c r="W213" s="585"/>
      <c r="X213" s="585"/>
      <c r="Y213" s="585"/>
      <c r="Z213" s="585"/>
    </row>
    <row r="214" ht="15.75" customHeight="1">
      <c r="A214" s="585"/>
      <c r="B214" s="585"/>
      <c r="C214" s="585"/>
      <c r="D214" s="585"/>
      <c r="E214" s="585"/>
      <c r="F214" s="585"/>
      <c r="G214" s="585"/>
      <c r="H214" s="585"/>
      <c r="I214" s="585"/>
      <c r="J214" s="585"/>
      <c r="K214" s="585"/>
      <c r="L214" s="585"/>
      <c r="M214" s="585"/>
      <c r="N214" s="585"/>
      <c r="O214" s="585"/>
      <c r="P214" s="585"/>
      <c r="Q214" s="585"/>
      <c r="R214" s="585"/>
      <c r="S214" s="585"/>
      <c r="T214" s="585"/>
      <c r="U214" s="585"/>
      <c r="V214" s="585"/>
      <c r="W214" s="585"/>
      <c r="X214" s="585"/>
      <c r="Y214" s="585"/>
      <c r="Z214" s="585"/>
    </row>
    <row r="215" ht="15.75" customHeight="1">
      <c r="A215" s="585"/>
      <c r="B215" s="585"/>
      <c r="C215" s="585"/>
      <c r="D215" s="585"/>
      <c r="E215" s="585"/>
      <c r="F215" s="585"/>
      <c r="G215" s="585"/>
      <c r="H215" s="585"/>
      <c r="I215" s="585"/>
      <c r="J215" s="585"/>
      <c r="K215" s="585"/>
      <c r="L215" s="585"/>
      <c r="M215" s="585"/>
      <c r="N215" s="585"/>
      <c r="O215" s="585"/>
      <c r="P215" s="585"/>
      <c r="Q215" s="585"/>
      <c r="R215" s="585"/>
      <c r="S215" s="585"/>
      <c r="T215" s="585"/>
      <c r="U215" s="585"/>
      <c r="V215" s="585"/>
      <c r="W215" s="585"/>
      <c r="X215" s="585"/>
      <c r="Y215" s="585"/>
      <c r="Z215" s="585"/>
    </row>
    <row r="216" ht="15.75" customHeight="1">
      <c r="A216" s="585"/>
      <c r="B216" s="585"/>
      <c r="C216" s="585"/>
      <c r="D216" s="585"/>
      <c r="E216" s="585"/>
      <c r="F216" s="585"/>
      <c r="G216" s="585"/>
      <c r="H216" s="585"/>
      <c r="I216" s="585"/>
      <c r="J216" s="585"/>
      <c r="K216" s="585"/>
      <c r="L216" s="585"/>
      <c r="M216" s="585"/>
      <c r="N216" s="585"/>
      <c r="O216" s="585"/>
      <c r="P216" s="585"/>
      <c r="Q216" s="585"/>
      <c r="R216" s="585"/>
      <c r="S216" s="585"/>
      <c r="T216" s="585"/>
      <c r="U216" s="585"/>
      <c r="V216" s="585"/>
      <c r="W216" s="585"/>
      <c r="X216" s="585"/>
      <c r="Y216" s="585"/>
      <c r="Z216" s="585"/>
    </row>
    <row r="217" ht="15.75" customHeight="1">
      <c r="A217" s="585"/>
      <c r="B217" s="585"/>
      <c r="C217" s="585"/>
      <c r="D217" s="585"/>
      <c r="E217" s="585"/>
      <c r="F217" s="585"/>
      <c r="G217" s="585"/>
      <c r="H217" s="585"/>
      <c r="I217" s="585"/>
      <c r="J217" s="585"/>
      <c r="K217" s="585"/>
      <c r="L217" s="585"/>
      <c r="M217" s="585"/>
      <c r="N217" s="585"/>
      <c r="O217" s="585"/>
      <c r="P217" s="585"/>
      <c r="Q217" s="585"/>
      <c r="R217" s="585"/>
      <c r="S217" s="585"/>
      <c r="T217" s="585"/>
      <c r="U217" s="585"/>
      <c r="V217" s="585"/>
      <c r="W217" s="585"/>
      <c r="X217" s="585"/>
      <c r="Y217" s="585"/>
      <c r="Z217" s="585"/>
    </row>
    <row r="218" ht="15.75" customHeight="1">
      <c r="A218" s="585"/>
      <c r="B218" s="585"/>
      <c r="C218" s="585"/>
      <c r="D218" s="585"/>
      <c r="E218" s="585"/>
      <c r="F218" s="585"/>
      <c r="G218" s="585"/>
      <c r="H218" s="585"/>
      <c r="I218" s="585"/>
      <c r="J218" s="585"/>
      <c r="K218" s="585"/>
      <c r="L218" s="585"/>
      <c r="M218" s="585"/>
      <c r="N218" s="585"/>
      <c r="O218" s="585"/>
      <c r="P218" s="585"/>
      <c r="Q218" s="585"/>
      <c r="R218" s="585"/>
      <c r="S218" s="585"/>
      <c r="T218" s="585"/>
      <c r="U218" s="585"/>
      <c r="V218" s="585"/>
      <c r="W218" s="585"/>
      <c r="X218" s="585"/>
      <c r="Y218" s="585"/>
      <c r="Z218" s="585"/>
    </row>
    <row r="219" ht="15.75" customHeight="1">
      <c r="A219" s="585"/>
      <c r="B219" s="585"/>
      <c r="C219" s="585"/>
      <c r="D219" s="585"/>
      <c r="E219" s="585"/>
      <c r="F219" s="585"/>
      <c r="G219" s="585"/>
      <c r="H219" s="585"/>
      <c r="I219" s="585"/>
      <c r="J219" s="585"/>
      <c r="K219" s="585"/>
      <c r="L219" s="585"/>
      <c r="M219" s="585"/>
      <c r="N219" s="585"/>
      <c r="O219" s="585"/>
      <c r="P219" s="585"/>
      <c r="Q219" s="585"/>
      <c r="R219" s="585"/>
      <c r="S219" s="585"/>
      <c r="T219" s="585"/>
      <c r="U219" s="585"/>
      <c r="V219" s="585"/>
      <c r="W219" s="585"/>
      <c r="X219" s="585"/>
      <c r="Y219" s="585"/>
      <c r="Z219" s="585"/>
    </row>
    <row r="220" ht="15.75" customHeight="1">
      <c r="A220" s="585"/>
      <c r="B220" s="585"/>
      <c r="C220" s="585"/>
      <c r="D220" s="585"/>
      <c r="E220" s="585"/>
      <c r="F220" s="585"/>
      <c r="G220" s="585"/>
      <c r="H220" s="585"/>
      <c r="I220" s="585"/>
      <c r="J220" s="585"/>
      <c r="K220" s="585"/>
      <c r="L220" s="585"/>
      <c r="M220" s="585"/>
      <c r="N220" s="585"/>
      <c r="O220" s="585"/>
      <c r="P220" s="585"/>
      <c r="Q220" s="585"/>
      <c r="R220" s="585"/>
      <c r="S220" s="585"/>
      <c r="T220" s="585"/>
      <c r="U220" s="585"/>
      <c r="V220" s="585"/>
      <c r="W220" s="585"/>
      <c r="X220" s="585"/>
      <c r="Y220" s="585"/>
      <c r="Z220" s="585"/>
    </row>
    <row r="221" ht="15.75" customHeight="1">
      <c r="A221" s="585"/>
      <c r="B221" s="585"/>
      <c r="C221" s="585"/>
      <c r="D221" s="585"/>
      <c r="E221" s="585"/>
      <c r="F221" s="585"/>
      <c r="G221" s="585"/>
      <c r="H221" s="585"/>
      <c r="I221" s="585"/>
      <c r="J221" s="585"/>
      <c r="K221" s="585"/>
      <c r="L221" s="585"/>
      <c r="M221" s="585"/>
      <c r="N221" s="585"/>
      <c r="O221" s="585"/>
      <c r="P221" s="585"/>
      <c r="Q221" s="585"/>
      <c r="R221" s="585"/>
      <c r="S221" s="585"/>
      <c r="T221" s="585"/>
      <c r="U221" s="585"/>
      <c r="V221" s="585"/>
      <c r="W221" s="585"/>
      <c r="X221" s="585"/>
      <c r="Y221" s="585"/>
      <c r="Z221" s="585"/>
    </row>
    <row r="222" ht="15.75" customHeight="1">
      <c r="A222" s="585"/>
      <c r="B222" s="585"/>
      <c r="C222" s="585"/>
      <c r="D222" s="585"/>
      <c r="E222" s="585"/>
      <c r="F222" s="585"/>
      <c r="G222" s="585"/>
      <c r="H222" s="585"/>
      <c r="I222" s="585"/>
      <c r="J222" s="585"/>
      <c r="K222" s="585"/>
      <c r="L222" s="585"/>
      <c r="M222" s="585"/>
      <c r="N222" s="585"/>
      <c r="O222" s="585"/>
      <c r="P222" s="585"/>
      <c r="Q222" s="585"/>
      <c r="R222" s="585"/>
      <c r="S222" s="585"/>
      <c r="T222" s="585"/>
      <c r="U222" s="585"/>
      <c r="V222" s="585"/>
      <c r="W222" s="585"/>
      <c r="X222" s="585"/>
      <c r="Y222" s="585"/>
      <c r="Z222" s="585"/>
    </row>
    <row r="223" ht="15.75" customHeight="1">
      <c r="A223" s="585"/>
      <c r="B223" s="585"/>
      <c r="C223" s="585"/>
      <c r="D223" s="585"/>
      <c r="E223" s="585"/>
      <c r="F223" s="585"/>
      <c r="G223" s="585"/>
      <c r="H223" s="585"/>
      <c r="I223" s="585"/>
      <c r="J223" s="585"/>
      <c r="K223" s="585"/>
      <c r="L223" s="585"/>
      <c r="M223" s="585"/>
      <c r="N223" s="585"/>
      <c r="O223" s="585"/>
      <c r="P223" s="585"/>
      <c r="Q223" s="585"/>
      <c r="R223" s="585"/>
      <c r="S223" s="585"/>
      <c r="T223" s="585"/>
      <c r="U223" s="585"/>
      <c r="V223" s="585"/>
      <c r="W223" s="585"/>
      <c r="X223" s="585"/>
      <c r="Y223" s="585"/>
      <c r="Z223" s="585"/>
    </row>
    <row r="224" ht="15.75" customHeight="1">
      <c r="A224" s="585"/>
      <c r="B224" s="585"/>
      <c r="C224" s="585"/>
      <c r="D224" s="585"/>
      <c r="E224" s="585"/>
      <c r="F224" s="585"/>
      <c r="G224" s="585"/>
      <c r="H224" s="585"/>
      <c r="I224" s="585"/>
      <c r="J224" s="585"/>
      <c r="K224" s="585"/>
      <c r="L224" s="585"/>
      <c r="M224" s="585"/>
      <c r="N224" s="585"/>
      <c r="O224" s="585"/>
      <c r="P224" s="585"/>
      <c r="Q224" s="585"/>
      <c r="R224" s="585"/>
      <c r="S224" s="585"/>
      <c r="T224" s="585"/>
      <c r="U224" s="585"/>
      <c r="V224" s="585"/>
      <c r="W224" s="585"/>
      <c r="X224" s="585"/>
      <c r="Y224" s="585"/>
      <c r="Z224" s="585"/>
    </row>
    <row r="225" ht="15.75" customHeight="1">
      <c r="A225" s="585"/>
      <c r="B225" s="585"/>
      <c r="C225" s="585"/>
      <c r="D225" s="585"/>
      <c r="E225" s="585"/>
      <c r="F225" s="585"/>
      <c r="G225" s="585"/>
      <c r="H225" s="585"/>
      <c r="I225" s="585"/>
      <c r="J225" s="585"/>
      <c r="K225" s="585"/>
      <c r="L225" s="585"/>
      <c r="M225" s="585"/>
      <c r="N225" s="585"/>
      <c r="O225" s="585"/>
      <c r="P225" s="585"/>
      <c r="Q225" s="585"/>
      <c r="R225" s="585"/>
      <c r="S225" s="585"/>
      <c r="T225" s="585"/>
      <c r="U225" s="585"/>
      <c r="V225" s="585"/>
      <c r="W225" s="585"/>
      <c r="X225" s="585"/>
      <c r="Y225" s="585"/>
      <c r="Z225" s="585"/>
    </row>
    <row r="226" ht="15.75" customHeight="1">
      <c r="A226" s="585"/>
      <c r="B226" s="585"/>
      <c r="C226" s="585"/>
      <c r="D226" s="585"/>
      <c r="E226" s="585"/>
      <c r="F226" s="585"/>
      <c r="G226" s="585"/>
      <c r="H226" s="585"/>
      <c r="I226" s="585"/>
      <c r="J226" s="585"/>
      <c r="K226" s="585"/>
      <c r="L226" s="585"/>
      <c r="M226" s="585"/>
      <c r="N226" s="585"/>
      <c r="O226" s="585"/>
      <c r="P226" s="585"/>
      <c r="Q226" s="585"/>
      <c r="R226" s="585"/>
      <c r="S226" s="585"/>
      <c r="T226" s="585"/>
      <c r="U226" s="585"/>
      <c r="V226" s="585"/>
      <c r="W226" s="585"/>
      <c r="X226" s="585"/>
      <c r="Y226" s="585"/>
      <c r="Z226" s="585"/>
    </row>
    <row r="227" ht="15.75" customHeight="1">
      <c r="A227" s="585"/>
      <c r="B227" s="585"/>
      <c r="C227" s="585"/>
      <c r="D227" s="585"/>
      <c r="E227" s="585"/>
      <c r="F227" s="585"/>
      <c r="G227" s="585"/>
      <c r="H227" s="585"/>
      <c r="I227" s="585"/>
      <c r="J227" s="585"/>
      <c r="K227" s="585"/>
      <c r="L227" s="585"/>
      <c r="M227" s="585"/>
      <c r="N227" s="585"/>
      <c r="O227" s="585"/>
      <c r="P227" s="585"/>
      <c r="Q227" s="585"/>
      <c r="R227" s="585"/>
      <c r="S227" s="585"/>
      <c r="T227" s="585"/>
      <c r="U227" s="585"/>
      <c r="V227" s="585"/>
      <c r="W227" s="585"/>
      <c r="X227" s="585"/>
      <c r="Y227" s="585"/>
      <c r="Z227" s="585"/>
    </row>
    <row r="228" ht="15.75" customHeight="1">
      <c r="A228" s="585"/>
      <c r="B228" s="585"/>
      <c r="C228" s="585"/>
      <c r="D228" s="585"/>
      <c r="E228" s="585"/>
      <c r="F228" s="585"/>
      <c r="G228" s="585"/>
      <c r="H228" s="585"/>
      <c r="I228" s="585"/>
      <c r="J228" s="585"/>
      <c r="K228" s="585"/>
      <c r="L228" s="585"/>
      <c r="M228" s="585"/>
      <c r="N228" s="585"/>
      <c r="O228" s="585"/>
      <c r="P228" s="585"/>
      <c r="Q228" s="585"/>
      <c r="R228" s="585"/>
      <c r="S228" s="585"/>
      <c r="T228" s="585"/>
      <c r="U228" s="585"/>
      <c r="V228" s="585"/>
      <c r="W228" s="585"/>
      <c r="X228" s="585"/>
      <c r="Y228" s="585"/>
      <c r="Z228" s="585"/>
    </row>
    <row r="229" ht="15.75" customHeight="1">
      <c r="A229" s="585"/>
      <c r="B229" s="585"/>
      <c r="C229" s="585"/>
      <c r="D229" s="585"/>
      <c r="E229" s="585"/>
      <c r="F229" s="585"/>
      <c r="G229" s="585"/>
      <c r="H229" s="585"/>
      <c r="I229" s="585"/>
      <c r="J229" s="585"/>
      <c r="K229" s="585"/>
      <c r="L229" s="585"/>
      <c r="M229" s="585"/>
      <c r="N229" s="585"/>
      <c r="O229" s="585"/>
      <c r="P229" s="585"/>
      <c r="Q229" s="585"/>
      <c r="R229" s="585"/>
      <c r="S229" s="585"/>
      <c r="T229" s="585"/>
      <c r="U229" s="585"/>
      <c r="V229" s="585"/>
      <c r="W229" s="585"/>
      <c r="X229" s="585"/>
      <c r="Y229" s="585"/>
      <c r="Z229" s="585"/>
    </row>
    <row r="230" ht="15.75" customHeight="1">
      <c r="A230" s="585"/>
      <c r="B230" s="585"/>
      <c r="C230" s="585"/>
      <c r="D230" s="585"/>
      <c r="E230" s="585"/>
      <c r="F230" s="585"/>
      <c r="G230" s="585"/>
      <c r="H230" s="585"/>
      <c r="I230" s="585"/>
      <c r="J230" s="585"/>
      <c r="K230" s="585"/>
      <c r="L230" s="585"/>
      <c r="M230" s="585"/>
      <c r="N230" s="585"/>
      <c r="O230" s="585"/>
      <c r="P230" s="585"/>
      <c r="Q230" s="585"/>
      <c r="R230" s="585"/>
      <c r="S230" s="585"/>
      <c r="T230" s="585"/>
      <c r="U230" s="585"/>
      <c r="V230" s="585"/>
      <c r="W230" s="585"/>
      <c r="X230" s="585"/>
      <c r="Y230" s="585"/>
      <c r="Z230" s="585"/>
    </row>
    <row r="231" ht="15.75" customHeight="1">
      <c r="A231" s="585"/>
      <c r="B231" s="585"/>
      <c r="C231" s="585"/>
      <c r="D231" s="585"/>
      <c r="E231" s="585"/>
      <c r="F231" s="585"/>
      <c r="G231" s="585"/>
      <c r="H231" s="585"/>
      <c r="I231" s="585"/>
      <c r="J231" s="585"/>
      <c r="K231" s="585"/>
      <c r="L231" s="585"/>
      <c r="M231" s="585"/>
      <c r="N231" s="585"/>
      <c r="O231" s="585"/>
      <c r="P231" s="585"/>
      <c r="Q231" s="585"/>
      <c r="R231" s="585"/>
      <c r="S231" s="585"/>
      <c r="T231" s="585"/>
      <c r="U231" s="585"/>
      <c r="V231" s="585"/>
      <c r="W231" s="585"/>
      <c r="X231" s="585"/>
      <c r="Y231" s="585"/>
      <c r="Z231" s="585"/>
    </row>
    <row r="232" ht="15.75" customHeight="1">
      <c r="A232" s="585"/>
      <c r="B232" s="585"/>
      <c r="C232" s="585"/>
      <c r="D232" s="585"/>
      <c r="E232" s="585"/>
      <c r="F232" s="585"/>
      <c r="G232" s="585"/>
      <c r="H232" s="585"/>
      <c r="I232" s="585"/>
      <c r="J232" s="585"/>
      <c r="K232" s="585"/>
      <c r="L232" s="585"/>
      <c r="M232" s="585"/>
      <c r="N232" s="585"/>
      <c r="O232" s="585"/>
      <c r="P232" s="585"/>
      <c r="Q232" s="585"/>
      <c r="R232" s="585"/>
      <c r="S232" s="585"/>
      <c r="T232" s="585"/>
      <c r="U232" s="585"/>
      <c r="V232" s="585"/>
      <c r="W232" s="585"/>
      <c r="X232" s="585"/>
      <c r="Y232" s="585"/>
      <c r="Z232" s="585"/>
    </row>
    <row r="233" ht="15.75" customHeight="1">
      <c r="A233" s="585"/>
      <c r="B233" s="585"/>
      <c r="C233" s="585"/>
      <c r="D233" s="585"/>
      <c r="E233" s="585"/>
      <c r="F233" s="585"/>
      <c r="G233" s="585"/>
      <c r="H233" s="585"/>
      <c r="I233" s="585"/>
      <c r="J233" s="585"/>
      <c r="K233" s="585"/>
      <c r="L233" s="585"/>
      <c r="M233" s="585"/>
      <c r="N233" s="585"/>
      <c r="O233" s="585"/>
      <c r="P233" s="585"/>
      <c r="Q233" s="585"/>
      <c r="R233" s="585"/>
      <c r="S233" s="585"/>
      <c r="T233" s="585"/>
      <c r="U233" s="585"/>
      <c r="V233" s="585"/>
      <c r="W233" s="585"/>
      <c r="X233" s="585"/>
      <c r="Y233" s="585"/>
      <c r="Z233" s="585"/>
    </row>
    <row r="234" ht="15.75" customHeight="1">
      <c r="A234" s="585"/>
      <c r="B234" s="585"/>
      <c r="C234" s="585"/>
      <c r="D234" s="585"/>
      <c r="E234" s="585"/>
      <c r="F234" s="585"/>
      <c r="G234" s="585"/>
      <c r="H234" s="585"/>
      <c r="I234" s="585"/>
      <c r="J234" s="585"/>
      <c r="K234" s="585"/>
      <c r="L234" s="585"/>
      <c r="M234" s="585"/>
      <c r="N234" s="585"/>
      <c r="O234" s="585"/>
      <c r="P234" s="585"/>
      <c r="Q234" s="585"/>
      <c r="R234" s="585"/>
      <c r="S234" s="585"/>
      <c r="T234" s="585"/>
      <c r="U234" s="585"/>
      <c r="V234" s="585"/>
      <c r="W234" s="585"/>
      <c r="X234" s="585"/>
      <c r="Y234" s="585"/>
      <c r="Z234" s="585"/>
    </row>
    <row r="235" ht="15.75" customHeight="1">
      <c r="A235" s="585"/>
      <c r="B235" s="585"/>
      <c r="C235" s="585"/>
      <c r="D235" s="585"/>
      <c r="E235" s="585"/>
      <c r="F235" s="585"/>
      <c r="G235" s="585"/>
      <c r="H235" s="585"/>
      <c r="I235" s="585"/>
      <c r="J235" s="585"/>
      <c r="K235" s="585"/>
      <c r="L235" s="585"/>
      <c r="M235" s="585"/>
      <c r="N235" s="585"/>
      <c r="O235" s="585"/>
      <c r="P235" s="585"/>
      <c r="Q235" s="585"/>
      <c r="R235" s="585"/>
      <c r="S235" s="585"/>
      <c r="T235" s="585"/>
      <c r="U235" s="585"/>
      <c r="V235" s="585"/>
      <c r="W235" s="585"/>
      <c r="X235" s="585"/>
      <c r="Y235" s="585"/>
      <c r="Z235" s="585"/>
    </row>
    <row r="236" ht="15.75" customHeight="1">
      <c r="A236" s="585"/>
      <c r="B236" s="585"/>
      <c r="C236" s="585"/>
      <c r="D236" s="585"/>
      <c r="E236" s="585"/>
      <c r="F236" s="585"/>
      <c r="G236" s="585"/>
      <c r="H236" s="585"/>
      <c r="I236" s="585"/>
      <c r="J236" s="585"/>
      <c r="K236" s="585"/>
      <c r="L236" s="585"/>
      <c r="M236" s="585"/>
      <c r="N236" s="585"/>
      <c r="O236" s="585"/>
      <c r="P236" s="585"/>
      <c r="Q236" s="585"/>
      <c r="R236" s="585"/>
      <c r="S236" s="585"/>
      <c r="T236" s="585"/>
      <c r="U236" s="585"/>
      <c r="V236" s="585"/>
      <c r="W236" s="585"/>
      <c r="X236" s="585"/>
      <c r="Y236" s="585"/>
      <c r="Z236" s="585"/>
    </row>
    <row r="237" ht="15.75" customHeight="1">
      <c r="A237" s="585"/>
      <c r="B237" s="585"/>
      <c r="C237" s="585"/>
      <c r="D237" s="585"/>
      <c r="E237" s="585"/>
      <c r="F237" s="585"/>
      <c r="G237" s="585"/>
      <c r="H237" s="585"/>
      <c r="I237" s="585"/>
      <c r="J237" s="585"/>
      <c r="K237" s="585"/>
      <c r="L237" s="585"/>
      <c r="M237" s="585"/>
      <c r="N237" s="585"/>
      <c r="O237" s="585"/>
      <c r="P237" s="585"/>
      <c r="Q237" s="585"/>
      <c r="R237" s="585"/>
      <c r="S237" s="585"/>
      <c r="T237" s="585"/>
      <c r="U237" s="585"/>
      <c r="V237" s="585"/>
      <c r="W237" s="585"/>
      <c r="X237" s="585"/>
      <c r="Y237" s="585"/>
      <c r="Z237" s="585"/>
    </row>
    <row r="238" ht="15.75" customHeight="1">
      <c r="A238" s="585"/>
      <c r="B238" s="585"/>
      <c r="C238" s="585"/>
      <c r="D238" s="585"/>
      <c r="E238" s="585"/>
      <c r="F238" s="585"/>
      <c r="G238" s="585"/>
      <c r="H238" s="585"/>
      <c r="I238" s="585"/>
      <c r="J238" s="585"/>
      <c r="K238" s="585"/>
      <c r="L238" s="585"/>
      <c r="M238" s="585"/>
      <c r="N238" s="585"/>
      <c r="O238" s="585"/>
      <c r="P238" s="585"/>
      <c r="Q238" s="585"/>
      <c r="R238" s="585"/>
      <c r="S238" s="585"/>
      <c r="T238" s="585"/>
      <c r="U238" s="585"/>
      <c r="V238" s="585"/>
      <c r="W238" s="585"/>
      <c r="X238" s="585"/>
      <c r="Y238" s="585"/>
      <c r="Z238" s="585"/>
    </row>
    <row r="239" ht="15.75" customHeight="1">
      <c r="A239" s="585"/>
      <c r="B239" s="585"/>
      <c r="C239" s="585"/>
      <c r="D239" s="585"/>
      <c r="E239" s="585"/>
      <c r="F239" s="585"/>
      <c r="G239" s="585"/>
      <c r="H239" s="585"/>
      <c r="I239" s="585"/>
      <c r="J239" s="585"/>
      <c r="K239" s="585"/>
      <c r="L239" s="585"/>
      <c r="M239" s="585"/>
      <c r="N239" s="585"/>
      <c r="O239" s="585"/>
      <c r="P239" s="585"/>
      <c r="Q239" s="585"/>
      <c r="R239" s="585"/>
      <c r="S239" s="585"/>
      <c r="T239" s="585"/>
      <c r="U239" s="585"/>
      <c r="V239" s="585"/>
      <c r="W239" s="585"/>
      <c r="X239" s="585"/>
      <c r="Y239" s="585"/>
      <c r="Z239" s="585"/>
    </row>
    <row r="240" ht="15.75" customHeight="1">
      <c r="A240" s="585"/>
      <c r="B240" s="585"/>
      <c r="C240" s="585"/>
      <c r="D240" s="585"/>
      <c r="E240" s="585"/>
      <c r="F240" s="585"/>
      <c r="G240" s="585"/>
      <c r="H240" s="585"/>
      <c r="I240" s="585"/>
      <c r="J240" s="585"/>
      <c r="K240" s="585"/>
      <c r="L240" s="585"/>
      <c r="M240" s="585"/>
      <c r="N240" s="585"/>
      <c r="O240" s="585"/>
      <c r="P240" s="585"/>
      <c r="Q240" s="585"/>
      <c r="R240" s="585"/>
      <c r="S240" s="585"/>
      <c r="T240" s="585"/>
      <c r="U240" s="585"/>
      <c r="V240" s="585"/>
      <c r="W240" s="585"/>
      <c r="X240" s="585"/>
      <c r="Y240" s="585"/>
      <c r="Z240" s="585"/>
    </row>
    <row r="241" ht="15.75" customHeight="1">
      <c r="A241" s="585"/>
      <c r="B241" s="585"/>
      <c r="C241" s="585"/>
      <c r="D241" s="585"/>
      <c r="E241" s="585"/>
      <c r="F241" s="585"/>
      <c r="G241" s="585"/>
      <c r="H241" s="585"/>
      <c r="I241" s="585"/>
      <c r="J241" s="585"/>
      <c r="K241" s="585"/>
      <c r="L241" s="585"/>
      <c r="M241" s="585"/>
      <c r="N241" s="585"/>
      <c r="O241" s="585"/>
      <c r="P241" s="585"/>
      <c r="Q241" s="585"/>
      <c r="R241" s="585"/>
      <c r="S241" s="585"/>
      <c r="T241" s="585"/>
      <c r="U241" s="585"/>
      <c r="V241" s="585"/>
      <c r="W241" s="585"/>
      <c r="X241" s="585"/>
      <c r="Y241" s="585"/>
      <c r="Z241" s="585"/>
    </row>
    <row r="242" ht="15.75" customHeight="1">
      <c r="A242" s="585"/>
      <c r="B242" s="585"/>
      <c r="C242" s="585"/>
      <c r="D242" s="585"/>
      <c r="E242" s="585"/>
      <c r="F242" s="585"/>
      <c r="G242" s="585"/>
      <c r="H242" s="585"/>
      <c r="I242" s="585"/>
      <c r="J242" s="585"/>
      <c r="K242" s="585"/>
      <c r="L242" s="585"/>
      <c r="M242" s="585"/>
      <c r="N242" s="585"/>
      <c r="O242" s="585"/>
      <c r="P242" s="585"/>
      <c r="Q242" s="585"/>
      <c r="R242" s="585"/>
      <c r="S242" s="585"/>
      <c r="T242" s="585"/>
      <c r="U242" s="585"/>
      <c r="V242" s="585"/>
      <c r="W242" s="585"/>
      <c r="X242" s="585"/>
      <c r="Y242" s="585"/>
      <c r="Z242" s="585"/>
    </row>
    <row r="243" ht="15.75" customHeight="1">
      <c r="A243" s="585"/>
      <c r="B243" s="585"/>
      <c r="C243" s="585"/>
      <c r="D243" s="585"/>
      <c r="E243" s="585"/>
      <c r="F243" s="585"/>
      <c r="G243" s="585"/>
      <c r="H243" s="585"/>
      <c r="I243" s="585"/>
      <c r="J243" s="585"/>
      <c r="K243" s="585"/>
      <c r="L243" s="585"/>
      <c r="M243" s="585"/>
      <c r="N243" s="585"/>
      <c r="O243" s="585"/>
      <c r="P243" s="585"/>
      <c r="Q243" s="585"/>
      <c r="R243" s="585"/>
      <c r="S243" s="585"/>
      <c r="T243" s="585"/>
      <c r="U243" s="585"/>
      <c r="V243" s="585"/>
      <c r="W243" s="585"/>
      <c r="X243" s="585"/>
      <c r="Y243" s="585"/>
      <c r="Z243" s="585"/>
    </row>
    <row r="244" ht="15.75" customHeight="1">
      <c r="A244" s="585"/>
      <c r="B244" s="585"/>
      <c r="C244" s="585"/>
      <c r="D244" s="585"/>
      <c r="E244" s="585"/>
      <c r="F244" s="585"/>
      <c r="G244" s="585"/>
      <c r="H244" s="585"/>
      <c r="I244" s="585"/>
      <c r="J244" s="585"/>
      <c r="K244" s="585"/>
      <c r="L244" s="585"/>
      <c r="M244" s="585"/>
      <c r="N244" s="585"/>
      <c r="O244" s="585"/>
      <c r="P244" s="585"/>
      <c r="Q244" s="585"/>
      <c r="R244" s="585"/>
      <c r="S244" s="585"/>
      <c r="T244" s="585"/>
      <c r="U244" s="585"/>
      <c r="V244" s="585"/>
      <c r="W244" s="585"/>
      <c r="X244" s="585"/>
      <c r="Y244" s="585"/>
      <c r="Z244" s="585"/>
    </row>
    <row r="245" ht="15.75" customHeight="1">
      <c r="A245" s="585"/>
      <c r="B245" s="585"/>
      <c r="C245" s="585"/>
      <c r="D245" s="585"/>
      <c r="E245" s="585"/>
      <c r="F245" s="585"/>
      <c r="G245" s="585"/>
      <c r="H245" s="585"/>
      <c r="I245" s="585"/>
      <c r="J245" s="585"/>
      <c r="K245" s="585"/>
      <c r="L245" s="585"/>
      <c r="M245" s="585"/>
      <c r="N245" s="585"/>
      <c r="O245" s="585"/>
      <c r="P245" s="585"/>
      <c r="Q245" s="585"/>
      <c r="R245" s="585"/>
      <c r="S245" s="585"/>
      <c r="T245" s="585"/>
      <c r="U245" s="585"/>
      <c r="V245" s="585"/>
      <c r="W245" s="585"/>
      <c r="X245" s="585"/>
      <c r="Y245" s="585"/>
      <c r="Z245" s="585"/>
    </row>
    <row r="246" ht="15.75" customHeight="1">
      <c r="A246" s="585"/>
      <c r="B246" s="585"/>
      <c r="C246" s="585"/>
      <c r="D246" s="585"/>
      <c r="E246" s="585"/>
      <c r="F246" s="585"/>
      <c r="G246" s="585"/>
      <c r="H246" s="585"/>
      <c r="I246" s="585"/>
      <c r="J246" s="585"/>
      <c r="K246" s="585"/>
      <c r="L246" s="585"/>
      <c r="M246" s="585"/>
      <c r="N246" s="585"/>
      <c r="O246" s="585"/>
      <c r="P246" s="585"/>
      <c r="Q246" s="585"/>
      <c r="R246" s="585"/>
      <c r="S246" s="585"/>
      <c r="T246" s="585"/>
      <c r="U246" s="585"/>
      <c r="V246" s="585"/>
      <c r="W246" s="585"/>
      <c r="X246" s="585"/>
      <c r="Y246" s="585"/>
      <c r="Z246" s="585"/>
    </row>
    <row r="247" ht="15.75" customHeight="1">
      <c r="A247" s="585"/>
      <c r="B247" s="585"/>
      <c r="C247" s="585"/>
      <c r="D247" s="585"/>
      <c r="E247" s="585"/>
      <c r="F247" s="585"/>
      <c r="G247" s="585"/>
      <c r="H247" s="585"/>
      <c r="I247" s="585"/>
      <c r="J247" s="585"/>
      <c r="K247" s="585"/>
      <c r="L247" s="585"/>
      <c r="M247" s="585"/>
      <c r="N247" s="585"/>
      <c r="O247" s="585"/>
      <c r="P247" s="585"/>
      <c r="Q247" s="585"/>
      <c r="R247" s="585"/>
      <c r="S247" s="585"/>
      <c r="T247" s="585"/>
      <c r="U247" s="585"/>
      <c r="V247" s="585"/>
      <c r="W247" s="585"/>
      <c r="X247" s="585"/>
      <c r="Y247" s="585"/>
      <c r="Z247" s="58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585"/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</row>
    <row r="2" ht="15.75" customHeight="1">
      <c r="A2" s="585"/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5"/>
      <c r="Z2" s="585"/>
    </row>
    <row r="3" ht="15.75" customHeight="1">
      <c r="A3" s="585"/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</row>
    <row r="4" ht="15.75" customHeight="1">
      <c r="A4" s="585"/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  <c r="N4" s="585"/>
      <c r="O4" s="585"/>
      <c r="P4" s="585"/>
      <c r="Q4" s="585"/>
      <c r="R4" s="585"/>
      <c r="S4" s="585"/>
      <c r="T4" s="585"/>
      <c r="U4" s="585"/>
      <c r="V4" s="585"/>
      <c r="W4" s="585"/>
      <c r="X4" s="585"/>
      <c r="Y4" s="585"/>
      <c r="Z4" s="585"/>
    </row>
    <row r="5" ht="15.75" customHeight="1">
      <c r="A5" s="585"/>
      <c r="B5" s="585"/>
      <c r="C5" s="585"/>
      <c r="D5" s="585"/>
      <c r="E5" s="585"/>
      <c r="F5" s="585"/>
      <c r="G5" s="585"/>
      <c r="H5" s="585"/>
      <c r="I5" s="585"/>
      <c r="J5" s="585"/>
      <c r="K5" s="585"/>
      <c r="L5" s="585"/>
      <c r="M5" s="585"/>
      <c r="N5" s="585"/>
      <c r="O5" s="585"/>
      <c r="P5" s="585"/>
      <c r="Q5" s="585"/>
      <c r="R5" s="585"/>
      <c r="S5" s="585"/>
      <c r="T5" s="585"/>
      <c r="U5" s="585"/>
      <c r="V5" s="585"/>
      <c r="W5" s="585"/>
      <c r="X5" s="585"/>
      <c r="Y5" s="585"/>
      <c r="Z5" s="585"/>
    </row>
    <row r="6" ht="15.75" customHeight="1">
      <c r="A6" s="585"/>
      <c r="B6" s="585"/>
      <c r="C6" s="585"/>
      <c r="D6" s="585"/>
      <c r="E6" s="585"/>
      <c r="F6" s="585"/>
      <c r="G6" s="585"/>
      <c r="H6" s="585"/>
      <c r="I6" s="585"/>
      <c r="J6" s="585"/>
      <c r="K6" s="585"/>
      <c r="L6" s="585"/>
      <c r="M6" s="585"/>
      <c r="N6" s="585"/>
      <c r="O6" s="585"/>
      <c r="P6" s="585"/>
      <c r="Q6" s="585"/>
      <c r="R6" s="585"/>
      <c r="S6" s="585"/>
      <c r="T6" s="585"/>
      <c r="U6" s="585"/>
      <c r="V6" s="585"/>
      <c r="W6" s="585"/>
      <c r="X6" s="585"/>
      <c r="Y6" s="585"/>
      <c r="Z6" s="585"/>
    </row>
    <row r="7" ht="15.75" customHeight="1">
      <c r="A7" s="585"/>
      <c r="B7" s="585"/>
      <c r="C7" s="585"/>
      <c r="D7" s="585"/>
      <c r="E7" s="585"/>
      <c r="F7" s="585"/>
      <c r="G7" s="585"/>
      <c r="H7" s="585"/>
      <c r="I7" s="585"/>
      <c r="J7" s="585"/>
      <c r="K7" s="585"/>
      <c r="L7" s="585"/>
      <c r="M7" s="585"/>
      <c r="N7" s="585"/>
      <c r="O7" s="585"/>
      <c r="P7" s="585"/>
      <c r="Q7" s="585"/>
      <c r="R7" s="585"/>
      <c r="S7" s="585"/>
      <c r="T7" s="585"/>
      <c r="U7" s="585"/>
      <c r="V7" s="585"/>
      <c r="W7" s="585"/>
      <c r="X7" s="585"/>
      <c r="Y7" s="585"/>
      <c r="Z7" s="585"/>
    </row>
    <row r="8" ht="15.75" customHeight="1">
      <c r="A8" s="585"/>
      <c r="B8" s="585"/>
      <c r="C8" s="585"/>
      <c r="D8" s="585"/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</row>
    <row r="9" ht="15.75" customHeight="1">
      <c r="A9" s="585"/>
      <c r="B9" s="585"/>
      <c r="C9" s="585"/>
      <c r="D9" s="585"/>
      <c r="E9" s="585"/>
      <c r="F9" s="585"/>
      <c r="G9" s="585"/>
      <c r="H9" s="585"/>
      <c r="I9" s="585"/>
      <c r="J9" s="585"/>
      <c r="K9" s="585"/>
      <c r="L9" s="585"/>
      <c r="M9" s="585"/>
      <c r="N9" s="585"/>
      <c r="O9" s="585"/>
      <c r="P9" s="585"/>
      <c r="Q9" s="585"/>
      <c r="R9" s="585"/>
      <c r="S9" s="585"/>
      <c r="T9" s="585"/>
      <c r="U9" s="585"/>
      <c r="V9" s="585"/>
      <c r="W9" s="585"/>
      <c r="X9" s="585"/>
      <c r="Y9" s="585"/>
      <c r="Z9" s="585"/>
    </row>
    <row r="10" ht="15.75" customHeight="1">
      <c r="A10" s="585"/>
      <c r="B10" s="585"/>
      <c r="C10" s="585"/>
      <c r="D10" s="585"/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5"/>
      <c r="P10" s="585"/>
      <c r="Q10" s="585"/>
      <c r="R10" s="585"/>
      <c r="S10" s="585"/>
      <c r="T10" s="585"/>
      <c r="U10" s="585"/>
      <c r="V10" s="585"/>
      <c r="W10" s="585"/>
      <c r="X10" s="585"/>
      <c r="Y10" s="585"/>
      <c r="Z10" s="585"/>
    </row>
    <row r="11" ht="15.75" customHeight="1">
      <c r="A11" s="585"/>
      <c r="B11" s="585"/>
      <c r="C11" s="585"/>
      <c r="D11" s="585"/>
      <c r="E11" s="585"/>
      <c r="F11" s="585"/>
      <c r="G11" s="585"/>
      <c r="H11" s="585"/>
      <c r="I11" s="585"/>
      <c r="J11" s="585"/>
      <c r="K11" s="585"/>
      <c r="L11" s="585"/>
      <c r="M11" s="585"/>
      <c r="N11" s="585"/>
      <c r="O11" s="585"/>
      <c r="P11" s="585"/>
      <c r="Q11" s="585"/>
      <c r="R11" s="585"/>
      <c r="S11" s="585"/>
      <c r="T11" s="585"/>
      <c r="U11" s="585"/>
      <c r="V11" s="585"/>
      <c r="W11" s="585"/>
      <c r="X11" s="585"/>
      <c r="Y11" s="585"/>
      <c r="Z11" s="585"/>
    </row>
    <row r="12" ht="15.75" customHeight="1">
      <c r="A12" s="585"/>
      <c r="B12" s="585"/>
      <c r="C12" s="585"/>
      <c r="D12" s="585"/>
      <c r="E12" s="585"/>
      <c r="F12" s="585"/>
      <c r="G12" s="585"/>
      <c r="H12" s="585"/>
      <c r="I12" s="585"/>
      <c r="J12" s="585"/>
      <c r="K12" s="585"/>
      <c r="L12" s="585"/>
      <c r="M12" s="585"/>
      <c r="N12" s="585"/>
      <c r="O12" s="585"/>
      <c r="P12" s="585"/>
      <c r="Q12" s="585"/>
      <c r="R12" s="585"/>
      <c r="S12" s="585"/>
      <c r="T12" s="585"/>
      <c r="U12" s="585"/>
      <c r="V12" s="585"/>
      <c r="W12" s="585"/>
      <c r="X12" s="585"/>
      <c r="Y12" s="585"/>
      <c r="Z12" s="585"/>
    </row>
    <row r="13" ht="15.75" customHeight="1">
      <c r="A13" s="585"/>
      <c r="B13" s="585"/>
      <c r="C13" s="585"/>
      <c r="D13" s="585"/>
      <c r="E13" s="585"/>
      <c r="F13" s="585"/>
      <c r="G13" s="585"/>
      <c r="H13" s="585"/>
      <c r="I13" s="585"/>
      <c r="J13" s="585"/>
      <c r="K13" s="585"/>
      <c r="L13" s="585"/>
      <c r="M13" s="585"/>
      <c r="N13" s="585"/>
      <c r="O13" s="585"/>
      <c r="P13" s="585"/>
      <c r="Q13" s="585"/>
      <c r="R13" s="585"/>
      <c r="S13" s="585"/>
      <c r="T13" s="585"/>
      <c r="U13" s="585"/>
      <c r="V13" s="585"/>
      <c r="W13" s="585"/>
      <c r="X13" s="585"/>
      <c r="Y13" s="585"/>
      <c r="Z13" s="585"/>
    </row>
    <row r="14" ht="15.75" customHeight="1">
      <c r="A14" s="585"/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5"/>
      <c r="N14" s="585"/>
      <c r="O14" s="585"/>
      <c r="P14" s="585"/>
      <c r="Q14" s="585"/>
      <c r="R14" s="585"/>
      <c r="S14" s="585"/>
      <c r="T14" s="585"/>
      <c r="U14" s="585"/>
      <c r="V14" s="585"/>
      <c r="W14" s="585"/>
      <c r="X14" s="585"/>
      <c r="Y14" s="585"/>
      <c r="Z14" s="585"/>
    </row>
    <row r="15" ht="15.75" customHeight="1">
      <c r="A15" s="585"/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Q15" s="585"/>
      <c r="R15" s="585"/>
      <c r="S15" s="585"/>
      <c r="T15" s="585"/>
      <c r="U15" s="585"/>
      <c r="V15" s="585"/>
      <c r="W15" s="585"/>
      <c r="X15" s="585"/>
      <c r="Y15" s="585"/>
      <c r="Z15" s="585"/>
    </row>
    <row r="16" ht="15.75" customHeight="1">
      <c r="A16" s="585"/>
      <c r="B16" s="585"/>
      <c r="C16" s="585"/>
      <c r="D16" s="585"/>
      <c r="E16" s="585"/>
      <c r="F16" s="585"/>
      <c r="G16" s="585"/>
      <c r="H16" s="585"/>
      <c r="I16" s="585"/>
      <c r="J16" s="585"/>
      <c r="K16" s="585"/>
      <c r="L16" s="585"/>
      <c r="M16" s="585"/>
      <c r="N16" s="585"/>
      <c r="O16" s="585"/>
      <c r="P16" s="585"/>
      <c r="Q16" s="585"/>
      <c r="R16" s="585"/>
      <c r="S16" s="585"/>
      <c r="T16" s="585"/>
      <c r="U16" s="585"/>
      <c r="V16" s="585"/>
      <c r="W16" s="585"/>
      <c r="X16" s="585"/>
      <c r="Y16" s="585"/>
      <c r="Z16" s="585"/>
    </row>
    <row r="17" ht="15.75" customHeight="1">
      <c r="A17" s="585"/>
      <c r="B17" s="585"/>
      <c r="C17" s="585"/>
      <c r="D17" s="585"/>
      <c r="E17" s="585"/>
      <c r="F17" s="585"/>
      <c r="G17" s="585"/>
      <c r="H17" s="585"/>
      <c r="I17" s="585"/>
      <c r="J17" s="585"/>
      <c r="K17" s="585"/>
      <c r="L17" s="585"/>
      <c r="M17" s="585"/>
      <c r="N17" s="585"/>
      <c r="O17" s="585"/>
      <c r="P17" s="585"/>
      <c r="Q17" s="585"/>
      <c r="R17" s="585"/>
      <c r="S17" s="585"/>
      <c r="T17" s="585"/>
      <c r="U17" s="585"/>
      <c r="V17" s="585"/>
      <c r="W17" s="585"/>
      <c r="X17" s="585"/>
      <c r="Y17" s="585"/>
      <c r="Z17" s="585"/>
    </row>
    <row r="18" ht="15.75" customHeight="1">
      <c r="A18" s="585"/>
      <c r="B18" s="585"/>
      <c r="C18" s="585"/>
      <c r="D18" s="585"/>
      <c r="E18" s="58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85"/>
      <c r="Q18" s="585"/>
      <c r="R18" s="585"/>
      <c r="S18" s="585"/>
      <c r="T18" s="585"/>
      <c r="U18" s="585"/>
      <c r="V18" s="585"/>
      <c r="W18" s="585"/>
      <c r="X18" s="585"/>
      <c r="Y18" s="585"/>
      <c r="Z18" s="585"/>
    </row>
    <row r="19" ht="15.75" customHeight="1">
      <c r="A19" s="585"/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</row>
    <row r="20" ht="15.75" customHeight="1">
      <c r="A20" s="585"/>
      <c r="B20" s="585"/>
      <c r="C20" s="585"/>
      <c r="D20" s="585"/>
      <c r="E20" s="585"/>
      <c r="F20" s="585"/>
      <c r="G20" s="585"/>
      <c r="H20" s="585"/>
      <c r="I20" s="585"/>
      <c r="J20" s="585"/>
      <c r="K20" s="585"/>
      <c r="L20" s="585"/>
      <c r="M20" s="585"/>
      <c r="N20" s="585"/>
      <c r="O20" s="585"/>
      <c r="P20" s="585"/>
      <c r="Q20" s="585"/>
      <c r="R20" s="585"/>
      <c r="S20" s="585"/>
      <c r="T20" s="585"/>
      <c r="U20" s="585"/>
      <c r="V20" s="585"/>
      <c r="W20" s="585"/>
      <c r="X20" s="585"/>
      <c r="Y20" s="585"/>
      <c r="Z20" s="585"/>
    </row>
    <row r="21" ht="15.75" customHeight="1">
      <c r="A21" s="585"/>
      <c r="B21" s="585"/>
      <c r="C21" s="585"/>
      <c r="D21" s="585"/>
      <c r="E21" s="585"/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85"/>
      <c r="Q21" s="585"/>
      <c r="R21" s="585"/>
      <c r="S21" s="585"/>
      <c r="T21" s="585"/>
      <c r="U21" s="585"/>
      <c r="V21" s="585"/>
      <c r="W21" s="585"/>
      <c r="X21" s="585"/>
      <c r="Y21" s="585"/>
      <c r="Z21" s="585"/>
    </row>
    <row r="22" ht="15.75" customHeight="1">
      <c r="A22" s="585"/>
      <c r="B22" s="585"/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5"/>
      <c r="N22" s="585"/>
      <c r="O22" s="585"/>
      <c r="P22" s="585"/>
      <c r="Q22" s="585"/>
      <c r="R22" s="585"/>
      <c r="S22" s="585"/>
      <c r="T22" s="585"/>
      <c r="U22" s="585"/>
      <c r="V22" s="585"/>
      <c r="W22" s="585"/>
      <c r="X22" s="585"/>
      <c r="Y22" s="585"/>
      <c r="Z22" s="585"/>
    </row>
    <row r="23" ht="15.75" customHeight="1">
      <c r="A23" s="585"/>
      <c r="B23" s="585"/>
      <c r="C23" s="585"/>
      <c r="D23" s="585"/>
      <c r="E23" s="585"/>
      <c r="F23" s="585"/>
      <c r="G23" s="585"/>
      <c r="H23" s="585"/>
      <c r="I23" s="585"/>
      <c r="J23" s="585"/>
      <c r="K23" s="585"/>
      <c r="L23" s="585"/>
      <c r="M23" s="585"/>
      <c r="N23" s="585"/>
      <c r="O23" s="585"/>
      <c r="P23" s="585"/>
      <c r="Q23" s="585"/>
      <c r="R23" s="585"/>
      <c r="S23" s="585"/>
      <c r="T23" s="585"/>
      <c r="U23" s="585"/>
      <c r="V23" s="585"/>
      <c r="W23" s="585"/>
      <c r="X23" s="585"/>
      <c r="Y23" s="585"/>
      <c r="Z23" s="585"/>
    </row>
    <row r="24" ht="15.75" customHeight="1">
      <c r="A24" s="585"/>
      <c r="B24" s="585"/>
      <c r="C24" s="585"/>
      <c r="D24" s="585"/>
      <c r="E24" s="585"/>
      <c r="F24" s="585"/>
      <c r="G24" s="585"/>
      <c r="H24" s="585"/>
      <c r="I24" s="585"/>
      <c r="J24" s="585"/>
      <c r="K24" s="585"/>
      <c r="L24" s="585"/>
      <c r="M24" s="585"/>
      <c r="N24" s="585"/>
      <c r="O24" s="585"/>
      <c r="P24" s="585"/>
      <c r="Q24" s="585"/>
      <c r="R24" s="585"/>
      <c r="S24" s="585"/>
      <c r="T24" s="585"/>
      <c r="U24" s="585"/>
      <c r="V24" s="585"/>
      <c r="W24" s="585"/>
      <c r="X24" s="585"/>
      <c r="Y24" s="585"/>
      <c r="Z24" s="585"/>
    </row>
    <row r="25" ht="15.75" customHeight="1">
      <c r="A25" s="585"/>
      <c r="B25" s="585"/>
      <c r="C25" s="585"/>
      <c r="D25" s="585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85"/>
      <c r="Q25" s="585"/>
      <c r="R25" s="585"/>
      <c r="S25" s="585"/>
      <c r="T25" s="585"/>
      <c r="U25" s="585"/>
      <c r="V25" s="585"/>
      <c r="W25" s="585"/>
      <c r="X25" s="585"/>
      <c r="Y25" s="585"/>
      <c r="Z25" s="585"/>
    </row>
    <row r="26" ht="15.75" customHeight="1">
      <c r="A26" s="585"/>
      <c r="B26" s="585"/>
      <c r="C26" s="585"/>
      <c r="D26" s="585"/>
      <c r="E26" s="585"/>
      <c r="F26" s="585"/>
      <c r="G26" s="585"/>
      <c r="H26" s="585"/>
      <c r="I26" s="585"/>
      <c r="J26" s="585"/>
      <c r="K26" s="585"/>
      <c r="L26" s="585"/>
      <c r="M26" s="585"/>
      <c r="N26" s="585"/>
      <c r="O26" s="585"/>
      <c r="P26" s="585"/>
      <c r="Q26" s="585"/>
      <c r="R26" s="585"/>
      <c r="S26" s="585"/>
      <c r="T26" s="585"/>
      <c r="U26" s="585"/>
      <c r="V26" s="585"/>
      <c r="W26" s="585"/>
      <c r="X26" s="585"/>
      <c r="Y26" s="585"/>
      <c r="Z26" s="585"/>
    </row>
    <row r="27" ht="15.75" customHeight="1">
      <c r="A27" s="585"/>
      <c r="B27" s="585"/>
      <c r="C27" s="585"/>
      <c r="D27" s="585"/>
      <c r="E27" s="585"/>
      <c r="F27" s="585"/>
      <c r="G27" s="585"/>
      <c r="H27" s="585"/>
      <c r="I27" s="585"/>
      <c r="J27" s="585"/>
      <c r="K27" s="585"/>
      <c r="L27" s="585"/>
      <c r="M27" s="585"/>
      <c r="N27" s="585"/>
      <c r="O27" s="585"/>
      <c r="P27" s="585"/>
      <c r="Q27" s="585"/>
      <c r="R27" s="585"/>
      <c r="S27" s="585"/>
      <c r="T27" s="585"/>
      <c r="U27" s="585"/>
      <c r="V27" s="585"/>
      <c r="W27" s="585"/>
      <c r="X27" s="585"/>
      <c r="Y27" s="585"/>
      <c r="Z27" s="585"/>
    </row>
    <row r="28" ht="15.75" customHeight="1">
      <c r="A28" s="585"/>
      <c r="B28" s="585"/>
      <c r="C28" s="585"/>
      <c r="D28" s="585"/>
      <c r="E28" s="585"/>
      <c r="F28" s="585"/>
      <c r="G28" s="585"/>
      <c r="H28" s="585"/>
      <c r="I28" s="585"/>
      <c r="J28" s="585"/>
      <c r="K28" s="585"/>
      <c r="L28" s="585"/>
      <c r="M28" s="585"/>
      <c r="N28" s="585"/>
      <c r="O28" s="585"/>
      <c r="P28" s="585"/>
      <c r="Q28" s="585"/>
      <c r="R28" s="585"/>
      <c r="S28" s="585"/>
      <c r="T28" s="585"/>
      <c r="U28" s="585"/>
      <c r="V28" s="585"/>
      <c r="W28" s="585"/>
      <c r="X28" s="585"/>
      <c r="Y28" s="585"/>
      <c r="Z28" s="585"/>
    </row>
    <row r="29" ht="15.75" customHeight="1">
      <c r="A29" s="585"/>
      <c r="B29" s="585"/>
      <c r="C29" s="585"/>
      <c r="D29" s="585"/>
      <c r="E29" s="585"/>
      <c r="F29" s="585"/>
      <c r="G29" s="585"/>
      <c r="H29" s="585"/>
      <c r="I29" s="585"/>
      <c r="J29" s="585"/>
      <c r="K29" s="585"/>
      <c r="L29" s="585"/>
      <c r="M29" s="585"/>
      <c r="N29" s="585"/>
      <c r="O29" s="585"/>
      <c r="P29" s="585"/>
      <c r="Q29" s="585"/>
      <c r="R29" s="585"/>
      <c r="S29" s="585"/>
      <c r="T29" s="585"/>
      <c r="U29" s="585"/>
      <c r="V29" s="585"/>
      <c r="W29" s="585"/>
      <c r="X29" s="585"/>
      <c r="Y29" s="585"/>
      <c r="Z29" s="585"/>
    </row>
    <row r="30" ht="15.75" customHeight="1">
      <c r="A30" s="585"/>
      <c r="B30" s="585"/>
      <c r="C30" s="585"/>
      <c r="D30" s="585"/>
      <c r="E30" s="585"/>
      <c r="F30" s="585"/>
      <c r="G30" s="585"/>
      <c r="H30" s="585"/>
      <c r="I30" s="585"/>
      <c r="J30" s="585"/>
      <c r="K30" s="585"/>
      <c r="L30" s="585"/>
      <c r="M30" s="585"/>
      <c r="N30" s="585"/>
      <c r="O30" s="585"/>
      <c r="P30" s="585"/>
      <c r="Q30" s="585"/>
      <c r="R30" s="585"/>
      <c r="S30" s="585"/>
      <c r="T30" s="585"/>
      <c r="U30" s="585"/>
      <c r="V30" s="585"/>
      <c r="W30" s="585"/>
      <c r="X30" s="585"/>
      <c r="Y30" s="585"/>
      <c r="Z30" s="585"/>
    </row>
    <row r="31" ht="15.75" customHeight="1">
      <c r="A31" s="585"/>
      <c r="B31" s="585"/>
      <c r="C31" s="585"/>
      <c r="D31" s="585"/>
      <c r="E31" s="585"/>
      <c r="F31" s="585"/>
      <c r="G31" s="585"/>
      <c r="H31" s="585"/>
      <c r="I31" s="585"/>
      <c r="J31" s="585"/>
      <c r="K31" s="585"/>
      <c r="L31" s="585"/>
      <c r="M31" s="585"/>
      <c r="N31" s="585"/>
      <c r="O31" s="585"/>
      <c r="P31" s="585"/>
      <c r="Q31" s="585"/>
      <c r="R31" s="585"/>
      <c r="S31" s="585"/>
      <c r="T31" s="585"/>
      <c r="U31" s="585"/>
      <c r="V31" s="585"/>
      <c r="W31" s="585"/>
      <c r="X31" s="585"/>
      <c r="Y31" s="585"/>
      <c r="Z31" s="585"/>
    </row>
    <row r="32" ht="15.75" customHeight="1">
      <c r="A32" s="585"/>
      <c r="B32" s="585"/>
      <c r="C32" s="585"/>
      <c r="D32" s="585"/>
      <c r="E32" s="585"/>
      <c r="F32" s="585"/>
      <c r="G32" s="585"/>
      <c r="H32" s="585"/>
      <c r="I32" s="585"/>
      <c r="J32" s="585"/>
      <c r="K32" s="585"/>
      <c r="L32" s="585"/>
      <c r="M32" s="585"/>
      <c r="N32" s="585"/>
      <c r="O32" s="585"/>
      <c r="P32" s="585"/>
      <c r="Q32" s="585"/>
      <c r="R32" s="585"/>
      <c r="S32" s="585"/>
      <c r="T32" s="585"/>
      <c r="U32" s="585"/>
      <c r="V32" s="585"/>
      <c r="W32" s="585"/>
      <c r="X32" s="585"/>
      <c r="Y32" s="585"/>
      <c r="Z32" s="585"/>
    </row>
    <row r="33" ht="15.75" customHeight="1">
      <c r="A33" s="585"/>
      <c r="B33" s="585"/>
      <c r="C33" s="585"/>
      <c r="D33" s="585"/>
      <c r="E33" s="585"/>
      <c r="F33" s="585"/>
      <c r="G33" s="585"/>
      <c r="H33" s="585"/>
      <c r="I33" s="585"/>
      <c r="J33" s="585"/>
      <c r="K33" s="585"/>
      <c r="L33" s="585"/>
      <c r="M33" s="585"/>
      <c r="N33" s="585"/>
      <c r="O33" s="585"/>
      <c r="P33" s="585"/>
      <c r="Q33" s="585"/>
      <c r="R33" s="585"/>
      <c r="S33" s="585"/>
      <c r="T33" s="585"/>
      <c r="U33" s="585"/>
      <c r="V33" s="585"/>
      <c r="W33" s="585"/>
      <c r="X33" s="585"/>
      <c r="Y33" s="585"/>
      <c r="Z33" s="585"/>
    </row>
    <row r="34" ht="15.75" customHeight="1">
      <c r="A34" s="585"/>
      <c r="B34" s="585"/>
      <c r="C34" s="585"/>
      <c r="D34" s="585"/>
      <c r="E34" s="585"/>
      <c r="F34" s="585"/>
      <c r="G34" s="585"/>
      <c r="H34" s="585"/>
      <c r="I34" s="585"/>
      <c r="J34" s="585"/>
      <c r="K34" s="585"/>
      <c r="L34" s="585"/>
      <c r="M34" s="585"/>
      <c r="N34" s="585"/>
      <c r="O34" s="585"/>
      <c r="P34" s="585"/>
      <c r="Q34" s="585"/>
      <c r="R34" s="585"/>
      <c r="S34" s="585"/>
      <c r="T34" s="585"/>
      <c r="U34" s="585"/>
      <c r="V34" s="585"/>
      <c r="W34" s="585"/>
      <c r="X34" s="585"/>
      <c r="Y34" s="585"/>
      <c r="Z34" s="585"/>
    </row>
    <row r="35" ht="15.75" customHeight="1">
      <c r="A35" s="585"/>
      <c r="B35" s="585"/>
      <c r="C35" s="585"/>
      <c r="D35" s="585"/>
      <c r="E35" s="585"/>
      <c r="F35" s="585"/>
      <c r="G35" s="585"/>
      <c r="H35" s="585"/>
      <c r="I35" s="585"/>
      <c r="J35" s="585"/>
      <c r="K35" s="585"/>
      <c r="L35" s="585"/>
      <c r="M35" s="585"/>
      <c r="N35" s="585"/>
      <c r="O35" s="585"/>
      <c r="P35" s="585"/>
      <c r="Q35" s="585"/>
      <c r="R35" s="585"/>
      <c r="S35" s="585"/>
      <c r="T35" s="585"/>
      <c r="U35" s="585"/>
      <c r="V35" s="585"/>
      <c r="W35" s="585"/>
      <c r="X35" s="585"/>
      <c r="Y35" s="585"/>
      <c r="Z35" s="585"/>
    </row>
    <row r="36" ht="15.75" customHeight="1">
      <c r="A36" s="585"/>
      <c r="B36" s="585"/>
      <c r="C36" s="585"/>
      <c r="D36" s="585"/>
      <c r="E36" s="585"/>
      <c r="F36" s="585"/>
      <c r="G36" s="585"/>
      <c r="H36" s="585"/>
      <c r="I36" s="585"/>
      <c r="J36" s="585"/>
      <c r="K36" s="585"/>
      <c r="L36" s="585"/>
      <c r="M36" s="585"/>
      <c r="N36" s="585"/>
      <c r="O36" s="585"/>
      <c r="P36" s="585"/>
      <c r="Q36" s="585"/>
      <c r="R36" s="585"/>
      <c r="S36" s="585"/>
      <c r="T36" s="585"/>
      <c r="U36" s="585"/>
      <c r="V36" s="585"/>
      <c r="W36" s="585"/>
      <c r="X36" s="585"/>
      <c r="Y36" s="585"/>
      <c r="Z36" s="585"/>
    </row>
    <row r="37" ht="15.75" customHeight="1">
      <c r="A37" s="585"/>
      <c r="B37" s="585"/>
      <c r="C37" s="585"/>
      <c r="D37" s="585"/>
      <c r="E37" s="585"/>
      <c r="F37" s="585"/>
      <c r="G37" s="585"/>
      <c r="H37" s="585"/>
      <c r="I37" s="585"/>
      <c r="J37" s="585"/>
      <c r="K37" s="585"/>
      <c r="L37" s="585"/>
      <c r="M37" s="585"/>
      <c r="N37" s="585"/>
      <c r="O37" s="585"/>
      <c r="P37" s="585"/>
      <c r="Q37" s="585"/>
      <c r="R37" s="585"/>
      <c r="S37" s="585"/>
      <c r="T37" s="585"/>
      <c r="U37" s="585"/>
      <c r="V37" s="585"/>
      <c r="W37" s="585"/>
      <c r="X37" s="585"/>
      <c r="Y37" s="585"/>
      <c r="Z37" s="585"/>
    </row>
    <row r="38" ht="15.75" customHeight="1">
      <c r="A38" s="585"/>
      <c r="B38" s="585"/>
      <c r="C38" s="585"/>
      <c r="D38" s="585"/>
      <c r="E38" s="585"/>
      <c r="F38" s="585"/>
      <c r="G38" s="585"/>
      <c r="H38" s="585"/>
      <c r="I38" s="585"/>
      <c r="J38" s="585"/>
      <c r="K38" s="585"/>
      <c r="L38" s="585"/>
      <c r="M38" s="585"/>
      <c r="N38" s="585"/>
      <c r="O38" s="585"/>
      <c r="P38" s="585"/>
      <c r="Q38" s="585"/>
      <c r="R38" s="585"/>
      <c r="S38" s="585"/>
      <c r="T38" s="585"/>
      <c r="U38" s="585"/>
      <c r="V38" s="585"/>
      <c r="W38" s="585"/>
      <c r="X38" s="585"/>
      <c r="Y38" s="585"/>
      <c r="Z38" s="585"/>
    </row>
    <row r="39" ht="15.75" customHeight="1">
      <c r="A39" s="585"/>
      <c r="B39" s="585"/>
      <c r="C39" s="585"/>
      <c r="D39" s="585"/>
      <c r="E39" s="585"/>
      <c r="F39" s="585"/>
      <c r="G39" s="585"/>
      <c r="H39" s="585"/>
      <c r="I39" s="585"/>
      <c r="J39" s="585"/>
      <c r="K39" s="585"/>
      <c r="L39" s="585"/>
      <c r="M39" s="585"/>
      <c r="N39" s="585"/>
      <c r="O39" s="585"/>
      <c r="P39" s="585"/>
      <c r="Q39" s="585"/>
      <c r="R39" s="585"/>
      <c r="S39" s="585"/>
      <c r="T39" s="585"/>
      <c r="U39" s="585"/>
      <c r="V39" s="585"/>
      <c r="W39" s="585"/>
      <c r="X39" s="585"/>
      <c r="Y39" s="585"/>
      <c r="Z39" s="585"/>
    </row>
    <row r="40" ht="15.75" customHeight="1">
      <c r="A40" s="585"/>
      <c r="B40" s="585"/>
      <c r="C40" s="585"/>
      <c r="D40" s="585"/>
      <c r="E40" s="585"/>
      <c r="F40" s="585"/>
      <c r="G40" s="585"/>
      <c r="H40" s="585"/>
      <c r="I40" s="585"/>
      <c r="J40" s="585"/>
      <c r="K40" s="585"/>
      <c r="L40" s="585"/>
      <c r="M40" s="585"/>
      <c r="N40" s="585"/>
      <c r="O40" s="585"/>
      <c r="P40" s="585"/>
      <c r="Q40" s="585"/>
      <c r="R40" s="585"/>
      <c r="S40" s="585"/>
      <c r="T40" s="585"/>
      <c r="U40" s="585"/>
      <c r="V40" s="585"/>
      <c r="W40" s="585"/>
      <c r="X40" s="585"/>
      <c r="Y40" s="585"/>
      <c r="Z40" s="585"/>
    </row>
    <row r="41" ht="15.75" customHeight="1">
      <c r="A41" s="585"/>
      <c r="B41" s="585"/>
      <c r="C41" s="585"/>
      <c r="D41" s="585"/>
      <c r="E41" s="585"/>
      <c r="F41" s="585"/>
      <c r="G41" s="585"/>
      <c r="H41" s="585"/>
      <c r="I41" s="585"/>
      <c r="J41" s="585"/>
      <c r="K41" s="585"/>
      <c r="L41" s="585"/>
      <c r="M41" s="585"/>
      <c r="N41" s="585"/>
      <c r="O41" s="585"/>
      <c r="P41" s="585"/>
      <c r="Q41" s="585"/>
      <c r="R41" s="585"/>
      <c r="S41" s="585"/>
      <c r="T41" s="585"/>
      <c r="U41" s="585"/>
      <c r="V41" s="585"/>
      <c r="W41" s="585"/>
      <c r="X41" s="585"/>
      <c r="Y41" s="585"/>
      <c r="Z41" s="585"/>
    </row>
    <row r="42" ht="15.75" customHeight="1">
      <c r="A42" s="585"/>
      <c r="B42" s="585"/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5"/>
      <c r="N42" s="585"/>
      <c r="O42" s="585"/>
      <c r="P42" s="585"/>
      <c r="Q42" s="585"/>
      <c r="R42" s="585"/>
      <c r="S42" s="585"/>
      <c r="T42" s="585"/>
      <c r="U42" s="585"/>
      <c r="V42" s="585"/>
      <c r="W42" s="585"/>
      <c r="X42" s="585"/>
      <c r="Y42" s="585"/>
      <c r="Z42" s="585"/>
    </row>
    <row r="43" ht="15.75" customHeight="1">
      <c r="A43" s="585"/>
      <c r="B43" s="585"/>
      <c r="C43" s="585"/>
      <c r="D43" s="585"/>
      <c r="E43" s="585"/>
      <c r="F43" s="585"/>
      <c r="G43" s="585"/>
      <c r="H43" s="585"/>
      <c r="I43" s="585"/>
      <c r="J43" s="585"/>
      <c r="K43" s="585"/>
      <c r="L43" s="585"/>
      <c r="M43" s="585"/>
      <c r="N43" s="585"/>
      <c r="O43" s="585"/>
      <c r="P43" s="585"/>
      <c r="Q43" s="585"/>
      <c r="R43" s="585"/>
      <c r="S43" s="585"/>
      <c r="T43" s="585"/>
      <c r="U43" s="585"/>
      <c r="V43" s="585"/>
      <c r="W43" s="585"/>
      <c r="X43" s="585"/>
      <c r="Y43" s="585"/>
      <c r="Z43" s="585"/>
    </row>
    <row r="44" ht="15.75" customHeight="1">
      <c r="A44" s="585"/>
      <c r="B44" s="585"/>
      <c r="C44" s="585"/>
      <c r="D44" s="585"/>
      <c r="E44" s="585"/>
      <c r="F44" s="585"/>
      <c r="G44" s="585"/>
      <c r="H44" s="585"/>
      <c r="I44" s="585"/>
      <c r="J44" s="585"/>
      <c r="K44" s="585"/>
      <c r="L44" s="585"/>
      <c r="M44" s="585"/>
      <c r="N44" s="585"/>
      <c r="O44" s="585"/>
      <c r="P44" s="585"/>
      <c r="Q44" s="585"/>
      <c r="R44" s="585"/>
      <c r="S44" s="585"/>
      <c r="T44" s="585"/>
      <c r="U44" s="585"/>
      <c r="V44" s="585"/>
      <c r="W44" s="585"/>
      <c r="X44" s="585"/>
      <c r="Y44" s="585"/>
      <c r="Z44" s="585"/>
    </row>
    <row r="45" ht="15.75" customHeight="1">
      <c r="A45" s="585"/>
      <c r="B45" s="585"/>
      <c r="C45" s="585"/>
      <c r="D45" s="585"/>
      <c r="E45" s="585"/>
      <c r="F45" s="585"/>
      <c r="G45" s="585"/>
      <c r="H45" s="585"/>
      <c r="I45" s="585"/>
      <c r="J45" s="585"/>
      <c r="K45" s="585"/>
      <c r="L45" s="585"/>
      <c r="M45" s="585"/>
      <c r="N45" s="585"/>
      <c r="O45" s="585"/>
      <c r="P45" s="585"/>
      <c r="Q45" s="585"/>
      <c r="R45" s="585"/>
      <c r="S45" s="585"/>
      <c r="T45" s="585"/>
      <c r="U45" s="585"/>
      <c r="V45" s="585"/>
      <c r="W45" s="585"/>
      <c r="X45" s="585"/>
      <c r="Y45" s="585"/>
      <c r="Z45" s="585"/>
    </row>
    <row r="46" ht="15.75" customHeight="1">
      <c r="A46" s="585"/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5"/>
      <c r="P46" s="585"/>
      <c r="Q46" s="585"/>
      <c r="R46" s="585"/>
      <c r="S46" s="585"/>
      <c r="T46" s="585"/>
      <c r="U46" s="585"/>
      <c r="V46" s="585"/>
      <c r="W46" s="585"/>
      <c r="X46" s="585"/>
      <c r="Y46" s="585"/>
      <c r="Z46" s="585"/>
    </row>
    <row r="47" ht="15.75" customHeight="1">
      <c r="A47" s="585"/>
      <c r="B47" s="585"/>
      <c r="C47" s="585"/>
      <c r="D47" s="585"/>
      <c r="E47" s="585"/>
      <c r="F47" s="585"/>
      <c r="G47" s="585"/>
      <c r="H47" s="585"/>
      <c r="I47" s="585"/>
      <c r="J47" s="585"/>
      <c r="K47" s="585"/>
      <c r="L47" s="585"/>
      <c r="M47" s="585"/>
      <c r="N47" s="585"/>
      <c r="O47" s="585"/>
      <c r="P47" s="585"/>
      <c r="Q47" s="585"/>
      <c r="R47" s="585"/>
      <c r="S47" s="585"/>
      <c r="T47" s="585"/>
      <c r="U47" s="585"/>
      <c r="V47" s="585"/>
      <c r="W47" s="585"/>
      <c r="X47" s="585"/>
      <c r="Y47" s="585"/>
      <c r="Z47" s="585"/>
    </row>
    <row r="48" ht="15.75" customHeight="1">
      <c r="A48" s="585"/>
      <c r="B48" s="585"/>
      <c r="C48" s="585"/>
      <c r="D48" s="585"/>
      <c r="E48" s="585"/>
      <c r="F48" s="585"/>
      <c r="G48" s="585"/>
      <c r="H48" s="585"/>
      <c r="I48" s="585"/>
      <c r="J48" s="585"/>
      <c r="K48" s="585"/>
      <c r="L48" s="585"/>
      <c r="M48" s="585"/>
      <c r="N48" s="585"/>
      <c r="O48" s="585"/>
      <c r="P48" s="585"/>
      <c r="Q48" s="585"/>
      <c r="R48" s="585"/>
      <c r="S48" s="585"/>
      <c r="T48" s="585"/>
      <c r="U48" s="585"/>
      <c r="V48" s="585"/>
      <c r="W48" s="585"/>
      <c r="X48" s="585"/>
      <c r="Y48" s="585"/>
      <c r="Z48" s="585"/>
    </row>
    <row r="49" ht="15.75" customHeight="1">
      <c r="A49" s="585"/>
      <c r="B49" s="585"/>
      <c r="C49" s="585"/>
      <c r="D49" s="585"/>
      <c r="E49" s="585"/>
      <c r="F49" s="585"/>
      <c r="G49" s="585"/>
      <c r="H49" s="585"/>
      <c r="I49" s="585"/>
      <c r="J49" s="585"/>
      <c r="K49" s="585"/>
      <c r="L49" s="585"/>
      <c r="M49" s="585"/>
      <c r="N49" s="585"/>
      <c r="O49" s="585"/>
      <c r="P49" s="585"/>
      <c r="Q49" s="585"/>
      <c r="R49" s="585"/>
      <c r="S49" s="585"/>
      <c r="T49" s="585"/>
      <c r="U49" s="585"/>
      <c r="V49" s="585"/>
      <c r="W49" s="585"/>
      <c r="X49" s="585"/>
      <c r="Y49" s="585"/>
      <c r="Z49" s="585"/>
    </row>
    <row r="50" ht="15.75" customHeight="1">
      <c r="A50" s="585"/>
      <c r="B50" s="585"/>
      <c r="C50" s="585"/>
      <c r="D50" s="585"/>
      <c r="E50" s="585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5"/>
      <c r="R50" s="585"/>
      <c r="S50" s="585"/>
      <c r="T50" s="585"/>
      <c r="U50" s="585"/>
      <c r="V50" s="585"/>
      <c r="W50" s="585"/>
      <c r="X50" s="585"/>
      <c r="Y50" s="585"/>
      <c r="Z50" s="585"/>
    </row>
    <row r="51" ht="15.75" customHeight="1">
      <c r="A51" s="585"/>
      <c r="B51" s="585"/>
      <c r="C51" s="585"/>
      <c r="D51" s="585"/>
      <c r="E51" s="585"/>
      <c r="F51" s="585"/>
      <c r="G51" s="585"/>
      <c r="H51" s="585"/>
      <c r="I51" s="585"/>
      <c r="J51" s="585"/>
      <c r="K51" s="585"/>
      <c r="L51" s="585"/>
      <c r="M51" s="585"/>
      <c r="N51" s="585"/>
      <c r="O51" s="585"/>
      <c r="P51" s="585"/>
      <c r="Q51" s="585"/>
      <c r="R51" s="585"/>
      <c r="S51" s="585"/>
      <c r="T51" s="585"/>
      <c r="U51" s="585"/>
      <c r="V51" s="585"/>
      <c r="W51" s="585"/>
      <c r="X51" s="585"/>
      <c r="Y51" s="585"/>
      <c r="Z51" s="585"/>
    </row>
    <row r="52" ht="15.75" customHeight="1">
      <c r="A52" s="585"/>
      <c r="B52" s="585"/>
      <c r="C52" s="585"/>
      <c r="D52" s="585"/>
      <c r="E52" s="585"/>
      <c r="F52" s="585"/>
      <c r="G52" s="585"/>
      <c r="H52" s="585"/>
      <c r="I52" s="585"/>
      <c r="J52" s="585"/>
      <c r="K52" s="585"/>
      <c r="L52" s="585"/>
      <c r="M52" s="585"/>
      <c r="N52" s="585"/>
      <c r="O52" s="585"/>
      <c r="P52" s="585"/>
      <c r="Q52" s="585"/>
      <c r="R52" s="585"/>
      <c r="S52" s="585"/>
      <c r="T52" s="585"/>
      <c r="U52" s="585"/>
      <c r="V52" s="585"/>
      <c r="W52" s="585"/>
      <c r="X52" s="585"/>
      <c r="Y52" s="585"/>
      <c r="Z52" s="585"/>
    </row>
    <row r="53" ht="15.75" customHeight="1">
      <c r="A53" s="585"/>
      <c r="B53" s="585"/>
      <c r="C53" s="585"/>
      <c r="D53" s="585"/>
      <c r="E53" s="585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85"/>
      <c r="Q53" s="585"/>
      <c r="R53" s="585"/>
      <c r="S53" s="585"/>
      <c r="T53" s="585"/>
      <c r="U53" s="585"/>
      <c r="V53" s="585"/>
      <c r="W53" s="585"/>
      <c r="X53" s="585"/>
      <c r="Y53" s="585"/>
      <c r="Z53" s="585"/>
    </row>
    <row r="54" ht="15.75" customHeight="1">
      <c r="A54" s="585"/>
      <c r="B54" s="585"/>
      <c r="C54" s="585"/>
      <c r="D54" s="585"/>
      <c r="E54" s="585"/>
      <c r="F54" s="585"/>
      <c r="G54" s="585"/>
      <c r="H54" s="585"/>
      <c r="I54" s="585"/>
      <c r="J54" s="585"/>
      <c r="K54" s="585"/>
      <c r="L54" s="585"/>
      <c r="M54" s="585"/>
      <c r="N54" s="585"/>
      <c r="O54" s="585"/>
      <c r="P54" s="585"/>
      <c r="Q54" s="585"/>
      <c r="R54" s="585"/>
      <c r="S54" s="585"/>
      <c r="T54" s="585"/>
      <c r="U54" s="585"/>
      <c r="V54" s="585"/>
      <c r="W54" s="585"/>
      <c r="X54" s="585"/>
      <c r="Y54" s="585"/>
      <c r="Z54" s="585"/>
    </row>
    <row r="55" ht="15.75" customHeight="1">
      <c r="A55" s="585"/>
      <c r="B55" s="585"/>
      <c r="C55" s="585"/>
      <c r="D55" s="585"/>
      <c r="E55" s="585"/>
      <c r="F55" s="585"/>
      <c r="G55" s="585"/>
      <c r="H55" s="585"/>
      <c r="I55" s="585"/>
      <c r="J55" s="585"/>
      <c r="K55" s="585"/>
      <c r="L55" s="585"/>
      <c r="M55" s="585"/>
      <c r="N55" s="585"/>
      <c r="O55" s="585"/>
      <c r="P55" s="585"/>
      <c r="Q55" s="585"/>
      <c r="R55" s="585"/>
      <c r="S55" s="585"/>
      <c r="T55" s="585"/>
      <c r="U55" s="585"/>
      <c r="V55" s="585"/>
      <c r="W55" s="585"/>
      <c r="X55" s="585"/>
      <c r="Y55" s="585"/>
      <c r="Z55" s="585"/>
    </row>
    <row r="56" ht="15.75" customHeight="1">
      <c r="A56" s="585"/>
      <c r="B56" s="585"/>
      <c r="C56" s="585"/>
      <c r="D56" s="585"/>
      <c r="E56" s="585"/>
      <c r="F56" s="585"/>
      <c r="G56" s="585"/>
      <c r="H56" s="585"/>
      <c r="I56" s="585"/>
      <c r="J56" s="585"/>
      <c r="K56" s="585"/>
      <c r="L56" s="585"/>
      <c r="M56" s="585"/>
      <c r="N56" s="585"/>
      <c r="O56" s="585"/>
      <c r="P56" s="585"/>
      <c r="Q56" s="585"/>
      <c r="R56" s="585"/>
      <c r="S56" s="585"/>
      <c r="T56" s="585"/>
      <c r="U56" s="585"/>
      <c r="V56" s="585"/>
      <c r="W56" s="585"/>
      <c r="X56" s="585"/>
      <c r="Y56" s="585"/>
      <c r="Z56" s="585"/>
    </row>
    <row r="57" ht="15.75" customHeight="1">
      <c r="A57" s="585"/>
      <c r="B57" s="585"/>
      <c r="C57" s="585"/>
      <c r="D57" s="585"/>
      <c r="E57" s="585"/>
      <c r="F57" s="585"/>
      <c r="G57" s="585"/>
      <c r="H57" s="585"/>
      <c r="I57" s="585"/>
      <c r="J57" s="585"/>
      <c r="K57" s="585"/>
      <c r="L57" s="585"/>
      <c r="M57" s="585"/>
      <c r="N57" s="585"/>
      <c r="O57" s="585"/>
      <c r="P57" s="585"/>
      <c r="Q57" s="585"/>
      <c r="R57" s="585"/>
      <c r="S57" s="585"/>
      <c r="T57" s="585"/>
      <c r="U57" s="585"/>
      <c r="V57" s="585"/>
      <c r="W57" s="585"/>
      <c r="X57" s="585"/>
      <c r="Y57" s="585"/>
      <c r="Z57" s="585"/>
    </row>
    <row r="58" ht="15.75" customHeight="1">
      <c r="A58" s="585"/>
      <c r="B58" s="585"/>
      <c r="C58" s="585"/>
      <c r="D58" s="585"/>
      <c r="E58" s="585"/>
      <c r="F58" s="585"/>
      <c r="G58" s="585"/>
      <c r="H58" s="585"/>
      <c r="I58" s="585"/>
      <c r="J58" s="585"/>
      <c r="K58" s="585"/>
      <c r="L58" s="585"/>
      <c r="M58" s="585"/>
      <c r="N58" s="585"/>
      <c r="O58" s="585"/>
      <c r="P58" s="585"/>
      <c r="Q58" s="585"/>
      <c r="R58" s="585"/>
      <c r="S58" s="585"/>
      <c r="T58" s="585"/>
      <c r="U58" s="585"/>
      <c r="V58" s="585"/>
      <c r="W58" s="585"/>
      <c r="X58" s="585"/>
      <c r="Y58" s="585"/>
      <c r="Z58" s="585"/>
    </row>
    <row r="59" ht="15.75" customHeight="1">
      <c r="A59" s="585"/>
      <c r="B59" s="585"/>
      <c r="C59" s="585"/>
      <c r="D59" s="585"/>
      <c r="E59" s="585"/>
      <c r="F59" s="585"/>
      <c r="G59" s="585"/>
      <c r="H59" s="585"/>
      <c r="I59" s="585"/>
      <c r="J59" s="585"/>
      <c r="K59" s="585"/>
      <c r="L59" s="585"/>
      <c r="M59" s="585"/>
      <c r="N59" s="585"/>
      <c r="O59" s="585"/>
      <c r="P59" s="585"/>
      <c r="Q59" s="585"/>
      <c r="R59" s="585"/>
      <c r="S59" s="585"/>
      <c r="T59" s="585"/>
      <c r="U59" s="585"/>
      <c r="V59" s="585"/>
      <c r="W59" s="585"/>
      <c r="X59" s="585"/>
      <c r="Y59" s="585"/>
      <c r="Z59" s="585"/>
    </row>
    <row r="60" ht="15.75" customHeight="1">
      <c r="A60" s="585"/>
      <c r="B60" s="585"/>
      <c r="C60" s="585"/>
      <c r="D60" s="585"/>
      <c r="E60" s="585"/>
      <c r="F60" s="585"/>
      <c r="G60" s="585"/>
      <c r="H60" s="585"/>
      <c r="I60" s="585"/>
      <c r="J60" s="585"/>
      <c r="K60" s="585"/>
      <c r="L60" s="585"/>
      <c r="M60" s="585"/>
      <c r="N60" s="585"/>
      <c r="O60" s="585"/>
      <c r="P60" s="585"/>
      <c r="Q60" s="585"/>
      <c r="R60" s="585"/>
      <c r="S60" s="585"/>
      <c r="T60" s="585"/>
      <c r="U60" s="585"/>
      <c r="V60" s="585"/>
      <c r="W60" s="585"/>
      <c r="X60" s="585"/>
      <c r="Y60" s="585"/>
      <c r="Z60" s="585"/>
    </row>
    <row r="61" ht="15.75" customHeight="1">
      <c r="A61" s="585"/>
      <c r="B61" s="585"/>
      <c r="C61" s="585"/>
      <c r="D61" s="585"/>
      <c r="E61" s="585"/>
      <c r="F61" s="585"/>
      <c r="G61" s="585"/>
      <c r="H61" s="585"/>
      <c r="I61" s="585"/>
      <c r="J61" s="585"/>
      <c r="K61" s="585"/>
      <c r="L61" s="585"/>
      <c r="M61" s="585"/>
      <c r="N61" s="585"/>
      <c r="O61" s="585"/>
      <c r="P61" s="585"/>
      <c r="Q61" s="585"/>
      <c r="R61" s="585"/>
      <c r="S61" s="585"/>
      <c r="T61" s="585"/>
      <c r="U61" s="585"/>
      <c r="V61" s="585"/>
      <c r="W61" s="585"/>
      <c r="X61" s="585"/>
      <c r="Y61" s="585"/>
      <c r="Z61" s="585"/>
    </row>
    <row r="62" ht="15.75" customHeight="1">
      <c r="A62" s="585"/>
      <c r="B62" s="585"/>
      <c r="C62" s="585"/>
      <c r="D62" s="585"/>
      <c r="E62" s="585"/>
      <c r="F62" s="585"/>
      <c r="G62" s="585"/>
      <c r="H62" s="585"/>
      <c r="I62" s="585"/>
      <c r="J62" s="585"/>
      <c r="K62" s="585"/>
      <c r="L62" s="585"/>
      <c r="M62" s="585"/>
      <c r="N62" s="585"/>
      <c r="O62" s="585"/>
      <c r="P62" s="585"/>
      <c r="Q62" s="585"/>
      <c r="R62" s="585"/>
      <c r="S62" s="585"/>
      <c r="T62" s="585"/>
      <c r="U62" s="585"/>
      <c r="V62" s="585"/>
      <c r="W62" s="585"/>
      <c r="X62" s="585"/>
      <c r="Y62" s="585"/>
      <c r="Z62" s="585"/>
    </row>
    <row r="63" ht="15.75" customHeight="1">
      <c r="A63" s="585"/>
      <c r="B63" s="585"/>
      <c r="C63" s="585"/>
      <c r="D63" s="585"/>
      <c r="E63" s="585"/>
      <c r="F63" s="585"/>
      <c r="G63" s="585"/>
      <c r="H63" s="585"/>
      <c r="I63" s="585"/>
      <c r="J63" s="585"/>
      <c r="K63" s="585"/>
      <c r="L63" s="585"/>
      <c r="M63" s="585"/>
      <c r="N63" s="585"/>
      <c r="O63" s="585"/>
      <c r="P63" s="585"/>
      <c r="Q63" s="585"/>
      <c r="R63" s="585"/>
      <c r="S63" s="585"/>
      <c r="T63" s="585"/>
      <c r="U63" s="585"/>
      <c r="V63" s="585"/>
      <c r="W63" s="585"/>
      <c r="X63" s="585"/>
      <c r="Y63" s="585"/>
      <c r="Z63" s="585"/>
    </row>
    <row r="64" ht="15.75" customHeight="1">
      <c r="A64" s="585"/>
      <c r="B64" s="585"/>
      <c r="C64" s="585"/>
      <c r="D64" s="585"/>
      <c r="E64" s="585"/>
      <c r="F64" s="585"/>
      <c r="G64" s="585"/>
      <c r="H64" s="585"/>
      <c r="I64" s="585"/>
      <c r="J64" s="585"/>
      <c r="K64" s="585"/>
      <c r="L64" s="585"/>
      <c r="M64" s="585"/>
      <c r="N64" s="585"/>
      <c r="O64" s="585"/>
      <c r="P64" s="585"/>
      <c r="Q64" s="585"/>
      <c r="R64" s="585"/>
      <c r="S64" s="585"/>
      <c r="T64" s="585"/>
      <c r="U64" s="585"/>
      <c r="V64" s="585"/>
      <c r="W64" s="585"/>
      <c r="X64" s="585"/>
      <c r="Y64" s="585"/>
      <c r="Z64" s="585"/>
    </row>
    <row r="65" ht="15.75" customHeight="1">
      <c r="A65" s="585"/>
      <c r="B65" s="585"/>
      <c r="C65" s="585"/>
      <c r="D65" s="585"/>
      <c r="E65" s="585"/>
      <c r="F65" s="585"/>
      <c r="G65" s="585"/>
      <c r="H65" s="585"/>
      <c r="I65" s="585"/>
      <c r="J65" s="585"/>
      <c r="K65" s="585"/>
      <c r="L65" s="585"/>
      <c r="M65" s="585"/>
      <c r="N65" s="585"/>
      <c r="O65" s="585"/>
      <c r="P65" s="585"/>
      <c r="Q65" s="585"/>
      <c r="R65" s="585"/>
      <c r="S65" s="585"/>
      <c r="T65" s="585"/>
      <c r="U65" s="585"/>
      <c r="V65" s="585"/>
      <c r="W65" s="585"/>
      <c r="X65" s="585"/>
      <c r="Y65" s="585"/>
      <c r="Z65" s="585"/>
    </row>
    <row r="66" ht="15.75" customHeight="1">
      <c r="A66" s="585"/>
      <c r="B66" s="585"/>
      <c r="C66" s="585"/>
      <c r="D66" s="585"/>
      <c r="E66" s="585"/>
      <c r="F66" s="585"/>
      <c r="G66" s="585"/>
      <c r="H66" s="585"/>
      <c r="I66" s="585"/>
      <c r="J66" s="585"/>
      <c r="K66" s="585"/>
      <c r="L66" s="585"/>
      <c r="M66" s="585"/>
      <c r="N66" s="585"/>
      <c r="O66" s="585"/>
      <c r="P66" s="585"/>
      <c r="Q66" s="585"/>
      <c r="R66" s="585"/>
      <c r="S66" s="585"/>
      <c r="T66" s="585"/>
      <c r="U66" s="585"/>
      <c r="V66" s="585"/>
      <c r="W66" s="585"/>
      <c r="X66" s="585"/>
      <c r="Y66" s="585"/>
      <c r="Z66" s="585"/>
    </row>
    <row r="67" ht="15.75" customHeight="1">
      <c r="A67" s="585"/>
      <c r="B67" s="585"/>
      <c r="C67" s="585"/>
      <c r="D67" s="585"/>
      <c r="E67" s="585"/>
      <c r="F67" s="585"/>
      <c r="G67" s="585"/>
      <c r="H67" s="585"/>
      <c r="I67" s="585"/>
      <c r="J67" s="585"/>
      <c r="K67" s="585"/>
      <c r="L67" s="585"/>
      <c r="M67" s="585"/>
      <c r="N67" s="585"/>
      <c r="O67" s="585"/>
      <c r="P67" s="585"/>
      <c r="Q67" s="585"/>
      <c r="R67" s="585"/>
      <c r="S67" s="585"/>
      <c r="T67" s="585"/>
      <c r="U67" s="585"/>
      <c r="V67" s="585"/>
      <c r="W67" s="585"/>
      <c r="X67" s="585"/>
      <c r="Y67" s="585"/>
      <c r="Z67" s="585"/>
    </row>
    <row r="68" ht="15.75" customHeight="1">
      <c r="A68" s="585"/>
      <c r="B68" s="585"/>
      <c r="C68" s="585"/>
      <c r="D68" s="585"/>
      <c r="E68" s="585"/>
      <c r="F68" s="585"/>
      <c r="G68" s="585"/>
      <c r="H68" s="585"/>
      <c r="I68" s="585"/>
      <c r="J68" s="585"/>
      <c r="K68" s="585"/>
      <c r="L68" s="585"/>
      <c r="M68" s="585"/>
      <c r="N68" s="585"/>
      <c r="O68" s="585"/>
      <c r="P68" s="585"/>
      <c r="Q68" s="585"/>
      <c r="R68" s="585"/>
      <c r="S68" s="585"/>
      <c r="T68" s="585"/>
      <c r="U68" s="585"/>
      <c r="V68" s="585"/>
      <c r="W68" s="585"/>
      <c r="X68" s="585"/>
      <c r="Y68" s="585"/>
      <c r="Z68" s="585"/>
    </row>
    <row r="69" ht="15.75" customHeight="1">
      <c r="A69" s="585"/>
      <c r="B69" s="585"/>
      <c r="C69" s="585"/>
      <c r="D69" s="585"/>
      <c r="E69" s="585"/>
      <c r="F69" s="585"/>
      <c r="G69" s="585"/>
      <c r="H69" s="585"/>
      <c r="I69" s="585"/>
      <c r="J69" s="585"/>
      <c r="K69" s="585"/>
      <c r="L69" s="585"/>
      <c r="M69" s="585"/>
      <c r="N69" s="585"/>
      <c r="O69" s="585"/>
      <c r="P69" s="585"/>
      <c r="Q69" s="585"/>
      <c r="R69" s="585"/>
      <c r="S69" s="585"/>
      <c r="T69" s="585"/>
      <c r="U69" s="585"/>
      <c r="V69" s="585"/>
      <c r="W69" s="585"/>
      <c r="X69" s="585"/>
      <c r="Y69" s="585"/>
      <c r="Z69" s="585"/>
    </row>
    <row r="70" ht="15.75" customHeight="1">
      <c r="A70" s="585"/>
      <c r="B70" s="585"/>
      <c r="C70" s="585"/>
      <c r="D70" s="585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585"/>
      <c r="P70" s="585"/>
      <c r="Q70" s="585"/>
      <c r="R70" s="585"/>
      <c r="S70" s="585"/>
      <c r="T70" s="585"/>
      <c r="U70" s="585"/>
      <c r="V70" s="585"/>
      <c r="W70" s="585"/>
      <c r="X70" s="585"/>
      <c r="Y70" s="585"/>
      <c r="Z70" s="585"/>
    </row>
    <row r="71" ht="15.75" customHeight="1">
      <c r="A71" s="585"/>
      <c r="B71" s="585"/>
      <c r="C71" s="585"/>
      <c r="D71" s="585"/>
      <c r="E71" s="585"/>
      <c r="F71" s="585"/>
      <c r="G71" s="585"/>
      <c r="H71" s="585"/>
      <c r="I71" s="585"/>
      <c r="J71" s="585"/>
      <c r="K71" s="585"/>
      <c r="L71" s="585"/>
      <c r="M71" s="585"/>
      <c r="N71" s="585"/>
      <c r="O71" s="585"/>
      <c r="P71" s="585"/>
      <c r="Q71" s="585"/>
      <c r="R71" s="585"/>
      <c r="S71" s="585"/>
      <c r="T71" s="585"/>
      <c r="U71" s="585"/>
      <c r="V71" s="585"/>
      <c r="W71" s="585"/>
      <c r="X71" s="585"/>
      <c r="Y71" s="585"/>
      <c r="Z71" s="585"/>
    </row>
    <row r="72" ht="15.75" customHeight="1">
      <c r="A72" s="585"/>
      <c r="B72" s="585"/>
      <c r="C72" s="585"/>
      <c r="D72" s="585"/>
      <c r="E72" s="585"/>
      <c r="F72" s="585"/>
      <c r="G72" s="585"/>
      <c r="H72" s="585"/>
      <c r="I72" s="585"/>
      <c r="J72" s="585"/>
      <c r="K72" s="585"/>
      <c r="L72" s="585"/>
      <c r="M72" s="585"/>
      <c r="N72" s="585"/>
      <c r="O72" s="585"/>
      <c r="P72" s="585"/>
      <c r="Q72" s="585"/>
      <c r="R72" s="585"/>
      <c r="S72" s="585"/>
      <c r="T72" s="585"/>
      <c r="U72" s="585"/>
      <c r="V72" s="585"/>
      <c r="W72" s="585"/>
      <c r="X72" s="585"/>
      <c r="Y72" s="585"/>
      <c r="Z72" s="585"/>
    </row>
    <row r="73" ht="15.75" customHeight="1">
      <c r="A73" s="585"/>
      <c r="B73" s="585"/>
      <c r="C73" s="585"/>
      <c r="D73" s="585"/>
      <c r="E73" s="585"/>
      <c r="F73" s="585"/>
      <c r="G73" s="585"/>
      <c r="H73" s="585"/>
      <c r="I73" s="585"/>
      <c r="J73" s="585"/>
      <c r="K73" s="585"/>
      <c r="L73" s="585"/>
      <c r="M73" s="585"/>
      <c r="N73" s="585"/>
      <c r="O73" s="585"/>
      <c r="P73" s="585"/>
      <c r="Q73" s="585"/>
      <c r="R73" s="585"/>
      <c r="S73" s="585"/>
      <c r="T73" s="585"/>
      <c r="U73" s="585"/>
      <c r="V73" s="585"/>
      <c r="W73" s="585"/>
      <c r="X73" s="585"/>
      <c r="Y73" s="585"/>
      <c r="Z73" s="585"/>
    </row>
    <row r="74" ht="15.75" customHeight="1">
      <c r="A74" s="585"/>
      <c r="B74" s="585"/>
      <c r="C74" s="585"/>
      <c r="D74" s="585"/>
      <c r="E74" s="585"/>
      <c r="F74" s="585"/>
      <c r="G74" s="585"/>
      <c r="H74" s="585"/>
      <c r="I74" s="585"/>
      <c r="J74" s="585"/>
      <c r="K74" s="585"/>
      <c r="L74" s="585"/>
      <c r="M74" s="585"/>
      <c r="N74" s="585"/>
      <c r="O74" s="585"/>
      <c r="P74" s="585"/>
      <c r="Q74" s="585"/>
      <c r="R74" s="585"/>
      <c r="S74" s="585"/>
      <c r="T74" s="585"/>
      <c r="U74" s="585"/>
      <c r="V74" s="585"/>
      <c r="W74" s="585"/>
      <c r="X74" s="585"/>
      <c r="Y74" s="585"/>
      <c r="Z74" s="585"/>
    </row>
    <row r="75" ht="15.75" customHeight="1">
      <c r="A75" s="585"/>
      <c r="B75" s="585"/>
      <c r="C75" s="585"/>
      <c r="D75" s="585"/>
      <c r="E75" s="585"/>
      <c r="F75" s="585"/>
      <c r="G75" s="585"/>
      <c r="H75" s="585"/>
      <c r="I75" s="585"/>
      <c r="J75" s="585"/>
      <c r="K75" s="585"/>
      <c r="L75" s="585"/>
      <c r="M75" s="585"/>
      <c r="N75" s="585"/>
      <c r="O75" s="585"/>
      <c r="P75" s="585"/>
      <c r="Q75" s="585"/>
      <c r="R75" s="585"/>
      <c r="S75" s="585"/>
      <c r="T75" s="585"/>
      <c r="U75" s="585"/>
      <c r="V75" s="585"/>
      <c r="W75" s="585"/>
      <c r="X75" s="585"/>
      <c r="Y75" s="585"/>
      <c r="Z75" s="585"/>
    </row>
    <row r="76" ht="15.75" customHeight="1">
      <c r="A76" s="585"/>
      <c r="B76" s="585"/>
      <c r="C76" s="585"/>
      <c r="D76" s="585"/>
      <c r="E76" s="585"/>
      <c r="F76" s="585"/>
      <c r="G76" s="585"/>
      <c r="H76" s="585"/>
      <c r="I76" s="585"/>
      <c r="J76" s="585"/>
      <c r="K76" s="585"/>
      <c r="L76" s="585"/>
      <c r="M76" s="585"/>
      <c r="N76" s="585"/>
      <c r="O76" s="585"/>
      <c r="P76" s="585"/>
      <c r="Q76" s="585"/>
      <c r="R76" s="585"/>
      <c r="S76" s="585"/>
      <c r="T76" s="585"/>
      <c r="U76" s="585"/>
      <c r="V76" s="585"/>
      <c r="W76" s="585"/>
      <c r="X76" s="585"/>
      <c r="Y76" s="585"/>
      <c r="Z76" s="585"/>
    </row>
    <row r="77" ht="15.75" customHeight="1">
      <c r="A77" s="585"/>
      <c r="B77" s="585"/>
      <c r="C77" s="585"/>
      <c r="D77" s="585"/>
      <c r="E77" s="585"/>
      <c r="F77" s="585"/>
      <c r="G77" s="585"/>
      <c r="H77" s="585"/>
      <c r="I77" s="585"/>
      <c r="J77" s="585"/>
      <c r="K77" s="585"/>
      <c r="L77" s="585"/>
      <c r="M77" s="585"/>
      <c r="N77" s="585"/>
      <c r="O77" s="585"/>
      <c r="P77" s="585"/>
      <c r="Q77" s="585"/>
      <c r="R77" s="585"/>
      <c r="S77" s="585"/>
      <c r="T77" s="585"/>
      <c r="U77" s="585"/>
      <c r="V77" s="585"/>
      <c r="W77" s="585"/>
      <c r="X77" s="585"/>
      <c r="Y77" s="585"/>
      <c r="Z77" s="585"/>
    </row>
    <row r="78" ht="15.75" customHeight="1">
      <c r="A78" s="585"/>
      <c r="B78" s="585"/>
      <c r="C78" s="585"/>
      <c r="D78" s="585"/>
      <c r="E78" s="585"/>
      <c r="F78" s="585"/>
      <c r="G78" s="585"/>
      <c r="H78" s="585"/>
      <c r="I78" s="585"/>
      <c r="J78" s="585"/>
      <c r="K78" s="585"/>
      <c r="L78" s="585"/>
      <c r="M78" s="585"/>
      <c r="N78" s="585"/>
      <c r="O78" s="585"/>
      <c r="P78" s="585"/>
      <c r="Q78" s="585"/>
      <c r="R78" s="585"/>
      <c r="S78" s="585"/>
      <c r="T78" s="585"/>
      <c r="U78" s="585"/>
      <c r="V78" s="585"/>
      <c r="W78" s="585"/>
      <c r="X78" s="585"/>
      <c r="Y78" s="585"/>
      <c r="Z78" s="585"/>
    </row>
    <row r="79" ht="15.75" customHeight="1">
      <c r="A79" s="585"/>
      <c r="B79" s="585"/>
      <c r="C79" s="585"/>
      <c r="D79" s="585"/>
      <c r="E79" s="585"/>
      <c r="F79" s="585"/>
      <c r="G79" s="585"/>
      <c r="H79" s="585"/>
      <c r="I79" s="585"/>
      <c r="J79" s="585"/>
      <c r="K79" s="585"/>
      <c r="L79" s="585"/>
      <c r="M79" s="585"/>
      <c r="N79" s="585"/>
      <c r="O79" s="585"/>
      <c r="P79" s="585"/>
      <c r="Q79" s="585"/>
      <c r="R79" s="585"/>
      <c r="S79" s="585"/>
      <c r="T79" s="585"/>
      <c r="U79" s="585"/>
      <c r="V79" s="585"/>
      <c r="W79" s="585"/>
      <c r="X79" s="585"/>
      <c r="Y79" s="585"/>
      <c r="Z79" s="585"/>
    </row>
    <row r="80" ht="15.75" customHeight="1">
      <c r="A80" s="585"/>
      <c r="B80" s="585"/>
      <c r="C80" s="585"/>
      <c r="D80" s="585"/>
      <c r="E80" s="585"/>
      <c r="F80" s="585"/>
      <c r="G80" s="585"/>
      <c r="H80" s="585"/>
      <c r="I80" s="585"/>
      <c r="J80" s="585"/>
      <c r="K80" s="585"/>
      <c r="L80" s="585"/>
      <c r="M80" s="585"/>
      <c r="N80" s="585"/>
      <c r="O80" s="585"/>
      <c r="P80" s="585"/>
      <c r="Q80" s="585"/>
      <c r="R80" s="585"/>
      <c r="S80" s="585"/>
      <c r="T80" s="585"/>
      <c r="U80" s="585"/>
      <c r="V80" s="585"/>
      <c r="W80" s="585"/>
      <c r="X80" s="585"/>
      <c r="Y80" s="585"/>
      <c r="Z80" s="585"/>
    </row>
    <row r="81" ht="15.75" customHeight="1">
      <c r="A81" s="585"/>
      <c r="B81" s="585"/>
      <c r="C81" s="585"/>
      <c r="D81" s="585"/>
      <c r="E81" s="585"/>
      <c r="F81" s="585"/>
      <c r="G81" s="585"/>
      <c r="H81" s="585"/>
      <c r="I81" s="585"/>
      <c r="J81" s="585"/>
      <c r="K81" s="585"/>
      <c r="L81" s="585"/>
      <c r="M81" s="585"/>
      <c r="N81" s="585"/>
      <c r="O81" s="585"/>
      <c r="P81" s="585"/>
      <c r="Q81" s="585"/>
      <c r="R81" s="585"/>
      <c r="S81" s="585"/>
      <c r="T81" s="585"/>
      <c r="U81" s="585"/>
      <c r="V81" s="585"/>
      <c r="W81" s="585"/>
      <c r="X81" s="585"/>
      <c r="Y81" s="585"/>
      <c r="Z81" s="585"/>
    </row>
    <row r="82" ht="15.75" customHeight="1">
      <c r="A82" s="585"/>
      <c r="B82" s="585"/>
      <c r="C82" s="585"/>
      <c r="D82" s="585"/>
      <c r="E82" s="585"/>
      <c r="F82" s="585"/>
      <c r="G82" s="585"/>
      <c r="H82" s="585"/>
      <c r="I82" s="585"/>
      <c r="J82" s="585"/>
      <c r="K82" s="585"/>
      <c r="L82" s="585"/>
      <c r="M82" s="585"/>
      <c r="N82" s="585"/>
      <c r="O82" s="585"/>
      <c r="P82" s="585"/>
      <c r="Q82" s="585"/>
      <c r="R82" s="585"/>
      <c r="S82" s="585"/>
      <c r="T82" s="585"/>
      <c r="U82" s="585"/>
      <c r="V82" s="585"/>
      <c r="W82" s="585"/>
      <c r="X82" s="585"/>
      <c r="Y82" s="585"/>
      <c r="Z82" s="585"/>
    </row>
    <row r="83" ht="15.75" customHeight="1">
      <c r="A83" s="585"/>
      <c r="B83" s="585"/>
      <c r="C83" s="585"/>
      <c r="D83" s="585"/>
      <c r="E83" s="585"/>
      <c r="F83" s="585"/>
      <c r="G83" s="585"/>
      <c r="H83" s="585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  <c r="W83" s="585"/>
      <c r="X83" s="585"/>
      <c r="Y83" s="585"/>
      <c r="Z83" s="585"/>
    </row>
    <row r="84" ht="15.75" customHeight="1">
      <c r="A84" s="585"/>
      <c r="B84" s="585"/>
      <c r="C84" s="585"/>
      <c r="D84" s="585"/>
      <c r="E84" s="585"/>
      <c r="F84" s="585"/>
      <c r="G84" s="585"/>
      <c r="H84" s="585"/>
      <c r="I84" s="585"/>
      <c r="J84" s="585"/>
      <c r="K84" s="585"/>
      <c r="L84" s="585"/>
      <c r="M84" s="585"/>
      <c r="N84" s="585"/>
      <c r="O84" s="585"/>
      <c r="P84" s="585"/>
      <c r="Q84" s="585"/>
      <c r="R84" s="585"/>
      <c r="S84" s="585"/>
      <c r="T84" s="585"/>
      <c r="U84" s="585"/>
      <c r="V84" s="585"/>
      <c r="W84" s="585"/>
      <c r="X84" s="585"/>
      <c r="Y84" s="585"/>
      <c r="Z84" s="585"/>
    </row>
    <row r="85" ht="15.75" customHeight="1">
      <c r="A85" s="585"/>
      <c r="B85" s="585"/>
      <c r="C85" s="585"/>
      <c r="D85" s="585"/>
      <c r="E85" s="585"/>
      <c r="F85" s="585"/>
      <c r="G85" s="585"/>
      <c r="H85" s="585"/>
      <c r="I85" s="585"/>
      <c r="J85" s="585"/>
      <c r="K85" s="585"/>
      <c r="L85" s="585"/>
      <c r="M85" s="585"/>
      <c r="N85" s="585"/>
      <c r="O85" s="585"/>
      <c r="P85" s="585"/>
      <c r="Q85" s="585"/>
      <c r="R85" s="585"/>
      <c r="S85" s="585"/>
      <c r="T85" s="585"/>
      <c r="U85" s="585"/>
      <c r="V85" s="585"/>
      <c r="W85" s="585"/>
      <c r="X85" s="585"/>
      <c r="Y85" s="585"/>
      <c r="Z85" s="585"/>
    </row>
    <row r="86" ht="15.75" customHeight="1">
      <c r="A86" s="585"/>
      <c r="B86" s="585"/>
      <c r="C86" s="585"/>
      <c r="D86" s="585"/>
      <c r="E86" s="585"/>
      <c r="F86" s="585"/>
      <c r="G86" s="585"/>
      <c r="H86" s="585"/>
      <c r="I86" s="585"/>
      <c r="J86" s="585"/>
      <c r="K86" s="585"/>
      <c r="L86" s="585"/>
      <c r="M86" s="585"/>
      <c r="N86" s="585"/>
      <c r="O86" s="585"/>
      <c r="P86" s="585"/>
      <c r="Q86" s="585"/>
      <c r="R86" s="585"/>
      <c r="S86" s="585"/>
      <c r="T86" s="585"/>
      <c r="U86" s="585"/>
      <c r="V86" s="585"/>
      <c r="W86" s="585"/>
      <c r="X86" s="585"/>
      <c r="Y86" s="585"/>
      <c r="Z86" s="585"/>
    </row>
    <row r="87" ht="15.75" customHeight="1">
      <c r="A87" s="585"/>
      <c r="B87" s="585"/>
      <c r="C87" s="585"/>
      <c r="D87" s="585"/>
      <c r="E87" s="585"/>
      <c r="F87" s="585"/>
      <c r="G87" s="585"/>
      <c r="H87" s="585"/>
      <c r="I87" s="585"/>
      <c r="J87" s="585"/>
      <c r="K87" s="585"/>
      <c r="L87" s="585"/>
      <c r="M87" s="585"/>
      <c r="N87" s="585"/>
      <c r="O87" s="585"/>
      <c r="P87" s="585"/>
      <c r="Q87" s="585"/>
      <c r="R87" s="585"/>
      <c r="S87" s="585"/>
      <c r="T87" s="585"/>
      <c r="U87" s="585"/>
      <c r="V87" s="585"/>
      <c r="W87" s="585"/>
      <c r="X87" s="585"/>
      <c r="Y87" s="585"/>
      <c r="Z87" s="585"/>
    </row>
    <row r="88" ht="15.75" customHeight="1">
      <c r="A88" s="585"/>
      <c r="B88" s="585"/>
      <c r="C88" s="585"/>
      <c r="D88" s="585"/>
      <c r="E88" s="585"/>
      <c r="F88" s="585"/>
      <c r="G88" s="585"/>
      <c r="H88" s="585"/>
      <c r="I88" s="585"/>
      <c r="J88" s="585"/>
      <c r="K88" s="585"/>
      <c r="L88" s="585"/>
      <c r="M88" s="585"/>
      <c r="N88" s="585"/>
      <c r="O88" s="585"/>
      <c r="P88" s="585"/>
      <c r="Q88" s="585"/>
      <c r="R88" s="585"/>
      <c r="S88" s="585"/>
      <c r="T88" s="585"/>
      <c r="U88" s="585"/>
      <c r="V88" s="585"/>
      <c r="W88" s="585"/>
      <c r="X88" s="585"/>
      <c r="Y88" s="585"/>
      <c r="Z88" s="585"/>
    </row>
    <row r="89" ht="15.75" customHeight="1">
      <c r="A89" s="585"/>
      <c r="B89" s="585"/>
      <c r="C89" s="585"/>
      <c r="D89" s="585"/>
      <c r="E89" s="585"/>
      <c r="F89" s="585"/>
      <c r="G89" s="585"/>
      <c r="H89" s="585"/>
      <c r="I89" s="585"/>
      <c r="J89" s="585"/>
      <c r="K89" s="585"/>
      <c r="L89" s="585"/>
      <c r="M89" s="585"/>
      <c r="N89" s="585"/>
      <c r="O89" s="585"/>
      <c r="P89" s="585"/>
      <c r="Q89" s="585"/>
      <c r="R89" s="585"/>
      <c r="S89" s="585"/>
      <c r="T89" s="585"/>
      <c r="U89" s="585"/>
      <c r="V89" s="585"/>
      <c r="W89" s="585"/>
      <c r="X89" s="585"/>
      <c r="Y89" s="585"/>
      <c r="Z89" s="585"/>
    </row>
    <row r="90" ht="15.75" customHeight="1">
      <c r="A90" s="585"/>
      <c r="B90" s="585"/>
      <c r="C90" s="585"/>
      <c r="D90" s="585"/>
      <c r="E90" s="585"/>
      <c r="F90" s="585"/>
      <c r="G90" s="585"/>
      <c r="H90" s="585"/>
      <c r="I90" s="585"/>
      <c r="J90" s="585"/>
      <c r="K90" s="585"/>
      <c r="L90" s="585"/>
      <c r="M90" s="585"/>
      <c r="N90" s="585"/>
      <c r="O90" s="585"/>
      <c r="P90" s="585"/>
      <c r="Q90" s="585"/>
      <c r="R90" s="585"/>
      <c r="S90" s="585"/>
      <c r="T90" s="585"/>
      <c r="U90" s="585"/>
      <c r="V90" s="585"/>
      <c r="W90" s="585"/>
      <c r="X90" s="585"/>
      <c r="Y90" s="585"/>
      <c r="Z90" s="585"/>
    </row>
    <row r="91" ht="15.75" customHeight="1">
      <c r="A91" s="585"/>
      <c r="B91" s="585"/>
      <c r="C91" s="585"/>
      <c r="D91" s="585"/>
      <c r="E91" s="585"/>
      <c r="F91" s="585"/>
      <c r="G91" s="585"/>
      <c r="H91" s="585"/>
      <c r="I91" s="585"/>
      <c r="J91" s="585"/>
      <c r="K91" s="585"/>
      <c r="L91" s="585"/>
      <c r="M91" s="585"/>
      <c r="N91" s="585"/>
      <c r="O91" s="585"/>
      <c r="P91" s="585"/>
      <c r="Q91" s="585"/>
      <c r="R91" s="585"/>
      <c r="S91" s="585"/>
      <c r="T91" s="585"/>
      <c r="U91" s="585"/>
      <c r="V91" s="585"/>
      <c r="W91" s="585"/>
      <c r="X91" s="585"/>
      <c r="Y91" s="585"/>
      <c r="Z91" s="585"/>
    </row>
    <row r="92" ht="15.75" customHeight="1">
      <c r="A92" s="585"/>
      <c r="B92" s="585"/>
      <c r="C92" s="585"/>
      <c r="D92" s="585"/>
      <c r="E92" s="585"/>
      <c r="F92" s="585"/>
      <c r="G92" s="585"/>
      <c r="H92" s="585"/>
      <c r="I92" s="585"/>
      <c r="J92" s="585"/>
      <c r="K92" s="585"/>
      <c r="L92" s="585"/>
      <c r="M92" s="585"/>
      <c r="N92" s="585"/>
      <c r="O92" s="585"/>
      <c r="P92" s="585"/>
      <c r="Q92" s="585"/>
      <c r="R92" s="585"/>
      <c r="S92" s="585"/>
      <c r="T92" s="585"/>
      <c r="U92" s="585"/>
      <c r="V92" s="585"/>
      <c r="W92" s="585"/>
      <c r="X92" s="585"/>
      <c r="Y92" s="585"/>
      <c r="Z92" s="585"/>
    </row>
    <row r="93" ht="15.75" customHeight="1">
      <c r="A93" s="585"/>
      <c r="B93" s="585"/>
      <c r="C93" s="585"/>
      <c r="D93" s="585"/>
      <c r="E93" s="585"/>
      <c r="F93" s="585"/>
      <c r="G93" s="585"/>
      <c r="H93" s="585"/>
      <c r="I93" s="585"/>
      <c r="J93" s="585"/>
      <c r="K93" s="585"/>
      <c r="L93" s="585"/>
      <c r="M93" s="585"/>
      <c r="N93" s="585"/>
      <c r="O93" s="585"/>
      <c r="P93" s="585"/>
      <c r="Q93" s="585"/>
      <c r="R93" s="585"/>
      <c r="S93" s="585"/>
      <c r="T93" s="585"/>
      <c r="U93" s="585"/>
      <c r="V93" s="585"/>
      <c r="W93" s="585"/>
      <c r="X93" s="585"/>
      <c r="Y93" s="585"/>
      <c r="Z93" s="585"/>
    </row>
    <row r="94" ht="15.75" customHeight="1">
      <c r="A94" s="585"/>
      <c r="B94" s="585"/>
      <c r="C94" s="585"/>
      <c r="D94" s="585"/>
      <c r="E94" s="585"/>
      <c r="F94" s="585"/>
      <c r="G94" s="585"/>
      <c r="H94" s="585"/>
      <c r="I94" s="585"/>
      <c r="J94" s="585"/>
      <c r="K94" s="585"/>
      <c r="L94" s="585"/>
      <c r="M94" s="585"/>
      <c r="N94" s="585"/>
      <c r="O94" s="585"/>
      <c r="P94" s="585"/>
      <c r="Q94" s="585"/>
      <c r="R94" s="585"/>
      <c r="S94" s="585"/>
      <c r="T94" s="585"/>
      <c r="U94" s="585"/>
      <c r="V94" s="585"/>
      <c r="W94" s="585"/>
      <c r="X94" s="585"/>
      <c r="Y94" s="585"/>
      <c r="Z94" s="585"/>
    </row>
    <row r="95" ht="15.75" customHeight="1">
      <c r="A95" s="585"/>
      <c r="B95" s="585"/>
      <c r="C95" s="585"/>
      <c r="D95" s="585"/>
      <c r="E95" s="585"/>
      <c r="F95" s="585"/>
      <c r="G95" s="585"/>
      <c r="H95" s="585"/>
      <c r="I95" s="585"/>
      <c r="J95" s="585"/>
      <c r="K95" s="585"/>
      <c r="L95" s="585"/>
      <c r="M95" s="585"/>
      <c r="N95" s="585"/>
      <c r="O95" s="585"/>
      <c r="P95" s="585"/>
      <c r="Q95" s="585"/>
      <c r="R95" s="585"/>
      <c r="S95" s="585"/>
      <c r="T95" s="585"/>
      <c r="U95" s="585"/>
      <c r="V95" s="585"/>
      <c r="W95" s="585"/>
      <c r="X95" s="585"/>
      <c r="Y95" s="585"/>
      <c r="Z95" s="585"/>
    </row>
    <row r="96" ht="15.75" customHeight="1">
      <c r="A96" s="585"/>
      <c r="B96" s="585"/>
      <c r="C96" s="585"/>
      <c r="D96" s="585"/>
      <c r="E96" s="585"/>
      <c r="F96" s="585"/>
      <c r="G96" s="585"/>
      <c r="H96" s="585"/>
      <c r="I96" s="585"/>
      <c r="J96" s="585"/>
      <c r="K96" s="585"/>
      <c r="L96" s="585"/>
      <c r="M96" s="585"/>
      <c r="N96" s="585"/>
      <c r="O96" s="585"/>
      <c r="P96" s="585"/>
      <c r="Q96" s="585"/>
      <c r="R96" s="585"/>
      <c r="S96" s="585"/>
      <c r="T96" s="585"/>
      <c r="U96" s="585"/>
      <c r="V96" s="585"/>
      <c r="W96" s="585"/>
      <c r="X96" s="585"/>
      <c r="Y96" s="585"/>
      <c r="Z96" s="585"/>
    </row>
    <row r="97" ht="15.75" customHeight="1">
      <c r="A97" s="585"/>
      <c r="B97" s="585"/>
      <c r="C97" s="585"/>
      <c r="D97" s="585"/>
      <c r="E97" s="585"/>
      <c r="F97" s="585"/>
      <c r="G97" s="585"/>
      <c r="H97" s="585"/>
      <c r="I97" s="585"/>
      <c r="J97" s="585"/>
      <c r="K97" s="585"/>
      <c r="L97" s="585"/>
      <c r="M97" s="585"/>
      <c r="N97" s="585"/>
      <c r="O97" s="585"/>
      <c r="P97" s="585"/>
      <c r="Q97" s="585"/>
      <c r="R97" s="585"/>
      <c r="S97" s="585"/>
      <c r="T97" s="585"/>
      <c r="U97" s="585"/>
      <c r="V97" s="585"/>
      <c r="W97" s="585"/>
      <c r="X97" s="585"/>
      <c r="Y97" s="585"/>
      <c r="Z97" s="585"/>
    </row>
    <row r="98" ht="15.75" customHeight="1">
      <c r="A98" s="585"/>
      <c r="B98" s="585"/>
      <c r="C98" s="585"/>
      <c r="D98" s="585"/>
      <c r="E98" s="585"/>
      <c r="F98" s="585"/>
      <c r="G98" s="585"/>
      <c r="H98" s="585"/>
      <c r="I98" s="585"/>
      <c r="J98" s="585"/>
      <c r="K98" s="585"/>
      <c r="L98" s="585"/>
      <c r="M98" s="585"/>
      <c r="N98" s="585"/>
      <c r="O98" s="585"/>
      <c r="P98" s="585"/>
      <c r="Q98" s="585"/>
      <c r="R98" s="585"/>
      <c r="S98" s="585"/>
      <c r="T98" s="585"/>
      <c r="U98" s="585"/>
      <c r="V98" s="585"/>
      <c r="W98" s="585"/>
      <c r="X98" s="585"/>
      <c r="Y98" s="585"/>
      <c r="Z98" s="585"/>
    </row>
    <row r="99" ht="15.75" customHeight="1">
      <c r="A99" s="585"/>
      <c r="B99" s="585"/>
      <c r="C99" s="585"/>
      <c r="D99" s="585"/>
      <c r="E99" s="585"/>
      <c r="F99" s="585"/>
      <c r="G99" s="585"/>
      <c r="H99" s="585"/>
      <c r="I99" s="585"/>
      <c r="J99" s="585"/>
      <c r="K99" s="585"/>
      <c r="L99" s="585"/>
      <c r="M99" s="585"/>
      <c r="N99" s="585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585"/>
    </row>
    <row r="100" ht="15.75" customHeight="1">
      <c r="A100" s="585"/>
      <c r="B100" s="585"/>
      <c r="C100" s="585"/>
      <c r="D100" s="585"/>
      <c r="E100" s="585"/>
      <c r="F100" s="585"/>
      <c r="G100" s="585"/>
      <c r="H100" s="585"/>
      <c r="I100" s="585"/>
      <c r="J100" s="585"/>
      <c r="K100" s="585"/>
      <c r="L100" s="585"/>
      <c r="M100" s="585"/>
      <c r="N100" s="585"/>
      <c r="O100" s="585"/>
      <c r="P100" s="585"/>
      <c r="Q100" s="585"/>
      <c r="R100" s="585"/>
      <c r="S100" s="585"/>
      <c r="T100" s="585"/>
      <c r="U100" s="585"/>
      <c r="V100" s="585"/>
      <c r="W100" s="585"/>
      <c r="X100" s="585"/>
      <c r="Y100" s="585"/>
      <c r="Z100" s="585"/>
    </row>
    <row r="101" ht="15.75" customHeight="1">
      <c r="A101" s="585"/>
      <c r="B101" s="585"/>
      <c r="C101" s="585"/>
      <c r="D101" s="585"/>
      <c r="E101" s="585"/>
      <c r="F101" s="585"/>
      <c r="G101" s="585"/>
      <c r="H101" s="585"/>
      <c r="I101" s="585"/>
      <c r="J101" s="585"/>
      <c r="K101" s="585"/>
      <c r="L101" s="585"/>
      <c r="M101" s="585"/>
      <c r="N101" s="585"/>
      <c r="O101" s="585"/>
      <c r="P101" s="585"/>
      <c r="Q101" s="585"/>
      <c r="R101" s="585"/>
      <c r="S101" s="585"/>
      <c r="T101" s="585"/>
      <c r="U101" s="585"/>
      <c r="V101" s="585"/>
      <c r="W101" s="585"/>
      <c r="X101" s="585"/>
      <c r="Y101" s="585"/>
      <c r="Z101" s="585"/>
    </row>
    <row r="102" ht="15.75" customHeight="1">
      <c r="A102" s="585"/>
      <c r="B102" s="585"/>
      <c r="C102" s="585"/>
      <c r="D102" s="585"/>
      <c r="E102" s="585"/>
      <c r="F102" s="585"/>
      <c r="G102" s="585"/>
      <c r="H102" s="585"/>
      <c r="I102" s="585"/>
      <c r="J102" s="585"/>
      <c r="K102" s="585"/>
      <c r="L102" s="585"/>
      <c r="M102" s="585"/>
      <c r="N102" s="585"/>
      <c r="O102" s="585"/>
      <c r="P102" s="585"/>
      <c r="Q102" s="585"/>
      <c r="R102" s="585"/>
      <c r="S102" s="585"/>
      <c r="T102" s="585"/>
      <c r="U102" s="585"/>
      <c r="V102" s="585"/>
      <c r="W102" s="585"/>
      <c r="X102" s="585"/>
      <c r="Y102" s="585"/>
      <c r="Z102" s="585"/>
    </row>
    <row r="103" ht="15.75" customHeight="1">
      <c r="A103" s="585"/>
      <c r="B103" s="585"/>
      <c r="C103" s="585"/>
      <c r="D103" s="585"/>
      <c r="E103" s="585"/>
      <c r="F103" s="585"/>
      <c r="G103" s="585"/>
      <c r="H103" s="585"/>
      <c r="I103" s="585"/>
      <c r="J103" s="585"/>
      <c r="K103" s="585"/>
      <c r="L103" s="585"/>
      <c r="M103" s="585"/>
      <c r="N103" s="585"/>
      <c r="O103" s="585"/>
      <c r="P103" s="585"/>
      <c r="Q103" s="585"/>
      <c r="R103" s="585"/>
      <c r="S103" s="585"/>
      <c r="T103" s="585"/>
      <c r="U103" s="585"/>
      <c r="V103" s="585"/>
      <c r="W103" s="585"/>
      <c r="X103" s="585"/>
      <c r="Y103" s="585"/>
      <c r="Z103" s="585"/>
    </row>
    <row r="104" ht="15.75" customHeight="1">
      <c r="A104" s="585"/>
      <c r="B104" s="585"/>
      <c r="C104" s="585"/>
      <c r="D104" s="585"/>
      <c r="E104" s="585"/>
      <c r="F104" s="585"/>
      <c r="G104" s="585"/>
      <c r="H104" s="585"/>
      <c r="I104" s="585"/>
      <c r="J104" s="585"/>
      <c r="K104" s="585"/>
      <c r="L104" s="585"/>
      <c r="M104" s="585"/>
      <c r="N104" s="585"/>
      <c r="O104" s="585"/>
      <c r="P104" s="585"/>
      <c r="Q104" s="585"/>
      <c r="R104" s="585"/>
      <c r="S104" s="585"/>
      <c r="T104" s="585"/>
      <c r="U104" s="585"/>
      <c r="V104" s="585"/>
      <c r="W104" s="585"/>
      <c r="X104" s="585"/>
      <c r="Y104" s="585"/>
      <c r="Z104" s="585"/>
    </row>
    <row r="105" ht="15.75" customHeight="1">
      <c r="A105" s="585"/>
      <c r="B105" s="585"/>
      <c r="C105" s="585"/>
      <c r="D105" s="585"/>
      <c r="E105" s="585"/>
      <c r="F105" s="585"/>
      <c r="G105" s="585"/>
      <c r="H105" s="585"/>
      <c r="I105" s="585"/>
      <c r="J105" s="585"/>
      <c r="K105" s="585"/>
      <c r="L105" s="585"/>
      <c r="M105" s="585"/>
      <c r="N105" s="585"/>
      <c r="O105" s="585"/>
      <c r="P105" s="585"/>
      <c r="Q105" s="585"/>
      <c r="R105" s="585"/>
      <c r="S105" s="585"/>
      <c r="T105" s="585"/>
      <c r="U105" s="585"/>
      <c r="V105" s="585"/>
      <c r="W105" s="585"/>
      <c r="X105" s="585"/>
      <c r="Y105" s="585"/>
      <c r="Z105" s="585"/>
    </row>
    <row r="106" ht="15.75" customHeight="1">
      <c r="A106" s="585"/>
      <c r="B106" s="585"/>
      <c r="C106" s="585"/>
      <c r="D106" s="585"/>
      <c r="E106" s="585"/>
      <c r="F106" s="585"/>
      <c r="G106" s="585"/>
      <c r="H106" s="585"/>
      <c r="I106" s="585"/>
      <c r="J106" s="585"/>
      <c r="K106" s="585"/>
      <c r="L106" s="585"/>
      <c r="M106" s="585"/>
      <c r="N106" s="585"/>
      <c r="O106" s="585"/>
      <c r="P106" s="585"/>
      <c r="Q106" s="585"/>
      <c r="R106" s="585"/>
      <c r="S106" s="585"/>
      <c r="T106" s="585"/>
      <c r="U106" s="585"/>
      <c r="V106" s="585"/>
      <c r="W106" s="585"/>
      <c r="X106" s="585"/>
      <c r="Y106" s="585"/>
      <c r="Z106" s="585"/>
    </row>
    <row r="107" ht="15.75" customHeight="1">
      <c r="A107" s="585"/>
      <c r="B107" s="585"/>
      <c r="C107" s="585"/>
      <c r="D107" s="585"/>
      <c r="E107" s="585"/>
      <c r="F107" s="585"/>
      <c r="G107" s="585"/>
      <c r="H107" s="585"/>
      <c r="I107" s="585"/>
      <c r="J107" s="585"/>
      <c r="K107" s="585"/>
      <c r="L107" s="585"/>
      <c r="M107" s="585"/>
      <c r="N107" s="585"/>
      <c r="O107" s="585"/>
      <c r="P107" s="585"/>
      <c r="Q107" s="585"/>
      <c r="R107" s="585"/>
      <c r="S107" s="585"/>
      <c r="T107" s="585"/>
      <c r="U107" s="585"/>
      <c r="V107" s="585"/>
      <c r="W107" s="585"/>
      <c r="X107" s="585"/>
      <c r="Y107" s="585"/>
      <c r="Z107" s="585"/>
    </row>
    <row r="108" ht="15.75" customHeight="1">
      <c r="A108" s="585"/>
      <c r="B108" s="585"/>
      <c r="C108" s="585"/>
      <c r="D108" s="585"/>
      <c r="E108" s="585"/>
      <c r="F108" s="585"/>
      <c r="G108" s="585"/>
      <c r="H108" s="585"/>
      <c r="I108" s="585"/>
      <c r="J108" s="585"/>
      <c r="K108" s="585"/>
      <c r="L108" s="585"/>
      <c r="M108" s="585"/>
      <c r="N108" s="585"/>
      <c r="O108" s="585"/>
      <c r="P108" s="585"/>
      <c r="Q108" s="585"/>
      <c r="R108" s="585"/>
      <c r="S108" s="585"/>
      <c r="T108" s="585"/>
      <c r="U108" s="585"/>
      <c r="V108" s="585"/>
      <c r="W108" s="585"/>
      <c r="X108" s="585"/>
      <c r="Y108" s="585"/>
      <c r="Z108" s="585"/>
    </row>
    <row r="109" ht="15.75" customHeight="1">
      <c r="A109" s="585"/>
      <c r="B109" s="585"/>
      <c r="C109" s="585"/>
      <c r="D109" s="585"/>
      <c r="E109" s="585"/>
      <c r="F109" s="585"/>
      <c r="G109" s="585"/>
      <c r="H109" s="585"/>
      <c r="I109" s="585"/>
      <c r="J109" s="585"/>
      <c r="K109" s="585"/>
      <c r="L109" s="585"/>
      <c r="M109" s="585"/>
      <c r="N109" s="585"/>
      <c r="O109" s="585"/>
      <c r="P109" s="585"/>
      <c r="Q109" s="585"/>
      <c r="R109" s="585"/>
      <c r="S109" s="585"/>
      <c r="T109" s="585"/>
      <c r="U109" s="585"/>
      <c r="V109" s="585"/>
      <c r="W109" s="585"/>
      <c r="X109" s="585"/>
      <c r="Y109" s="585"/>
      <c r="Z109" s="585"/>
    </row>
    <row r="110" ht="15.75" customHeight="1">
      <c r="A110" s="585"/>
      <c r="B110" s="585"/>
      <c r="C110" s="585"/>
      <c r="D110" s="585"/>
      <c r="E110" s="585"/>
      <c r="F110" s="585"/>
      <c r="G110" s="585"/>
      <c r="H110" s="585"/>
      <c r="I110" s="585"/>
      <c r="J110" s="585"/>
      <c r="K110" s="585"/>
      <c r="L110" s="585"/>
      <c r="M110" s="585"/>
      <c r="N110" s="585"/>
      <c r="O110" s="585"/>
      <c r="P110" s="585"/>
      <c r="Q110" s="585"/>
      <c r="R110" s="585"/>
      <c r="S110" s="585"/>
      <c r="T110" s="585"/>
      <c r="U110" s="585"/>
      <c r="V110" s="585"/>
      <c r="W110" s="585"/>
      <c r="X110" s="585"/>
      <c r="Y110" s="585"/>
      <c r="Z110" s="585"/>
    </row>
    <row r="111" ht="15.75" customHeight="1">
      <c r="A111" s="585"/>
      <c r="B111" s="585"/>
      <c r="C111" s="585"/>
      <c r="D111" s="585"/>
      <c r="E111" s="585"/>
      <c r="F111" s="585"/>
      <c r="G111" s="585"/>
      <c r="H111" s="585"/>
      <c r="I111" s="585"/>
      <c r="J111" s="585"/>
      <c r="K111" s="585"/>
      <c r="L111" s="585"/>
      <c r="M111" s="585"/>
      <c r="N111" s="585"/>
      <c r="O111" s="585"/>
      <c r="P111" s="585"/>
      <c r="Q111" s="585"/>
      <c r="R111" s="585"/>
      <c r="S111" s="585"/>
      <c r="T111" s="585"/>
      <c r="U111" s="585"/>
      <c r="V111" s="585"/>
      <c r="W111" s="585"/>
      <c r="X111" s="585"/>
      <c r="Y111" s="585"/>
      <c r="Z111" s="585"/>
    </row>
    <row r="112" ht="15.75" customHeight="1">
      <c r="A112" s="585"/>
      <c r="B112" s="585"/>
      <c r="C112" s="585"/>
      <c r="D112" s="585"/>
      <c r="E112" s="585"/>
      <c r="F112" s="585"/>
      <c r="G112" s="585"/>
      <c r="H112" s="585"/>
      <c r="I112" s="585"/>
      <c r="J112" s="585"/>
      <c r="K112" s="585"/>
      <c r="L112" s="585"/>
      <c r="M112" s="585"/>
      <c r="N112" s="585"/>
      <c r="O112" s="585"/>
      <c r="P112" s="585"/>
      <c r="Q112" s="585"/>
      <c r="R112" s="585"/>
      <c r="S112" s="585"/>
      <c r="T112" s="585"/>
      <c r="U112" s="585"/>
      <c r="V112" s="585"/>
      <c r="W112" s="585"/>
      <c r="X112" s="585"/>
      <c r="Y112" s="585"/>
      <c r="Z112" s="585"/>
    </row>
    <row r="113" ht="15.75" customHeight="1">
      <c r="A113" s="585"/>
      <c r="B113" s="585"/>
      <c r="C113" s="585"/>
      <c r="D113" s="585"/>
      <c r="E113" s="585"/>
      <c r="F113" s="585"/>
      <c r="G113" s="585"/>
      <c r="H113" s="585"/>
      <c r="I113" s="585"/>
      <c r="J113" s="585"/>
      <c r="K113" s="585"/>
      <c r="L113" s="585"/>
      <c r="M113" s="585"/>
      <c r="N113" s="585"/>
      <c r="O113" s="585"/>
      <c r="P113" s="585"/>
      <c r="Q113" s="585"/>
      <c r="R113" s="585"/>
      <c r="S113" s="585"/>
      <c r="T113" s="585"/>
      <c r="U113" s="585"/>
      <c r="V113" s="585"/>
      <c r="W113" s="585"/>
      <c r="X113" s="585"/>
      <c r="Y113" s="585"/>
      <c r="Z113" s="585"/>
    </row>
    <row r="114" ht="15.75" customHeight="1">
      <c r="A114" s="585"/>
      <c r="B114" s="585"/>
      <c r="C114" s="585"/>
      <c r="D114" s="585"/>
      <c r="E114" s="585"/>
      <c r="F114" s="585"/>
      <c r="G114" s="585"/>
      <c r="H114" s="585"/>
      <c r="I114" s="585"/>
      <c r="J114" s="585"/>
      <c r="K114" s="585"/>
      <c r="L114" s="585"/>
      <c r="M114" s="585"/>
      <c r="N114" s="585"/>
      <c r="O114" s="585"/>
      <c r="P114" s="585"/>
      <c r="Q114" s="585"/>
      <c r="R114" s="585"/>
      <c r="S114" s="585"/>
      <c r="T114" s="585"/>
      <c r="U114" s="585"/>
      <c r="V114" s="585"/>
      <c r="W114" s="585"/>
      <c r="X114" s="585"/>
      <c r="Y114" s="585"/>
      <c r="Z114" s="585"/>
    </row>
    <row r="115" ht="15.75" customHeight="1">
      <c r="A115" s="585"/>
      <c r="B115" s="585"/>
      <c r="C115" s="585"/>
      <c r="D115" s="585"/>
      <c r="E115" s="585"/>
      <c r="F115" s="585"/>
      <c r="G115" s="585"/>
      <c r="H115" s="585"/>
      <c r="I115" s="585"/>
      <c r="J115" s="585"/>
      <c r="K115" s="585"/>
      <c r="L115" s="585"/>
      <c r="M115" s="585"/>
      <c r="N115" s="585"/>
      <c r="O115" s="585"/>
      <c r="P115" s="585"/>
      <c r="Q115" s="585"/>
      <c r="R115" s="585"/>
      <c r="S115" s="585"/>
      <c r="T115" s="585"/>
      <c r="U115" s="585"/>
      <c r="V115" s="585"/>
      <c r="W115" s="585"/>
      <c r="X115" s="585"/>
      <c r="Y115" s="585"/>
      <c r="Z115" s="585"/>
    </row>
    <row r="116" ht="15.75" customHeight="1">
      <c r="A116" s="585"/>
      <c r="B116" s="585"/>
      <c r="C116" s="585"/>
      <c r="D116" s="585"/>
      <c r="E116" s="585"/>
      <c r="F116" s="585"/>
      <c r="G116" s="585"/>
      <c r="H116" s="585"/>
      <c r="I116" s="585"/>
      <c r="J116" s="585"/>
      <c r="K116" s="585"/>
      <c r="L116" s="585"/>
      <c r="M116" s="585"/>
      <c r="N116" s="585"/>
      <c r="O116" s="585"/>
      <c r="P116" s="585"/>
      <c r="Q116" s="585"/>
      <c r="R116" s="585"/>
      <c r="S116" s="585"/>
      <c r="T116" s="585"/>
      <c r="U116" s="585"/>
      <c r="V116" s="585"/>
      <c r="W116" s="585"/>
      <c r="X116" s="585"/>
      <c r="Y116" s="585"/>
      <c r="Z116" s="585"/>
    </row>
    <row r="117" ht="15.75" customHeight="1">
      <c r="A117" s="585"/>
      <c r="B117" s="585"/>
      <c r="C117" s="585"/>
      <c r="D117" s="585"/>
      <c r="E117" s="585"/>
      <c r="F117" s="585"/>
      <c r="G117" s="585"/>
      <c r="H117" s="585"/>
      <c r="I117" s="585"/>
      <c r="J117" s="585"/>
      <c r="K117" s="585"/>
      <c r="L117" s="585"/>
      <c r="M117" s="585"/>
      <c r="N117" s="585"/>
      <c r="O117" s="585"/>
      <c r="P117" s="585"/>
      <c r="Q117" s="585"/>
      <c r="R117" s="585"/>
      <c r="S117" s="585"/>
      <c r="T117" s="585"/>
      <c r="U117" s="585"/>
      <c r="V117" s="585"/>
      <c r="W117" s="585"/>
      <c r="X117" s="585"/>
      <c r="Y117" s="585"/>
      <c r="Z117" s="585"/>
    </row>
    <row r="118" ht="15.75" customHeight="1">
      <c r="A118" s="585"/>
      <c r="B118" s="585"/>
      <c r="C118" s="585"/>
      <c r="D118" s="585"/>
      <c r="E118" s="585"/>
      <c r="F118" s="585"/>
      <c r="G118" s="585"/>
      <c r="H118" s="585"/>
      <c r="I118" s="585"/>
      <c r="J118" s="585"/>
      <c r="K118" s="585"/>
      <c r="L118" s="585"/>
      <c r="M118" s="585"/>
      <c r="N118" s="585"/>
      <c r="O118" s="585"/>
      <c r="P118" s="585"/>
      <c r="Q118" s="585"/>
      <c r="R118" s="585"/>
      <c r="S118" s="585"/>
      <c r="T118" s="585"/>
      <c r="U118" s="585"/>
      <c r="V118" s="585"/>
      <c r="W118" s="585"/>
      <c r="X118" s="585"/>
      <c r="Y118" s="585"/>
      <c r="Z118" s="585"/>
    </row>
    <row r="119" ht="15.75" customHeight="1">
      <c r="A119" s="585"/>
      <c r="B119" s="585"/>
      <c r="C119" s="585"/>
      <c r="D119" s="585"/>
      <c r="E119" s="585"/>
      <c r="F119" s="585"/>
      <c r="G119" s="585"/>
      <c r="H119" s="585"/>
      <c r="I119" s="585"/>
      <c r="J119" s="585"/>
      <c r="K119" s="585"/>
      <c r="L119" s="585"/>
      <c r="M119" s="585"/>
      <c r="N119" s="585"/>
      <c r="O119" s="585"/>
      <c r="P119" s="585"/>
      <c r="Q119" s="585"/>
      <c r="R119" s="585"/>
      <c r="S119" s="585"/>
      <c r="T119" s="585"/>
      <c r="U119" s="585"/>
      <c r="V119" s="585"/>
      <c r="W119" s="585"/>
      <c r="X119" s="585"/>
      <c r="Y119" s="585"/>
      <c r="Z119" s="585"/>
    </row>
    <row r="120" ht="15.75" customHeight="1">
      <c r="A120" s="585"/>
      <c r="B120" s="585"/>
      <c r="C120" s="585"/>
      <c r="D120" s="585"/>
      <c r="E120" s="585"/>
      <c r="F120" s="585"/>
      <c r="G120" s="585"/>
      <c r="H120" s="585"/>
      <c r="I120" s="585"/>
      <c r="J120" s="585"/>
      <c r="K120" s="585"/>
      <c r="L120" s="585"/>
      <c r="M120" s="585"/>
      <c r="N120" s="585"/>
      <c r="O120" s="585"/>
      <c r="P120" s="585"/>
      <c r="Q120" s="585"/>
      <c r="R120" s="585"/>
      <c r="S120" s="585"/>
      <c r="T120" s="585"/>
      <c r="U120" s="585"/>
      <c r="V120" s="585"/>
      <c r="W120" s="585"/>
      <c r="X120" s="585"/>
      <c r="Y120" s="585"/>
      <c r="Z120" s="585"/>
    </row>
    <row r="121" ht="15.75" customHeight="1">
      <c r="A121" s="585"/>
      <c r="B121" s="585"/>
      <c r="C121" s="585"/>
      <c r="D121" s="585"/>
      <c r="E121" s="585"/>
      <c r="F121" s="585"/>
      <c r="G121" s="585"/>
      <c r="H121" s="585"/>
      <c r="I121" s="585"/>
      <c r="J121" s="585"/>
      <c r="K121" s="585"/>
      <c r="L121" s="585"/>
      <c r="M121" s="585"/>
      <c r="N121" s="585"/>
      <c r="O121" s="585"/>
      <c r="P121" s="585"/>
      <c r="Q121" s="585"/>
      <c r="R121" s="585"/>
      <c r="S121" s="585"/>
      <c r="T121" s="585"/>
      <c r="U121" s="585"/>
      <c r="V121" s="585"/>
      <c r="W121" s="585"/>
      <c r="X121" s="585"/>
      <c r="Y121" s="585"/>
      <c r="Z121" s="585"/>
    </row>
    <row r="122" ht="15.75" customHeight="1">
      <c r="A122" s="585"/>
      <c r="B122" s="585"/>
      <c r="C122" s="585"/>
      <c r="D122" s="585"/>
      <c r="E122" s="585"/>
      <c r="F122" s="585"/>
      <c r="G122" s="585"/>
      <c r="H122" s="585"/>
      <c r="I122" s="585"/>
      <c r="J122" s="585"/>
      <c r="K122" s="585"/>
      <c r="L122" s="585"/>
      <c r="M122" s="585"/>
      <c r="N122" s="585"/>
      <c r="O122" s="585"/>
      <c r="P122" s="585"/>
      <c r="Q122" s="585"/>
      <c r="R122" s="585"/>
      <c r="S122" s="585"/>
      <c r="T122" s="585"/>
      <c r="U122" s="585"/>
      <c r="V122" s="585"/>
      <c r="W122" s="585"/>
      <c r="X122" s="585"/>
      <c r="Y122" s="585"/>
      <c r="Z122" s="585"/>
    </row>
    <row r="123" ht="15.75" customHeight="1">
      <c r="A123" s="585"/>
      <c r="B123" s="585"/>
      <c r="C123" s="585"/>
      <c r="D123" s="585"/>
      <c r="E123" s="585"/>
      <c r="F123" s="585"/>
      <c r="G123" s="585"/>
      <c r="H123" s="585"/>
      <c r="I123" s="585"/>
      <c r="J123" s="585"/>
      <c r="K123" s="585"/>
      <c r="L123" s="585"/>
      <c r="M123" s="585"/>
      <c r="N123" s="585"/>
      <c r="O123" s="585"/>
      <c r="P123" s="585"/>
      <c r="Q123" s="585"/>
      <c r="R123" s="585"/>
      <c r="S123" s="585"/>
      <c r="T123" s="585"/>
      <c r="U123" s="585"/>
      <c r="V123" s="585"/>
      <c r="W123" s="585"/>
      <c r="X123" s="585"/>
      <c r="Y123" s="585"/>
      <c r="Z123" s="585"/>
    </row>
    <row r="124" ht="15.75" customHeight="1">
      <c r="A124" s="585"/>
      <c r="B124" s="585"/>
      <c r="C124" s="585"/>
      <c r="D124" s="585"/>
      <c r="E124" s="585"/>
      <c r="F124" s="585"/>
      <c r="G124" s="585"/>
      <c r="H124" s="585"/>
      <c r="I124" s="585"/>
      <c r="J124" s="585"/>
      <c r="K124" s="585"/>
      <c r="L124" s="585"/>
      <c r="M124" s="585"/>
      <c r="N124" s="585"/>
      <c r="O124" s="585"/>
      <c r="P124" s="585"/>
      <c r="Q124" s="585"/>
      <c r="R124" s="585"/>
      <c r="S124" s="585"/>
      <c r="T124" s="585"/>
      <c r="U124" s="585"/>
      <c r="V124" s="585"/>
      <c r="W124" s="585"/>
      <c r="X124" s="585"/>
      <c r="Y124" s="585"/>
      <c r="Z124" s="585"/>
    </row>
    <row r="125" ht="15.75" customHeight="1">
      <c r="A125" s="585"/>
      <c r="B125" s="585"/>
      <c r="C125" s="585"/>
      <c r="D125" s="585"/>
      <c r="E125" s="585"/>
      <c r="F125" s="585"/>
      <c r="G125" s="585"/>
      <c r="H125" s="585"/>
      <c r="I125" s="585"/>
      <c r="J125" s="585"/>
      <c r="K125" s="585"/>
      <c r="L125" s="585"/>
      <c r="M125" s="585"/>
      <c r="N125" s="585"/>
      <c r="O125" s="585"/>
      <c r="P125" s="585"/>
      <c r="Q125" s="585"/>
      <c r="R125" s="585"/>
      <c r="S125" s="585"/>
      <c r="T125" s="585"/>
      <c r="U125" s="585"/>
      <c r="V125" s="585"/>
      <c r="W125" s="585"/>
      <c r="X125" s="585"/>
      <c r="Y125" s="585"/>
      <c r="Z125" s="585"/>
    </row>
    <row r="126" ht="15.75" customHeight="1">
      <c r="A126" s="585"/>
      <c r="B126" s="585"/>
      <c r="C126" s="585"/>
      <c r="D126" s="585"/>
      <c r="E126" s="585"/>
      <c r="F126" s="585"/>
      <c r="G126" s="585"/>
      <c r="H126" s="585"/>
      <c r="I126" s="585"/>
      <c r="J126" s="585"/>
      <c r="K126" s="585"/>
      <c r="L126" s="585"/>
      <c r="M126" s="585"/>
      <c r="N126" s="585"/>
      <c r="O126" s="585"/>
      <c r="P126" s="585"/>
      <c r="Q126" s="585"/>
      <c r="R126" s="585"/>
      <c r="S126" s="585"/>
      <c r="T126" s="585"/>
      <c r="U126" s="585"/>
      <c r="V126" s="585"/>
      <c r="W126" s="585"/>
      <c r="X126" s="585"/>
      <c r="Y126" s="585"/>
      <c r="Z126" s="585"/>
    </row>
    <row r="127" ht="15.75" customHeight="1">
      <c r="A127" s="585"/>
      <c r="B127" s="585"/>
      <c r="C127" s="585"/>
      <c r="D127" s="585"/>
      <c r="E127" s="585"/>
      <c r="F127" s="585"/>
      <c r="G127" s="585"/>
      <c r="H127" s="585"/>
      <c r="I127" s="585"/>
      <c r="J127" s="585"/>
      <c r="K127" s="585"/>
      <c r="L127" s="585"/>
      <c r="M127" s="585"/>
      <c r="N127" s="585"/>
      <c r="O127" s="585"/>
      <c r="P127" s="585"/>
      <c r="Q127" s="585"/>
      <c r="R127" s="585"/>
      <c r="S127" s="585"/>
      <c r="T127" s="585"/>
      <c r="U127" s="585"/>
      <c r="V127" s="585"/>
      <c r="W127" s="585"/>
      <c r="X127" s="585"/>
      <c r="Y127" s="585"/>
      <c r="Z127" s="585"/>
    </row>
    <row r="128" ht="15.75" customHeight="1">
      <c r="A128" s="585"/>
      <c r="B128" s="585"/>
      <c r="C128" s="585"/>
      <c r="D128" s="585"/>
      <c r="E128" s="585"/>
      <c r="F128" s="585"/>
      <c r="G128" s="585"/>
      <c r="H128" s="585"/>
      <c r="I128" s="585"/>
      <c r="J128" s="585"/>
      <c r="K128" s="585"/>
      <c r="L128" s="585"/>
      <c r="M128" s="585"/>
      <c r="N128" s="585"/>
      <c r="O128" s="585"/>
      <c r="P128" s="585"/>
      <c r="Q128" s="585"/>
      <c r="R128" s="585"/>
      <c r="S128" s="585"/>
      <c r="T128" s="585"/>
      <c r="U128" s="585"/>
      <c r="V128" s="585"/>
      <c r="W128" s="585"/>
      <c r="X128" s="585"/>
      <c r="Y128" s="585"/>
      <c r="Z128" s="585"/>
    </row>
    <row r="129" ht="15.75" customHeight="1">
      <c r="A129" s="585"/>
      <c r="B129" s="585"/>
      <c r="C129" s="585"/>
      <c r="D129" s="585"/>
      <c r="E129" s="585"/>
      <c r="F129" s="585"/>
      <c r="G129" s="585"/>
      <c r="H129" s="585"/>
      <c r="I129" s="585"/>
      <c r="J129" s="585"/>
      <c r="K129" s="585"/>
      <c r="L129" s="585"/>
      <c r="M129" s="585"/>
      <c r="N129" s="585"/>
      <c r="O129" s="585"/>
      <c r="P129" s="585"/>
      <c r="Q129" s="585"/>
      <c r="R129" s="585"/>
      <c r="S129" s="585"/>
      <c r="T129" s="585"/>
      <c r="U129" s="585"/>
      <c r="V129" s="585"/>
      <c r="W129" s="585"/>
      <c r="X129" s="585"/>
      <c r="Y129" s="585"/>
      <c r="Z129" s="585"/>
    </row>
    <row r="130" ht="15.75" customHeight="1">
      <c r="A130" s="585"/>
      <c r="B130" s="585"/>
      <c r="C130" s="585"/>
      <c r="D130" s="585"/>
      <c r="E130" s="585"/>
      <c r="F130" s="585"/>
      <c r="G130" s="585"/>
      <c r="H130" s="585"/>
      <c r="I130" s="585"/>
      <c r="J130" s="585"/>
      <c r="K130" s="585"/>
      <c r="L130" s="585"/>
      <c r="M130" s="585"/>
      <c r="N130" s="585"/>
      <c r="O130" s="585"/>
      <c r="P130" s="585"/>
      <c r="Q130" s="585"/>
      <c r="R130" s="585"/>
      <c r="S130" s="585"/>
      <c r="T130" s="585"/>
      <c r="U130" s="585"/>
      <c r="V130" s="585"/>
      <c r="W130" s="585"/>
      <c r="X130" s="585"/>
      <c r="Y130" s="585"/>
      <c r="Z130" s="585"/>
    </row>
    <row r="131" ht="15.75" customHeight="1">
      <c r="A131" s="585"/>
      <c r="B131" s="585"/>
      <c r="C131" s="585"/>
      <c r="D131" s="585"/>
      <c r="E131" s="585"/>
      <c r="F131" s="585"/>
      <c r="G131" s="585"/>
      <c r="H131" s="585"/>
      <c r="I131" s="585"/>
      <c r="J131" s="585"/>
      <c r="K131" s="585"/>
      <c r="L131" s="585"/>
      <c r="M131" s="585"/>
      <c r="N131" s="585"/>
      <c r="O131" s="585"/>
      <c r="P131" s="585"/>
      <c r="Q131" s="585"/>
      <c r="R131" s="585"/>
      <c r="S131" s="585"/>
      <c r="T131" s="585"/>
      <c r="U131" s="585"/>
      <c r="V131" s="585"/>
      <c r="W131" s="585"/>
      <c r="X131" s="585"/>
      <c r="Y131" s="585"/>
      <c r="Z131" s="585"/>
    </row>
    <row r="132" ht="15.75" customHeight="1">
      <c r="A132" s="585"/>
      <c r="B132" s="585"/>
      <c r="C132" s="585"/>
      <c r="D132" s="585"/>
      <c r="E132" s="585"/>
      <c r="F132" s="585"/>
      <c r="G132" s="585"/>
      <c r="H132" s="585"/>
      <c r="I132" s="585"/>
      <c r="J132" s="585"/>
      <c r="K132" s="585"/>
      <c r="L132" s="585"/>
      <c r="M132" s="585"/>
      <c r="N132" s="585"/>
      <c r="O132" s="585"/>
      <c r="P132" s="585"/>
      <c r="Q132" s="585"/>
      <c r="R132" s="585"/>
      <c r="S132" s="585"/>
      <c r="T132" s="585"/>
      <c r="U132" s="585"/>
      <c r="V132" s="585"/>
      <c r="W132" s="585"/>
      <c r="X132" s="585"/>
      <c r="Y132" s="585"/>
      <c r="Z132" s="585"/>
    </row>
    <row r="133" ht="15.75" customHeight="1">
      <c r="A133" s="585"/>
      <c r="B133" s="585"/>
      <c r="C133" s="585"/>
      <c r="D133" s="585"/>
      <c r="E133" s="585"/>
      <c r="F133" s="585"/>
      <c r="G133" s="585"/>
      <c r="H133" s="585"/>
      <c r="I133" s="585"/>
      <c r="J133" s="585"/>
      <c r="K133" s="585"/>
      <c r="L133" s="585"/>
      <c r="M133" s="585"/>
      <c r="N133" s="585"/>
      <c r="O133" s="585"/>
      <c r="P133" s="585"/>
      <c r="Q133" s="585"/>
      <c r="R133" s="585"/>
      <c r="S133" s="585"/>
      <c r="T133" s="585"/>
      <c r="U133" s="585"/>
      <c r="V133" s="585"/>
      <c r="W133" s="585"/>
      <c r="X133" s="585"/>
      <c r="Y133" s="585"/>
      <c r="Z133" s="585"/>
    </row>
    <row r="134" ht="15.75" customHeight="1">
      <c r="A134" s="585"/>
      <c r="B134" s="585"/>
      <c r="C134" s="585"/>
      <c r="D134" s="585"/>
      <c r="E134" s="585"/>
      <c r="F134" s="585"/>
      <c r="G134" s="585"/>
      <c r="H134" s="585"/>
      <c r="I134" s="585"/>
      <c r="J134" s="585"/>
      <c r="K134" s="585"/>
      <c r="L134" s="585"/>
      <c r="M134" s="585"/>
      <c r="N134" s="585"/>
      <c r="O134" s="585"/>
      <c r="P134" s="585"/>
      <c r="Q134" s="585"/>
      <c r="R134" s="585"/>
      <c r="S134" s="585"/>
      <c r="T134" s="585"/>
      <c r="U134" s="585"/>
      <c r="V134" s="585"/>
      <c r="W134" s="585"/>
      <c r="X134" s="585"/>
      <c r="Y134" s="585"/>
      <c r="Z134" s="585"/>
    </row>
    <row r="135" ht="15.75" customHeight="1">
      <c r="A135" s="585"/>
      <c r="B135" s="585"/>
      <c r="C135" s="585"/>
      <c r="D135" s="585"/>
      <c r="E135" s="585"/>
      <c r="F135" s="585"/>
      <c r="G135" s="585"/>
      <c r="H135" s="585"/>
      <c r="I135" s="585"/>
      <c r="J135" s="585"/>
      <c r="K135" s="585"/>
      <c r="L135" s="585"/>
      <c r="M135" s="585"/>
      <c r="N135" s="585"/>
      <c r="O135" s="585"/>
      <c r="P135" s="585"/>
      <c r="Q135" s="585"/>
      <c r="R135" s="585"/>
      <c r="S135" s="585"/>
      <c r="T135" s="585"/>
      <c r="U135" s="585"/>
      <c r="V135" s="585"/>
      <c r="W135" s="585"/>
      <c r="X135" s="585"/>
      <c r="Y135" s="585"/>
      <c r="Z135" s="585"/>
    </row>
    <row r="136" ht="15.75" customHeight="1">
      <c r="A136" s="585"/>
      <c r="B136" s="585"/>
      <c r="C136" s="585"/>
      <c r="D136" s="585"/>
      <c r="E136" s="585"/>
      <c r="F136" s="585"/>
      <c r="G136" s="585"/>
      <c r="H136" s="585"/>
      <c r="I136" s="585"/>
      <c r="J136" s="585"/>
      <c r="K136" s="585"/>
      <c r="L136" s="585"/>
      <c r="M136" s="585"/>
      <c r="N136" s="585"/>
      <c r="O136" s="585"/>
      <c r="P136" s="585"/>
      <c r="Q136" s="585"/>
      <c r="R136" s="585"/>
      <c r="S136" s="585"/>
      <c r="T136" s="585"/>
      <c r="U136" s="585"/>
      <c r="V136" s="585"/>
      <c r="W136" s="585"/>
      <c r="X136" s="585"/>
      <c r="Y136" s="585"/>
      <c r="Z136" s="585"/>
    </row>
    <row r="137" ht="15.75" customHeight="1">
      <c r="A137" s="585"/>
      <c r="B137" s="585"/>
      <c r="C137" s="585"/>
      <c r="D137" s="585"/>
      <c r="E137" s="585"/>
      <c r="F137" s="585"/>
      <c r="G137" s="585"/>
      <c r="H137" s="585"/>
      <c r="I137" s="585"/>
      <c r="J137" s="585"/>
      <c r="K137" s="585"/>
      <c r="L137" s="585"/>
      <c r="M137" s="585"/>
      <c r="N137" s="585"/>
      <c r="O137" s="585"/>
      <c r="P137" s="585"/>
      <c r="Q137" s="585"/>
      <c r="R137" s="585"/>
      <c r="S137" s="585"/>
      <c r="T137" s="585"/>
      <c r="U137" s="585"/>
      <c r="V137" s="585"/>
      <c r="W137" s="585"/>
      <c r="X137" s="585"/>
      <c r="Y137" s="585"/>
      <c r="Z137" s="585"/>
    </row>
    <row r="138" ht="15.75" customHeight="1">
      <c r="A138" s="585"/>
      <c r="B138" s="585"/>
      <c r="C138" s="585"/>
      <c r="D138" s="585"/>
      <c r="E138" s="585"/>
      <c r="F138" s="585"/>
      <c r="G138" s="585"/>
      <c r="H138" s="585"/>
      <c r="I138" s="585"/>
      <c r="J138" s="585"/>
      <c r="K138" s="585"/>
      <c r="L138" s="585"/>
      <c r="M138" s="585"/>
      <c r="N138" s="585"/>
      <c r="O138" s="585"/>
      <c r="P138" s="585"/>
      <c r="Q138" s="585"/>
      <c r="R138" s="585"/>
      <c r="S138" s="585"/>
      <c r="T138" s="585"/>
      <c r="U138" s="585"/>
      <c r="V138" s="585"/>
      <c r="W138" s="585"/>
      <c r="X138" s="585"/>
      <c r="Y138" s="585"/>
      <c r="Z138" s="585"/>
    </row>
    <row r="139" ht="15.75" customHeight="1">
      <c r="A139" s="585"/>
      <c r="B139" s="585"/>
      <c r="C139" s="585"/>
      <c r="D139" s="585"/>
      <c r="E139" s="585"/>
      <c r="F139" s="585"/>
      <c r="G139" s="585"/>
      <c r="H139" s="585"/>
      <c r="I139" s="585"/>
      <c r="J139" s="585"/>
      <c r="K139" s="585"/>
      <c r="L139" s="585"/>
      <c r="M139" s="585"/>
      <c r="N139" s="585"/>
      <c r="O139" s="585"/>
      <c r="P139" s="585"/>
      <c r="Q139" s="585"/>
      <c r="R139" s="585"/>
      <c r="S139" s="585"/>
      <c r="T139" s="585"/>
      <c r="U139" s="585"/>
      <c r="V139" s="585"/>
      <c r="W139" s="585"/>
      <c r="X139" s="585"/>
      <c r="Y139" s="585"/>
      <c r="Z139" s="585"/>
    </row>
    <row r="140" ht="15.75" customHeight="1">
      <c r="A140" s="585"/>
      <c r="B140" s="585"/>
      <c r="C140" s="585"/>
      <c r="D140" s="585"/>
      <c r="E140" s="585"/>
      <c r="F140" s="585"/>
      <c r="G140" s="585"/>
      <c r="H140" s="585"/>
      <c r="I140" s="585"/>
      <c r="J140" s="585"/>
      <c r="K140" s="585"/>
      <c r="L140" s="585"/>
      <c r="M140" s="585"/>
      <c r="N140" s="585"/>
      <c r="O140" s="585"/>
      <c r="P140" s="585"/>
      <c r="Q140" s="585"/>
      <c r="R140" s="585"/>
      <c r="S140" s="585"/>
      <c r="T140" s="585"/>
      <c r="U140" s="585"/>
      <c r="V140" s="585"/>
      <c r="W140" s="585"/>
      <c r="X140" s="585"/>
      <c r="Y140" s="585"/>
      <c r="Z140" s="585"/>
    </row>
    <row r="141" ht="15.75" customHeight="1">
      <c r="A141" s="585"/>
      <c r="B141" s="585"/>
      <c r="C141" s="585"/>
      <c r="D141" s="585"/>
      <c r="E141" s="585"/>
      <c r="F141" s="585"/>
      <c r="G141" s="585"/>
      <c r="H141" s="585"/>
      <c r="I141" s="585"/>
      <c r="J141" s="585"/>
      <c r="K141" s="585"/>
      <c r="L141" s="585"/>
      <c r="M141" s="585"/>
      <c r="N141" s="585"/>
      <c r="O141" s="585"/>
      <c r="P141" s="585"/>
      <c r="Q141" s="585"/>
      <c r="R141" s="585"/>
      <c r="S141" s="585"/>
      <c r="T141" s="585"/>
      <c r="U141" s="585"/>
      <c r="V141" s="585"/>
      <c r="W141" s="585"/>
      <c r="X141" s="585"/>
      <c r="Y141" s="585"/>
      <c r="Z141" s="585"/>
    </row>
    <row r="142" ht="15.75" customHeight="1">
      <c r="A142" s="585"/>
      <c r="B142" s="585"/>
      <c r="C142" s="585"/>
      <c r="D142" s="585"/>
      <c r="E142" s="585"/>
      <c r="F142" s="585"/>
      <c r="G142" s="585"/>
      <c r="H142" s="585"/>
      <c r="I142" s="585"/>
      <c r="J142" s="585"/>
      <c r="K142" s="585"/>
      <c r="L142" s="585"/>
      <c r="M142" s="585"/>
      <c r="N142" s="585"/>
      <c r="O142" s="585"/>
      <c r="P142" s="585"/>
      <c r="Q142" s="585"/>
      <c r="R142" s="585"/>
      <c r="S142" s="585"/>
      <c r="T142" s="585"/>
      <c r="U142" s="585"/>
      <c r="V142" s="585"/>
      <c r="W142" s="585"/>
      <c r="X142" s="585"/>
      <c r="Y142" s="585"/>
      <c r="Z142" s="585"/>
    </row>
    <row r="143" ht="15.75" customHeight="1">
      <c r="A143" s="585"/>
      <c r="B143" s="585"/>
      <c r="C143" s="585"/>
      <c r="D143" s="585"/>
      <c r="E143" s="585"/>
      <c r="F143" s="585"/>
      <c r="G143" s="585"/>
      <c r="H143" s="585"/>
      <c r="I143" s="585"/>
      <c r="J143" s="585"/>
      <c r="K143" s="585"/>
      <c r="L143" s="585"/>
      <c r="M143" s="585"/>
      <c r="N143" s="585"/>
      <c r="O143" s="585"/>
      <c r="P143" s="585"/>
      <c r="Q143" s="585"/>
      <c r="R143" s="585"/>
      <c r="S143" s="585"/>
      <c r="T143" s="585"/>
      <c r="U143" s="585"/>
      <c r="V143" s="585"/>
      <c r="W143" s="585"/>
      <c r="X143" s="585"/>
      <c r="Y143" s="585"/>
      <c r="Z143" s="585"/>
    </row>
    <row r="144" ht="15.75" customHeight="1">
      <c r="A144" s="585"/>
      <c r="B144" s="585"/>
      <c r="C144" s="585"/>
      <c r="D144" s="585"/>
      <c r="E144" s="585"/>
      <c r="F144" s="585"/>
      <c r="G144" s="585"/>
      <c r="H144" s="585"/>
      <c r="I144" s="585"/>
      <c r="J144" s="585"/>
      <c r="K144" s="585"/>
      <c r="L144" s="585"/>
      <c r="M144" s="585"/>
      <c r="N144" s="585"/>
      <c r="O144" s="585"/>
      <c r="P144" s="585"/>
      <c r="Q144" s="585"/>
      <c r="R144" s="585"/>
      <c r="S144" s="585"/>
      <c r="T144" s="585"/>
      <c r="U144" s="585"/>
      <c r="V144" s="585"/>
      <c r="W144" s="585"/>
      <c r="X144" s="585"/>
      <c r="Y144" s="585"/>
      <c r="Z144" s="585"/>
    </row>
    <row r="145" ht="15.75" customHeight="1">
      <c r="A145" s="585"/>
      <c r="B145" s="585"/>
      <c r="C145" s="585"/>
      <c r="D145" s="585"/>
      <c r="E145" s="585"/>
      <c r="F145" s="585"/>
      <c r="G145" s="585"/>
      <c r="H145" s="585"/>
      <c r="I145" s="585"/>
      <c r="J145" s="585"/>
      <c r="K145" s="585"/>
      <c r="L145" s="585"/>
      <c r="M145" s="585"/>
      <c r="N145" s="585"/>
      <c r="O145" s="585"/>
      <c r="P145" s="585"/>
      <c r="Q145" s="585"/>
      <c r="R145" s="585"/>
      <c r="S145" s="585"/>
      <c r="T145" s="585"/>
      <c r="U145" s="585"/>
      <c r="V145" s="585"/>
      <c r="W145" s="585"/>
      <c r="X145" s="585"/>
      <c r="Y145" s="585"/>
      <c r="Z145" s="585"/>
    </row>
    <row r="146" ht="15.75" customHeight="1">
      <c r="A146" s="585"/>
      <c r="B146" s="585"/>
      <c r="C146" s="585"/>
      <c r="D146" s="585"/>
      <c r="E146" s="585"/>
      <c r="F146" s="585"/>
      <c r="G146" s="585"/>
      <c r="H146" s="585"/>
      <c r="I146" s="585"/>
      <c r="J146" s="585"/>
      <c r="K146" s="585"/>
      <c r="L146" s="585"/>
      <c r="M146" s="585"/>
      <c r="N146" s="585"/>
      <c r="O146" s="585"/>
      <c r="P146" s="585"/>
      <c r="Q146" s="585"/>
      <c r="R146" s="585"/>
      <c r="S146" s="585"/>
      <c r="T146" s="585"/>
      <c r="U146" s="585"/>
      <c r="V146" s="585"/>
      <c r="W146" s="585"/>
      <c r="X146" s="585"/>
      <c r="Y146" s="585"/>
      <c r="Z146" s="585"/>
    </row>
    <row r="147" ht="15.75" customHeight="1">
      <c r="A147" s="585"/>
      <c r="B147" s="585"/>
      <c r="C147" s="585"/>
      <c r="D147" s="585"/>
      <c r="E147" s="585"/>
      <c r="F147" s="585"/>
      <c r="G147" s="585"/>
      <c r="H147" s="585"/>
      <c r="I147" s="585"/>
      <c r="J147" s="585"/>
      <c r="K147" s="585"/>
      <c r="L147" s="585"/>
      <c r="M147" s="585"/>
      <c r="N147" s="585"/>
      <c r="O147" s="585"/>
      <c r="P147" s="585"/>
      <c r="Q147" s="585"/>
      <c r="R147" s="585"/>
      <c r="S147" s="585"/>
      <c r="T147" s="585"/>
      <c r="U147" s="585"/>
      <c r="V147" s="585"/>
      <c r="W147" s="585"/>
      <c r="X147" s="585"/>
      <c r="Y147" s="585"/>
      <c r="Z147" s="585"/>
    </row>
    <row r="148" ht="15.75" customHeight="1">
      <c r="A148" s="585"/>
      <c r="B148" s="585"/>
      <c r="C148" s="585"/>
      <c r="D148" s="585"/>
      <c r="E148" s="585"/>
      <c r="F148" s="585"/>
      <c r="G148" s="585"/>
      <c r="H148" s="585"/>
      <c r="I148" s="585"/>
      <c r="J148" s="585"/>
      <c r="K148" s="585"/>
      <c r="L148" s="585"/>
      <c r="M148" s="585"/>
      <c r="N148" s="585"/>
      <c r="O148" s="585"/>
      <c r="P148" s="585"/>
      <c r="Q148" s="585"/>
      <c r="R148" s="585"/>
      <c r="S148" s="585"/>
      <c r="T148" s="585"/>
      <c r="U148" s="585"/>
      <c r="V148" s="585"/>
      <c r="W148" s="585"/>
      <c r="X148" s="585"/>
      <c r="Y148" s="585"/>
      <c r="Z148" s="585"/>
    </row>
    <row r="149" ht="15.75" customHeight="1">
      <c r="A149" s="585"/>
      <c r="B149" s="585"/>
      <c r="C149" s="585"/>
      <c r="D149" s="585"/>
      <c r="E149" s="585"/>
      <c r="F149" s="585"/>
      <c r="G149" s="585"/>
      <c r="H149" s="585"/>
      <c r="I149" s="585"/>
      <c r="J149" s="585"/>
      <c r="K149" s="585"/>
      <c r="L149" s="585"/>
      <c r="M149" s="585"/>
      <c r="N149" s="585"/>
      <c r="O149" s="585"/>
      <c r="P149" s="585"/>
      <c r="Q149" s="585"/>
      <c r="R149" s="585"/>
      <c r="S149" s="585"/>
      <c r="T149" s="585"/>
      <c r="U149" s="585"/>
      <c r="V149" s="585"/>
      <c r="W149" s="585"/>
      <c r="X149" s="585"/>
      <c r="Y149" s="585"/>
      <c r="Z149" s="585"/>
    </row>
    <row r="150" ht="15.75" customHeight="1">
      <c r="A150" s="585"/>
      <c r="B150" s="585"/>
      <c r="C150" s="585"/>
      <c r="D150" s="585"/>
      <c r="E150" s="585"/>
      <c r="F150" s="585"/>
      <c r="G150" s="585"/>
      <c r="H150" s="585"/>
      <c r="I150" s="585"/>
      <c r="J150" s="585"/>
      <c r="K150" s="585"/>
      <c r="L150" s="585"/>
      <c r="M150" s="585"/>
      <c r="N150" s="585"/>
      <c r="O150" s="585"/>
      <c r="P150" s="585"/>
      <c r="Q150" s="585"/>
      <c r="R150" s="585"/>
      <c r="S150" s="585"/>
      <c r="T150" s="585"/>
      <c r="U150" s="585"/>
      <c r="V150" s="585"/>
      <c r="W150" s="585"/>
      <c r="X150" s="585"/>
      <c r="Y150" s="585"/>
      <c r="Z150" s="585"/>
    </row>
    <row r="151" ht="15.75" customHeight="1">
      <c r="A151" s="585"/>
      <c r="B151" s="585"/>
      <c r="C151" s="585"/>
      <c r="D151" s="585"/>
      <c r="E151" s="585"/>
      <c r="F151" s="585"/>
      <c r="G151" s="585"/>
      <c r="H151" s="585"/>
      <c r="I151" s="585"/>
      <c r="J151" s="585"/>
      <c r="K151" s="585"/>
      <c r="L151" s="585"/>
      <c r="M151" s="585"/>
      <c r="N151" s="585"/>
      <c r="O151" s="585"/>
      <c r="P151" s="585"/>
      <c r="Q151" s="585"/>
      <c r="R151" s="585"/>
      <c r="S151" s="585"/>
      <c r="T151" s="585"/>
      <c r="U151" s="585"/>
      <c r="V151" s="585"/>
      <c r="W151" s="585"/>
      <c r="X151" s="585"/>
      <c r="Y151" s="585"/>
      <c r="Z151" s="585"/>
    </row>
    <row r="152" ht="15.75" customHeight="1">
      <c r="A152" s="585"/>
      <c r="B152" s="585"/>
      <c r="C152" s="585"/>
      <c r="D152" s="585"/>
      <c r="E152" s="585"/>
      <c r="F152" s="585"/>
      <c r="G152" s="585"/>
      <c r="H152" s="585"/>
      <c r="I152" s="585"/>
      <c r="J152" s="585"/>
      <c r="K152" s="585"/>
      <c r="L152" s="585"/>
      <c r="M152" s="585"/>
      <c r="N152" s="585"/>
      <c r="O152" s="585"/>
      <c r="P152" s="585"/>
      <c r="Q152" s="585"/>
      <c r="R152" s="585"/>
      <c r="S152" s="585"/>
      <c r="T152" s="585"/>
      <c r="U152" s="585"/>
      <c r="V152" s="585"/>
      <c r="W152" s="585"/>
      <c r="X152" s="585"/>
      <c r="Y152" s="585"/>
      <c r="Z152" s="585"/>
    </row>
    <row r="153" ht="15.75" customHeight="1">
      <c r="A153" s="585"/>
      <c r="B153" s="585"/>
      <c r="C153" s="585"/>
      <c r="D153" s="585"/>
      <c r="E153" s="585"/>
      <c r="F153" s="585"/>
      <c r="G153" s="585"/>
      <c r="H153" s="585"/>
      <c r="I153" s="585"/>
      <c r="J153" s="585"/>
      <c r="K153" s="585"/>
      <c r="L153" s="585"/>
      <c r="M153" s="585"/>
      <c r="N153" s="585"/>
      <c r="O153" s="585"/>
      <c r="P153" s="585"/>
      <c r="Q153" s="585"/>
      <c r="R153" s="585"/>
      <c r="S153" s="585"/>
      <c r="T153" s="585"/>
      <c r="U153" s="585"/>
      <c r="V153" s="585"/>
      <c r="W153" s="585"/>
      <c r="X153" s="585"/>
      <c r="Y153" s="585"/>
      <c r="Z153" s="585"/>
    </row>
    <row r="154" ht="15.75" customHeight="1">
      <c r="A154" s="585"/>
      <c r="B154" s="585"/>
      <c r="C154" s="585"/>
      <c r="D154" s="585"/>
      <c r="E154" s="585"/>
      <c r="F154" s="585"/>
      <c r="G154" s="585"/>
      <c r="H154" s="585"/>
      <c r="I154" s="585"/>
      <c r="J154" s="585"/>
      <c r="K154" s="585"/>
      <c r="L154" s="585"/>
      <c r="M154" s="585"/>
      <c r="N154" s="585"/>
      <c r="O154" s="585"/>
      <c r="P154" s="585"/>
      <c r="Q154" s="585"/>
      <c r="R154" s="585"/>
      <c r="S154" s="585"/>
      <c r="T154" s="585"/>
      <c r="U154" s="585"/>
      <c r="V154" s="585"/>
      <c r="W154" s="585"/>
      <c r="X154" s="585"/>
      <c r="Y154" s="585"/>
      <c r="Z154" s="585"/>
    </row>
    <row r="155" ht="15.75" customHeight="1">
      <c r="A155" s="585"/>
      <c r="B155" s="585"/>
      <c r="C155" s="585"/>
      <c r="D155" s="585"/>
      <c r="E155" s="585"/>
      <c r="F155" s="585"/>
      <c r="G155" s="585"/>
      <c r="H155" s="585"/>
      <c r="I155" s="585"/>
      <c r="J155" s="585"/>
      <c r="K155" s="585"/>
      <c r="L155" s="585"/>
      <c r="M155" s="585"/>
      <c r="N155" s="585"/>
      <c r="O155" s="585"/>
      <c r="P155" s="585"/>
      <c r="Q155" s="585"/>
      <c r="R155" s="585"/>
      <c r="S155" s="585"/>
      <c r="T155" s="585"/>
      <c r="U155" s="585"/>
      <c r="V155" s="585"/>
      <c r="W155" s="585"/>
      <c r="X155" s="585"/>
      <c r="Y155" s="585"/>
      <c r="Z155" s="585"/>
    </row>
    <row r="156" ht="15.75" customHeight="1">
      <c r="A156" s="585"/>
      <c r="B156" s="585"/>
      <c r="C156" s="585"/>
      <c r="D156" s="585"/>
      <c r="E156" s="585"/>
      <c r="F156" s="585"/>
      <c r="G156" s="585"/>
      <c r="H156" s="585"/>
      <c r="I156" s="585"/>
      <c r="J156" s="585"/>
      <c r="K156" s="585"/>
      <c r="L156" s="585"/>
      <c r="M156" s="585"/>
      <c r="N156" s="585"/>
      <c r="O156" s="585"/>
      <c r="P156" s="585"/>
      <c r="Q156" s="585"/>
      <c r="R156" s="585"/>
      <c r="S156" s="585"/>
      <c r="T156" s="585"/>
      <c r="U156" s="585"/>
      <c r="V156" s="585"/>
      <c r="W156" s="585"/>
      <c r="X156" s="585"/>
      <c r="Y156" s="585"/>
      <c r="Z156" s="585"/>
    </row>
    <row r="157" ht="15.75" customHeight="1">
      <c r="A157" s="585"/>
      <c r="B157" s="585"/>
      <c r="C157" s="585"/>
      <c r="D157" s="585"/>
      <c r="E157" s="585"/>
      <c r="F157" s="585"/>
      <c r="G157" s="585"/>
      <c r="H157" s="585"/>
      <c r="I157" s="585"/>
      <c r="J157" s="585"/>
      <c r="K157" s="585"/>
      <c r="L157" s="585"/>
      <c r="M157" s="585"/>
      <c r="N157" s="585"/>
      <c r="O157" s="585"/>
      <c r="P157" s="585"/>
      <c r="Q157" s="585"/>
      <c r="R157" s="585"/>
      <c r="S157" s="585"/>
      <c r="T157" s="585"/>
      <c r="U157" s="585"/>
      <c r="V157" s="585"/>
      <c r="W157" s="585"/>
      <c r="X157" s="585"/>
      <c r="Y157" s="585"/>
      <c r="Z157" s="585"/>
    </row>
    <row r="158" ht="15.75" customHeight="1">
      <c r="A158" s="585"/>
      <c r="B158" s="585"/>
      <c r="C158" s="585"/>
      <c r="D158" s="585"/>
      <c r="E158" s="585"/>
      <c r="F158" s="585"/>
      <c r="G158" s="585"/>
      <c r="H158" s="585"/>
      <c r="I158" s="585"/>
      <c r="J158" s="585"/>
      <c r="K158" s="585"/>
      <c r="L158" s="585"/>
      <c r="M158" s="585"/>
      <c r="N158" s="585"/>
      <c r="O158" s="585"/>
      <c r="P158" s="585"/>
      <c r="Q158" s="585"/>
      <c r="R158" s="585"/>
      <c r="S158" s="585"/>
      <c r="T158" s="585"/>
      <c r="U158" s="585"/>
      <c r="V158" s="585"/>
      <c r="W158" s="585"/>
      <c r="X158" s="585"/>
      <c r="Y158" s="585"/>
      <c r="Z158" s="585"/>
    </row>
    <row r="159" ht="15.75" customHeight="1">
      <c r="A159" s="585"/>
      <c r="B159" s="585"/>
      <c r="C159" s="585"/>
      <c r="D159" s="585"/>
      <c r="E159" s="585"/>
      <c r="F159" s="585"/>
      <c r="G159" s="585"/>
      <c r="H159" s="585"/>
      <c r="I159" s="585"/>
      <c r="J159" s="585"/>
      <c r="K159" s="585"/>
      <c r="L159" s="585"/>
      <c r="M159" s="585"/>
      <c r="N159" s="585"/>
      <c r="O159" s="585"/>
      <c r="P159" s="585"/>
      <c r="Q159" s="585"/>
      <c r="R159" s="585"/>
      <c r="S159" s="585"/>
      <c r="T159" s="585"/>
      <c r="U159" s="585"/>
      <c r="V159" s="585"/>
      <c r="W159" s="585"/>
      <c r="X159" s="585"/>
      <c r="Y159" s="585"/>
      <c r="Z159" s="585"/>
    </row>
    <row r="160" ht="15.75" customHeight="1">
      <c r="A160" s="585"/>
      <c r="B160" s="585"/>
      <c r="C160" s="585"/>
      <c r="D160" s="585"/>
      <c r="E160" s="585"/>
      <c r="F160" s="585"/>
      <c r="G160" s="585"/>
      <c r="H160" s="585"/>
      <c r="I160" s="585"/>
      <c r="J160" s="585"/>
      <c r="K160" s="585"/>
      <c r="L160" s="585"/>
      <c r="M160" s="585"/>
      <c r="N160" s="585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</row>
    <row r="161" ht="15.75" customHeight="1">
      <c r="A161" s="585"/>
      <c r="B161" s="585"/>
      <c r="C161" s="585"/>
      <c r="D161" s="585"/>
      <c r="E161" s="585"/>
      <c r="F161" s="585"/>
      <c r="G161" s="585"/>
      <c r="H161" s="585"/>
      <c r="I161" s="585"/>
      <c r="J161" s="585"/>
      <c r="K161" s="585"/>
      <c r="L161" s="585"/>
      <c r="M161" s="585"/>
      <c r="N161" s="585"/>
      <c r="O161" s="585"/>
      <c r="P161" s="585"/>
      <c r="Q161" s="585"/>
      <c r="R161" s="585"/>
      <c r="S161" s="585"/>
      <c r="T161" s="585"/>
      <c r="U161" s="585"/>
      <c r="V161" s="585"/>
      <c r="W161" s="585"/>
      <c r="X161" s="585"/>
      <c r="Y161" s="585"/>
      <c r="Z161" s="585"/>
    </row>
    <row r="162" ht="15.75" customHeight="1">
      <c r="A162" s="585"/>
      <c r="B162" s="585"/>
      <c r="C162" s="585"/>
      <c r="D162" s="585"/>
      <c r="E162" s="585"/>
      <c r="F162" s="585"/>
      <c r="G162" s="585"/>
      <c r="H162" s="585"/>
      <c r="I162" s="585"/>
      <c r="J162" s="585"/>
      <c r="K162" s="585"/>
      <c r="L162" s="585"/>
      <c r="M162" s="585"/>
      <c r="N162" s="585"/>
      <c r="O162" s="585"/>
      <c r="P162" s="585"/>
      <c r="Q162" s="585"/>
      <c r="R162" s="585"/>
      <c r="S162" s="585"/>
      <c r="T162" s="585"/>
      <c r="U162" s="585"/>
      <c r="V162" s="585"/>
      <c r="W162" s="585"/>
      <c r="X162" s="585"/>
      <c r="Y162" s="585"/>
      <c r="Z162" s="585"/>
    </row>
    <row r="163" ht="15.75" customHeight="1">
      <c r="A163" s="585"/>
      <c r="B163" s="585"/>
      <c r="C163" s="585"/>
      <c r="D163" s="585"/>
      <c r="E163" s="585"/>
      <c r="F163" s="585"/>
      <c r="G163" s="585"/>
      <c r="H163" s="585"/>
      <c r="I163" s="585"/>
      <c r="J163" s="585"/>
      <c r="K163" s="585"/>
      <c r="L163" s="585"/>
      <c r="M163" s="585"/>
      <c r="N163" s="585"/>
      <c r="O163" s="585"/>
      <c r="P163" s="585"/>
      <c r="Q163" s="585"/>
      <c r="R163" s="585"/>
      <c r="S163" s="585"/>
      <c r="T163" s="585"/>
      <c r="U163" s="585"/>
      <c r="V163" s="585"/>
      <c r="W163" s="585"/>
      <c r="X163" s="585"/>
      <c r="Y163" s="585"/>
      <c r="Z163" s="585"/>
    </row>
    <row r="164" ht="15.75" customHeight="1">
      <c r="A164" s="585"/>
      <c r="B164" s="585"/>
      <c r="C164" s="585"/>
      <c r="D164" s="585"/>
      <c r="E164" s="585"/>
      <c r="F164" s="585"/>
      <c r="G164" s="585"/>
      <c r="H164" s="585"/>
      <c r="I164" s="585"/>
      <c r="J164" s="585"/>
      <c r="K164" s="585"/>
      <c r="L164" s="585"/>
      <c r="M164" s="585"/>
      <c r="N164" s="585"/>
      <c r="O164" s="585"/>
      <c r="P164" s="585"/>
      <c r="Q164" s="585"/>
      <c r="R164" s="585"/>
      <c r="S164" s="585"/>
      <c r="T164" s="585"/>
      <c r="U164" s="585"/>
      <c r="V164" s="585"/>
      <c r="W164" s="585"/>
      <c r="X164" s="585"/>
      <c r="Y164" s="585"/>
      <c r="Z164" s="585"/>
    </row>
    <row r="165" ht="15.75" customHeight="1">
      <c r="A165" s="585"/>
      <c r="B165" s="585"/>
      <c r="C165" s="585"/>
      <c r="D165" s="585"/>
      <c r="E165" s="585"/>
      <c r="F165" s="585"/>
      <c r="G165" s="585"/>
      <c r="H165" s="585"/>
      <c r="I165" s="585"/>
      <c r="J165" s="585"/>
      <c r="K165" s="585"/>
      <c r="L165" s="585"/>
      <c r="M165" s="585"/>
      <c r="N165" s="585"/>
      <c r="O165" s="585"/>
      <c r="P165" s="585"/>
      <c r="Q165" s="585"/>
      <c r="R165" s="585"/>
      <c r="S165" s="585"/>
      <c r="T165" s="585"/>
      <c r="U165" s="585"/>
      <c r="V165" s="585"/>
      <c r="W165" s="585"/>
      <c r="X165" s="585"/>
      <c r="Y165" s="585"/>
      <c r="Z165" s="585"/>
    </row>
    <row r="166" ht="15.75" customHeight="1">
      <c r="A166" s="585"/>
      <c r="B166" s="585"/>
      <c r="C166" s="585"/>
      <c r="D166" s="585"/>
      <c r="E166" s="585"/>
      <c r="F166" s="585"/>
      <c r="G166" s="585"/>
      <c r="H166" s="585"/>
      <c r="I166" s="585"/>
      <c r="J166" s="585"/>
      <c r="K166" s="585"/>
      <c r="L166" s="585"/>
      <c r="M166" s="585"/>
      <c r="N166" s="585"/>
      <c r="O166" s="585"/>
      <c r="P166" s="585"/>
      <c r="Q166" s="585"/>
      <c r="R166" s="585"/>
      <c r="S166" s="585"/>
      <c r="T166" s="585"/>
      <c r="U166" s="585"/>
      <c r="V166" s="585"/>
      <c r="W166" s="585"/>
      <c r="X166" s="585"/>
      <c r="Y166" s="585"/>
      <c r="Z166" s="585"/>
    </row>
    <row r="167" ht="15.75" customHeight="1">
      <c r="A167" s="585"/>
      <c r="B167" s="585"/>
      <c r="C167" s="585"/>
      <c r="D167" s="585"/>
      <c r="E167" s="585"/>
      <c r="F167" s="585"/>
      <c r="G167" s="585"/>
      <c r="H167" s="585"/>
      <c r="I167" s="585"/>
      <c r="J167" s="585"/>
      <c r="K167" s="585"/>
      <c r="L167" s="585"/>
      <c r="M167" s="585"/>
      <c r="N167" s="585"/>
      <c r="O167" s="585"/>
      <c r="P167" s="585"/>
      <c r="Q167" s="585"/>
      <c r="R167" s="585"/>
      <c r="S167" s="585"/>
      <c r="T167" s="585"/>
      <c r="U167" s="585"/>
      <c r="V167" s="585"/>
      <c r="W167" s="585"/>
      <c r="X167" s="585"/>
      <c r="Y167" s="585"/>
      <c r="Z167" s="585"/>
    </row>
    <row r="168" ht="15.75" customHeight="1">
      <c r="A168" s="585"/>
      <c r="B168" s="585"/>
      <c r="C168" s="585"/>
      <c r="D168" s="585"/>
      <c r="E168" s="585"/>
      <c r="F168" s="585"/>
      <c r="G168" s="585"/>
      <c r="H168" s="585"/>
      <c r="I168" s="585"/>
      <c r="J168" s="585"/>
      <c r="K168" s="585"/>
      <c r="L168" s="585"/>
      <c r="M168" s="585"/>
      <c r="N168" s="585"/>
      <c r="O168" s="585"/>
      <c r="P168" s="585"/>
      <c r="Q168" s="585"/>
      <c r="R168" s="585"/>
      <c r="S168" s="585"/>
      <c r="T168" s="585"/>
      <c r="U168" s="585"/>
      <c r="V168" s="585"/>
      <c r="W168" s="585"/>
      <c r="X168" s="585"/>
      <c r="Y168" s="585"/>
      <c r="Z168" s="585"/>
    </row>
    <row r="169" ht="15.75" customHeight="1">
      <c r="A169" s="585"/>
      <c r="B169" s="585"/>
      <c r="C169" s="585"/>
      <c r="D169" s="585"/>
      <c r="E169" s="585"/>
      <c r="F169" s="585"/>
      <c r="G169" s="585"/>
      <c r="H169" s="585"/>
      <c r="I169" s="585"/>
      <c r="J169" s="585"/>
      <c r="K169" s="585"/>
      <c r="L169" s="585"/>
      <c r="M169" s="585"/>
      <c r="N169" s="585"/>
      <c r="O169" s="585"/>
      <c r="P169" s="585"/>
      <c r="Q169" s="585"/>
      <c r="R169" s="585"/>
      <c r="S169" s="585"/>
      <c r="T169" s="585"/>
      <c r="U169" s="585"/>
      <c r="V169" s="585"/>
      <c r="W169" s="585"/>
      <c r="X169" s="585"/>
      <c r="Y169" s="585"/>
      <c r="Z169" s="585"/>
    </row>
    <row r="170" ht="15.75" customHeight="1">
      <c r="A170" s="585"/>
      <c r="B170" s="585"/>
      <c r="C170" s="585"/>
      <c r="D170" s="585"/>
      <c r="E170" s="585"/>
      <c r="F170" s="585"/>
      <c r="G170" s="585"/>
      <c r="H170" s="585"/>
      <c r="I170" s="585"/>
      <c r="J170" s="585"/>
      <c r="K170" s="585"/>
      <c r="L170" s="585"/>
      <c r="M170" s="585"/>
      <c r="N170" s="585"/>
      <c r="O170" s="585"/>
      <c r="P170" s="585"/>
      <c r="Q170" s="585"/>
      <c r="R170" s="585"/>
      <c r="S170" s="585"/>
      <c r="T170" s="585"/>
      <c r="U170" s="585"/>
      <c r="V170" s="585"/>
      <c r="W170" s="585"/>
      <c r="X170" s="585"/>
      <c r="Y170" s="585"/>
      <c r="Z170" s="585"/>
    </row>
    <row r="171" ht="15.75" customHeight="1">
      <c r="A171" s="585"/>
      <c r="B171" s="585"/>
      <c r="C171" s="585"/>
      <c r="D171" s="585"/>
      <c r="E171" s="585"/>
      <c r="F171" s="585"/>
      <c r="G171" s="585"/>
      <c r="H171" s="585"/>
      <c r="I171" s="585"/>
      <c r="J171" s="585"/>
      <c r="K171" s="585"/>
      <c r="L171" s="585"/>
      <c r="M171" s="585"/>
      <c r="N171" s="585"/>
      <c r="O171" s="585"/>
      <c r="P171" s="585"/>
      <c r="Q171" s="585"/>
      <c r="R171" s="585"/>
      <c r="S171" s="585"/>
      <c r="T171" s="585"/>
      <c r="U171" s="585"/>
      <c r="V171" s="585"/>
      <c r="W171" s="585"/>
      <c r="X171" s="585"/>
      <c r="Y171" s="585"/>
      <c r="Z171" s="585"/>
    </row>
    <row r="172" ht="15.75" customHeight="1">
      <c r="A172" s="585"/>
      <c r="B172" s="585"/>
      <c r="C172" s="585"/>
      <c r="D172" s="585"/>
      <c r="E172" s="585"/>
      <c r="F172" s="585"/>
      <c r="G172" s="585"/>
      <c r="H172" s="585"/>
      <c r="I172" s="585"/>
      <c r="J172" s="585"/>
      <c r="K172" s="585"/>
      <c r="L172" s="585"/>
      <c r="M172" s="585"/>
      <c r="N172" s="585"/>
      <c r="O172" s="585"/>
      <c r="P172" s="585"/>
      <c r="Q172" s="585"/>
      <c r="R172" s="585"/>
      <c r="S172" s="585"/>
      <c r="T172" s="585"/>
      <c r="U172" s="585"/>
      <c r="V172" s="585"/>
      <c r="W172" s="585"/>
      <c r="X172" s="585"/>
      <c r="Y172" s="585"/>
      <c r="Z172" s="585"/>
    </row>
    <row r="173" ht="15.75" customHeight="1">
      <c r="A173" s="585"/>
      <c r="B173" s="585"/>
      <c r="C173" s="585"/>
      <c r="D173" s="585"/>
      <c r="E173" s="585"/>
      <c r="F173" s="585"/>
      <c r="G173" s="585"/>
      <c r="H173" s="585"/>
      <c r="I173" s="585"/>
      <c r="J173" s="585"/>
      <c r="K173" s="585"/>
      <c r="L173" s="585"/>
      <c r="M173" s="585"/>
      <c r="N173" s="585"/>
      <c r="O173" s="585"/>
      <c r="P173" s="585"/>
      <c r="Q173" s="585"/>
      <c r="R173" s="585"/>
      <c r="S173" s="585"/>
      <c r="T173" s="585"/>
      <c r="U173" s="585"/>
      <c r="V173" s="585"/>
      <c r="W173" s="585"/>
      <c r="X173" s="585"/>
      <c r="Y173" s="585"/>
      <c r="Z173" s="585"/>
    </row>
    <row r="174" ht="15.75" customHeight="1">
      <c r="A174" s="585"/>
      <c r="B174" s="585"/>
      <c r="C174" s="585"/>
      <c r="D174" s="585"/>
      <c r="E174" s="585"/>
      <c r="F174" s="585"/>
      <c r="G174" s="585"/>
      <c r="H174" s="585"/>
      <c r="I174" s="585"/>
      <c r="J174" s="585"/>
      <c r="K174" s="585"/>
      <c r="L174" s="585"/>
      <c r="M174" s="585"/>
      <c r="N174" s="585"/>
      <c r="O174" s="585"/>
      <c r="P174" s="585"/>
      <c r="Q174" s="585"/>
      <c r="R174" s="585"/>
      <c r="S174" s="585"/>
      <c r="T174" s="585"/>
      <c r="U174" s="585"/>
      <c r="V174" s="585"/>
      <c r="W174" s="585"/>
      <c r="X174" s="585"/>
      <c r="Y174" s="585"/>
      <c r="Z174" s="585"/>
    </row>
    <row r="175" ht="15.75" customHeight="1">
      <c r="A175" s="585"/>
      <c r="B175" s="585"/>
      <c r="C175" s="585"/>
      <c r="D175" s="585"/>
      <c r="E175" s="585"/>
      <c r="F175" s="585"/>
      <c r="G175" s="585"/>
      <c r="H175" s="585"/>
      <c r="I175" s="585"/>
      <c r="J175" s="585"/>
      <c r="K175" s="585"/>
      <c r="L175" s="585"/>
      <c r="M175" s="585"/>
      <c r="N175" s="585"/>
      <c r="O175" s="585"/>
      <c r="P175" s="585"/>
      <c r="Q175" s="585"/>
      <c r="R175" s="585"/>
      <c r="S175" s="585"/>
      <c r="T175" s="585"/>
      <c r="U175" s="585"/>
      <c r="V175" s="585"/>
      <c r="W175" s="585"/>
      <c r="X175" s="585"/>
      <c r="Y175" s="585"/>
      <c r="Z175" s="585"/>
    </row>
    <row r="176" ht="15.75" customHeight="1">
      <c r="A176" s="585"/>
      <c r="B176" s="585"/>
      <c r="C176" s="585"/>
      <c r="D176" s="585"/>
      <c r="E176" s="585"/>
      <c r="F176" s="585"/>
      <c r="G176" s="585"/>
      <c r="H176" s="585"/>
      <c r="I176" s="585"/>
      <c r="J176" s="585"/>
      <c r="K176" s="585"/>
      <c r="L176" s="585"/>
      <c r="M176" s="585"/>
      <c r="N176" s="585"/>
      <c r="O176" s="585"/>
      <c r="P176" s="585"/>
      <c r="Q176" s="585"/>
      <c r="R176" s="585"/>
      <c r="S176" s="585"/>
      <c r="T176" s="585"/>
      <c r="U176" s="585"/>
      <c r="V176" s="585"/>
      <c r="W176" s="585"/>
      <c r="X176" s="585"/>
      <c r="Y176" s="585"/>
      <c r="Z176" s="585"/>
    </row>
    <row r="177" ht="15.75" customHeight="1">
      <c r="A177" s="585"/>
      <c r="B177" s="585"/>
      <c r="C177" s="585"/>
      <c r="D177" s="585"/>
      <c r="E177" s="585"/>
      <c r="F177" s="585"/>
      <c r="G177" s="585"/>
      <c r="H177" s="585"/>
      <c r="I177" s="585"/>
      <c r="J177" s="585"/>
      <c r="K177" s="585"/>
      <c r="L177" s="585"/>
      <c r="M177" s="585"/>
      <c r="N177" s="585"/>
      <c r="O177" s="585"/>
      <c r="P177" s="585"/>
      <c r="Q177" s="585"/>
      <c r="R177" s="585"/>
      <c r="S177" s="585"/>
      <c r="T177" s="585"/>
      <c r="U177" s="585"/>
      <c r="V177" s="585"/>
      <c r="W177" s="585"/>
      <c r="X177" s="585"/>
      <c r="Y177" s="585"/>
      <c r="Z177" s="585"/>
    </row>
    <row r="178" ht="15.75" customHeight="1">
      <c r="A178" s="585"/>
      <c r="B178" s="585"/>
      <c r="C178" s="585"/>
      <c r="D178" s="585"/>
      <c r="E178" s="585"/>
      <c r="F178" s="585"/>
      <c r="G178" s="585"/>
      <c r="H178" s="585"/>
      <c r="I178" s="585"/>
      <c r="J178" s="585"/>
      <c r="K178" s="585"/>
      <c r="L178" s="585"/>
      <c r="M178" s="585"/>
      <c r="N178" s="585"/>
      <c r="O178" s="585"/>
      <c r="P178" s="585"/>
      <c r="Q178" s="585"/>
      <c r="R178" s="585"/>
      <c r="S178" s="585"/>
      <c r="T178" s="585"/>
      <c r="U178" s="585"/>
      <c r="V178" s="585"/>
      <c r="W178" s="585"/>
      <c r="X178" s="585"/>
      <c r="Y178" s="585"/>
      <c r="Z178" s="585"/>
    </row>
    <row r="179" ht="15.75" customHeight="1">
      <c r="A179" s="585"/>
      <c r="B179" s="585"/>
      <c r="C179" s="585"/>
      <c r="D179" s="585"/>
      <c r="E179" s="585"/>
      <c r="F179" s="585"/>
      <c r="G179" s="585"/>
      <c r="H179" s="585"/>
      <c r="I179" s="585"/>
      <c r="J179" s="585"/>
      <c r="K179" s="585"/>
      <c r="L179" s="585"/>
      <c r="M179" s="585"/>
      <c r="N179" s="585"/>
      <c r="O179" s="585"/>
      <c r="P179" s="585"/>
      <c r="Q179" s="585"/>
      <c r="R179" s="585"/>
      <c r="S179" s="585"/>
      <c r="T179" s="585"/>
      <c r="U179" s="585"/>
      <c r="V179" s="585"/>
      <c r="W179" s="585"/>
      <c r="X179" s="585"/>
      <c r="Y179" s="585"/>
      <c r="Z179" s="585"/>
    </row>
    <row r="180" ht="15.75" customHeight="1">
      <c r="A180" s="585"/>
      <c r="B180" s="585"/>
      <c r="C180" s="585"/>
      <c r="D180" s="585"/>
      <c r="E180" s="585"/>
      <c r="F180" s="585"/>
      <c r="G180" s="585"/>
      <c r="H180" s="585"/>
      <c r="I180" s="585"/>
      <c r="J180" s="585"/>
      <c r="K180" s="585"/>
      <c r="L180" s="585"/>
      <c r="M180" s="585"/>
      <c r="N180" s="585"/>
      <c r="O180" s="585"/>
      <c r="P180" s="585"/>
      <c r="Q180" s="585"/>
      <c r="R180" s="585"/>
      <c r="S180" s="585"/>
      <c r="T180" s="585"/>
      <c r="U180" s="585"/>
      <c r="V180" s="585"/>
      <c r="W180" s="585"/>
      <c r="X180" s="585"/>
      <c r="Y180" s="585"/>
      <c r="Z180" s="585"/>
    </row>
    <row r="181" ht="15.75" customHeight="1">
      <c r="A181" s="585"/>
      <c r="B181" s="585"/>
      <c r="C181" s="585"/>
      <c r="D181" s="585"/>
      <c r="E181" s="585"/>
      <c r="F181" s="585"/>
      <c r="G181" s="585"/>
      <c r="H181" s="585"/>
      <c r="I181" s="585"/>
      <c r="J181" s="585"/>
      <c r="K181" s="585"/>
      <c r="L181" s="585"/>
      <c r="M181" s="585"/>
      <c r="N181" s="585"/>
      <c r="O181" s="585"/>
      <c r="P181" s="585"/>
      <c r="Q181" s="585"/>
      <c r="R181" s="585"/>
      <c r="S181" s="585"/>
      <c r="T181" s="585"/>
      <c r="U181" s="585"/>
      <c r="V181" s="585"/>
      <c r="W181" s="585"/>
      <c r="X181" s="585"/>
      <c r="Y181" s="585"/>
      <c r="Z181" s="585"/>
    </row>
    <row r="182" ht="15.75" customHeight="1">
      <c r="A182" s="585"/>
      <c r="B182" s="585"/>
      <c r="C182" s="585"/>
      <c r="D182" s="585"/>
      <c r="E182" s="585"/>
      <c r="F182" s="585"/>
      <c r="G182" s="585"/>
      <c r="H182" s="585"/>
      <c r="I182" s="585"/>
      <c r="J182" s="585"/>
      <c r="K182" s="585"/>
      <c r="L182" s="585"/>
      <c r="M182" s="585"/>
      <c r="N182" s="585"/>
      <c r="O182" s="585"/>
      <c r="P182" s="585"/>
      <c r="Q182" s="585"/>
      <c r="R182" s="585"/>
      <c r="S182" s="585"/>
      <c r="T182" s="585"/>
      <c r="U182" s="585"/>
      <c r="V182" s="585"/>
      <c r="W182" s="585"/>
      <c r="X182" s="585"/>
      <c r="Y182" s="585"/>
      <c r="Z182" s="585"/>
    </row>
    <row r="183" ht="15.75" customHeight="1">
      <c r="A183" s="585"/>
      <c r="B183" s="585"/>
      <c r="C183" s="585"/>
      <c r="D183" s="585"/>
      <c r="E183" s="585"/>
      <c r="F183" s="585"/>
      <c r="G183" s="585"/>
      <c r="H183" s="585"/>
      <c r="I183" s="585"/>
      <c r="J183" s="585"/>
      <c r="K183" s="585"/>
      <c r="L183" s="585"/>
      <c r="M183" s="585"/>
      <c r="N183" s="585"/>
      <c r="O183" s="585"/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</row>
    <row r="184" ht="15.75" customHeight="1">
      <c r="A184" s="585"/>
      <c r="B184" s="585"/>
      <c r="C184" s="585"/>
      <c r="D184" s="585"/>
      <c r="E184" s="585"/>
      <c r="F184" s="585"/>
      <c r="G184" s="585"/>
      <c r="H184" s="585"/>
      <c r="I184" s="585"/>
      <c r="J184" s="585"/>
      <c r="K184" s="585"/>
      <c r="L184" s="585"/>
      <c r="M184" s="585"/>
      <c r="N184" s="585"/>
      <c r="O184" s="585"/>
      <c r="P184" s="585"/>
      <c r="Q184" s="585"/>
      <c r="R184" s="585"/>
      <c r="S184" s="585"/>
      <c r="T184" s="585"/>
      <c r="U184" s="585"/>
      <c r="V184" s="585"/>
      <c r="W184" s="585"/>
      <c r="X184" s="585"/>
      <c r="Y184" s="585"/>
      <c r="Z184" s="585"/>
    </row>
    <row r="185" ht="15.75" customHeight="1">
      <c r="A185" s="585"/>
      <c r="B185" s="585"/>
      <c r="C185" s="585"/>
      <c r="D185" s="585"/>
      <c r="E185" s="585"/>
      <c r="F185" s="585"/>
      <c r="G185" s="585"/>
      <c r="H185" s="585"/>
      <c r="I185" s="585"/>
      <c r="J185" s="585"/>
      <c r="K185" s="585"/>
      <c r="L185" s="585"/>
      <c r="M185" s="585"/>
      <c r="N185" s="585"/>
      <c r="O185" s="585"/>
      <c r="P185" s="585"/>
      <c r="Q185" s="585"/>
      <c r="R185" s="585"/>
      <c r="S185" s="585"/>
      <c r="T185" s="585"/>
      <c r="U185" s="585"/>
      <c r="V185" s="585"/>
      <c r="W185" s="585"/>
      <c r="X185" s="585"/>
      <c r="Y185" s="585"/>
      <c r="Z185" s="585"/>
    </row>
    <row r="186" ht="15.75" customHeight="1">
      <c r="A186" s="585"/>
      <c r="B186" s="585"/>
      <c r="C186" s="585"/>
      <c r="D186" s="585"/>
      <c r="E186" s="585"/>
      <c r="F186" s="585"/>
      <c r="G186" s="585"/>
      <c r="H186" s="585"/>
      <c r="I186" s="585"/>
      <c r="J186" s="585"/>
      <c r="K186" s="585"/>
      <c r="L186" s="585"/>
      <c r="M186" s="585"/>
      <c r="N186" s="585"/>
      <c r="O186" s="585"/>
      <c r="P186" s="585"/>
      <c r="Q186" s="585"/>
      <c r="R186" s="585"/>
      <c r="S186" s="585"/>
      <c r="T186" s="585"/>
      <c r="U186" s="585"/>
      <c r="V186" s="585"/>
      <c r="W186" s="585"/>
      <c r="X186" s="585"/>
      <c r="Y186" s="585"/>
      <c r="Z186" s="585"/>
    </row>
    <row r="187" ht="15.75" customHeight="1">
      <c r="A187" s="585"/>
      <c r="B187" s="585"/>
      <c r="C187" s="585"/>
      <c r="D187" s="585"/>
      <c r="E187" s="585"/>
      <c r="F187" s="585"/>
      <c r="G187" s="585"/>
      <c r="H187" s="585"/>
      <c r="I187" s="585"/>
      <c r="J187" s="585"/>
      <c r="K187" s="585"/>
      <c r="L187" s="585"/>
      <c r="M187" s="585"/>
      <c r="N187" s="585"/>
      <c r="O187" s="585"/>
      <c r="P187" s="585"/>
      <c r="Q187" s="585"/>
      <c r="R187" s="585"/>
      <c r="S187" s="585"/>
      <c r="T187" s="585"/>
      <c r="U187" s="585"/>
      <c r="V187" s="585"/>
      <c r="W187" s="585"/>
      <c r="X187" s="585"/>
      <c r="Y187" s="585"/>
      <c r="Z187" s="585"/>
    </row>
    <row r="188" ht="15.75" customHeight="1">
      <c r="A188" s="585"/>
      <c r="B188" s="585"/>
      <c r="C188" s="585"/>
      <c r="D188" s="585"/>
      <c r="E188" s="585"/>
      <c r="F188" s="585"/>
      <c r="G188" s="585"/>
      <c r="H188" s="585"/>
      <c r="I188" s="585"/>
      <c r="J188" s="585"/>
      <c r="K188" s="585"/>
      <c r="L188" s="585"/>
      <c r="M188" s="585"/>
      <c r="N188" s="585"/>
      <c r="O188" s="585"/>
      <c r="P188" s="585"/>
      <c r="Q188" s="585"/>
      <c r="R188" s="585"/>
      <c r="S188" s="585"/>
      <c r="T188" s="585"/>
      <c r="U188" s="585"/>
      <c r="V188" s="585"/>
      <c r="W188" s="585"/>
      <c r="X188" s="585"/>
      <c r="Y188" s="585"/>
      <c r="Z188" s="585"/>
    </row>
    <row r="189" ht="15.75" customHeight="1">
      <c r="A189" s="585"/>
      <c r="B189" s="585"/>
      <c r="C189" s="585"/>
      <c r="D189" s="585"/>
      <c r="E189" s="585"/>
      <c r="F189" s="585"/>
      <c r="G189" s="585"/>
      <c r="H189" s="585"/>
      <c r="I189" s="585"/>
      <c r="J189" s="585"/>
      <c r="K189" s="585"/>
      <c r="L189" s="585"/>
      <c r="M189" s="585"/>
      <c r="N189" s="585"/>
      <c r="O189" s="585"/>
      <c r="P189" s="585"/>
      <c r="Q189" s="585"/>
      <c r="R189" s="585"/>
      <c r="S189" s="585"/>
      <c r="T189" s="585"/>
      <c r="U189" s="585"/>
      <c r="V189" s="585"/>
      <c r="W189" s="585"/>
      <c r="X189" s="585"/>
      <c r="Y189" s="585"/>
      <c r="Z189" s="585"/>
    </row>
    <row r="190" ht="15.75" customHeight="1">
      <c r="A190" s="585"/>
      <c r="B190" s="585"/>
      <c r="C190" s="585"/>
      <c r="D190" s="585"/>
      <c r="E190" s="585"/>
      <c r="F190" s="585"/>
      <c r="G190" s="585"/>
      <c r="H190" s="585"/>
      <c r="I190" s="585"/>
      <c r="J190" s="585"/>
      <c r="K190" s="585"/>
      <c r="L190" s="585"/>
      <c r="M190" s="585"/>
      <c r="N190" s="585"/>
      <c r="O190" s="585"/>
      <c r="P190" s="585"/>
      <c r="Q190" s="585"/>
      <c r="R190" s="585"/>
      <c r="S190" s="585"/>
      <c r="T190" s="585"/>
      <c r="U190" s="585"/>
      <c r="V190" s="585"/>
      <c r="W190" s="585"/>
      <c r="X190" s="585"/>
      <c r="Y190" s="585"/>
      <c r="Z190" s="585"/>
    </row>
    <row r="191" ht="15.75" customHeight="1">
      <c r="A191" s="585"/>
      <c r="B191" s="585"/>
      <c r="C191" s="585"/>
      <c r="D191" s="585"/>
      <c r="E191" s="585"/>
      <c r="F191" s="585"/>
      <c r="G191" s="585"/>
      <c r="H191" s="585"/>
      <c r="I191" s="585"/>
      <c r="J191" s="585"/>
      <c r="K191" s="585"/>
      <c r="L191" s="585"/>
      <c r="M191" s="585"/>
      <c r="N191" s="585"/>
      <c r="O191" s="585"/>
      <c r="P191" s="585"/>
      <c r="Q191" s="585"/>
      <c r="R191" s="585"/>
      <c r="S191" s="585"/>
      <c r="T191" s="585"/>
      <c r="U191" s="585"/>
      <c r="V191" s="585"/>
      <c r="W191" s="585"/>
      <c r="X191" s="585"/>
      <c r="Y191" s="585"/>
      <c r="Z191" s="585"/>
    </row>
    <row r="192" ht="15.75" customHeight="1">
      <c r="A192" s="585"/>
      <c r="B192" s="585"/>
      <c r="C192" s="585"/>
      <c r="D192" s="585"/>
      <c r="E192" s="585"/>
      <c r="F192" s="585"/>
      <c r="G192" s="585"/>
      <c r="H192" s="585"/>
      <c r="I192" s="585"/>
      <c r="J192" s="585"/>
      <c r="K192" s="585"/>
      <c r="L192" s="585"/>
      <c r="M192" s="585"/>
      <c r="N192" s="585"/>
      <c r="O192" s="585"/>
      <c r="P192" s="585"/>
      <c r="Q192" s="585"/>
      <c r="R192" s="585"/>
      <c r="S192" s="585"/>
      <c r="T192" s="585"/>
      <c r="U192" s="585"/>
      <c r="V192" s="585"/>
      <c r="W192" s="585"/>
      <c r="X192" s="585"/>
      <c r="Y192" s="585"/>
      <c r="Z192" s="585"/>
    </row>
    <row r="193" ht="15.75" customHeight="1">
      <c r="A193" s="585"/>
      <c r="B193" s="585"/>
      <c r="C193" s="585"/>
      <c r="D193" s="585"/>
      <c r="E193" s="585"/>
      <c r="F193" s="585"/>
      <c r="G193" s="585"/>
      <c r="H193" s="585"/>
      <c r="I193" s="585"/>
      <c r="J193" s="585"/>
      <c r="K193" s="585"/>
      <c r="L193" s="585"/>
      <c r="M193" s="585"/>
      <c r="N193" s="585"/>
      <c r="O193" s="585"/>
      <c r="P193" s="585"/>
      <c r="Q193" s="585"/>
      <c r="R193" s="585"/>
      <c r="S193" s="585"/>
      <c r="T193" s="585"/>
      <c r="U193" s="585"/>
      <c r="V193" s="585"/>
      <c r="W193" s="585"/>
      <c r="X193" s="585"/>
      <c r="Y193" s="585"/>
      <c r="Z193" s="585"/>
    </row>
    <row r="194" ht="15.75" customHeight="1">
      <c r="A194" s="585"/>
      <c r="B194" s="585"/>
      <c r="C194" s="585"/>
      <c r="D194" s="585"/>
      <c r="E194" s="585"/>
      <c r="F194" s="585"/>
      <c r="G194" s="585"/>
      <c r="H194" s="585"/>
      <c r="I194" s="585"/>
      <c r="J194" s="585"/>
      <c r="K194" s="585"/>
      <c r="L194" s="585"/>
      <c r="M194" s="585"/>
      <c r="N194" s="585"/>
      <c r="O194" s="585"/>
      <c r="P194" s="585"/>
      <c r="Q194" s="585"/>
      <c r="R194" s="585"/>
      <c r="S194" s="585"/>
      <c r="T194" s="585"/>
      <c r="U194" s="585"/>
      <c r="V194" s="585"/>
      <c r="W194" s="585"/>
      <c r="X194" s="585"/>
      <c r="Y194" s="585"/>
      <c r="Z194" s="585"/>
    </row>
    <row r="195" ht="15.75" customHeight="1">
      <c r="A195" s="585"/>
      <c r="B195" s="585"/>
      <c r="C195" s="585"/>
      <c r="D195" s="585"/>
      <c r="E195" s="585"/>
      <c r="F195" s="585"/>
      <c r="G195" s="585"/>
      <c r="H195" s="585"/>
      <c r="I195" s="585"/>
      <c r="J195" s="585"/>
      <c r="K195" s="585"/>
      <c r="L195" s="585"/>
      <c r="M195" s="585"/>
      <c r="N195" s="585"/>
      <c r="O195" s="585"/>
      <c r="P195" s="585"/>
      <c r="Q195" s="585"/>
      <c r="R195" s="585"/>
      <c r="S195" s="585"/>
      <c r="T195" s="585"/>
      <c r="U195" s="585"/>
      <c r="V195" s="585"/>
      <c r="W195" s="585"/>
      <c r="X195" s="585"/>
      <c r="Y195" s="585"/>
      <c r="Z195" s="585"/>
    </row>
    <row r="196" ht="15.75" customHeight="1">
      <c r="A196" s="585"/>
      <c r="B196" s="585"/>
      <c r="C196" s="585"/>
      <c r="D196" s="585"/>
      <c r="E196" s="585"/>
      <c r="F196" s="585"/>
      <c r="G196" s="585"/>
      <c r="H196" s="585"/>
      <c r="I196" s="585"/>
      <c r="J196" s="585"/>
      <c r="K196" s="585"/>
      <c r="L196" s="585"/>
      <c r="M196" s="585"/>
      <c r="N196" s="585"/>
      <c r="O196" s="585"/>
      <c r="P196" s="585"/>
      <c r="Q196" s="585"/>
      <c r="R196" s="585"/>
      <c r="S196" s="585"/>
      <c r="T196" s="585"/>
      <c r="U196" s="585"/>
      <c r="V196" s="585"/>
      <c r="W196" s="585"/>
      <c r="X196" s="585"/>
      <c r="Y196" s="585"/>
      <c r="Z196" s="585"/>
    </row>
    <row r="197" ht="15.75" customHeight="1">
      <c r="A197" s="585"/>
      <c r="B197" s="585"/>
      <c r="C197" s="585"/>
      <c r="D197" s="585"/>
      <c r="E197" s="585"/>
      <c r="F197" s="585"/>
      <c r="G197" s="585"/>
      <c r="H197" s="585"/>
      <c r="I197" s="585"/>
      <c r="J197" s="585"/>
      <c r="K197" s="585"/>
      <c r="L197" s="585"/>
      <c r="M197" s="585"/>
      <c r="N197" s="585"/>
      <c r="O197" s="585"/>
      <c r="P197" s="585"/>
      <c r="Q197" s="585"/>
      <c r="R197" s="585"/>
      <c r="S197" s="585"/>
      <c r="T197" s="585"/>
      <c r="U197" s="585"/>
      <c r="V197" s="585"/>
      <c r="W197" s="585"/>
      <c r="X197" s="585"/>
      <c r="Y197" s="585"/>
      <c r="Z197" s="585"/>
    </row>
    <row r="198" ht="15.75" customHeight="1">
      <c r="A198" s="585"/>
      <c r="B198" s="585"/>
      <c r="C198" s="585"/>
      <c r="D198" s="585"/>
      <c r="E198" s="585"/>
      <c r="F198" s="585"/>
      <c r="G198" s="585"/>
      <c r="H198" s="585"/>
      <c r="I198" s="585"/>
      <c r="J198" s="585"/>
      <c r="K198" s="585"/>
      <c r="L198" s="585"/>
      <c r="M198" s="585"/>
      <c r="N198" s="585"/>
      <c r="O198" s="585"/>
      <c r="P198" s="585"/>
      <c r="Q198" s="585"/>
      <c r="R198" s="585"/>
      <c r="S198" s="585"/>
      <c r="T198" s="585"/>
      <c r="U198" s="585"/>
      <c r="V198" s="585"/>
      <c r="W198" s="585"/>
      <c r="X198" s="585"/>
      <c r="Y198" s="585"/>
      <c r="Z198" s="585"/>
    </row>
    <row r="199" ht="15.75" customHeight="1">
      <c r="A199" s="585"/>
      <c r="B199" s="585"/>
      <c r="C199" s="585"/>
      <c r="D199" s="585"/>
      <c r="E199" s="585"/>
      <c r="F199" s="585"/>
      <c r="G199" s="585"/>
      <c r="H199" s="585"/>
      <c r="I199" s="585"/>
      <c r="J199" s="585"/>
      <c r="K199" s="585"/>
      <c r="L199" s="585"/>
      <c r="M199" s="585"/>
      <c r="N199" s="585"/>
      <c r="O199" s="585"/>
      <c r="P199" s="585"/>
      <c r="Q199" s="585"/>
      <c r="R199" s="585"/>
      <c r="S199" s="585"/>
      <c r="T199" s="585"/>
      <c r="U199" s="585"/>
      <c r="V199" s="585"/>
      <c r="W199" s="585"/>
      <c r="X199" s="585"/>
      <c r="Y199" s="585"/>
      <c r="Z199" s="585"/>
    </row>
    <row r="200" ht="15.75" customHeight="1">
      <c r="A200" s="585"/>
      <c r="B200" s="585"/>
      <c r="C200" s="585"/>
      <c r="D200" s="585"/>
      <c r="E200" s="585"/>
      <c r="F200" s="585"/>
      <c r="G200" s="585"/>
      <c r="H200" s="585"/>
      <c r="I200" s="585"/>
      <c r="J200" s="585"/>
      <c r="K200" s="585"/>
      <c r="L200" s="585"/>
      <c r="M200" s="585"/>
      <c r="N200" s="585"/>
      <c r="O200" s="585"/>
      <c r="P200" s="585"/>
      <c r="Q200" s="585"/>
      <c r="R200" s="585"/>
      <c r="S200" s="585"/>
      <c r="T200" s="585"/>
      <c r="U200" s="585"/>
      <c r="V200" s="585"/>
      <c r="W200" s="585"/>
      <c r="X200" s="585"/>
      <c r="Y200" s="585"/>
      <c r="Z200" s="585"/>
    </row>
    <row r="201" ht="15.75" customHeight="1">
      <c r="A201" s="585"/>
      <c r="B201" s="585"/>
      <c r="C201" s="585"/>
      <c r="D201" s="585"/>
      <c r="E201" s="585"/>
      <c r="F201" s="585"/>
      <c r="G201" s="585"/>
      <c r="H201" s="585"/>
      <c r="I201" s="585"/>
      <c r="J201" s="585"/>
      <c r="K201" s="585"/>
      <c r="L201" s="585"/>
      <c r="M201" s="585"/>
      <c r="N201" s="585"/>
      <c r="O201" s="585"/>
      <c r="P201" s="585"/>
      <c r="Q201" s="585"/>
      <c r="R201" s="585"/>
      <c r="S201" s="585"/>
      <c r="T201" s="585"/>
      <c r="U201" s="585"/>
      <c r="V201" s="585"/>
      <c r="W201" s="585"/>
      <c r="X201" s="585"/>
      <c r="Y201" s="585"/>
      <c r="Z201" s="585"/>
    </row>
    <row r="202" ht="15.75" customHeight="1">
      <c r="A202" s="585"/>
      <c r="B202" s="585"/>
      <c r="C202" s="585"/>
      <c r="D202" s="585"/>
      <c r="E202" s="585"/>
      <c r="F202" s="585"/>
      <c r="G202" s="585"/>
      <c r="H202" s="585"/>
      <c r="I202" s="585"/>
      <c r="J202" s="585"/>
      <c r="K202" s="585"/>
      <c r="L202" s="585"/>
      <c r="M202" s="585"/>
      <c r="N202" s="585"/>
      <c r="O202" s="585"/>
      <c r="P202" s="585"/>
      <c r="Q202" s="585"/>
      <c r="R202" s="585"/>
      <c r="S202" s="585"/>
      <c r="T202" s="585"/>
      <c r="U202" s="585"/>
      <c r="V202" s="585"/>
      <c r="W202" s="585"/>
      <c r="X202" s="585"/>
      <c r="Y202" s="585"/>
      <c r="Z202" s="585"/>
    </row>
    <row r="203" ht="15.75" customHeight="1">
      <c r="A203" s="585"/>
      <c r="B203" s="585"/>
      <c r="C203" s="585"/>
      <c r="D203" s="585"/>
      <c r="E203" s="585"/>
      <c r="F203" s="585"/>
      <c r="G203" s="585"/>
      <c r="H203" s="585"/>
      <c r="I203" s="585"/>
      <c r="J203" s="585"/>
      <c r="K203" s="585"/>
      <c r="L203" s="585"/>
      <c r="M203" s="585"/>
      <c r="N203" s="585"/>
      <c r="O203" s="585"/>
      <c r="P203" s="585"/>
      <c r="Q203" s="585"/>
      <c r="R203" s="585"/>
      <c r="S203" s="585"/>
      <c r="T203" s="585"/>
      <c r="U203" s="585"/>
      <c r="V203" s="585"/>
      <c r="W203" s="585"/>
      <c r="X203" s="585"/>
      <c r="Y203" s="585"/>
      <c r="Z203" s="585"/>
    </row>
    <row r="204" ht="15.75" customHeight="1">
      <c r="A204" s="585"/>
      <c r="B204" s="585"/>
      <c r="C204" s="585"/>
      <c r="D204" s="585"/>
      <c r="E204" s="585"/>
      <c r="F204" s="585"/>
      <c r="G204" s="585"/>
      <c r="H204" s="585"/>
      <c r="I204" s="585"/>
      <c r="J204" s="585"/>
      <c r="K204" s="585"/>
      <c r="L204" s="585"/>
      <c r="M204" s="585"/>
      <c r="N204" s="585"/>
      <c r="O204" s="585"/>
      <c r="P204" s="585"/>
      <c r="Q204" s="585"/>
      <c r="R204" s="585"/>
      <c r="S204" s="585"/>
      <c r="T204" s="585"/>
      <c r="U204" s="585"/>
      <c r="V204" s="585"/>
      <c r="W204" s="585"/>
      <c r="X204" s="585"/>
      <c r="Y204" s="585"/>
      <c r="Z204" s="585"/>
    </row>
    <row r="205" ht="15.75" customHeight="1">
      <c r="A205" s="585"/>
      <c r="B205" s="585"/>
      <c r="C205" s="585"/>
      <c r="D205" s="585"/>
      <c r="E205" s="585"/>
      <c r="F205" s="585"/>
      <c r="G205" s="585"/>
      <c r="H205" s="585"/>
      <c r="I205" s="585"/>
      <c r="J205" s="585"/>
      <c r="K205" s="585"/>
      <c r="L205" s="585"/>
      <c r="M205" s="585"/>
      <c r="N205" s="585"/>
      <c r="O205" s="585"/>
      <c r="P205" s="585"/>
      <c r="Q205" s="585"/>
      <c r="R205" s="585"/>
      <c r="S205" s="585"/>
      <c r="T205" s="585"/>
      <c r="U205" s="585"/>
      <c r="V205" s="585"/>
      <c r="W205" s="585"/>
      <c r="X205" s="585"/>
      <c r="Y205" s="585"/>
      <c r="Z205" s="585"/>
    </row>
    <row r="206" ht="15.75" customHeight="1">
      <c r="A206" s="585"/>
      <c r="B206" s="585"/>
      <c r="C206" s="585"/>
      <c r="D206" s="585"/>
      <c r="E206" s="585"/>
      <c r="F206" s="585"/>
      <c r="G206" s="585"/>
      <c r="H206" s="585"/>
      <c r="I206" s="585"/>
      <c r="J206" s="585"/>
      <c r="K206" s="585"/>
      <c r="L206" s="585"/>
      <c r="M206" s="585"/>
      <c r="N206" s="585"/>
      <c r="O206" s="585"/>
      <c r="P206" s="585"/>
      <c r="Q206" s="585"/>
      <c r="R206" s="585"/>
      <c r="S206" s="585"/>
      <c r="T206" s="585"/>
      <c r="U206" s="585"/>
      <c r="V206" s="585"/>
      <c r="W206" s="585"/>
      <c r="X206" s="585"/>
      <c r="Y206" s="585"/>
      <c r="Z206" s="585"/>
    </row>
    <row r="207" ht="15.75" customHeight="1">
      <c r="A207" s="585"/>
      <c r="B207" s="585"/>
      <c r="C207" s="585"/>
      <c r="D207" s="585"/>
      <c r="E207" s="585"/>
      <c r="F207" s="585"/>
      <c r="G207" s="585"/>
      <c r="H207" s="585"/>
      <c r="I207" s="585"/>
      <c r="J207" s="585"/>
      <c r="K207" s="585"/>
      <c r="L207" s="585"/>
      <c r="M207" s="585"/>
      <c r="N207" s="585"/>
      <c r="O207" s="585"/>
      <c r="P207" s="585"/>
      <c r="Q207" s="585"/>
      <c r="R207" s="585"/>
      <c r="S207" s="585"/>
      <c r="T207" s="585"/>
      <c r="U207" s="585"/>
      <c r="V207" s="585"/>
      <c r="W207" s="585"/>
      <c r="X207" s="585"/>
      <c r="Y207" s="585"/>
      <c r="Z207" s="585"/>
    </row>
    <row r="208" ht="15.75" customHeight="1">
      <c r="A208" s="585"/>
      <c r="B208" s="585"/>
      <c r="C208" s="585"/>
      <c r="D208" s="585"/>
      <c r="E208" s="585"/>
      <c r="F208" s="585"/>
      <c r="G208" s="585"/>
      <c r="H208" s="585"/>
      <c r="I208" s="585"/>
      <c r="J208" s="585"/>
      <c r="K208" s="585"/>
      <c r="L208" s="585"/>
      <c r="M208" s="585"/>
      <c r="N208" s="585"/>
      <c r="O208" s="585"/>
      <c r="P208" s="585"/>
      <c r="Q208" s="585"/>
      <c r="R208" s="585"/>
      <c r="S208" s="585"/>
      <c r="T208" s="585"/>
      <c r="U208" s="585"/>
      <c r="V208" s="585"/>
      <c r="W208" s="585"/>
      <c r="X208" s="585"/>
      <c r="Y208" s="585"/>
      <c r="Z208" s="585"/>
    </row>
    <row r="209" ht="15.75" customHeight="1">
      <c r="A209" s="585"/>
      <c r="B209" s="585"/>
      <c r="C209" s="585"/>
      <c r="D209" s="585"/>
      <c r="E209" s="585"/>
      <c r="F209" s="585"/>
      <c r="G209" s="585"/>
      <c r="H209" s="585"/>
      <c r="I209" s="585"/>
      <c r="J209" s="585"/>
      <c r="K209" s="585"/>
      <c r="L209" s="585"/>
      <c r="M209" s="585"/>
      <c r="N209" s="585"/>
      <c r="O209" s="585"/>
      <c r="P209" s="585"/>
      <c r="Q209" s="585"/>
      <c r="R209" s="585"/>
      <c r="S209" s="585"/>
      <c r="T209" s="585"/>
      <c r="U209" s="585"/>
      <c r="V209" s="585"/>
      <c r="W209" s="585"/>
      <c r="X209" s="585"/>
      <c r="Y209" s="585"/>
      <c r="Z209" s="585"/>
    </row>
    <row r="210" ht="15.75" customHeight="1">
      <c r="A210" s="585"/>
      <c r="B210" s="585"/>
      <c r="C210" s="585"/>
      <c r="D210" s="585"/>
      <c r="E210" s="585"/>
      <c r="F210" s="585"/>
      <c r="G210" s="585"/>
      <c r="H210" s="585"/>
      <c r="I210" s="585"/>
      <c r="J210" s="585"/>
      <c r="K210" s="585"/>
      <c r="L210" s="585"/>
      <c r="M210" s="585"/>
      <c r="N210" s="585"/>
      <c r="O210" s="585"/>
      <c r="P210" s="585"/>
      <c r="Q210" s="585"/>
      <c r="R210" s="585"/>
      <c r="S210" s="585"/>
      <c r="T210" s="585"/>
      <c r="U210" s="585"/>
      <c r="V210" s="585"/>
      <c r="W210" s="585"/>
      <c r="X210" s="585"/>
      <c r="Y210" s="585"/>
      <c r="Z210" s="585"/>
    </row>
    <row r="211" ht="15.75" customHeight="1">
      <c r="A211" s="585"/>
      <c r="B211" s="585"/>
      <c r="C211" s="585"/>
      <c r="D211" s="585"/>
      <c r="E211" s="585"/>
      <c r="F211" s="585"/>
      <c r="G211" s="585"/>
      <c r="H211" s="585"/>
      <c r="I211" s="585"/>
      <c r="J211" s="585"/>
      <c r="K211" s="585"/>
      <c r="L211" s="585"/>
      <c r="M211" s="585"/>
      <c r="N211" s="585"/>
      <c r="O211" s="585"/>
      <c r="P211" s="585"/>
      <c r="Q211" s="585"/>
      <c r="R211" s="585"/>
      <c r="S211" s="585"/>
      <c r="T211" s="585"/>
      <c r="U211" s="585"/>
      <c r="V211" s="585"/>
      <c r="W211" s="585"/>
      <c r="X211" s="585"/>
      <c r="Y211" s="585"/>
      <c r="Z211" s="585"/>
    </row>
    <row r="212" ht="15.75" customHeight="1">
      <c r="A212" s="585"/>
      <c r="B212" s="585"/>
      <c r="C212" s="585"/>
      <c r="D212" s="585"/>
      <c r="E212" s="585"/>
      <c r="F212" s="585"/>
      <c r="G212" s="585"/>
      <c r="H212" s="585"/>
      <c r="I212" s="585"/>
      <c r="J212" s="585"/>
      <c r="K212" s="585"/>
      <c r="L212" s="585"/>
      <c r="M212" s="585"/>
      <c r="N212" s="585"/>
      <c r="O212" s="585"/>
      <c r="P212" s="585"/>
      <c r="Q212" s="585"/>
      <c r="R212" s="585"/>
      <c r="S212" s="585"/>
      <c r="T212" s="585"/>
      <c r="U212" s="585"/>
      <c r="V212" s="585"/>
      <c r="W212" s="585"/>
      <c r="X212" s="585"/>
      <c r="Y212" s="585"/>
      <c r="Z212" s="585"/>
    </row>
    <row r="213" ht="15.75" customHeight="1">
      <c r="A213" s="585"/>
      <c r="B213" s="585"/>
      <c r="C213" s="585"/>
      <c r="D213" s="585"/>
      <c r="E213" s="585"/>
      <c r="F213" s="585"/>
      <c r="G213" s="585"/>
      <c r="H213" s="585"/>
      <c r="I213" s="585"/>
      <c r="J213" s="585"/>
      <c r="K213" s="585"/>
      <c r="L213" s="585"/>
      <c r="M213" s="585"/>
      <c r="N213" s="585"/>
      <c r="O213" s="585"/>
      <c r="P213" s="585"/>
      <c r="Q213" s="585"/>
      <c r="R213" s="585"/>
      <c r="S213" s="585"/>
      <c r="T213" s="585"/>
      <c r="U213" s="585"/>
      <c r="V213" s="585"/>
      <c r="W213" s="585"/>
      <c r="X213" s="585"/>
      <c r="Y213" s="585"/>
      <c r="Z213" s="585"/>
    </row>
    <row r="214" ht="15.75" customHeight="1">
      <c r="A214" s="585"/>
      <c r="B214" s="585"/>
      <c r="C214" s="585"/>
      <c r="D214" s="585"/>
      <c r="E214" s="585"/>
      <c r="F214" s="585"/>
      <c r="G214" s="585"/>
      <c r="H214" s="585"/>
      <c r="I214" s="585"/>
      <c r="J214" s="585"/>
      <c r="K214" s="585"/>
      <c r="L214" s="585"/>
      <c r="M214" s="585"/>
      <c r="N214" s="585"/>
      <c r="O214" s="585"/>
      <c r="P214" s="585"/>
      <c r="Q214" s="585"/>
      <c r="R214" s="585"/>
      <c r="S214" s="585"/>
      <c r="T214" s="585"/>
      <c r="U214" s="585"/>
      <c r="V214" s="585"/>
      <c r="W214" s="585"/>
      <c r="X214" s="585"/>
      <c r="Y214" s="585"/>
      <c r="Z214" s="585"/>
    </row>
    <row r="215" ht="15.75" customHeight="1">
      <c r="A215" s="585"/>
      <c r="B215" s="585"/>
      <c r="C215" s="585"/>
      <c r="D215" s="585"/>
      <c r="E215" s="585"/>
      <c r="F215" s="585"/>
      <c r="G215" s="585"/>
      <c r="H215" s="585"/>
      <c r="I215" s="585"/>
      <c r="J215" s="585"/>
      <c r="K215" s="585"/>
      <c r="L215" s="585"/>
      <c r="M215" s="585"/>
      <c r="N215" s="585"/>
      <c r="O215" s="585"/>
      <c r="P215" s="585"/>
      <c r="Q215" s="585"/>
      <c r="R215" s="585"/>
      <c r="S215" s="585"/>
      <c r="T215" s="585"/>
      <c r="U215" s="585"/>
      <c r="V215" s="585"/>
      <c r="W215" s="585"/>
      <c r="X215" s="585"/>
      <c r="Y215" s="585"/>
      <c r="Z215" s="585"/>
    </row>
    <row r="216" ht="15.75" customHeight="1">
      <c r="A216" s="585"/>
      <c r="B216" s="585"/>
      <c r="C216" s="585"/>
      <c r="D216" s="585"/>
      <c r="E216" s="585"/>
      <c r="F216" s="585"/>
      <c r="G216" s="585"/>
      <c r="H216" s="585"/>
      <c r="I216" s="585"/>
      <c r="J216" s="585"/>
      <c r="K216" s="585"/>
      <c r="L216" s="585"/>
      <c r="M216" s="585"/>
      <c r="N216" s="585"/>
      <c r="O216" s="585"/>
      <c r="P216" s="585"/>
      <c r="Q216" s="585"/>
      <c r="R216" s="585"/>
      <c r="S216" s="585"/>
      <c r="T216" s="585"/>
      <c r="U216" s="585"/>
      <c r="V216" s="585"/>
      <c r="W216" s="585"/>
      <c r="X216" s="585"/>
      <c r="Y216" s="585"/>
      <c r="Z216" s="585"/>
    </row>
    <row r="217" ht="15.75" customHeight="1">
      <c r="A217" s="585"/>
      <c r="B217" s="585"/>
      <c r="C217" s="585"/>
      <c r="D217" s="585"/>
      <c r="E217" s="585"/>
      <c r="F217" s="585"/>
      <c r="G217" s="585"/>
      <c r="H217" s="585"/>
      <c r="I217" s="585"/>
      <c r="J217" s="585"/>
      <c r="K217" s="585"/>
      <c r="L217" s="585"/>
      <c r="M217" s="585"/>
      <c r="N217" s="585"/>
      <c r="O217" s="585"/>
      <c r="P217" s="585"/>
      <c r="Q217" s="585"/>
      <c r="R217" s="585"/>
      <c r="S217" s="585"/>
      <c r="T217" s="585"/>
      <c r="U217" s="585"/>
      <c r="V217" s="585"/>
      <c r="W217" s="585"/>
      <c r="X217" s="585"/>
      <c r="Y217" s="585"/>
      <c r="Z217" s="585"/>
    </row>
    <row r="218" ht="15.75" customHeight="1">
      <c r="A218" s="585"/>
      <c r="B218" s="585"/>
      <c r="C218" s="585"/>
      <c r="D218" s="585"/>
      <c r="E218" s="585"/>
      <c r="F218" s="585"/>
      <c r="G218" s="585"/>
      <c r="H218" s="585"/>
      <c r="I218" s="585"/>
      <c r="J218" s="585"/>
      <c r="K218" s="585"/>
      <c r="L218" s="585"/>
      <c r="M218" s="585"/>
      <c r="N218" s="585"/>
      <c r="O218" s="585"/>
      <c r="P218" s="585"/>
      <c r="Q218" s="585"/>
      <c r="R218" s="585"/>
      <c r="S218" s="585"/>
      <c r="T218" s="585"/>
      <c r="U218" s="585"/>
      <c r="V218" s="585"/>
      <c r="W218" s="585"/>
      <c r="X218" s="585"/>
      <c r="Y218" s="585"/>
      <c r="Z218" s="585"/>
    </row>
    <row r="219" ht="15.75" customHeight="1">
      <c r="A219" s="585"/>
      <c r="B219" s="585"/>
      <c r="C219" s="585"/>
      <c r="D219" s="585"/>
      <c r="E219" s="585"/>
      <c r="F219" s="585"/>
      <c r="G219" s="585"/>
      <c r="H219" s="585"/>
      <c r="I219" s="585"/>
      <c r="J219" s="585"/>
      <c r="K219" s="585"/>
      <c r="L219" s="585"/>
      <c r="M219" s="585"/>
      <c r="N219" s="585"/>
      <c r="O219" s="585"/>
      <c r="P219" s="585"/>
      <c r="Q219" s="585"/>
      <c r="R219" s="585"/>
      <c r="S219" s="585"/>
      <c r="T219" s="585"/>
      <c r="U219" s="585"/>
      <c r="V219" s="585"/>
      <c r="W219" s="585"/>
      <c r="X219" s="585"/>
      <c r="Y219" s="585"/>
      <c r="Z219" s="585"/>
    </row>
    <row r="220" ht="15.75" customHeight="1">
      <c r="A220" s="585"/>
      <c r="B220" s="585"/>
      <c r="C220" s="585"/>
      <c r="D220" s="585"/>
      <c r="E220" s="585"/>
      <c r="F220" s="585"/>
      <c r="G220" s="585"/>
      <c r="H220" s="585"/>
      <c r="I220" s="585"/>
      <c r="J220" s="585"/>
      <c r="K220" s="585"/>
      <c r="L220" s="585"/>
      <c r="M220" s="585"/>
      <c r="N220" s="585"/>
      <c r="O220" s="585"/>
      <c r="P220" s="585"/>
      <c r="Q220" s="585"/>
      <c r="R220" s="585"/>
      <c r="S220" s="585"/>
      <c r="T220" s="585"/>
      <c r="U220" s="585"/>
      <c r="V220" s="585"/>
      <c r="W220" s="585"/>
      <c r="X220" s="585"/>
      <c r="Y220" s="585"/>
      <c r="Z220" s="58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30.0"/>
    <col customWidth="1" min="3" max="6" width="12.63"/>
    <col customWidth="1" min="12" max="12" width="20.0"/>
    <col customWidth="1" min="14" max="14" width="26.38"/>
    <col customWidth="1" min="16" max="16" width="16.13"/>
    <col customWidth="1" min="17" max="17" width="35.0"/>
    <col customWidth="1" min="21" max="21" width="12.63"/>
    <col customWidth="1" min="22" max="22" width="17.0"/>
    <col customWidth="1" min="25" max="25" width="30.75"/>
    <col customWidth="1" min="27" max="27" width="17.38"/>
  </cols>
  <sheetData>
    <row r="1" ht="15.75" customHeight="1"/>
    <row r="2" ht="15.75" customHeight="1">
      <c r="A2" s="575" t="s">
        <v>3375</v>
      </c>
      <c r="F2" s="575" t="s">
        <v>3376</v>
      </c>
      <c r="I2" s="573" t="s">
        <v>3377</v>
      </c>
      <c r="N2" s="573" t="s">
        <v>3378</v>
      </c>
      <c r="Q2" s="573"/>
    </row>
    <row r="3" ht="15.75" customHeight="1">
      <c r="A3" s="575" t="s">
        <v>3379</v>
      </c>
      <c r="F3" s="575" t="s">
        <v>3380</v>
      </c>
      <c r="I3" s="575" t="s">
        <v>40</v>
      </c>
      <c r="K3" s="575" t="s">
        <v>3381</v>
      </c>
      <c r="L3" s="595">
        <f>100%-L4</f>
        <v>0.3063583815</v>
      </c>
      <c r="U3" s="575" t="e">
        <v>#REF!</v>
      </c>
      <c r="Y3" s="597" t="s">
        <v>3108</v>
      </c>
      <c r="Z3" s="598"/>
      <c r="AA3" s="599" t="s">
        <v>3385</v>
      </c>
    </row>
    <row r="4" ht="15.75" customHeight="1">
      <c r="A4" s="600">
        <v>369253.9699999999</v>
      </c>
      <c r="F4" s="575">
        <v>69.0</v>
      </c>
      <c r="I4" s="595">
        <v>0.6936416184971098</v>
      </c>
      <c r="K4" s="575" t="s">
        <v>3386</v>
      </c>
      <c r="L4" s="595">
        <f>I4</f>
        <v>0.6936416185</v>
      </c>
      <c r="Y4" s="601"/>
      <c r="Z4" s="598"/>
      <c r="AA4" s="602"/>
    </row>
    <row r="5" ht="15.75" customHeight="1">
      <c r="Y5" s="603" t="s">
        <v>3391</v>
      </c>
      <c r="Z5" s="598"/>
      <c r="AA5" s="604" t="s">
        <v>40</v>
      </c>
    </row>
    <row r="6" ht="15.75" customHeight="1">
      <c r="Y6" s="603" t="s">
        <v>3393</v>
      </c>
      <c r="Z6" s="598"/>
      <c r="AA6" s="605" t="s">
        <v>1949</v>
      </c>
    </row>
    <row r="7" ht="15.75" customHeight="1">
      <c r="Y7" s="606" t="s">
        <v>3115</v>
      </c>
      <c r="Z7" s="598"/>
      <c r="AA7" s="605" t="s">
        <v>3114</v>
      </c>
    </row>
    <row r="8" ht="15.75" customHeight="1">
      <c r="Y8" s="603" t="s">
        <v>3119</v>
      </c>
      <c r="Z8" s="598"/>
      <c r="AA8" s="605" t="s">
        <v>3396</v>
      </c>
    </row>
    <row r="9" ht="15.75" customHeight="1">
      <c r="Y9" s="606" t="s">
        <v>3130</v>
      </c>
      <c r="Z9" s="598"/>
      <c r="AA9" s="604" t="s">
        <v>2909</v>
      </c>
    </row>
    <row r="10" ht="15.75" customHeight="1">
      <c r="Y10" s="603" t="s">
        <v>3121</v>
      </c>
      <c r="Z10" s="598"/>
      <c r="AA10" s="605" t="s">
        <v>3397</v>
      </c>
    </row>
    <row r="11" ht="15.75" customHeight="1">
      <c r="J11" s="607" t="s">
        <v>3398</v>
      </c>
      <c r="K11" s="608"/>
      <c r="L11" s="608"/>
      <c r="M11" s="608"/>
      <c r="N11" s="608"/>
      <c r="O11" s="608"/>
      <c r="P11" s="608"/>
      <c r="Y11" s="606" t="s">
        <v>3399</v>
      </c>
      <c r="Z11" s="598"/>
      <c r="AA11" s="604" t="s">
        <v>3400</v>
      </c>
    </row>
    <row r="12" ht="15.75" customHeight="1">
      <c r="J12" s="607" t="s">
        <v>3401</v>
      </c>
      <c r="L12" s="608"/>
      <c r="M12" s="608"/>
      <c r="N12" s="607" t="s">
        <v>3402</v>
      </c>
      <c r="P12" s="608"/>
      <c r="Y12" s="603" t="s">
        <v>3403</v>
      </c>
      <c r="Z12" s="598"/>
      <c r="AA12" s="605" t="s">
        <v>3404</v>
      </c>
    </row>
    <row r="13" ht="15.75" customHeight="1">
      <c r="J13" s="596" t="e">
        <v>#REF!</v>
      </c>
      <c r="M13" s="608"/>
      <c r="N13" s="609" t="s">
        <v>108</v>
      </c>
      <c r="O13" s="608" t="s">
        <v>3405</v>
      </c>
      <c r="P13" s="608" t="s">
        <v>3406</v>
      </c>
      <c r="S13" s="575" t="s">
        <v>3376</v>
      </c>
      <c r="Y13" s="606" t="s">
        <v>3140</v>
      </c>
      <c r="Z13" s="598"/>
      <c r="AA13" s="604" t="s">
        <v>3407</v>
      </c>
    </row>
    <row r="14" ht="15.75" customHeight="1">
      <c r="M14" s="608"/>
      <c r="N14" s="609" t="s">
        <v>108</v>
      </c>
      <c r="O14" s="608">
        <v>12.0</v>
      </c>
      <c r="P14" s="609">
        <v>2.0833333333333335</v>
      </c>
      <c r="S14" s="575" t="s">
        <v>3380</v>
      </c>
      <c r="T14" s="575" t="s">
        <v>3379</v>
      </c>
      <c r="Y14" s="606" t="s">
        <v>2909</v>
      </c>
      <c r="Z14" s="598"/>
      <c r="AA14" s="605" t="s">
        <v>3408</v>
      </c>
    </row>
    <row r="15" ht="15.75" customHeight="1">
      <c r="M15" s="608"/>
      <c r="N15" s="609" t="s">
        <v>188</v>
      </c>
      <c r="O15" s="608">
        <v>2.0</v>
      </c>
      <c r="P15" s="609">
        <v>1.8181818181818181</v>
      </c>
      <c r="S15" s="575">
        <v>84.0</v>
      </c>
      <c r="T15" s="600">
        <v>390963.6400000001</v>
      </c>
      <c r="U15" s="610"/>
      <c r="Y15" s="603" t="s">
        <v>3409</v>
      </c>
      <c r="Z15" s="598"/>
      <c r="AA15" s="604" t="s">
        <v>3118</v>
      </c>
    </row>
    <row r="16" ht="15.75" customHeight="1">
      <c r="M16" s="608"/>
      <c r="N16" s="609" t="s">
        <v>78</v>
      </c>
      <c r="O16" s="608">
        <v>2.0</v>
      </c>
      <c r="P16" s="609">
        <v>5.454615266472125</v>
      </c>
      <c r="U16" s="610"/>
      <c r="Y16" s="603" t="s">
        <v>3136</v>
      </c>
      <c r="Z16" s="611"/>
      <c r="AA16" s="605" t="s">
        <v>3410</v>
      </c>
    </row>
    <row r="17" ht="15.75" customHeight="1">
      <c r="M17" s="608"/>
      <c r="N17" s="609" t="s">
        <v>59</v>
      </c>
      <c r="O17" s="608">
        <v>9.0</v>
      </c>
      <c r="P17" s="609">
        <v>4.358353510895884</v>
      </c>
      <c r="U17" s="610"/>
      <c r="Y17" s="606" t="s">
        <v>1940</v>
      </c>
      <c r="Z17" s="611"/>
      <c r="AA17" s="611"/>
    </row>
    <row r="18" ht="15.75" customHeight="1">
      <c r="M18" s="608"/>
      <c r="N18" s="609" t="s">
        <v>94</v>
      </c>
      <c r="O18" s="608">
        <v>11.0</v>
      </c>
      <c r="P18" s="609">
        <v>5.833333333333333</v>
      </c>
      <c r="U18" s="610"/>
      <c r="Y18" s="603" t="s">
        <v>3411</v>
      </c>
      <c r="Z18" s="611"/>
      <c r="AA18" s="611"/>
    </row>
    <row r="19" ht="15.75" customHeight="1">
      <c r="M19" s="608"/>
      <c r="N19" s="609" t="s">
        <v>114</v>
      </c>
      <c r="O19" s="608">
        <v>13.0</v>
      </c>
      <c r="P19" s="609">
        <v>5.98</v>
      </c>
      <c r="U19" s="610"/>
      <c r="Y19" s="606" t="s">
        <v>3131</v>
      </c>
      <c r="Z19" s="611"/>
      <c r="AA19" s="611"/>
    </row>
    <row r="20" ht="15.75" customHeight="1">
      <c r="M20" s="608"/>
      <c r="N20" s="608" t="s">
        <v>3412</v>
      </c>
      <c r="O20" s="608">
        <v>49.0</v>
      </c>
      <c r="P20" s="609">
        <v>5.1993067590987865</v>
      </c>
      <c r="U20" s="610"/>
      <c r="Z20" s="611"/>
      <c r="AA20" s="611"/>
    </row>
    <row r="21" ht="15.75" customHeight="1">
      <c r="J21" s="608"/>
      <c r="K21" s="608"/>
      <c r="L21" s="608"/>
      <c r="M21" s="608"/>
      <c r="N21" s="608"/>
      <c r="O21" s="608"/>
      <c r="P21" s="608"/>
      <c r="U21" s="610"/>
      <c r="Z21" s="611"/>
      <c r="AA21" s="611"/>
    </row>
    <row r="22" ht="15.75" customHeight="1">
      <c r="J22" s="607" t="s">
        <v>3401</v>
      </c>
      <c r="L22" s="608"/>
      <c r="M22" s="608"/>
      <c r="N22" s="607" t="s">
        <v>3413</v>
      </c>
      <c r="P22" s="608"/>
      <c r="U22" s="610"/>
      <c r="Z22" s="611"/>
      <c r="AA22" s="611" t="s">
        <v>2558</v>
      </c>
    </row>
    <row r="23" ht="15.75" customHeight="1">
      <c r="J23" s="609" t="s">
        <v>108</v>
      </c>
      <c r="K23" s="608" t="s">
        <v>3414</v>
      </c>
      <c r="L23" s="608" t="s">
        <v>3415</v>
      </c>
      <c r="M23" s="608"/>
      <c r="N23" s="608" t="s">
        <v>43</v>
      </c>
      <c r="O23" s="608" t="s">
        <v>3405</v>
      </c>
      <c r="P23" s="608" t="s">
        <v>3406</v>
      </c>
      <c r="U23" s="610"/>
      <c r="Z23" s="611"/>
      <c r="AA23" s="611"/>
    </row>
    <row r="24" ht="15.75" customHeight="1">
      <c r="J24" s="609" t="s">
        <v>78</v>
      </c>
      <c r="K24" s="608">
        <v>2.0</v>
      </c>
      <c r="L24" s="608">
        <v>40.5</v>
      </c>
      <c r="M24" s="608"/>
      <c r="N24" s="608" t="s">
        <v>3416</v>
      </c>
      <c r="O24" s="608">
        <v>14.0</v>
      </c>
      <c r="P24" s="609">
        <v>2.0833333333333335</v>
      </c>
      <c r="U24" s="610"/>
      <c r="Z24" s="611"/>
      <c r="AA24" s="611"/>
    </row>
    <row r="25" ht="15.75" customHeight="1">
      <c r="J25" s="609" t="s">
        <v>59</v>
      </c>
      <c r="K25" s="608">
        <v>1.0</v>
      </c>
      <c r="L25" s="608">
        <v>41.0</v>
      </c>
      <c r="M25" s="608"/>
      <c r="N25" s="608" t="s">
        <v>3417</v>
      </c>
      <c r="O25" s="608">
        <v>21.0</v>
      </c>
      <c r="P25" s="609">
        <v>5.833333333333333</v>
      </c>
      <c r="U25" s="610"/>
      <c r="Z25" s="611"/>
      <c r="AA25" s="611"/>
    </row>
    <row r="26" ht="15.75" customHeight="1">
      <c r="J26" s="609" t="s">
        <v>94</v>
      </c>
      <c r="K26" s="608">
        <v>8.0</v>
      </c>
      <c r="L26" s="608">
        <v>34.0</v>
      </c>
      <c r="M26" s="608"/>
      <c r="N26" s="608" t="s">
        <v>43</v>
      </c>
      <c r="O26" s="608">
        <v>13.0</v>
      </c>
      <c r="P26" s="609">
        <v>4.444444444444445</v>
      </c>
      <c r="U26" s="610"/>
      <c r="Z26" s="611"/>
      <c r="AA26" s="611"/>
    </row>
    <row r="27" ht="15.75" customHeight="1">
      <c r="A27" s="575" t="s">
        <v>3385</v>
      </c>
      <c r="J27" s="609" t="s">
        <v>114</v>
      </c>
      <c r="K27" s="608">
        <v>10.0</v>
      </c>
      <c r="L27" s="608">
        <v>30.5</v>
      </c>
      <c r="M27" s="608"/>
      <c r="N27" s="608" t="s">
        <v>3418</v>
      </c>
      <c r="O27" s="608">
        <v>1.0</v>
      </c>
      <c r="P27" s="609">
        <v>0.0</v>
      </c>
      <c r="U27" s="610"/>
      <c r="Z27" s="611"/>
      <c r="AA27" s="611"/>
    </row>
    <row r="28" ht="15.75" customHeight="1">
      <c r="A28" s="596" t="e">
        <v>#REF!</v>
      </c>
      <c r="J28" s="608" t="s">
        <v>3412</v>
      </c>
      <c r="K28" s="608">
        <v>21.0</v>
      </c>
      <c r="L28" s="608">
        <v>37.0</v>
      </c>
      <c r="M28" s="608"/>
      <c r="N28" s="608" t="s">
        <v>3412</v>
      </c>
      <c r="O28" s="608">
        <v>49.0</v>
      </c>
      <c r="P28" s="609">
        <v>5.1993067590987865</v>
      </c>
      <c r="U28" s="610"/>
      <c r="Z28" s="611"/>
      <c r="AA28" s="611"/>
    </row>
    <row r="29" ht="15.75" customHeight="1">
      <c r="J29" s="608"/>
      <c r="K29" s="608"/>
      <c r="L29" s="608"/>
      <c r="M29" s="608"/>
      <c r="N29" s="608"/>
      <c r="O29" s="608"/>
      <c r="P29" s="608"/>
      <c r="U29" s="610"/>
      <c r="Z29" s="611"/>
      <c r="AA29" s="611"/>
    </row>
    <row r="30" ht="15.75" customHeight="1">
      <c r="J30" s="608"/>
      <c r="K30" s="608"/>
      <c r="L30" s="608"/>
      <c r="M30" s="608"/>
      <c r="N30" s="608"/>
      <c r="O30" s="608"/>
      <c r="P30" s="608"/>
      <c r="U30" s="610"/>
      <c r="Z30" s="611"/>
      <c r="AA30" s="611"/>
    </row>
    <row r="31" ht="15.75" customHeight="1">
      <c r="J31" s="608"/>
      <c r="K31" s="608"/>
      <c r="L31" s="608"/>
      <c r="M31" s="608"/>
      <c r="N31" s="608"/>
      <c r="O31" s="608"/>
      <c r="P31" s="608"/>
      <c r="U31" s="610"/>
      <c r="Z31" s="611"/>
      <c r="AA31" s="611"/>
    </row>
    <row r="32" ht="15.75" customHeight="1">
      <c r="J32" s="608"/>
      <c r="K32" s="608"/>
      <c r="L32" s="608"/>
      <c r="M32" s="608"/>
      <c r="N32" s="608"/>
      <c r="O32" s="608"/>
      <c r="P32" s="608"/>
      <c r="U32" s="610"/>
      <c r="AA32" s="611"/>
    </row>
    <row r="33" ht="15.75" customHeight="1">
      <c r="J33" s="608"/>
      <c r="K33" s="608"/>
      <c r="L33" s="608"/>
      <c r="M33" s="608"/>
      <c r="N33" s="608"/>
      <c r="O33" s="608"/>
      <c r="P33" s="608"/>
      <c r="U33" s="610"/>
    </row>
    <row r="34" ht="15.75" customHeight="1">
      <c r="J34" s="608"/>
      <c r="K34" s="608"/>
      <c r="L34" s="608"/>
      <c r="M34" s="608"/>
      <c r="N34" s="607" t="s">
        <v>3419</v>
      </c>
      <c r="P34" s="608"/>
      <c r="U34" s="610"/>
    </row>
    <row r="35" ht="15.75" customHeight="1">
      <c r="J35" s="608"/>
      <c r="K35" s="608"/>
      <c r="L35" s="608"/>
      <c r="M35" s="608"/>
      <c r="N35" s="608" t="s">
        <v>35</v>
      </c>
      <c r="O35" s="608" t="s">
        <v>3420</v>
      </c>
      <c r="P35" s="608" t="s">
        <v>3420</v>
      </c>
    </row>
    <row r="36" ht="15.75" customHeight="1">
      <c r="J36" s="608"/>
      <c r="K36" s="608"/>
      <c r="L36" s="608"/>
      <c r="M36" s="608"/>
      <c r="N36" s="608" t="s">
        <v>68</v>
      </c>
      <c r="O36" s="608">
        <v>2.0</v>
      </c>
      <c r="P36" s="612">
        <v>0.029850746268656716</v>
      </c>
    </row>
    <row r="37" ht="15.75" customHeight="1">
      <c r="J37" s="608"/>
      <c r="K37" s="608"/>
      <c r="L37" s="608"/>
      <c r="M37" s="608"/>
      <c r="N37" s="608" t="s">
        <v>63</v>
      </c>
      <c r="O37" s="608">
        <v>2.0</v>
      </c>
      <c r="P37" s="612">
        <v>0.029850746268656716</v>
      </c>
    </row>
    <row r="38" ht="15.75" customHeight="1">
      <c r="F38" s="575" t="s">
        <v>3421</v>
      </c>
      <c r="J38" s="608"/>
      <c r="K38" s="608"/>
      <c r="L38" s="608"/>
      <c r="M38" s="608"/>
      <c r="N38" s="608" t="s">
        <v>47</v>
      </c>
      <c r="O38" s="608">
        <v>6.0</v>
      </c>
      <c r="P38" s="612">
        <v>0.08955223880597014</v>
      </c>
    </row>
    <row r="39" ht="15.75" customHeight="1">
      <c r="A39" s="575" t="s">
        <v>3385</v>
      </c>
      <c r="F39" s="595" t="s">
        <v>40</v>
      </c>
      <c r="G39" s="575" t="s">
        <v>3422</v>
      </c>
      <c r="J39" s="608"/>
      <c r="K39" s="608"/>
      <c r="L39" s="608"/>
      <c r="M39" s="608"/>
      <c r="N39" s="608" t="s">
        <v>58</v>
      </c>
      <c r="O39" s="608">
        <v>1.0</v>
      </c>
      <c r="P39" s="612">
        <v>0.014925373134328358</v>
      </c>
    </row>
    <row r="40" ht="15.75" customHeight="1">
      <c r="A40" s="596" t="e">
        <v>#REF!</v>
      </c>
      <c r="F40" s="575" t="s">
        <v>131</v>
      </c>
      <c r="G40" s="575">
        <v>7.0</v>
      </c>
      <c r="J40" s="608"/>
      <c r="K40" s="608"/>
      <c r="L40" s="608"/>
      <c r="M40" s="608"/>
      <c r="N40" s="608" t="s">
        <v>3092</v>
      </c>
      <c r="O40" s="608">
        <v>4.0</v>
      </c>
      <c r="P40" s="612">
        <v>0.05970149253731343</v>
      </c>
    </row>
    <row r="41" ht="15.75" customHeight="1">
      <c r="F41" s="595" t="s">
        <v>40</v>
      </c>
      <c r="G41" s="575">
        <v>82.0</v>
      </c>
      <c r="J41" s="608"/>
      <c r="K41" s="608"/>
      <c r="L41" s="608"/>
      <c r="M41" s="608"/>
      <c r="N41" s="608" t="s">
        <v>3423</v>
      </c>
      <c r="O41" s="608">
        <v>3.0</v>
      </c>
      <c r="P41" s="612">
        <v>0.04477611940298507</v>
      </c>
    </row>
    <row r="42" ht="15.75" customHeight="1">
      <c r="F42" s="575" t="s">
        <v>392</v>
      </c>
      <c r="G42" s="575">
        <v>30.0</v>
      </c>
      <c r="J42" s="608"/>
      <c r="K42" s="608"/>
      <c r="L42" s="608"/>
      <c r="M42" s="608"/>
      <c r="N42" s="608" t="s">
        <v>35</v>
      </c>
      <c r="O42" s="608">
        <v>49.0</v>
      </c>
      <c r="P42" s="612">
        <v>0.7313432835820896</v>
      </c>
    </row>
    <row r="43" ht="15.75" customHeight="1">
      <c r="F43" s="575" t="s">
        <v>3412</v>
      </c>
      <c r="G43" s="575">
        <v>119.0</v>
      </c>
      <c r="J43" s="608"/>
      <c r="K43" s="608"/>
      <c r="L43" s="608"/>
      <c r="M43" s="608"/>
      <c r="N43" s="608" t="s">
        <v>3412</v>
      </c>
      <c r="O43" s="608">
        <v>67.0</v>
      </c>
      <c r="P43" s="612">
        <v>1.0</v>
      </c>
    </row>
    <row r="44" ht="15.75" customHeight="1">
      <c r="J44" s="587"/>
      <c r="K44" s="587"/>
      <c r="L44" s="587"/>
      <c r="M44" s="587"/>
      <c r="N44" s="587"/>
      <c r="O44" s="587"/>
      <c r="P44" s="587"/>
    </row>
    <row r="45" ht="15.75" customHeight="1">
      <c r="J45" s="587"/>
      <c r="K45" s="587"/>
      <c r="L45" s="587"/>
      <c r="M45" s="587"/>
      <c r="N45" s="587"/>
      <c r="O45" s="587"/>
      <c r="P45" s="587"/>
    </row>
    <row r="46" ht="15.75" customHeight="1">
      <c r="J46" s="587"/>
      <c r="K46" s="587"/>
      <c r="L46" s="587"/>
      <c r="M46" s="587"/>
      <c r="N46" s="587"/>
      <c r="O46" s="587"/>
      <c r="P46" s="587"/>
    </row>
    <row r="47" ht="15.75" customHeight="1">
      <c r="J47" s="587"/>
      <c r="K47" s="587"/>
      <c r="L47" s="587"/>
      <c r="M47" s="587"/>
      <c r="N47" s="587"/>
      <c r="O47" s="587"/>
      <c r="P47" s="587"/>
    </row>
    <row r="48" ht="15.75" customHeight="1">
      <c r="J48" s="587"/>
      <c r="K48" s="587"/>
      <c r="L48" s="587"/>
      <c r="M48" s="587"/>
      <c r="N48" s="587"/>
      <c r="O48" s="587"/>
      <c r="P48" s="587"/>
    </row>
    <row r="49" ht="15.75" customHeight="1">
      <c r="J49" s="587"/>
      <c r="K49" s="587"/>
      <c r="L49" s="587"/>
      <c r="M49" s="587"/>
      <c r="N49" s="587"/>
      <c r="P49" s="587"/>
    </row>
    <row r="50" ht="15.75" customHeight="1">
      <c r="J50" s="587"/>
      <c r="K50" s="587"/>
      <c r="L50" s="587"/>
      <c r="M50" s="587"/>
      <c r="N50" s="613" t="s">
        <v>40</v>
      </c>
      <c r="O50" s="614" t="s">
        <v>3422</v>
      </c>
      <c r="P50" s="614" t="s">
        <v>3379</v>
      </c>
    </row>
    <row r="51" ht="15.75" customHeight="1">
      <c r="J51" s="587"/>
      <c r="K51" s="587"/>
      <c r="L51" s="587"/>
      <c r="M51" s="587"/>
      <c r="N51" s="613" t="s">
        <v>40</v>
      </c>
      <c r="O51" s="587">
        <v>75.0</v>
      </c>
      <c r="P51" s="615">
        <v>367870.94</v>
      </c>
      <c r="Q51" s="600">
        <f t="shared" ref="Q51:Q53" si="1">P51/O51</f>
        <v>4904.945867</v>
      </c>
    </row>
    <row r="52" ht="15.75" customHeight="1">
      <c r="F52" s="575"/>
      <c r="J52" s="587"/>
      <c r="K52" s="587"/>
      <c r="L52" s="587"/>
      <c r="M52" s="587"/>
      <c r="N52" s="587" t="s">
        <v>3412</v>
      </c>
      <c r="O52" s="587">
        <v>75.0</v>
      </c>
      <c r="P52" s="615">
        <v>367870.94</v>
      </c>
      <c r="Q52" s="600">
        <f t="shared" si="1"/>
        <v>4904.945867</v>
      </c>
    </row>
    <row r="53" ht="15.75" customHeight="1">
      <c r="J53" s="587"/>
      <c r="K53" s="587"/>
      <c r="L53" s="587"/>
      <c r="M53" s="587"/>
      <c r="N53" s="587"/>
      <c r="O53" s="587"/>
      <c r="P53" s="587"/>
      <c r="Q53" s="575" t="str">
        <f t="shared" si="1"/>
        <v>#DIV/0!</v>
      </c>
    </row>
    <row r="54" ht="15.75" customHeight="1">
      <c r="J54" s="587"/>
      <c r="K54" s="587"/>
      <c r="L54" s="587"/>
      <c r="M54" s="587"/>
      <c r="N54" s="587"/>
      <c r="O54" s="587"/>
      <c r="P54" s="587"/>
    </row>
    <row r="55" ht="15.75" customHeight="1">
      <c r="J55" s="587"/>
      <c r="K55" s="587"/>
      <c r="L55" s="587"/>
      <c r="M55" s="587"/>
      <c r="N55" s="587"/>
      <c r="O55" s="587"/>
      <c r="P55" s="587"/>
    </row>
    <row r="56" ht="15.75" customHeight="1">
      <c r="J56" s="587"/>
      <c r="K56" s="587"/>
      <c r="L56" s="587"/>
      <c r="M56" s="587"/>
      <c r="N56" s="587"/>
      <c r="O56" s="587"/>
      <c r="P56" s="58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A64" s="597" t="s">
        <v>18</v>
      </c>
    </row>
    <row r="65" ht="15.75" customHeight="1">
      <c r="A65" s="603"/>
    </row>
    <row r="66" ht="15.75" customHeight="1">
      <c r="A66" s="603" t="s">
        <v>40</v>
      </c>
    </row>
    <row r="67" ht="15.75" customHeight="1">
      <c r="A67" s="603" t="s">
        <v>165</v>
      </c>
      <c r="F67" s="575" t="s">
        <v>3421</v>
      </c>
    </row>
    <row r="68" ht="15.75" customHeight="1">
      <c r="A68" s="603" t="s">
        <v>392</v>
      </c>
      <c r="F68" s="575" t="s">
        <v>64</v>
      </c>
      <c r="G68" s="575" t="s">
        <v>3425</v>
      </c>
    </row>
    <row r="69" ht="15.75" customHeight="1">
      <c r="A69" s="603" t="s">
        <v>131</v>
      </c>
      <c r="F69" s="575"/>
      <c r="G69" s="617">
        <v>3000.0</v>
      </c>
    </row>
    <row r="70" ht="15.75" customHeight="1">
      <c r="A70" s="603" t="s">
        <v>1942</v>
      </c>
      <c r="F70" s="600" t="s">
        <v>143</v>
      </c>
      <c r="G70" s="617">
        <v>10000.0</v>
      </c>
    </row>
    <row r="71" ht="15.75" customHeight="1">
      <c r="A71" s="603" t="s">
        <v>3426</v>
      </c>
      <c r="F71" s="575" t="s">
        <v>192</v>
      </c>
      <c r="G71" s="617">
        <v>9500.0</v>
      </c>
    </row>
    <row r="72" ht="15.75" customHeight="1">
      <c r="A72" s="603" t="s">
        <v>2909</v>
      </c>
      <c r="F72" s="575" t="s">
        <v>64</v>
      </c>
      <c r="G72" s="617">
        <v>12800.0</v>
      </c>
    </row>
    <row r="73" ht="15.75" customHeight="1">
      <c r="F73" s="575" t="s">
        <v>69</v>
      </c>
      <c r="G73" s="617">
        <v>19000.0</v>
      </c>
    </row>
    <row r="74" ht="15.75" customHeight="1">
      <c r="F74" s="600" t="s">
        <v>150</v>
      </c>
      <c r="G74" s="617">
        <v>7000.0</v>
      </c>
    </row>
    <row r="75" ht="15.75" customHeight="1">
      <c r="F75" s="575" t="s">
        <v>83</v>
      </c>
      <c r="G75" s="617">
        <v>26050.0</v>
      </c>
    </row>
    <row r="76" ht="15.75" customHeight="1">
      <c r="F76" s="600" t="s">
        <v>159</v>
      </c>
      <c r="G76" s="617">
        <v>8500.0</v>
      </c>
    </row>
    <row r="77" ht="15.75" customHeight="1">
      <c r="A77" s="597" t="s">
        <v>11</v>
      </c>
      <c r="F77" s="575" t="s">
        <v>162</v>
      </c>
      <c r="G77" s="617">
        <v>3000.0</v>
      </c>
    </row>
    <row r="78" ht="15.75" customHeight="1">
      <c r="A78" s="603" t="s">
        <v>108</v>
      </c>
      <c r="F78" s="575" t="s">
        <v>145</v>
      </c>
      <c r="G78" s="617">
        <v>7800.0</v>
      </c>
    </row>
    <row r="79" ht="15.75" customHeight="1">
      <c r="A79" s="603" t="s">
        <v>188</v>
      </c>
      <c r="F79" s="575" t="s">
        <v>118</v>
      </c>
      <c r="G79" s="617">
        <v>13800.0</v>
      </c>
    </row>
    <row r="80" ht="15.75" customHeight="1">
      <c r="A80" s="603" t="s">
        <v>59</v>
      </c>
      <c r="F80" s="575" t="s">
        <v>142</v>
      </c>
      <c r="G80" s="617">
        <v>9500.0</v>
      </c>
    </row>
    <row r="81" ht="15.75" customHeight="1">
      <c r="A81" s="603" t="s">
        <v>78</v>
      </c>
      <c r="F81" s="575" t="s">
        <v>169</v>
      </c>
      <c r="G81" s="617">
        <v>7500.0</v>
      </c>
    </row>
    <row r="82" ht="15.75" customHeight="1">
      <c r="A82" s="603" t="s">
        <v>94</v>
      </c>
      <c r="F82" s="575" t="s">
        <v>183</v>
      </c>
      <c r="G82" s="617">
        <v>4000.0</v>
      </c>
    </row>
    <row r="83" ht="15.75" customHeight="1">
      <c r="A83" s="603" t="s">
        <v>114</v>
      </c>
      <c r="F83" s="600" t="s">
        <v>151</v>
      </c>
      <c r="G83" s="617">
        <v>4500.0</v>
      </c>
    </row>
    <row r="84" ht="15.75" customHeight="1">
      <c r="A84" s="603" t="s">
        <v>43</v>
      </c>
      <c r="F84" s="575" t="s">
        <v>180</v>
      </c>
      <c r="G84" s="617">
        <v>3500.0</v>
      </c>
    </row>
    <row r="85" ht="15.75" customHeight="1">
      <c r="A85" s="603" t="s">
        <v>52</v>
      </c>
      <c r="F85" s="575" t="s">
        <v>115</v>
      </c>
      <c r="G85" s="617">
        <v>11300.0</v>
      </c>
    </row>
    <row r="86" ht="15.75" customHeight="1">
      <c r="A86" s="603" t="s">
        <v>3427</v>
      </c>
      <c r="F86" s="575" t="s">
        <v>166</v>
      </c>
      <c r="G86" s="617">
        <v>14500.0</v>
      </c>
    </row>
    <row r="87" ht="15.75" customHeight="1">
      <c r="A87" s="603" t="s">
        <v>3428</v>
      </c>
      <c r="F87" s="575" t="s">
        <v>128</v>
      </c>
      <c r="G87" s="617">
        <v>15500.0</v>
      </c>
    </row>
    <row r="88" ht="15.75" customHeight="1">
      <c r="A88" s="603" t="s">
        <v>2105</v>
      </c>
      <c r="F88" s="575" t="s">
        <v>144</v>
      </c>
      <c r="G88" s="617">
        <v>5500.0</v>
      </c>
    </row>
    <row r="89" ht="15.75" customHeight="1">
      <c r="A89" s="603" t="s">
        <v>227</v>
      </c>
      <c r="F89" s="575" t="s">
        <v>146</v>
      </c>
      <c r="G89" s="617">
        <v>9800.0</v>
      </c>
    </row>
    <row r="90" ht="15.75" customHeight="1">
      <c r="A90" s="603" t="s">
        <v>340</v>
      </c>
      <c r="F90" s="600" t="s">
        <v>152</v>
      </c>
      <c r="G90" s="617">
        <v>1500.0</v>
      </c>
    </row>
    <row r="91" ht="15.75" customHeight="1">
      <c r="A91" s="603" t="s">
        <v>37</v>
      </c>
      <c r="F91" s="575" t="s">
        <v>119</v>
      </c>
      <c r="G91" s="617">
        <v>17000.0</v>
      </c>
    </row>
    <row r="92" ht="15.75" customHeight="1">
      <c r="A92" s="603" t="s">
        <v>110</v>
      </c>
      <c r="F92" s="575" t="s">
        <v>184</v>
      </c>
      <c r="G92" s="617">
        <v>5500.0</v>
      </c>
    </row>
    <row r="93" ht="15.75" customHeight="1">
      <c r="A93" s="603" t="s">
        <v>121</v>
      </c>
      <c r="F93" s="575" t="s">
        <v>173</v>
      </c>
      <c r="G93" s="617">
        <v>16000.0</v>
      </c>
    </row>
    <row r="94" ht="15.75" customHeight="1">
      <c r="F94" s="575" t="s">
        <v>193</v>
      </c>
      <c r="G94" s="600">
        <v>3500.0</v>
      </c>
    </row>
    <row r="95" ht="15.75" customHeight="1">
      <c r="A95" s="597" t="s">
        <v>3429</v>
      </c>
      <c r="F95" s="575" t="s">
        <v>148</v>
      </c>
      <c r="G95" s="600">
        <v>3000.0</v>
      </c>
    </row>
    <row r="96" ht="15.75" customHeight="1">
      <c r="A96" s="603" t="s">
        <v>74</v>
      </c>
      <c r="F96" s="575" t="s">
        <v>175</v>
      </c>
      <c r="G96" s="600">
        <v>3750.0</v>
      </c>
    </row>
    <row r="97" ht="15.75" customHeight="1">
      <c r="A97" s="603" t="s">
        <v>32</v>
      </c>
      <c r="F97" s="575" t="s">
        <v>177</v>
      </c>
      <c r="G97" s="600">
        <v>3000.0</v>
      </c>
    </row>
    <row r="98" ht="15.75" customHeight="1">
      <c r="A98" s="603" t="s">
        <v>44</v>
      </c>
      <c r="F98" s="575" t="s">
        <v>195</v>
      </c>
      <c r="G98" s="600">
        <v>4000.0</v>
      </c>
    </row>
    <row r="99" ht="15.75" customHeight="1">
      <c r="F99" s="575" t="s">
        <v>3412</v>
      </c>
      <c r="G99" s="600">
        <v>263300.0</v>
      </c>
    </row>
    <row r="100" ht="15.75" customHeight="1"/>
    <row r="101" ht="15.75" customHeight="1">
      <c r="A101" s="597" t="s">
        <v>2870</v>
      </c>
    </row>
    <row r="102" ht="15.75" customHeight="1">
      <c r="A102" s="603" t="s">
        <v>3417</v>
      </c>
    </row>
    <row r="103" ht="15.75" customHeight="1">
      <c r="A103" s="603" t="s">
        <v>43</v>
      </c>
    </row>
    <row r="104" ht="15.75" customHeight="1">
      <c r="A104" s="603" t="s">
        <v>3416</v>
      </c>
    </row>
    <row r="105" ht="15.75" customHeight="1">
      <c r="A105" s="603" t="s">
        <v>3430</v>
      </c>
    </row>
    <row r="106" ht="15.75" customHeight="1">
      <c r="A106" s="603" t="s">
        <v>3431</v>
      </c>
    </row>
    <row r="107" ht="15.75" customHeight="1">
      <c r="A107" s="603" t="s">
        <v>3418</v>
      </c>
    </row>
    <row r="108" ht="15.75" customHeight="1">
      <c r="A108" s="603" t="s">
        <v>110</v>
      </c>
    </row>
    <row r="109" ht="15.75" customHeight="1">
      <c r="A109" s="603" t="s">
        <v>3432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2:B2"/>
    <mergeCell ref="F2:G2"/>
    <mergeCell ref="I2:L2"/>
    <mergeCell ref="N2:O2"/>
    <mergeCell ref="Q2:R2"/>
    <mergeCell ref="N12:O12"/>
    <mergeCell ref="S13:T13"/>
    <mergeCell ref="F38:G38"/>
    <mergeCell ref="F52:G52"/>
    <mergeCell ref="F67:G67"/>
    <mergeCell ref="J12:K12"/>
    <mergeCell ref="J22:K22"/>
    <mergeCell ref="N22:O22"/>
    <mergeCell ref="A27:B27"/>
    <mergeCell ref="N34:O34"/>
    <mergeCell ref="A39:B39"/>
    <mergeCell ref="N49:O49"/>
  </mergeCells>
  <dataValidations>
    <dataValidation type="list" allowBlank="1" showErrorMessage="1" sqref="A78:A93">
      <formula1>Apoio!$A$78:$A$91</formula1>
    </dataValidation>
  </dataValidation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 outlineLevelCol="1"/>
  <cols>
    <col customWidth="1" min="1" max="1" width="4.0"/>
    <col customWidth="1" min="2" max="2" width="5.75"/>
    <col customWidth="1" min="3" max="3" width="7.13"/>
    <col customWidth="1" min="4" max="4" width="32.38"/>
    <col customWidth="1" min="5" max="5" width="5.88" outlineLevel="1"/>
    <col customWidth="1" min="6" max="8" width="5.5" outlineLevel="1"/>
    <col customWidth="1" min="9" max="9" width="5.63" outlineLevel="1"/>
    <col customWidth="1" min="10" max="10" width="5.88" outlineLevel="1"/>
    <col customWidth="1" min="11" max="12" width="5.75" outlineLevel="1"/>
    <col customWidth="1" min="13" max="13" width="5.5" outlineLevel="1"/>
    <col customWidth="1" min="14" max="14" width="5.88" outlineLevel="1"/>
    <col customWidth="1" min="15" max="16" width="5.63" outlineLevel="1"/>
    <col customWidth="1" min="17" max="17" width="5.75" outlineLevel="1"/>
    <col customWidth="1" min="18" max="18" width="5.5" outlineLevel="1"/>
    <col customWidth="1" min="19" max="19" width="5.63" outlineLevel="1"/>
    <col customWidth="1" min="20" max="21" width="5.5" outlineLevel="1"/>
    <col customWidth="1" min="22" max="22" width="5.75" outlineLevel="1"/>
    <col customWidth="1" min="23" max="24" width="5.63" outlineLevel="1"/>
    <col customWidth="1" min="25" max="25" width="5.38" outlineLevel="1"/>
    <col customWidth="1" min="26" max="26" width="5.63" outlineLevel="1"/>
    <col customWidth="1" min="27" max="29" width="5.5" outlineLevel="1"/>
    <col customWidth="1" min="30" max="30" width="5.38" outlineLevel="1"/>
    <col customWidth="1" min="31" max="32" width="5.63" outlineLevel="1"/>
    <col customWidth="1" min="33" max="34" width="5.5" outlineLevel="1"/>
    <col customWidth="1" min="35" max="35" width="5.88" outlineLevel="1"/>
    <col customWidth="1" min="36" max="36" width="10.75"/>
    <col customWidth="1" hidden="1" min="38" max="38" width="12.63"/>
    <col customWidth="1" hidden="1" min="39" max="39" width="13.63"/>
  </cols>
  <sheetData>
    <row r="1" ht="15.75" customHeight="1">
      <c r="A1" s="618"/>
      <c r="B1" s="618"/>
      <c r="C1" s="619"/>
      <c r="D1" s="620" t="s">
        <v>3433</v>
      </c>
      <c r="E1" s="618"/>
      <c r="F1" s="618"/>
      <c r="G1" s="618"/>
      <c r="H1" s="618"/>
      <c r="I1" s="621" t="s">
        <v>3434</v>
      </c>
      <c r="AF1" s="622"/>
      <c r="AG1" s="622"/>
      <c r="AH1" s="618"/>
      <c r="AI1" s="618"/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8"/>
      <c r="BD1" s="618"/>
      <c r="BE1" s="618"/>
      <c r="BF1" s="618"/>
      <c r="BG1" s="618"/>
      <c r="BH1" s="618"/>
      <c r="BI1" s="618"/>
      <c r="BJ1" s="618"/>
    </row>
    <row r="2" ht="15.75" customHeight="1">
      <c r="A2" s="618"/>
      <c r="B2" s="618"/>
      <c r="C2" s="618"/>
      <c r="D2" s="618"/>
      <c r="E2" s="618"/>
      <c r="F2" s="618"/>
      <c r="G2" s="618"/>
      <c r="H2" s="618"/>
      <c r="I2" s="623" t="s">
        <v>3435</v>
      </c>
      <c r="J2" s="624"/>
      <c r="K2" s="624"/>
      <c r="L2" s="624"/>
      <c r="M2" s="623" t="s">
        <v>3436</v>
      </c>
      <c r="N2" s="624"/>
      <c r="O2" s="624"/>
      <c r="P2" s="624"/>
      <c r="Q2" s="623" t="s">
        <v>3437</v>
      </c>
      <c r="R2" s="624"/>
      <c r="S2" s="624"/>
      <c r="T2" s="624"/>
      <c r="U2" s="623" t="s">
        <v>3438</v>
      </c>
      <c r="V2" s="624"/>
      <c r="W2" s="624"/>
      <c r="X2" s="624"/>
      <c r="Y2" s="624"/>
      <c r="Z2" s="623" t="s">
        <v>3439</v>
      </c>
      <c r="AA2" s="624"/>
      <c r="AB2" s="624"/>
      <c r="AC2" s="624"/>
      <c r="AD2" s="624"/>
      <c r="AE2" s="624"/>
      <c r="AF2" s="622"/>
      <c r="AG2" s="618"/>
      <c r="AH2" s="618"/>
      <c r="AI2" s="618"/>
      <c r="AJ2" s="618"/>
      <c r="AK2" s="618"/>
      <c r="AL2" s="625"/>
      <c r="AM2" s="625"/>
      <c r="AN2" s="625"/>
      <c r="AO2" s="618"/>
      <c r="AP2" s="618"/>
      <c r="AQ2" s="618"/>
      <c r="AR2" s="618"/>
      <c r="AS2" s="618"/>
      <c r="AT2" s="618"/>
      <c r="AU2" s="618"/>
      <c r="AV2" s="618"/>
      <c r="AW2" s="618"/>
      <c r="AX2" s="618"/>
      <c r="AY2" s="618"/>
      <c r="AZ2" s="618"/>
      <c r="BA2" s="618"/>
      <c r="BB2" s="618"/>
      <c r="BC2" s="618"/>
      <c r="BD2" s="618"/>
      <c r="BE2" s="618"/>
      <c r="BF2" s="618"/>
      <c r="BG2" s="618"/>
      <c r="BH2" s="618"/>
      <c r="BI2" s="618"/>
      <c r="BJ2" s="618"/>
    </row>
    <row r="3" ht="15.75" customHeight="1">
      <c r="A3" s="618"/>
      <c r="B3" s="618"/>
      <c r="C3" s="622"/>
      <c r="D3" s="622"/>
      <c r="E3" s="618"/>
      <c r="F3" s="618"/>
      <c r="G3" s="618"/>
      <c r="H3" s="618"/>
      <c r="I3" s="623" t="s">
        <v>3440</v>
      </c>
      <c r="J3" s="624"/>
      <c r="K3" s="624"/>
      <c r="L3" s="624"/>
      <c r="M3" s="623" t="s">
        <v>3441</v>
      </c>
      <c r="N3" s="624"/>
      <c r="O3" s="624"/>
      <c r="P3" s="624"/>
      <c r="Q3" s="623" t="s">
        <v>3442</v>
      </c>
      <c r="R3" s="624"/>
      <c r="S3" s="624"/>
      <c r="T3" s="624"/>
      <c r="U3" s="623" t="s">
        <v>3443</v>
      </c>
      <c r="V3" s="624"/>
      <c r="W3" s="624"/>
      <c r="X3" s="624"/>
      <c r="Y3" s="624"/>
      <c r="Z3" s="623" t="s">
        <v>3444</v>
      </c>
      <c r="AA3" s="624"/>
      <c r="AB3" s="624"/>
      <c r="AC3" s="624"/>
      <c r="AD3" s="624"/>
      <c r="AE3" s="624"/>
      <c r="AF3" s="622"/>
      <c r="AG3" s="622"/>
      <c r="AH3" s="618"/>
      <c r="AI3" s="618"/>
      <c r="AJ3" s="618"/>
      <c r="AK3" s="618"/>
      <c r="AL3" s="618"/>
      <c r="AM3" s="618"/>
      <c r="AN3" s="618"/>
      <c r="AO3" s="618"/>
      <c r="AP3" s="618"/>
      <c r="AQ3" s="618"/>
      <c r="AR3" s="618"/>
      <c r="AS3" s="618"/>
      <c r="AT3" s="618"/>
      <c r="AU3" s="618"/>
      <c r="AV3" s="618"/>
      <c r="AW3" s="618"/>
      <c r="AX3" s="618"/>
      <c r="AY3" s="618"/>
      <c r="AZ3" s="618"/>
      <c r="BA3" s="618"/>
      <c r="BB3" s="618"/>
      <c r="BC3" s="618"/>
      <c r="BD3" s="618"/>
      <c r="BE3" s="618"/>
      <c r="BF3" s="618"/>
      <c r="BG3" s="618"/>
      <c r="BH3" s="618"/>
      <c r="BI3" s="618"/>
      <c r="BJ3" s="618"/>
    </row>
    <row r="4" ht="15.75" customHeight="1">
      <c r="A4" s="618"/>
      <c r="B4" s="618"/>
      <c r="C4" s="622"/>
      <c r="D4" s="622"/>
      <c r="E4" s="618"/>
      <c r="F4" s="618"/>
      <c r="G4" s="618"/>
      <c r="H4" s="618"/>
      <c r="I4" s="623" t="s">
        <v>3445</v>
      </c>
      <c r="J4" s="624"/>
      <c r="K4" s="624"/>
      <c r="L4" s="624"/>
      <c r="M4" s="623" t="s">
        <v>3446</v>
      </c>
      <c r="N4" s="624"/>
      <c r="O4" s="624"/>
      <c r="P4" s="624"/>
      <c r="Q4" s="623" t="s">
        <v>3447</v>
      </c>
      <c r="R4" s="624"/>
      <c r="S4" s="624"/>
      <c r="T4" s="624"/>
      <c r="U4" s="623" t="s">
        <v>3448</v>
      </c>
      <c r="V4" s="624"/>
      <c r="W4" s="624"/>
      <c r="X4" s="624"/>
      <c r="Y4" s="624"/>
      <c r="Z4" s="624"/>
      <c r="AA4" s="624"/>
      <c r="AB4" s="624"/>
      <c r="AC4" s="624"/>
      <c r="AD4" s="624"/>
      <c r="AE4" s="624"/>
      <c r="AF4" s="622"/>
      <c r="AG4" s="622"/>
      <c r="AH4" s="618"/>
      <c r="AI4" s="618"/>
      <c r="AJ4" s="618"/>
      <c r="AK4" s="618"/>
      <c r="AL4" s="618"/>
      <c r="AM4" s="618"/>
      <c r="AN4" s="618"/>
      <c r="AO4" s="618"/>
      <c r="AP4" s="618"/>
      <c r="AQ4" s="618"/>
      <c r="AR4" s="618"/>
      <c r="AS4" s="618"/>
      <c r="AT4" s="618"/>
      <c r="AU4" s="618"/>
      <c r="AV4" s="618"/>
      <c r="AW4" s="618"/>
      <c r="AX4" s="618"/>
      <c r="AY4" s="618"/>
      <c r="AZ4" s="618"/>
      <c r="BA4" s="618"/>
      <c r="BB4" s="618"/>
      <c r="BC4" s="618"/>
      <c r="BD4" s="618"/>
      <c r="BE4" s="618"/>
      <c r="BF4" s="618"/>
      <c r="BG4" s="618"/>
      <c r="BH4" s="618"/>
      <c r="BI4" s="618"/>
      <c r="BJ4" s="618"/>
    </row>
    <row r="5" ht="15.75" customHeight="1">
      <c r="A5" s="626"/>
      <c r="B5" s="626"/>
      <c r="C5" s="626"/>
      <c r="D5" s="626"/>
      <c r="E5" s="626"/>
      <c r="F5" s="626"/>
      <c r="G5" s="626"/>
      <c r="H5" s="626"/>
      <c r="I5" s="626"/>
      <c r="J5" s="626"/>
      <c r="K5" s="626"/>
      <c r="L5" s="626"/>
      <c r="M5" s="626"/>
      <c r="N5" s="626"/>
      <c r="O5" s="626"/>
      <c r="P5" s="626"/>
      <c r="Q5" s="626"/>
      <c r="R5" s="626"/>
      <c r="S5" s="626"/>
      <c r="T5" s="626"/>
      <c r="U5" s="626"/>
      <c r="V5" s="626"/>
      <c r="W5" s="626"/>
      <c r="X5" s="626"/>
      <c r="Y5" s="626"/>
      <c r="Z5" s="626"/>
      <c r="AA5" s="626"/>
      <c r="AB5" s="626"/>
      <c r="AC5" s="626"/>
      <c r="AD5" s="626"/>
      <c r="AE5" s="626"/>
      <c r="AF5" s="626"/>
      <c r="AG5" s="626"/>
      <c r="AH5" s="626"/>
      <c r="AI5" s="626"/>
      <c r="AJ5" s="626"/>
      <c r="AK5" s="626"/>
      <c r="AL5" s="626"/>
      <c r="AM5" s="626"/>
      <c r="AN5" s="626"/>
      <c r="AO5" s="626"/>
      <c r="AP5" s="626"/>
      <c r="AQ5" s="618"/>
      <c r="AR5" s="627"/>
      <c r="AS5" s="627"/>
      <c r="AT5" s="627"/>
      <c r="AU5" s="627"/>
      <c r="AV5" s="627"/>
      <c r="AW5" s="618"/>
      <c r="AX5" s="618"/>
      <c r="AY5" s="618"/>
      <c r="AZ5" s="618"/>
      <c r="BA5" s="618"/>
      <c r="BB5" s="618"/>
      <c r="BC5" s="618"/>
      <c r="BD5" s="618"/>
      <c r="BE5" s="618"/>
      <c r="BF5" s="618"/>
      <c r="BG5" s="618"/>
      <c r="BH5" s="618"/>
      <c r="BI5" s="618"/>
      <c r="BJ5" s="618"/>
    </row>
    <row r="6" ht="15.75" customHeight="1">
      <c r="A6" s="628" t="s">
        <v>3449</v>
      </c>
      <c r="B6" s="628" t="s">
        <v>3450</v>
      </c>
      <c r="C6" s="628" t="s">
        <v>2287</v>
      </c>
      <c r="D6" s="628" t="s">
        <v>3103</v>
      </c>
      <c r="E6" s="629">
        <v>45352.0</v>
      </c>
      <c r="F6" s="629">
        <v>45353.0</v>
      </c>
      <c r="G6" s="629">
        <v>45354.0</v>
      </c>
      <c r="H6" s="629">
        <v>45355.0</v>
      </c>
      <c r="I6" s="629">
        <v>45356.0</v>
      </c>
      <c r="J6" s="629">
        <v>45357.0</v>
      </c>
      <c r="K6" s="629">
        <v>45358.0</v>
      </c>
      <c r="L6" s="629">
        <v>45359.0</v>
      </c>
      <c r="M6" s="629">
        <v>45360.0</v>
      </c>
      <c r="N6" s="629">
        <v>45361.0</v>
      </c>
      <c r="O6" s="629">
        <v>45362.0</v>
      </c>
      <c r="P6" s="629">
        <v>45363.0</v>
      </c>
      <c r="Q6" s="629">
        <v>45364.0</v>
      </c>
      <c r="R6" s="629">
        <v>45365.0</v>
      </c>
      <c r="S6" s="629">
        <v>45366.0</v>
      </c>
      <c r="T6" s="629">
        <v>45367.0</v>
      </c>
      <c r="U6" s="629">
        <v>45368.0</v>
      </c>
      <c r="V6" s="629">
        <v>45369.0</v>
      </c>
      <c r="W6" s="629">
        <v>45370.0</v>
      </c>
      <c r="X6" s="629">
        <v>45371.0</v>
      </c>
      <c r="Y6" s="629">
        <v>45372.0</v>
      </c>
      <c r="Z6" s="629">
        <v>45373.0</v>
      </c>
      <c r="AA6" s="629">
        <v>45374.0</v>
      </c>
      <c r="AB6" s="629">
        <v>45375.0</v>
      </c>
      <c r="AC6" s="629">
        <v>45376.0</v>
      </c>
      <c r="AD6" s="629">
        <v>45377.0</v>
      </c>
      <c r="AE6" s="629">
        <v>45378.0</v>
      </c>
      <c r="AF6" s="629">
        <v>45379.0</v>
      </c>
      <c r="AG6" s="629">
        <v>45380.0</v>
      </c>
      <c r="AH6" s="629">
        <v>45381.0</v>
      </c>
      <c r="AI6" s="629">
        <v>45382.0</v>
      </c>
      <c r="AJ6" s="628" t="s">
        <v>3451</v>
      </c>
      <c r="AK6" s="628" t="s">
        <v>3452</v>
      </c>
      <c r="AL6" s="628" t="s">
        <v>3453</v>
      </c>
      <c r="AM6" s="628" t="s">
        <v>3454</v>
      </c>
      <c r="AN6" s="628" t="s">
        <v>3455</v>
      </c>
      <c r="AO6" s="628" t="s">
        <v>3456</v>
      </c>
      <c r="AP6" s="628" t="s">
        <v>3457</v>
      </c>
      <c r="AQ6" s="630"/>
      <c r="AR6" s="631" t="s">
        <v>3458</v>
      </c>
      <c r="AS6" s="632"/>
      <c r="AT6" s="632"/>
      <c r="AU6" s="632"/>
      <c r="AV6" s="632"/>
      <c r="AW6" s="632"/>
      <c r="AX6" s="632"/>
      <c r="AY6" s="632"/>
      <c r="AZ6" s="633"/>
      <c r="BA6" s="618"/>
      <c r="BB6" s="618"/>
      <c r="BC6" s="618"/>
      <c r="BD6" s="618"/>
      <c r="BE6" s="618"/>
      <c r="BF6" s="618"/>
      <c r="BG6" s="618"/>
      <c r="BH6" s="618"/>
      <c r="BI6" s="618"/>
      <c r="BJ6" s="618"/>
    </row>
    <row r="7" ht="15.75" customHeight="1">
      <c r="A7" s="634"/>
      <c r="B7" s="634"/>
      <c r="C7" s="634"/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34"/>
      <c r="S7" s="634"/>
      <c r="T7" s="634"/>
      <c r="U7" s="634"/>
      <c r="V7" s="634"/>
      <c r="W7" s="634"/>
      <c r="X7" s="634"/>
      <c r="Y7" s="634"/>
      <c r="Z7" s="634"/>
      <c r="AA7" s="634"/>
      <c r="AB7" s="634"/>
      <c r="AC7" s="634"/>
      <c r="AD7" s="634"/>
      <c r="AE7" s="634"/>
      <c r="AF7" s="634"/>
      <c r="AG7" s="634"/>
      <c r="AH7" s="634"/>
      <c r="AI7" s="634"/>
      <c r="AJ7" s="634"/>
      <c r="AK7" s="634"/>
      <c r="AL7" s="634"/>
      <c r="AM7" s="634"/>
      <c r="AN7" s="634"/>
      <c r="AO7" s="634"/>
      <c r="AP7" s="634"/>
      <c r="AQ7" s="630"/>
      <c r="AR7" s="635" t="s">
        <v>3459</v>
      </c>
      <c r="AS7" s="635" t="s">
        <v>3460</v>
      </c>
      <c r="AT7" s="635" t="s">
        <v>3461</v>
      </c>
      <c r="AU7" s="635" t="s">
        <v>3462</v>
      </c>
      <c r="AV7" s="635" t="s">
        <v>3315</v>
      </c>
      <c r="AW7" s="635" t="s">
        <v>3463</v>
      </c>
      <c r="AX7" s="635" t="s">
        <v>3464</v>
      </c>
      <c r="AY7" s="635" t="s">
        <v>3465</v>
      </c>
      <c r="AZ7" s="635" t="s">
        <v>3466</v>
      </c>
      <c r="BA7" s="618"/>
      <c r="BB7" s="618"/>
      <c r="BC7" s="618"/>
      <c r="BD7" s="618"/>
      <c r="BE7" s="618"/>
      <c r="BF7" s="618"/>
      <c r="BG7" s="618"/>
      <c r="BH7" s="618"/>
      <c r="BI7" s="618"/>
      <c r="BJ7" s="618"/>
    </row>
    <row r="8" ht="15.75" customHeight="1">
      <c r="A8" s="636">
        <v>1.0</v>
      </c>
      <c r="B8" s="637" t="s">
        <v>49</v>
      </c>
      <c r="C8" s="637" t="s">
        <v>3151</v>
      </c>
      <c r="D8" s="638" t="s">
        <v>3154</v>
      </c>
      <c r="E8" s="639" t="s">
        <v>3461</v>
      </c>
      <c r="F8" s="639" t="s">
        <v>3461</v>
      </c>
      <c r="G8" s="639" t="s">
        <v>3461</v>
      </c>
      <c r="H8" s="639" t="s">
        <v>3461</v>
      </c>
      <c r="I8" s="639" t="s">
        <v>3461</v>
      </c>
      <c r="J8" s="639" t="s">
        <v>3461</v>
      </c>
      <c r="K8" s="639" t="s">
        <v>3461</v>
      </c>
      <c r="L8" s="639" t="s">
        <v>3461</v>
      </c>
      <c r="M8" s="640" t="s">
        <v>3461</v>
      </c>
      <c r="N8" s="640" t="s">
        <v>3461</v>
      </c>
      <c r="O8" s="640" t="s">
        <v>3461</v>
      </c>
      <c r="P8" s="640" t="s">
        <v>3461</v>
      </c>
      <c r="Q8" s="640" t="s">
        <v>3461</v>
      </c>
      <c r="R8" s="640" t="s">
        <v>3461</v>
      </c>
      <c r="S8" s="640" t="s">
        <v>3461</v>
      </c>
      <c r="T8" s="640" t="s">
        <v>3461</v>
      </c>
      <c r="U8" s="640" t="s">
        <v>3461</v>
      </c>
      <c r="V8" s="640" t="s">
        <v>3461</v>
      </c>
      <c r="W8" s="640" t="s">
        <v>3461</v>
      </c>
      <c r="X8" s="640" t="s">
        <v>3461</v>
      </c>
      <c r="Y8" s="640" t="s">
        <v>3461</v>
      </c>
      <c r="Z8" s="640" t="s">
        <v>3461</v>
      </c>
      <c r="AA8" s="640" t="s">
        <v>3461</v>
      </c>
      <c r="AB8" s="640" t="s">
        <v>3461</v>
      </c>
      <c r="AC8" s="640" t="s">
        <v>3461</v>
      </c>
      <c r="AD8" s="640" t="s">
        <v>3461</v>
      </c>
      <c r="AE8" s="640" t="s">
        <v>3461</v>
      </c>
      <c r="AF8" s="640" t="s">
        <v>3461</v>
      </c>
      <c r="AG8" s="640" t="s">
        <v>3461</v>
      </c>
      <c r="AH8" s="640" t="s">
        <v>3461</v>
      </c>
      <c r="AI8" s="640" t="s">
        <v>3461</v>
      </c>
      <c r="AJ8" s="641">
        <f t="shared" ref="AJ8:AJ30" si="1">(COUNTIF(E8:AI8,"D")+COUNTIF(E8:AI8,"T")+COUNTIF(E8:AI8,"VT"))</f>
        <v>0</v>
      </c>
      <c r="AK8" s="641">
        <f t="shared" ref="AK8:AK30" si="2">(COUNTIF(E8:AI8,"pp")+COUNTIF(E8:AI8,"pc")+COUNTIF(E8:AI8,"sd")+COUNTIF(E8:AI8,"sm")+COUNTIF(E8:AI8,"f")+COUNTIF(E8:AI8,"I")+COUNTIF(E8:AI8,"PV")+COUNTIF(E8:AI8,"DS")+COUNTIF(E8:AI8,"RC"))</f>
        <v>31</v>
      </c>
      <c r="AL8" s="642">
        <f t="shared" ref="AL8:AL32" si="3">COUNTIF(E8:AI8,"OO")</f>
        <v>0</v>
      </c>
      <c r="AM8" s="642">
        <f t="shared" ref="AM8:AM32" si="4">AN8-AL8</f>
        <v>31</v>
      </c>
      <c r="AN8" s="642">
        <f t="shared" ref="AN8:AN32" si="5">COUNTA(E8:AI8)</f>
        <v>31</v>
      </c>
      <c r="AO8" s="643">
        <f t="shared" ref="AO8:AO30" si="6">AJ8/AN8</f>
        <v>0</v>
      </c>
      <c r="AP8" s="643">
        <f t="shared" ref="AP8:AP30" si="7">AJ8/AM8</f>
        <v>0</v>
      </c>
      <c r="AQ8" s="630"/>
      <c r="AR8" s="644">
        <f t="shared" ref="AR8:AR32" si="8">COUNTIF(E8:AK8,"PP")</f>
        <v>0</v>
      </c>
      <c r="AS8" s="644">
        <f t="shared" ref="AS8:AS32" si="9">COUNTIF(E8:AK8,"PC")</f>
        <v>0</v>
      </c>
      <c r="AT8" s="644">
        <f t="shared" ref="AT8:AT32" si="10">COUNTIF(E8:AK8,"F")</f>
        <v>31</v>
      </c>
      <c r="AU8" s="644">
        <f t="shared" ref="AU8:AU32" si="11">COUNTIF(E8:AK8,"SD")</f>
        <v>0</v>
      </c>
      <c r="AV8" s="644">
        <f t="shared" ref="AV8:AV32" si="12">COUNTIF(E8:AK8,"SM")</f>
        <v>0</v>
      </c>
      <c r="AW8" s="644">
        <f t="shared" ref="AW8:AW32" si="13">COUNTIF(F8:AL8,"PV")</f>
        <v>0</v>
      </c>
      <c r="AX8" s="644">
        <f t="shared" ref="AX8:AX32" si="14">COUNTIF(G8:AM8,"RC")</f>
        <v>0</v>
      </c>
      <c r="AY8" s="644">
        <f t="shared" ref="AY8:AY32" si="15">COUNTIF(H8:AN8,"S")</f>
        <v>0</v>
      </c>
      <c r="AZ8" s="644">
        <f t="shared" ref="AZ8:AZ32" si="16">COUNTIF(I8:AO8,"E")</f>
        <v>0</v>
      </c>
      <c r="BA8" s="618"/>
      <c r="BB8" s="618"/>
      <c r="BC8" s="618"/>
      <c r="BD8" s="618"/>
      <c r="BE8" s="618"/>
      <c r="BF8" s="618"/>
      <c r="BG8" s="618"/>
      <c r="BH8" s="618"/>
      <c r="BI8" s="618"/>
      <c r="BJ8" s="618"/>
    </row>
    <row r="9" ht="15.75" customHeight="1">
      <c r="A9" s="636">
        <v>2.0</v>
      </c>
      <c r="B9" s="637" t="s">
        <v>143</v>
      </c>
      <c r="C9" s="637" t="s">
        <v>2454</v>
      </c>
      <c r="D9" s="638" t="s">
        <v>3467</v>
      </c>
      <c r="E9" s="639" t="s">
        <v>3468</v>
      </c>
      <c r="F9" s="639" t="s">
        <v>3468</v>
      </c>
      <c r="G9" s="639" t="s">
        <v>3468</v>
      </c>
      <c r="H9" s="639" t="s">
        <v>3468</v>
      </c>
      <c r="I9" s="639" t="s">
        <v>3469</v>
      </c>
      <c r="J9" s="640" t="s">
        <v>3469</v>
      </c>
      <c r="K9" s="640" t="s">
        <v>3469</v>
      </c>
      <c r="L9" s="639" t="s">
        <v>3469</v>
      </c>
      <c r="M9" s="639" t="s">
        <v>3469</v>
      </c>
      <c r="N9" s="639" t="s">
        <v>3469</v>
      </c>
      <c r="O9" s="639" t="s">
        <v>3469</v>
      </c>
      <c r="P9" s="639" t="s">
        <v>3470</v>
      </c>
      <c r="Q9" s="639" t="s">
        <v>3469</v>
      </c>
      <c r="R9" s="639" t="s">
        <v>3469</v>
      </c>
      <c r="S9" s="639" t="s">
        <v>3469</v>
      </c>
      <c r="T9" s="639" t="s">
        <v>3469</v>
      </c>
      <c r="U9" s="639" t="s">
        <v>3469</v>
      </c>
      <c r="V9" s="639" t="s">
        <v>3470</v>
      </c>
      <c r="W9" s="639" t="s">
        <v>3470</v>
      </c>
      <c r="X9" s="639" t="s">
        <v>3468</v>
      </c>
      <c r="Y9" s="639" t="s">
        <v>3468</v>
      </c>
      <c r="Z9" s="639" t="s">
        <v>3469</v>
      </c>
      <c r="AA9" s="639" t="s">
        <v>3469</v>
      </c>
      <c r="AB9" s="639" t="s">
        <v>3469</v>
      </c>
      <c r="AC9" s="639" t="s">
        <v>3469</v>
      </c>
      <c r="AD9" s="639" t="s">
        <v>3469</v>
      </c>
      <c r="AE9" s="639" t="s">
        <v>3469</v>
      </c>
      <c r="AF9" s="639" t="s">
        <v>3469</v>
      </c>
      <c r="AG9" s="639" t="s">
        <v>3469</v>
      </c>
      <c r="AH9" s="639" t="s">
        <v>3469</v>
      </c>
      <c r="AI9" s="639" t="s">
        <v>3469</v>
      </c>
      <c r="AJ9" s="641">
        <f t="shared" si="1"/>
        <v>31</v>
      </c>
      <c r="AK9" s="641">
        <f t="shared" si="2"/>
        <v>0</v>
      </c>
      <c r="AL9" s="642">
        <f t="shared" si="3"/>
        <v>0</v>
      </c>
      <c r="AM9" s="642">
        <f t="shared" si="4"/>
        <v>31</v>
      </c>
      <c r="AN9" s="642">
        <f t="shared" si="5"/>
        <v>31</v>
      </c>
      <c r="AO9" s="643">
        <f t="shared" si="6"/>
        <v>1</v>
      </c>
      <c r="AP9" s="643">
        <f t="shared" si="7"/>
        <v>1</v>
      </c>
      <c r="AQ9" s="630"/>
      <c r="AR9" s="644">
        <f t="shared" si="8"/>
        <v>0</v>
      </c>
      <c r="AS9" s="644">
        <f t="shared" si="9"/>
        <v>0</v>
      </c>
      <c r="AT9" s="644">
        <f t="shared" si="10"/>
        <v>0</v>
      </c>
      <c r="AU9" s="644">
        <f t="shared" si="11"/>
        <v>0</v>
      </c>
      <c r="AV9" s="644">
        <f t="shared" si="12"/>
        <v>0</v>
      </c>
      <c r="AW9" s="644">
        <f t="shared" si="13"/>
        <v>0</v>
      </c>
      <c r="AX9" s="644">
        <f t="shared" si="14"/>
        <v>0</v>
      </c>
      <c r="AY9" s="644">
        <f t="shared" si="15"/>
        <v>0</v>
      </c>
      <c r="AZ9" s="644">
        <f t="shared" si="16"/>
        <v>0</v>
      </c>
      <c r="BA9" s="618"/>
      <c r="BB9" s="618"/>
      <c r="BC9" s="618"/>
      <c r="BD9" s="618"/>
      <c r="BE9" s="618"/>
      <c r="BF9" s="618"/>
      <c r="BG9" s="618"/>
      <c r="BH9" s="618"/>
      <c r="BI9" s="618"/>
      <c r="BJ9" s="618"/>
    </row>
    <row r="10" ht="15.75" customHeight="1">
      <c r="A10" s="636">
        <v>3.0</v>
      </c>
      <c r="B10" s="637" t="s">
        <v>69</v>
      </c>
      <c r="C10" s="637" t="s">
        <v>2433</v>
      </c>
      <c r="D10" s="638" t="s">
        <v>3471</v>
      </c>
      <c r="E10" s="639" t="s">
        <v>3468</v>
      </c>
      <c r="F10" s="640" t="s">
        <v>3468</v>
      </c>
      <c r="G10" s="640" t="s">
        <v>3468</v>
      </c>
      <c r="H10" s="640" t="s">
        <v>3468</v>
      </c>
      <c r="I10" s="640" t="s">
        <v>3470</v>
      </c>
      <c r="J10" s="639" t="s">
        <v>3470</v>
      </c>
      <c r="K10" s="639" t="s">
        <v>3470</v>
      </c>
      <c r="L10" s="639" t="s">
        <v>3470</v>
      </c>
      <c r="M10" s="639" t="s">
        <v>3461</v>
      </c>
      <c r="N10" s="639" t="s">
        <v>3470</v>
      </c>
      <c r="O10" s="639" t="s">
        <v>3469</v>
      </c>
      <c r="P10" s="639" t="s">
        <v>3469</v>
      </c>
      <c r="Q10" s="639" t="s">
        <v>3469</v>
      </c>
      <c r="R10" s="639" t="s">
        <v>3469</v>
      </c>
      <c r="S10" s="639" t="s">
        <v>3469</v>
      </c>
      <c r="T10" s="639" t="s">
        <v>3469</v>
      </c>
      <c r="U10" s="639" t="s">
        <v>3469</v>
      </c>
      <c r="V10" s="639" t="s">
        <v>3469</v>
      </c>
      <c r="W10" s="639" t="s">
        <v>3469</v>
      </c>
      <c r="X10" s="639" t="s">
        <v>3469</v>
      </c>
      <c r="Y10" s="639" t="s">
        <v>3469</v>
      </c>
      <c r="Z10" s="639" t="s">
        <v>3469</v>
      </c>
      <c r="AA10" s="639" t="s">
        <v>3459</v>
      </c>
      <c r="AB10" s="639" t="s">
        <v>3461</v>
      </c>
      <c r="AC10" s="639" t="s">
        <v>3459</v>
      </c>
      <c r="AD10" s="639" t="s">
        <v>3469</v>
      </c>
      <c r="AE10" s="639" t="s">
        <v>3459</v>
      </c>
      <c r="AF10" s="639" t="s">
        <v>3459</v>
      </c>
      <c r="AG10" s="639" t="s">
        <v>3459</v>
      </c>
      <c r="AH10" s="639" t="s">
        <v>3459</v>
      </c>
      <c r="AI10" s="639" t="s">
        <v>3459</v>
      </c>
      <c r="AJ10" s="641">
        <f t="shared" si="1"/>
        <v>22</v>
      </c>
      <c r="AK10" s="641">
        <f t="shared" si="2"/>
        <v>9</v>
      </c>
      <c r="AL10" s="642">
        <f t="shared" si="3"/>
        <v>0</v>
      </c>
      <c r="AM10" s="642">
        <f t="shared" si="4"/>
        <v>31</v>
      </c>
      <c r="AN10" s="642">
        <f t="shared" si="5"/>
        <v>31</v>
      </c>
      <c r="AO10" s="643">
        <f t="shared" si="6"/>
        <v>0.7096774194</v>
      </c>
      <c r="AP10" s="643">
        <f t="shared" si="7"/>
        <v>0.7096774194</v>
      </c>
      <c r="AQ10" s="630"/>
      <c r="AR10" s="644">
        <f t="shared" si="8"/>
        <v>7</v>
      </c>
      <c r="AS10" s="644">
        <f t="shared" si="9"/>
        <v>0</v>
      </c>
      <c r="AT10" s="644">
        <f t="shared" si="10"/>
        <v>2</v>
      </c>
      <c r="AU10" s="644">
        <f t="shared" si="11"/>
        <v>0</v>
      </c>
      <c r="AV10" s="644">
        <f t="shared" si="12"/>
        <v>0</v>
      </c>
      <c r="AW10" s="644">
        <f t="shared" si="13"/>
        <v>0</v>
      </c>
      <c r="AX10" s="644">
        <f t="shared" si="14"/>
        <v>0</v>
      </c>
      <c r="AY10" s="644">
        <f t="shared" si="15"/>
        <v>0</v>
      </c>
      <c r="AZ10" s="644">
        <f t="shared" si="16"/>
        <v>0</v>
      </c>
      <c r="BA10" s="618"/>
      <c r="BB10" s="618"/>
      <c r="BC10" s="618"/>
      <c r="BD10" s="618"/>
      <c r="BE10" s="618"/>
      <c r="BF10" s="618"/>
      <c r="BG10" s="618"/>
      <c r="BH10" s="618"/>
      <c r="BI10" s="618"/>
      <c r="BJ10" s="618"/>
    </row>
    <row r="11" ht="15.75" customHeight="1">
      <c r="A11" s="636">
        <v>4.0</v>
      </c>
      <c r="B11" s="637" t="s">
        <v>83</v>
      </c>
      <c r="C11" s="637" t="s">
        <v>2376</v>
      </c>
      <c r="D11" s="638" t="s">
        <v>3159</v>
      </c>
      <c r="E11" s="639" t="s">
        <v>3468</v>
      </c>
      <c r="F11" s="639" t="s">
        <v>3468</v>
      </c>
      <c r="G11" s="639" t="s">
        <v>3468</v>
      </c>
      <c r="H11" s="639" t="s">
        <v>3469</v>
      </c>
      <c r="I11" s="639" t="s">
        <v>3469</v>
      </c>
      <c r="J11" s="639" t="s">
        <v>3469</v>
      </c>
      <c r="K11" s="639" t="s">
        <v>3469</v>
      </c>
      <c r="L11" s="639" t="s">
        <v>3469</v>
      </c>
      <c r="M11" s="639" t="s">
        <v>3469</v>
      </c>
      <c r="N11" s="639" t="s">
        <v>3469</v>
      </c>
      <c r="O11" s="639" t="s">
        <v>3470</v>
      </c>
      <c r="P11" s="639" t="s">
        <v>3469</v>
      </c>
      <c r="Q11" s="639" t="s">
        <v>3469</v>
      </c>
      <c r="R11" s="639" t="s">
        <v>3468</v>
      </c>
      <c r="S11" s="639" t="s">
        <v>3468</v>
      </c>
      <c r="T11" s="639" t="s">
        <v>3468</v>
      </c>
      <c r="U11" s="639" t="s">
        <v>3468</v>
      </c>
      <c r="V11" s="639" t="s">
        <v>3468</v>
      </c>
      <c r="W11" s="639" t="s">
        <v>3461</v>
      </c>
      <c r="X11" s="639" t="s">
        <v>3461</v>
      </c>
      <c r="Y11" s="639" t="s">
        <v>3461</v>
      </c>
      <c r="Z11" s="639" t="s">
        <v>3461</v>
      </c>
      <c r="AA11" s="639" t="s">
        <v>3461</v>
      </c>
      <c r="AB11" s="639" t="s">
        <v>3461</v>
      </c>
      <c r="AC11" s="639" t="s">
        <v>3468</v>
      </c>
      <c r="AD11" s="639" t="s">
        <v>3468</v>
      </c>
      <c r="AE11" s="639" t="s">
        <v>3469</v>
      </c>
      <c r="AF11" s="639" t="s">
        <v>3469</v>
      </c>
      <c r="AG11" s="639" t="s">
        <v>3469</v>
      </c>
      <c r="AH11" s="639" t="s">
        <v>3469</v>
      </c>
      <c r="AI11" s="639" t="s">
        <v>3469</v>
      </c>
      <c r="AJ11" s="641">
        <f t="shared" si="1"/>
        <v>25</v>
      </c>
      <c r="AK11" s="641">
        <f t="shared" si="2"/>
        <v>6</v>
      </c>
      <c r="AL11" s="642">
        <f t="shared" si="3"/>
        <v>0</v>
      </c>
      <c r="AM11" s="642">
        <f t="shared" si="4"/>
        <v>31</v>
      </c>
      <c r="AN11" s="642">
        <f t="shared" si="5"/>
        <v>31</v>
      </c>
      <c r="AO11" s="643">
        <f t="shared" si="6"/>
        <v>0.8064516129</v>
      </c>
      <c r="AP11" s="643">
        <f t="shared" si="7"/>
        <v>0.8064516129</v>
      </c>
      <c r="AQ11" s="630"/>
      <c r="AR11" s="644">
        <f t="shared" si="8"/>
        <v>0</v>
      </c>
      <c r="AS11" s="644">
        <f t="shared" si="9"/>
        <v>0</v>
      </c>
      <c r="AT11" s="644">
        <f t="shared" si="10"/>
        <v>6</v>
      </c>
      <c r="AU11" s="644">
        <f t="shared" si="11"/>
        <v>0</v>
      </c>
      <c r="AV11" s="644">
        <f t="shared" si="12"/>
        <v>0</v>
      </c>
      <c r="AW11" s="644">
        <f t="shared" si="13"/>
        <v>0</v>
      </c>
      <c r="AX11" s="644">
        <f t="shared" si="14"/>
        <v>0</v>
      </c>
      <c r="AY11" s="644">
        <f t="shared" si="15"/>
        <v>0</v>
      </c>
      <c r="AZ11" s="644">
        <f t="shared" si="16"/>
        <v>0</v>
      </c>
      <c r="BA11" s="618"/>
      <c r="BB11" s="618"/>
      <c r="BC11" s="618"/>
      <c r="BD11" s="618"/>
      <c r="BE11" s="618"/>
      <c r="BF11" s="618"/>
      <c r="BG11" s="618"/>
      <c r="BH11" s="618"/>
      <c r="BI11" s="618"/>
      <c r="BJ11" s="618"/>
    </row>
    <row r="12" ht="15.75" customHeight="1">
      <c r="A12" s="636">
        <v>5.0</v>
      </c>
      <c r="B12" s="637" t="s">
        <v>159</v>
      </c>
      <c r="C12" s="637" t="s">
        <v>3472</v>
      </c>
      <c r="D12" s="638" t="s">
        <v>3473</v>
      </c>
      <c r="E12" s="640" t="s">
        <v>3315</v>
      </c>
      <c r="F12" s="640" t="s">
        <v>3315</v>
      </c>
      <c r="G12" s="640" t="s">
        <v>3315</v>
      </c>
      <c r="H12" s="640" t="s">
        <v>3315</v>
      </c>
      <c r="I12" s="640" t="s">
        <v>3315</v>
      </c>
      <c r="J12" s="640" t="s">
        <v>3315</v>
      </c>
      <c r="K12" s="640" t="s">
        <v>3315</v>
      </c>
      <c r="L12" s="640" t="s">
        <v>3315</v>
      </c>
      <c r="M12" s="639" t="s">
        <v>3315</v>
      </c>
      <c r="N12" s="639" t="s">
        <v>3315</v>
      </c>
      <c r="O12" s="639" t="s">
        <v>3315</v>
      </c>
      <c r="P12" s="639" t="s">
        <v>3469</v>
      </c>
      <c r="Q12" s="639" t="s">
        <v>3469</v>
      </c>
      <c r="R12" s="639" t="s">
        <v>3469</v>
      </c>
      <c r="S12" s="639" t="s">
        <v>3469</v>
      </c>
      <c r="T12" s="639" t="s">
        <v>3469</v>
      </c>
      <c r="U12" s="639" t="s">
        <v>3469</v>
      </c>
      <c r="V12" s="639" t="s">
        <v>3469</v>
      </c>
      <c r="W12" s="639" t="s">
        <v>3469</v>
      </c>
      <c r="X12" s="640" t="s">
        <v>3469</v>
      </c>
      <c r="Y12" s="640" t="s">
        <v>3469</v>
      </c>
      <c r="Z12" s="640" t="s">
        <v>3469</v>
      </c>
      <c r="AA12" s="640" t="s">
        <v>3460</v>
      </c>
      <c r="AB12" s="640" t="s">
        <v>3460</v>
      </c>
      <c r="AC12" s="640" t="s">
        <v>3460</v>
      </c>
      <c r="AD12" s="639" t="s">
        <v>3460</v>
      </c>
      <c r="AE12" s="639" t="s">
        <v>3460</v>
      </c>
      <c r="AF12" s="639" t="s">
        <v>3315</v>
      </c>
      <c r="AG12" s="639" t="s">
        <v>3315</v>
      </c>
      <c r="AH12" s="639" t="s">
        <v>3315</v>
      </c>
      <c r="AI12" s="639" t="s">
        <v>3315</v>
      </c>
      <c r="AJ12" s="641">
        <f t="shared" si="1"/>
        <v>11</v>
      </c>
      <c r="AK12" s="641">
        <f t="shared" si="2"/>
        <v>20</v>
      </c>
      <c r="AL12" s="642">
        <f t="shared" si="3"/>
        <v>0</v>
      </c>
      <c r="AM12" s="642">
        <f t="shared" si="4"/>
        <v>31</v>
      </c>
      <c r="AN12" s="642">
        <f t="shared" si="5"/>
        <v>31</v>
      </c>
      <c r="AO12" s="643">
        <f t="shared" si="6"/>
        <v>0.3548387097</v>
      </c>
      <c r="AP12" s="643">
        <f t="shared" si="7"/>
        <v>0.3548387097</v>
      </c>
      <c r="AQ12" s="630"/>
      <c r="AR12" s="644">
        <f t="shared" si="8"/>
        <v>0</v>
      </c>
      <c r="AS12" s="644">
        <f t="shared" si="9"/>
        <v>5</v>
      </c>
      <c r="AT12" s="644">
        <f t="shared" si="10"/>
        <v>0</v>
      </c>
      <c r="AU12" s="644">
        <f t="shared" si="11"/>
        <v>0</v>
      </c>
      <c r="AV12" s="644">
        <f t="shared" si="12"/>
        <v>15</v>
      </c>
      <c r="AW12" s="644">
        <f t="shared" si="13"/>
        <v>0</v>
      </c>
      <c r="AX12" s="644">
        <f t="shared" si="14"/>
        <v>0</v>
      </c>
      <c r="AY12" s="644">
        <f t="shared" si="15"/>
        <v>0</v>
      </c>
      <c r="AZ12" s="644">
        <f t="shared" si="16"/>
        <v>0</v>
      </c>
      <c r="BA12" s="618"/>
      <c r="BB12" s="618"/>
      <c r="BC12" s="618"/>
      <c r="BD12" s="618"/>
      <c r="BE12" s="618"/>
      <c r="BF12" s="618"/>
      <c r="BG12" s="618"/>
      <c r="BH12" s="618"/>
      <c r="BI12" s="618"/>
      <c r="BJ12" s="618"/>
    </row>
    <row r="13" ht="15.75" customHeight="1">
      <c r="A13" s="636">
        <v>6.0</v>
      </c>
      <c r="B13" s="637" t="s">
        <v>162</v>
      </c>
      <c r="C13" s="637" t="s">
        <v>1988</v>
      </c>
      <c r="D13" s="638" t="s">
        <v>52</v>
      </c>
      <c r="E13" s="640" t="s">
        <v>3460</v>
      </c>
      <c r="F13" s="640" t="s">
        <v>3460</v>
      </c>
      <c r="G13" s="640" t="s">
        <v>3461</v>
      </c>
      <c r="H13" s="640" t="s">
        <v>3470</v>
      </c>
      <c r="I13" s="640" t="s">
        <v>3470</v>
      </c>
      <c r="J13" s="639" t="s">
        <v>3469</v>
      </c>
      <c r="K13" s="639" t="s">
        <v>3469</v>
      </c>
      <c r="L13" s="639" t="s">
        <v>3469</v>
      </c>
      <c r="M13" s="639" t="s">
        <v>3469</v>
      </c>
      <c r="N13" s="639" t="s">
        <v>3469</v>
      </c>
      <c r="O13" s="639" t="s">
        <v>3460</v>
      </c>
      <c r="P13" s="640" t="s">
        <v>3460</v>
      </c>
      <c r="Q13" s="639" t="s">
        <v>3460</v>
      </c>
      <c r="R13" s="639" t="s">
        <v>3460</v>
      </c>
      <c r="S13" s="639" t="s">
        <v>3460</v>
      </c>
      <c r="T13" s="640" t="s">
        <v>3460</v>
      </c>
      <c r="U13" s="640" t="s">
        <v>3460</v>
      </c>
      <c r="V13" s="640" t="s">
        <v>3460</v>
      </c>
      <c r="W13" s="640" t="s">
        <v>3460</v>
      </c>
      <c r="X13" s="640" t="s">
        <v>3460</v>
      </c>
      <c r="Y13" s="640" t="s">
        <v>3460</v>
      </c>
      <c r="Z13" s="640" t="s">
        <v>3460</v>
      </c>
      <c r="AA13" s="640" t="s">
        <v>3460</v>
      </c>
      <c r="AB13" s="640" t="s">
        <v>3460</v>
      </c>
      <c r="AC13" s="640" t="s">
        <v>3469</v>
      </c>
      <c r="AD13" s="639" t="s">
        <v>3315</v>
      </c>
      <c r="AE13" s="639" t="s">
        <v>3315</v>
      </c>
      <c r="AF13" s="639" t="s">
        <v>3315</v>
      </c>
      <c r="AG13" s="639" t="s">
        <v>3315</v>
      </c>
      <c r="AH13" s="639" t="s">
        <v>3315</v>
      </c>
      <c r="AI13" s="639" t="s">
        <v>3315</v>
      </c>
      <c r="AJ13" s="641">
        <f t="shared" si="1"/>
        <v>8</v>
      </c>
      <c r="AK13" s="641">
        <f t="shared" si="2"/>
        <v>23</v>
      </c>
      <c r="AL13" s="642">
        <f t="shared" si="3"/>
        <v>0</v>
      </c>
      <c r="AM13" s="642">
        <f t="shared" si="4"/>
        <v>31</v>
      </c>
      <c r="AN13" s="642">
        <f t="shared" si="5"/>
        <v>31</v>
      </c>
      <c r="AO13" s="643">
        <f t="shared" si="6"/>
        <v>0.2580645161</v>
      </c>
      <c r="AP13" s="643">
        <f t="shared" si="7"/>
        <v>0.2580645161</v>
      </c>
      <c r="AQ13" s="630"/>
      <c r="AR13" s="644">
        <f t="shared" si="8"/>
        <v>0</v>
      </c>
      <c r="AS13" s="644">
        <f t="shared" si="9"/>
        <v>16</v>
      </c>
      <c r="AT13" s="644">
        <f t="shared" si="10"/>
        <v>1</v>
      </c>
      <c r="AU13" s="644">
        <f t="shared" si="11"/>
        <v>0</v>
      </c>
      <c r="AV13" s="644">
        <f t="shared" si="12"/>
        <v>6</v>
      </c>
      <c r="AW13" s="644">
        <f t="shared" si="13"/>
        <v>0</v>
      </c>
      <c r="AX13" s="644">
        <f t="shared" si="14"/>
        <v>0</v>
      </c>
      <c r="AY13" s="644">
        <f t="shared" si="15"/>
        <v>0</v>
      </c>
      <c r="AZ13" s="644">
        <f t="shared" si="16"/>
        <v>0</v>
      </c>
      <c r="BA13" s="618"/>
      <c r="BB13" s="618"/>
      <c r="BC13" s="618"/>
      <c r="BD13" s="618"/>
      <c r="BE13" s="618"/>
      <c r="BF13" s="618"/>
      <c r="BG13" s="618"/>
      <c r="BH13" s="618"/>
      <c r="BI13" s="618"/>
      <c r="BJ13" s="618"/>
    </row>
    <row r="14" ht="15.75" customHeight="1">
      <c r="A14" s="636">
        <v>7.0</v>
      </c>
      <c r="B14" s="637" t="s">
        <v>145</v>
      </c>
      <c r="C14" s="637" t="s">
        <v>1971</v>
      </c>
      <c r="D14" s="638" t="s">
        <v>3474</v>
      </c>
      <c r="E14" s="639" t="s">
        <v>3315</v>
      </c>
      <c r="F14" s="639" t="s">
        <v>3315</v>
      </c>
      <c r="G14" s="639" t="s">
        <v>3315</v>
      </c>
      <c r="H14" s="639" t="s">
        <v>3315</v>
      </c>
      <c r="I14" s="639" t="s">
        <v>3470</v>
      </c>
      <c r="J14" s="639" t="s">
        <v>3469</v>
      </c>
      <c r="K14" s="639" t="s">
        <v>3469</v>
      </c>
      <c r="L14" s="640" t="s">
        <v>3469</v>
      </c>
      <c r="M14" s="640" t="s">
        <v>3469</v>
      </c>
      <c r="N14" s="640" t="s">
        <v>3469</v>
      </c>
      <c r="O14" s="640" t="s">
        <v>3469</v>
      </c>
      <c r="P14" s="639" t="s">
        <v>3469</v>
      </c>
      <c r="Q14" s="639" t="s">
        <v>3469</v>
      </c>
      <c r="R14" s="639" t="s">
        <v>3470</v>
      </c>
      <c r="S14" s="639" t="s">
        <v>3469</v>
      </c>
      <c r="T14" s="639" t="s">
        <v>3469</v>
      </c>
      <c r="U14" s="639" t="s">
        <v>3469</v>
      </c>
      <c r="V14" s="639" t="s">
        <v>3469</v>
      </c>
      <c r="W14" s="639" t="s">
        <v>3469</v>
      </c>
      <c r="X14" s="639" t="s">
        <v>3469</v>
      </c>
      <c r="Y14" s="639" t="s">
        <v>3469</v>
      </c>
      <c r="Z14" s="639" t="s">
        <v>3469</v>
      </c>
      <c r="AA14" s="639" t="s">
        <v>3469</v>
      </c>
      <c r="AB14" s="639" t="s">
        <v>3469</v>
      </c>
      <c r="AC14" s="639" t="s">
        <v>3469</v>
      </c>
      <c r="AD14" s="639" t="s">
        <v>3469</v>
      </c>
      <c r="AE14" s="639" t="s">
        <v>3469</v>
      </c>
      <c r="AF14" s="639" t="s">
        <v>3469</v>
      </c>
      <c r="AG14" s="639" t="s">
        <v>3469</v>
      </c>
      <c r="AH14" s="639" t="s">
        <v>3469</v>
      </c>
      <c r="AI14" s="639" t="s">
        <v>3469</v>
      </c>
      <c r="AJ14" s="641">
        <f t="shared" si="1"/>
        <v>27</v>
      </c>
      <c r="AK14" s="641">
        <f t="shared" si="2"/>
        <v>4</v>
      </c>
      <c r="AL14" s="642">
        <f t="shared" si="3"/>
        <v>0</v>
      </c>
      <c r="AM14" s="642">
        <f t="shared" si="4"/>
        <v>31</v>
      </c>
      <c r="AN14" s="642">
        <f t="shared" si="5"/>
        <v>31</v>
      </c>
      <c r="AO14" s="643">
        <f t="shared" si="6"/>
        <v>0.8709677419</v>
      </c>
      <c r="AP14" s="643">
        <f t="shared" si="7"/>
        <v>0.8709677419</v>
      </c>
      <c r="AQ14" s="630"/>
      <c r="AR14" s="644">
        <f t="shared" si="8"/>
        <v>0</v>
      </c>
      <c r="AS14" s="644">
        <f t="shared" si="9"/>
        <v>0</v>
      </c>
      <c r="AT14" s="644">
        <f t="shared" si="10"/>
        <v>0</v>
      </c>
      <c r="AU14" s="644">
        <f t="shared" si="11"/>
        <v>0</v>
      </c>
      <c r="AV14" s="644">
        <f t="shared" si="12"/>
        <v>4</v>
      </c>
      <c r="AW14" s="644">
        <f t="shared" si="13"/>
        <v>0</v>
      </c>
      <c r="AX14" s="644">
        <f t="shared" si="14"/>
        <v>0</v>
      </c>
      <c r="AY14" s="644">
        <f t="shared" si="15"/>
        <v>0</v>
      </c>
      <c r="AZ14" s="644">
        <f t="shared" si="16"/>
        <v>0</v>
      </c>
      <c r="BA14" s="618"/>
      <c r="BB14" s="618"/>
      <c r="BC14" s="618"/>
      <c r="BD14" s="618"/>
      <c r="BE14" s="618"/>
      <c r="BF14" s="618"/>
      <c r="BG14" s="618"/>
      <c r="BH14" s="618"/>
      <c r="BI14" s="618"/>
      <c r="BJ14" s="618"/>
    </row>
    <row r="15" ht="15.75" customHeight="1">
      <c r="A15" s="636">
        <v>8.0</v>
      </c>
      <c r="B15" s="637" t="s">
        <v>118</v>
      </c>
      <c r="C15" s="637" t="s">
        <v>2444</v>
      </c>
      <c r="D15" s="638" t="s">
        <v>52</v>
      </c>
      <c r="E15" s="639" t="s">
        <v>3315</v>
      </c>
      <c r="F15" s="639" t="s">
        <v>3315</v>
      </c>
      <c r="G15" s="639" t="s">
        <v>3315</v>
      </c>
      <c r="H15" s="639" t="s">
        <v>3315</v>
      </c>
      <c r="I15" s="639" t="s">
        <v>3315</v>
      </c>
      <c r="J15" s="639" t="s">
        <v>3315</v>
      </c>
      <c r="K15" s="639" t="s">
        <v>3315</v>
      </c>
      <c r="L15" s="639" t="s">
        <v>3315</v>
      </c>
      <c r="M15" s="639" t="s">
        <v>3315</v>
      </c>
      <c r="N15" s="639" t="s">
        <v>3315</v>
      </c>
      <c r="O15" s="639" t="s">
        <v>3315</v>
      </c>
      <c r="P15" s="639" t="s">
        <v>3315</v>
      </c>
      <c r="Q15" s="639" t="s">
        <v>3315</v>
      </c>
      <c r="R15" s="639" t="s">
        <v>3315</v>
      </c>
      <c r="S15" s="639" t="s">
        <v>3315</v>
      </c>
      <c r="T15" s="639" t="s">
        <v>3315</v>
      </c>
      <c r="U15" s="639" t="s">
        <v>3315</v>
      </c>
      <c r="V15" s="639" t="s">
        <v>3315</v>
      </c>
      <c r="W15" s="639" t="s">
        <v>3315</v>
      </c>
      <c r="X15" s="639" t="s">
        <v>3315</v>
      </c>
      <c r="Y15" s="639" t="s">
        <v>3315</v>
      </c>
      <c r="Z15" s="639" t="s">
        <v>3315</v>
      </c>
      <c r="AA15" s="639" t="s">
        <v>3315</v>
      </c>
      <c r="AB15" s="639" t="s">
        <v>3315</v>
      </c>
      <c r="AC15" s="639" t="s">
        <v>3315</v>
      </c>
      <c r="AD15" s="639" t="s">
        <v>3315</v>
      </c>
      <c r="AE15" s="639" t="s">
        <v>3315</v>
      </c>
      <c r="AF15" s="639" t="s">
        <v>3315</v>
      </c>
      <c r="AG15" s="639" t="s">
        <v>3315</v>
      </c>
      <c r="AH15" s="639" t="s">
        <v>3315</v>
      </c>
      <c r="AI15" s="639" t="s">
        <v>3315</v>
      </c>
      <c r="AJ15" s="641">
        <f t="shared" si="1"/>
        <v>0</v>
      </c>
      <c r="AK15" s="641">
        <f t="shared" si="2"/>
        <v>31</v>
      </c>
      <c r="AL15" s="642">
        <f t="shared" si="3"/>
        <v>0</v>
      </c>
      <c r="AM15" s="642">
        <f t="shared" si="4"/>
        <v>31</v>
      </c>
      <c r="AN15" s="642">
        <f t="shared" si="5"/>
        <v>31</v>
      </c>
      <c r="AO15" s="643">
        <f t="shared" si="6"/>
        <v>0</v>
      </c>
      <c r="AP15" s="643">
        <f t="shared" si="7"/>
        <v>0</v>
      </c>
      <c r="AQ15" s="630"/>
      <c r="AR15" s="644">
        <f t="shared" si="8"/>
        <v>0</v>
      </c>
      <c r="AS15" s="644">
        <f t="shared" si="9"/>
        <v>0</v>
      </c>
      <c r="AT15" s="644">
        <f t="shared" si="10"/>
        <v>0</v>
      </c>
      <c r="AU15" s="644">
        <f t="shared" si="11"/>
        <v>0</v>
      </c>
      <c r="AV15" s="644">
        <f t="shared" si="12"/>
        <v>31</v>
      </c>
      <c r="AW15" s="644">
        <f t="shared" si="13"/>
        <v>0</v>
      </c>
      <c r="AX15" s="644">
        <f t="shared" si="14"/>
        <v>0</v>
      </c>
      <c r="AY15" s="644">
        <f t="shared" si="15"/>
        <v>0</v>
      </c>
      <c r="AZ15" s="644">
        <f t="shared" si="16"/>
        <v>0</v>
      </c>
      <c r="BA15" s="618"/>
      <c r="BB15" s="618"/>
      <c r="BC15" s="618"/>
      <c r="BD15" s="618"/>
      <c r="BE15" s="618"/>
      <c r="BF15" s="618"/>
      <c r="BG15" s="618"/>
      <c r="BH15" s="618"/>
      <c r="BI15" s="618"/>
      <c r="BJ15" s="618"/>
    </row>
    <row r="16" ht="15.75" customHeight="1">
      <c r="A16" s="636">
        <v>9.0</v>
      </c>
      <c r="B16" s="637" t="s">
        <v>142</v>
      </c>
      <c r="C16" s="637" t="s">
        <v>3475</v>
      </c>
      <c r="D16" s="638" t="s">
        <v>52</v>
      </c>
      <c r="E16" s="639" t="s">
        <v>3469</v>
      </c>
      <c r="F16" s="640" t="s">
        <v>3460</v>
      </c>
      <c r="G16" s="640" t="s">
        <v>3460</v>
      </c>
      <c r="H16" s="640" t="s">
        <v>3460</v>
      </c>
      <c r="I16" s="639" t="s">
        <v>3315</v>
      </c>
      <c r="J16" s="639" t="s">
        <v>3315</v>
      </c>
      <c r="K16" s="639" t="s">
        <v>3315</v>
      </c>
      <c r="L16" s="639" t="s">
        <v>3315</v>
      </c>
      <c r="M16" s="639" t="s">
        <v>3315</v>
      </c>
      <c r="N16" s="639" t="s">
        <v>3315</v>
      </c>
      <c r="O16" s="639" t="s">
        <v>3315</v>
      </c>
      <c r="P16" s="639" t="s">
        <v>3315</v>
      </c>
      <c r="Q16" s="639" t="s">
        <v>3315</v>
      </c>
      <c r="R16" s="639" t="s">
        <v>3315</v>
      </c>
      <c r="S16" s="639" t="s">
        <v>3315</v>
      </c>
      <c r="T16" s="639" t="s">
        <v>3315</v>
      </c>
      <c r="U16" s="639" t="s">
        <v>3315</v>
      </c>
      <c r="V16" s="639" t="s">
        <v>3315</v>
      </c>
      <c r="W16" s="639" t="s">
        <v>3315</v>
      </c>
      <c r="X16" s="639" t="s">
        <v>3315</v>
      </c>
      <c r="Y16" s="639" t="s">
        <v>3315</v>
      </c>
      <c r="Z16" s="639" t="s">
        <v>3315</v>
      </c>
      <c r="AA16" s="639" t="s">
        <v>3315</v>
      </c>
      <c r="AB16" s="639" t="s">
        <v>3315</v>
      </c>
      <c r="AC16" s="639" t="s">
        <v>3315</v>
      </c>
      <c r="AD16" s="639" t="s">
        <v>3315</v>
      </c>
      <c r="AE16" s="639" t="s">
        <v>3469</v>
      </c>
      <c r="AF16" s="639" t="s">
        <v>3469</v>
      </c>
      <c r="AG16" s="639" t="s">
        <v>3469</v>
      </c>
      <c r="AH16" s="639" t="s">
        <v>3469</v>
      </c>
      <c r="AI16" s="639" t="s">
        <v>3469</v>
      </c>
      <c r="AJ16" s="641">
        <f t="shared" si="1"/>
        <v>6</v>
      </c>
      <c r="AK16" s="641">
        <f t="shared" si="2"/>
        <v>25</v>
      </c>
      <c r="AL16" s="642">
        <f t="shared" si="3"/>
        <v>0</v>
      </c>
      <c r="AM16" s="642">
        <f t="shared" si="4"/>
        <v>31</v>
      </c>
      <c r="AN16" s="642">
        <f t="shared" si="5"/>
        <v>31</v>
      </c>
      <c r="AO16" s="643">
        <f t="shared" si="6"/>
        <v>0.1935483871</v>
      </c>
      <c r="AP16" s="643">
        <f t="shared" si="7"/>
        <v>0.1935483871</v>
      </c>
      <c r="AQ16" s="630"/>
      <c r="AR16" s="644">
        <f t="shared" si="8"/>
        <v>0</v>
      </c>
      <c r="AS16" s="644">
        <f t="shared" si="9"/>
        <v>3</v>
      </c>
      <c r="AT16" s="644">
        <f t="shared" si="10"/>
        <v>0</v>
      </c>
      <c r="AU16" s="644">
        <f t="shared" si="11"/>
        <v>0</v>
      </c>
      <c r="AV16" s="644">
        <f t="shared" si="12"/>
        <v>22</v>
      </c>
      <c r="AW16" s="644">
        <f t="shared" si="13"/>
        <v>0</v>
      </c>
      <c r="AX16" s="644">
        <f t="shared" si="14"/>
        <v>0</v>
      </c>
      <c r="AY16" s="644">
        <f t="shared" si="15"/>
        <v>0</v>
      </c>
      <c r="AZ16" s="644">
        <f t="shared" si="16"/>
        <v>0</v>
      </c>
      <c r="BA16" s="618"/>
      <c r="BB16" s="618"/>
      <c r="BC16" s="618"/>
      <c r="BD16" s="618"/>
      <c r="BE16" s="618"/>
      <c r="BF16" s="618"/>
      <c r="BG16" s="618"/>
      <c r="BH16" s="618"/>
      <c r="BI16" s="618"/>
      <c r="BJ16" s="618"/>
    </row>
    <row r="17" ht="15.75" customHeight="1">
      <c r="A17" s="636">
        <v>10.0</v>
      </c>
      <c r="B17" s="637" t="s">
        <v>169</v>
      </c>
      <c r="C17" s="637" t="s">
        <v>3476</v>
      </c>
      <c r="D17" s="638" t="s">
        <v>52</v>
      </c>
      <c r="E17" s="640" t="s">
        <v>3460</v>
      </c>
      <c r="F17" s="640" t="s">
        <v>3460</v>
      </c>
      <c r="G17" s="640" t="s">
        <v>3460</v>
      </c>
      <c r="H17" s="640" t="s">
        <v>3460</v>
      </c>
      <c r="I17" s="640" t="s">
        <v>3460</v>
      </c>
      <c r="J17" s="640" t="s">
        <v>3460</v>
      </c>
      <c r="K17" s="640" t="s">
        <v>3460</v>
      </c>
      <c r="L17" s="640" t="s">
        <v>3460</v>
      </c>
      <c r="M17" s="640" t="s">
        <v>3460</v>
      </c>
      <c r="N17" s="640" t="s">
        <v>3460</v>
      </c>
      <c r="O17" s="640" t="s">
        <v>3460</v>
      </c>
      <c r="P17" s="640" t="s">
        <v>3460</v>
      </c>
      <c r="Q17" s="640" t="s">
        <v>3460</v>
      </c>
      <c r="R17" s="640" t="s">
        <v>3460</v>
      </c>
      <c r="S17" s="640" t="s">
        <v>3460</v>
      </c>
      <c r="T17" s="640" t="s">
        <v>3460</v>
      </c>
      <c r="U17" s="640" t="s">
        <v>3460</v>
      </c>
      <c r="V17" s="640" t="s">
        <v>3460</v>
      </c>
      <c r="W17" s="640" t="s">
        <v>3460</v>
      </c>
      <c r="X17" s="640" t="s">
        <v>3460</v>
      </c>
      <c r="Y17" s="640" t="s">
        <v>3469</v>
      </c>
      <c r="Z17" s="640" t="s">
        <v>3469</v>
      </c>
      <c r="AA17" s="640" t="s">
        <v>3469</v>
      </c>
      <c r="AB17" s="640" t="s">
        <v>3469</v>
      </c>
      <c r="AC17" s="640" t="s">
        <v>3469</v>
      </c>
      <c r="AD17" s="639" t="s">
        <v>3469</v>
      </c>
      <c r="AE17" s="639" t="s">
        <v>3469</v>
      </c>
      <c r="AF17" s="639" t="s">
        <v>3469</v>
      </c>
      <c r="AG17" s="639" t="s">
        <v>3469</v>
      </c>
      <c r="AH17" s="639" t="s">
        <v>3469</v>
      </c>
      <c r="AI17" s="639" t="s">
        <v>3469</v>
      </c>
      <c r="AJ17" s="641">
        <f t="shared" si="1"/>
        <v>11</v>
      </c>
      <c r="AK17" s="641">
        <f t="shared" si="2"/>
        <v>20</v>
      </c>
      <c r="AL17" s="642">
        <f t="shared" si="3"/>
        <v>0</v>
      </c>
      <c r="AM17" s="642">
        <f t="shared" si="4"/>
        <v>31</v>
      </c>
      <c r="AN17" s="642">
        <f t="shared" si="5"/>
        <v>31</v>
      </c>
      <c r="AO17" s="643">
        <f t="shared" si="6"/>
        <v>0.3548387097</v>
      </c>
      <c r="AP17" s="643">
        <f t="shared" si="7"/>
        <v>0.3548387097</v>
      </c>
      <c r="AQ17" s="630"/>
      <c r="AR17" s="644">
        <f t="shared" si="8"/>
        <v>0</v>
      </c>
      <c r="AS17" s="644">
        <f t="shared" si="9"/>
        <v>20</v>
      </c>
      <c r="AT17" s="644">
        <f t="shared" si="10"/>
        <v>0</v>
      </c>
      <c r="AU17" s="644">
        <f t="shared" si="11"/>
        <v>0</v>
      </c>
      <c r="AV17" s="644">
        <f t="shared" si="12"/>
        <v>0</v>
      </c>
      <c r="AW17" s="644">
        <f t="shared" si="13"/>
        <v>0</v>
      </c>
      <c r="AX17" s="644">
        <f t="shared" si="14"/>
        <v>0</v>
      </c>
      <c r="AY17" s="644">
        <f t="shared" si="15"/>
        <v>0</v>
      </c>
      <c r="AZ17" s="644">
        <f t="shared" si="16"/>
        <v>0</v>
      </c>
      <c r="BA17" s="618"/>
      <c r="BB17" s="618"/>
      <c r="BC17" s="618"/>
      <c r="BD17" s="618"/>
      <c r="BE17" s="618"/>
      <c r="BF17" s="618"/>
      <c r="BG17" s="618"/>
      <c r="BH17" s="618"/>
      <c r="BI17" s="618"/>
      <c r="BJ17" s="618"/>
    </row>
    <row r="18" ht="15.75" customHeight="1">
      <c r="A18" s="636">
        <v>11.0</v>
      </c>
      <c r="B18" s="637" t="s">
        <v>183</v>
      </c>
      <c r="C18" s="637" t="s">
        <v>3477</v>
      </c>
      <c r="D18" s="638" t="s">
        <v>3478</v>
      </c>
      <c r="E18" s="640" t="s">
        <v>3469</v>
      </c>
      <c r="F18" s="640" t="s">
        <v>3469</v>
      </c>
      <c r="G18" s="640" t="s">
        <v>3469</v>
      </c>
      <c r="H18" s="640" t="s">
        <v>3468</v>
      </c>
      <c r="I18" s="640" t="s">
        <v>3468</v>
      </c>
      <c r="J18" s="640" t="s">
        <v>3315</v>
      </c>
      <c r="K18" s="640" t="s">
        <v>3315</v>
      </c>
      <c r="L18" s="640" t="s">
        <v>3315</v>
      </c>
      <c r="M18" s="640" t="s">
        <v>3315</v>
      </c>
      <c r="N18" s="640" t="s">
        <v>3315</v>
      </c>
      <c r="O18" s="640" t="s">
        <v>3459</v>
      </c>
      <c r="P18" s="640" t="s">
        <v>3459</v>
      </c>
      <c r="Q18" s="640" t="s">
        <v>3469</v>
      </c>
      <c r="R18" s="640" t="s">
        <v>3470</v>
      </c>
      <c r="S18" s="640" t="s">
        <v>3469</v>
      </c>
      <c r="T18" s="639" t="s">
        <v>3469</v>
      </c>
      <c r="U18" s="639" t="s">
        <v>3469</v>
      </c>
      <c r="V18" s="639" t="s">
        <v>3469</v>
      </c>
      <c r="W18" s="639" t="s">
        <v>3469</v>
      </c>
      <c r="X18" s="639" t="s">
        <v>3460</v>
      </c>
      <c r="Y18" s="639" t="s">
        <v>3460</v>
      </c>
      <c r="Z18" s="639" t="s">
        <v>3460</v>
      </c>
      <c r="AA18" s="639" t="s">
        <v>3460</v>
      </c>
      <c r="AB18" s="639" t="s">
        <v>3460</v>
      </c>
      <c r="AC18" s="639" t="s">
        <v>3460</v>
      </c>
      <c r="AD18" s="639" t="s">
        <v>3460</v>
      </c>
      <c r="AE18" s="639" t="s">
        <v>3460</v>
      </c>
      <c r="AF18" s="639" t="s">
        <v>3463</v>
      </c>
      <c r="AG18" s="639" t="s">
        <v>3463</v>
      </c>
      <c r="AH18" s="639" t="s">
        <v>3463</v>
      </c>
      <c r="AI18" s="639" t="s">
        <v>3463</v>
      </c>
      <c r="AJ18" s="641">
        <f t="shared" si="1"/>
        <v>12</v>
      </c>
      <c r="AK18" s="641">
        <f t="shared" si="2"/>
        <v>19</v>
      </c>
      <c r="AL18" s="642">
        <f t="shared" si="3"/>
        <v>0</v>
      </c>
      <c r="AM18" s="642">
        <f t="shared" si="4"/>
        <v>31</v>
      </c>
      <c r="AN18" s="642">
        <f t="shared" si="5"/>
        <v>31</v>
      </c>
      <c r="AO18" s="643">
        <f t="shared" si="6"/>
        <v>0.3870967742</v>
      </c>
      <c r="AP18" s="643">
        <f t="shared" si="7"/>
        <v>0.3870967742</v>
      </c>
      <c r="AQ18" s="630"/>
      <c r="AR18" s="644">
        <f t="shared" si="8"/>
        <v>2</v>
      </c>
      <c r="AS18" s="644">
        <f t="shared" si="9"/>
        <v>8</v>
      </c>
      <c r="AT18" s="644">
        <f t="shared" si="10"/>
        <v>0</v>
      </c>
      <c r="AU18" s="644">
        <f t="shared" si="11"/>
        <v>0</v>
      </c>
      <c r="AV18" s="644">
        <f t="shared" si="12"/>
        <v>5</v>
      </c>
      <c r="AW18" s="644">
        <f t="shared" si="13"/>
        <v>4</v>
      </c>
      <c r="AX18" s="644">
        <f t="shared" si="14"/>
        <v>0</v>
      </c>
      <c r="AY18" s="644">
        <f t="shared" si="15"/>
        <v>0</v>
      </c>
      <c r="AZ18" s="644">
        <f t="shared" si="16"/>
        <v>0</v>
      </c>
      <c r="BA18" s="618"/>
      <c r="BB18" s="618"/>
      <c r="BC18" s="618"/>
      <c r="BD18" s="618"/>
      <c r="BE18" s="618"/>
      <c r="BF18" s="618"/>
      <c r="BG18" s="618"/>
      <c r="BH18" s="618"/>
      <c r="BI18" s="618"/>
      <c r="BJ18" s="618"/>
    </row>
    <row r="19" ht="15.75" customHeight="1">
      <c r="A19" s="636">
        <v>12.0</v>
      </c>
      <c r="B19" s="637" t="s">
        <v>247</v>
      </c>
      <c r="C19" s="637" t="s">
        <v>3479</v>
      </c>
      <c r="D19" s="638" t="s">
        <v>3178</v>
      </c>
      <c r="E19" s="640" t="s">
        <v>3460</v>
      </c>
      <c r="F19" s="640" t="s">
        <v>3460</v>
      </c>
      <c r="G19" s="640" t="s">
        <v>3460</v>
      </c>
      <c r="H19" s="640" t="s">
        <v>3460</v>
      </c>
      <c r="I19" s="640" t="s">
        <v>3460</v>
      </c>
      <c r="J19" s="640" t="s">
        <v>3460</v>
      </c>
      <c r="K19" s="640" t="s">
        <v>3460</v>
      </c>
      <c r="L19" s="640" t="s">
        <v>3460</v>
      </c>
      <c r="M19" s="640" t="s">
        <v>3460</v>
      </c>
      <c r="N19" s="640" t="s">
        <v>3460</v>
      </c>
      <c r="O19" s="640" t="s">
        <v>3460</v>
      </c>
      <c r="P19" s="640" t="s">
        <v>3460</v>
      </c>
      <c r="Q19" s="640" t="s">
        <v>3460</v>
      </c>
      <c r="R19" s="640" t="s">
        <v>3460</v>
      </c>
      <c r="S19" s="640" t="s">
        <v>3460</v>
      </c>
      <c r="T19" s="640" t="s">
        <v>3460</v>
      </c>
      <c r="U19" s="640" t="s">
        <v>3460</v>
      </c>
      <c r="V19" s="640" t="s">
        <v>3460</v>
      </c>
      <c r="W19" s="640" t="s">
        <v>3460</v>
      </c>
      <c r="X19" s="640" t="s">
        <v>3460</v>
      </c>
      <c r="Y19" s="639" t="s">
        <v>3460</v>
      </c>
      <c r="Z19" s="639" t="s">
        <v>3460</v>
      </c>
      <c r="AA19" s="639" t="s">
        <v>3460</v>
      </c>
      <c r="AB19" s="639" t="s">
        <v>3460</v>
      </c>
      <c r="AC19" s="639" t="s">
        <v>3460</v>
      </c>
      <c r="AD19" s="639" t="s">
        <v>3460</v>
      </c>
      <c r="AE19" s="639" t="s">
        <v>3460</v>
      </c>
      <c r="AF19" s="639" t="s">
        <v>3460</v>
      </c>
      <c r="AG19" s="639" t="s">
        <v>3460</v>
      </c>
      <c r="AH19" s="639" t="s">
        <v>3460</v>
      </c>
      <c r="AI19" s="639" t="s">
        <v>3460</v>
      </c>
      <c r="AJ19" s="641">
        <f t="shared" si="1"/>
        <v>0</v>
      </c>
      <c r="AK19" s="641">
        <f t="shared" si="2"/>
        <v>31</v>
      </c>
      <c r="AL19" s="642">
        <f t="shared" si="3"/>
        <v>0</v>
      </c>
      <c r="AM19" s="642">
        <f t="shared" si="4"/>
        <v>31</v>
      </c>
      <c r="AN19" s="642">
        <f t="shared" si="5"/>
        <v>31</v>
      </c>
      <c r="AO19" s="643">
        <f t="shared" si="6"/>
        <v>0</v>
      </c>
      <c r="AP19" s="643">
        <f t="shared" si="7"/>
        <v>0</v>
      </c>
      <c r="AQ19" s="630"/>
      <c r="AR19" s="644">
        <f t="shared" si="8"/>
        <v>0</v>
      </c>
      <c r="AS19" s="644">
        <f t="shared" si="9"/>
        <v>31</v>
      </c>
      <c r="AT19" s="644">
        <f t="shared" si="10"/>
        <v>0</v>
      </c>
      <c r="AU19" s="644">
        <f t="shared" si="11"/>
        <v>0</v>
      </c>
      <c r="AV19" s="644">
        <f t="shared" si="12"/>
        <v>0</v>
      </c>
      <c r="AW19" s="644">
        <f t="shared" si="13"/>
        <v>0</v>
      </c>
      <c r="AX19" s="644">
        <f t="shared" si="14"/>
        <v>0</v>
      </c>
      <c r="AY19" s="644">
        <f t="shared" si="15"/>
        <v>0</v>
      </c>
      <c r="AZ19" s="644">
        <f t="shared" si="16"/>
        <v>0</v>
      </c>
      <c r="BA19" s="618"/>
      <c r="BB19" s="618"/>
      <c r="BC19" s="618"/>
      <c r="BD19" s="618"/>
      <c r="BE19" s="618"/>
      <c r="BF19" s="618"/>
      <c r="BG19" s="618"/>
      <c r="BH19" s="618"/>
      <c r="BI19" s="618"/>
      <c r="BJ19" s="618"/>
    </row>
    <row r="20" ht="15.75" customHeight="1">
      <c r="A20" s="636">
        <v>13.0</v>
      </c>
      <c r="B20" s="637" t="s">
        <v>151</v>
      </c>
      <c r="C20" s="637" t="s">
        <v>3480</v>
      </c>
      <c r="D20" s="638" t="s">
        <v>3481</v>
      </c>
      <c r="E20" s="639" t="s">
        <v>3469</v>
      </c>
      <c r="F20" s="639" t="s">
        <v>3469</v>
      </c>
      <c r="G20" s="639" t="s">
        <v>3469</v>
      </c>
      <c r="H20" s="639" t="s">
        <v>3469</v>
      </c>
      <c r="I20" s="639" t="s">
        <v>3470</v>
      </c>
      <c r="J20" s="639" t="s">
        <v>3470</v>
      </c>
      <c r="K20" s="639" t="s">
        <v>3470</v>
      </c>
      <c r="L20" s="639" t="s">
        <v>3470</v>
      </c>
      <c r="M20" s="639" t="s">
        <v>3469</v>
      </c>
      <c r="N20" s="639" t="s">
        <v>3469</v>
      </c>
      <c r="O20" s="639" t="s">
        <v>3469</v>
      </c>
      <c r="P20" s="639" t="s">
        <v>3470</v>
      </c>
      <c r="Q20" s="639" t="s">
        <v>3470</v>
      </c>
      <c r="R20" s="639" t="s">
        <v>3469</v>
      </c>
      <c r="S20" s="639" t="s">
        <v>3469</v>
      </c>
      <c r="T20" s="639" t="s">
        <v>3469</v>
      </c>
      <c r="U20" s="639" t="s">
        <v>3469</v>
      </c>
      <c r="V20" s="639" t="s">
        <v>3469</v>
      </c>
      <c r="W20" s="639" t="s">
        <v>3470</v>
      </c>
      <c r="X20" s="639" t="s">
        <v>3469</v>
      </c>
      <c r="Y20" s="639" t="s">
        <v>3469</v>
      </c>
      <c r="Z20" s="639" t="s">
        <v>3469</v>
      </c>
      <c r="AA20" s="639" t="s">
        <v>3469</v>
      </c>
      <c r="AB20" s="639" t="s">
        <v>3469</v>
      </c>
      <c r="AC20" s="639" t="s">
        <v>3469</v>
      </c>
      <c r="AD20" s="639" t="s">
        <v>3469</v>
      </c>
      <c r="AE20" s="639" t="s">
        <v>3469</v>
      </c>
      <c r="AF20" s="639" t="s">
        <v>3469</v>
      </c>
      <c r="AG20" s="639" t="s">
        <v>3469</v>
      </c>
      <c r="AH20" s="639" t="s">
        <v>3469</v>
      </c>
      <c r="AI20" s="639" t="s">
        <v>3469</v>
      </c>
      <c r="AJ20" s="641">
        <f t="shared" si="1"/>
        <v>31</v>
      </c>
      <c r="AK20" s="641">
        <f t="shared" si="2"/>
        <v>0</v>
      </c>
      <c r="AL20" s="642">
        <f t="shared" si="3"/>
        <v>0</v>
      </c>
      <c r="AM20" s="642">
        <f t="shared" si="4"/>
        <v>31</v>
      </c>
      <c r="AN20" s="642">
        <f t="shared" si="5"/>
        <v>31</v>
      </c>
      <c r="AO20" s="643">
        <f t="shared" si="6"/>
        <v>1</v>
      </c>
      <c r="AP20" s="643">
        <f t="shared" si="7"/>
        <v>1</v>
      </c>
      <c r="AQ20" s="630"/>
      <c r="AR20" s="644">
        <f t="shared" si="8"/>
        <v>0</v>
      </c>
      <c r="AS20" s="644">
        <f t="shared" si="9"/>
        <v>0</v>
      </c>
      <c r="AT20" s="644">
        <f t="shared" si="10"/>
        <v>0</v>
      </c>
      <c r="AU20" s="644">
        <f t="shared" si="11"/>
        <v>0</v>
      </c>
      <c r="AV20" s="644">
        <f t="shared" si="12"/>
        <v>0</v>
      </c>
      <c r="AW20" s="644">
        <f t="shared" si="13"/>
        <v>0</v>
      </c>
      <c r="AX20" s="644">
        <f t="shared" si="14"/>
        <v>0</v>
      </c>
      <c r="AY20" s="644">
        <f t="shared" si="15"/>
        <v>0</v>
      </c>
      <c r="AZ20" s="644">
        <f t="shared" si="16"/>
        <v>0</v>
      </c>
      <c r="BA20" s="618"/>
      <c r="BB20" s="618"/>
      <c r="BC20" s="618"/>
      <c r="BD20" s="618"/>
      <c r="BE20" s="618"/>
      <c r="BF20" s="618"/>
      <c r="BG20" s="618"/>
      <c r="BH20" s="618"/>
      <c r="BI20" s="618"/>
      <c r="BJ20" s="618"/>
    </row>
    <row r="21" ht="15.75" customHeight="1">
      <c r="A21" s="636">
        <v>14.0</v>
      </c>
      <c r="B21" s="637" t="s">
        <v>180</v>
      </c>
      <c r="C21" s="637" t="s">
        <v>3482</v>
      </c>
      <c r="D21" s="638" t="s">
        <v>52</v>
      </c>
      <c r="E21" s="640" t="s">
        <v>3459</v>
      </c>
      <c r="F21" s="640" t="s">
        <v>3459</v>
      </c>
      <c r="G21" s="640" t="s">
        <v>3459</v>
      </c>
      <c r="H21" s="640" t="s">
        <v>3459</v>
      </c>
      <c r="I21" s="640" t="s">
        <v>3459</v>
      </c>
      <c r="J21" s="640" t="s">
        <v>3459</v>
      </c>
      <c r="K21" s="640" t="s">
        <v>3459</v>
      </c>
      <c r="L21" s="640" t="s">
        <v>3459</v>
      </c>
      <c r="M21" s="640" t="s">
        <v>3469</v>
      </c>
      <c r="N21" s="640" t="s">
        <v>3469</v>
      </c>
      <c r="O21" s="640" t="s">
        <v>3469</v>
      </c>
      <c r="P21" s="640" t="s">
        <v>3470</v>
      </c>
      <c r="Q21" s="640" t="s">
        <v>3469</v>
      </c>
      <c r="R21" s="640" t="s">
        <v>3469</v>
      </c>
      <c r="S21" s="640" t="s">
        <v>3469</v>
      </c>
      <c r="T21" s="640" t="s">
        <v>3469</v>
      </c>
      <c r="U21" s="640" t="s">
        <v>3469</v>
      </c>
      <c r="V21" s="640" t="s">
        <v>3469</v>
      </c>
      <c r="W21" s="640" t="s">
        <v>3470</v>
      </c>
      <c r="X21" s="639" t="s">
        <v>3468</v>
      </c>
      <c r="Y21" s="639" t="s">
        <v>3468</v>
      </c>
      <c r="Z21" s="639" t="s">
        <v>3468</v>
      </c>
      <c r="AA21" s="639" t="s">
        <v>3315</v>
      </c>
      <c r="AB21" s="639" t="s">
        <v>3315</v>
      </c>
      <c r="AC21" s="639" t="s">
        <v>3315</v>
      </c>
      <c r="AD21" s="639" t="s">
        <v>3315</v>
      </c>
      <c r="AE21" s="639" t="s">
        <v>3315</v>
      </c>
      <c r="AF21" s="639" t="s">
        <v>3315</v>
      </c>
      <c r="AG21" s="639" t="s">
        <v>3315</v>
      </c>
      <c r="AH21" s="639" t="s">
        <v>3315</v>
      </c>
      <c r="AI21" s="639" t="s">
        <v>3315</v>
      </c>
      <c r="AJ21" s="641">
        <f t="shared" si="1"/>
        <v>14</v>
      </c>
      <c r="AK21" s="641">
        <f t="shared" si="2"/>
        <v>17</v>
      </c>
      <c r="AL21" s="642">
        <f t="shared" si="3"/>
        <v>0</v>
      </c>
      <c r="AM21" s="642">
        <f t="shared" si="4"/>
        <v>31</v>
      </c>
      <c r="AN21" s="642">
        <f t="shared" si="5"/>
        <v>31</v>
      </c>
      <c r="AO21" s="643">
        <f t="shared" si="6"/>
        <v>0.4516129032</v>
      </c>
      <c r="AP21" s="643">
        <f t="shared" si="7"/>
        <v>0.4516129032</v>
      </c>
      <c r="AQ21" s="630"/>
      <c r="AR21" s="644">
        <f t="shared" si="8"/>
        <v>8</v>
      </c>
      <c r="AS21" s="644">
        <f t="shared" si="9"/>
        <v>0</v>
      </c>
      <c r="AT21" s="644">
        <f t="shared" si="10"/>
        <v>0</v>
      </c>
      <c r="AU21" s="644">
        <f t="shared" si="11"/>
        <v>0</v>
      </c>
      <c r="AV21" s="644">
        <f t="shared" si="12"/>
        <v>9</v>
      </c>
      <c r="AW21" s="644">
        <f t="shared" si="13"/>
        <v>0</v>
      </c>
      <c r="AX21" s="644">
        <f t="shared" si="14"/>
        <v>0</v>
      </c>
      <c r="AY21" s="644">
        <f t="shared" si="15"/>
        <v>0</v>
      </c>
      <c r="AZ21" s="644">
        <f t="shared" si="16"/>
        <v>0</v>
      </c>
      <c r="BA21" s="618"/>
      <c r="BB21" s="618"/>
      <c r="BC21" s="618"/>
      <c r="BD21" s="618"/>
      <c r="BE21" s="618"/>
      <c r="BF21" s="618"/>
      <c r="BG21" s="618"/>
      <c r="BH21" s="618"/>
      <c r="BI21" s="618"/>
      <c r="BJ21" s="618"/>
    </row>
    <row r="22" ht="15.75" customHeight="1">
      <c r="A22" s="636">
        <v>15.0</v>
      </c>
      <c r="B22" s="637" t="s">
        <v>115</v>
      </c>
      <c r="C22" s="637" t="s">
        <v>3483</v>
      </c>
      <c r="D22" s="638" t="s">
        <v>3484</v>
      </c>
      <c r="E22" s="640" t="s">
        <v>3459</v>
      </c>
      <c r="F22" s="639" t="s">
        <v>3459</v>
      </c>
      <c r="G22" s="639" t="s">
        <v>3459</v>
      </c>
      <c r="H22" s="639" t="s">
        <v>3459</v>
      </c>
      <c r="I22" s="639" t="s">
        <v>3485</v>
      </c>
      <c r="J22" s="639" t="s">
        <v>3485</v>
      </c>
      <c r="K22" s="639" t="s">
        <v>3485</v>
      </c>
      <c r="L22" s="639" t="s">
        <v>3485</v>
      </c>
      <c r="M22" s="639" t="s">
        <v>3485</v>
      </c>
      <c r="N22" s="639" t="s">
        <v>3485</v>
      </c>
      <c r="O22" s="639" t="s">
        <v>3485</v>
      </c>
      <c r="P22" s="639" t="s">
        <v>3485</v>
      </c>
      <c r="Q22" s="639" t="s">
        <v>3485</v>
      </c>
      <c r="R22" s="639" t="s">
        <v>3485</v>
      </c>
      <c r="S22" s="639" t="s">
        <v>3485</v>
      </c>
      <c r="T22" s="639" t="s">
        <v>3485</v>
      </c>
      <c r="U22" s="639" t="s">
        <v>3485</v>
      </c>
      <c r="V22" s="639" t="s">
        <v>3486</v>
      </c>
      <c r="W22" s="639" t="s">
        <v>3486</v>
      </c>
      <c r="X22" s="640" t="s">
        <v>3486</v>
      </c>
      <c r="Y22" s="639" t="s">
        <v>3486</v>
      </c>
      <c r="Z22" s="639" t="s">
        <v>3486</v>
      </c>
      <c r="AA22" s="639" t="s">
        <v>3486</v>
      </c>
      <c r="AB22" s="639" t="s">
        <v>3486</v>
      </c>
      <c r="AC22" s="639" t="s">
        <v>3486</v>
      </c>
      <c r="AD22" s="639" t="s">
        <v>3486</v>
      </c>
      <c r="AE22" s="639" t="s">
        <v>3486</v>
      </c>
      <c r="AF22" s="639" t="s">
        <v>3486</v>
      </c>
      <c r="AG22" s="639" t="s">
        <v>3486</v>
      </c>
      <c r="AH22" s="639" t="s">
        <v>3486</v>
      </c>
      <c r="AI22" s="639" t="s">
        <v>3486</v>
      </c>
      <c r="AJ22" s="641">
        <f t="shared" si="1"/>
        <v>0</v>
      </c>
      <c r="AK22" s="641">
        <f t="shared" si="2"/>
        <v>17</v>
      </c>
      <c r="AL22" s="642">
        <f t="shared" si="3"/>
        <v>14</v>
      </c>
      <c r="AM22" s="642">
        <f t="shared" si="4"/>
        <v>17</v>
      </c>
      <c r="AN22" s="642">
        <f t="shared" si="5"/>
        <v>31</v>
      </c>
      <c r="AO22" s="643">
        <f t="shared" si="6"/>
        <v>0</v>
      </c>
      <c r="AP22" s="643">
        <f t="shared" si="7"/>
        <v>0</v>
      </c>
      <c r="AQ22" s="630"/>
      <c r="AR22" s="644">
        <f t="shared" si="8"/>
        <v>4</v>
      </c>
      <c r="AS22" s="644">
        <f t="shared" si="9"/>
        <v>0</v>
      </c>
      <c r="AT22" s="644">
        <f t="shared" si="10"/>
        <v>0</v>
      </c>
      <c r="AU22" s="644">
        <f t="shared" si="11"/>
        <v>0</v>
      </c>
      <c r="AV22" s="644">
        <f t="shared" si="12"/>
        <v>0</v>
      </c>
      <c r="AW22" s="644">
        <f t="shared" si="13"/>
        <v>0</v>
      </c>
      <c r="AX22" s="644">
        <f t="shared" si="14"/>
        <v>0</v>
      </c>
      <c r="AY22" s="644">
        <f t="shared" si="15"/>
        <v>0</v>
      </c>
      <c r="AZ22" s="644">
        <f t="shared" si="16"/>
        <v>0</v>
      </c>
      <c r="BA22" s="618"/>
      <c r="BB22" s="618"/>
      <c r="BC22" s="618"/>
      <c r="BD22" s="618"/>
      <c r="BE22" s="618"/>
      <c r="BF22" s="618"/>
      <c r="BG22" s="618"/>
      <c r="BH22" s="618"/>
      <c r="BI22" s="618"/>
      <c r="BJ22" s="618"/>
    </row>
    <row r="23" ht="15.75" customHeight="1">
      <c r="A23" s="636">
        <v>16.0</v>
      </c>
      <c r="B23" s="637" t="s">
        <v>166</v>
      </c>
      <c r="C23" s="637" t="s">
        <v>2364</v>
      </c>
      <c r="D23" s="638" t="s">
        <v>3487</v>
      </c>
      <c r="E23" s="639" t="s">
        <v>3469</v>
      </c>
      <c r="F23" s="639" t="s">
        <v>3469</v>
      </c>
      <c r="G23" s="639" t="s">
        <v>3470</v>
      </c>
      <c r="H23" s="639" t="s">
        <v>3470</v>
      </c>
      <c r="I23" s="639" t="s">
        <v>3469</v>
      </c>
      <c r="J23" s="639" t="s">
        <v>3469</v>
      </c>
      <c r="K23" s="639" t="s">
        <v>3469</v>
      </c>
      <c r="L23" s="639" t="s">
        <v>3469</v>
      </c>
      <c r="M23" s="639" t="s">
        <v>3469</v>
      </c>
      <c r="N23" s="645" t="s">
        <v>3469</v>
      </c>
      <c r="O23" s="645" t="s">
        <v>3469</v>
      </c>
      <c r="P23" s="645" t="s">
        <v>3468</v>
      </c>
      <c r="Q23" s="645" t="s">
        <v>3468</v>
      </c>
      <c r="R23" s="639" t="s">
        <v>3469</v>
      </c>
      <c r="S23" s="639" t="s">
        <v>3469</v>
      </c>
      <c r="T23" s="639" t="s">
        <v>3469</v>
      </c>
      <c r="U23" s="639" t="s">
        <v>3469</v>
      </c>
      <c r="V23" s="639" t="s">
        <v>3469</v>
      </c>
      <c r="W23" s="639" t="s">
        <v>3468</v>
      </c>
      <c r="X23" s="639" t="s">
        <v>3468</v>
      </c>
      <c r="Y23" s="639" t="s">
        <v>3469</v>
      </c>
      <c r="Z23" s="639" t="s">
        <v>3469</v>
      </c>
      <c r="AA23" s="639" t="s">
        <v>3469</v>
      </c>
      <c r="AB23" s="639" t="s">
        <v>3469</v>
      </c>
      <c r="AC23" s="639" t="s">
        <v>3469</v>
      </c>
      <c r="AD23" s="639" t="s">
        <v>3469</v>
      </c>
      <c r="AE23" s="639" t="s">
        <v>3469</v>
      </c>
      <c r="AF23" s="639" t="s">
        <v>3469</v>
      </c>
      <c r="AG23" s="639" t="s">
        <v>3469</v>
      </c>
      <c r="AH23" s="639" t="s">
        <v>3469</v>
      </c>
      <c r="AI23" s="639" t="s">
        <v>3469</v>
      </c>
      <c r="AJ23" s="641">
        <f t="shared" si="1"/>
        <v>31</v>
      </c>
      <c r="AK23" s="641">
        <f t="shared" si="2"/>
        <v>0</v>
      </c>
      <c r="AL23" s="642">
        <f t="shared" si="3"/>
        <v>0</v>
      </c>
      <c r="AM23" s="642">
        <f t="shared" si="4"/>
        <v>31</v>
      </c>
      <c r="AN23" s="642">
        <f t="shared" si="5"/>
        <v>31</v>
      </c>
      <c r="AO23" s="643">
        <f t="shared" si="6"/>
        <v>1</v>
      </c>
      <c r="AP23" s="643">
        <f t="shared" si="7"/>
        <v>1</v>
      </c>
      <c r="AQ23" s="630"/>
      <c r="AR23" s="644">
        <f t="shared" si="8"/>
        <v>0</v>
      </c>
      <c r="AS23" s="644">
        <f t="shared" si="9"/>
        <v>0</v>
      </c>
      <c r="AT23" s="644">
        <f t="shared" si="10"/>
        <v>0</v>
      </c>
      <c r="AU23" s="644">
        <f t="shared" si="11"/>
        <v>0</v>
      </c>
      <c r="AV23" s="644">
        <f t="shared" si="12"/>
        <v>0</v>
      </c>
      <c r="AW23" s="644">
        <f t="shared" si="13"/>
        <v>0</v>
      </c>
      <c r="AX23" s="644">
        <f t="shared" si="14"/>
        <v>0</v>
      </c>
      <c r="AY23" s="644">
        <f t="shared" si="15"/>
        <v>0</v>
      </c>
      <c r="AZ23" s="644">
        <f t="shared" si="16"/>
        <v>0</v>
      </c>
      <c r="BA23" s="618"/>
      <c r="BB23" s="618"/>
      <c r="BC23" s="618"/>
      <c r="BD23" s="618"/>
      <c r="BE23" s="618"/>
      <c r="BF23" s="618"/>
      <c r="BG23" s="618"/>
      <c r="BH23" s="618"/>
      <c r="BI23" s="618"/>
      <c r="BJ23" s="618"/>
    </row>
    <row r="24" ht="15.75" customHeight="1">
      <c r="A24" s="636">
        <v>17.0</v>
      </c>
      <c r="B24" s="637" t="s">
        <v>128</v>
      </c>
      <c r="C24" s="637" t="s">
        <v>3074</v>
      </c>
      <c r="D24" s="638" t="s">
        <v>3488</v>
      </c>
      <c r="E24" s="639" t="s">
        <v>3470</v>
      </c>
      <c r="F24" s="639" t="s">
        <v>3468</v>
      </c>
      <c r="G24" s="639" t="s">
        <v>3468</v>
      </c>
      <c r="H24" s="639" t="s">
        <v>3468</v>
      </c>
      <c r="I24" s="639" t="s">
        <v>3470</v>
      </c>
      <c r="J24" s="639" t="s">
        <v>3460</v>
      </c>
      <c r="K24" s="639" t="s">
        <v>3460</v>
      </c>
      <c r="L24" s="639" t="s">
        <v>3460</v>
      </c>
      <c r="M24" s="640" t="s">
        <v>3469</v>
      </c>
      <c r="N24" s="640" t="s">
        <v>3469</v>
      </c>
      <c r="O24" s="639" t="s">
        <v>3469</v>
      </c>
      <c r="P24" s="639" t="s">
        <v>3468</v>
      </c>
      <c r="Q24" s="639" t="s">
        <v>3460</v>
      </c>
      <c r="R24" s="639" t="s">
        <v>3460</v>
      </c>
      <c r="S24" s="639" t="s">
        <v>3460</v>
      </c>
      <c r="T24" s="639" t="s">
        <v>3460</v>
      </c>
      <c r="U24" s="639" t="s">
        <v>3460</v>
      </c>
      <c r="V24" s="639" t="s">
        <v>3460</v>
      </c>
      <c r="W24" s="639" t="s">
        <v>3460</v>
      </c>
      <c r="X24" s="639" t="s">
        <v>3469</v>
      </c>
      <c r="Y24" s="639" t="s">
        <v>3469</v>
      </c>
      <c r="Z24" s="639" t="s">
        <v>3469</v>
      </c>
      <c r="AA24" s="639" t="s">
        <v>3469</v>
      </c>
      <c r="AB24" s="639" t="s">
        <v>3469</v>
      </c>
      <c r="AC24" s="639" t="s">
        <v>3469</v>
      </c>
      <c r="AD24" s="639" t="s">
        <v>3469</v>
      </c>
      <c r="AE24" s="639" t="s">
        <v>3469</v>
      </c>
      <c r="AF24" s="639" t="s">
        <v>3468</v>
      </c>
      <c r="AG24" s="639" t="s">
        <v>3468</v>
      </c>
      <c r="AH24" s="639" t="s">
        <v>3468</v>
      </c>
      <c r="AI24" s="639" t="s">
        <v>3468</v>
      </c>
      <c r="AJ24" s="641">
        <f t="shared" si="1"/>
        <v>21</v>
      </c>
      <c r="AK24" s="641">
        <f t="shared" si="2"/>
        <v>10</v>
      </c>
      <c r="AL24" s="642">
        <f t="shared" si="3"/>
        <v>0</v>
      </c>
      <c r="AM24" s="642">
        <f t="shared" si="4"/>
        <v>31</v>
      </c>
      <c r="AN24" s="642">
        <f t="shared" si="5"/>
        <v>31</v>
      </c>
      <c r="AO24" s="643">
        <f t="shared" si="6"/>
        <v>0.6774193548</v>
      </c>
      <c r="AP24" s="643">
        <f t="shared" si="7"/>
        <v>0.6774193548</v>
      </c>
      <c r="AQ24" s="630"/>
      <c r="AR24" s="644">
        <f t="shared" si="8"/>
        <v>0</v>
      </c>
      <c r="AS24" s="644">
        <f t="shared" si="9"/>
        <v>10</v>
      </c>
      <c r="AT24" s="644">
        <f t="shared" si="10"/>
        <v>0</v>
      </c>
      <c r="AU24" s="644">
        <f t="shared" si="11"/>
        <v>0</v>
      </c>
      <c r="AV24" s="644">
        <f t="shared" si="12"/>
        <v>0</v>
      </c>
      <c r="AW24" s="644">
        <f t="shared" si="13"/>
        <v>0</v>
      </c>
      <c r="AX24" s="644">
        <f t="shared" si="14"/>
        <v>0</v>
      </c>
      <c r="AY24" s="644">
        <f t="shared" si="15"/>
        <v>0</v>
      </c>
      <c r="AZ24" s="644">
        <f t="shared" si="16"/>
        <v>0</v>
      </c>
      <c r="BA24" s="618"/>
      <c r="BB24" s="618"/>
      <c r="BC24" s="618"/>
      <c r="BD24" s="618"/>
      <c r="BE24" s="618"/>
      <c r="BF24" s="618"/>
      <c r="BG24" s="618"/>
      <c r="BH24" s="618"/>
      <c r="BI24" s="618"/>
      <c r="BJ24" s="618"/>
    </row>
    <row r="25" ht="15.75" customHeight="1">
      <c r="A25" s="636">
        <v>18.0</v>
      </c>
      <c r="B25" s="637" t="s">
        <v>144</v>
      </c>
      <c r="C25" s="637" t="s">
        <v>3489</v>
      </c>
      <c r="D25" s="638" t="s">
        <v>3490</v>
      </c>
      <c r="E25" s="639" t="s">
        <v>3469</v>
      </c>
      <c r="F25" s="639" t="s">
        <v>3469</v>
      </c>
      <c r="G25" s="639" t="s">
        <v>3470</v>
      </c>
      <c r="H25" s="639" t="s">
        <v>3460</v>
      </c>
      <c r="I25" s="639" t="s">
        <v>3460</v>
      </c>
      <c r="J25" s="639" t="s">
        <v>3469</v>
      </c>
      <c r="K25" s="639" t="s">
        <v>3469</v>
      </c>
      <c r="L25" s="640" t="s">
        <v>3469</v>
      </c>
      <c r="M25" s="640" t="s">
        <v>3469</v>
      </c>
      <c r="N25" s="640" t="s">
        <v>3469</v>
      </c>
      <c r="O25" s="640" t="s">
        <v>3469</v>
      </c>
      <c r="P25" s="639" t="s">
        <v>3469</v>
      </c>
      <c r="Q25" s="639" t="s">
        <v>3469</v>
      </c>
      <c r="R25" s="639" t="s">
        <v>3469</v>
      </c>
      <c r="S25" s="639" t="s">
        <v>3469</v>
      </c>
      <c r="T25" s="639" t="s">
        <v>3469</v>
      </c>
      <c r="U25" s="639" t="s">
        <v>3469</v>
      </c>
      <c r="V25" s="639" t="s">
        <v>3469</v>
      </c>
      <c r="W25" s="640" t="s">
        <v>3469</v>
      </c>
      <c r="X25" s="640" t="s">
        <v>3469</v>
      </c>
      <c r="Y25" s="639" t="s">
        <v>3469</v>
      </c>
      <c r="Z25" s="639" t="s">
        <v>3469</v>
      </c>
      <c r="AA25" s="639" t="s">
        <v>3469</v>
      </c>
      <c r="AB25" s="639" t="s">
        <v>3469</v>
      </c>
      <c r="AC25" s="639" t="s">
        <v>3469</v>
      </c>
      <c r="AD25" s="639" t="s">
        <v>3468</v>
      </c>
      <c r="AE25" s="639" t="s">
        <v>3468</v>
      </c>
      <c r="AF25" s="639" t="s">
        <v>3468</v>
      </c>
      <c r="AG25" s="639" t="s">
        <v>3470</v>
      </c>
      <c r="AH25" s="639" t="s">
        <v>3470</v>
      </c>
      <c r="AI25" s="639" t="s">
        <v>3470</v>
      </c>
      <c r="AJ25" s="641">
        <f t="shared" si="1"/>
        <v>29</v>
      </c>
      <c r="AK25" s="641">
        <f t="shared" si="2"/>
        <v>2</v>
      </c>
      <c r="AL25" s="642">
        <f t="shared" si="3"/>
        <v>0</v>
      </c>
      <c r="AM25" s="642">
        <f t="shared" si="4"/>
        <v>31</v>
      </c>
      <c r="AN25" s="642">
        <f t="shared" si="5"/>
        <v>31</v>
      </c>
      <c r="AO25" s="643">
        <f t="shared" si="6"/>
        <v>0.935483871</v>
      </c>
      <c r="AP25" s="643">
        <f t="shared" si="7"/>
        <v>0.935483871</v>
      </c>
      <c r="AQ25" s="630"/>
      <c r="AR25" s="644">
        <f t="shared" si="8"/>
        <v>0</v>
      </c>
      <c r="AS25" s="644">
        <f t="shared" si="9"/>
        <v>2</v>
      </c>
      <c r="AT25" s="644">
        <f t="shared" si="10"/>
        <v>0</v>
      </c>
      <c r="AU25" s="644">
        <f t="shared" si="11"/>
        <v>0</v>
      </c>
      <c r="AV25" s="644">
        <f t="shared" si="12"/>
        <v>0</v>
      </c>
      <c r="AW25" s="644">
        <f t="shared" si="13"/>
        <v>0</v>
      </c>
      <c r="AX25" s="644">
        <f t="shared" si="14"/>
        <v>0</v>
      </c>
      <c r="AY25" s="644">
        <f t="shared" si="15"/>
        <v>0</v>
      </c>
      <c r="AZ25" s="644">
        <f t="shared" si="16"/>
        <v>0</v>
      </c>
      <c r="BA25" s="618"/>
      <c r="BB25" s="618"/>
      <c r="BC25" s="618"/>
      <c r="BD25" s="618"/>
      <c r="BE25" s="618"/>
      <c r="BF25" s="618"/>
      <c r="BG25" s="618"/>
      <c r="BH25" s="618"/>
      <c r="BI25" s="618"/>
      <c r="BJ25" s="618"/>
    </row>
    <row r="26" ht="15.75" customHeight="1">
      <c r="A26" s="636">
        <v>19.0</v>
      </c>
      <c r="B26" s="637" t="s">
        <v>146</v>
      </c>
      <c r="C26" s="637" t="s">
        <v>3491</v>
      </c>
      <c r="D26" s="638" t="s">
        <v>3492</v>
      </c>
      <c r="E26" s="639" t="s">
        <v>3468</v>
      </c>
      <c r="F26" s="639" t="s">
        <v>3468</v>
      </c>
      <c r="G26" s="639" t="s">
        <v>3468</v>
      </c>
      <c r="H26" s="639" t="s">
        <v>3468</v>
      </c>
      <c r="I26" s="639" t="s">
        <v>3468</v>
      </c>
      <c r="J26" s="639" t="s">
        <v>3468</v>
      </c>
      <c r="K26" s="639" t="s">
        <v>3468</v>
      </c>
      <c r="L26" s="640" t="s">
        <v>3468</v>
      </c>
      <c r="M26" s="640" t="s">
        <v>3469</v>
      </c>
      <c r="N26" s="640" t="s">
        <v>3469</v>
      </c>
      <c r="O26" s="640" t="s">
        <v>3469</v>
      </c>
      <c r="P26" s="640" t="s">
        <v>3469</v>
      </c>
      <c r="Q26" s="640" t="s">
        <v>3469</v>
      </c>
      <c r="R26" s="640" t="s">
        <v>3469</v>
      </c>
      <c r="S26" s="640" t="s">
        <v>3469</v>
      </c>
      <c r="T26" s="639" t="s">
        <v>3469</v>
      </c>
      <c r="U26" s="639" t="s">
        <v>3469</v>
      </c>
      <c r="V26" s="639" t="s">
        <v>3459</v>
      </c>
      <c r="W26" s="639" t="s">
        <v>3459</v>
      </c>
      <c r="X26" s="639" t="s">
        <v>3459</v>
      </c>
      <c r="Y26" s="639" t="s">
        <v>3459</v>
      </c>
      <c r="Z26" s="639" t="s">
        <v>3459</v>
      </c>
      <c r="AA26" s="639" t="s">
        <v>3459</v>
      </c>
      <c r="AB26" s="639" t="s">
        <v>3459</v>
      </c>
      <c r="AC26" s="639" t="s">
        <v>3459</v>
      </c>
      <c r="AD26" s="639" t="s">
        <v>3459</v>
      </c>
      <c r="AE26" s="639" t="s">
        <v>3468</v>
      </c>
      <c r="AF26" s="639" t="s">
        <v>3463</v>
      </c>
      <c r="AG26" s="639" t="s">
        <v>3470</v>
      </c>
      <c r="AH26" s="639" t="s">
        <v>3470</v>
      </c>
      <c r="AI26" s="639" t="s">
        <v>3470</v>
      </c>
      <c r="AJ26" s="641">
        <f t="shared" si="1"/>
        <v>21</v>
      </c>
      <c r="AK26" s="641">
        <f t="shared" si="2"/>
        <v>10</v>
      </c>
      <c r="AL26" s="642">
        <f t="shared" si="3"/>
        <v>0</v>
      </c>
      <c r="AM26" s="642">
        <f t="shared" si="4"/>
        <v>31</v>
      </c>
      <c r="AN26" s="642">
        <f t="shared" si="5"/>
        <v>31</v>
      </c>
      <c r="AO26" s="643">
        <f t="shared" si="6"/>
        <v>0.6774193548</v>
      </c>
      <c r="AP26" s="643">
        <f t="shared" si="7"/>
        <v>0.6774193548</v>
      </c>
      <c r="AQ26" s="630"/>
      <c r="AR26" s="644">
        <f t="shared" si="8"/>
        <v>9</v>
      </c>
      <c r="AS26" s="644">
        <f t="shared" si="9"/>
        <v>0</v>
      </c>
      <c r="AT26" s="644">
        <f t="shared" si="10"/>
        <v>0</v>
      </c>
      <c r="AU26" s="644">
        <f t="shared" si="11"/>
        <v>0</v>
      </c>
      <c r="AV26" s="644">
        <f t="shared" si="12"/>
        <v>0</v>
      </c>
      <c r="AW26" s="644">
        <f t="shared" si="13"/>
        <v>1</v>
      </c>
      <c r="AX26" s="644">
        <f t="shared" si="14"/>
        <v>0</v>
      </c>
      <c r="AY26" s="644">
        <f t="shared" si="15"/>
        <v>0</v>
      </c>
      <c r="AZ26" s="644">
        <f t="shared" si="16"/>
        <v>0</v>
      </c>
      <c r="BA26" s="618"/>
      <c r="BB26" s="618"/>
      <c r="BC26" s="618"/>
      <c r="BD26" s="618"/>
      <c r="BE26" s="618"/>
      <c r="BF26" s="618"/>
      <c r="BG26" s="618"/>
      <c r="BH26" s="618"/>
      <c r="BI26" s="618"/>
      <c r="BJ26" s="618"/>
    </row>
    <row r="27" ht="15.75" customHeight="1">
      <c r="A27" s="636">
        <v>20.0</v>
      </c>
      <c r="B27" s="637" t="s">
        <v>184</v>
      </c>
      <c r="C27" s="637" t="s">
        <v>3493</v>
      </c>
      <c r="D27" s="638" t="s">
        <v>3494</v>
      </c>
      <c r="E27" s="639" t="s">
        <v>3469</v>
      </c>
      <c r="F27" s="639" t="s">
        <v>3469</v>
      </c>
      <c r="G27" s="639" t="s">
        <v>3469</v>
      </c>
      <c r="H27" s="639" t="s">
        <v>3469</v>
      </c>
      <c r="I27" s="640" t="s">
        <v>3468</v>
      </c>
      <c r="J27" s="640" t="s">
        <v>3468</v>
      </c>
      <c r="K27" s="640" t="s">
        <v>3468</v>
      </c>
      <c r="L27" s="640" t="s">
        <v>3468</v>
      </c>
      <c r="M27" s="640" t="s">
        <v>3469</v>
      </c>
      <c r="N27" s="640" t="s">
        <v>3469</v>
      </c>
      <c r="O27" s="640" t="s">
        <v>3469</v>
      </c>
      <c r="P27" s="640" t="s">
        <v>3470</v>
      </c>
      <c r="Q27" s="640" t="s">
        <v>3470</v>
      </c>
      <c r="R27" s="640" t="s">
        <v>3469</v>
      </c>
      <c r="S27" s="640" t="s">
        <v>3469</v>
      </c>
      <c r="T27" s="639" t="s">
        <v>3469</v>
      </c>
      <c r="U27" s="639" t="s">
        <v>3469</v>
      </c>
      <c r="V27" s="639" t="s">
        <v>3469</v>
      </c>
      <c r="W27" s="639" t="s">
        <v>3469</v>
      </c>
      <c r="X27" s="639" t="s">
        <v>3469</v>
      </c>
      <c r="Y27" s="639" t="s">
        <v>3469</v>
      </c>
      <c r="Z27" s="639" t="s">
        <v>3469</v>
      </c>
      <c r="AA27" s="639" t="s">
        <v>3469</v>
      </c>
      <c r="AB27" s="639" t="s">
        <v>3469</v>
      </c>
      <c r="AC27" s="639" t="s">
        <v>3469</v>
      </c>
      <c r="AD27" s="639" t="s">
        <v>3469</v>
      </c>
      <c r="AE27" s="639" t="s">
        <v>3469</v>
      </c>
      <c r="AF27" s="639" t="s">
        <v>3469</v>
      </c>
      <c r="AG27" s="639" t="s">
        <v>3469</v>
      </c>
      <c r="AH27" s="639" t="s">
        <v>3469</v>
      </c>
      <c r="AI27" s="639" t="s">
        <v>3461</v>
      </c>
      <c r="AJ27" s="641">
        <f t="shared" si="1"/>
        <v>30</v>
      </c>
      <c r="AK27" s="641">
        <f t="shared" si="2"/>
        <v>1</v>
      </c>
      <c r="AL27" s="642">
        <f t="shared" si="3"/>
        <v>0</v>
      </c>
      <c r="AM27" s="642">
        <f t="shared" si="4"/>
        <v>31</v>
      </c>
      <c r="AN27" s="642">
        <f t="shared" si="5"/>
        <v>31</v>
      </c>
      <c r="AO27" s="643">
        <f t="shared" si="6"/>
        <v>0.9677419355</v>
      </c>
      <c r="AP27" s="643">
        <f t="shared" si="7"/>
        <v>0.9677419355</v>
      </c>
      <c r="AQ27" s="630"/>
      <c r="AR27" s="644">
        <f t="shared" si="8"/>
        <v>0</v>
      </c>
      <c r="AS27" s="644">
        <f t="shared" si="9"/>
        <v>0</v>
      </c>
      <c r="AT27" s="644">
        <f t="shared" si="10"/>
        <v>1</v>
      </c>
      <c r="AU27" s="644">
        <f t="shared" si="11"/>
        <v>0</v>
      </c>
      <c r="AV27" s="644">
        <f t="shared" si="12"/>
        <v>0</v>
      </c>
      <c r="AW27" s="644">
        <f t="shared" si="13"/>
        <v>0</v>
      </c>
      <c r="AX27" s="644">
        <f t="shared" si="14"/>
        <v>0</v>
      </c>
      <c r="AY27" s="644">
        <f t="shared" si="15"/>
        <v>0</v>
      </c>
      <c r="AZ27" s="644">
        <f t="shared" si="16"/>
        <v>0</v>
      </c>
      <c r="BA27" s="618"/>
      <c r="BB27" s="618"/>
      <c r="BC27" s="618"/>
      <c r="BD27" s="618"/>
      <c r="BE27" s="618"/>
      <c r="BF27" s="618"/>
      <c r="BG27" s="618"/>
      <c r="BH27" s="618"/>
      <c r="BI27" s="618"/>
      <c r="BJ27" s="618"/>
    </row>
    <row r="28" ht="15.75" customHeight="1">
      <c r="A28" s="636">
        <v>21.0</v>
      </c>
      <c r="B28" s="637" t="s">
        <v>173</v>
      </c>
      <c r="C28" s="637" t="s">
        <v>3495</v>
      </c>
      <c r="D28" s="638" t="s">
        <v>3496</v>
      </c>
      <c r="E28" s="639" t="s">
        <v>3469</v>
      </c>
      <c r="F28" s="639" t="s">
        <v>3470</v>
      </c>
      <c r="G28" s="639" t="s">
        <v>3470</v>
      </c>
      <c r="H28" s="639" t="s">
        <v>3468</v>
      </c>
      <c r="I28" s="639" t="s">
        <v>3468</v>
      </c>
      <c r="J28" s="639" t="s">
        <v>3469</v>
      </c>
      <c r="K28" s="639" t="s">
        <v>3469</v>
      </c>
      <c r="L28" s="639" t="s">
        <v>3469</v>
      </c>
      <c r="M28" s="639" t="s">
        <v>3469</v>
      </c>
      <c r="N28" s="645" t="s">
        <v>3469</v>
      </c>
      <c r="O28" s="645" t="s">
        <v>3469</v>
      </c>
      <c r="P28" s="639" t="s">
        <v>3470</v>
      </c>
      <c r="Q28" s="639" t="s">
        <v>3470</v>
      </c>
      <c r="R28" s="639" t="s">
        <v>3460</v>
      </c>
      <c r="S28" s="645" t="s">
        <v>3469</v>
      </c>
      <c r="T28" s="639" t="s">
        <v>3469</v>
      </c>
      <c r="U28" s="639" t="s">
        <v>3469</v>
      </c>
      <c r="V28" s="639" t="s">
        <v>3469</v>
      </c>
      <c r="W28" s="639" t="s">
        <v>3469</v>
      </c>
      <c r="X28" s="639" t="s">
        <v>3469</v>
      </c>
      <c r="Y28" s="639" t="s">
        <v>3469</v>
      </c>
      <c r="Z28" s="639" t="s">
        <v>3469</v>
      </c>
      <c r="AA28" s="639" t="s">
        <v>3469</v>
      </c>
      <c r="AB28" s="639" t="s">
        <v>3469</v>
      </c>
      <c r="AC28" s="639" t="s">
        <v>3469</v>
      </c>
      <c r="AD28" s="639" t="s">
        <v>3485</v>
      </c>
      <c r="AE28" s="639" t="s">
        <v>3485</v>
      </c>
      <c r="AF28" s="639" t="s">
        <v>3485</v>
      </c>
      <c r="AG28" s="639" t="s">
        <v>3485</v>
      </c>
      <c r="AH28" s="639" t="s">
        <v>3485</v>
      </c>
      <c r="AI28" s="639" t="s">
        <v>3485</v>
      </c>
      <c r="AJ28" s="641">
        <f t="shared" si="1"/>
        <v>24</v>
      </c>
      <c r="AK28" s="641">
        <f t="shared" si="2"/>
        <v>7</v>
      </c>
      <c r="AL28" s="642">
        <f t="shared" si="3"/>
        <v>0</v>
      </c>
      <c r="AM28" s="642">
        <f t="shared" si="4"/>
        <v>31</v>
      </c>
      <c r="AN28" s="642">
        <f t="shared" si="5"/>
        <v>31</v>
      </c>
      <c r="AO28" s="643">
        <f t="shared" si="6"/>
        <v>0.7741935484</v>
      </c>
      <c r="AP28" s="643">
        <f t="shared" si="7"/>
        <v>0.7741935484</v>
      </c>
      <c r="AQ28" s="630"/>
      <c r="AR28" s="644">
        <f t="shared" si="8"/>
        <v>0</v>
      </c>
      <c r="AS28" s="644">
        <f t="shared" si="9"/>
        <v>1</v>
      </c>
      <c r="AT28" s="644">
        <f t="shared" si="10"/>
        <v>0</v>
      </c>
      <c r="AU28" s="644">
        <f t="shared" si="11"/>
        <v>0</v>
      </c>
      <c r="AV28" s="644">
        <f t="shared" si="12"/>
        <v>0</v>
      </c>
      <c r="AW28" s="644">
        <f t="shared" si="13"/>
        <v>0</v>
      </c>
      <c r="AX28" s="644">
        <f t="shared" si="14"/>
        <v>0</v>
      </c>
      <c r="AY28" s="644">
        <f t="shared" si="15"/>
        <v>0</v>
      </c>
      <c r="AZ28" s="644">
        <f t="shared" si="16"/>
        <v>0</v>
      </c>
      <c r="BA28" s="618"/>
      <c r="BB28" s="618"/>
      <c r="BC28" s="618"/>
      <c r="BD28" s="618"/>
      <c r="BE28" s="618"/>
      <c r="BF28" s="618"/>
      <c r="BG28" s="618"/>
      <c r="BH28" s="618"/>
      <c r="BI28" s="618"/>
      <c r="BJ28" s="618"/>
    </row>
    <row r="29" ht="15.75" customHeight="1">
      <c r="A29" s="636">
        <v>22.0</v>
      </c>
      <c r="B29" s="637" t="s">
        <v>148</v>
      </c>
      <c r="C29" s="637" t="s">
        <v>3497</v>
      </c>
      <c r="D29" s="638" t="s">
        <v>3498</v>
      </c>
      <c r="E29" s="640" t="s">
        <v>3470</v>
      </c>
      <c r="F29" s="640" t="s">
        <v>3470</v>
      </c>
      <c r="G29" s="640" t="s">
        <v>3470</v>
      </c>
      <c r="H29" s="639" t="s">
        <v>3470</v>
      </c>
      <c r="I29" s="639" t="s">
        <v>3470</v>
      </c>
      <c r="J29" s="639" t="s">
        <v>3460</v>
      </c>
      <c r="K29" s="639" t="s">
        <v>3460</v>
      </c>
      <c r="L29" s="639" t="s">
        <v>3460</v>
      </c>
      <c r="M29" s="639" t="s">
        <v>3460</v>
      </c>
      <c r="N29" s="639" t="s">
        <v>3460</v>
      </c>
      <c r="O29" s="639" t="s">
        <v>3460</v>
      </c>
      <c r="P29" s="639" t="s">
        <v>3460</v>
      </c>
      <c r="Q29" s="639" t="s">
        <v>3460</v>
      </c>
      <c r="R29" s="639" t="s">
        <v>3460</v>
      </c>
      <c r="S29" s="639" t="s">
        <v>3460</v>
      </c>
      <c r="T29" s="639" t="s">
        <v>3460</v>
      </c>
      <c r="U29" s="639" t="s">
        <v>3460</v>
      </c>
      <c r="V29" s="639" t="s">
        <v>3460</v>
      </c>
      <c r="W29" s="639" t="s">
        <v>3460</v>
      </c>
      <c r="X29" s="639" t="s">
        <v>3460</v>
      </c>
      <c r="Y29" s="639" t="s">
        <v>3460</v>
      </c>
      <c r="Z29" s="639" t="s">
        <v>3469</v>
      </c>
      <c r="AA29" s="640" t="s">
        <v>3469</v>
      </c>
      <c r="AB29" s="640" t="s">
        <v>3469</v>
      </c>
      <c r="AC29" s="640" t="s">
        <v>3469</v>
      </c>
      <c r="AD29" s="639" t="s">
        <v>3468</v>
      </c>
      <c r="AE29" s="639" t="s">
        <v>3468</v>
      </c>
      <c r="AF29" s="639" t="s">
        <v>3468</v>
      </c>
      <c r="AG29" s="639" t="s">
        <v>3468</v>
      </c>
      <c r="AH29" s="639" t="s">
        <v>3470</v>
      </c>
      <c r="AI29" s="639" t="s">
        <v>3470</v>
      </c>
      <c r="AJ29" s="641">
        <f t="shared" si="1"/>
        <v>15</v>
      </c>
      <c r="AK29" s="641">
        <f t="shared" si="2"/>
        <v>16</v>
      </c>
      <c r="AL29" s="642">
        <f t="shared" si="3"/>
        <v>0</v>
      </c>
      <c r="AM29" s="642">
        <f t="shared" si="4"/>
        <v>31</v>
      </c>
      <c r="AN29" s="642">
        <f t="shared" si="5"/>
        <v>31</v>
      </c>
      <c r="AO29" s="643">
        <f t="shared" si="6"/>
        <v>0.4838709677</v>
      </c>
      <c r="AP29" s="643">
        <f t="shared" si="7"/>
        <v>0.4838709677</v>
      </c>
      <c r="AQ29" s="630"/>
      <c r="AR29" s="644">
        <f t="shared" si="8"/>
        <v>0</v>
      </c>
      <c r="AS29" s="644">
        <f t="shared" si="9"/>
        <v>16</v>
      </c>
      <c r="AT29" s="644">
        <f t="shared" si="10"/>
        <v>0</v>
      </c>
      <c r="AU29" s="644">
        <f t="shared" si="11"/>
        <v>0</v>
      </c>
      <c r="AV29" s="644">
        <f t="shared" si="12"/>
        <v>0</v>
      </c>
      <c r="AW29" s="644">
        <f t="shared" si="13"/>
        <v>0</v>
      </c>
      <c r="AX29" s="644">
        <f t="shared" si="14"/>
        <v>0</v>
      </c>
      <c r="AY29" s="644">
        <f t="shared" si="15"/>
        <v>0</v>
      </c>
      <c r="AZ29" s="644">
        <f t="shared" si="16"/>
        <v>0</v>
      </c>
      <c r="BA29" s="618"/>
      <c r="BB29" s="618"/>
      <c r="BC29" s="618"/>
      <c r="BD29" s="618"/>
      <c r="BE29" s="618"/>
      <c r="BF29" s="618"/>
      <c r="BG29" s="618"/>
      <c r="BH29" s="618"/>
      <c r="BI29" s="618"/>
      <c r="BJ29" s="618"/>
    </row>
    <row r="30" ht="15.75" customHeight="1">
      <c r="A30" s="636">
        <v>23.0</v>
      </c>
      <c r="B30" s="637" t="s">
        <v>3499</v>
      </c>
      <c r="C30" s="637" t="s">
        <v>3500</v>
      </c>
      <c r="D30" s="638" t="s">
        <v>3501</v>
      </c>
      <c r="E30" s="640" t="s">
        <v>3486</v>
      </c>
      <c r="F30" s="640" t="s">
        <v>3486</v>
      </c>
      <c r="G30" s="640" t="s">
        <v>3486</v>
      </c>
      <c r="H30" s="639" t="s">
        <v>3486</v>
      </c>
      <c r="I30" s="639" t="s">
        <v>3486</v>
      </c>
      <c r="J30" s="639" t="s">
        <v>3486</v>
      </c>
      <c r="K30" s="639" t="s">
        <v>3486</v>
      </c>
      <c r="L30" s="639" t="s">
        <v>3486</v>
      </c>
      <c r="M30" s="639" t="s">
        <v>3486</v>
      </c>
      <c r="N30" s="639" t="s">
        <v>3486</v>
      </c>
      <c r="O30" s="639" t="s">
        <v>3486</v>
      </c>
      <c r="P30" s="639" t="s">
        <v>3486</v>
      </c>
      <c r="Q30" s="639" t="s">
        <v>3486</v>
      </c>
      <c r="R30" s="639" t="s">
        <v>3486</v>
      </c>
      <c r="S30" s="639" t="s">
        <v>3486</v>
      </c>
      <c r="T30" s="639" t="s">
        <v>3469</v>
      </c>
      <c r="U30" s="639" t="s">
        <v>3460</v>
      </c>
      <c r="V30" s="639" t="s">
        <v>3486</v>
      </c>
      <c r="W30" s="639" t="s">
        <v>3486</v>
      </c>
      <c r="X30" s="639" t="s">
        <v>3486</v>
      </c>
      <c r="Y30" s="639" t="s">
        <v>3486</v>
      </c>
      <c r="Z30" s="639" t="s">
        <v>3486</v>
      </c>
      <c r="AA30" s="640" t="s">
        <v>3486</v>
      </c>
      <c r="AB30" s="640" t="s">
        <v>3486</v>
      </c>
      <c r="AC30" s="640" t="s">
        <v>3486</v>
      </c>
      <c r="AD30" s="639" t="s">
        <v>3486</v>
      </c>
      <c r="AE30" s="639" t="s">
        <v>3486</v>
      </c>
      <c r="AF30" s="639" t="s">
        <v>3486</v>
      </c>
      <c r="AG30" s="639" t="s">
        <v>3486</v>
      </c>
      <c r="AH30" s="639" t="s">
        <v>3486</v>
      </c>
      <c r="AI30" s="639" t="s">
        <v>3486</v>
      </c>
      <c r="AJ30" s="641">
        <f t="shared" si="1"/>
        <v>1</v>
      </c>
      <c r="AK30" s="641">
        <f t="shared" si="2"/>
        <v>1</v>
      </c>
      <c r="AL30" s="642">
        <f t="shared" si="3"/>
        <v>29</v>
      </c>
      <c r="AM30" s="642">
        <f t="shared" si="4"/>
        <v>2</v>
      </c>
      <c r="AN30" s="642">
        <f t="shared" si="5"/>
        <v>31</v>
      </c>
      <c r="AO30" s="643">
        <f t="shared" si="6"/>
        <v>0.03225806452</v>
      </c>
      <c r="AP30" s="643">
        <f t="shared" si="7"/>
        <v>0.5</v>
      </c>
      <c r="AQ30" s="630"/>
      <c r="AR30" s="644">
        <f t="shared" si="8"/>
        <v>0</v>
      </c>
      <c r="AS30" s="644">
        <f t="shared" si="9"/>
        <v>1</v>
      </c>
      <c r="AT30" s="644">
        <f t="shared" si="10"/>
        <v>0</v>
      </c>
      <c r="AU30" s="644">
        <f t="shared" si="11"/>
        <v>0</v>
      </c>
      <c r="AV30" s="644">
        <f t="shared" si="12"/>
        <v>0</v>
      </c>
      <c r="AW30" s="644">
        <f t="shared" si="13"/>
        <v>0</v>
      </c>
      <c r="AX30" s="644">
        <f t="shared" si="14"/>
        <v>0</v>
      </c>
      <c r="AY30" s="644">
        <f t="shared" si="15"/>
        <v>0</v>
      </c>
      <c r="AZ30" s="644">
        <f t="shared" si="16"/>
        <v>0</v>
      </c>
      <c r="BA30" s="618"/>
      <c r="BB30" s="618"/>
      <c r="BC30" s="618"/>
      <c r="BD30" s="618"/>
      <c r="BE30" s="618"/>
      <c r="BF30" s="618"/>
      <c r="BG30" s="618"/>
      <c r="BH30" s="618"/>
      <c r="BI30" s="618"/>
      <c r="BJ30" s="618"/>
    </row>
    <row r="31" ht="15.75" customHeight="1">
      <c r="A31" s="636"/>
      <c r="B31" s="637"/>
      <c r="C31" s="637"/>
      <c r="D31" s="638"/>
      <c r="E31" s="646"/>
      <c r="F31" s="646"/>
      <c r="G31" s="646"/>
      <c r="H31" s="646"/>
      <c r="I31" s="646"/>
      <c r="J31" s="646"/>
      <c r="K31" s="646"/>
      <c r="L31" s="646"/>
      <c r="M31" s="646"/>
      <c r="N31" s="646"/>
      <c r="O31" s="646"/>
      <c r="P31" s="646"/>
      <c r="Q31" s="646"/>
      <c r="R31" s="646"/>
      <c r="S31" s="646"/>
      <c r="T31" s="646"/>
      <c r="U31" s="646"/>
      <c r="V31" s="646"/>
      <c r="W31" s="646"/>
      <c r="X31" s="646"/>
      <c r="Y31" s="646"/>
      <c r="Z31" s="646"/>
      <c r="AA31" s="646"/>
      <c r="AB31" s="646"/>
      <c r="AC31" s="646"/>
      <c r="AD31" s="646"/>
      <c r="AE31" s="647"/>
      <c r="AF31" s="646"/>
      <c r="AG31" s="646"/>
      <c r="AH31" s="648"/>
      <c r="AI31" s="648"/>
      <c r="AJ31" s="641">
        <f t="shared" ref="AJ31:AJ32" si="17">COUNTIF(E31:AI31,"d")+COUNTIF(E31:AI31,"t")+COUNTIF(E31:AI31,"vt")+COUNTIF(E31:AI31,"pv")+COUNTIF(E31:AI31,"RC")</f>
        <v>0</v>
      </c>
      <c r="AK31" s="641">
        <f t="shared" ref="AK31:AK32" si="18">(COUNTIF(E31:AI31,"pp")+COUNTIF(E31:AI31,"pc")+COUNTIF(E31:AI31,"sd")+COUNTIF(E31:AI31,"sm")+COUNTIF(E31:AI31,"f"))</f>
        <v>0</v>
      </c>
      <c r="AL31" s="642">
        <f t="shared" si="3"/>
        <v>0</v>
      </c>
      <c r="AM31" s="642">
        <f t="shared" si="4"/>
        <v>0</v>
      </c>
      <c r="AN31" s="642">
        <f t="shared" si="5"/>
        <v>0</v>
      </c>
      <c r="AO31" s="643"/>
      <c r="AP31" s="643"/>
      <c r="AQ31" s="630"/>
      <c r="AR31" s="644">
        <f t="shared" si="8"/>
        <v>0</v>
      </c>
      <c r="AS31" s="644">
        <f t="shared" si="9"/>
        <v>0</v>
      </c>
      <c r="AT31" s="644">
        <f t="shared" si="10"/>
        <v>0</v>
      </c>
      <c r="AU31" s="644">
        <f t="shared" si="11"/>
        <v>0</v>
      </c>
      <c r="AV31" s="644">
        <f t="shared" si="12"/>
        <v>0</v>
      </c>
      <c r="AW31" s="644">
        <f t="shared" si="13"/>
        <v>0</v>
      </c>
      <c r="AX31" s="644">
        <f t="shared" si="14"/>
        <v>0</v>
      </c>
      <c r="AY31" s="644">
        <f t="shared" si="15"/>
        <v>0</v>
      </c>
      <c r="AZ31" s="644">
        <f t="shared" si="16"/>
        <v>0</v>
      </c>
      <c r="BA31" s="618"/>
      <c r="BB31" s="618"/>
      <c r="BC31" s="618"/>
      <c r="BD31" s="618"/>
      <c r="BE31" s="618"/>
      <c r="BF31" s="618"/>
      <c r="BG31" s="618"/>
      <c r="BH31" s="618"/>
      <c r="BI31" s="618"/>
      <c r="BJ31" s="618"/>
    </row>
    <row r="32" ht="15.75" customHeight="1">
      <c r="A32" s="636"/>
      <c r="B32" s="649"/>
      <c r="C32" s="649"/>
      <c r="D32" s="649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6"/>
      <c r="P32" s="646"/>
      <c r="Q32" s="646"/>
      <c r="R32" s="646"/>
      <c r="S32" s="646"/>
      <c r="T32" s="646"/>
      <c r="U32" s="646"/>
      <c r="V32" s="646"/>
      <c r="W32" s="646"/>
      <c r="X32" s="646"/>
      <c r="Y32" s="646"/>
      <c r="Z32" s="646"/>
      <c r="AA32" s="646"/>
      <c r="AB32" s="646"/>
      <c r="AC32" s="646"/>
      <c r="AD32" s="646"/>
      <c r="AE32" s="647"/>
      <c r="AF32" s="646"/>
      <c r="AG32" s="646"/>
      <c r="AH32" s="648"/>
      <c r="AI32" s="648"/>
      <c r="AJ32" s="641">
        <f t="shared" si="17"/>
        <v>0</v>
      </c>
      <c r="AK32" s="641">
        <f t="shared" si="18"/>
        <v>0</v>
      </c>
      <c r="AL32" s="642">
        <f t="shared" si="3"/>
        <v>0</v>
      </c>
      <c r="AM32" s="642">
        <f t="shared" si="4"/>
        <v>0</v>
      </c>
      <c r="AN32" s="642">
        <f t="shared" si="5"/>
        <v>0</v>
      </c>
      <c r="AO32" s="643"/>
      <c r="AP32" s="643"/>
      <c r="AQ32" s="630"/>
      <c r="AR32" s="644">
        <f t="shared" si="8"/>
        <v>0</v>
      </c>
      <c r="AS32" s="644">
        <f t="shared" si="9"/>
        <v>0</v>
      </c>
      <c r="AT32" s="644">
        <f t="shared" si="10"/>
        <v>0</v>
      </c>
      <c r="AU32" s="644">
        <f t="shared" si="11"/>
        <v>0</v>
      </c>
      <c r="AV32" s="644">
        <f t="shared" si="12"/>
        <v>0</v>
      </c>
      <c r="AW32" s="644">
        <f t="shared" si="13"/>
        <v>0</v>
      </c>
      <c r="AX32" s="644">
        <f t="shared" si="14"/>
        <v>0</v>
      </c>
      <c r="AY32" s="644">
        <f t="shared" si="15"/>
        <v>0</v>
      </c>
      <c r="AZ32" s="644">
        <f t="shared" si="16"/>
        <v>0</v>
      </c>
      <c r="BA32" s="618"/>
      <c r="BB32" s="618"/>
      <c r="BC32" s="618"/>
      <c r="BD32" s="618"/>
      <c r="BE32" s="618"/>
      <c r="BF32" s="618"/>
      <c r="BG32" s="618"/>
      <c r="BH32" s="618"/>
      <c r="BI32" s="618"/>
      <c r="BJ32" s="618"/>
    </row>
    <row r="33" ht="15.75" customHeight="1">
      <c r="A33" s="636"/>
      <c r="B33" s="618"/>
      <c r="C33" s="650"/>
      <c r="D33" s="651" t="s">
        <v>3502</v>
      </c>
      <c r="E33" s="652">
        <f t="shared" ref="E33:AI33" si="19">COUNTIF(E8:E32,"d")+COUNTIF(E8:E32,"t")+COUNTIF(E8:E32,"vt")</f>
        <v>13</v>
      </c>
      <c r="F33" s="652">
        <f t="shared" si="19"/>
        <v>12</v>
      </c>
      <c r="G33" s="652">
        <f t="shared" si="19"/>
        <v>12</v>
      </c>
      <c r="H33" s="652">
        <f t="shared" si="19"/>
        <v>12</v>
      </c>
      <c r="I33" s="652">
        <f t="shared" si="19"/>
        <v>13</v>
      </c>
      <c r="J33" s="652">
        <f t="shared" si="19"/>
        <v>11</v>
      </c>
      <c r="K33" s="652">
        <f t="shared" si="19"/>
        <v>11</v>
      </c>
      <c r="L33" s="652">
        <f t="shared" si="19"/>
        <v>11</v>
      </c>
      <c r="M33" s="652">
        <f t="shared" si="19"/>
        <v>12</v>
      </c>
      <c r="N33" s="652">
        <f t="shared" si="19"/>
        <v>13</v>
      </c>
      <c r="O33" s="652">
        <f t="shared" si="19"/>
        <v>12</v>
      </c>
      <c r="P33" s="652">
        <f t="shared" si="19"/>
        <v>13</v>
      </c>
      <c r="Q33" s="652">
        <f t="shared" si="19"/>
        <v>13</v>
      </c>
      <c r="R33" s="652">
        <f t="shared" si="19"/>
        <v>12</v>
      </c>
      <c r="S33" s="652">
        <f t="shared" si="19"/>
        <v>13</v>
      </c>
      <c r="T33" s="652">
        <f t="shared" si="19"/>
        <v>14</v>
      </c>
      <c r="U33" s="652">
        <f t="shared" si="19"/>
        <v>13</v>
      </c>
      <c r="V33" s="652">
        <f t="shared" si="19"/>
        <v>12</v>
      </c>
      <c r="W33" s="652">
        <f t="shared" si="19"/>
        <v>11</v>
      </c>
      <c r="X33" s="652">
        <f t="shared" si="19"/>
        <v>11</v>
      </c>
      <c r="Y33" s="652">
        <f t="shared" si="19"/>
        <v>12</v>
      </c>
      <c r="Z33" s="652">
        <f t="shared" si="19"/>
        <v>13</v>
      </c>
      <c r="AA33" s="652">
        <f t="shared" si="19"/>
        <v>10</v>
      </c>
      <c r="AB33" s="652">
        <f t="shared" si="19"/>
        <v>10</v>
      </c>
      <c r="AC33" s="652">
        <f t="shared" si="19"/>
        <v>12</v>
      </c>
      <c r="AD33" s="652">
        <f t="shared" si="19"/>
        <v>11</v>
      </c>
      <c r="AE33" s="652">
        <f t="shared" si="19"/>
        <v>12</v>
      </c>
      <c r="AF33" s="652">
        <f t="shared" si="19"/>
        <v>11</v>
      </c>
      <c r="AG33" s="652">
        <f t="shared" si="19"/>
        <v>12</v>
      </c>
      <c r="AH33" s="652">
        <f t="shared" si="19"/>
        <v>12</v>
      </c>
      <c r="AI33" s="652">
        <f t="shared" si="19"/>
        <v>11</v>
      </c>
      <c r="AJ33" s="653"/>
      <c r="AK33" s="653"/>
      <c r="AL33" s="653"/>
      <c r="AM33" s="653"/>
      <c r="AN33" s="653"/>
      <c r="AO33" s="654">
        <f>(AJ36/AN36)</f>
        <v>0.5189340813</v>
      </c>
      <c r="AP33" s="655">
        <f>AJ36/AM36</f>
        <v>0.552238806</v>
      </c>
      <c r="AQ33" s="630"/>
      <c r="AR33" s="656">
        <f t="shared" ref="AR33:AZ33" si="20">SUM(AR8:AR32)</f>
        <v>30</v>
      </c>
      <c r="AS33" s="656">
        <f t="shared" si="20"/>
        <v>113</v>
      </c>
      <c r="AT33" s="656">
        <f t="shared" si="20"/>
        <v>41</v>
      </c>
      <c r="AU33" s="656">
        <f t="shared" si="20"/>
        <v>0</v>
      </c>
      <c r="AV33" s="656">
        <f t="shared" si="20"/>
        <v>92</v>
      </c>
      <c r="AW33" s="656">
        <f t="shared" si="20"/>
        <v>5</v>
      </c>
      <c r="AX33" s="656">
        <f t="shared" si="20"/>
        <v>0</v>
      </c>
      <c r="AY33" s="656">
        <f t="shared" si="20"/>
        <v>0</v>
      </c>
      <c r="AZ33" s="656">
        <f t="shared" si="20"/>
        <v>0</v>
      </c>
      <c r="BA33" s="618"/>
      <c r="BB33" s="618"/>
      <c r="BC33" s="618"/>
      <c r="BD33" s="618"/>
      <c r="BE33" s="618"/>
      <c r="BF33" s="618"/>
      <c r="BG33" s="618"/>
      <c r="BH33" s="618"/>
      <c r="BI33" s="618"/>
      <c r="BJ33" s="618"/>
    </row>
    <row r="34" ht="15.75" customHeight="1">
      <c r="A34" s="618"/>
      <c r="B34" s="618"/>
      <c r="C34" s="650"/>
      <c r="D34" s="651" t="s">
        <v>3503</v>
      </c>
      <c r="E34" s="652">
        <f t="shared" ref="E34:AI34" si="21">E35-E33</f>
        <v>9</v>
      </c>
      <c r="F34" s="652">
        <f t="shared" si="21"/>
        <v>10</v>
      </c>
      <c r="G34" s="652">
        <f t="shared" si="21"/>
        <v>10</v>
      </c>
      <c r="H34" s="652">
        <f t="shared" si="21"/>
        <v>10</v>
      </c>
      <c r="I34" s="652">
        <f t="shared" si="21"/>
        <v>8</v>
      </c>
      <c r="J34" s="652">
        <f t="shared" si="21"/>
        <v>10</v>
      </c>
      <c r="K34" s="652">
        <f t="shared" si="21"/>
        <v>10</v>
      </c>
      <c r="L34" s="652">
        <f t="shared" si="21"/>
        <v>10</v>
      </c>
      <c r="M34" s="652">
        <f t="shared" si="21"/>
        <v>9</v>
      </c>
      <c r="N34" s="652">
        <f t="shared" si="21"/>
        <v>8</v>
      </c>
      <c r="O34" s="652">
        <f t="shared" si="21"/>
        <v>9</v>
      </c>
      <c r="P34" s="652">
        <f t="shared" si="21"/>
        <v>8</v>
      </c>
      <c r="Q34" s="652">
        <f t="shared" si="21"/>
        <v>8</v>
      </c>
      <c r="R34" s="652">
        <f t="shared" si="21"/>
        <v>9</v>
      </c>
      <c r="S34" s="652">
        <f t="shared" si="21"/>
        <v>8</v>
      </c>
      <c r="T34" s="652">
        <f t="shared" si="21"/>
        <v>8</v>
      </c>
      <c r="U34" s="652">
        <f t="shared" si="21"/>
        <v>9</v>
      </c>
      <c r="V34" s="652">
        <f t="shared" si="21"/>
        <v>9</v>
      </c>
      <c r="W34" s="652">
        <f t="shared" si="21"/>
        <v>10</v>
      </c>
      <c r="X34" s="652">
        <f t="shared" si="21"/>
        <v>10</v>
      </c>
      <c r="Y34" s="652">
        <f t="shared" si="21"/>
        <v>9</v>
      </c>
      <c r="Z34" s="652">
        <f t="shared" si="21"/>
        <v>8</v>
      </c>
      <c r="AA34" s="652">
        <f t="shared" si="21"/>
        <v>11</v>
      </c>
      <c r="AB34" s="652">
        <f t="shared" si="21"/>
        <v>11</v>
      </c>
      <c r="AC34" s="652">
        <f t="shared" si="21"/>
        <v>9</v>
      </c>
      <c r="AD34" s="652">
        <f t="shared" si="21"/>
        <v>9</v>
      </c>
      <c r="AE34" s="652">
        <f t="shared" si="21"/>
        <v>8</v>
      </c>
      <c r="AF34" s="652">
        <f t="shared" si="21"/>
        <v>9</v>
      </c>
      <c r="AG34" s="652">
        <f t="shared" si="21"/>
        <v>8</v>
      </c>
      <c r="AH34" s="652">
        <f t="shared" si="21"/>
        <v>8</v>
      </c>
      <c r="AI34" s="652">
        <f t="shared" si="21"/>
        <v>9</v>
      </c>
      <c r="AJ34" s="653"/>
      <c r="AK34" s="653"/>
      <c r="AL34" s="653"/>
      <c r="AM34" s="653"/>
      <c r="AN34" s="653"/>
      <c r="AO34" s="657"/>
      <c r="AP34" s="657"/>
      <c r="AQ34" s="630"/>
      <c r="AR34" s="658"/>
      <c r="AS34" s="658"/>
      <c r="AT34" s="658"/>
      <c r="AU34" s="658"/>
      <c r="AV34" s="658"/>
      <c r="AW34" s="658"/>
      <c r="AX34" s="658"/>
      <c r="AY34" s="658"/>
      <c r="AZ34" s="658"/>
      <c r="BB34" s="618"/>
      <c r="BC34" s="618"/>
      <c r="BD34" s="618"/>
      <c r="BE34" s="618"/>
      <c r="BF34" s="618"/>
      <c r="BG34" s="618"/>
      <c r="BH34" s="618"/>
      <c r="BI34" s="618"/>
      <c r="BJ34" s="618"/>
    </row>
    <row r="35" ht="15.75" customHeight="1">
      <c r="A35" s="618"/>
      <c r="B35" s="618"/>
      <c r="C35" s="650"/>
      <c r="D35" s="651" t="s">
        <v>3504</v>
      </c>
      <c r="E35" s="652">
        <f t="shared" ref="E35:AI35" si="22">COUNTIF(E8:E30,"D")+COUNTIF(E8:E30,"T")+COUNTIF(E8:E30,"S")+COUNTIF(E8:E30,"PP")+COUNTIF(E8:E30,"PC")+COUNTIF(E8:E30,"PV")+COUNTIF(E8:E30,"SD")+COUNTIF(E8:E30,"SM")+COUNTIF(E8:E30,"F")+COUNTIF(E8:E30,"VT")+COUNTIF(E8:E30,"E")+COUNTIF(E8:E30,"RC")</f>
        <v>22</v>
      </c>
      <c r="F35" s="652">
        <f t="shared" si="22"/>
        <v>22</v>
      </c>
      <c r="G35" s="652">
        <f t="shared" si="22"/>
        <v>22</v>
      </c>
      <c r="H35" s="652">
        <f t="shared" si="22"/>
        <v>22</v>
      </c>
      <c r="I35" s="652">
        <f t="shared" si="22"/>
        <v>21</v>
      </c>
      <c r="J35" s="652">
        <f t="shared" si="22"/>
        <v>21</v>
      </c>
      <c r="K35" s="652">
        <f t="shared" si="22"/>
        <v>21</v>
      </c>
      <c r="L35" s="652">
        <f t="shared" si="22"/>
        <v>21</v>
      </c>
      <c r="M35" s="652">
        <f t="shared" si="22"/>
        <v>21</v>
      </c>
      <c r="N35" s="652">
        <f t="shared" si="22"/>
        <v>21</v>
      </c>
      <c r="O35" s="652">
        <f t="shared" si="22"/>
        <v>21</v>
      </c>
      <c r="P35" s="652">
        <f t="shared" si="22"/>
        <v>21</v>
      </c>
      <c r="Q35" s="652">
        <f t="shared" si="22"/>
        <v>21</v>
      </c>
      <c r="R35" s="652">
        <f t="shared" si="22"/>
        <v>21</v>
      </c>
      <c r="S35" s="652">
        <f t="shared" si="22"/>
        <v>21</v>
      </c>
      <c r="T35" s="652">
        <f t="shared" si="22"/>
        <v>22</v>
      </c>
      <c r="U35" s="652">
        <f t="shared" si="22"/>
        <v>22</v>
      </c>
      <c r="V35" s="652">
        <f t="shared" si="22"/>
        <v>21</v>
      </c>
      <c r="W35" s="652">
        <f t="shared" si="22"/>
        <v>21</v>
      </c>
      <c r="X35" s="652">
        <f t="shared" si="22"/>
        <v>21</v>
      </c>
      <c r="Y35" s="652">
        <f t="shared" si="22"/>
        <v>21</v>
      </c>
      <c r="Z35" s="652">
        <f t="shared" si="22"/>
        <v>21</v>
      </c>
      <c r="AA35" s="652">
        <f t="shared" si="22"/>
        <v>21</v>
      </c>
      <c r="AB35" s="652">
        <f t="shared" si="22"/>
        <v>21</v>
      </c>
      <c r="AC35" s="652">
        <f t="shared" si="22"/>
        <v>21</v>
      </c>
      <c r="AD35" s="652">
        <f t="shared" si="22"/>
        <v>20</v>
      </c>
      <c r="AE35" s="652">
        <f t="shared" si="22"/>
        <v>20</v>
      </c>
      <c r="AF35" s="652">
        <f t="shared" si="22"/>
        <v>20</v>
      </c>
      <c r="AG35" s="652">
        <f t="shared" si="22"/>
        <v>20</v>
      </c>
      <c r="AH35" s="652">
        <f t="shared" si="22"/>
        <v>20</v>
      </c>
      <c r="AI35" s="652">
        <f t="shared" si="22"/>
        <v>20</v>
      </c>
      <c r="AJ35" s="653"/>
      <c r="AK35" s="653"/>
      <c r="AL35" s="653"/>
      <c r="AM35" s="653"/>
      <c r="AN35" s="653"/>
      <c r="AO35" s="657"/>
      <c r="AP35" s="657"/>
      <c r="AQ35" s="630"/>
      <c r="AR35" s="658"/>
      <c r="AS35" s="658"/>
      <c r="AT35" s="658"/>
      <c r="AU35" s="658"/>
      <c r="AV35" s="658"/>
      <c r="AW35" s="658"/>
      <c r="AX35" s="658"/>
      <c r="AY35" s="658"/>
      <c r="AZ35" s="658"/>
      <c r="BB35" s="618"/>
      <c r="BC35" s="618"/>
      <c r="BD35" s="618"/>
      <c r="BE35" s="618"/>
      <c r="BF35" s="618"/>
      <c r="BG35" s="618"/>
      <c r="BH35" s="618"/>
      <c r="BI35" s="618"/>
      <c r="BJ35" s="618"/>
    </row>
    <row r="36" ht="15.75" customHeight="1">
      <c r="A36" s="618"/>
      <c r="B36" s="618"/>
      <c r="C36" s="650"/>
      <c r="D36" s="659" t="s">
        <v>3505</v>
      </c>
      <c r="E36" s="660">
        <f t="shared" ref="E36:AI36" si="23">E33/E35</f>
        <v>0.5909090909</v>
      </c>
      <c r="F36" s="660">
        <f t="shared" si="23"/>
        <v>0.5454545455</v>
      </c>
      <c r="G36" s="660">
        <f t="shared" si="23"/>
        <v>0.5454545455</v>
      </c>
      <c r="H36" s="660">
        <f t="shared" si="23"/>
        <v>0.5454545455</v>
      </c>
      <c r="I36" s="660">
        <f t="shared" si="23"/>
        <v>0.619047619</v>
      </c>
      <c r="J36" s="660">
        <f t="shared" si="23"/>
        <v>0.5238095238</v>
      </c>
      <c r="K36" s="660">
        <f t="shared" si="23"/>
        <v>0.5238095238</v>
      </c>
      <c r="L36" s="660">
        <f t="shared" si="23"/>
        <v>0.5238095238</v>
      </c>
      <c r="M36" s="660">
        <f t="shared" si="23"/>
        <v>0.5714285714</v>
      </c>
      <c r="N36" s="660">
        <f t="shared" si="23"/>
        <v>0.619047619</v>
      </c>
      <c r="O36" s="660">
        <f t="shared" si="23"/>
        <v>0.5714285714</v>
      </c>
      <c r="P36" s="660">
        <f t="shared" si="23"/>
        <v>0.619047619</v>
      </c>
      <c r="Q36" s="660">
        <f t="shared" si="23"/>
        <v>0.619047619</v>
      </c>
      <c r="R36" s="660">
        <f t="shared" si="23"/>
        <v>0.5714285714</v>
      </c>
      <c r="S36" s="660">
        <f t="shared" si="23"/>
        <v>0.619047619</v>
      </c>
      <c r="T36" s="660">
        <f t="shared" si="23"/>
        <v>0.6363636364</v>
      </c>
      <c r="U36" s="660">
        <f t="shared" si="23"/>
        <v>0.5909090909</v>
      </c>
      <c r="V36" s="660">
        <f t="shared" si="23"/>
        <v>0.5714285714</v>
      </c>
      <c r="W36" s="660">
        <f t="shared" si="23"/>
        <v>0.5238095238</v>
      </c>
      <c r="X36" s="660">
        <f t="shared" si="23"/>
        <v>0.5238095238</v>
      </c>
      <c r="Y36" s="660">
        <f t="shared" si="23"/>
        <v>0.5714285714</v>
      </c>
      <c r="Z36" s="660">
        <f t="shared" si="23"/>
        <v>0.619047619</v>
      </c>
      <c r="AA36" s="660">
        <f t="shared" si="23"/>
        <v>0.4761904762</v>
      </c>
      <c r="AB36" s="660">
        <f t="shared" si="23"/>
        <v>0.4761904762</v>
      </c>
      <c r="AC36" s="660">
        <f t="shared" si="23"/>
        <v>0.5714285714</v>
      </c>
      <c r="AD36" s="660">
        <f t="shared" si="23"/>
        <v>0.55</v>
      </c>
      <c r="AE36" s="660">
        <f t="shared" si="23"/>
        <v>0.6</v>
      </c>
      <c r="AF36" s="660">
        <f t="shared" si="23"/>
        <v>0.55</v>
      </c>
      <c r="AG36" s="660">
        <f t="shared" si="23"/>
        <v>0.6</v>
      </c>
      <c r="AH36" s="660">
        <f t="shared" si="23"/>
        <v>0.6</v>
      </c>
      <c r="AI36" s="660">
        <f t="shared" si="23"/>
        <v>0.55</v>
      </c>
      <c r="AJ36" s="661">
        <f t="shared" ref="AJ36:AN36" si="24">SUM(AJ8:AJ32)</f>
        <v>370</v>
      </c>
      <c r="AK36" s="661">
        <f t="shared" si="24"/>
        <v>300</v>
      </c>
      <c r="AL36" s="661">
        <f t="shared" si="24"/>
        <v>43</v>
      </c>
      <c r="AM36" s="661">
        <f t="shared" si="24"/>
        <v>670</v>
      </c>
      <c r="AN36" s="661">
        <f t="shared" si="24"/>
        <v>713</v>
      </c>
      <c r="AO36" s="662"/>
      <c r="AP36" s="662"/>
      <c r="AQ36" s="630"/>
      <c r="AR36" s="663"/>
      <c r="AS36" s="663"/>
      <c r="AT36" s="663"/>
      <c r="AU36" s="663"/>
      <c r="AV36" s="663"/>
      <c r="AW36" s="663"/>
      <c r="AX36" s="663"/>
      <c r="AY36" s="663"/>
      <c r="AZ36" s="663"/>
      <c r="BB36" s="618"/>
      <c r="BC36" s="618"/>
      <c r="BD36" s="618"/>
      <c r="BE36" s="618"/>
      <c r="BF36" s="618"/>
      <c r="BG36" s="618"/>
      <c r="BH36" s="618"/>
      <c r="BI36" s="618"/>
      <c r="BJ36" s="618"/>
    </row>
    <row r="37" ht="15.75" customHeight="1">
      <c r="A37" s="618"/>
      <c r="B37" s="618"/>
      <c r="C37" s="618"/>
      <c r="D37" s="618"/>
      <c r="E37" s="664">
        <f t="shared" ref="E37:AI37" si="25">COUNTIF(E8:E32,"E")+COUNTIF(E8:E32,"S")</f>
        <v>0</v>
      </c>
      <c r="F37" s="664">
        <f t="shared" si="25"/>
        <v>0</v>
      </c>
      <c r="G37" s="664">
        <f t="shared" si="25"/>
        <v>0</v>
      </c>
      <c r="H37" s="664">
        <f t="shared" si="25"/>
        <v>0</v>
      </c>
      <c r="I37" s="664">
        <f t="shared" si="25"/>
        <v>0</v>
      </c>
      <c r="J37" s="664">
        <f t="shared" si="25"/>
        <v>0</v>
      </c>
      <c r="K37" s="664">
        <f t="shared" si="25"/>
        <v>0</v>
      </c>
      <c r="L37" s="664">
        <f t="shared" si="25"/>
        <v>0</v>
      </c>
      <c r="M37" s="664">
        <f t="shared" si="25"/>
        <v>0</v>
      </c>
      <c r="N37" s="664">
        <f t="shared" si="25"/>
        <v>0</v>
      </c>
      <c r="O37" s="664">
        <f t="shared" si="25"/>
        <v>0</v>
      </c>
      <c r="P37" s="664">
        <f t="shared" si="25"/>
        <v>0</v>
      </c>
      <c r="Q37" s="664">
        <f t="shared" si="25"/>
        <v>0</v>
      </c>
      <c r="R37" s="664">
        <f t="shared" si="25"/>
        <v>0</v>
      </c>
      <c r="S37" s="664">
        <f t="shared" si="25"/>
        <v>0</v>
      </c>
      <c r="T37" s="664">
        <f t="shared" si="25"/>
        <v>0</v>
      </c>
      <c r="U37" s="664">
        <f t="shared" si="25"/>
        <v>0</v>
      </c>
      <c r="V37" s="664">
        <f t="shared" si="25"/>
        <v>0</v>
      </c>
      <c r="W37" s="664">
        <f t="shared" si="25"/>
        <v>0</v>
      </c>
      <c r="X37" s="664">
        <f t="shared" si="25"/>
        <v>0</v>
      </c>
      <c r="Y37" s="664">
        <f t="shared" si="25"/>
        <v>0</v>
      </c>
      <c r="Z37" s="664">
        <f t="shared" si="25"/>
        <v>0</v>
      </c>
      <c r="AA37" s="664">
        <f t="shared" si="25"/>
        <v>0</v>
      </c>
      <c r="AB37" s="664">
        <f t="shared" si="25"/>
        <v>0</v>
      </c>
      <c r="AC37" s="664">
        <f t="shared" si="25"/>
        <v>0</v>
      </c>
      <c r="AD37" s="664">
        <f t="shared" si="25"/>
        <v>0</v>
      </c>
      <c r="AE37" s="664">
        <f t="shared" si="25"/>
        <v>0</v>
      </c>
      <c r="AF37" s="664">
        <f t="shared" si="25"/>
        <v>0</v>
      </c>
      <c r="AG37" s="664">
        <f t="shared" si="25"/>
        <v>0</v>
      </c>
      <c r="AH37" s="664">
        <f t="shared" si="25"/>
        <v>0</v>
      </c>
      <c r="AI37" s="664">
        <f t="shared" si="25"/>
        <v>0</v>
      </c>
      <c r="AJ37" s="618"/>
      <c r="AK37" s="618"/>
      <c r="AL37" s="618"/>
      <c r="AM37" s="642"/>
      <c r="AN37" s="618"/>
      <c r="AO37" s="618"/>
      <c r="AP37" s="618"/>
      <c r="AQ37" s="618"/>
      <c r="AR37" s="618"/>
      <c r="AS37" s="618"/>
      <c r="AT37" s="618"/>
      <c r="AU37" s="618"/>
      <c r="AV37" s="618"/>
      <c r="AW37" s="618"/>
      <c r="AX37" s="618"/>
      <c r="AY37" s="618"/>
      <c r="AZ37" s="618"/>
      <c r="BA37" s="618"/>
      <c r="BB37" s="618"/>
      <c r="BC37" s="618"/>
      <c r="BD37" s="618"/>
      <c r="BE37" s="618"/>
      <c r="BF37" s="618"/>
      <c r="BG37" s="618"/>
      <c r="BH37" s="618"/>
      <c r="BI37" s="618"/>
      <c r="BJ37" s="618"/>
    </row>
    <row r="38" ht="15.75" customHeight="1">
      <c r="A38" s="618"/>
      <c r="B38" s="618"/>
      <c r="C38" s="618"/>
      <c r="D38" s="618"/>
      <c r="E38" s="622"/>
      <c r="F38" s="618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  <c r="Z38" s="618"/>
      <c r="AA38" s="618"/>
      <c r="AB38" s="618"/>
      <c r="AC38" s="618"/>
      <c r="AD38" s="618"/>
      <c r="AE38" s="618"/>
      <c r="AF38" s="618"/>
      <c r="AG38" s="618"/>
      <c r="AH38" s="618"/>
      <c r="AI38" s="618"/>
      <c r="AJ38" s="618"/>
      <c r="AK38" s="618"/>
      <c r="AL38" s="618"/>
      <c r="AM38" s="618"/>
      <c r="AN38" s="618"/>
      <c r="AO38" s="618"/>
      <c r="AP38" s="618"/>
      <c r="AQ38" s="618"/>
      <c r="AR38" s="618"/>
      <c r="AS38" s="618"/>
      <c r="AT38" s="618"/>
      <c r="AU38" s="618"/>
      <c r="AV38" s="618"/>
      <c r="AW38" s="618"/>
      <c r="AX38" s="618"/>
      <c r="AY38" s="618"/>
      <c r="AZ38" s="618"/>
      <c r="BA38" s="618"/>
      <c r="BB38" s="618"/>
      <c r="BC38" s="618"/>
      <c r="BD38" s="618"/>
      <c r="BE38" s="618"/>
      <c r="BF38" s="618"/>
      <c r="BG38" s="618"/>
      <c r="BH38" s="618"/>
      <c r="BI38" s="618"/>
      <c r="BJ38" s="618"/>
    </row>
    <row r="39" ht="15.75" customHeight="1">
      <c r="A39" s="618"/>
      <c r="B39" s="618"/>
      <c r="C39" s="618"/>
      <c r="D39" s="626"/>
      <c r="E39" s="626"/>
      <c r="F39" s="626"/>
      <c r="G39" s="626"/>
      <c r="H39" s="626"/>
      <c r="I39" s="626"/>
      <c r="J39" s="626"/>
      <c r="K39" s="626"/>
      <c r="L39" s="626"/>
      <c r="M39" s="626"/>
      <c r="N39" s="626"/>
      <c r="O39" s="626"/>
      <c r="P39" s="626"/>
      <c r="Q39" s="626"/>
      <c r="R39" s="62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6"/>
      <c r="AD39" s="626"/>
      <c r="AE39" s="626"/>
      <c r="AF39" s="626"/>
      <c r="AG39" s="626"/>
      <c r="AH39" s="626"/>
      <c r="AI39" s="626"/>
      <c r="AJ39" s="618"/>
      <c r="AK39" s="618"/>
      <c r="AL39" s="618"/>
      <c r="AM39" s="618"/>
      <c r="AN39" s="618"/>
      <c r="AO39" s="618"/>
      <c r="AP39" s="618"/>
      <c r="AQ39" s="618"/>
      <c r="AR39" s="618"/>
      <c r="AS39" s="618"/>
      <c r="AT39" s="618"/>
      <c r="AU39" s="618"/>
      <c r="AV39" s="618"/>
      <c r="AW39" s="618"/>
      <c r="AX39" s="618"/>
      <c r="AY39" s="618"/>
      <c r="AZ39" s="618"/>
      <c r="BA39" s="618"/>
      <c r="BB39" s="618"/>
      <c r="BC39" s="618"/>
      <c r="BD39" s="618"/>
      <c r="BE39" s="618"/>
      <c r="BF39" s="618"/>
      <c r="BG39" s="618"/>
      <c r="BH39" s="618"/>
      <c r="BI39" s="618"/>
      <c r="BJ39" s="618"/>
    </row>
    <row r="40" ht="15.75" customHeight="1">
      <c r="A40" s="618"/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18"/>
      <c r="AB40" s="618"/>
      <c r="AC40" s="618"/>
      <c r="AD40" s="618"/>
      <c r="AE40" s="618"/>
      <c r="AF40" s="618"/>
      <c r="AG40" s="618"/>
      <c r="AH40" s="618"/>
      <c r="AI40" s="618"/>
      <c r="AJ40" s="618"/>
      <c r="AK40" s="618"/>
      <c r="AL40" s="618"/>
      <c r="AM40" s="618"/>
      <c r="AN40" s="618"/>
      <c r="AO40" s="618"/>
      <c r="AP40" s="618"/>
      <c r="AQ40" s="618"/>
      <c r="AR40" s="618"/>
      <c r="AS40" s="618"/>
      <c r="AT40" s="618"/>
      <c r="AU40" s="618"/>
      <c r="AV40" s="618"/>
      <c r="AW40" s="618"/>
      <c r="AX40" s="618"/>
      <c r="AY40" s="618"/>
      <c r="AZ40" s="618"/>
      <c r="BA40" s="618"/>
      <c r="BB40" s="618"/>
      <c r="BC40" s="618"/>
      <c r="BD40" s="618"/>
      <c r="BE40" s="618"/>
      <c r="BF40" s="618"/>
      <c r="BG40" s="618"/>
      <c r="BH40" s="618"/>
      <c r="BI40" s="618"/>
      <c r="BJ40" s="618"/>
    </row>
    <row r="41" ht="15.75" customHeight="1">
      <c r="A41" s="618"/>
      <c r="B41" s="618"/>
      <c r="C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  <c r="AA41" s="618"/>
      <c r="AB41" s="618"/>
      <c r="AC41" s="618"/>
      <c r="AD41" s="618"/>
      <c r="AE41" s="618"/>
      <c r="AF41" s="618"/>
      <c r="AG41" s="618"/>
      <c r="AH41" s="618"/>
      <c r="AI41" s="618"/>
      <c r="AJ41" s="618"/>
      <c r="AK41" s="618"/>
      <c r="AL41" s="618"/>
      <c r="AM41" s="618"/>
      <c r="AN41" s="618"/>
      <c r="AO41" s="618"/>
      <c r="AP41" s="618"/>
      <c r="AQ41" s="618"/>
      <c r="AR41" s="618"/>
      <c r="AS41" s="618"/>
      <c r="AT41" s="618"/>
      <c r="AU41" s="618"/>
      <c r="AV41" s="618"/>
      <c r="AW41" s="618"/>
      <c r="AX41" s="618"/>
      <c r="AY41" s="618"/>
      <c r="AZ41" s="618"/>
      <c r="BA41" s="618"/>
      <c r="BB41" s="618"/>
      <c r="BC41" s="618"/>
      <c r="BD41" s="618"/>
      <c r="BE41" s="618"/>
      <c r="BF41" s="618"/>
      <c r="BG41" s="618"/>
      <c r="BH41" s="618"/>
      <c r="BI41" s="618"/>
      <c r="BJ41" s="618"/>
    </row>
    <row r="42" ht="15.75" customHeight="1">
      <c r="A42" s="618"/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618"/>
      <c r="AD42" s="618"/>
      <c r="AE42" s="618"/>
      <c r="AF42" s="618"/>
      <c r="AG42" s="618"/>
      <c r="AH42" s="618"/>
      <c r="AI42" s="618"/>
      <c r="AJ42" s="618"/>
      <c r="AK42" s="618"/>
      <c r="AL42" s="618"/>
      <c r="AM42" s="618"/>
      <c r="AN42" s="618"/>
      <c r="AO42" s="618"/>
      <c r="AP42" s="618"/>
      <c r="AQ42" s="618"/>
      <c r="AR42" s="618"/>
      <c r="AS42" s="618"/>
      <c r="AT42" s="618"/>
      <c r="AU42" s="618"/>
      <c r="AV42" s="618"/>
      <c r="AW42" s="618"/>
      <c r="AX42" s="618"/>
      <c r="AY42" s="618"/>
      <c r="AZ42" s="618"/>
      <c r="BA42" s="618"/>
      <c r="BB42" s="618"/>
      <c r="BC42" s="618"/>
      <c r="BD42" s="618"/>
      <c r="BE42" s="618"/>
      <c r="BF42" s="618"/>
      <c r="BG42" s="618"/>
      <c r="BH42" s="618"/>
      <c r="BI42" s="618"/>
      <c r="BJ42" s="618"/>
    </row>
    <row r="43" ht="15.75" customHeight="1">
      <c r="A43" s="618"/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  <c r="AA43" s="618"/>
      <c r="AB43" s="618"/>
      <c r="AC43" s="618"/>
      <c r="AD43" s="618"/>
      <c r="AE43" s="618"/>
      <c r="AF43" s="618"/>
      <c r="AG43" s="618"/>
      <c r="AH43" s="618"/>
      <c r="AI43" s="618"/>
      <c r="AJ43" s="618"/>
      <c r="AK43" s="618"/>
      <c r="AL43" s="618"/>
      <c r="AM43" s="618"/>
      <c r="AN43" s="618"/>
      <c r="AO43" s="618"/>
      <c r="AP43" s="618"/>
      <c r="AQ43" s="618"/>
      <c r="AR43" s="618"/>
      <c r="AS43" s="618"/>
      <c r="AT43" s="618"/>
      <c r="AU43" s="618"/>
      <c r="AV43" s="618"/>
      <c r="AW43" s="618"/>
      <c r="AX43" s="618"/>
      <c r="AY43" s="618"/>
      <c r="AZ43" s="618"/>
      <c r="BA43" s="618"/>
      <c r="BB43" s="618"/>
      <c r="BC43" s="618"/>
      <c r="BD43" s="618"/>
      <c r="BE43" s="618"/>
      <c r="BF43" s="618"/>
      <c r="BG43" s="618"/>
      <c r="BH43" s="618"/>
      <c r="BI43" s="618"/>
      <c r="BJ43" s="618"/>
    </row>
    <row r="44" ht="15.75" customHeight="1">
      <c r="A44" s="618"/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  <c r="AA44" s="618"/>
      <c r="AB44" s="618"/>
      <c r="AC44" s="618"/>
      <c r="AD44" s="618"/>
      <c r="AE44" s="618"/>
      <c r="AF44" s="618"/>
      <c r="AG44" s="618"/>
      <c r="AH44" s="618"/>
      <c r="AI44" s="618"/>
      <c r="AJ44" s="618"/>
      <c r="AK44" s="618"/>
      <c r="AL44" s="618"/>
      <c r="AM44" s="618"/>
      <c r="AN44" s="618"/>
      <c r="AO44" s="618"/>
      <c r="AP44" s="618"/>
      <c r="AQ44" s="618"/>
      <c r="AR44" s="618"/>
      <c r="AS44" s="618"/>
      <c r="AT44" s="618"/>
      <c r="AU44" s="618"/>
      <c r="AV44" s="618"/>
      <c r="AW44" s="618"/>
      <c r="AX44" s="618"/>
      <c r="AY44" s="618"/>
      <c r="AZ44" s="618"/>
      <c r="BA44" s="618"/>
      <c r="BB44" s="618"/>
      <c r="BC44" s="618"/>
      <c r="BD44" s="618"/>
      <c r="BE44" s="618"/>
      <c r="BF44" s="618"/>
      <c r="BG44" s="618"/>
      <c r="BH44" s="618"/>
      <c r="BI44" s="618"/>
      <c r="BJ44" s="618"/>
    </row>
    <row r="45" ht="15.75" customHeight="1">
      <c r="A45" s="618"/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18"/>
      <c r="AB45" s="618"/>
      <c r="AC45" s="618"/>
      <c r="AD45" s="618"/>
      <c r="AE45" s="618"/>
      <c r="AF45" s="618"/>
      <c r="AG45" s="618"/>
      <c r="AH45" s="618"/>
      <c r="AI45" s="618"/>
      <c r="AJ45" s="618"/>
      <c r="AK45" s="618"/>
      <c r="AL45" s="618"/>
      <c r="AM45" s="618"/>
      <c r="AN45" s="618"/>
      <c r="AO45" s="618"/>
      <c r="AP45" s="618"/>
      <c r="AQ45" s="618"/>
      <c r="AR45" s="618"/>
      <c r="AS45" s="618"/>
      <c r="AT45" s="618"/>
      <c r="AU45" s="618"/>
      <c r="AV45" s="618"/>
      <c r="AW45" s="618"/>
      <c r="AX45" s="618"/>
      <c r="AY45" s="618"/>
      <c r="AZ45" s="618"/>
      <c r="BA45" s="618"/>
      <c r="BB45" s="618"/>
      <c r="BC45" s="618"/>
      <c r="BD45" s="618"/>
      <c r="BE45" s="618"/>
      <c r="BF45" s="618"/>
      <c r="BG45" s="618"/>
      <c r="BH45" s="618"/>
      <c r="BI45" s="618"/>
      <c r="BJ45" s="618"/>
    </row>
    <row r="46" ht="15.75" customHeight="1">
      <c r="A46" s="618"/>
      <c r="B46" s="618"/>
      <c r="C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  <c r="P46" s="618"/>
      <c r="Q46" s="618"/>
      <c r="R46" s="618"/>
      <c r="S46" s="618"/>
      <c r="T46" s="618"/>
      <c r="U46" s="618"/>
      <c r="V46" s="618"/>
      <c r="W46" s="618"/>
      <c r="X46" s="618"/>
      <c r="Y46" s="618"/>
      <c r="Z46" s="618"/>
      <c r="AA46" s="618"/>
      <c r="AB46" s="618"/>
      <c r="AC46" s="618"/>
      <c r="AD46" s="618"/>
      <c r="AE46" s="618"/>
      <c r="AF46" s="618"/>
      <c r="AG46" s="618"/>
      <c r="AH46" s="618"/>
      <c r="AI46" s="618"/>
      <c r="AJ46" s="618"/>
      <c r="AK46" s="618"/>
      <c r="AL46" s="618"/>
      <c r="AM46" s="618"/>
      <c r="AN46" s="618"/>
      <c r="AO46" s="618"/>
      <c r="AP46" s="618"/>
      <c r="AQ46" s="618"/>
      <c r="AR46" s="618"/>
      <c r="AS46" s="618"/>
      <c r="AT46" s="618"/>
      <c r="AU46" s="618"/>
      <c r="AV46" s="618"/>
      <c r="AW46" s="618"/>
      <c r="AX46" s="618"/>
      <c r="AY46" s="618"/>
      <c r="AZ46" s="618"/>
      <c r="BA46" s="618"/>
      <c r="BB46" s="618"/>
      <c r="BC46" s="618"/>
      <c r="BD46" s="618"/>
      <c r="BE46" s="618"/>
      <c r="BF46" s="618"/>
      <c r="BG46" s="618"/>
      <c r="BH46" s="618"/>
      <c r="BI46" s="618"/>
      <c r="BJ46" s="618"/>
    </row>
    <row r="47" ht="15.75" customHeight="1">
      <c r="A47" s="618"/>
      <c r="B47" s="618"/>
      <c r="C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  <c r="X47" s="618"/>
      <c r="Y47" s="618"/>
      <c r="Z47" s="618"/>
      <c r="AA47" s="618"/>
      <c r="AB47" s="618"/>
      <c r="AC47" s="618"/>
      <c r="AD47" s="618"/>
      <c r="AE47" s="618"/>
      <c r="AF47" s="618"/>
      <c r="AG47" s="618"/>
      <c r="AH47" s="618"/>
      <c r="AI47" s="618"/>
      <c r="AJ47" s="618"/>
      <c r="AK47" s="618"/>
      <c r="AL47" s="618"/>
      <c r="AM47" s="618"/>
      <c r="AN47" s="618"/>
      <c r="AO47" s="618"/>
      <c r="AP47" s="618"/>
      <c r="AQ47" s="618"/>
      <c r="AR47" s="618"/>
      <c r="AS47" s="618"/>
      <c r="AT47" s="618"/>
      <c r="AU47" s="618"/>
      <c r="AV47" s="618"/>
      <c r="AW47" s="618"/>
      <c r="AX47" s="618"/>
      <c r="AY47" s="618"/>
      <c r="AZ47" s="618"/>
      <c r="BA47" s="618"/>
      <c r="BB47" s="618"/>
      <c r="BC47" s="618"/>
      <c r="BD47" s="618"/>
      <c r="BE47" s="618"/>
      <c r="BF47" s="618"/>
      <c r="BG47" s="618"/>
      <c r="BH47" s="618"/>
      <c r="BI47" s="618"/>
      <c r="BJ47" s="618"/>
    </row>
    <row r="48" ht="15.75" customHeight="1">
      <c r="A48" s="618"/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  <c r="R48" s="618"/>
      <c r="S48" s="618"/>
      <c r="T48" s="618"/>
      <c r="U48" s="618"/>
      <c r="V48" s="618"/>
      <c r="W48" s="618"/>
      <c r="X48" s="618"/>
      <c r="Y48" s="618"/>
      <c r="Z48" s="618"/>
      <c r="AA48" s="618"/>
      <c r="AB48" s="618"/>
      <c r="AC48" s="618"/>
      <c r="AD48" s="618"/>
      <c r="AE48" s="618"/>
      <c r="AF48" s="618"/>
      <c r="AG48" s="618"/>
      <c r="AH48" s="618"/>
      <c r="AI48" s="618"/>
      <c r="AJ48" s="618"/>
      <c r="AK48" s="618"/>
      <c r="AL48" s="618"/>
      <c r="AM48" s="618"/>
      <c r="AN48" s="618"/>
      <c r="AO48" s="618"/>
      <c r="AP48" s="618"/>
      <c r="AQ48" s="618"/>
      <c r="AR48" s="618"/>
      <c r="AS48" s="618"/>
      <c r="AT48" s="618"/>
      <c r="AU48" s="618"/>
      <c r="AV48" s="618"/>
      <c r="AW48" s="618"/>
      <c r="AX48" s="618"/>
      <c r="AY48" s="618"/>
      <c r="AZ48" s="618"/>
      <c r="BA48" s="618"/>
      <c r="BB48" s="618"/>
      <c r="BC48" s="618"/>
      <c r="BD48" s="618"/>
      <c r="BE48" s="618"/>
      <c r="BF48" s="618"/>
      <c r="BG48" s="618"/>
      <c r="BH48" s="618"/>
      <c r="BI48" s="618"/>
      <c r="BJ48" s="618"/>
    </row>
    <row r="49" ht="15.75" customHeight="1">
      <c r="A49" s="618"/>
      <c r="B49" s="618"/>
      <c r="C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  <c r="P49" s="618"/>
      <c r="Q49" s="618"/>
      <c r="R49" s="618"/>
      <c r="S49" s="618"/>
      <c r="T49" s="618"/>
      <c r="U49" s="618"/>
      <c r="V49" s="618"/>
      <c r="W49" s="618"/>
      <c r="X49" s="618"/>
      <c r="Y49" s="618"/>
      <c r="Z49" s="618"/>
      <c r="AA49" s="618"/>
      <c r="AB49" s="618"/>
      <c r="AC49" s="618"/>
      <c r="AD49" s="618"/>
      <c r="AE49" s="618"/>
      <c r="AF49" s="618"/>
      <c r="AG49" s="618"/>
      <c r="AH49" s="618"/>
      <c r="AI49" s="618"/>
      <c r="AJ49" s="618"/>
      <c r="AK49" s="618"/>
      <c r="AL49" s="618"/>
      <c r="AM49" s="618"/>
      <c r="AN49" s="618"/>
      <c r="AO49" s="618"/>
      <c r="AP49" s="618"/>
      <c r="AQ49" s="618"/>
      <c r="AR49" s="618"/>
      <c r="AS49" s="618"/>
      <c r="AT49" s="618"/>
      <c r="AU49" s="618"/>
      <c r="AV49" s="618"/>
      <c r="AW49" s="618"/>
      <c r="AX49" s="618"/>
      <c r="AY49" s="618"/>
      <c r="AZ49" s="618"/>
      <c r="BA49" s="618"/>
      <c r="BB49" s="618"/>
      <c r="BC49" s="618"/>
      <c r="BD49" s="618"/>
      <c r="BE49" s="618"/>
      <c r="BF49" s="618"/>
      <c r="BG49" s="618"/>
      <c r="BH49" s="618"/>
      <c r="BI49" s="618"/>
      <c r="BJ49" s="61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AR6:AZ6"/>
    <mergeCell ref="AX33:AX36"/>
    <mergeCell ref="AY33:AY36"/>
    <mergeCell ref="AZ33:AZ36"/>
    <mergeCell ref="BA33:BA36"/>
    <mergeCell ref="AP33:AP36"/>
    <mergeCell ref="AR33:AR36"/>
    <mergeCell ref="AS33:AS36"/>
    <mergeCell ref="AT33:AT36"/>
    <mergeCell ref="AU33:AU36"/>
    <mergeCell ref="AV33:AV36"/>
    <mergeCell ref="AW33:AW36"/>
    <mergeCell ref="U6:U7"/>
    <mergeCell ref="V6:V7"/>
    <mergeCell ref="W6:W7"/>
    <mergeCell ref="X6:X7"/>
    <mergeCell ref="Y6:Y7"/>
    <mergeCell ref="Z6:Z7"/>
    <mergeCell ref="AA6:AA7"/>
    <mergeCell ref="AB6:AB7"/>
    <mergeCell ref="I1:AE1"/>
    <mergeCell ref="A6:A7"/>
    <mergeCell ref="B6:B7"/>
    <mergeCell ref="C6:C7"/>
    <mergeCell ref="D6:D7"/>
    <mergeCell ref="E6:E7"/>
    <mergeCell ref="F6:F7"/>
    <mergeCell ref="AE6:AE7"/>
    <mergeCell ref="AC6:AC7"/>
    <mergeCell ref="AD6:AD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O33:AO36"/>
  </mergeCells>
  <conditionalFormatting sqref="E8:AI30">
    <cfRule type="containsText" dxfId="4" priority="1" operator="containsText" text="SM">
      <formula>NOT(ISERROR(SEARCH(("SM"),(E8))))</formula>
    </cfRule>
  </conditionalFormatting>
  <conditionalFormatting sqref="E8:AI30">
    <cfRule type="containsText" dxfId="4" priority="2" operator="containsText" text="PC">
      <formula>NOT(ISERROR(SEARCH(("PC"),(E8))))</formula>
    </cfRule>
  </conditionalFormatting>
  <conditionalFormatting sqref="E8:AI30">
    <cfRule type="containsText" dxfId="4" priority="3" operator="containsText" text="F">
      <formula>NOT(ISERROR(SEARCH(("F"),(E8))))</formula>
    </cfRule>
  </conditionalFormatting>
  <conditionalFormatting sqref="E8:AI30">
    <cfRule type="containsText" dxfId="4" priority="4" operator="containsText" text="PP">
      <formula>NOT(ISERROR(SEARCH(("PP"),(E8))))</formula>
    </cfRule>
  </conditionalFormatting>
  <conditionalFormatting sqref="E8:AI30">
    <cfRule type="containsText" dxfId="10" priority="5" operator="containsText" text="PV">
      <formula>NOT(ISERROR(SEARCH(("PV"),(E8))))</formula>
    </cfRule>
  </conditionalFormatting>
  <conditionalFormatting sqref="E8:AI30">
    <cfRule type="containsBlanks" dxfId="2" priority="6">
      <formula>LEN(TRIM(E8))=0</formula>
    </cfRule>
  </conditionalFormatting>
  <conditionalFormatting sqref="E8:AI30">
    <cfRule type="cellIs" dxfId="10" priority="7" operator="equal">
      <formula>"DS"</formula>
    </cfRule>
  </conditionalFormatting>
  <conditionalFormatting sqref="E8:AI30">
    <cfRule type="cellIs" dxfId="3" priority="8" operator="equal">
      <formula>"D"</formula>
    </cfRule>
  </conditionalFormatting>
  <conditionalFormatting sqref="E8:AI30">
    <cfRule type="cellIs" dxfId="3" priority="9" operator="equal">
      <formula>"T"</formula>
    </cfRule>
  </conditionalFormatting>
  <conditionalFormatting sqref="E8:AI30">
    <cfRule type="cellIs" dxfId="11" priority="10" operator="equal">
      <formula>"VT"</formula>
    </cfRule>
  </conditionalFormatting>
  <conditionalFormatting sqref="E8:AI30">
    <cfRule type="containsText" dxfId="10" priority="11" operator="containsText" text="OO">
      <formula>NOT(ISERROR(SEARCH(("OO"),(E8))))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 outlineLevelCol="1"/>
  <cols>
    <col customWidth="1" min="1" max="1" width="4.0"/>
    <col customWidth="1" min="2" max="2" width="5.75"/>
    <col customWidth="1" min="3" max="3" width="7.13"/>
    <col customWidth="1" min="4" max="4" width="32.38"/>
    <col customWidth="1" min="5" max="5" width="5.88" outlineLevel="1"/>
    <col customWidth="1" min="6" max="8" width="5.5" outlineLevel="1"/>
    <col customWidth="1" min="9" max="9" width="5.63" outlineLevel="1"/>
    <col customWidth="1" min="10" max="10" width="5.88" outlineLevel="1"/>
    <col customWidth="1" min="11" max="12" width="5.75" outlineLevel="1"/>
    <col customWidth="1" min="13" max="13" width="5.5" outlineLevel="1"/>
    <col customWidth="1" min="14" max="14" width="5.88" outlineLevel="1"/>
    <col customWidth="1" min="15" max="16" width="5.63" outlineLevel="1"/>
    <col customWidth="1" min="17" max="17" width="5.75" outlineLevel="1"/>
    <col customWidth="1" min="18" max="18" width="5.5" outlineLevel="1"/>
    <col customWidth="1" min="19" max="19" width="5.63" outlineLevel="1"/>
    <col customWidth="1" min="20" max="21" width="5.5" outlineLevel="1"/>
    <col customWidth="1" min="22" max="22" width="5.75" outlineLevel="1"/>
    <col customWidth="1" min="23" max="24" width="5.63" outlineLevel="1"/>
    <col customWidth="1" min="25" max="25" width="5.38" outlineLevel="1"/>
    <col customWidth="1" min="26" max="26" width="5.63" outlineLevel="1"/>
    <col customWidth="1" min="27" max="29" width="5.5" outlineLevel="1"/>
    <col customWidth="1" min="30" max="30" width="5.38" outlineLevel="1"/>
    <col customWidth="1" min="31" max="32" width="5.63" outlineLevel="1"/>
    <col customWidth="1" min="33" max="34" width="5.5" outlineLevel="1"/>
    <col customWidth="1" min="35" max="35" width="5.88" outlineLevel="1"/>
    <col customWidth="1" min="36" max="36" width="10.75"/>
    <col customWidth="1" hidden="1" min="38" max="38" width="12.63"/>
    <col customWidth="1" hidden="1" min="39" max="39" width="13.63"/>
  </cols>
  <sheetData>
    <row r="1" ht="15.75" customHeight="1">
      <c r="A1" s="618"/>
      <c r="B1" s="618"/>
      <c r="C1" s="619"/>
      <c r="D1" s="620" t="s">
        <v>3433</v>
      </c>
      <c r="E1" s="618"/>
      <c r="F1" s="618"/>
      <c r="G1" s="618"/>
      <c r="H1" s="618"/>
      <c r="I1" s="621" t="s">
        <v>3434</v>
      </c>
      <c r="AF1" s="622"/>
      <c r="AG1" s="622"/>
      <c r="AH1" s="618"/>
      <c r="AI1" s="618"/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8"/>
      <c r="BD1" s="618"/>
      <c r="BE1" s="618"/>
      <c r="BF1" s="618"/>
      <c r="BG1" s="618"/>
      <c r="BH1" s="618"/>
      <c r="BI1" s="618"/>
      <c r="BJ1" s="618"/>
    </row>
    <row r="2" ht="15.75" customHeight="1">
      <c r="A2" s="618"/>
      <c r="B2" s="618"/>
      <c r="C2" s="618"/>
      <c r="D2" s="618"/>
      <c r="E2" s="618"/>
      <c r="F2" s="618"/>
      <c r="G2" s="618"/>
      <c r="H2" s="618"/>
      <c r="I2" s="623" t="s">
        <v>3506</v>
      </c>
      <c r="J2" s="624"/>
      <c r="K2" s="624"/>
      <c r="L2" s="624"/>
      <c r="M2" s="623" t="s">
        <v>3507</v>
      </c>
      <c r="N2" s="624"/>
      <c r="O2" s="624"/>
      <c r="P2" s="624"/>
      <c r="Q2" s="623" t="s">
        <v>3508</v>
      </c>
      <c r="R2" s="624"/>
      <c r="S2" s="624"/>
      <c r="T2" s="624"/>
      <c r="U2" s="623" t="s">
        <v>3509</v>
      </c>
      <c r="V2" s="624"/>
      <c r="W2" s="624"/>
      <c r="X2" s="624"/>
      <c r="Y2" s="624"/>
      <c r="Z2" s="623" t="s">
        <v>3510</v>
      </c>
      <c r="AA2" s="624"/>
      <c r="AB2" s="624"/>
      <c r="AC2" s="624"/>
      <c r="AD2" s="624"/>
      <c r="AE2" s="624"/>
      <c r="AF2" s="622"/>
      <c r="AG2" s="618"/>
      <c r="AH2" s="618"/>
      <c r="AI2" s="618"/>
      <c r="AJ2" s="618"/>
      <c r="AK2" s="618"/>
      <c r="AL2" s="625"/>
      <c r="AM2" s="625"/>
      <c r="AN2" s="625"/>
      <c r="AO2" s="618"/>
      <c r="AP2" s="618"/>
      <c r="AQ2" s="618"/>
      <c r="AR2" s="618"/>
      <c r="AS2" s="618"/>
      <c r="AT2" s="618"/>
      <c r="AU2" s="618"/>
      <c r="AV2" s="618"/>
      <c r="AW2" s="618"/>
      <c r="AX2" s="618"/>
      <c r="AY2" s="618"/>
      <c r="AZ2" s="618"/>
      <c r="BA2" s="618"/>
      <c r="BB2" s="618"/>
      <c r="BC2" s="618"/>
      <c r="BD2" s="618"/>
      <c r="BE2" s="618"/>
      <c r="BF2" s="618"/>
      <c r="BG2" s="618"/>
      <c r="BH2" s="618"/>
      <c r="BI2" s="618"/>
      <c r="BJ2" s="618"/>
    </row>
    <row r="3" ht="15.75" customHeight="1">
      <c r="A3" s="618"/>
      <c r="B3" s="618"/>
      <c r="C3" s="622"/>
      <c r="D3" s="622"/>
      <c r="E3" s="618"/>
      <c r="F3" s="618"/>
      <c r="G3" s="618"/>
      <c r="H3" s="618"/>
      <c r="I3" s="623" t="s">
        <v>3511</v>
      </c>
      <c r="J3" s="624"/>
      <c r="K3" s="624"/>
      <c r="L3" s="624"/>
      <c r="M3" s="623" t="s">
        <v>3512</v>
      </c>
      <c r="N3" s="624"/>
      <c r="O3" s="624"/>
      <c r="P3" s="624"/>
      <c r="Q3" s="623" t="s">
        <v>3513</v>
      </c>
      <c r="R3" s="624"/>
      <c r="S3" s="624"/>
      <c r="T3" s="624"/>
      <c r="U3" s="623" t="s">
        <v>3514</v>
      </c>
      <c r="V3" s="624"/>
      <c r="W3" s="624"/>
      <c r="X3" s="624"/>
      <c r="Y3" s="624"/>
      <c r="Z3" s="623" t="s">
        <v>3515</v>
      </c>
      <c r="AA3" s="624"/>
      <c r="AB3" s="624"/>
      <c r="AC3" s="624"/>
      <c r="AD3" s="624"/>
      <c r="AE3" s="624"/>
      <c r="AF3" s="622"/>
      <c r="AG3" s="622"/>
      <c r="AH3" s="618"/>
      <c r="AI3" s="618"/>
      <c r="AJ3" s="618"/>
      <c r="AK3" s="618"/>
      <c r="AL3" s="618"/>
      <c r="AM3" s="618"/>
      <c r="AN3" s="618"/>
      <c r="AO3" s="618"/>
      <c r="AP3" s="618"/>
      <c r="AQ3" s="618"/>
      <c r="AR3" s="618"/>
      <c r="AS3" s="618"/>
      <c r="AT3" s="618"/>
      <c r="AU3" s="618"/>
      <c r="AV3" s="618"/>
      <c r="AW3" s="618"/>
      <c r="AX3" s="618"/>
      <c r="AY3" s="618"/>
      <c r="AZ3" s="618"/>
      <c r="BA3" s="618"/>
      <c r="BB3" s="618"/>
      <c r="BC3" s="618"/>
      <c r="BD3" s="618"/>
      <c r="BE3" s="618"/>
      <c r="BF3" s="618"/>
      <c r="BG3" s="618"/>
      <c r="BH3" s="618"/>
      <c r="BI3" s="618"/>
      <c r="BJ3" s="618"/>
    </row>
    <row r="4" ht="15.75" customHeight="1">
      <c r="A4" s="618"/>
      <c r="B4" s="618"/>
      <c r="C4" s="622"/>
      <c r="D4" s="622"/>
      <c r="E4" s="618"/>
      <c r="F4" s="618"/>
      <c r="G4" s="618"/>
      <c r="H4" s="618"/>
      <c r="I4" s="623" t="s">
        <v>3445</v>
      </c>
      <c r="J4" s="624"/>
      <c r="K4" s="624"/>
      <c r="L4" s="624"/>
      <c r="M4" s="623" t="s">
        <v>3516</v>
      </c>
      <c r="N4" s="624"/>
      <c r="O4" s="624"/>
      <c r="P4" s="624"/>
      <c r="Q4" s="623" t="s">
        <v>3517</v>
      </c>
      <c r="R4" s="624"/>
      <c r="S4" s="624"/>
      <c r="T4" s="624"/>
      <c r="U4" s="623" t="s">
        <v>3518</v>
      </c>
      <c r="V4" s="624"/>
      <c r="W4" s="624"/>
      <c r="X4" s="624"/>
      <c r="Y4" s="624"/>
      <c r="Z4" s="624"/>
      <c r="AA4" s="624"/>
      <c r="AB4" s="624"/>
      <c r="AC4" s="624"/>
      <c r="AD4" s="624"/>
      <c r="AE4" s="624"/>
      <c r="AF4" s="622"/>
      <c r="AG4" s="622"/>
      <c r="AH4" s="618"/>
      <c r="AI4" s="618"/>
      <c r="AJ4" s="618"/>
      <c r="AK4" s="618"/>
      <c r="AL4" s="618"/>
      <c r="AM4" s="618"/>
      <c r="AN4" s="618"/>
      <c r="AO4" s="618"/>
      <c r="AP4" s="618"/>
      <c r="AQ4" s="618"/>
      <c r="AR4" s="618"/>
      <c r="AS4" s="618"/>
      <c r="AT4" s="618"/>
      <c r="AU4" s="618"/>
      <c r="AV4" s="618"/>
      <c r="AW4" s="618"/>
      <c r="AX4" s="618"/>
      <c r="AY4" s="618"/>
      <c r="AZ4" s="618"/>
      <c r="BA4" s="618"/>
      <c r="BB4" s="618"/>
      <c r="BC4" s="618"/>
      <c r="BD4" s="618"/>
      <c r="BE4" s="618"/>
      <c r="BF4" s="618"/>
      <c r="BG4" s="618"/>
      <c r="BH4" s="618"/>
      <c r="BI4" s="618"/>
      <c r="BJ4" s="618"/>
    </row>
    <row r="5" ht="15.75" customHeight="1">
      <c r="A5" s="626"/>
      <c r="B5" s="626"/>
      <c r="C5" s="626"/>
      <c r="D5" s="626"/>
      <c r="E5" s="626"/>
      <c r="F5" s="626"/>
      <c r="G5" s="626"/>
      <c r="H5" s="626"/>
      <c r="I5" s="626"/>
      <c r="J5" s="626"/>
      <c r="K5" s="626"/>
      <c r="L5" s="626"/>
      <c r="M5" s="626"/>
      <c r="N5" s="626"/>
      <c r="O5" s="626"/>
      <c r="P5" s="626"/>
      <c r="Q5" s="626"/>
      <c r="R5" s="626"/>
      <c r="S5" s="626"/>
      <c r="T5" s="626"/>
      <c r="U5" s="626"/>
      <c r="V5" s="626"/>
      <c r="W5" s="626"/>
      <c r="X5" s="626"/>
      <c r="Y5" s="626"/>
      <c r="Z5" s="626"/>
      <c r="AA5" s="626"/>
      <c r="AB5" s="626"/>
      <c r="AC5" s="626"/>
      <c r="AD5" s="626"/>
      <c r="AE5" s="626"/>
      <c r="AF5" s="626"/>
      <c r="AG5" s="626"/>
      <c r="AH5" s="626"/>
      <c r="AI5" s="626"/>
      <c r="AJ5" s="626"/>
      <c r="AK5" s="626"/>
      <c r="AL5" s="626"/>
      <c r="AM5" s="626"/>
      <c r="AN5" s="626"/>
      <c r="AO5" s="626"/>
      <c r="AP5" s="626"/>
      <c r="AQ5" s="618"/>
      <c r="AR5" s="627"/>
      <c r="AS5" s="627"/>
      <c r="AT5" s="627"/>
      <c r="AU5" s="627"/>
      <c r="AV5" s="627"/>
      <c r="AW5" s="618"/>
      <c r="AX5" s="618"/>
      <c r="AY5" s="618"/>
      <c r="AZ5" s="618"/>
      <c r="BA5" s="618"/>
      <c r="BB5" s="618"/>
      <c r="BC5" s="618"/>
      <c r="BD5" s="618"/>
      <c r="BE5" s="618"/>
      <c r="BF5" s="618"/>
      <c r="BG5" s="618"/>
      <c r="BH5" s="618"/>
      <c r="BI5" s="618"/>
      <c r="BJ5" s="618"/>
    </row>
    <row r="6" ht="15.75" customHeight="1">
      <c r="A6" s="628" t="s">
        <v>3449</v>
      </c>
      <c r="B6" s="628" t="s">
        <v>3450</v>
      </c>
      <c r="C6" s="628" t="s">
        <v>2287</v>
      </c>
      <c r="D6" s="628" t="s">
        <v>3103</v>
      </c>
      <c r="E6" s="629">
        <v>45383.0</v>
      </c>
      <c r="F6" s="629">
        <v>45384.0</v>
      </c>
      <c r="G6" s="629">
        <v>45385.0</v>
      </c>
      <c r="H6" s="629">
        <v>45386.0</v>
      </c>
      <c r="I6" s="629">
        <v>45387.0</v>
      </c>
      <c r="J6" s="629">
        <v>45388.0</v>
      </c>
      <c r="K6" s="629">
        <v>45389.0</v>
      </c>
      <c r="L6" s="629">
        <v>45390.0</v>
      </c>
      <c r="M6" s="629">
        <v>45391.0</v>
      </c>
      <c r="N6" s="629">
        <v>45392.0</v>
      </c>
      <c r="O6" s="629">
        <v>45393.0</v>
      </c>
      <c r="P6" s="629">
        <v>45394.0</v>
      </c>
      <c r="Q6" s="629">
        <v>45395.0</v>
      </c>
      <c r="R6" s="629">
        <v>45396.0</v>
      </c>
      <c r="S6" s="629">
        <v>45397.0</v>
      </c>
      <c r="T6" s="629">
        <v>45398.0</v>
      </c>
      <c r="U6" s="629">
        <v>45399.0</v>
      </c>
      <c r="V6" s="629">
        <v>45400.0</v>
      </c>
      <c r="W6" s="629">
        <v>45401.0</v>
      </c>
      <c r="X6" s="629">
        <v>45402.0</v>
      </c>
      <c r="Y6" s="629">
        <v>45403.0</v>
      </c>
      <c r="Z6" s="629">
        <v>45404.0</v>
      </c>
      <c r="AA6" s="629">
        <v>45405.0</v>
      </c>
      <c r="AB6" s="629">
        <v>45406.0</v>
      </c>
      <c r="AC6" s="629">
        <v>45407.0</v>
      </c>
      <c r="AD6" s="629">
        <v>45408.0</v>
      </c>
      <c r="AE6" s="629">
        <v>45409.0</v>
      </c>
      <c r="AF6" s="629">
        <v>45410.0</v>
      </c>
      <c r="AG6" s="629">
        <v>45411.0</v>
      </c>
      <c r="AH6" s="629">
        <v>45412.0</v>
      </c>
      <c r="AI6" s="629"/>
      <c r="AJ6" s="628" t="s">
        <v>3451</v>
      </c>
      <c r="AK6" s="628" t="s">
        <v>3452</v>
      </c>
      <c r="AL6" s="628" t="s">
        <v>3453</v>
      </c>
      <c r="AM6" s="628" t="s">
        <v>3454</v>
      </c>
      <c r="AN6" s="628" t="s">
        <v>3455</v>
      </c>
      <c r="AO6" s="628" t="s">
        <v>3456</v>
      </c>
      <c r="AP6" s="628" t="s">
        <v>3457</v>
      </c>
      <c r="AQ6" s="630"/>
      <c r="AR6" s="631" t="s">
        <v>3458</v>
      </c>
      <c r="AS6" s="632"/>
      <c r="AT6" s="632"/>
      <c r="AU6" s="632"/>
      <c r="AV6" s="632"/>
      <c r="AW6" s="632"/>
      <c r="AX6" s="632"/>
      <c r="AY6" s="632"/>
      <c r="AZ6" s="633"/>
      <c r="BA6" s="618"/>
      <c r="BB6" s="618"/>
      <c r="BC6" s="618"/>
      <c r="BD6" s="618"/>
      <c r="BE6" s="618"/>
      <c r="BF6" s="618"/>
      <c r="BG6" s="618"/>
      <c r="BH6" s="618"/>
      <c r="BI6" s="618"/>
      <c r="BJ6" s="618"/>
    </row>
    <row r="7" ht="15.75" customHeight="1">
      <c r="A7" s="634"/>
      <c r="B7" s="634"/>
      <c r="C7" s="634"/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34"/>
      <c r="S7" s="634"/>
      <c r="T7" s="634"/>
      <c r="U7" s="634"/>
      <c r="V7" s="634"/>
      <c r="W7" s="634"/>
      <c r="X7" s="634"/>
      <c r="Y7" s="634"/>
      <c r="Z7" s="634"/>
      <c r="AA7" s="634"/>
      <c r="AB7" s="634"/>
      <c r="AC7" s="634"/>
      <c r="AD7" s="634"/>
      <c r="AE7" s="634"/>
      <c r="AF7" s="634"/>
      <c r="AG7" s="634"/>
      <c r="AH7" s="634"/>
      <c r="AI7" s="634"/>
      <c r="AJ7" s="634"/>
      <c r="AK7" s="634"/>
      <c r="AL7" s="634"/>
      <c r="AM7" s="634"/>
      <c r="AN7" s="634"/>
      <c r="AO7" s="634"/>
      <c r="AP7" s="634"/>
      <c r="AQ7" s="630"/>
      <c r="AR7" s="635" t="s">
        <v>3459</v>
      </c>
      <c r="AS7" s="635" t="s">
        <v>3460</v>
      </c>
      <c r="AT7" s="635" t="s">
        <v>3461</v>
      </c>
      <c r="AU7" s="635" t="s">
        <v>3462</v>
      </c>
      <c r="AV7" s="635" t="s">
        <v>3315</v>
      </c>
      <c r="AW7" s="635" t="s">
        <v>3463</v>
      </c>
      <c r="AX7" s="635" t="s">
        <v>3464</v>
      </c>
      <c r="AY7" s="635" t="s">
        <v>3465</v>
      </c>
      <c r="AZ7" s="635" t="s">
        <v>3466</v>
      </c>
      <c r="BA7" s="618"/>
      <c r="BB7" s="618"/>
      <c r="BC7" s="618"/>
      <c r="BD7" s="618"/>
      <c r="BE7" s="618"/>
      <c r="BF7" s="618"/>
      <c r="BG7" s="618"/>
      <c r="BH7" s="618"/>
      <c r="BI7" s="618"/>
      <c r="BJ7" s="618"/>
    </row>
    <row r="8" ht="15.75" customHeight="1">
      <c r="A8" s="636">
        <v>1.0</v>
      </c>
      <c r="B8" s="637" t="s">
        <v>49</v>
      </c>
      <c r="C8" s="637" t="s">
        <v>3151</v>
      </c>
      <c r="D8" s="638" t="s">
        <v>3154</v>
      </c>
      <c r="E8" s="639" t="s">
        <v>3466</v>
      </c>
      <c r="F8" s="639" t="s">
        <v>3470</v>
      </c>
      <c r="G8" s="639" t="s">
        <v>3469</v>
      </c>
      <c r="H8" s="639" t="s">
        <v>3460</v>
      </c>
      <c r="I8" s="639" t="s">
        <v>3469</v>
      </c>
      <c r="J8" s="639" t="s">
        <v>3469</v>
      </c>
      <c r="K8" s="639" t="s">
        <v>3469</v>
      </c>
      <c r="L8" s="639" t="s">
        <v>3468</v>
      </c>
      <c r="M8" s="640" t="s">
        <v>3468</v>
      </c>
      <c r="N8" s="665" t="s">
        <v>3468</v>
      </c>
      <c r="O8" s="666" t="s">
        <v>3468</v>
      </c>
      <c r="P8" s="666" t="s">
        <v>3470</v>
      </c>
      <c r="Q8" s="666" t="s">
        <v>3470</v>
      </c>
      <c r="R8" s="666" t="s">
        <v>3461</v>
      </c>
      <c r="S8" s="666" t="s">
        <v>3470</v>
      </c>
      <c r="T8" s="640" t="s">
        <v>3470</v>
      </c>
      <c r="U8" s="640" t="s">
        <v>3470</v>
      </c>
      <c r="V8" s="640" t="s">
        <v>3470</v>
      </c>
      <c r="W8" s="640" t="s">
        <v>3470</v>
      </c>
      <c r="X8" s="640" t="s">
        <v>3470</v>
      </c>
      <c r="Y8" s="640" t="s">
        <v>3461</v>
      </c>
      <c r="Z8" s="640" t="s">
        <v>3460</v>
      </c>
      <c r="AA8" s="640" t="s">
        <v>3469</v>
      </c>
      <c r="AB8" s="640"/>
      <c r="AC8" s="640"/>
      <c r="AD8" s="640"/>
      <c r="AE8" s="640"/>
      <c r="AF8" s="640"/>
      <c r="AG8" s="640"/>
      <c r="AH8" s="640"/>
      <c r="AI8" s="640"/>
      <c r="AJ8" s="641">
        <f t="shared" ref="AJ8:AJ31" si="1">(COUNTIF(E8:AI8,"D")+COUNTIF(E8:AI8,"T")+COUNTIF(E8:AI8,"VT"))</f>
        <v>18</v>
      </c>
      <c r="AK8" s="641">
        <f t="shared" ref="AK8:AK31" si="2">(COUNTIF(E8:AI8,"pp")+COUNTIF(E8:AI8,"pc")+COUNTIF(E8:AI8,"sd")+COUNTIF(E8:AI8,"sm")+COUNTIF(E8:AI8,"f")+COUNTIF(E8:AI8,"I")+COUNTIF(E8:AI8,"PV")+COUNTIF(E8:AI8,"DS")+COUNTIF(E8:AI8,"RC"))</f>
        <v>4</v>
      </c>
      <c r="AL8" s="642">
        <f t="shared" ref="AL8:AL31" si="3">COUNTIF(E8:AI8,"OO")</f>
        <v>0</v>
      </c>
      <c r="AM8" s="642">
        <f t="shared" ref="AM8:AM31" si="4">AN8-AL8</f>
        <v>23</v>
      </c>
      <c r="AN8" s="642">
        <f t="shared" ref="AN8:AN27" si="5">COUNTA(E8:AI8)</f>
        <v>23</v>
      </c>
      <c r="AO8" s="643">
        <f t="shared" ref="AO8:AO27" si="6">AJ8/AN8</f>
        <v>0.7826086957</v>
      </c>
      <c r="AP8" s="643">
        <f t="shared" ref="AP8:AP27" si="7">AJ8/AM8</f>
        <v>0.7826086957</v>
      </c>
      <c r="AQ8" s="630"/>
      <c r="AR8" s="644">
        <f t="shared" ref="AR8:AR25" si="8">COUNTIF(E8:AK8,"PP")</f>
        <v>0</v>
      </c>
      <c r="AS8" s="644">
        <f t="shared" ref="AS8:AS25" si="9">COUNTIF(E8:AK8,"PC")</f>
        <v>2</v>
      </c>
      <c r="AT8" s="644">
        <f t="shared" ref="AT8:AT25" si="10">COUNTIF(E8:AK8,"F")</f>
        <v>2</v>
      </c>
      <c r="AU8" s="644">
        <f t="shared" ref="AU8:AU25" si="11">COUNTIF(E8:AK8,"SD")</f>
        <v>0</v>
      </c>
      <c r="AV8" s="644">
        <f t="shared" ref="AV8:AV25" si="12">COUNTIF(E8:AK8,"SM")</f>
        <v>0</v>
      </c>
      <c r="AW8" s="644">
        <f t="shared" ref="AW8:AW25" si="13">COUNTIF(F8:AL8,"PV")</f>
        <v>0</v>
      </c>
      <c r="AX8" s="644">
        <f t="shared" ref="AX8:AX25" si="14">COUNTIF(G8:AM8,"RC")</f>
        <v>0</v>
      </c>
      <c r="AY8" s="644">
        <f t="shared" ref="AY8:AY25" si="15">COUNTIF(H8:AN8,"S")</f>
        <v>0</v>
      </c>
      <c r="AZ8" s="644">
        <f t="shared" ref="AZ8:AZ25" si="16">COUNTIF(I8:AO8,"E")</f>
        <v>0</v>
      </c>
      <c r="BA8" s="618"/>
      <c r="BB8" s="618"/>
      <c r="BC8" s="618"/>
      <c r="BD8" s="618"/>
      <c r="BE8" s="618"/>
      <c r="BF8" s="618"/>
      <c r="BG8" s="618"/>
      <c r="BH8" s="618"/>
      <c r="BI8" s="618"/>
      <c r="BJ8" s="618"/>
    </row>
    <row r="9" ht="15.75" customHeight="1">
      <c r="A9" s="636">
        <v>2.0</v>
      </c>
      <c r="B9" s="637" t="s">
        <v>143</v>
      </c>
      <c r="C9" s="637" t="s">
        <v>2454</v>
      </c>
      <c r="D9" s="638" t="s">
        <v>3467</v>
      </c>
      <c r="E9" s="639" t="s">
        <v>3469</v>
      </c>
      <c r="F9" s="639" t="s">
        <v>3469</v>
      </c>
      <c r="G9" s="639" t="s">
        <v>3469</v>
      </c>
      <c r="H9" s="639" t="s">
        <v>3469</v>
      </c>
      <c r="I9" s="639" t="s">
        <v>3468</v>
      </c>
      <c r="J9" s="640" t="s">
        <v>3468</v>
      </c>
      <c r="K9" s="640" t="s">
        <v>3468</v>
      </c>
      <c r="L9" s="639" t="s">
        <v>3468</v>
      </c>
      <c r="M9" s="639" t="s">
        <v>3468</v>
      </c>
      <c r="N9" s="665" t="s">
        <v>3468</v>
      </c>
      <c r="O9" s="666" t="s">
        <v>3470</v>
      </c>
      <c r="P9" s="666" t="s">
        <v>3470</v>
      </c>
      <c r="Q9" s="666" t="s">
        <v>3470</v>
      </c>
      <c r="R9" s="666" t="s">
        <v>3461</v>
      </c>
      <c r="S9" s="666" t="s">
        <v>3469</v>
      </c>
      <c r="T9" s="639" t="s">
        <v>3469</v>
      </c>
      <c r="U9" s="639" t="s">
        <v>3469</v>
      </c>
      <c r="V9" s="639" t="s">
        <v>3469</v>
      </c>
      <c r="W9" s="639" t="s">
        <v>3468</v>
      </c>
      <c r="X9" s="639" t="s">
        <v>3468</v>
      </c>
      <c r="Y9" s="639" t="s">
        <v>3468</v>
      </c>
      <c r="Z9" s="639" t="s">
        <v>3460</v>
      </c>
      <c r="AA9" s="639" t="s">
        <v>3460</v>
      </c>
      <c r="AB9" s="639"/>
      <c r="AC9" s="639"/>
      <c r="AD9" s="639"/>
      <c r="AE9" s="639"/>
      <c r="AF9" s="639"/>
      <c r="AG9" s="639"/>
      <c r="AH9" s="639"/>
      <c r="AI9" s="639"/>
      <c r="AJ9" s="641">
        <f t="shared" si="1"/>
        <v>20</v>
      </c>
      <c r="AK9" s="641">
        <f t="shared" si="2"/>
        <v>3</v>
      </c>
      <c r="AL9" s="642">
        <f t="shared" si="3"/>
        <v>0</v>
      </c>
      <c r="AM9" s="642">
        <f t="shared" si="4"/>
        <v>23</v>
      </c>
      <c r="AN9" s="642">
        <f t="shared" si="5"/>
        <v>23</v>
      </c>
      <c r="AO9" s="643">
        <f t="shared" si="6"/>
        <v>0.8695652174</v>
      </c>
      <c r="AP9" s="643">
        <f t="shared" si="7"/>
        <v>0.8695652174</v>
      </c>
      <c r="AQ9" s="630"/>
      <c r="AR9" s="644">
        <f t="shared" si="8"/>
        <v>0</v>
      </c>
      <c r="AS9" s="644">
        <f t="shared" si="9"/>
        <v>2</v>
      </c>
      <c r="AT9" s="644">
        <f t="shared" si="10"/>
        <v>1</v>
      </c>
      <c r="AU9" s="644">
        <f t="shared" si="11"/>
        <v>0</v>
      </c>
      <c r="AV9" s="644">
        <f t="shared" si="12"/>
        <v>0</v>
      </c>
      <c r="AW9" s="644">
        <f t="shared" si="13"/>
        <v>0</v>
      </c>
      <c r="AX9" s="644">
        <f t="shared" si="14"/>
        <v>0</v>
      </c>
      <c r="AY9" s="644">
        <f t="shared" si="15"/>
        <v>0</v>
      </c>
      <c r="AZ9" s="644">
        <f t="shared" si="16"/>
        <v>0</v>
      </c>
      <c r="BA9" s="618"/>
      <c r="BB9" s="618"/>
      <c r="BC9" s="618"/>
      <c r="BD9" s="618"/>
      <c r="BE9" s="618"/>
      <c r="BF9" s="618"/>
      <c r="BG9" s="618"/>
      <c r="BH9" s="618"/>
      <c r="BI9" s="618"/>
      <c r="BJ9" s="618"/>
    </row>
    <row r="10" ht="15.75" customHeight="1">
      <c r="A10" s="636">
        <v>3.0</v>
      </c>
      <c r="B10" s="637" t="s">
        <v>69</v>
      </c>
      <c r="C10" s="637" t="s">
        <v>2433</v>
      </c>
      <c r="D10" s="638" t="s">
        <v>3471</v>
      </c>
      <c r="E10" s="639" t="s">
        <v>3459</v>
      </c>
      <c r="F10" s="640" t="s">
        <v>3469</v>
      </c>
      <c r="G10" s="640" t="s">
        <v>3469</v>
      </c>
      <c r="H10" s="640" t="s">
        <v>3469</v>
      </c>
      <c r="I10" s="640" t="s">
        <v>3468</v>
      </c>
      <c r="J10" s="639" t="s">
        <v>3468</v>
      </c>
      <c r="K10" s="639" t="s">
        <v>3468</v>
      </c>
      <c r="L10" s="639" t="s">
        <v>3469</v>
      </c>
      <c r="M10" s="639" t="s">
        <v>3469</v>
      </c>
      <c r="N10" s="665" t="s">
        <v>3469</v>
      </c>
      <c r="O10" s="666" t="s">
        <v>3470</v>
      </c>
      <c r="P10" s="666" t="s">
        <v>3470</v>
      </c>
      <c r="Q10" s="666" t="s">
        <v>3470</v>
      </c>
      <c r="R10" s="666" t="s">
        <v>3461</v>
      </c>
      <c r="S10" s="666" t="s">
        <v>3469</v>
      </c>
      <c r="T10" s="639" t="s">
        <v>3469</v>
      </c>
      <c r="U10" s="639" t="s">
        <v>3469</v>
      </c>
      <c r="V10" s="639" t="s">
        <v>3469</v>
      </c>
      <c r="W10" s="639" t="s">
        <v>3469</v>
      </c>
      <c r="X10" s="639" t="s">
        <v>3469</v>
      </c>
      <c r="Y10" s="639" t="s">
        <v>3469</v>
      </c>
      <c r="Z10" s="639" t="s">
        <v>3469</v>
      </c>
      <c r="AA10" s="639" t="s">
        <v>3468</v>
      </c>
      <c r="AB10" s="639"/>
      <c r="AC10" s="639"/>
      <c r="AD10" s="639"/>
      <c r="AE10" s="639"/>
      <c r="AF10" s="639"/>
      <c r="AG10" s="639"/>
      <c r="AH10" s="639"/>
      <c r="AI10" s="639"/>
      <c r="AJ10" s="641">
        <f t="shared" si="1"/>
        <v>21</v>
      </c>
      <c r="AK10" s="641">
        <f t="shared" si="2"/>
        <v>2</v>
      </c>
      <c r="AL10" s="642">
        <f t="shared" si="3"/>
        <v>0</v>
      </c>
      <c r="AM10" s="642">
        <f t="shared" si="4"/>
        <v>23</v>
      </c>
      <c r="AN10" s="642">
        <f t="shared" si="5"/>
        <v>23</v>
      </c>
      <c r="AO10" s="643">
        <f t="shared" si="6"/>
        <v>0.9130434783</v>
      </c>
      <c r="AP10" s="643">
        <f t="shared" si="7"/>
        <v>0.9130434783</v>
      </c>
      <c r="AQ10" s="630"/>
      <c r="AR10" s="644">
        <f t="shared" si="8"/>
        <v>1</v>
      </c>
      <c r="AS10" s="644">
        <f t="shared" si="9"/>
        <v>0</v>
      </c>
      <c r="AT10" s="644">
        <f t="shared" si="10"/>
        <v>1</v>
      </c>
      <c r="AU10" s="644">
        <f t="shared" si="11"/>
        <v>0</v>
      </c>
      <c r="AV10" s="644">
        <f t="shared" si="12"/>
        <v>0</v>
      </c>
      <c r="AW10" s="644">
        <f t="shared" si="13"/>
        <v>0</v>
      </c>
      <c r="AX10" s="644">
        <f t="shared" si="14"/>
        <v>0</v>
      </c>
      <c r="AY10" s="644">
        <f t="shared" si="15"/>
        <v>0</v>
      </c>
      <c r="AZ10" s="644">
        <f t="shared" si="16"/>
        <v>0</v>
      </c>
      <c r="BA10" s="618"/>
      <c r="BB10" s="618"/>
      <c r="BC10" s="618"/>
      <c r="BD10" s="618"/>
      <c r="BE10" s="618"/>
      <c r="BF10" s="618"/>
      <c r="BG10" s="618"/>
      <c r="BH10" s="618"/>
      <c r="BI10" s="618"/>
      <c r="BJ10" s="618"/>
    </row>
    <row r="11" ht="15.75" customHeight="1">
      <c r="A11" s="636">
        <v>4.0</v>
      </c>
      <c r="B11" s="637" t="s">
        <v>83</v>
      </c>
      <c r="C11" s="637" t="s">
        <v>2376</v>
      </c>
      <c r="D11" s="638" t="s">
        <v>3159</v>
      </c>
      <c r="E11" s="639" t="s">
        <v>3469</v>
      </c>
      <c r="F11" s="639" t="s">
        <v>3469</v>
      </c>
      <c r="G11" s="639" t="s">
        <v>3469</v>
      </c>
      <c r="H11" s="639" t="s">
        <v>3469</v>
      </c>
      <c r="I11" s="639" t="s">
        <v>3469</v>
      </c>
      <c r="J11" s="639" t="s">
        <v>3469</v>
      </c>
      <c r="K11" s="639" t="s">
        <v>3469</v>
      </c>
      <c r="L11" s="639" t="s">
        <v>3469</v>
      </c>
      <c r="M11" s="639" t="s">
        <v>3469</v>
      </c>
      <c r="N11" s="665" t="s">
        <v>3469</v>
      </c>
      <c r="O11" s="666" t="s">
        <v>3470</v>
      </c>
      <c r="P11" s="666" t="s">
        <v>3470</v>
      </c>
      <c r="Q11" s="666" t="s">
        <v>3470</v>
      </c>
      <c r="R11" s="666" t="s">
        <v>3461</v>
      </c>
      <c r="S11" s="666" t="s">
        <v>3469</v>
      </c>
      <c r="T11" s="639" t="s">
        <v>3469</v>
      </c>
      <c r="U11" s="639" t="s">
        <v>3469</v>
      </c>
      <c r="V11" s="639" t="s">
        <v>3469</v>
      </c>
      <c r="W11" s="639" t="s">
        <v>3469</v>
      </c>
      <c r="X11" s="639" t="s">
        <v>3469</v>
      </c>
      <c r="Y11" s="639" t="s">
        <v>3461</v>
      </c>
      <c r="Z11" s="639" t="s">
        <v>3460</v>
      </c>
      <c r="AA11" s="639" t="s">
        <v>3470</v>
      </c>
      <c r="AB11" s="639"/>
      <c r="AC11" s="639"/>
      <c r="AD11" s="639"/>
      <c r="AE11" s="639"/>
      <c r="AF11" s="639"/>
      <c r="AG11" s="639"/>
      <c r="AH11" s="639"/>
      <c r="AI11" s="639"/>
      <c r="AJ11" s="641">
        <f t="shared" si="1"/>
        <v>20</v>
      </c>
      <c r="AK11" s="641">
        <f t="shared" si="2"/>
        <v>3</v>
      </c>
      <c r="AL11" s="642">
        <f t="shared" si="3"/>
        <v>0</v>
      </c>
      <c r="AM11" s="642">
        <f t="shared" si="4"/>
        <v>23</v>
      </c>
      <c r="AN11" s="642">
        <f t="shared" si="5"/>
        <v>23</v>
      </c>
      <c r="AO11" s="643">
        <f t="shared" si="6"/>
        <v>0.8695652174</v>
      </c>
      <c r="AP11" s="643">
        <f t="shared" si="7"/>
        <v>0.8695652174</v>
      </c>
      <c r="AQ11" s="630"/>
      <c r="AR11" s="644">
        <f t="shared" si="8"/>
        <v>0</v>
      </c>
      <c r="AS11" s="644">
        <f t="shared" si="9"/>
        <v>1</v>
      </c>
      <c r="AT11" s="644">
        <f t="shared" si="10"/>
        <v>2</v>
      </c>
      <c r="AU11" s="644">
        <f t="shared" si="11"/>
        <v>0</v>
      </c>
      <c r="AV11" s="644">
        <f t="shared" si="12"/>
        <v>0</v>
      </c>
      <c r="AW11" s="644">
        <f t="shared" si="13"/>
        <v>0</v>
      </c>
      <c r="AX11" s="644">
        <f t="shared" si="14"/>
        <v>0</v>
      </c>
      <c r="AY11" s="644">
        <f t="shared" si="15"/>
        <v>0</v>
      </c>
      <c r="AZ11" s="644">
        <f t="shared" si="16"/>
        <v>0</v>
      </c>
      <c r="BA11" s="618"/>
      <c r="BB11" s="618"/>
      <c r="BC11" s="618"/>
      <c r="BD11" s="618"/>
      <c r="BE11" s="618"/>
      <c r="BF11" s="618"/>
      <c r="BG11" s="618"/>
      <c r="BH11" s="618"/>
      <c r="BI11" s="618"/>
      <c r="BJ11" s="618"/>
    </row>
    <row r="12" ht="15.75" customHeight="1">
      <c r="A12" s="636">
        <v>5.0</v>
      </c>
      <c r="B12" s="637" t="s">
        <v>159</v>
      </c>
      <c r="C12" s="637" t="s">
        <v>3472</v>
      </c>
      <c r="D12" s="638" t="s">
        <v>3117</v>
      </c>
      <c r="E12" s="640" t="s">
        <v>3466</v>
      </c>
      <c r="F12" s="640" t="s">
        <v>3466</v>
      </c>
      <c r="G12" s="640" t="s">
        <v>3466</v>
      </c>
      <c r="H12" s="640" t="s">
        <v>3466</v>
      </c>
      <c r="I12" s="640" t="s">
        <v>3466</v>
      </c>
      <c r="J12" s="640" t="s">
        <v>3466</v>
      </c>
      <c r="K12" s="640" t="s">
        <v>3466</v>
      </c>
      <c r="L12" s="640" t="s">
        <v>3466</v>
      </c>
      <c r="M12" s="639" t="s">
        <v>3466</v>
      </c>
      <c r="N12" s="639" t="s">
        <v>3466</v>
      </c>
      <c r="O12" s="639" t="s">
        <v>3466</v>
      </c>
      <c r="P12" s="639" t="s">
        <v>3466</v>
      </c>
      <c r="Q12" s="639" t="s">
        <v>3466</v>
      </c>
      <c r="R12" s="639" t="s">
        <v>3466</v>
      </c>
      <c r="S12" s="639" t="s">
        <v>3470</v>
      </c>
      <c r="T12" s="639" t="s">
        <v>3470</v>
      </c>
      <c r="U12" s="639" t="s">
        <v>3470</v>
      </c>
      <c r="V12" s="639" t="s">
        <v>3469</v>
      </c>
      <c r="W12" s="639" t="s">
        <v>3469</v>
      </c>
      <c r="X12" s="640" t="s">
        <v>3469</v>
      </c>
      <c r="Y12" s="640" t="s">
        <v>3469</v>
      </c>
      <c r="Z12" s="640" t="s">
        <v>3469</v>
      </c>
      <c r="AA12" s="640" t="s">
        <v>3469</v>
      </c>
      <c r="AB12" s="640"/>
      <c r="AC12" s="640"/>
      <c r="AD12" s="639"/>
      <c r="AE12" s="639"/>
      <c r="AF12" s="639"/>
      <c r="AG12" s="639"/>
      <c r="AH12" s="639"/>
      <c r="AI12" s="639"/>
      <c r="AJ12" s="641">
        <f t="shared" si="1"/>
        <v>9</v>
      </c>
      <c r="AK12" s="641">
        <f t="shared" si="2"/>
        <v>0</v>
      </c>
      <c r="AL12" s="642">
        <f t="shared" si="3"/>
        <v>0</v>
      </c>
      <c r="AM12" s="642">
        <f t="shared" si="4"/>
        <v>23</v>
      </c>
      <c r="AN12" s="642">
        <f t="shared" si="5"/>
        <v>23</v>
      </c>
      <c r="AO12" s="643">
        <f t="shared" si="6"/>
        <v>0.3913043478</v>
      </c>
      <c r="AP12" s="643">
        <f t="shared" si="7"/>
        <v>0.3913043478</v>
      </c>
      <c r="AQ12" s="630"/>
      <c r="AR12" s="644">
        <f t="shared" si="8"/>
        <v>0</v>
      </c>
      <c r="AS12" s="644">
        <f t="shared" si="9"/>
        <v>0</v>
      </c>
      <c r="AT12" s="644">
        <f t="shared" si="10"/>
        <v>0</v>
      </c>
      <c r="AU12" s="644">
        <f t="shared" si="11"/>
        <v>0</v>
      </c>
      <c r="AV12" s="644">
        <f t="shared" si="12"/>
        <v>0</v>
      </c>
      <c r="AW12" s="644">
        <f t="shared" si="13"/>
        <v>0</v>
      </c>
      <c r="AX12" s="644">
        <f t="shared" si="14"/>
        <v>0</v>
      </c>
      <c r="AY12" s="644">
        <f t="shared" si="15"/>
        <v>0</v>
      </c>
      <c r="AZ12" s="644">
        <f t="shared" si="16"/>
        <v>10</v>
      </c>
      <c r="BA12" s="618"/>
      <c r="BB12" s="618"/>
      <c r="BC12" s="618"/>
      <c r="BD12" s="618"/>
      <c r="BE12" s="618"/>
      <c r="BF12" s="618"/>
      <c r="BG12" s="618"/>
      <c r="BH12" s="618"/>
      <c r="BI12" s="618"/>
      <c r="BJ12" s="618"/>
    </row>
    <row r="13" ht="15.75" customHeight="1">
      <c r="A13" s="636">
        <v>6.0</v>
      </c>
      <c r="B13" s="637" t="s">
        <v>162</v>
      </c>
      <c r="C13" s="637" t="s">
        <v>1988</v>
      </c>
      <c r="D13" s="638" t="s">
        <v>52</v>
      </c>
      <c r="E13" s="640" t="s">
        <v>3315</v>
      </c>
      <c r="F13" s="640" t="s">
        <v>3315</v>
      </c>
      <c r="G13" s="640" t="s">
        <v>3315</v>
      </c>
      <c r="H13" s="640" t="s">
        <v>3315</v>
      </c>
      <c r="I13" s="640" t="s">
        <v>3315</v>
      </c>
      <c r="J13" s="639" t="s">
        <v>3315</v>
      </c>
      <c r="K13" s="639" t="s">
        <v>3315</v>
      </c>
      <c r="L13" s="639" t="s">
        <v>3315</v>
      </c>
      <c r="M13" s="639" t="s">
        <v>3315</v>
      </c>
      <c r="N13" s="639" t="s">
        <v>3315</v>
      </c>
      <c r="O13" s="639" t="s">
        <v>3315</v>
      </c>
      <c r="P13" s="639" t="s">
        <v>3315</v>
      </c>
      <c r="Q13" s="639" t="s">
        <v>3315</v>
      </c>
      <c r="R13" s="639" t="s">
        <v>3315</v>
      </c>
      <c r="S13" s="639" t="s">
        <v>3315</v>
      </c>
      <c r="T13" s="640" t="s">
        <v>3315</v>
      </c>
      <c r="U13" s="640" t="s">
        <v>3315</v>
      </c>
      <c r="V13" s="640" t="s">
        <v>3315</v>
      </c>
      <c r="W13" s="640" t="s">
        <v>3315</v>
      </c>
      <c r="X13" s="640" t="s">
        <v>3315</v>
      </c>
      <c r="Y13" s="640" t="s">
        <v>3315</v>
      </c>
      <c r="Z13" s="640" t="s">
        <v>3469</v>
      </c>
      <c r="AA13" s="640" t="s">
        <v>3469</v>
      </c>
      <c r="AB13" s="640"/>
      <c r="AC13" s="640"/>
      <c r="AD13" s="639"/>
      <c r="AE13" s="639"/>
      <c r="AF13" s="639"/>
      <c r="AG13" s="639"/>
      <c r="AH13" s="639"/>
      <c r="AI13" s="639"/>
      <c r="AJ13" s="641">
        <f t="shared" si="1"/>
        <v>2</v>
      </c>
      <c r="AK13" s="641">
        <f t="shared" si="2"/>
        <v>21</v>
      </c>
      <c r="AL13" s="642">
        <f t="shared" si="3"/>
        <v>0</v>
      </c>
      <c r="AM13" s="642">
        <f t="shared" si="4"/>
        <v>23</v>
      </c>
      <c r="AN13" s="642">
        <f t="shared" si="5"/>
        <v>23</v>
      </c>
      <c r="AO13" s="643">
        <f t="shared" si="6"/>
        <v>0.08695652174</v>
      </c>
      <c r="AP13" s="643">
        <f t="shared" si="7"/>
        <v>0.08695652174</v>
      </c>
      <c r="AQ13" s="630"/>
      <c r="AR13" s="644">
        <f t="shared" si="8"/>
        <v>0</v>
      </c>
      <c r="AS13" s="644">
        <f t="shared" si="9"/>
        <v>0</v>
      </c>
      <c r="AT13" s="644">
        <f t="shared" si="10"/>
        <v>0</v>
      </c>
      <c r="AU13" s="644">
        <f t="shared" si="11"/>
        <v>0</v>
      </c>
      <c r="AV13" s="644">
        <f t="shared" si="12"/>
        <v>21</v>
      </c>
      <c r="AW13" s="644">
        <f t="shared" si="13"/>
        <v>0</v>
      </c>
      <c r="AX13" s="644">
        <f t="shared" si="14"/>
        <v>0</v>
      </c>
      <c r="AY13" s="644">
        <f t="shared" si="15"/>
        <v>0</v>
      </c>
      <c r="AZ13" s="644">
        <f t="shared" si="16"/>
        <v>0</v>
      </c>
      <c r="BA13" s="618"/>
      <c r="BB13" s="618"/>
      <c r="BC13" s="618"/>
      <c r="BD13" s="618"/>
      <c r="BE13" s="618"/>
      <c r="BF13" s="618"/>
      <c r="BG13" s="618"/>
      <c r="BH13" s="618"/>
      <c r="BI13" s="618"/>
      <c r="BJ13" s="618"/>
    </row>
    <row r="14" ht="15.75" customHeight="1">
      <c r="A14" s="636">
        <v>7.0</v>
      </c>
      <c r="B14" s="637" t="s">
        <v>145</v>
      </c>
      <c r="C14" s="637" t="s">
        <v>1971</v>
      </c>
      <c r="D14" s="638" t="s">
        <v>3474</v>
      </c>
      <c r="E14" s="639" t="s">
        <v>3469</v>
      </c>
      <c r="F14" s="639" t="s">
        <v>3470</v>
      </c>
      <c r="G14" s="639" t="s">
        <v>3469</v>
      </c>
      <c r="H14" s="639" t="s">
        <v>3469</v>
      </c>
      <c r="I14" s="639" t="s">
        <v>3469</v>
      </c>
      <c r="J14" s="639" t="s">
        <v>3469</v>
      </c>
      <c r="K14" s="639" t="s">
        <v>3469</v>
      </c>
      <c r="L14" s="640" t="s">
        <v>3469</v>
      </c>
      <c r="M14" s="640" t="s">
        <v>3469</v>
      </c>
      <c r="N14" s="665" t="s">
        <v>3470</v>
      </c>
      <c r="O14" s="666" t="s">
        <v>3470</v>
      </c>
      <c r="P14" s="666" t="s">
        <v>3470</v>
      </c>
      <c r="Q14" s="666" t="s">
        <v>3468</v>
      </c>
      <c r="R14" s="666" t="s">
        <v>3468</v>
      </c>
      <c r="S14" s="666" t="s">
        <v>3468</v>
      </c>
      <c r="T14" s="639" t="s">
        <v>3470</v>
      </c>
      <c r="U14" s="639" t="s">
        <v>3470</v>
      </c>
      <c r="V14" s="639" t="s">
        <v>3469</v>
      </c>
      <c r="W14" s="639" t="s">
        <v>3470</v>
      </c>
      <c r="X14" s="639" t="s">
        <v>3470</v>
      </c>
      <c r="Y14" s="639" t="s">
        <v>3470</v>
      </c>
      <c r="Z14" s="639" t="s">
        <v>3470</v>
      </c>
      <c r="AA14" s="639" t="s">
        <v>3469</v>
      </c>
      <c r="AB14" s="639"/>
      <c r="AC14" s="639"/>
      <c r="AD14" s="639"/>
      <c r="AE14" s="639"/>
      <c r="AF14" s="639"/>
      <c r="AG14" s="639"/>
      <c r="AH14" s="639"/>
      <c r="AI14" s="639"/>
      <c r="AJ14" s="641">
        <f t="shared" si="1"/>
        <v>23</v>
      </c>
      <c r="AK14" s="641">
        <f t="shared" si="2"/>
        <v>0</v>
      </c>
      <c r="AL14" s="642">
        <f t="shared" si="3"/>
        <v>0</v>
      </c>
      <c r="AM14" s="642">
        <f t="shared" si="4"/>
        <v>23</v>
      </c>
      <c r="AN14" s="642">
        <f t="shared" si="5"/>
        <v>23</v>
      </c>
      <c r="AO14" s="643">
        <f t="shared" si="6"/>
        <v>1</v>
      </c>
      <c r="AP14" s="643">
        <f t="shared" si="7"/>
        <v>1</v>
      </c>
      <c r="AQ14" s="630"/>
      <c r="AR14" s="644">
        <f t="shared" si="8"/>
        <v>0</v>
      </c>
      <c r="AS14" s="644">
        <f t="shared" si="9"/>
        <v>0</v>
      </c>
      <c r="AT14" s="644">
        <f t="shared" si="10"/>
        <v>0</v>
      </c>
      <c r="AU14" s="644">
        <f t="shared" si="11"/>
        <v>0</v>
      </c>
      <c r="AV14" s="644">
        <f t="shared" si="12"/>
        <v>0</v>
      </c>
      <c r="AW14" s="644">
        <f t="shared" si="13"/>
        <v>0</v>
      </c>
      <c r="AX14" s="644">
        <f t="shared" si="14"/>
        <v>0</v>
      </c>
      <c r="AY14" s="644">
        <f t="shared" si="15"/>
        <v>0</v>
      </c>
      <c r="AZ14" s="644">
        <f t="shared" si="16"/>
        <v>0</v>
      </c>
      <c r="BA14" s="618"/>
      <c r="BB14" s="618"/>
      <c r="BC14" s="618"/>
      <c r="BD14" s="618"/>
      <c r="BE14" s="618"/>
      <c r="BF14" s="618"/>
      <c r="BG14" s="618"/>
      <c r="BH14" s="618"/>
      <c r="BI14" s="618"/>
      <c r="BJ14" s="618"/>
    </row>
    <row r="15" ht="15.75" customHeight="1">
      <c r="A15" s="636">
        <v>8.0</v>
      </c>
      <c r="B15" s="637" t="s">
        <v>142</v>
      </c>
      <c r="C15" s="637" t="s">
        <v>3475</v>
      </c>
      <c r="D15" s="638" t="s">
        <v>3473</v>
      </c>
      <c r="E15" s="639" t="s">
        <v>3470</v>
      </c>
      <c r="F15" s="640" t="s">
        <v>3470</v>
      </c>
      <c r="G15" s="640" t="s">
        <v>3469</v>
      </c>
      <c r="H15" s="640" t="s">
        <v>3469</v>
      </c>
      <c r="I15" s="639" t="s">
        <v>3469</v>
      </c>
      <c r="J15" s="639" t="s">
        <v>3469</v>
      </c>
      <c r="K15" s="639" t="s">
        <v>3469</v>
      </c>
      <c r="L15" s="639" t="s">
        <v>3469</v>
      </c>
      <c r="M15" s="639" t="s">
        <v>3469</v>
      </c>
      <c r="N15" s="665" t="s">
        <v>3469</v>
      </c>
      <c r="O15" s="666" t="s">
        <v>3469</v>
      </c>
      <c r="P15" s="666" t="s">
        <v>3470</v>
      </c>
      <c r="Q15" s="666" t="s">
        <v>3470</v>
      </c>
      <c r="R15" s="666" t="s">
        <v>3461</v>
      </c>
      <c r="S15" s="666" t="s">
        <v>3470</v>
      </c>
      <c r="T15" s="639" t="s">
        <v>3469</v>
      </c>
      <c r="U15" s="639" t="s">
        <v>3469</v>
      </c>
      <c r="V15" s="639" t="s">
        <v>3460</v>
      </c>
      <c r="W15" s="639" t="s">
        <v>3460</v>
      </c>
      <c r="X15" s="639" t="s">
        <v>3460</v>
      </c>
      <c r="Y15" s="639" t="s">
        <v>3460</v>
      </c>
      <c r="Z15" s="639" t="s">
        <v>3460</v>
      </c>
      <c r="AA15" s="639" t="s">
        <v>3460</v>
      </c>
      <c r="AB15" s="639"/>
      <c r="AC15" s="639"/>
      <c r="AD15" s="639"/>
      <c r="AE15" s="639"/>
      <c r="AF15" s="639"/>
      <c r="AG15" s="639"/>
      <c r="AH15" s="639"/>
      <c r="AI15" s="639"/>
      <c r="AJ15" s="641">
        <f t="shared" si="1"/>
        <v>16</v>
      </c>
      <c r="AK15" s="641">
        <f t="shared" si="2"/>
        <v>7</v>
      </c>
      <c r="AL15" s="642">
        <f t="shared" si="3"/>
        <v>0</v>
      </c>
      <c r="AM15" s="642">
        <f t="shared" si="4"/>
        <v>23</v>
      </c>
      <c r="AN15" s="642">
        <f t="shared" si="5"/>
        <v>23</v>
      </c>
      <c r="AO15" s="643">
        <f t="shared" si="6"/>
        <v>0.6956521739</v>
      </c>
      <c r="AP15" s="643">
        <f t="shared" si="7"/>
        <v>0.6956521739</v>
      </c>
      <c r="AQ15" s="630"/>
      <c r="AR15" s="644">
        <f t="shared" si="8"/>
        <v>0</v>
      </c>
      <c r="AS15" s="644">
        <f t="shared" si="9"/>
        <v>6</v>
      </c>
      <c r="AT15" s="644">
        <f t="shared" si="10"/>
        <v>1</v>
      </c>
      <c r="AU15" s="644">
        <f t="shared" si="11"/>
        <v>0</v>
      </c>
      <c r="AV15" s="644">
        <f t="shared" si="12"/>
        <v>0</v>
      </c>
      <c r="AW15" s="644">
        <f t="shared" si="13"/>
        <v>0</v>
      </c>
      <c r="AX15" s="644">
        <f t="shared" si="14"/>
        <v>0</v>
      </c>
      <c r="AY15" s="644">
        <f t="shared" si="15"/>
        <v>0</v>
      </c>
      <c r="AZ15" s="644">
        <f t="shared" si="16"/>
        <v>0</v>
      </c>
      <c r="BA15" s="618"/>
      <c r="BB15" s="618"/>
      <c r="BC15" s="618"/>
      <c r="BD15" s="618"/>
      <c r="BE15" s="618"/>
      <c r="BF15" s="618"/>
      <c r="BG15" s="618"/>
      <c r="BH15" s="618"/>
      <c r="BI15" s="618"/>
      <c r="BJ15" s="618"/>
    </row>
    <row r="16" ht="15.75" customHeight="1">
      <c r="A16" s="636">
        <v>9.0</v>
      </c>
      <c r="B16" s="637" t="s">
        <v>169</v>
      </c>
      <c r="C16" s="637" t="s">
        <v>3476</v>
      </c>
      <c r="D16" s="638" t="s">
        <v>3519</v>
      </c>
      <c r="E16" s="640" t="s">
        <v>3469</v>
      </c>
      <c r="F16" s="640" t="s">
        <v>3469</v>
      </c>
      <c r="G16" s="640" t="s">
        <v>3469</v>
      </c>
      <c r="H16" s="640" t="s">
        <v>3469</v>
      </c>
      <c r="I16" s="640" t="s">
        <v>3468</v>
      </c>
      <c r="J16" s="640" t="s">
        <v>3468</v>
      </c>
      <c r="K16" s="640" t="s">
        <v>3468</v>
      </c>
      <c r="L16" s="640" t="s">
        <v>3468</v>
      </c>
      <c r="M16" s="640" t="s">
        <v>3460</v>
      </c>
      <c r="N16" s="640" t="s">
        <v>3460</v>
      </c>
      <c r="O16" s="640" t="s">
        <v>3460</v>
      </c>
      <c r="P16" s="640" t="s">
        <v>3460</v>
      </c>
      <c r="Q16" s="640" t="s">
        <v>3460</v>
      </c>
      <c r="R16" s="640" t="s">
        <v>3460</v>
      </c>
      <c r="S16" s="640" t="s">
        <v>3460</v>
      </c>
      <c r="T16" s="640" t="s">
        <v>3460</v>
      </c>
      <c r="U16" s="640" t="s">
        <v>3460</v>
      </c>
      <c r="V16" s="640" t="s">
        <v>3460</v>
      </c>
      <c r="W16" s="640" t="s">
        <v>3470</v>
      </c>
      <c r="X16" s="640" t="s">
        <v>3470</v>
      </c>
      <c r="Y16" s="640" t="s">
        <v>3461</v>
      </c>
      <c r="Z16" s="640" t="s">
        <v>3470</v>
      </c>
      <c r="AA16" s="640" t="s">
        <v>3470</v>
      </c>
      <c r="AB16" s="640"/>
      <c r="AC16" s="640"/>
      <c r="AD16" s="639"/>
      <c r="AE16" s="639"/>
      <c r="AF16" s="639"/>
      <c r="AG16" s="639"/>
      <c r="AH16" s="639"/>
      <c r="AI16" s="639"/>
      <c r="AJ16" s="641">
        <f t="shared" si="1"/>
        <v>12</v>
      </c>
      <c r="AK16" s="641">
        <f t="shared" si="2"/>
        <v>11</v>
      </c>
      <c r="AL16" s="642">
        <f t="shared" si="3"/>
        <v>0</v>
      </c>
      <c r="AM16" s="642">
        <f t="shared" si="4"/>
        <v>23</v>
      </c>
      <c r="AN16" s="642">
        <f t="shared" si="5"/>
        <v>23</v>
      </c>
      <c r="AO16" s="643">
        <f t="shared" si="6"/>
        <v>0.5217391304</v>
      </c>
      <c r="AP16" s="643">
        <f t="shared" si="7"/>
        <v>0.5217391304</v>
      </c>
      <c r="AQ16" s="630"/>
      <c r="AR16" s="644">
        <f t="shared" si="8"/>
        <v>0</v>
      </c>
      <c r="AS16" s="644">
        <f t="shared" si="9"/>
        <v>10</v>
      </c>
      <c r="AT16" s="644">
        <f t="shared" si="10"/>
        <v>1</v>
      </c>
      <c r="AU16" s="644">
        <f t="shared" si="11"/>
        <v>0</v>
      </c>
      <c r="AV16" s="644">
        <f t="shared" si="12"/>
        <v>0</v>
      </c>
      <c r="AW16" s="644">
        <f t="shared" si="13"/>
        <v>0</v>
      </c>
      <c r="AX16" s="644">
        <f t="shared" si="14"/>
        <v>0</v>
      </c>
      <c r="AY16" s="644">
        <f t="shared" si="15"/>
        <v>0</v>
      </c>
      <c r="AZ16" s="644">
        <f t="shared" si="16"/>
        <v>0</v>
      </c>
      <c r="BA16" s="618"/>
      <c r="BB16" s="618"/>
      <c r="BC16" s="618"/>
      <c r="BD16" s="618"/>
      <c r="BE16" s="618"/>
      <c r="BF16" s="618"/>
      <c r="BG16" s="618"/>
      <c r="BH16" s="618"/>
      <c r="BI16" s="618"/>
      <c r="BJ16" s="618"/>
    </row>
    <row r="17" ht="15.75" customHeight="1">
      <c r="A17" s="636">
        <v>10.0</v>
      </c>
      <c r="B17" s="637" t="s">
        <v>183</v>
      </c>
      <c r="C17" s="637" t="s">
        <v>3477</v>
      </c>
      <c r="D17" s="638" t="s">
        <v>52</v>
      </c>
      <c r="E17" s="640" t="s">
        <v>3466</v>
      </c>
      <c r="F17" s="640" t="s">
        <v>3466</v>
      </c>
      <c r="G17" s="640" t="s">
        <v>3466</v>
      </c>
      <c r="H17" s="640" t="s">
        <v>3466</v>
      </c>
      <c r="I17" s="640" t="s">
        <v>3466</v>
      </c>
      <c r="J17" s="640" t="s">
        <v>3466</v>
      </c>
      <c r="K17" s="640" t="s">
        <v>3466</v>
      </c>
      <c r="L17" s="640" t="s">
        <v>3466</v>
      </c>
      <c r="M17" s="640" t="s">
        <v>3466</v>
      </c>
      <c r="N17" s="667" t="s">
        <v>3466</v>
      </c>
      <c r="O17" s="668" t="s">
        <v>3466</v>
      </c>
      <c r="P17" s="668" t="s">
        <v>3466</v>
      </c>
      <c r="Q17" s="668" t="s">
        <v>3466</v>
      </c>
      <c r="R17" s="668" t="s">
        <v>3466</v>
      </c>
      <c r="S17" s="666" t="s">
        <v>3469</v>
      </c>
      <c r="T17" s="639" t="s">
        <v>3469</v>
      </c>
      <c r="U17" s="639" t="s">
        <v>3468</v>
      </c>
      <c r="V17" s="639" t="s">
        <v>3468</v>
      </c>
      <c r="W17" s="639" t="s">
        <v>3460</v>
      </c>
      <c r="X17" s="639" t="s">
        <v>3460</v>
      </c>
      <c r="Y17" s="639" t="s">
        <v>3460</v>
      </c>
      <c r="Z17" s="639" t="s">
        <v>3460</v>
      </c>
      <c r="AA17" s="639" t="s">
        <v>3460</v>
      </c>
      <c r="AB17" s="639"/>
      <c r="AC17" s="639"/>
      <c r="AD17" s="639"/>
      <c r="AE17" s="639"/>
      <c r="AF17" s="639"/>
      <c r="AG17" s="639"/>
      <c r="AH17" s="639"/>
      <c r="AI17" s="639"/>
      <c r="AJ17" s="641">
        <f t="shared" si="1"/>
        <v>4</v>
      </c>
      <c r="AK17" s="641">
        <f t="shared" si="2"/>
        <v>5</v>
      </c>
      <c r="AL17" s="642">
        <f t="shared" si="3"/>
        <v>0</v>
      </c>
      <c r="AM17" s="642">
        <f t="shared" si="4"/>
        <v>23</v>
      </c>
      <c r="AN17" s="642">
        <f t="shared" si="5"/>
        <v>23</v>
      </c>
      <c r="AO17" s="643">
        <f t="shared" si="6"/>
        <v>0.1739130435</v>
      </c>
      <c r="AP17" s="643">
        <f t="shared" si="7"/>
        <v>0.1739130435</v>
      </c>
      <c r="AQ17" s="630"/>
      <c r="AR17" s="644">
        <f t="shared" si="8"/>
        <v>0</v>
      </c>
      <c r="AS17" s="644">
        <f t="shared" si="9"/>
        <v>5</v>
      </c>
      <c r="AT17" s="644">
        <f t="shared" si="10"/>
        <v>0</v>
      </c>
      <c r="AU17" s="644">
        <f t="shared" si="11"/>
        <v>0</v>
      </c>
      <c r="AV17" s="644">
        <f t="shared" si="12"/>
        <v>0</v>
      </c>
      <c r="AW17" s="644">
        <f t="shared" si="13"/>
        <v>0</v>
      </c>
      <c r="AX17" s="644">
        <f t="shared" si="14"/>
        <v>0</v>
      </c>
      <c r="AY17" s="644">
        <f t="shared" si="15"/>
        <v>0</v>
      </c>
      <c r="AZ17" s="644">
        <f t="shared" si="16"/>
        <v>10</v>
      </c>
      <c r="BA17" s="618"/>
      <c r="BB17" s="618"/>
      <c r="BC17" s="618"/>
      <c r="BD17" s="618"/>
      <c r="BE17" s="618"/>
      <c r="BF17" s="618"/>
      <c r="BG17" s="618"/>
      <c r="BH17" s="618"/>
      <c r="BI17" s="618"/>
      <c r="BJ17" s="618"/>
    </row>
    <row r="18" ht="15.75" customHeight="1">
      <c r="A18" s="636">
        <v>11.0</v>
      </c>
      <c r="B18" s="637" t="s">
        <v>247</v>
      </c>
      <c r="C18" s="637" t="s">
        <v>3479</v>
      </c>
      <c r="D18" s="638" t="s">
        <v>3178</v>
      </c>
      <c r="E18" s="640" t="s">
        <v>3466</v>
      </c>
      <c r="F18" s="640" t="s">
        <v>3466</v>
      </c>
      <c r="G18" s="640" t="s">
        <v>3469</v>
      </c>
      <c r="H18" s="640" t="s">
        <v>3469</v>
      </c>
      <c r="I18" s="640" t="s">
        <v>3469</v>
      </c>
      <c r="J18" s="640" t="s">
        <v>3469</v>
      </c>
      <c r="K18" s="640" t="s">
        <v>3461</v>
      </c>
      <c r="L18" s="640" t="s">
        <v>3470</v>
      </c>
      <c r="M18" s="640" t="s">
        <v>3469</v>
      </c>
      <c r="N18" s="665" t="s">
        <v>3469</v>
      </c>
      <c r="O18" s="666" t="s">
        <v>3469</v>
      </c>
      <c r="P18" s="666" t="s">
        <v>3469</v>
      </c>
      <c r="Q18" s="666" t="s">
        <v>3470</v>
      </c>
      <c r="R18" s="666" t="s">
        <v>3461</v>
      </c>
      <c r="S18" s="666" t="s">
        <v>3468</v>
      </c>
      <c r="T18" s="640" t="s">
        <v>3468</v>
      </c>
      <c r="U18" s="640" t="s">
        <v>3468</v>
      </c>
      <c r="V18" s="640" t="s">
        <v>3470</v>
      </c>
      <c r="W18" s="640" t="s">
        <v>3460</v>
      </c>
      <c r="X18" s="640" t="s">
        <v>3460</v>
      </c>
      <c r="Y18" s="639" t="s">
        <v>3460</v>
      </c>
      <c r="Z18" s="639" t="s">
        <v>3460</v>
      </c>
      <c r="AA18" s="639" t="s">
        <v>3460</v>
      </c>
      <c r="AB18" s="639"/>
      <c r="AC18" s="639"/>
      <c r="AD18" s="639"/>
      <c r="AE18" s="639"/>
      <c r="AF18" s="639"/>
      <c r="AG18" s="639"/>
      <c r="AH18" s="639"/>
      <c r="AI18" s="639"/>
      <c r="AJ18" s="641">
        <f t="shared" si="1"/>
        <v>14</v>
      </c>
      <c r="AK18" s="641">
        <f t="shared" si="2"/>
        <v>7</v>
      </c>
      <c r="AL18" s="642">
        <f t="shared" si="3"/>
        <v>0</v>
      </c>
      <c r="AM18" s="642">
        <f t="shared" si="4"/>
        <v>23</v>
      </c>
      <c r="AN18" s="642">
        <f t="shared" si="5"/>
        <v>23</v>
      </c>
      <c r="AO18" s="643">
        <f t="shared" si="6"/>
        <v>0.6086956522</v>
      </c>
      <c r="AP18" s="643">
        <f t="shared" si="7"/>
        <v>0.6086956522</v>
      </c>
      <c r="AQ18" s="630"/>
      <c r="AR18" s="644">
        <f t="shared" si="8"/>
        <v>0</v>
      </c>
      <c r="AS18" s="644">
        <f t="shared" si="9"/>
        <v>5</v>
      </c>
      <c r="AT18" s="644">
        <f t="shared" si="10"/>
        <v>2</v>
      </c>
      <c r="AU18" s="644">
        <f t="shared" si="11"/>
        <v>0</v>
      </c>
      <c r="AV18" s="644">
        <f t="shared" si="12"/>
        <v>0</v>
      </c>
      <c r="AW18" s="644">
        <f t="shared" si="13"/>
        <v>0</v>
      </c>
      <c r="AX18" s="644">
        <f t="shared" si="14"/>
        <v>0</v>
      </c>
      <c r="AY18" s="644">
        <f t="shared" si="15"/>
        <v>0</v>
      </c>
      <c r="AZ18" s="644">
        <f t="shared" si="16"/>
        <v>0</v>
      </c>
      <c r="BA18" s="618"/>
      <c r="BB18" s="618"/>
      <c r="BC18" s="618"/>
      <c r="BD18" s="618"/>
      <c r="BE18" s="618"/>
      <c r="BF18" s="618"/>
      <c r="BG18" s="618"/>
      <c r="BH18" s="618"/>
      <c r="BI18" s="618"/>
      <c r="BJ18" s="618"/>
    </row>
    <row r="19" ht="15.75" customHeight="1">
      <c r="A19" s="636">
        <v>12.0</v>
      </c>
      <c r="B19" s="637" t="s">
        <v>151</v>
      </c>
      <c r="C19" s="637" t="s">
        <v>3480</v>
      </c>
      <c r="D19" s="638" t="s">
        <v>3481</v>
      </c>
      <c r="E19" s="639" t="s">
        <v>3469</v>
      </c>
      <c r="F19" s="639" t="s">
        <v>3469</v>
      </c>
      <c r="G19" s="639" t="s">
        <v>3469</v>
      </c>
      <c r="H19" s="639" t="s">
        <v>3469</v>
      </c>
      <c r="I19" s="639" t="s">
        <v>3469</v>
      </c>
      <c r="J19" s="639" t="s">
        <v>3459</v>
      </c>
      <c r="K19" s="639" t="s">
        <v>3459</v>
      </c>
      <c r="L19" s="639" t="s">
        <v>3459</v>
      </c>
      <c r="M19" s="639" t="s">
        <v>3485</v>
      </c>
      <c r="N19" s="639" t="s">
        <v>3485</v>
      </c>
      <c r="O19" s="639" t="s">
        <v>3485</v>
      </c>
      <c r="P19" s="639" t="s">
        <v>3485</v>
      </c>
      <c r="Q19" s="639" t="s">
        <v>3485</v>
      </c>
      <c r="R19" s="639" t="s">
        <v>3485</v>
      </c>
      <c r="S19" s="639" t="s">
        <v>3485</v>
      </c>
      <c r="T19" s="639" t="s">
        <v>3485</v>
      </c>
      <c r="U19" s="639" t="s">
        <v>3485</v>
      </c>
      <c r="V19" s="639" t="s">
        <v>3485</v>
      </c>
      <c r="W19" s="639" t="s">
        <v>3485</v>
      </c>
      <c r="X19" s="639" t="s">
        <v>3485</v>
      </c>
      <c r="Y19" s="639" t="s">
        <v>3485</v>
      </c>
      <c r="Z19" s="639" t="s">
        <v>3485</v>
      </c>
      <c r="AA19" s="639" t="s">
        <v>3485</v>
      </c>
      <c r="AB19" s="639"/>
      <c r="AC19" s="639"/>
      <c r="AD19" s="639"/>
      <c r="AE19" s="639"/>
      <c r="AF19" s="639"/>
      <c r="AG19" s="639"/>
      <c r="AH19" s="639"/>
      <c r="AI19" s="639"/>
      <c r="AJ19" s="641">
        <f t="shared" si="1"/>
        <v>5</v>
      </c>
      <c r="AK19" s="641">
        <f t="shared" si="2"/>
        <v>18</v>
      </c>
      <c r="AL19" s="642">
        <f t="shared" si="3"/>
        <v>0</v>
      </c>
      <c r="AM19" s="642">
        <f t="shared" si="4"/>
        <v>23</v>
      </c>
      <c r="AN19" s="642">
        <f t="shared" si="5"/>
        <v>23</v>
      </c>
      <c r="AO19" s="643">
        <f t="shared" si="6"/>
        <v>0.2173913043</v>
      </c>
      <c r="AP19" s="643">
        <f t="shared" si="7"/>
        <v>0.2173913043</v>
      </c>
      <c r="AQ19" s="630"/>
      <c r="AR19" s="644">
        <f t="shared" si="8"/>
        <v>3</v>
      </c>
      <c r="AS19" s="644">
        <f t="shared" si="9"/>
        <v>0</v>
      </c>
      <c r="AT19" s="644">
        <f t="shared" si="10"/>
        <v>0</v>
      </c>
      <c r="AU19" s="644">
        <f t="shared" si="11"/>
        <v>0</v>
      </c>
      <c r="AV19" s="644">
        <f t="shared" si="12"/>
        <v>0</v>
      </c>
      <c r="AW19" s="644">
        <f t="shared" si="13"/>
        <v>0</v>
      </c>
      <c r="AX19" s="644">
        <f t="shared" si="14"/>
        <v>0</v>
      </c>
      <c r="AY19" s="644">
        <f t="shared" si="15"/>
        <v>0</v>
      </c>
      <c r="AZ19" s="644">
        <f t="shared" si="16"/>
        <v>0</v>
      </c>
      <c r="BA19" s="618"/>
      <c r="BB19" s="618"/>
      <c r="BC19" s="618"/>
      <c r="BD19" s="618"/>
      <c r="BE19" s="618"/>
      <c r="BF19" s="618"/>
      <c r="BG19" s="618"/>
      <c r="BH19" s="618"/>
      <c r="BI19" s="618"/>
      <c r="BJ19" s="618"/>
    </row>
    <row r="20" ht="15.75" customHeight="1">
      <c r="A20" s="636">
        <v>13.0</v>
      </c>
      <c r="B20" s="637" t="s">
        <v>180</v>
      </c>
      <c r="C20" s="637" t="s">
        <v>3482</v>
      </c>
      <c r="D20" s="638" t="s">
        <v>52</v>
      </c>
      <c r="E20" s="640" t="s">
        <v>3466</v>
      </c>
      <c r="F20" s="640" t="s">
        <v>3466</v>
      </c>
      <c r="G20" s="640" t="s">
        <v>3466</v>
      </c>
      <c r="H20" s="640" t="s">
        <v>3466</v>
      </c>
      <c r="I20" s="640" t="s">
        <v>3466</v>
      </c>
      <c r="J20" s="640" t="s">
        <v>3466</v>
      </c>
      <c r="K20" s="640" t="s">
        <v>3466</v>
      </c>
      <c r="L20" s="640" t="s">
        <v>3466</v>
      </c>
      <c r="M20" s="640" t="s">
        <v>3485</v>
      </c>
      <c r="N20" s="639" t="s">
        <v>3485</v>
      </c>
      <c r="O20" s="639" t="s">
        <v>3485</v>
      </c>
      <c r="P20" s="639" t="s">
        <v>3485</v>
      </c>
      <c r="Q20" s="639" t="s">
        <v>3485</v>
      </c>
      <c r="R20" s="639" t="s">
        <v>3485</v>
      </c>
      <c r="S20" s="639" t="s">
        <v>3485</v>
      </c>
      <c r="T20" s="640" t="s">
        <v>3485</v>
      </c>
      <c r="U20" s="640" t="s">
        <v>3485</v>
      </c>
      <c r="V20" s="640" t="s">
        <v>3485</v>
      </c>
      <c r="W20" s="640" t="s">
        <v>3485</v>
      </c>
      <c r="X20" s="639" t="s">
        <v>3485</v>
      </c>
      <c r="Y20" s="639" t="s">
        <v>3485</v>
      </c>
      <c r="Z20" s="639" t="s">
        <v>3485</v>
      </c>
      <c r="AA20" s="639" t="s">
        <v>3485</v>
      </c>
      <c r="AB20" s="639"/>
      <c r="AC20" s="639"/>
      <c r="AD20" s="639"/>
      <c r="AE20" s="639"/>
      <c r="AF20" s="639"/>
      <c r="AG20" s="639"/>
      <c r="AH20" s="639"/>
      <c r="AI20" s="639"/>
      <c r="AJ20" s="641">
        <f t="shared" si="1"/>
        <v>0</v>
      </c>
      <c r="AK20" s="641">
        <f t="shared" si="2"/>
        <v>15</v>
      </c>
      <c r="AL20" s="642">
        <f t="shared" si="3"/>
        <v>0</v>
      </c>
      <c r="AM20" s="642">
        <f t="shared" si="4"/>
        <v>23</v>
      </c>
      <c r="AN20" s="642">
        <f t="shared" si="5"/>
        <v>23</v>
      </c>
      <c r="AO20" s="643">
        <f t="shared" si="6"/>
        <v>0</v>
      </c>
      <c r="AP20" s="643">
        <f t="shared" si="7"/>
        <v>0</v>
      </c>
      <c r="AQ20" s="630"/>
      <c r="AR20" s="644">
        <f t="shared" si="8"/>
        <v>0</v>
      </c>
      <c r="AS20" s="644">
        <f t="shared" si="9"/>
        <v>0</v>
      </c>
      <c r="AT20" s="644">
        <f t="shared" si="10"/>
        <v>0</v>
      </c>
      <c r="AU20" s="644">
        <f t="shared" si="11"/>
        <v>0</v>
      </c>
      <c r="AV20" s="644">
        <f t="shared" si="12"/>
        <v>0</v>
      </c>
      <c r="AW20" s="644">
        <f t="shared" si="13"/>
        <v>0</v>
      </c>
      <c r="AX20" s="644">
        <f t="shared" si="14"/>
        <v>0</v>
      </c>
      <c r="AY20" s="644">
        <f t="shared" si="15"/>
        <v>0</v>
      </c>
      <c r="AZ20" s="644">
        <f t="shared" si="16"/>
        <v>4</v>
      </c>
      <c r="BA20" s="618"/>
      <c r="BB20" s="618"/>
      <c r="BC20" s="618"/>
      <c r="BD20" s="618"/>
      <c r="BE20" s="618"/>
      <c r="BF20" s="618"/>
      <c r="BG20" s="618"/>
      <c r="BH20" s="618"/>
      <c r="BI20" s="618"/>
      <c r="BJ20" s="618"/>
    </row>
    <row r="21" ht="15.75" customHeight="1">
      <c r="A21" s="636">
        <v>14.0</v>
      </c>
      <c r="B21" s="637" t="s">
        <v>166</v>
      </c>
      <c r="C21" s="637" t="s">
        <v>2364</v>
      </c>
      <c r="D21" s="638" t="s">
        <v>3487</v>
      </c>
      <c r="E21" s="639" t="s">
        <v>3469</v>
      </c>
      <c r="F21" s="639" t="s">
        <v>3469</v>
      </c>
      <c r="G21" s="639" t="s">
        <v>3469</v>
      </c>
      <c r="H21" s="639" t="s">
        <v>3468</v>
      </c>
      <c r="I21" s="639" t="s">
        <v>3460</v>
      </c>
      <c r="J21" s="639" t="s">
        <v>3460</v>
      </c>
      <c r="K21" s="639" t="s">
        <v>3460</v>
      </c>
      <c r="L21" s="639" t="s">
        <v>3469</v>
      </c>
      <c r="M21" s="639" t="s">
        <v>3469</v>
      </c>
      <c r="N21" s="665" t="s">
        <v>3469</v>
      </c>
      <c r="O21" s="666" t="s">
        <v>3469</v>
      </c>
      <c r="P21" s="666" t="s">
        <v>3470</v>
      </c>
      <c r="Q21" s="666" t="s">
        <v>3470</v>
      </c>
      <c r="R21" s="666" t="s">
        <v>3461</v>
      </c>
      <c r="S21" s="666" t="s">
        <v>3470</v>
      </c>
      <c r="T21" s="639" t="s">
        <v>3470</v>
      </c>
      <c r="U21" s="639" t="s">
        <v>3470</v>
      </c>
      <c r="V21" s="639" t="s">
        <v>3468</v>
      </c>
      <c r="W21" s="639" t="s">
        <v>3468</v>
      </c>
      <c r="X21" s="639" t="s">
        <v>3468</v>
      </c>
      <c r="Y21" s="639" t="s">
        <v>3468</v>
      </c>
      <c r="Z21" s="639" t="s">
        <v>3468</v>
      </c>
      <c r="AA21" s="639" t="s">
        <v>3468</v>
      </c>
      <c r="AB21" s="639"/>
      <c r="AC21" s="639"/>
      <c r="AD21" s="639"/>
      <c r="AE21" s="639"/>
      <c r="AF21" s="639"/>
      <c r="AG21" s="639"/>
      <c r="AH21" s="639"/>
      <c r="AI21" s="639"/>
      <c r="AJ21" s="641">
        <f t="shared" si="1"/>
        <v>19</v>
      </c>
      <c r="AK21" s="641">
        <f t="shared" si="2"/>
        <v>4</v>
      </c>
      <c r="AL21" s="642">
        <f t="shared" si="3"/>
        <v>0</v>
      </c>
      <c r="AM21" s="642">
        <f t="shared" si="4"/>
        <v>23</v>
      </c>
      <c r="AN21" s="642">
        <f t="shared" si="5"/>
        <v>23</v>
      </c>
      <c r="AO21" s="643">
        <f t="shared" si="6"/>
        <v>0.8260869565</v>
      </c>
      <c r="AP21" s="643">
        <f t="shared" si="7"/>
        <v>0.8260869565</v>
      </c>
      <c r="AQ21" s="630"/>
      <c r="AR21" s="644">
        <f t="shared" si="8"/>
        <v>0</v>
      </c>
      <c r="AS21" s="644">
        <f t="shared" si="9"/>
        <v>3</v>
      </c>
      <c r="AT21" s="644">
        <f t="shared" si="10"/>
        <v>1</v>
      </c>
      <c r="AU21" s="644">
        <f t="shared" si="11"/>
        <v>0</v>
      </c>
      <c r="AV21" s="644">
        <f t="shared" si="12"/>
        <v>0</v>
      </c>
      <c r="AW21" s="644">
        <f t="shared" si="13"/>
        <v>0</v>
      </c>
      <c r="AX21" s="644">
        <f t="shared" si="14"/>
        <v>0</v>
      </c>
      <c r="AY21" s="644">
        <f t="shared" si="15"/>
        <v>0</v>
      </c>
      <c r="AZ21" s="644">
        <f t="shared" si="16"/>
        <v>0</v>
      </c>
      <c r="BA21" s="618"/>
      <c r="BB21" s="618"/>
      <c r="BC21" s="618"/>
      <c r="BD21" s="618"/>
      <c r="BE21" s="618"/>
      <c r="BF21" s="618"/>
      <c r="BG21" s="618"/>
      <c r="BH21" s="618"/>
      <c r="BI21" s="618"/>
      <c r="BJ21" s="618"/>
    </row>
    <row r="22" ht="15.75" customHeight="1">
      <c r="A22" s="636">
        <v>15.0</v>
      </c>
      <c r="B22" s="637" t="s">
        <v>128</v>
      </c>
      <c r="C22" s="637" t="s">
        <v>3074</v>
      </c>
      <c r="D22" s="638" t="s">
        <v>3488</v>
      </c>
      <c r="E22" s="639" t="s">
        <v>3468</v>
      </c>
      <c r="F22" s="639" t="s">
        <v>3468</v>
      </c>
      <c r="G22" s="639" t="s">
        <v>3468</v>
      </c>
      <c r="H22" s="639" t="s">
        <v>3469</v>
      </c>
      <c r="I22" s="639" t="s">
        <v>3469</v>
      </c>
      <c r="J22" s="639" t="s">
        <v>3469</v>
      </c>
      <c r="K22" s="639" t="s">
        <v>3469</v>
      </c>
      <c r="L22" s="639" t="s">
        <v>3470</v>
      </c>
      <c r="M22" s="640" t="s">
        <v>3470</v>
      </c>
      <c r="N22" s="669" t="s">
        <v>3460</v>
      </c>
      <c r="O22" s="670" t="s">
        <v>3470</v>
      </c>
      <c r="P22" s="670" t="s">
        <v>3470</v>
      </c>
      <c r="Q22" s="670" t="s">
        <v>3470</v>
      </c>
      <c r="R22" s="670" t="s">
        <v>3461</v>
      </c>
      <c r="S22" s="671" t="s">
        <v>3460</v>
      </c>
      <c r="T22" s="639" t="s">
        <v>3470</v>
      </c>
      <c r="U22" s="639" t="s">
        <v>3470</v>
      </c>
      <c r="V22" s="639" t="s">
        <v>3470</v>
      </c>
      <c r="W22" s="639" t="s">
        <v>3470</v>
      </c>
      <c r="X22" s="639" t="s">
        <v>3470</v>
      </c>
      <c r="Y22" s="639" t="s">
        <v>3461</v>
      </c>
      <c r="Z22" s="639" t="s">
        <v>3459</v>
      </c>
      <c r="AA22" s="639" t="s">
        <v>3459</v>
      </c>
      <c r="AB22" s="639"/>
      <c r="AC22" s="639"/>
      <c r="AD22" s="639"/>
      <c r="AE22" s="639"/>
      <c r="AF22" s="639"/>
      <c r="AG22" s="639"/>
      <c r="AH22" s="639"/>
      <c r="AI22" s="639"/>
      <c r="AJ22" s="641">
        <f t="shared" si="1"/>
        <v>17</v>
      </c>
      <c r="AK22" s="641">
        <f t="shared" si="2"/>
        <v>6</v>
      </c>
      <c r="AL22" s="642">
        <f t="shared" si="3"/>
        <v>0</v>
      </c>
      <c r="AM22" s="642">
        <f t="shared" si="4"/>
        <v>23</v>
      </c>
      <c r="AN22" s="642">
        <f t="shared" si="5"/>
        <v>23</v>
      </c>
      <c r="AO22" s="643">
        <f t="shared" si="6"/>
        <v>0.7391304348</v>
      </c>
      <c r="AP22" s="643">
        <f t="shared" si="7"/>
        <v>0.7391304348</v>
      </c>
      <c r="AQ22" s="630"/>
      <c r="AR22" s="644">
        <f t="shared" si="8"/>
        <v>2</v>
      </c>
      <c r="AS22" s="644">
        <f t="shared" si="9"/>
        <v>2</v>
      </c>
      <c r="AT22" s="644">
        <f t="shared" si="10"/>
        <v>2</v>
      </c>
      <c r="AU22" s="644">
        <f t="shared" si="11"/>
        <v>0</v>
      </c>
      <c r="AV22" s="644">
        <f t="shared" si="12"/>
        <v>0</v>
      </c>
      <c r="AW22" s="644">
        <f t="shared" si="13"/>
        <v>0</v>
      </c>
      <c r="AX22" s="644">
        <f t="shared" si="14"/>
        <v>0</v>
      </c>
      <c r="AY22" s="644">
        <f t="shared" si="15"/>
        <v>0</v>
      </c>
      <c r="AZ22" s="644">
        <f t="shared" si="16"/>
        <v>0</v>
      </c>
      <c r="BA22" s="618"/>
      <c r="BB22" s="618"/>
      <c r="BC22" s="618"/>
      <c r="BD22" s="618"/>
      <c r="BE22" s="618"/>
      <c r="BF22" s="618"/>
      <c r="BG22" s="618"/>
      <c r="BH22" s="618"/>
      <c r="BI22" s="618"/>
      <c r="BJ22" s="618"/>
    </row>
    <row r="23" ht="15.75" customHeight="1">
      <c r="A23" s="636">
        <v>16.0</v>
      </c>
      <c r="B23" s="637" t="s">
        <v>144</v>
      </c>
      <c r="C23" s="637" t="s">
        <v>3489</v>
      </c>
      <c r="D23" s="638" t="s">
        <v>3490</v>
      </c>
      <c r="E23" s="639" t="s">
        <v>3469</v>
      </c>
      <c r="F23" s="639" t="s">
        <v>3469</v>
      </c>
      <c r="G23" s="639" t="s">
        <v>3469</v>
      </c>
      <c r="H23" s="639" t="s">
        <v>3468</v>
      </c>
      <c r="I23" s="639" t="s">
        <v>3469</v>
      </c>
      <c r="J23" s="639" t="s">
        <v>3469</v>
      </c>
      <c r="K23" s="639" t="s">
        <v>3469</v>
      </c>
      <c r="L23" s="640" t="s">
        <v>3469</v>
      </c>
      <c r="M23" s="640" t="s">
        <v>3469</v>
      </c>
      <c r="N23" s="665" t="s">
        <v>3469</v>
      </c>
      <c r="O23" s="666" t="s">
        <v>3469</v>
      </c>
      <c r="P23" s="666" t="s">
        <v>3470</v>
      </c>
      <c r="Q23" s="666" t="s">
        <v>3470</v>
      </c>
      <c r="R23" s="666" t="s">
        <v>3461</v>
      </c>
      <c r="S23" s="666" t="s">
        <v>3468</v>
      </c>
      <c r="T23" s="639" t="s">
        <v>3468</v>
      </c>
      <c r="U23" s="639" t="s">
        <v>3468</v>
      </c>
      <c r="V23" s="639" t="s">
        <v>3468</v>
      </c>
      <c r="W23" s="640" t="s">
        <v>3469</v>
      </c>
      <c r="X23" s="640" t="s">
        <v>3469</v>
      </c>
      <c r="Y23" s="639" t="s">
        <v>3469</v>
      </c>
      <c r="Z23" s="639" t="s">
        <v>3469</v>
      </c>
      <c r="AA23" s="639" t="s">
        <v>3469</v>
      </c>
      <c r="AB23" s="639"/>
      <c r="AC23" s="639"/>
      <c r="AD23" s="639"/>
      <c r="AE23" s="639"/>
      <c r="AF23" s="639"/>
      <c r="AG23" s="639"/>
      <c r="AH23" s="639"/>
      <c r="AI23" s="639"/>
      <c r="AJ23" s="641">
        <f t="shared" si="1"/>
        <v>22</v>
      </c>
      <c r="AK23" s="641">
        <f t="shared" si="2"/>
        <v>1</v>
      </c>
      <c r="AL23" s="642">
        <f t="shared" si="3"/>
        <v>0</v>
      </c>
      <c r="AM23" s="642">
        <f t="shared" si="4"/>
        <v>23</v>
      </c>
      <c r="AN23" s="642">
        <f t="shared" si="5"/>
        <v>23</v>
      </c>
      <c r="AO23" s="643">
        <f t="shared" si="6"/>
        <v>0.9565217391</v>
      </c>
      <c r="AP23" s="643">
        <f t="shared" si="7"/>
        <v>0.9565217391</v>
      </c>
      <c r="AQ23" s="630"/>
      <c r="AR23" s="644">
        <f t="shared" si="8"/>
        <v>0</v>
      </c>
      <c r="AS23" s="644">
        <f t="shared" si="9"/>
        <v>0</v>
      </c>
      <c r="AT23" s="644">
        <f t="shared" si="10"/>
        <v>1</v>
      </c>
      <c r="AU23" s="644">
        <f t="shared" si="11"/>
        <v>0</v>
      </c>
      <c r="AV23" s="644">
        <f t="shared" si="12"/>
        <v>0</v>
      </c>
      <c r="AW23" s="644">
        <f t="shared" si="13"/>
        <v>0</v>
      </c>
      <c r="AX23" s="644">
        <f t="shared" si="14"/>
        <v>0</v>
      </c>
      <c r="AY23" s="644">
        <f t="shared" si="15"/>
        <v>0</v>
      </c>
      <c r="AZ23" s="644">
        <f t="shared" si="16"/>
        <v>0</v>
      </c>
      <c r="BA23" s="618"/>
      <c r="BB23" s="618"/>
      <c r="BC23" s="618"/>
      <c r="BD23" s="618"/>
      <c r="BE23" s="618"/>
      <c r="BF23" s="618"/>
      <c r="BG23" s="618"/>
      <c r="BH23" s="618"/>
      <c r="BI23" s="618"/>
      <c r="BJ23" s="618"/>
    </row>
    <row r="24" ht="15.75" customHeight="1">
      <c r="A24" s="636">
        <v>17.0</v>
      </c>
      <c r="B24" s="637" t="s">
        <v>146</v>
      </c>
      <c r="C24" s="637" t="s">
        <v>3491</v>
      </c>
      <c r="D24" s="638" t="s">
        <v>3492</v>
      </c>
      <c r="E24" s="639" t="s">
        <v>3469</v>
      </c>
      <c r="F24" s="639" t="s">
        <v>3469</v>
      </c>
      <c r="G24" s="639" t="s">
        <v>3469</v>
      </c>
      <c r="H24" s="639" t="s">
        <v>3470</v>
      </c>
      <c r="I24" s="639" t="s">
        <v>3459</v>
      </c>
      <c r="J24" s="639" t="s">
        <v>3459</v>
      </c>
      <c r="K24" s="639" t="s">
        <v>3459</v>
      </c>
      <c r="L24" s="640" t="s">
        <v>3459</v>
      </c>
      <c r="M24" s="640" t="s">
        <v>3459</v>
      </c>
      <c r="N24" s="640" t="s">
        <v>3459</v>
      </c>
      <c r="O24" s="640" t="s">
        <v>3459</v>
      </c>
      <c r="P24" s="640" t="s">
        <v>3459</v>
      </c>
      <c r="Q24" s="640" t="s">
        <v>3459</v>
      </c>
      <c r="R24" s="640" t="s">
        <v>3459</v>
      </c>
      <c r="S24" s="640" t="s">
        <v>3459</v>
      </c>
      <c r="T24" s="639" t="s">
        <v>3459</v>
      </c>
      <c r="U24" s="639" t="s">
        <v>3459</v>
      </c>
      <c r="V24" s="639" t="s">
        <v>3459</v>
      </c>
      <c r="W24" s="639" t="s">
        <v>3459</v>
      </c>
      <c r="X24" s="639" t="s">
        <v>3459</v>
      </c>
      <c r="Y24" s="639" t="s">
        <v>3459</v>
      </c>
      <c r="Z24" s="639" t="s">
        <v>3459</v>
      </c>
      <c r="AA24" s="639" t="s">
        <v>3469</v>
      </c>
      <c r="AB24" s="639"/>
      <c r="AC24" s="639"/>
      <c r="AD24" s="639"/>
      <c r="AE24" s="639"/>
      <c r="AF24" s="639"/>
      <c r="AG24" s="639"/>
      <c r="AH24" s="639"/>
      <c r="AI24" s="639"/>
      <c r="AJ24" s="641">
        <f t="shared" si="1"/>
        <v>5</v>
      </c>
      <c r="AK24" s="641">
        <f t="shared" si="2"/>
        <v>18</v>
      </c>
      <c r="AL24" s="642">
        <f t="shared" si="3"/>
        <v>0</v>
      </c>
      <c r="AM24" s="642">
        <f t="shared" si="4"/>
        <v>23</v>
      </c>
      <c r="AN24" s="642">
        <f t="shared" si="5"/>
        <v>23</v>
      </c>
      <c r="AO24" s="643">
        <f t="shared" si="6"/>
        <v>0.2173913043</v>
      </c>
      <c r="AP24" s="643">
        <f t="shared" si="7"/>
        <v>0.2173913043</v>
      </c>
      <c r="AQ24" s="630"/>
      <c r="AR24" s="644">
        <f t="shared" si="8"/>
        <v>18</v>
      </c>
      <c r="AS24" s="644">
        <f t="shared" si="9"/>
        <v>0</v>
      </c>
      <c r="AT24" s="644">
        <f t="shared" si="10"/>
        <v>0</v>
      </c>
      <c r="AU24" s="644">
        <f t="shared" si="11"/>
        <v>0</v>
      </c>
      <c r="AV24" s="644">
        <f t="shared" si="12"/>
        <v>0</v>
      </c>
      <c r="AW24" s="644">
        <f t="shared" si="13"/>
        <v>0</v>
      </c>
      <c r="AX24" s="644">
        <f t="shared" si="14"/>
        <v>0</v>
      </c>
      <c r="AY24" s="644">
        <f t="shared" si="15"/>
        <v>0</v>
      </c>
      <c r="AZ24" s="644">
        <f t="shared" si="16"/>
        <v>0</v>
      </c>
      <c r="BA24" s="618"/>
      <c r="BB24" s="618"/>
      <c r="BC24" s="618"/>
      <c r="BD24" s="618"/>
      <c r="BE24" s="618"/>
      <c r="BF24" s="618"/>
      <c r="BG24" s="618"/>
      <c r="BH24" s="618"/>
      <c r="BI24" s="618"/>
      <c r="BJ24" s="618"/>
    </row>
    <row r="25" ht="15.75" customHeight="1">
      <c r="A25" s="636">
        <v>18.0</v>
      </c>
      <c r="B25" s="637" t="s">
        <v>184</v>
      </c>
      <c r="C25" s="637" t="s">
        <v>3493</v>
      </c>
      <c r="D25" s="638" t="s">
        <v>3494</v>
      </c>
      <c r="E25" s="639" t="s">
        <v>3459</v>
      </c>
      <c r="F25" s="639" t="s">
        <v>3468</v>
      </c>
      <c r="G25" s="639" t="s">
        <v>3468</v>
      </c>
      <c r="H25" s="639" t="s">
        <v>3468</v>
      </c>
      <c r="I25" s="640" t="s">
        <v>3469</v>
      </c>
      <c r="J25" s="640" t="s">
        <v>3469</v>
      </c>
      <c r="K25" s="640" t="s">
        <v>3469</v>
      </c>
      <c r="L25" s="640" t="s">
        <v>3469</v>
      </c>
      <c r="M25" s="640" t="s">
        <v>3469</v>
      </c>
      <c r="N25" s="665" t="s">
        <v>3469</v>
      </c>
      <c r="O25" s="666" t="s">
        <v>3469</v>
      </c>
      <c r="P25" s="666" t="s">
        <v>3470</v>
      </c>
      <c r="Q25" s="666" t="s">
        <v>3470</v>
      </c>
      <c r="R25" s="666" t="s">
        <v>3461</v>
      </c>
      <c r="S25" s="666" t="s">
        <v>3470</v>
      </c>
      <c r="T25" s="639" t="s">
        <v>3469</v>
      </c>
      <c r="U25" s="639" t="s">
        <v>3469</v>
      </c>
      <c r="V25" s="639" t="s">
        <v>3469</v>
      </c>
      <c r="W25" s="639" t="s">
        <v>3470</v>
      </c>
      <c r="X25" s="639" t="s">
        <v>3460</v>
      </c>
      <c r="Y25" s="639" t="s">
        <v>3461</v>
      </c>
      <c r="Z25" s="639" t="s">
        <v>3469</v>
      </c>
      <c r="AA25" s="639" t="s">
        <v>3469</v>
      </c>
      <c r="AB25" s="639"/>
      <c r="AC25" s="639"/>
      <c r="AD25" s="639"/>
      <c r="AE25" s="639"/>
      <c r="AF25" s="639"/>
      <c r="AG25" s="639"/>
      <c r="AH25" s="639"/>
      <c r="AI25" s="639"/>
      <c r="AJ25" s="641">
        <f t="shared" si="1"/>
        <v>19</v>
      </c>
      <c r="AK25" s="641">
        <f t="shared" si="2"/>
        <v>4</v>
      </c>
      <c r="AL25" s="642">
        <f t="shared" si="3"/>
        <v>0</v>
      </c>
      <c r="AM25" s="642">
        <f t="shared" si="4"/>
        <v>23</v>
      </c>
      <c r="AN25" s="642">
        <f t="shared" si="5"/>
        <v>23</v>
      </c>
      <c r="AO25" s="643">
        <f t="shared" si="6"/>
        <v>0.8260869565</v>
      </c>
      <c r="AP25" s="643">
        <f t="shared" si="7"/>
        <v>0.8260869565</v>
      </c>
      <c r="AQ25" s="630"/>
      <c r="AR25" s="644">
        <f t="shared" si="8"/>
        <v>1</v>
      </c>
      <c r="AS25" s="644">
        <f t="shared" si="9"/>
        <v>1</v>
      </c>
      <c r="AT25" s="644">
        <f t="shared" si="10"/>
        <v>2</v>
      </c>
      <c r="AU25" s="644">
        <f t="shared" si="11"/>
        <v>0</v>
      </c>
      <c r="AV25" s="644">
        <f t="shared" si="12"/>
        <v>0</v>
      </c>
      <c r="AW25" s="644">
        <f t="shared" si="13"/>
        <v>0</v>
      </c>
      <c r="AX25" s="644">
        <f t="shared" si="14"/>
        <v>0</v>
      </c>
      <c r="AY25" s="644">
        <f t="shared" si="15"/>
        <v>0</v>
      </c>
      <c r="AZ25" s="644">
        <f t="shared" si="16"/>
        <v>0</v>
      </c>
      <c r="BA25" s="618"/>
      <c r="BB25" s="618"/>
      <c r="BC25" s="618"/>
      <c r="BD25" s="618"/>
      <c r="BE25" s="618"/>
      <c r="BF25" s="618"/>
      <c r="BG25" s="618"/>
      <c r="BH25" s="618"/>
      <c r="BI25" s="618"/>
      <c r="BJ25" s="618"/>
    </row>
    <row r="26" ht="15.75" customHeight="1">
      <c r="A26" s="636">
        <v>19.0</v>
      </c>
      <c r="B26" s="637" t="s">
        <v>148</v>
      </c>
      <c r="C26" s="637" t="s">
        <v>3497</v>
      </c>
      <c r="D26" s="638" t="s">
        <v>3498</v>
      </c>
      <c r="E26" s="640" t="s">
        <v>3485</v>
      </c>
      <c r="F26" s="640" t="s">
        <v>3485</v>
      </c>
      <c r="G26" s="640" t="s">
        <v>3485</v>
      </c>
      <c r="H26" s="639" t="s">
        <v>3485</v>
      </c>
      <c r="I26" s="639" t="s">
        <v>3485</v>
      </c>
      <c r="J26" s="639" t="s">
        <v>3485</v>
      </c>
      <c r="K26" s="639" t="s">
        <v>3485</v>
      </c>
      <c r="L26" s="639" t="s">
        <v>3485</v>
      </c>
      <c r="M26" s="639" t="s">
        <v>3485</v>
      </c>
      <c r="N26" s="639" t="s">
        <v>3485</v>
      </c>
      <c r="O26" s="639" t="s">
        <v>3485</v>
      </c>
      <c r="P26" s="639" t="s">
        <v>3485</v>
      </c>
      <c r="Q26" s="639" t="s">
        <v>3485</v>
      </c>
      <c r="R26" s="639" t="s">
        <v>3485</v>
      </c>
      <c r="S26" s="639" t="s">
        <v>3485</v>
      </c>
      <c r="T26" s="639" t="s">
        <v>3485</v>
      </c>
      <c r="U26" s="639" t="s">
        <v>3485</v>
      </c>
      <c r="V26" s="639" t="s">
        <v>3485</v>
      </c>
      <c r="W26" s="639" t="s">
        <v>3485</v>
      </c>
      <c r="X26" s="639" t="s">
        <v>3485</v>
      </c>
      <c r="Y26" s="639" t="s">
        <v>3485</v>
      </c>
      <c r="Z26" s="639" t="s">
        <v>3485</v>
      </c>
      <c r="AA26" s="640" t="s">
        <v>3485</v>
      </c>
      <c r="AB26" s="640"/>
      <c r="AC26" s="640"/>
      <c r="AD26" s="639"/>
      <c r="AE26" s="639"/>
      <c r="AF26" s="639"/>
      <c r="AG26" s="639"/>
      <c r="AH26" s="639"/>
      <c r="AI26" s="639"/>
      <c r="AJ26" s="641">
        <f t="shared" si="1"/>
        <v>0</v>
      </c>
      <c r="AK26" s="641">
        <f t="shared" si="2"/>
        <v>23</v>
      </c>
      <c r="AL26" s="642">
        <f t="shared" si="3"/>
        <v>0</v>
      </c>
      <c r="AM26" s="642">
        <f t="shared" si="4"/>
        <v>23</v>
      </c>
      <c r="AN26" s="642">
        <f t="shared" si="5"/>
        <v>23</v>
      </c>
      <c r="AO26" s="643">
        <f t="shared" si="6"/>
        <v>0</v>
      </c>
      <c r="AP26" s="643">
        <f t="shared" si="7"/>
        <v>0</v>
      </c>
      <c r="AQ26" s="630"/>
      <c r="AR26" s="644"/>
      <c r="AS26" s="644"/>
      <c r="AT26" s="644"/>
      <c r="AU26" s="644"/>
      <c r="AV26" s="644"/>
      <c r="AW26" s="644"/>
      <c r="AX26" s="644"/>
      <c r="AY26" s="644"/>
      <c r="AZ26" s="644"/>
      <c r="BA26" s="618"/>
      <c r="BB26" s="618"/>
      <c r="BC26" s="618"/>
      <c r="BD26" s="618"/>
      <c r="BE26" s="618"/>
      <c r="BF26" s="618"/>
      <c r="BG26" s="618"/>
      <c r="BH26" s="618"/>
      <c r="BI26" s="618"/>
      <c r="BJ26" s="618"/>
    </row>
    <row r="27" ht="15.75" customHeight="1">
      <c r="A27" s="636">
        <v>20.0</v>
      </c>
      <c r="B27" s="637" t="s">
        <v>995</v>
      </c>
      <c r="C27" s="637" t="s">
        <v>2348</v>
      </c>
      <c r="D27" s="638" t="s">
        <v>3520</v>
      </c>
      <c r="E27" s="640" t="s">
        <v>3466</v>
      </c>
      <c r="F27" s="640" t="s">
        <v>3466</v>
      </c>
      <c r="G27" s="640" t="s">
        <v>3466</v>
      </c>
      <c r="H27" s="639" t="s">
        <v>3466</v>
      </c>
      <c r="I27" s="639" t="s">
        <v>3466</v>
      </c>
      <c r="J27" s="639" t="s">
        <v>3466</v>
      </c>
      <c r="K27" s="639" t="s">
        <v>3466</v>
      </c>
      <c r="L27" s="639" t="s">
        <v>3466</v>
      </c>
      <c r="M27" s="639" t="s">
        <v>3470</v>
      </c>
      <c r="N27" s="665" t="s">
        <v>3469</v>
      </c>
      <c r="O27" s="666" t="s">
        <v>3469</v>
      </c>
      <c r="P27" s="666" t="s">
        <v>3468</v>
      </c>
      <c r="Q27" s="666" t="s">
        <v>3468</v>
      </c>
      <c r="R27" s="666" t="s">
        <v>3468</v>
      </c>
      <c r="S27" s="666" t="s">
        <v>3468</v>
      </c>
      <c r="T27" s="639" t="s">
        <v>3468</v>
      </c>
      <c r="U27" s="639" t="s">
        <v>3461</v>
      </c>
      <c r="V27" s="639" t="s">
        <v>3461</v>
      </c>
      <c r="W27" s="639" t="s">
        <v>3459</v>
      </c>
      <c r="X27" s="639" t="s">
        <v>3459</v>
      </c>
      <c r="Y27" s="639" t="s">
        <v>3459</v>
      </c>
      <c r="Z27" s="639" t="s">
        <v>3459</v>
      </c>
      <c r="AA27" s="640" t="s">
        <v>3459</v>
      </c>
      <c r="AB27" s="640"/>
      <c r="AC27" s="640"/>
      <c r="AD27" s="639"/>
      <c r="AE27" s="639"/>
      <c r="AF27" s="639"/>
      <c r="AG27" s="639"/>
      <c r="AH27" s="639"/>
      <c r="AI27" s="639"/>
      <c r="AJ27" s="641">
        <f t="shared" si="1"/>
        <v>8</v>
      </c>
      <c r="AK27" s="641">
        <f t="shared" si="2"/>
        <v>7</v>
      </c>
      <c r="AL27" s="642">
        <f t="shared" si="3"/>
        <v>0</v>
      </c>
      <c r="AM27" s="642">
        <f t="shared" si="4"/>
        <v>23</v>
      </c>
      <c r="AN27" s="642">
        <f t="shared" si="5"/>
        <v>23</v>
      </c>
      <c r="AO27" s="643">
        <f t="shared" si="6"/>
        <v>0.347826087</v>
      </c>
      <c r="AP27" s="643">
        <f t="shared" si="7"/>
        <v>0.347826087</v>
      </c>
      <c r="AQ27" s="630"/>
      <c r="AR27" s="644">
        <f>COUNTIF(E27:AK27,"PP")</f>
        <v>5</v>
      </c>
      <c r="AS27" s="644">
        <f>COUNTIF(E27:AK27,"PC")</f>
        <v>0</v>
      </c>
      <c r="AT27" s="644">
        <f>COUNTIF(E27:AK27,"F")</f>
        <v>2</v>
      </c>
      <c r="AU27" s="644">
        <f>COUNTIF(E27:AK27,"SD")</f>
        <v>0</v>
      </c>
      <c r="AV27" s="644">
        <f>COUNTIF(E27:AK27,"SM")</f>
        <v>0</v>
      </c>
      <c r="AW27" s="644">
        <f>COUNTIF(F27:AL27,"PV")</f>
        <v>0</v>
      </c>
      <c r="AX27" s="644">
        <f>COUNTIF(G27:AM27,"RC")</f>
        <v>0</v>
      </c>
      <c r="AY27" s="644">
        <f>COUNTIF(H27:AN27,"S")</f>
        <v>0</v>
      </c>
      <c r="AZ27" s="644">
        <f>COUNTIF(I27:AO27,"E")</f>
        <v>4</v>
      </c>
      <c r="BA27" s="618"/>
      <c r="BB27" s="618"/>
      <c r="BC27" s="618"/>
      <c r="BD27" s="618"/>
      <c r="BE27" s="618"/>
      <c r="BF27" s="618"/>
      <c r="BG27" s="618"/>
      <c r="BH27" s="618"/>
      <c r="BI27" s="618"/>
      <c r="BJ27" s="618"/>
    </row>
    <row r="28" ht="15.75" customHeight="1">
      <c r="A28" s="636">
        <v>21.0</v>
      </c>
      <c r="B28" s="672" t="s">
        <v>251</v>
      </c>
      <c r="C28" s="672" t="s">
        <v>3521</v>
      </c>
      <c r="D28" s="673" t="s">
        <v>3522</v>
      </c>
      <c r="E28" s="674" t="s">
        <v>3486</v>
      </c>
      <c r="F28" s="674" t="s">
        <v>3486</v>
      </c>
      <c r="G28" s="674" t="s">
        <v>3486</v>
      </c>
      <c r="H28" s="674" t="s">
        <v>3486</v>
      </c>
      <c r="I28" s="674" t="s">
        <v>3486</v>
      </c>
      <c r="J28" s="674" t="s">
        <v>3486</v>
      </c>
      <c r="K28" s="674" t="s">
        <v>3486</v>
      </c>
      <c r="L28" s="674" t="s">
        <v>3486</v>
      </c>
      <c r="M28" s="674" t="s">
        <v>3486</v>
      </c>
      <c r="N28" s="666" t="s">
        <v>3469</v>
      </c>
      <c r="O28" s="666" t="s">
        <v>3469</v>
      </c>
      <c r="P28" s="666" t="s">
        <v>3469</v>
      </c>
      <c r="Q28" s="666" t="s">
        <v>3470</v>
      </c>
      <c r="R28" s="666" t="s">
        <v>3461</v>
      </c>
      <c r="S28" s="666" t="s">
        <v>3469</v>
      </c>
      <c r="T28" s="666" t="s">
        <v>3469</v>
      </c>
      <c r="U28" s="666" t="s">
        <v>3469</v>
      </c>
      <c r="V28" s="666" t="s">
        <v>3469</v>
      </c>
      <c r="W28" s="666" t="s">
        <v>3470</v>
      </c>
      <c r="X28" s="666" t="s">
        <v>3470</v>
      </c>
      <c r="Y28" s="666" t="s">
        <v>3461</v>
      </c>
      <c r="Z28" s="666" t="s">
        <v>3470</v>
      </c>
      <c r="AA28" s="666" t="s">
        <v>3470</v>
      </c>
      <c r="AB28" s="675"/>
      <c r="AC28" s="675"/>
      <c r="AD28" s="675"/>
      <c r="AE28" s="675"/>
      <c r="AF28" s="675"/>
      <c r="AG28" s="675"/>
      <c r="AH28" s="675"/>
      <c r="AI28" s="675"/>
      <c r="AJ28" s="676">
        <f t="shared" si="1"/>
        <v>12</v>
      </c>
      <c r="AK28" s="676">
        <f t="shared" si="2"/>
        <v>2</v>
      </c>
      <c r="AL28" s="677">
        <f t="shared" si="3"/>
        <v>9</v>
      </c>
      <c r="AM28" s="678">
        <f t="shared" si="4"/>
        <v>-9</v>
      </c>
      <c r="AN28" s="678">
        <f>AH28/AK28</f>
        <v>0</v>
      </c>
      <c r="AO28" s="679">
        <v>0.11</v>
      </c>
      <c r="AP28" s="679">
        <f>COUNTIF(C28:AI28,"PP")</f>
        <v>0</v>
      </c>
      <c r="AQ28" s="680">
        <f>COUNTIF(C28:AI28,"PC")</f>
        <v>0</v>
      </c>
      <c r="AR28" s="681">
        <f>COUNTIF(C28:AI28,"F")</f>
        <v>2</v>
      </c>
      <c r="AS28" s="681">
        <f>COUNTIF(C28:AI28,"SD")</f>
        <v>0</v>
      </c>
      <c r="AT28" s="681">
        <f>COUNTIF(C28:AI28,"SM")</f>
        <v>0</v>
      </c>
      <c r="AU28" s="681">
        <f>COUNTIF(D28:AJ28,"PV")</f>
        <v>0</v>
      </c>
      <c r="AV28" s="681">
        <f>COUNTIF(E28:AK28,"RC")</f>
        <v>0</v>
      </c>
      <c r="AW28" s="681">
        <f>COUNTIF(F28:AL28,"S")</f>
        <v>0</v>
      </c>
      <c r="AX28" s="681">
        <f>COUNTIF(G28:AM28,"E")</f>
        <v>0</v>
      </c>
      <c r="AY28" s="681">
        <v>0.0</v>
      </c>
      <c r="AZ28" s="681">
        <v>4.0</v>
      </c>
      <c r="BA28" s="611"/>
      <c r="BB28" s="611"/>
      <c r="BC28" s="611"/>
      <c r="BD28" s="611"/>
      <c r="BE28" s="611"/>
      <c r="BF28" s="611"/>
      <c r="BG28" s="611"/>
      <c r="BH28" s="611"/>
      <c r="BI28" s="611"/>
      <c r="BJ28" s="611"/>
    </row>
    <row r="29" ht="15.75" customHeight="1">
      <c r="A29" s="636">
        <v>22.0</v>
      </c>
      <c r="B29" s="637" t="s">
        <v>261</v>
      </c>
      <c r="C29" s="637" t="s">
        <v>3523</v>
      </c>
      <c r="D29" s="638" t="s">
        <v>3117</v>
      </c>
      <c r="E29" s="674" t="s">
        <v>3486</v>
      </c>
      <c r="F29" s="674" t="s">
        <v>3486</v>
      </c>
      <c r="G29" s="674" t="s">
        <v>3486</v>
      </c>
      <c r="H29" s="674" t="s">
        <v>3486</v>
      </c>
      <c r="I29" s="674" t="s">
        <v>3486</v>
      </c>
      <c r="J29" s="674" t="s">
        <v>3486</v>
      </c>
      <c r="K29" s="674" t="s">
        <v>3486</v>
      </c>
      <c r="L29" s="674" t="s">
        <v>3486</v>
      </c>
      <c r="M29" s="674" t="s">
        <v>3486</v>
      </c>
      <c r="N29" s="674" t="s">
        <v>3486</v>
      </c>
      <c r="O29" s="674" t="s">
        <v>3486</v>
      </c>
      <c r="P29" s="666" t="s">
        <v>3470</v>
      </c>
      <c r="Q29" s="666" t="s">
        <v>3470</v>
      </c>
      <c r="R29" s="666" t="s">
        <v>3470</v>
      </c>
      <c r="S29" s="666" t="s">
        <v>3470</v>
      </c>
      <c r="T29" s="639" t="s">
        <v>3469</v>
      </c>
      <c r="U29" s="666" t="s">
        <v>3469</v>
      </c>
      <c r="V29" s="666" t="s">
        <v>3469</v>
      </c>
      <c r="W29" s="666" t="s">
        <v>3468</v>
      </c>
      <c r="X29" s="666" t="s">
        <v>3468</v>
      </c>
      <c r="Y29" s="666" t="s">
        <v>3468</v>
      </c>
      <c r="Z29" s="666" t="s">
        <v>3468</v>
      </c>
      <c r="AA29" s="666" t="s">
        <v>3460</v>
      </c>
      <c r="AB29" s="640"/>
      <c r="AC29" s="640"/>
      <c r="AD29" s="639"/>
      <c r="AE29" s="639"/>
      <c r="AF29" s="639"/>
      <c r="AG29" s="639"/>
      <c r="AH29" s="639"/>
      <c r="AI29" s="639"/>
      <c r="AJ29" s="641">
        <f t="shared" si="1"/>
        <v>11</v>
      </c>
      <c r="AK29" s="641">
        <f t="shared" si="2"/>
        <v>1</v>
      </c>
      <c r="AL29" s="642">
        <f t="shared" si="3"/>
        <v>11</v>
      </c>
      <c r="AM29" s="642">
        <f t="shared" si="4"/>
        <v>12</v>
      </c>
      <c r="AN29" s="642">
        <f t="shared" ref="AN29:AN31" si="17">COUNTA(E29:AI29)</f>
        <v>23</v>
      </c>
      <c r="AO29" s="643">
        <f t="shared" ref="AO29:AO31" si="18">AJ29/AN29</f>
        <v>0.4782608696</v>
      </c>
      <c r="AP29" s="643">
        <f t="shared" ref="AP29:AP31" si="19">AJ29/AM29</f>
        <v>0.9166666667</v>
      </c>
      <c r="AQ29" s="630"/>
      <c r="AR29" s="644">
        <f t="shared" ref="AR29:AR31" si="20">COUNTIF(E29:AK29,"PP")</f>
        <v>0</v>
      </c>
      <c r="AS29" s="644">
        <f t="shared" ref="AS29:AS31" si="21">COUNTIF(E29:AK29,"PC")</f>
        <v>1</v>
      </c>
      <c r="AT29" s="644">
        <f t="shared" ref="AT29:AT31" si="22">COUNTIF(E29:AK29,"F")</f>
        <v>0</v>
      </c>
      <c r="AU29" s="644">
        <f t="shared" ref="AU29:AU31" si="23">COUNTIF(E29:AK29,"SD")</f>
        <v>0</v>
      </c>
      <c r="AV29" s="644">
        <f t="shared" ref="AV29:AV31" si="24">COUNTIF(E29:AK29,"SM")</f>
        <v>0</v>
      </c>
      <c r="AW29" s="644">
        <f t="shared" ref="AW29:AW31" si="25">COUNTIF(F29:AL29,"PV")</f>
        <v>0</v>
      </c>
      <c r="AX29" s="644">
        <f t="shared" ref="AX29:AX31" si="26">COUNTIF(G29:AM29,"RC")</f>
        <v>0</v>
      </c>
      <c r="AY29" s="644">
        <f t="shared" ref="AY29:AY31" si="27">COUNTIF(H29:AN29,"S")</f>
        <v>0</v>
      </c>
      <c r="AZ29" s="644">
        <f t="shared" ref="AZ29:AZ31" si="28">COUNTIF(I29:AO29,"E")</f>
        <v>0</v>
      </c>
      <c r="BA29" s="618"/>
      <c r="BB29" s="618"/>
      <c r="BC29" s="618"/>
      <c r="BD29" s="618"/>
      <c r="BE29" s="618"/>
      <c r="BF29" s="618"/>
      <c r="BG29" s="618"/>
      <c r="BH29" s="618"/>
      <c r="BI29" s="618"/>
      <c r="BJ29" s="618"/>
    </row>
    <row r="30" ht="15.75" customHeight="1">
      <c r="A30" s="636">
        <v>23.0</v>
      </c>
      <c r="B30" s="637" t="s">
        <v>345</v>
      </c>
      <c r="C30" s="637" t="s">
        <v>3524</v>
      </c>
      <c r="D30" s="638" t="s">
        <v>3525</v>
      </c>
      <c r="E30" s="674" t="s">
        <v>3486</v>
      </c>
      <c r="F30" s="674" t="s">
        <v>3486</v>
      </c>
      <c r="G30" s="674" t="s">
        <v>3486</v>
      </c>
      <c r="H30" s="674" t="s">
        <v>3486</v>
      </c>
      <c r="I30" s="674" t="s">
        <v>3486</v>
      </c>
      <c r="J30" s="674" t="s">
        <v>3486</v>
      </c>
      <c r="K30" s="674" t="s">
        <v>3486</v>
      </c>
      <c r="L30" s="674" t="s">
        <v>3486</v>
      </c>
      <c r="M30" s="674" t="s">
        <v>3486</v>
      </c>
      <c r="N30" s="674" t="s">
        <v>3486</v>
      </c>
      <c r="O30" s="674" t="s">
        <v>3486</v>
      </c>
      <c r="P30" s="674" t="s">
        <v>3486</v>
      </c>
      <c r="Q30" s="674" t="s">
        <v>3486</v>
      </c>
      <c r="R30" s="674" t="s">
        <v>3486</v>
      </c>
      <c r="S30" s="666" t="s">
        <v>3470</v>
      </c>
      <c r="T30" s="639" t="s">
        <v>3470</v>
      </c>
      <c r="U30" s="666" t="s">
        <v>3470</v>
      </c>
      <c r="V30" s="666" t="s">
        <v>3468</v>
      </c>
      <c r="W30" s="666" t="s">
        <v>3468</v>
      </c>
      <c r="X30" s="666" t="s">
        <v>3468</v>
      </c>
      <c r="Y30" s="666" t="s">
        <v>3468</v>
      </c>
      <c r="Z30" s="666" t="s">
        <v>3468</v>
      </c>
      <c r="AA30" s="666" t="s">
        <v>3468</v>
      </c>
      <c r="AB30" s="640"/>
      <c r="AC30" s="640"/>
      <c r="AD30" s="639"/>
      <c r="AE30" s="639"/>
      <c r="AF30" s="639"/>
      <c r="AG30" s="639"/>
      <c r="AH30" s="639"/>
      <c r="AI30" s="639"/>
      <c r="AJ30" s="641">
        <f t="shared" si="1"/>
        <v>9</v>
      </c>
      <c r="AK30" s="641">
        <f t="shared" si="2"/>
        <v>0</v>
      </c>
      <c r="AL30" s="642">
        <f t="shared" si="3"/>
        <v>14</v>
      </c>
      <c r="AM30" s="642">
        <f t="shared" si="4"/>
        <v>9</v>
      </c>
      <c r="AN30" s="642">
        <f t="shared" si="17"/>
        <v>23</v>
      </c>
      <c r="AO30" s="643">
        <f t="shared" si="18"/>
        <v>0.3913043478</v>
      </c>
      <c r="AP30" s="643">
        <f t="shared" si="19"/>
        <v>1</v>
      </c>
      <c r="AQ30" s="630"/>
      <c r="AR30" s="644">
        <f t="shared" si="20"/>
        <v>0</v>
      </c>
      <c r="AS30" s="644">
        <f t="shared" si="21"/>
        <v>0</v>
      </c>
      <c r="AT30" s="644">
        <f t="shared" si="22"/>
        <v>0</v>
      </c>
      <c r="AU30" s="644">
        <f t="shared" si="23"/>
        <v>0</v>
      </c>
      <c r="AV30" s="644">
        <f t="shared" si="24"/>
        <v>0</v>
      </c>
      <c r="AW30" s="644">
        <f t="shared" si="25"/>
        <v>0</v>
      </c>
      <c r="AX30" s="644">
        <f t="shared" si="26"/>
        <v>0</v>
      </c>
      <c r="AY30" s="644">
        <f t="shared" si="27"/>
        <v>0</v>
      </c>
      <c r="AZ30" s="644">
        <f t="shared" si="28"/>
        <v>0</v>
      </c>
      <c r="BA30" s="618"/>
      <c r="BB30" s="618"/>
      <c r="BC30" s="618"/>
      <c r="BD30" s="618"/>
      <c r="BE30" s="618"/>
      <c r="BF30" s="618"/>
      <c r="BG30" s="618"/>
      <c r="BH30" s="618"/>
      <c r="BI30" s="618"/>
      <c r="BJ30" s="618"/>
    </row>
    <row r="31" ht="15.75" customHeight="1">
      <c r="A31" s="636">
        <v>24.0</v>
      </c>
      <c r="B31" s="637" t="s">
        <v>294</v>
      </c>
      <c r="C31" s="637" t="s">
        <v>3526</v>
      </c>
      <c r="D31" s="638" t="s">
        <v>3527</v>
      </c>
      <c r="E31" s="674" t="s">
        <v>3486</v>
      </c>
      <c r="F31" s="674" t="s">
        <v>3486</v>
      </c>
      <c r="G31" s="674" t="s">
        <v>3486</v>
      </c>
      <c r="H31" s="674" t="s">
        <v>3486</v>
      </c>
      <c r="I31" s="674" t="s">
        <v>3486</v>
      </c>
      <c r="J31" s="674" t="s">
        <v>3486</v>
      </c>
      <c r="K31" s="674" t="s">
        <v>3486</v>
      </c>
      <c r="L31" s="674" t="s">
        <v>3486</v>
      </c>
      <c r="M31" s="674" t="s">
        <v>3486</v>
      </c>
      <c r="N31" s="674" t="s">
        <v>3486</v>
      </c>
      <c r="O31" s="674" t="s">
        <v>3486</v>
      </c>
      <c r="P31" s="674" t="s">
        <v>3486</v>
      </c>
      <c r="Q31" s="674" t="s">
        <v>3486</v>
      </c>
      <c r="R31" s="674" t="s">
        <v>3486</v>
      </c>
      <c r="S31" s="666" t="s">
        <v>3486</v>
      </c>
      <c r="T31" s="639" t="s">
        <v>3470</v>
      </c>
      <c r="U31" s="666" t="s">
        <v>3470</v>
      </c>
      <c r="V31" s="666" t="s">
        <v>3470</v>
      </c>
      <c r="W31" s="666" t="s">
        <v>3469</v>
      </c>
      <c r="X31" s="666" t="s">
        <v>3469</v>
      </c>
      <c r="Y31" s="666" t="s">
        <v>3469</v>
      </c>
      <c r="Z31" s="666" t="s">
        <v>3469</v>
      </c>
      <c r="AA31" s="666" t="s">
        <v>3469</v>
      </c>
      <c r="AB31" s="640"/>
      <c r="AC31" s="640"/>
      <c r="AD31" s="639"/>
      <c r="AE31" s="639"/>
      <c r="AF31" s="639"/>
      <c r="AG31" s="639"/>
      <c r="AH31" s="639"/>
      <c r="AI31" s="639"/>
      <c r="AJ31" s="641">
        <f t="shared" si="1"/>
        <v>8</v>
      </c>
      <c r="AK31" s="641">
        <f t="shared" si="2"/>
        <v>0</v>
      </c>
      <c r="AL31" s="642">
        <f t="shared" si="3"/>
        <v>15</v>
      </c>
      <c r="AM31" s="642">
        <f t="shared" si="4"/>
        <v>8</v>
      </c>
      <c r="AN31" s="642">
        <f t="shared" si="17"/>
        <v>23</v>
      </c>
      <c r="AO31" s="643">
        <f t="shared" si="18"/>
        <v>0.347826087</v>
      </c>
      <c r="AP31" s="643">
        <f t="shared" si="19"/>
        <v>1</v>
      </c>
      <c r="AQ31" s="630"/>
      <c r="AR31" s="644">
        <f t="shared" si="20"/>
        <v>0</v>
      </c>
      <c r="AS31" s="644">
        <f t="shared" si="21"/>
        <v>0</v>
      </c>
      <c r="AT31" s="644">
        <f t="shared" si="22"/>
        <v>0</v>
      </c>
      <c r="AU31" s="644">
        <f t="shared" si="23"/>
        <v>0</v>
      </c>
      <c r="AV31" s="644">
        <f t="shared" si="24"/>
        <v>0</v>
      </c>
      <c r="AW31" s="644">
        <f t="shared" si="25"/>
        <v>0</v>
      </c>
      <c r="AX31" s="644">
        <f t="shared" si="26"/>
        <v>0</v>
      </c>
      <c r="AY31" s="644">
        <f t="shared" si="27"/>
        <v>0</v>
      </c>
      <c r="AZ31" s="644">
        <f t="shared" si="28"/>
        <v>0</v>
      </c>
      <c r="BA31" s="618"/>
      <c r="BB31" s="618"/>
      <c r="BC31" s="618"/>
      <c r="BD31" s="618"/>
      <c r="BE31" s="618"/>
      <c r="BF31" s="618"/>
      <c r="BG31" s="618"/>
      <c r="BH31" s="618"/>
      <c r="BI31" s="618"/>
      <c r="BJ31" s="618"/>
    </row>
    <row r="32" ht="15.75" customHeight="1">
      <c r="A32" s="636">
        <v>25.0</v>
      </c>
      <c r="B32" s="637" t="s">
        <v>345</v>
      </c>
      <c r="C32" s="637" t="s">
        <v>3524</v>
      </c>
      <c r="D32" s="638" t="s">
        <v>3528</v>
      </c>
      <c r="E32" s="674" t="s">
        <v>3486</v>
      </c>
      <c r="F32" s="674" t="s">
        <v>3486</v>
      </c>
      <c r="G32" s="674" t="s">
        <v>3486</v>
      </c>
      <c r="H32" s="674" t="s">
        <v>3486</v>
      </c>
      <c r="I32" s="674" t="s">
        <v>3486</v>
      </c>
      <c r="J32" s="674" t="s">
        <v>3486</v>
      </c>
      <c r="K32" s="674" t="s">
        <v>3486</v>
      </c>
      <c r="L32" s="674" t="s">
        <v>3486</v>
      </c>
      <c r="M32" s="674" t="s">
        <v>3486</v>
      </c>
      <c r="N32" s="674" t="s">
        <v>3486</v>
      </c>
      <c r="O32" s="674" t="s">
        <v>3486</v>
      </c>
      <c r="P32" s="674" t="s">
        <v>3486</v>
      </c>
      <c r="Q32" s="674" t="s">
        <v>3486</v>
      </c>
      <c r="R32" s="674" t="s">
        <v>3486</v>
      </c>
      <c r="S32" s="666" t="s">
        <v>3486</v>
      </c>
      <c r="T32" s="639" t="s">
        <v>3486</v>
      </c>
      <c r="U32" s="666" t="s">
        <v>3486</v>
      </c>
      <c r="V32" s="666" t="s">
        <v>3486</v>
      </c>
      <c r="W32" s="666" t="s">
        <v>3470</v>
      </c>
      <c r="X32" s="666" t="s">
        <v>3469</v>
      </c>
      <c r="Y32" s="666" t="s">
        <v>3469</v>
      </c>
      <c r="Z32" s="666" t="s">
        <v>3469</v>
      </c>
      <c r="AA32" s="666" t="s">
        <v>3469</v>
      </c>
      <c r="AB32" s="640"/>
      <c r="AC32" s="640"/>
      <c r="AD32" s="639"/>
      <c r="AE32" s="639"/>
      <c r="AF32" s="639"/>
      <c r="AG32" s="639"/>
      <c r="AH32" s="639"/>
      <c r="AI32" s="639"/>
      <c r="AJ32" s="641"/>
      <c r="AK32" s="641"/>
      <c r="AL32" s="642"/>
      <c r="AM32" s="642"/>
      <c r="AN32" s="642"/>
      <c r="AO32" s="643"/>
      <c r="AP32" s="643"/>
      <c r="AQ32" s="630"/>
      <c r="AR32" s="644"/>
      <c r="AS32" s="644"/>
      <c r="AT32" s="644"/>
      <c r="AU32" s="644"/>
      <c r="AV32" s="644"/>
      <c r="AW32" s="644"/>
      <c r="AX32" s="644"/>
      <c r="AY32" s="644"/>
      <c r="AZ32" s="644"/>
      <c r="BA32" s="618"/>
      <c r="BB32" s="618"/>
      <c r="BC32" s="618"/>
      <c r="BD32" s="618"/>
      <c r="BE32" s="618"/>
      <c r="BF32" s="618"/>
      <c r="BG32" s="618"/>
      <c r="BH32" s="618"/>
      <c r="BI32" s="618"/>
      <c r="BJ32" s="618"/>
    </row>
    <row r="33" ht="15.75" customHeight="1">
      <c r="A33" s="636">
        <v>26.0</v>
      </c>
      <c r="B33" s="637" t="s">
        <v>281</v>
      </c>
      <c r="C33" s="637" t="s">
        <v>3529</v>
      </c>
      <c r="D33" s="638" t="s">
        <v>3530</v>
      </c>
      <c r="E33" s="674" t="s">
        <v>3486</v>
      </c>
      <c r="F33" s="674" t="s">
        <v>3486</v>
      </c>
      <c r="G33" s="674" t="s">
        <v>3486</v>
      </c>
      <c r="H33" s="674" t="s">
        <v>3486</v>
      </c>
      <c r="I33" s="674" t="s">
        <v>3486</v>
      </c>
      <c r="J33" s="674" t="s">
        <v>3486</v>
      </c>
      <c r="K33" s="674" t="s">
        <v>3486</v>
      </c>
      <c r="L33" s="674" t="s">
        <v>3486</v>
      </c>
      <c r="M33" s="674" t="s">
        <v>3486</v>
      </c>
      <c r="N33" s="674" t="s">
        <v>3486</v>
      </c>
      <c r="O33" s="674" t="s">
        <v>3486</v>
      </c>
      <c r="P33" s="674" t="s">
        <v>3486</v>
      </c>
      <c r="Q33" s="674" t="s">
        <v>3486</v>
      </c>
      <c r="R33" s="674" t="s">
        <v>3486</v>
      </c>
      <c r="S33" s="666" t="s">
        <v>3486</v>
      </c>
      <c r="T33" s="639" t="s">
        <v>3486</v>
      </c>
      <c r="U33" s="666" t="s">
        <v>3486</v>
      </c>
      <c r="V33" s="666" t="s">
        <v>3486</v>
      </c>
      <c r="W33" s="666" t="s">
        <v>3486</v>
      </c>
      <c r="X33" s="666" t="s">
        <v>3486</v>
      </c>
      <c r="Y33" s="666" t="s">
        <v>3486</v>
      </c>
      <c r="Z33" s="666" t="s">
        <v>3486</v>
      </c>
      <c r="AA33" s="666" t="s">
        <v>3470</v>
      </c>
      <c r="AB33" s="640"/>
      <c r="AC33" s="640"/>
      <c r="AD33" s="639"/>
      <c r="AE33" s="639"/>
      <c r="AF33" s="639"/>
      <c r="AG33" s="639"/>
      <c r="AH33" s="639"/>
      <c r="AI33" s="639"/>
      <c r="AJ33" s="641">
        <f>(COUNTIF(E33:AI33,"D")+COUNTIF(E33:AI33,"T")+COUNTIF(E33:AI33,"VT"))</f>
        <v>1</v>
      </c>
      <c r="AK33" s="641">
        <f>(COUNTIF(E33:AI33,"pp")+COUNTIF(E33:AI33,"pc")+COUNTIF(E33:AI33,"sd")+COUNTIF(E33:AI33,"sm")+COUNTIF(E33:AI33,"f")+COUNTIF(E33:AI33,"I")+COUNTIF(E33:AI33,"PV")+COUNTIF(E33:AI33,"DS")+COUNTIF(E33:AI33,"RC"))</f>
        <v>0</v>
      </c>
      <c r="AL33" s="642">
        <f t="shared" ref="AL33:AL35" si="29">COUNTIF(E33:AI33,"OO")</f>
        <v>22</v>
      </c>
      <c r="AM33" s="642">
        <f t="shared" ref="AM33:AM35" si="30">AN33-AL33</f>
        <v>1</v>
      </c>
      <c r="AN33" s="642">
        <f t="shared" ref="AN33:AN35" si="31">COUNTA(E33:AI33)</f>
        <v>23</v>
      </c>
      <c r="AO33" s="643">
        <f>AJ33/AN33</f>
        <v>0.04347826087</v>
      </c>
      <c r="AP33" s="643">
        <f>AJ33/AM33</f>
        <v>1</v>
      </c>
      <c r="AQ33" s="630"/>
      <c r="AR33" s="644">
        <f t="shared" ref="AR33:AR35" si="32">COUNTIF(E33:AK33,"PP")</f>
        <v>0</v>
      </c>
      <c r="AS33" s="644">
        <f t="shared" ref="AS33:AS35" si="33">COUNTIF(E33:AK33,"PC")</f>
        <v>0</v>
      </c>
      <c r="AT33" s="644">
        <f t="shared" ref="AT33:AT35" si="34">COUNTIF(E33:AK33,"F")</f>
        <v>0</v>
      </c>
      <c r="AU33" s="644">
        <f t="shared" ref="AU33:AU35" si="35">COUNTIF(E33:AK33,"SD")</f>
        <v>0</v>
      </c>
      <c r="AV33" s="644">
        <f t="shared" ref="AV33:AV35" si="36">COUNTIF(E33:AK33,"SM")</f>
        <v>0</v>
      </c>
      <c r="AW33" s="644">
        <f t="shared" ref="AW33:AW35" si="37">COUNTIF(F33:AL33,"PV")</f>
        <v>0</v>
      </c>
      <c r="AX33" s="644">
        <f t="shared" ref="AX33:AX35" si="38">COUNTIF(G33:AM33,"RC")</f>
        <v>0</v>
      </c>
      <c r="AY33" s="644">
        <f t="shared" ref="AY33:AY35" si="39">COUNTIF(H33:AN33,"S")</f>
        <v>0</v>
      </c>
      <c r="AZ33" s="644">
        <f t="shared" ref="AZ33:AZ35" si="40">COUNTIF(I33:AO33,"E")</f>
        <v>0</v>
      </c>
      <c r="BA33" s="618"/>
      <c r="BB33" s="618"/>
      <c r="BC33" s="618"/>
      <c r="BD33" s="618"/>
      <c r="BE33" s="618"/>
      <c r="BF33" s="618"/>
      <c r="BG33" s="618"/>
      <c r="BH33" s="618"/>
      <c r="BI33" s="618"/>
      <c r="BJ33" s="618"/>
    </row>
    <row r="34" ht="15.75" customHeight="1">
      <c r="A34" s="636"/>
      <c r="B34" s="637"/>
      <c r="C34" s="637"/>
      <c r="D34" s="638"/>
      <c r="E34" s="646"/>
      <c r="F34" s="646"/>
      <c r="G34" s="646"/>
      <c r="H34" s="646"/>
      <c r="I34" s="646"/>
      <c r="J34" s="646"/>
      <c r="K34" s="646"/>
      <c r="L34" s="646"/>
      <c r="M34" s="646"/>
      <c r="N34" s="646"/>
      <c r="O34" s="646"/>
      <c r="P34" s="646"/>
      <c r="Q34" s="646"/>
      <c r="R34" s="646"/>
      <c r="S34" s="646"/>
      <c r="T34" s="646"/>
      <c r="U34" s="646"/>
      <c r="V34" s="646"/>
      <c r="W34" s="646"/>
      <c r="X34" s="646"/>
      <c r="Y34" s="646"/>
      <c r="Z34" s="646"/>
      <c r="AA34" s="646"/>
      <c r="AB34" s="646"/>
      <c r="AC34" s="646"/>
      <c r="AD34" s="646"/>
      <c r="AE34" s="647"/>
      <c r="AF34" s="646"/>
      <c r="AG34" s="646"/>
      <c r="AH34" s="648"/>
      <c r="AI34" s="648"/>
      <c r="AJ34" s="641">
        <f t="shared" ref="AJ34:AJ35" si="41">COUNTIF(E34:AI34,"d")+COUNTIF(E34:AI34,"t")+COUNTIF(E34:AI34,"vt")+COUNTIF(E34:AI34,"pv")+COUNTIF(E34:AI34,"RC")</f>
        <v>0</v>
      </c>
      <c r="AK34" s="641">
        <f t="shared" ref="AK34:AK35" si="42">(COUNTIF(E34:AI34,"pp")+COUNTIF(E34:AI34,"pc")+COUNTIF(E34:AI34,"sd")+COUNTIF(E34:AI34,"sm")+COUNTIF(E34:AI34,"f"))</f>
        <v>0</v>
      </c>
      <c r="AL34" s="642">
        <f t="shared" si="29"/>
        <v>0</v>
      </c>
      <c r="AM34" s="642">
        <f t="shared" si="30"/>
        <v>0</v>
      </c>
      <c r="AN34" s="642">
        <f t="shared" si="31"/>
        <v>0</v>
      </c>
      <c r="AO34" s="643"/>
      <c r="AP34" s="643"/>
      <c r="AQ34" s="630"/>
      <c r="AR34" s="644">
        <f t="shared" si="32"/>
        <v>0</v>
      </c>
      <c r="AS34" s="644">
        <f t="shared" si="33"/>
        <v>0</v>
      </c>
      <c r="AT34" s="644">
        <f t="shared" si="34"/>
        <v>0</v>
      </c>
      <c r="AU34" s="644">
        <f t="shared" si="35"/>
        <v>0</v>
      </c>
      <c r="AV34" s="644">
        <f t="shared" si="36"/>
        <v>0</v>
      </c>
      <c r="AW34" s="644">
        <f t="shared" si="37"/>
        <v>0</v>
      </c>
      <c r="AX34" s="644">
        <f t="shared" si="38"/>
        <v>0</v>
      </c>
      <c r="AY34" s="644">
        <f t="shared" si="39"/>
        <v>0</v>
      </c>
      <c r="AZ34" s="644">
        <f t="shared" si="40"/>
        <v>0</v>
      </c>
      <c r="BA34" s="618"/>
      <c r="BB34" s="618"/>
      <c r="BC34" s="618"/>
      <c r="BD34" s="618"/>
      <c r="BE34" s="618"/>
      <c r="BF34" s="618"/>
      <c r="BG34" s="618"/>
      <c r="BH34" s="618"/>
      <c r="BI34" s="618"/>
      <c r="BJ34" s="618"/>
    </row>
    <row r="35" ht="15.75" customHeight="1">
      <c r="A35" s="636"/>
      <c r="B35" s="649"/>
      <c r="C35" s="649"/>
      <c r="D35" s="649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46"/>
      <c r="AB35" s="646"/>
      <c r="AC35" s="646"/>
      <c r="AD35" s="646"/>
      <c r="AE35" s="647"/>
      <c r="AF35" s="646"/>
      <c r="AG35" s="646"/>
      <c r="AH35" s="648"/>
      <c r="AI35" s="648"/>
      <c r="AJ35" s="641">
        <f t="shared" si="41"/>
        <v>0</v>
      </c>
      <c r="AK35" s="641">
        <f t="shared" si="42"/>
        <v>0</v>
      </c>
      <c r="AL35" s="642">
        <f t="shared" si="29"/>
        <v>0</v>
      </c>
      <c r="AM35" s="642">
        <f t="shared" si="30"/>
        <v>0</v>
      </c>
      <c r="AN35" s="642">
        <f t="shared" si="31"/>
        <v>0</v>
      </c>
      <c r="AO35" s="643"/>
      <c r="AP35" s="643"/>
      <c r="AQ35" s="630"/>
      <c r="AR35" s="644">
        <f t="shared" si="32"/>
        <v>0</v>
      </c>
      <c r="AS35" s="644">
        <f t="shared" si="33"/>
        <v>0</v>
      </c>
      <c r="AT35" s="644">
        <f t="shared" si="34"/>
        <v>0</v>
      </c>
      <c r="AU35" s="644">
        <f t="shared" si="35"/>
        <v>0</v>
      </c>
      <c r="AV35" s="644">
        <f t="shared" si="36"/>
        <v>0</v>
      </c>
      <c r="AW35" s="644">
        <f t="shared" si="37"/>
        <v>0</v>
      </c>
      <c r="AX35" s="644">
        <f t="shared" si="38"/>
        <v>0</v>
      </c>
      <c r="AY35" s="644">
        <f t="shared" si="39"/>
        <v>0</v>
      </c>
      <c r="AZ35" s="644">
        <f t="shared" si="40"/>
        <v>0</v>
      </c>
      <c r="BA35" s="618"/>
      <c r="BB35" s="618"/>
      <c r="BC35" s="618"/>
      <c r="BD35" s="618"/>
      <c r="BE35" s="618"/>
      <c r="BF35" s="618"/>
      <c r="BG35" s="618"/>
      <c r="BH35" s="618"/>
      <c r="BI35" s="618"/>
      <c r="BJ35" s="618"/>
    </row>
    <row r="36" ht="15.75" customHeight="1">
      <c r="A36" s="636"/>
      <c r="B36" s="618"/>
      <c r="C36" s="650"/>
      <c r="D36" s="651" t="s">
        <v>3502</v>
      </c>
      <c r="E36" s="652">
        <f t="shared" ref="E36:AI36" si="43">COUNTIF(E8:E35,"d")+COUNTIF(E8:E35,"t")+COUNTIF(E8:E35,"vt")</f>
        <v>10</v>
      </c>
      <c r="F36" s="652">
        <f t="shared" si="43"/>
        <v>13</v>
      </c>
      <c r="G36" s="652">
        <f t="shared" si="43"/>
        <v>14</v>
      </c>
      <c r="H36" s="652">
        <f t="shared" si="43"/>
        <v>13</v>
      </c>
      <c r="I36" s="652">
        <f t="shared" si="43"/>
        <v>12</v>
      </c>
      <c r="J36" s="652">
        <f t="shared" si="43"/>
        <v>11</v>
      </c>
      <c r="K36" s="652">
        <f t="shared" si="43"/>
        <v>10</v>
      </c>
      <c r="L36" s="652">
        <f t="shared" si="43"/>
        <v>12</v>
      </c>
      <c r="M36" s="652">
        <f t="shared" si="43"/>
        <v>12</v>
      </c>
      <c r="N36" s="652">
        <f t="shared" si="43"/>
        <v>12</v>
      </c>
      <c r="O36" s="652">
        <f t="shared" si="43"/>
        <v>13</v>
      </c>
      <c r="P36" s="652">
        <f t="shared" si="43"/>
        <v>14</v>
      </c>
      <c r="Q36" s="652">
        <f t="shared" si="43"/>
        <v>14</v>
      </c>
      <c r="R36" s="652">
        <f t="shared" si="43"/>
        <v>3</v>
      </c>
      <c r="S36" s="652">
        <f t="shared" si="43"/>
        <v>16</v>
      </c>
      <c r="T36" s="652">
        <f t="shared" si="43"/>
        <v>18</v>
      </c>
      <c r="U36" s="652">
        <f t="shared" si="43"/>
        <v>17</v>
      </c>
      <c r="V36" s="652">
        <f t="shared" si="43"/>
        <v>16</v>
      </c>
      <c r="W36" s="652">
        <f t="shared" si="43"/>
        <v>16</v>
      </c>
      <c r="X36" s="652">
        <f t="shared" si="43"/>
        <v>15</v>
      </c>
      <c r="Y36" s="652">
        <f t="shared" si="43"/>
        <v>10</v>
      </c>
      <c r="Z36" s="652">
        <f t="shared" si="43"/>
        <v>13</v>
      </c>
      <c r="AA36" s="652">
        <f t="shared" si="43"/>
        <v>16</v>
      </c>
      <c r="AB36" s="652">
        <f t="shared" si="43"/>
        <v>0</v>
      </c>
      <c r="AC36" s="652">
        <f t="shared" si="43"/>
        <v>0</v>
      </c>
      <c r="AD36" s="652">
        <f t="shared" si="43"/>
        <v>0</v>
      </c>
      <c r="AE36" s="652">
        <f t="shared" si="43"/>
        <v>0</v>
      </c>
      <c r="AF36" s="652">
        <f t="shared" si="43"/>
        <v>0</v>
      </c>
      <c r="AG36" s="652">
        <f t="shared" si="43"/>
        <v>0</v>
      </c>
      <c r="AH36" s="652">
        <f t="shared" si="43"/>
        <v>0</v>
      </c>
      <c r="AI36" s="652">
        <f t="shared" si="43"/>
        <v>0</v>
      </c>
      <c r="AJ36" s="653"/>
      <c r="AK36" s="653"/>
      <c r="AL36" s="653"/>
      <c r="AM36" s="653"/>
      <c r="AN36" s="653"/>
      <c r="AO36" s="654">
        <f>(AJ39/AN39)</f>
        <v>0.5344202899</v>
      </c>
      <c r="AP36" s="655">
        <f>AJ39/AM39</f>
        <v>0.6133056133</v>
      </c>
      <c r="AQ36" s="630"/>
      <c r="AR36" s="656">
        <f t="shared" ref="AR36:AZ36" si="44">SUM(AR8:AR35)</f>
        <v>32</v>
      </c>
      <c r="AS36" s="656">
        <f t="shared" si="44"/>
        <v>38</v>
      </c>
      <c r="AT36" s="656">
        <f t="shared" si="44"/>
        <v>18</v>
      </c>
      <c r="AU36" s="656">
        <f t="shared" si="44"/>
        <v>0</v>
      </c>
      <c r="AV36" s="656">
        <f t="shared" si="44"/>
        <v>21</v>
      </c>
      <c r="AW36" s="656">
        <f t="shared" si="44"/>
        <v>0</v>
      </c>
      <c r="AX36" s="656">
        <f t="shared" si="44"/>
        <v>0</v>
      </c>
      <c r="AY36" s="656">
        <f t="shared" si="44"/>
        <v>0</v>
      </c>
      <c r="AZ36" s="656">
        <f t="shared" si="44"/>
        <v>32</v>
      </c>
      <c r="BA36" s="618"/>
      <c r="BB36" s="618"/>
      <c r="BC36" s="618"/>
      <c r="BD36" s="618"/>
      <c r="BE36" s="618"/>
      <c r="BF36" s="618"/>
      <c r="BG36" s="618"/>
      <c r="BH36" s="618"/>
      <c r="BI36" s="618"/>
      <c r="BJ36" s="618"/>
    </row>
    <row r="37" ht="15.75" customHeight="1">
      <c r="A37" s="618"/>
      <c r="B37" s="618"/>
      <c r="C37" s="650"/>
      <c r="D37" s="651" t="s">
        <v>3503</v>
      </c>
      <c r="E37" s="652">
        <f t="shared" ref="E37:AI37" si="45">E38-E36</f>
        <v>9</v>
      </c>
      <c r="F37" s="652">
        <f t="shared" si="45"/>
        <v>6</v>
      </c>
      <c r="G37" s="652">
        <f t="shared" si="45"/>
        <v>5</v>
      </c>
      <c r="H37" s="652">
        <f t="shared" si="45"/>
        <v>6</v>
      </c>
      <c r="I37" s="652">
        <f t="shared" si="45"/>
        <v>7</v>
      </c>
      <c r="J37" s="652">
        <f t="shared" si="45"/>
        <v>8</v>
      </c>
      <c r="K37" s="652">
        <f t="shared" si="45"/>
        <v>9</v>
      </c>
      <c r="L37" s="652">
        <f t="shared" si="45"/>
        <v>7</v>
      </c>
      <c r="M37" s="652">
        <f t="shared" si="45"/>
        <v>5</v>
      </c>
      <c r="N37" s="652">
        <f t="shared" si="45"/>
        <v>6</v>
      </c>
      <c r="O37" s="652">
        <f t="shared" si="45"/>
        <v>5</v>
      </c>
      <c r="P37" s="652">
        <f t="shared" si="45"/>
        <v>5</v>
      </c>
      <c r="Q37" s="652">
        <f t="shared" si="45"/>
        <v>5</v>
      </c>
      <c r="R37" s="652">
        <f t="shared" si="45"/>
        <v>16</v>
      </c>
      <c r="S37" s="652">
        <f t="shared" si="45"/>
        <v>4</v>
      </c>
      <c r="T37" s="652">
        <f t="shared" si="45"/>
        <v>3</v>
      </c>
      <c r="U37" s="652">
        <f t="shared" si="45"/>
        <v>4</v>
      </c>
      <c r="V37" s="652">
        <f t="shared" si="45"/>
        <v>5</v>
      </c>
      <c r="W37" s="652">
        <f t="shared" si="45"/>
        <v>6</v>
      </c>
      <c r="X37" s="652">
        <f t="shared" si="45"/>
        <v>7</v>
      </c>
      <c r="Y37" s="652">
        <f t="shared" si="45"/>
        <v>12</v>
      </c>
      <c r="Z37" s="652">
        <f t="shared" si="45"/>
        <v>9</v>
      </c>
      <c r="AA37" s="652">
        <f t="shared" si="45"/>
        <v>7</v>
      </c>
      <c r="AB37" s="652">
        <f t="shared" si="45"/>
        <v>0</v>
      </c>
      <c r="AC37" s="652">
        <f t="shared" si="45"/>
        <v>0</v>
      </c>
      <c r="AD37" s="652">
        <f t="shared" si="45"/>
        <v>0</v>
      </c>
      <c r="AE37" s="652">
        <f t="shared" si="45"/>
        <v>0</v>
      </c>
      <c r="AF37" s="652">
        <f t="shared" si="45"/>
        <v>0</v>
      </c>
      <c r="AG37" s="652">
        <f t="shared" si="45"/>
        <v>0</v>
      </c>
      <c r="AH37" s="652">
        <f t="shared" si="45"/>
        <v>0</v>
      </c>
      <c r="AI37" s="652">
        <f t="shared" si="45"/>
        <v>0</v>
      </c>
      <c r="AJ37" s="653"/>
      <c r="AK37" s="653"/>
      <c r="AL37" s="653"/>
      <c r="AM37" s="653"/>
      <c r="AN37" s="653"/>
      <c r="AO37" s="657"/>
      <c r="AP37" s="657"/>
      <c r="AQ37" s="630"/>
      <c r="AR37" s="658"/>
      <c r="AS37" s="658"/>
      <c r="AT37" s="658"/>
      <c r="AU37" s="658"/>
      <c r="AV37" s="658"/>
      <c r="AW37" s="658"/>
      <c r="AX37" s="658"/>
      <c r="AY37" s="658"/>
      <c r="AZ37" s="658"/>
      <c r="BB37" s="618"/>
      <c r="BC37" s="618"/>
      <c r="BD37" s="618"/>
      <c r="BE37" s="618"/>
      <c r="BF37" s="618"/>
      <c r="BG37" s="618"/>
      <c r="BH37" s="618"/>
      <c r="BI37" s="618"/>
      <c r="BJ37" s="618"/>
    </row>
    <row r="38" ht="15.75" customHeight="1">
      <c r="A38" s="618"/>
      <c r="B38" s="618"/>
      <c r="C38" s="650"/>
      <c r="D38" s="651" t="s">
        <v>3504</v>
      </c>
      <c r="E38" s="652">
        <f t="shared" ref="E38:AI38" si="46">COUNTIF(E8:E33,"D")+COUNTIF(E8:E33,"T")+COUNTIF(E8:E33,"S")+COUNTIF(E8:E33,"PP")+COUNTIF(E8:E33,"PC")+COUNTIF(E8:E33,"PV")+COUNTIF(E8:E33,"SD")+COUNTIF(E8:E33,"SM")+COUNTIF(E8:E33,"F")+COUNTIF(E8:E33,"VT")+COUNTIF(E8:E33,"E")+COUNTIF(E8:E33,"RC")</f>
        <v>19</v>
      </c>
      <c r="F38" s="652">
        <f t="shared" si="46"/>
        <v>19</v>
      </c>
      <c r="G38" s="652">
        <f t="shared" si="46"/>
        <v>19</v>
      </c>
      <c r="H38" s="652">
        <f t="shared" si="46"/>
        <v>19</v>
      </c>
      <c r="I38" s="652">
        <f t="shared" si="46"/>
        <v>19</v>
      </c>
      <c r="J38" s="652">
        <f t="shared" si="46"/>
        <v>19</v>
      </c>
      <c r="K38" s="652">
        <f t="shared" si="46"/>
        <v>19</v>
      </c>
      <c r="L38" s="652">
        <f t="shared" si="46"/>
        <v>19</v>
      </c>
      <c r="M38" s="652">
        <f t="shared" si="46"/>
        <v>17</v>
      </c>
      <c r="N38" s="652">
        <f t="shared" si="46"/>
        <v>18</v>
      </c>
      <c r="O38" s="652">
        <f t="shared" si="46"/>
        <v>18</v>
      </c>
      <c r="P38" s="652">
        <f t="shared" si="46"/>
        <v>19</v>
      </c>
      <c r="Q38" s="652">
        <f t="shared" si="46"/>
        <v>19</v>
      </c>
      <c r="R38" s="652">
        <f t="shared" si="46"/>
        <v>19</v>
      </c>
      <c r="S38" s="652">
        <f t="shared" si="46"/>
        <v>20</v>
      </c>
      <c r="T38" s="652">
        <f t="shared" si="46"/>
        <v>21</v>
      </c>
      <c r="U38" s="652">
        <f t="shared" si="46"/>
        <v>21</v>
      </c>
      <c r="V38" s="652">
        <f t="shared" si="46"/>
        <v>21</v>
      </c>
      <c r="W38" s="652">
        <f t="shared" si="46"/>
        <v>22</v>
      </c>
      <c r="X38" s="652">
        <f t="shared" si="46"/>
        <v>22</v>
      </c>
      <c r="Y38" s="652">
        <f t="shared" si="46"/>
        <v>22</v>
      </c>
      <c r="Z38" s="652">
        <f t="shared" si="46"/>
        <v>22</v>
      </c>
      <c r="AA38" s="652">
        <f t="shared" si="46"/>
        <v>23</v>
      </c>
      <c r="AB38" s="652">
        <f t="shared" si="46"/>
        <v>0</v>
      </c>
      <c r="AC38" s="652">
        <f t="shared" si="46"/>
        <v>0</v>
      </c>
      <c r="AD38" s="652">
        <f t="shared" si="46"/>
        <v>0</v>
      </c>
      <c r="AE38" s="652">
        <f t="shared" si="46"/>
        <v>0</v>
      </c>
      <c r="AF38" s="652">
        <f t="shared" si="46"/>
        <v>0</v>
      </c>
      <c r="AG38" s="652">
        <f t="shared" si="46"/>
        <v>0</v>
      </c>
      <c r="AH38" s="652">
        <f t="shared" si="46"/>
        <v>0</v>
      </c>
      <c r="AI38" s="652">
        <f t="shared" si="46"/>
        <v>0</v>
      </c>
      <c r="AJ38" s="653"/>
      <c r="AK38" s="653"/>
      <c r="AL38" s="653"/>
      <c r="AM38" s="653"/>
      <c r="AN38" s="653"/>
      <c r="AO38" s="657"/>
      <c r="AP38" s="657"/>
      <c r="AQ38" s="630"/>
      <c r="AR38" s="658"/>
      <c r="AS38" s="658"/>
      <c r="AT38" s="658"/>
      <c r="AU38" s="658"/>
      <c r="AV38" s="658"/>
      <c r="AW38" s="658"/>
      <c r="AX38" s="658"/>
      <c r="AY38" s="658"/>
      <c r="AZ38" s="658"/>
      <c r="BB38" s="618"/>
      <c r="BC38" s="618"/>
      <c r="BD38" s="618"/>
      <c r="BE38" s="618"/>
      <c r="BF38" s="618"/>
      <c r="BG38" s="618"/>
      <c r="BH38" s="618"/>
      <c r="BI38" s="618"/>
      <c r="BJ38" s="618"/>
    </row>
    <row r="39" ht="15.75" customHeight="1">
      <c r="A39" s="618"/>
      <c r="B39" s="618"/>
      <c r="C39" s="650"/>
      <c r="D39" s="659" t="s">
        <v>3505</v>
      </c>
      <c r="E39" s="660">
        <f t="shared" ref="E39:AI39" si="47">E36/E38</f>
        <v>0.5263157895</v>
      </c>
      <c r="F39" s="660">
        <f t="shared" si="47"/>
        <v>0.6842105263</v>
      </c>
      <c r="G39" s="660">
        <f t="shared" si="47"/>
        <v>0.7368421053</v>
      </c>
      <c r="H39" s="660">
        <f t="shared" si="47"/>
        <v>0.6842105263</v>
      </c>
      <c r="I39" s="660">
        <f t="shared" si="47"/>
        <v>0.6315789474</v>
      </c>
      <c r="J39" s="660">
        <f t="shared" si="47"/>
        <v>0.5789473684</v>
      </c>
      <c r="K39" s="660">
        <f t="shared" si="47"/>
        <v>0.5263157895</v>
      </c>
      <c r="L39" s="660">
        <f t="shared" si="47"/>
        <v>0.6315789474</v>
      </c>
      <c r="M39" s="660">
        <f t="shared" si="47"/>
        <v>0.7058823529</v>
      </c>
      <c r="N39" s="660">
        <f t="shared" si="47"/>
        <v>0.6666666667</v>
      </c>
      <c r="O39" s="660">
        <f t="shared" si="47"/>
        <v>0.7222222222</v>
      </c>
      <c r="P39" s="660">
        <f t="shared" si="47"/>
        <v>0.7368421053</v>
      </c>
      <c r="Q39" s="660">
        <f t="shared" si="47"/>
        <v>0.7368421053</v>
      </c>
      <c r="R39" s="660">
        <f t="shared" si="47"/>
        <v>0.1578947368</v>
      </c>
      <c r="S39" s="660">
        <f t="shared" si="47"/>
        <v>0.8</v>
      </c>
      <c r="T39" s="660">
        <f t="shared" si="47"/>
        <v>0.8571428571</v>
      </c>
      <c r="U39" s="660">
        <f t="shared" si="47"/>
        <v>0.8095238095</v>
      </c>
      <c r="V39" s="660">
        <f t="shared" si="47"/>
        <v>0.7619047619</v>
      </c>
      <c r="W39" s="660">
        <f t="shared" si="47"/>
        <v>0.7272727273</v>
      </c>
      <c r="X39" s="660">
        <f t="shared" si="47"/>
        <v>0.6818181818</v>
      </c>
      <c r="Y39" s="660">
        <f t="shared" si="47"/>
        <v>0.4545454545</v>
      </c>
      <c r="Z39" s="660">
        <f t="shared" si="47"/>
        <v>0.5909090909</v>
      </c>
      <c r="AA39" s="660">
        <f t="shared" si="47"/>
        <v>0.6956521739</v>
      </c>
      <c r="AB39" s="660" t="str">
        <f t="shared" si="47"/>
        <v>#DIV/0!</v>
      </c>
      <c r="AC39" s="660" t="str">
        <f t="shared" si="47"/>
        <v>#DIV/0!</v>
      </c>
      <c r="AD39" s="660" t="str">
        <f t="shared" si="47"/>
        <v>#DIV/0!</v>
      </c>
      <c r="AE39" s="660" t="str">
        <f t="shared" si="47"/>
        <v>#DIV/0!</v>
      </c>
      <c r="AF39" s="660" t="str">
        <f t="shared" si="47"/>
        <v>#DIV/0!</v>
      </c>
      <c r="AG39" s="660" t="str">
        <f t="shared" si="47"/>
        <v>#DIV/0!</v>
      </c>
      <c r="AH39" s="660" t="str">
        <f t="shared" si="47"/>
        <v>#DIV/0!</v>
      </c>
      <c r="AI39" s="660" t="str">
        <f t="shared" si="47"/>
        <v>#DIV/0!</v>
      </c>
      <c r="AJ39" s="661">
        <f t="shared" ref="AJ39:AN39" si="48">SUM(AJ8:AJ35)</f>
        <v>295</v>
      </c>
      <c r="AK39" s="661">
        <f t="shared" si="48"/>
        <v>162</v>
      </c>
      <c r="AL39" s="661">
        <f t="shared" si="48"/>
        <v>71</v>
      </c>
      <c r="AM39" s="661">
        <f t="shared" si="48"/>
        <v>481</v>
      </c>
      <c r="AN39" s="661">
        <f t="shared" si="48"/>
        <v>552</v>
      </c>
      <c r="AO39" s="662"/>
      <c r="AP39" s="662"/>
      <c r="AQ39" s="630"/>
      <c r="AR39" s="663"/>
      <c r="AS39" s="663"/>
      <c r="AT39" s="663"/>
      <c r="AU39" s="663"/>
      <c r="AV39" s="663"/>
      <c r="AW39" s="663"/>
      <c r="AX39" s="663"/>
      <c r="AY39" s="663"/>
      <c r="AZ39" s="663"/>
      <c r="BB39" s="618"/>
      <c r="BC39" s="618"/>
      <c r="BD39" s="618"/>
      <c r="BE39" s="618"/>
      <c r="BF39" s="618"/>
      <c r="BG39" s="618"/>
      <c r="BH39" s="618"/>
      <c r="BI39" s="618"/>
      <c r="BJ39" s="618"/>
    </row>
    <row r="40" ht="15.75" customHeight="1">
      <c r="A40" s="618"/>
      <c r="B40" s="618"/>
      <c r="C40" s="618"/>
      <c r="D40" s="618"/>
      <c r="E40" s="664">
        <f t="shared" ref="E40:AI40" si="49">COUNTIF(E8:E35,"E")+COUNTIF(E8:E35,"S")</f>
        <v>6</v>
      </c>
      <c r="F40" s="664">
        <f t="shared" si="49"/>
        <v>5</v>
      </c>
      <c r="G40" s="664">
        <f t="shared" si="49"/>
        <v>4</v>
      </c>
      <c r="H40" s="664">
        <f t="shared" si="49"/>
        <v>4</v>
      </c>
      <c r="I40" s="664">
        <f t="shared" si="49"/>
        <v>4</v>
      </c>
      <c r="J40" s="664">
        <f t="shared" si="49"/>
        <v>4</v>
      </c>
      <c r="K40" s="664">
        <f t="shared" si="49"/>
        <v>4</v>
      </c>
      <c r="L40" s="664">
        <f t="shared" si="49"/>
        <v>4</v>
      </c>
      <c r="M40" s="664">
        <f t="shared" si="49"/>
        <v>2</v>
      </c>
      <c r="N40" s="664">
        <f t="shared" si="49"/>
        <v>2</v>
      </c>
      <c r="O40" s="664">
        <f t="shared" si="49"/>
        <v>2</v>
      </c>
      <c r="P40" s="664">
        <f t="shared" si="49"/>
        <v>2</v>
      </c>
      <c r="Q40" s="664">
        <f t="shared" si="49"/>
        <v>2</v>
      </c>
      <c r="R40" s="664">
        <f t="shared" si="49"/>
        <v>2</v>
      </c>
      <c r="S40" s="664">
        <f t="shared" si="49"/>
        <v>0</v>
      </c>
      <c r="T40" s="664">
        <f t="shared" si="49"/>
        <v>0</v>
      </c>
      <c r="U40" s="664">
        <f t="shared" si="49"/>
        <v>0</v>
      </c>
      <c r="V40" s="664">
        <f t="shared" si="49"/>
        <v>0</v>
      </c>
      <c r="W40" s="664">
        <f t="shared" si="49"/>
        <v>0</v>
      </c>
      <c r="X40" s="664">
        <f t="shared" si="49"/>
        <v>0</v>
      </c>
      <c r="Y40" s="664">
        <f t="shared" si="49"/>
        <v>0</v>
      </c>
      <c r="Z40" s="664">
        <f t="shared" si="49"/>
        <v>0</v>
      </c>
      <c r="AA40" s="664">
        <f t="shared" si="49"/>
        <v>0</v>
      </c>
      <c r="AB40" s="664">
        <f t="shared" si="49"/>
        <v>0</v>
      </c>
      <c r="AC40" s="664">
        <f t="shared" si="49"/>
        <v>0</v>
      </c>
      <c r="AD40" s="664">
        <f t="shared" si="49"/>
        <v>0</v>
      </c>
      <c r="AE40" s="664">
        <f t="shared" si="49"/>
        <v>0</v>
      </c>
      <c r="AF40" s="664">
        <f t="shared" si="49"/>
        <v>0</v>
      </c>
      <c r="AG40" s="664">
        <f t="shared" si="49"/>
        <v>0</v>
      </c>
      <c r="AH40" s="664">
        <f t="shared" si="49"/>
        <v>0</v>
      </c>
      <c r="AI40" s="664">
        <f t="shared" si="49"/>
        <v>0</v>
      </c>
      <c r="AJ40" s="618"/>
      <c r="AK40" s="618"/>
      <c r="AL40" s="618"/>
      <c r="AM40" s="642"/>
      <c r="AN40" s="618"/>
      <c r="AO40" s="618"/>
      <c r="AP40" s="618"/>
      <c r="AQ40" s="618"/>
      <c r="AR40" s="618"/>
      <c r="AS40" s="618"/>
      <c r="AT40" s="618"/>
      <c r="AU40" s="618"/>
      <c r="AV40" s="618"/>
      <c r="AW40" s="618"/>
      <c r="AX40" s="618"/>
      <c r="AY40" s="618"/>
      <c r="AZ40" s="618"/>
      <c r="BA40" s="618"/>
      <c r="BB40" s="618"/>
      <c r="BC40" s="618"/>
      <c r="BD40" s="618"/>
      <c r="BE40" s="618"/>
      <c r="BF40" s="618"/>
      <c r="BG40" s="618"/>
      <c r="BH40" s="618"/>
      <c r="BI40" s="618"/>
      <c r="BJ40" s="618"/>
    </row>
    <row r="41" ht="15.75" customHeight="1">
      <c r="A41" s="618"/>
      <c r="B41" s="618"/>
      <c r="C41" s="618"/>
      <c r="D41" s="618"/>
      <c r="E41" s="622"/>
      <c r="F41" s="618"/>
      <c r="G41" s="618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  <c r="AA41" s="618"/>
      <c r="AB41" s="618"/>
      <c r="AC41" s="618"/>
      <c r="AD41" s="618"/>
      <c r="AE41" s="618"/>
      <c r="AF41" s="618"/>
      <c r="AG41" s="618"/>
      <c r="AH41" s="618"/>
      <c r="AI41" s="618"/>
      <c r="AJ41" s="618"/>
      <c r="AK41" s="618"/>
      <c r="AL41" s="618"/>
      <c r="AM41" s="618"/>
      <c r="AN41" s="618"/>
      <c r="AO41" s="618"/>
      <c r="AP41" s="618"/>
      <c r="AQ41" s="618"/>
      <c r="AR41" s="618"/>
      <c r="AS41" s="618"/>
      <c r="AT41" s="618"/>
      <c r="AU41" s="618"/>
      <c r="AV41" s="618"/>
      <c r="AW41" s="618"/>
      <c r="AX41" s="618"/>
      <c r="AY41" s="618"/>
      <c r="AZ41" s="618"/>
      <c r="BA41" s="618"/>
      <c r="BB41" s="618"/>
      <c r="BC41" s="618"/>
      <c r="BD41" s="618"/>
      <c r="BE41" s="618"/>
      <c r="BF41" s="618"/>
      <c r="BG41" s="618"/>
      <c r="BH41" s="618"/>
      <c r="BI41" s="618"/>
      <c r="BJ41" s="618"/>
    </row>
    <row r="42" ht="15.75" customHeight="1">
      <c r="A42" s="618"/>
      <c r="B42" s="618"/>
      <c r="C42" s="618"/>
      <c r="D42" s="626"/>
      <c r="E42" s="626"/>
      <c r="F42" s="626"/>
      <c r="G42" s="626"/>
      <c r="H42" s="626"/>
      <c r="I42" s="626"/>
      <c r="J42" s="626"/>
      <c r="K42" s="626"/>
      <c r="L42" s="626"/>
      <c r="M42" s="626"/>
      <c r="N42" s="626"/>
      <c r="O42" s="626"/>
      <c r="P42" s="626"/>
      <c r="Q42" s="626"/>
      <c r="R42" s="626"/>
      <c r="S42" s="626"/>
      <c r="T42" s="626"/>
      <c r="U42" s="626"/>
      <c r="V42" s="626"/>
      <c r="W42" s="626"/>
      <c r="X42" s="626"/>
      <c r="Y42" s="626"/>
      <c r="Z42" s="626"/>
      <c r="AA42" s="626"/>
      <c r="AB42" s="626"/>
      <c r="AC42" s="626"/>
      <c r="AD42" s="626"/>
      <c r="AE42" s="626"/>
      <c r="AF42" s="626"/>
      <c r="AG42" s="626"/>
      <c r="AH42" s="626"/>
      <c r="AI42" s="626"/>
      <c r="AJ42" s="618"/>
      <c r="AK42" s="618"/>
      <c r="AL42" s="618"/>
      <c r="AM42" s="618"/>
      <c r="AN42" s="618"/>
      <c r="AO42" s="618"/>
      <c r="AP42" s="618"/>
      <c r="AQ42" s="618"/>
      <c r="AR42" s="618"/>
      <c r="AS42" s="618"/>
      <c r="AT42" s="618"/>
      <c r="AU42" s="618"/>
      <c r="AV42" s="618"/>
      <c r="AW42" s="618"/>
      <c r="AX42" s="618"/>
      <c r="AY42" s="618"/>
      <c r="AZ42" s="618"/>
      <c r="BA42" s="618"/>
      <c r="BB42" s="618"/>
      <c r="BC42" s="618"/>
      <c r="BD42" s="618"/>
      <c r="BE42" s="618"/>
      <c r="BF42" s="618"/>
      <c r="BG42" s="618"/>
      <c r="BH42" s="618"/>
      <c r="BI42" s="618"/>
      <c r="BJ42" s="618"/>
    </row>
    <row r="43" ht="15.75" customHeight="1">
      <c r="A43" s="618"/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  <c r="AA43" s="618"/>
      <c r="AB43" s="618"/>
      <c r="AC43" s="618"/>
      <c r="AD43" s="618"/>
      <c r="AE43" s="618"/>
      <c r="AF43" s="618"/>
      <c r="AG43" s="618"/>
      <c r="AH43" s="618"/>
      <c r="AI43" s="618"/>
      <c r="AJ43" s="618"/>
      <c r="AK43" s="618"/>
      <c r="AL43" s="618"/>
      <c r="AM43" s="618"/>
      <c r="AN43" s="618"/>
      <c r="AO43" s="618"/>
      <c r="AP43" s="618"/>
      <c r="AQ43" s="618"/>
      <c r="AR43" s="618"/>
      <c r="AS43" s="618"/>
      <c r="AT43" s="618"/>
      <c r="AU43" s="618"/>
      <c r="AV43" s="618"/>
      <c r="AW43" s="618"/>
      <c r="AX43" s="618"/>
      <c r="AY43" s="618"/>
      <c r="AZ43" s="618"/>
      <c r="BA43" s="618"/>
      <c r="BB43" s="618"/>
      <c r="BC43" s="618"/>
      <c r="BD43" s="618"/>
      <c r="BE43" s="618"/>
      <c r="BF43" s="618"/>
      <c r="BG43" s="618"/>
      <c r="BH43" s="618"/>
      <c r="BI43" s="618"/>
      <c r="BJ43" s="618"/>
    </row>
    <row r="44" ht="15.75" customHeight="1">
      <c r="A44" s="618"/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  <c r="AA44" s="618"/>
      <c r="AB44" s="618"/>
      <c r="AC44" s="618"/>
      <c r="AD44" s="618"/>
      <c r="AE44" s="618"/>
      <c r="AF44" s="618"/>
      <c r="AG44" s="618"/>
      <c r="AH44" s="618"/>
      <c r="AI44" s="618"/>
      <c r="AJ44" s="618"/>
      <c r="AK44" s="618"/>
      <c r="AL44" s="618"/>
      <c r="AM44" s="618"/>
      <c r="AN44" s="618"/>
      <c r="AO44" s="618"/>
      <c r="AP44" s="618"/>
      <c r="AQ44" s="618"/>
      <c r="AR44" s="618"/>
      <c r="AS44" s="618"/>
      <c r="AT44" s="618"/>
      <c r="AU44" s="618"/>
      <c r="AV44" s="618"/>
      <c r="AW44" s="618"/>
      <c r="AX44" s="618"/>
      <c r="AY44" s="618"/>
      <c r="AZ44" s="618"/>
      <c r="BA44" s="618"/>
      <c r="BB44" s="618"/>
      <c r="BC44" s="618"/>
      <c r="BD44" s="618"/>
      <c r="BE44" s="618"/>
      <c r="BF44" s="618"/>
      <c r="BG44" s="618"/>
      <c r="BH44" s="618"/>
      <c r="BI44" s="618"/>
      <c r="BJ44" s="618"/>
    </row>
    <row r="45" ht="15.75" customHeight="1">
      <c r="A45" s="618"/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18"/>
      <c r="AB45" s="618"/>
      <c r="AC45" s="618"/>
      <c r="AD45" s="618"/>
      <c r="AE45" s="618"/>
      <c r="AF45" s="618"/>
      <c r="AG45" s="618"/>
      <c r="AH45" s="618"/>
      <c r="AI45" s="618"/>
      <c r="AJ45" s="618"/>
      <c r="AK45" s="618"/>
      <c r="AL45" s="618"/>
      <c r="AM45" s="618"/>
      <c r="AN45" s="618"/>
      <c r="AO45" s="618"/>
      <c r="AP45" s="618"/>
      <c r="AQ45" s="618"/>
      <c r="AR45" s="618"/>
      <c r="AS45" s="618"/>
      <c r="AT45" s="618"/>
      <c r="AU45" s="618"/>
      <c r="AV45" s="618"/>
      <c r="AW45" s="618"/>
      <c r="AX45" s="618"/>
      <c r="AY45" s="618"/>
      <c r="AZ45" s="618"/>
      <c r="BA45" s="618"/>
      <c r="BB45" s="618"/>
      <c r="BC45" s="618"/>
      <c r="BD45" s="618"/>
      <c r="BE45" s="618"/>
      <c r="BF45" s="618"/>
      <c r="BG45" s="618"/>
      <c r="BH45" s="618"/>
      <c r="BI45" s="618"/>
      <c r="BJ45" s="618"/>
    </row>
    <row r="46" ht="15.75" customHeight="1">
      <c r="A46" s="618"/>
      <c r="B46" s="618"/>
      <c r="C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  <c r="P46" s="618"/>
      <c r="Q46" s="618"/>
      <c r="R46" s="618"/>
      <c r="S46" s="618"/>
      <c r="T46" s="618"/>
      <c r="U46" s="618"/>
      <c r="V46" s="618"/>
      <c r="W46" s="618"/>
      <c r="X46" s="618"/>
      <c r="Y46" s="618"/>
      <c r="Z46" s="618"/>
      <c r="AA46" s="618"/>
      <c r="AB46" s="618"/>
      <c r="AC46" s="618"/>
      <c r="AD46" s="618"/>
      <c r="AE46" s="618"/>
      <c r="AF46" s="618"/>
      <c r="AG46" s="618"/>
      <c r="AH46" s="618"/>
      <c r="AI46" s="618"/>
      <c r="AJ46" s="618"/>
      <c r="AK46" s="618"/>
      <c r="AL46" s="618"/>
      <c r="AM46" s="618"/>
      <c r="AN46" s="618"/>
      <c r="AO46" s="618"/>
      <c r="AP46" s="618"/>
      <c r="AQ46" s="618"/>
      <c r="AR46" s="618"/>
      <c r="AS46" s="618"/>
      <c r="AT46" s="618"/>
      <c r="AU46" s="618"/>
      <c r="AV46" s="618"/>
      <c r="AW46" s="618"/>
      <c r="AX46" s="618"/>
      <c r="AY46" s="618"/>
      <c r="AZ46" s="618"/>
      <c r="BA46" s="618"/>
      <c r="BB46" s="618"/>
      <c r="BC46" s="618"/>
      <c r="BD46" s="618"/>
      <c r="BE46" s="618"/>
      <c r="BF46" s="618"/>
      <c r="BG46" s="618"/>
      <c r="BH46" s="618"/>
      <c r="BI46" s="618"/>
      <c r="BJ46" s="618"/>
    </row>
    <row r="47" ht="15.75" customHeight="1">
      <c r="A47" s="618"/>
      <c r="B47" s="618"/>
      <c r="C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  <c r="X47" s="618"/>
      <c r="Y47" s="618"/>
      <c r="Z47" s="618"/>
      <c r="AA47" s="618"/>
      <c r="AB47" s="618"/>
      <c r="AC47" s="618"/>
      <c r="AD47" s="618"/>
      <c r="AE47" s="618"/>
      <c r="AF47" s="618"/>
      <c r="AG47" s="618"/>
      <c r="AH47" s="618"/>
      <c r="AI47" s="618"/>
      <c r="AJ47" s="618"/>
      <c r="AK47" s="618"/>
      <c r="AL47" s="618"/>
      <c r="AM47" s="618"/>
      <c r="AN47" s="618"/>
      <c r="AO47" s="618"/>
      <c r="AP47" s="618"/>
      <c r="AQ47" s="618"/>
      <c r="AR47" s="618"/>
      <c r="AS47" s="618"/>
      <c r="AT47" s="618"/>
      <c r="AU47" s="618"/>
      <c r="AV47" s="618"/>
      <c r="AW47" s="618"/>
      <c r="AX47" s="618"/>
      <c r="AY47" s="618"/>
      <c r="AZ47" s="618"/>
      <c r="BA47" s="618"/>
      <c r="BB47" s="618"/>
      <c r="BC47" s="618"/>
      <c r="BD47" s="618"/>
      <c r="BE47" s="618"/>
      <c r="BF47" s="618"/>
      <c r="BG47" s="618"/>
      <c r="BH47" s="618"/>
      <c r="BI47" s="618"/>
      <c r="BJ47" s="618"/>
    </row>
    <row r="48" ht="15.75" customHeight="1">
      <c r="A48" s="618"/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  <c r="R48" s="618"/>
      <c r="S48" s="618"/>
      <c r="T48" s="618"/>
      <c r="U48" s="618"/>
      <c r="V48" s="618"/>
      <c r="W48" s="618"/>
      <c r="X48" s="618"/>
      <c r="Y48" s="618"/>
      <c r="Z48" s="618"/>
      <c r="AA48" s="618"/>
      <c r="AB48" s="618"/>
      <c r="AC48" s="618"/>
      <c r="AD48" s="618"/>
      <c r="AE48" s="618"/>
      <c r="AF48" s="618"/>
      <c r="AG48" s="618"/>
      <c r="AH48" s="618"/>
      <c r="AI48" s="618"/>
      <c r="AJ48" s="618"/>
      <c r="AK48" s="618"/>
      <c r="AL48" s="618"/>
      <c r="AM48" s="618"/>
      <c r="AN48" s="618"/>
      <c r="AO48" s="618"/>
      <c r="AP48" s="618"/>
      <c r="AQ48" s="618"/>
      <c r="AR48" s="618"/>
      <c r="AS48" s="618"/>
      <c r="AT48" s="618"/>
      <c r="AU48" s="618"/>
      <c r="AV48" s="618"/>
      <c r="AW48" s="618"/>
      <c r="AX48" s="618"/>
      <c r="AY48" s="618"/>
      <c r="AZ48" s="618"/>
      <c r="BA48" s="618"/>
      <c r="BB48" s="618"/>
      <c r="BC48" s="618"/>
      <c r="BD48" s="618"/>
      <c r="BE48" s="618"/>
      <c r="BF48" s="618"/>
      <c r="BG48" s="618"/>
      <c r="BH48" s="618"/>
      <c r="BI48" s="618"/>
      <c r="BJ48" s="618"/>
    </row>
    <row r="49" ht="15.75" customHeight="1">
      <c r="A49" s="618"/>
      <c r="B49" s="618"/>
      <c r="C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  <c r="P49" s="618"/>
      <c r="Q49" s="618"/>
      <c r="R49" s="618"/>
      <c r="S49" s="618"/>
      <c r="T49" s="618"/>
      <c r="U49" s="618"/>
      <c r="V49" s="618"/>
      <c r="W49" s="618"/>
      <c r="X49" s="618"/>
      <c r="Y49" s="618"/>
      <c r="Z49" s="618"/>
      <c r="AA49" s="618"/>
      <c r="AB49" s="618"/>
      <c r="AC49" s="618"/>
      <c r="AD49" s="618"/>
      <c r="AE49" s="618"/>
      <c r="AF49" s="618"/>
      <c r="AG49" s="618"/>
      <c r="AH49" s="618"/>
      <c r="AI49" s="618"/>
      <c r="AJ49" s="618"/>
      <c r="AK49" s="618"/>
      <c r="AL49" s="618"/>
      <c r="AM49" s="618"/>
      <c r="AN49" s="618"/>
      <c r="AO49" s="618"/>
      <c r="AP49" s="618"/>
      <c r="AQ49" s="618"/>
      <c r="AR49" s="618"/>
      <c r="AS49" s="618"/>
      <c r="AT49" s="618"/>
      <c r="AU49" s="618"/>
      <c r="AV49" s="618"/>
      <c r="AW49" s="618"/>
      <c r="AX49" s="618"/>
      <c r="AY49" s="618"/>
      <c r="AZ49" s="618"/>
      <c r="BA49" s="618"/>
      <c r="BB49" s="618"/>
      <c r="BC49" s="618"/>
      <c r="BD49" s="618"/>
      <c r="BE49" s="618"/>
      <c r="BF49" s="618"/>
      <c r="BG49" s="618"/>
      <c r="BH49" s="618"/>
      <c r="BI49" s="618"/>
      <c r="BJ49" s="618"/>
    </row>
    <row r="50" ht="15.75" customHeight="1">
      <c r="A50" s="618"/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18"/>
      <c r="AB50" s="618"/>
      <c r="AC50" s="618"/>
      <c r="AD50" s="618"/>
      <c r="AE50" s="618"/>
      <c r="AF50" s="618"/>
      <c r="AG50" s="618"/>
      <c r="AH50" s="618"/>
      <c r="AI50" s="618"/>
      <c r="AJ50" s="618"/>
      <c r="AK50" s="618"/>
      <c r="AL50" s="618"/>
      <c r="AM50" s="618"/>
      <c r="AN50" s="618"/>
      <c r="AO50" s="618"/>
      <c r="AP50" s="618"/>
      <c r="AQ50" s="618"/>
      <c r="AR50" s="618"/>
      <c r="AS50" s="618"/>
      <c r="AT50" s="618"/>
      <c r="AU50" s="618"/>
      <c r="AV50" s="618"/>
      <c r="AW50" s="618"/>
      <c r="AX50" s="618"/>
      <c r="AY50" s="618"/>
      <c r="AZ50" s="618"/>
      <c r="BA50" s="618"/>
      <c r="BB50" s="618"/>
      <c r="BC50" s="618"/>
      <c r="BD50" s="618"/>
      <c r="BE50" s="618"/>
      <c r="BF50" s="618"/>
      <c r="BG50" s="618"/>
      <c r="BH50" s="618"/>
      <c r="BI50" s="618"/>
      <c r="BJ50" s="618"/>
    </row>
    <row r="51" ht="15.75" customHeight="1">
      <c r="A51" s="618"/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618"/>
      <c r="AD51" s="618"/>
      <c r="AE51" s="618"/>
      <c r="AF51" s="618"/>
      <c r="AG51" s="618"/>
      <c r="AH51" s="618"/>
      <c r="AI51" s="618"/>
      <c r="AJ51" s="618"/>
      <c r="AK51" s="618"/>
      <c r="AL51" s="618"/>
      <c r="AM51" s="618"/>
      <c r="AN51" s="618"/>
      <c r="AO51" s="618"/>
      <c r="AP51" s="618"/>
      <c r="AQ51" s="618"/>
      <c r="AR51" s="618"/>
      <c r="AS51" s="618"/>
      <c r="AT51" s="618"/>
      <c r="AU51" s="618"/>
      <c r="AV51" s="618"/>
      <c r="AW51" s="618"/>
      <c r="AX51" s="618"/>
      <c r="AY51" s="618"/>
      <c r="AZ51" s="618"/>
      <c r="BA51" s="618"/>
      <c r="BB51" s="618"/>
      <c r="BC51" s="618"/>
      <c r="BD51" s="618"/>
      <c r="BE51" s="618"/>
      <c r="BF51" s="618"/>
      <c r="BG51" s="618"/>
      <c r="BH51" s="618"/>
      <c r="BI51" s="618"/>
      <c r="BJ51" s="618"/>
    </row>
    <row r="52" ht="15.75" customHeight="1">
      <c r="A52" s="618"/>
      <c r="B52" s="618"/>
      <c r="C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  <c r="P52" s="618"/>
      <c r="Q52" s="618"/>
      <c r="R52" s="618"/>
      <c r="S52" s="618"/>
      <c r="T52" s="618"/>
      <c r="U52" s="618"/>
      <c r="V52" s="618"/>
      <c r="W52" s="618"/>
      <c r="X52" s="618"/>
      <c r="Y52" s="618"/>
      <c r="Z52" s="618"/>
      <c r="AA52" s="618"/>
      <c r="AB52" s="618"/>
      <c r="AC52" s="618"/>
      <c r="AD52" s="618"/>
      <c r="AE52" s="618"/>
      <c r="AF52" s="618"/>
      <c r="AG52" s="618"/>
      <c r="AH52" s="618"/>
      <c r="AI52" s="618"/>
      <c r="AJ52" s="618"/>
      <c r="AK52" s="618"/>
      <c r="AL52" s="618"/>
      <c r="AM52" s="618"/>
      <c r="AN52" s="618"/>
      <c r="AO52" s="618"/>
      <c r="AP52" s="618"/>
      <c r="AQ52" s="618"/>
      <c r="AR52" s="618"/>
      <c r="AS52" s="618"/>
      <c r="AT52" s="618"/>
      <c r="AU52" s="618"/>
      <c r="AV52" s="618"/>
      <c r="AW52" s="618"/>
      <c r="AX52" s="618"/>
      <c r="AY52" s="618"/>
      <c r="AZ52" s="618"/>
      <c r="BA52" s="618"/>
      <c r="BB52" s="618"/>
      <c r="BC52" s="618"/>
      <c r="BD52" s="618"/>
      <c r="BE52" s="618"/>
      <c r="BF52" s="618"/>
      <c r="BG52" s="618"/>
      <c r="BH52" s="618"/>
      <c r="BI52" s="618"/>
      <c r="BJ52" s="61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AR6:AZ6"/>
    <mergeCell ref="AX36:AX39"/>
    <mergeCell ref="AY36:AY39"/>
    <mergeCell ref="AZ36:AZ39"/>
    <mergeCell ref="BA36:BA39"/>
    <mergeCell ref="AP36:AP39"/>
    <mergeCell ref="AR36:AR39"/>
    <mergeCell ref="AS36:AS39"/>
    <mergeCell ref="AT36:AT39"/>
    <mergeCell ref="AU36:AU39"/>
    <mergeCell ref="AV36:AV39"/>
    <mergeCell ref="AW36:AW39"/>
    <mergeCell ref="U6:U7"/>
    <mergeCell ref="V6:V7"/>
    <mergeCell ref="W6:W7"/>
    <mergeCell ref="X6:X7"/>
    <mergeCell ref="Y6:Y7"/>
    <mergeCell ref="Z6:Z7"/>
    <mergeCell ref="AA6:AA7"/>
    <mergeCell ref="AB6:AB7"/>
    <mergeCell ref="I1:AE1"/>
    <mergeCell ref="A6:A7"/>
    <mergeCell ref="B6:B7"/>
    <mergeCell ref="C6:C7"/>
    <mergeCell ref="D6:D7"/>
    <mergeCell ref="E6:E7"/>
    <mergeCell ref="F6:F7"/>
    <mergeCell ref="AE6:AE7"/>
    <mergeCell ref="AC6:AC7"/>
    <mergeCell ref="AD6:AD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O36:AO39"/>
  </mergeCells>
  <conditionalFormatting sqref="E8:AI33">
    <cfRule type="containsText" dxfId="4" priority="1" operator="containsText" text="SM">
      <formula>NOT(ISERROR(SEARCH(("SM"),(E8))))</formula>
    </cfRule>
  </conditionalFormatting>
  <conditionalFormatting sqref="E8:AI33">
    <cfRule type="containsText" dxfId="4" priority="2" operator="containsText" text="PC">
      <formula>NOT(ISERROR(SEARCH(("PC"),(E8))))</formula>
    </cfRule>
  </conditionalFormatting>
  <conditionalFormatting sqref="E8:AI33">
    <cfRule type="containsText" dxfId="4" priority="3" operator="containsText" text="F">
      <formula>NOT(ISERROR(SEARCH(("F"),(E8))))</formula>
    </cfRule>
  </conditionalFormatting>
  <conditionalFormatting sqref="E8:AI33">
    <cfRule type="containsText" dxfId="4" priority="4" operator="containsText" text="PP">
      <formula>NOT(ISERROR(SEARCH(("PP"),(E8))))</formula>
    </cfRule>
  </conditionalFormatting>
  <conditionalFormatting sqref="E8:AI33">
    <cfRule type="containsText" dxfId="10" priority="5" operator="containsText" text="PV">
      <formula>NOT(ISERROR(SEARCH(("PV"),(E8))))</formula>
    </cfRule>
  </conditionalFormatting>
  <conditionalFormatting sqref="E8:AI33">
    <cfRule type="containsBlanks" dxfId="2" priority="6">
      <formula>LEN(TRIM(E8))=0</formula>
    </cfRule>
  </conditionalFormatting>
  <conditionalFormatting sqref="E8:AI33">
    <cfRule type="cellIs" dxfId="10" priority="7" operator="equal">
      <formula>"DS"</formula>
    </cfRule>
  </conditionalFormatting>
  <conditionalFormatting sqref="E8:AI33">
    <cfRule type="cellIs" dxfId="3" priority="8" operator="equal">
      <formula>"D"</formula>
    </cfRule>
  </conditionalFormatting>
  <conditionalFormatting sqref="E8:AI33">
    <cfRule type="cellIs" dxfId="3" priority="9" operator="equal">
      <formula>"T"</formula>
    </cfRule>
  </conditionalFormatting>
  <conditionalFormatting sqref="E8:AI33">
    <cfRule type="cellIs" dxfId="11" priority="10" operator="equal">
      <formula>"VT"</formula>
    </cfRule>
  </conditionalFormatting>
  <conditionalFormatting sqref="E8:AI33">
    <cfRule type="containsText" dxfId="10" priority="11" operator="containsText" text="OO">
      <formula>NOT(ISERROR(SEARCH(("OO"),(E8))))</formula>
    </cfRule>
  </conditionalFormatting>
  <conditionalFormatting sqref="E8:AI33">
    <cfRule type="cellIs" dxfId="10" priority="12" operator="equal">
      <formula>"E"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5"/>
    <col customWidth="1" min="2" max="2" width="10.5"/>
    <col customWidth="1" min="3" max="3" width="21.63"/>
    <col customWidth="1" min="4" max="4" width="22.63"/>
    <col customWidth="1" min="5" max="5" width="6.38"/>
    <col customWidth="1" hidden="1" min="6" max="6" width="11.88"/>
    <col customWidth="1" min="7" max="7" width="15.88"/>
    <col customWidth="1" min="8" max="8" width="36.13"/>
    <col customWidth="1" min="9" max="9" width="16.88"/>
    <col customWidth="1" min="10" max="10" width="15.63"/>
    <col customWidth="1" min="11" max="11" width="15.88"/>
    <col customWidth="1" min="12" max="12" width="20.88"/>
    <col customWidth="1" min="13" max="13" width="21.88"/>
    <col customWidth="1" min="14" max="14" width="3.25"/>
    <col customWidth="1" min="15" max="15" width="18.25"/>
    <col customWidth="1" min="16" max="16" width="16.25"/>
    <col customWidth="1" min="17" max="17" width="10.38"/>
    <col customWidth="1" min="18" max="18" width="11.63"/>
    <col customWidth="1" min="19" max="19" width="3.38"/>
    <col customWidth="1" min="20" max="20" width="17.13"/>
    <col customWidth="1" min="21" max="21" width="17.38"/>
    <col customWidth="1" min="22" max="22" width="18.75"/>
    <col customWidth="1" min="23" max="23" width="8.13"/>
    <col customWidth="1" min="24" max="24" width="11.25"/>
    <col customWidth="1" min="25" max="25" width="11.88"/>
    <col customWidth="1" min="26" max="26" width="8.5"/>
    <col customWidth="1" min="27" max="28" width="11.63"/>
    <col customWidth="1" min="29" max="29" width="11.88"/>
    <col customWidth="1" min="30" max="30" width="9.63"/>
    <col customWidth="1" min="31" max="31" width="23.0"/>
    <col customWidth="1" min="32" max="32" width="10.63"/>
    <col customWidth="1" min="33" max="33" width="9.63"/>
  </cols>
  <sheetData>
    <row r="1" ht="27.0" customHeight="1">
      <c r="A1" s="682" t="s">
        <v>2</v>
      </c>
      <c r="B1" s="683" t="s">
        <v>3066</v>
      </c>
      <c r="C1" s="684" t="s">
        <v>3105</v>
      </c>
      <c r="D1" s="685" t="s">
        <v>2871</v>
      </c>
      <c r="E1" s="683" t="s">
        <v>2906</v>
      </c>
      <c r="F1" s="686" t="s">
        <v>2531</v>
      </c>
      <c r="G1" s="683" t="s">
        <v>3531</v>
      </c>
      <c r="H1" s="683" t="s">
        <v>3532</v>
      </c>
      <c r="I1" s="683" t="s">
        <v>3533</v>
      </c>
      <c r="J1" s="687" t="s">
        <v>3534</v>
      </c>
      <c r="K1" s="688" t="s">
        <v>3535</v>
      </c>
      <c r="L1" s="689"/>
      <c r="M1" s="689"/>
      <c r="N1" s="689"/>
      <c r="O1" s="689"/>
      <c r="P1" s="690"/>
      <c r="Q1" s="691"/>
      <c r="R1" s="690"/>
      <c r="S1" s="689"/>
      <c r="T1" s="689"/>
      <c r="U1" s="689"/>
      <c r="V1" s="689"/>
      <c r="W1" s="689"/>
      <c r="X1" s="689"/>
      <c r="Y1" s="689"/>
      <c r="Z1" s="689"/>
      <c r="AA1" s="689"/>
      <c r="AB1" s="692"/>
      <c r="AC1" s="692"/>
      <c r="AD1" s="693"/>
      <c r="AE1" s="693"/>
      <c r="AF1" s="694"/>
      <c r="AG1" s="694"/>
      <c r="AH1" s="695"/>
      <c r="AI1" s="695"/>
      <c r="AJ1" s="695"/>
      <c r="AK1" s="695"/>
    </row>
    <row r="2" ht="5.25" customHeight="1">
      <c r="A2" s="198"/>
      <c r="B2" s="696"/>
      <c r="C2" s="697"/>
      <c r="D2" s="698"/>
      <c r="E2" s="699"/>
      <c r="F2" s="700"/>
      <c r="G2" s="699"/>
      <c r="H2" s="699"/>
      <c r="I2" s="699"/>
      <c r="J2" s="699"/>
      <c r="K2" s="701"/>
      <c r="L2" s="702"/>
      <c r="M2" s="703"/>
      <c r="N2" s="703"/>
      <c r="O2" s="198"/>
      <c r="P2" s="704"/>
      <c r="Q2" s="705">
        <f t="shared" ref="Q2:Q10" si="1">IFERROR(R2/P2,0)</f>
        <v>0</v>
      </c>
      <c r="R2" s="704"/>
      <c r="S2" s="699"/>
      <c r="T2" s="706"/>
      <c r="U2" s="707"/>
      <c r="V2" s="699"/>
      <c r="W2" s="708"/>
      <c r="X2" s="708"/>
      <c r="Y2" s="708"/>
      <c r="Z2" s="709"/>
      <c r="AA2" s="710"/>
      <c r="AB2" s="708"/>
      <c r="AC2" s="708"/>
      <c r="AD2" s="701"/>
      <c r="AE2" s="701"/>
      <c r="AF2" s="198"/>
      <c r="AG2" s="198"/>
      <c r="AH2" s="199"/>
      <c r="AI2" s="199"/>
      <c r="AJ2" s="199"/>
      <c r="AK2" s="199"/>
    </row>
    <row r="3" ht="15.75" customHeight="1">
      <c r="A3" s="711" t="s">
        <v>3536</v>
      </c>
      <c r="B3" s="712"/>
      <c r="C3" s="712"/>
      <c r="D3" s="712"/>
      <c r="E3" s="712"/>
      <c r="F3" s="712"/>
      <c r="G3" s="712"/>
      <c r="H3" s="712"/>
      <c r="I3" s="712"/>
      <c r="J3" s="712"/>
      <c r="K3" s="713"/>
      <c r="L3" s="702"/>
      <c r="M3" s="703"/>
      <c r="N3" s="703"/>
      <c r="O3" s="198"/>
      <c r="P3" s="704"/>
      <c r="Q3" s="705">
        <f t="shared" si="1"/>
        <v>0</v>
      </c>
      <c r="R3" s="704"/>
      <c r="S3" s="699"/>
      <c r="T3" s="706"/>
      <c r="U3" s="707"/>
      <c r="V3" s="699"/>
      <c r="W3" s="708"/>
      <c r="X3" s="708"/>
      <c r="Y3" s="708"/>
      <c r="Z3" s="709"/>
      <c r="AA3" s="710"/>
      <c r="AB3" s="708"/>
      <c r="AC3" s="708"/>
      <c r="AD3" s="701"/>
      <c r="AE3" s="701"/>
      <c r="AF3" s="198"/>
      <c r="AG3" s="198"/>
      <c r="AH3" s="199"/>
      <c r="AI3" s="199"/>
      <c r="AJ3" s="199"/>
      <c r="AK3" s="199"/>
    </row>
    <row r="4" ht="15.75" customHeight="1">
      <c r="A4" s="714">
        <v>45351.0</v>
      </c>
      <c r="B4" s="715" t="s">
        <v>143</v>
      </c>
      <c r="C4" s="701" t="s">
        <v>3537</v>
      </c>
      <c r="D4" s="701" t="s">
        <v>3538</v>
      </c>
      <c r="E4" s="701">
        <v>978.0</v>
      </c>
      <c r="F4" s="701">
        <v>1283976.0</v>
      </c>
      <c r="G4" s="701" t="s">
        <v>39</v>
      </c>
      <c r="H4" s="701" t="s">
        <v>3539</v>
      </c>
      <c r="I4" s="701" t="s">
        <v>3540</v>
      </c>
      <c r="J4" s="701" t="s">
        <v>3541</v>
      </c>
      <c r="K4" s="716">
        <v>8000.0</v>
      </c>
      <c r="L4" s="702"/>
      <c r="M4" s="703"/>
      <c r="N4" s="703"/>
      <c r="O4" s="198"/>
      <c r="P4" s="704"/>
      <c r="Q4" s="705">
        <f t="shared" si="1"/>
        <v>0</v>
      </c>
      <c r="R4" s="704"/>
      <c r="S4" s="699"/>
      <c r="T4" s="706"/>
      <c r="U4" s="707"/>
      <c r="V4" s="699"/>
      <c r="W4" s="708"/>
      <c r="X4" s="708"/>
      <c r="Y4" s="708"/>
      <c r="Z4" s="709"/>
      <c r="AA4" s="710"/>
      <c r="AB4" s="708"/>
      <c r="AC4" s="708"/>
      <c r="AD4" s="701"/>
      <c r="AE4" s="701"/>
      <c r="AF4" s="198"/>
      <c r="AG4" s="198"/>
      <c r="AH4" s="199"/>
      <c r="AI4" s="199"/>
      <c r="AJ4" s="199"/>
      <c r="AK4" s="199"/>
    </row>
    <row r="5" ht="15.75" customHeight="1">
      <c r="A5" s="714">
        <v>45351.0</v>
      </c>
      <c r="B5" s="715" t="s">
        <v>146</v>
      </c>
      <c r="C5" s="701" t="s">
        <v>3542</v>
      </c>
      <c r="D5" s="701" t="s">
        <v>3543</v>
      </c>
      <c r="E5" s="701">
        <v>793.0</v>
      </c>
      <c r="F5" s="701">
        <v>1283980.0</v>
      </c>
      <c r="G5" s="701" t="s">
        <v>39</v>
      </c>
      <c r="H5" s="701"/>
      <c r="I5" s="701"/>
      <c r="J5" s="701"/>
      <c r="K5" s="716">
        <v>5000.0</v>
      </c>
      <c r="L5" s="702"/>
      <c r="M5" s="703"/>
      <c r="N5" s="703"/>
      <c r="O5" s="198"/>
      <c r="P5" s="704"/>
      <c r="Q5" s="705">
        <f t="shared" si="1"/>
        <v>0</v>
      </c>
      <c r="R5" s="704"/>
      <c r="S5" s="699"/>
      <c r="T5" s="706"/>
      <c r="U5" s="707"/>
      <c r="V5" s="699"/>
      <c r="W5" s="708"/>
      <c r="X5" s="708"/>
      <c r="Y5" s="708"/>
      <c r="Z5" s="709"/>
      <c r="AA5" s="710"/>
      <c r="AB5" s="708"/>
      <c r="AC5" s="708"/>
      <c r="AD5" s="701"/>
      <c r="AE5" s="701"/>
      <c r="AF5" s="198"/>
      <c r="AG5" s="198"/>
      <c r="AH5" s="199"/>
      <c r="AI5" s="199"/>
      <c r="AJ5" s="199"/>
      <c r="AK5" s="199"/>
    </row>
    <row r="6" ht="15.75" customHeight="1">
      <c r="A6" s="714">
        <v>45351.0</v>
      </c>
      <c r="B6" s="715" t="s">
        <v>83</v>
      </c>
      <c r="C6" s="701" t="s">
        <v>3544</v>
      </c>
      <c r="D6" s="701" t="s">
        <v>3545</v>
      </c>
      <c r="E6" s="701">
        <v>687.0</v>
      </c>
      <c r="F6" s="701">
        <v>1283970.0</v>
      </c>
      <c r="G6" s="701" t="s">
        <v>39</v>
      </c>
      <c r="H6" s="701"/>
      <c r="I6" s="701"/>
      <c r="J6" s="701"/>
      <c r="K6" s="716" t="s">
        <v>3546</v>
      </c>
      <c r="L6" s="702"/>
      <c r="M6" s="703"/>
      <c r="N6" s="703"/>
      <c r="O6" s="198"/>
      <c r="P6" s="704"/>
      <c r="Q6" s="705">
        <f t="shared" si="1"/>
        <v>0</v>
      </c>
      <c r="R6" s="704"/>
      <c r="S6" s="699"/>
      <c r="T6" s="706"/>
      <c r="U6" s="707"/>
      <c r="V6" s="699"/>
      <c r="W6" s="708"/>
      <c r="X6" s="708"/>
      <c r="Y6" s="708"/>
      <c r="Z6" s="709"/>
      <c r="AA6" s="710"/>
      <c r="AB6" s="708"/>
      <c r="AC6" s="708"/>
      <c r="AD6" s="701"/>
      <c r="AE6" s="701"/>
      <c r="AF6" s="198"/>
      <c r="AG6" s="198"/>
      <c r="AH6" s="199"/>
      <c r="AI6" s="199"/>
      <c r="AJ6" s="199"/>
      <c r="AK6" s="199"/>
    </row>
    <row r="7" ht="15.75" customHeight="1">
      <c r="A7" s="714">
        <v>45352.0</v>
      </c>
      <c r="B7" s="715" t="s">
        <v>173</v>
      </c>
      <c r="C7" s="701" t="s">
        <v>3547</v>
      </c>
      <c r="D7" s="701" t="s">
        <v>3548</v>
      </c>
      <c r="E7" s="701">
        <v>766.0</v>
      </c>
      <c r="F7" s="701">
        <v>1283981.0</v>
      </c>
      <c r="G7" s="701" t="s">
        <v>39</v>
      </c>
      <c r="H7" s="701" t="s">
        <v>3549</v>
      </c>
      <c r="I7" s="701" t="s">
        <v>3550</v>
      </c>
      <c r="J7" s="701" t="s">
        <v>3551</v>
      </c>
      <c r="K7" s="716">
        <v>3800.0</v>
      </c>
      <c r="L7" s="702"/>
      <c r="M7" s="703"/>
      <c r="N7" s="703"/>
      <c r="O7" s="198"/>
      <c r="P7" s="704"/>
      <c r="Q7" s="705">
        <f t="shared" si="1"/>
        <v>0</v>
      </c>
      <c r="R7" s="704"/>
      <c r="S7" s="699"/>
      <c r="T7" s="706"/>
      <c r="U7" s="707"/>
      <c r="V7" s="699"/>
      <c r="W7" s="708"/>
      <c r="X7" s="708"/>
      <c r="Y7" s="708"/>
      <c r="Z7" s="709"/>
      <c r="AA7" s="710"/>
      <c r="AB7" s="708"/>
      <c r="AC7" s="708"/>
      <c r="AD7" s="701"/>
      <c r="AE7" s="701"/>
      <c r="AF7" s="198"/>
      <c r="AG7" s="198"/>
      <c r="AH7" s="199"/>
      <c r="AI7" s="199"/>
      <c r="AJ7" s="199"/>
      <c r="AK7" s="199"/>
    </row>
    <row r="8" ht="15.75" customHeight="1">
      <c r="A8" s="714">
        <v>45351.0</v>
      </c>
      <c r="B8" s="715" t="s">
        <v>69</v>
      </c>
      <c r="C8" s="701" t="s">
        <v>3552</v>
      </c>
      <c r="D8" s="701" t="s">
        <v>3553</v>
      </c>
      <c r="E8" s="701">
        <v>613.0</v>
      </c>
      <c r="F8" s="701">
        <v>1284006.0</v>
      </c>
      <c r="G8" s="701" t="s">
        <v>39</v>
      </c>
      <c r="H8" s="701"/>
      <c r="I8" s="701"/>
      <c r="J8" s="701"/>
      <c r="K8" s="716">
        <v>4300.0</v>
      </c>
      <c r="L8" s="702"/>
      <c r="M8" s="703"/>
      <c r="N8" s="703"/>
      <c r="O8" s="198"/>
      <c r="P8" s="704"/>
      <c r="Q8" s="705">
        <f t="shared" si="1"/>
        <v>0</v>
      </c>
      <c r="R8" s="704"/>
      <c r="S8" s="699"/>
      <c r="T8" s="706"/>
      <c r="U8" s="707"/>
      <c r="V8" s="699"/>
      <c r="W8" s="708"/>
      <c r="X8" s="708"/>
      <c r="Y8" s="708"/>
      <c r="Z8" s="709"/>
      <c r="AA8" s="710"/>
      <c r="AB8" s="708"/>
      <c r="AC8" s="708"/>
      <c r="AD8" s="701"/>
      <c r="AE8" s="701"/>
      <c r="AF8" s="198"/>
      <c r="AG8" s="198"/>
      <c r="AH8" s="199"/>
      <c r="AI8" s="199"/>
      <c r="AJ8" s="199"/>
      <c r="AK8" s="199"/>
    </row>
    <row r="9" ht="15.75" customHeight="1">
      <c r="A9" s="714">
        <v>45352.0</v>
      </c>
      <c r="B9" s="715" t="s">
        <v>128</v>
      </c>
      <c r="C9" s="701" t="s">
        <v>3554</v>
      </c>
      <c r="D9" s="701" t="s">
        <v>3553</v>
      </c>
      <c r="E9" s="701">
        <v>500.0</v>
      </c>
      <c r="F9" s="701">
        <v>1283985.0</v>
      </c>
      <c r="G9" s="701" t="s">
        <v>39</v>
      </c>
      <c r="H9" s="701" t="s">
        <v>3555</v>
      </c>
      <c r="I9" s="701" t="s">
        <v>3556</v>
      </c>
      <c r="J9" s="716">
        <v>7158.12</v>
      </c>
      <c r="K9" s="716">
        <v>5000.0</v>
      </c>
      <c r="L9" s="702"/>
      <c r="M9" s="703"/>
      <c r="N9" s="703"/>
      <c r="O9" s="198"/>
      <c r="P9" s="704"/>
      <c r="Q9" s="705">
        <f t="shared" si="1"/>
        <v>0</v>
      </c>
      <c r="R9" s="704"/>
      <c r="S9" s="699"/>
      <c r="T9" s="706"/>
      <c r="U9" s="707"/>
      <c r="V9" s="699"/>
      <c r="W9" s="708"/>
      <c r="X9" s="708"/>
      <c r="Y9" s="708"/>
      <c r="Z9" s="709"/>
      <c r="AA9" s="710"/>
      <c r="AB9" s="708"/>
      <c r="AC9" s="708"/>
      <c r="AD9" s="701"/>
      <c r="AE9" s="701"/>
      <c r="AF9" s="198"/>
      <c r="AG9" s="198"/>
      <c r="AH9" s="199"/>
      <c r="AI9" s="199"/>
      <c r="AJ9" s="199"/>
      <c r="AK9" s="199"/>
    </row>
    <row r="10" ht="15.75" customHeight="1">
      <c r="A10" s="714">
        <v>45355.0</v>
      </c>
      <c r="B10" s="715" t="s">
        <v>183</v>
      </c>
      <c r="C10" s="701" t="s">
        <v>3557</v>
      </c>
      <c r="D10" s="701" t="s">
        <v>3548</v>
      </c>
      <c r="E10" s="701">
        <v>547.0</v>
      </c>
      <c r="F10" s="701">
        <v>1284097.0</v>
      </c>
      <c r="G10" s="701" t="s">
        <v>39</v>
      </c>
      <c r="H10" s="701" t="s">
        <v>3558</v>
      </c>
      <c r="I10" s="701" t="s">
        <v>3540</v>
      </c>
      <c r="J10" s="716" t="s">
        <v>3559</v>
      </c>
      <c r="K10" s="716" t="s">
        <v>3560</v>
      </c>
      <c r="L10" s="702"/>
      <c r="M10" s="703"/>
      <c r="N10" s="703"/>
      <c r="O10" s="198"/>
      <c r="P10" s="704"/>
      <c r="Q10" s="705">
        <f t="shared" si="1"/>
        <v>0</v>
      </c>
      <c r="R10" s="704"/>
      <c r="S10" s="699"/>
      <c r="T10" s="706"/>
      <c r="U10" s="707"/>
      <c r="V10" s="699"/>
      <c r="W10" s="708"/>
      <c r="X10" s="708"/>
      <c r="Y10" s="708"/>
      <c r="Z10" s="707"/>
      <c r="AA10" s="708"/>
      <c r="AB10" s="708"/>
      <c r="AC10" s="708"/>
      <c r="AD10" s="701"/>
      <c r="AE10" s="701"/>
      <c r="AF10" s="198"/>
      <c r="AG10" s="198"/>
      <c r="AH10" s="199"/>
      <c r="AI10" s="199"/>
      <c r="AJ10" s="199"/>
      <c r="AK10" s="199"/>
    </row>
    <row r="11" ht="15.75" customHeight="1">
      <c r="A11" s="714">
        <v>45356.0</v>
      </c>
      <c r="B11" s="715" t="s">
        <v>184</v>
      </c>
      <c r="C11" s="701" t="s">
        <v>3561</v>
      </c>
      <c r="D11" s="701" t="s">
        <v>3562</v>
      </c>
      <c r="E11" s="701">
        <v>463.0</v>
      </c>
      <c r="F11" s="717"/>
      <c r="G11" s="701"/>
      <c r="H11" s="701" t="s">
        <v>3563</v>
      </c>
      <c r="I11" s="701" t="s">
        <v>3564</v>
      </c>
      <c r="J11" s="716">
        <v>5550.0</v>
      </c>
      <c r="K11" s="716" t="s">
        <v>3560</v>
      </c>
      <c r="L11" s="702"/>
      <c r="M11" s="703"/>
      <c r="N11" s="703"/>
      <c r="O11" s="198"/>
      <c r="P11" s="704"/>
      <c r="Q11" s="705"/>
      <c r="R11" s="704"/>
      <c r="S11" s="699"/>
      <c r="T11" s="706"/>
      <c r="U11" s="707"/>
      <c r="V11" s="699"/>
      <c r="W11" s="708"/>
      <c r="X11" s="708"/>
      <c r="Y11" s="708"/>
      <c r="Z11" s="707"/>
      <c r="AA11" s="708"/>
      <c r="AB11" s="708"/>
      <c r="AC11" s="708"/>
      <c r="AD11" s="701"/>
      <c r="AE11" s="701"/>
      <c r="AF11" s="198"/>
      <c r="AG11" s="198"/>
      <c r="AH11" s="199"/>
      <c r="AI11" s="199"/>
      <c r="AJ11" s="199"/>
      <c r="AK11" s="199"/>
    </row>
    <row r="12" ht="15.75" customHeight="1">
      <c r="A12" s="714">
        <v>45364.0</v>
      </c>
      <c r="B12" s="715" t="s">
        <v>83</v>
      </c>
      <c r="C12" s="701" t="s">
        <v>3565</v>
      </c>
      <c r="D12" s="701" t="s">
        <v>3553</v>
      </c>
      <c r="E12" s="701"/>
      <c r="F12" s="701">
        <v>1289750.0</v>
      </c>
      <c r="G12" s="701"/>
      <c r="H12" s="701" t="s">
        <v>3566</v>
      </c>
      <c r="I12" s="701" t="s">
        <v>3567</v>
      </c>
      <c r="J12" s="716"/>
      <c r="K12" s="716">
        <v>2100.0</v>
      </c>
      <c r="L12" s="702"/>
      <c r="M12" s="703"/>
      <c r="N12" s="703"/>
      <c r="O12" s="198"/>
      <c r="P12" s="704"/>
      <c r="Q12" s="705">
        <f t="shared" ref="Q12:Q14" si="2">IFERROR(R12/P12,0)</f>
        <v>0</v>
      </c>
      <c r="R12" s="704"/>
      <c r="S12" s="699"/>
      <c r="T12" s="706"/>
      <c r="U12" s="707"/>
      <c r="V12" s="699"/>
      <c r="W12" s="708"/>
      <c r="X12" s="708"/>
      <c r="Y12" s="708"/>
      <c r="Z12" s="707"/>
      <c r="AA12" s="708"/>
      <c r="AB12" s="708"/>
      <c r="AC12" s="708"/>
      <c r="AD12" s="701"/>
      <c r="AE12" s="701"/>
      <c r="AF12" s="198"/>
      <c r="AG12" s="198"/>
      <c r="AH12" s="199"/>
      <c r="AI12" s="199"/>
      <c r="AJ12" s="199"/>
      <c r="AK12" s="199"/>
    </row>
    <row r="13" ht="15.75" customHeight="1">
      <c r="A13" s="714">
        <v>45364.0</v>
      </c>
      <c r="B13" s="715" t="s">
        <v>166</v>
      </c>
      <c r="C13" s="701" t="s">
        <v>3568</v>
      </c>
      <c r="D13" s="701" t="s">
        <v>3548</v>
      </c>
      <c r="E13" s="701">
        <v>617.0</v>
      </c>
      <c r="F13" s="717"/>
      <c r="G13" s="701"/>
      <c r="H13" s="701" t="s">
        <v>3558</v>
      </c>
      <c r="I13" s="701" t="s">
        <v>3540</v>
      </c>
      <c r="J13" s="716">
        <v>7676.67</v>
      </c>
      <c r="K13" s="716">
        <v>5100.0</v>
      </c>
      <c r="L13" s="702"/>
      <c r="M13" s="703"/>
      <c r="N13" s="703"/>
      <c r="O13" s="198"/>
      <c r="P13" s="704"/>
      <c r="Q13" s="705">
        <f t="shared" si="2"/>
        <v>0</v>
      </c>
      <c r="R13" s="704"/>
      <c r="S13" s="699"/>
      <c r="T13" s="706"/>
      <c r="U13" s="707"/>
      <c r="V13" s="699"/>
      <c r="W13" s="708"/>
      <c r="X13" s="708"/>
      <c r="Y13" s="708"/>
      <c r="Z13" s="707"/>
      <c r="AA13" s="708"/>
      <c r="AB13" s="708"/>
      <c r="AC13" s="708"/>
      <c r="AD13" s="701"/>
      <c r="AE13" s="701"/>
      <c r="AF13" s="198"/>
      <c r="AG13" s="198"/>
      <c r="AH13" s="199"/>
      <c r="AI13" s="199"/>
      <c r="AJ13" s="199"/>
      <c r="AK13" s="199"/>
    </row>
    <row r="14" ht="15.75" customHeight="1">
      <c r="A14" s="714">
        <v>45365.0</v>
      </c>
      <c r="B14" s="715" t="s">
        <v>83</v>
      </c>
      <c r="C14" s="701" t="s">
        <v>3553</v>
      </c>
      <c r="D14" s="701" t="s">
        <v>3569</v>
      </c>
      <c r="E14" s="701"/>
      <c r="F14" s="718">
        <v>5254899.0</v>
      </c>
      <c r="G14" s="701"/>
      <c r="H14" s="701"/>
      <c r="I14" s="701" t="s">
        <v>3570</v>
      </c>
      <c r="J14" s="716">
        <v>6100.0</v>
      </c>
      <c r="K14" s="716">
        <v>5000.0</v>
      </c>
      <c r="L14" s="702"/>
      <c r="M14" s="703"/>
      <c r="N14" s="703"/>
      <c r="O14" s="198"/>
      <c r="P14" s="704"/>
      <c r="Q14" s="705">
        <f t="shared" si="2"/>
        <v>0</v>
      </c>
      <c r="R14" s="704"/>
      <c r="S14" s="699"/>
      <c r="T14" s="706"/>
      <c r="U14" s="707"/>
      <c r="V14" s="699"/>
      <c r="W14" s="708"/>
      <c r="X14" s="708"/>
      <c r="Y14" s="708"/>
      <c r="Z14" s="707"/>
      <c r="AA14" s="708"/>
      <c r="AB14" s="708"/>
      <c r="AC14" s="708"/>
      <c r="AD14" s="701"/>
      <c r="AE14" s="701"/>
      <c r="AF14" s="198"/>
      <c r="AG14" s="198"/>
      <c r="AH14" s="199"/>
      <c r="AI14" s="199"/>
      <c r="AJ14" s="199"/>
      <c r="AK14" s="199"/>
    </row>
    <row r="15" ht="15.75" customHeight="1">
      <c r="A15" s="714">
        <v>45369.0</v>
      </c>
      <c r="B15" s="715" t="s">
        <v>166</v>
      </c>
      <c r="C15" s="701" t="s">
        <v>3571</v>
      </c>
      <c r="D15" s="701" t="s">
        <v>3553</v>
      </c>
      <c r="E15" s="701">
        <v>395.0</v>
      </c>
      <c r="F15" s="717"/>
      <c r="G15" s="701"/>
      <c r="H15" s="701" t="s">
        <v>3572</v>
      </c>
      <c r="I15" s="701" t="s">
        <v>3573</v>
      </c>
      <c r="J15" s="716"/>
      <c r="K15" s="716">
        <v>3000.0</v>
      </c>
      <c r="L15" s="702"/>
      <c r="M15" s="703"/>
      <c r="N15" s="703"/>
      <c r="O15" s="198"/>
      <c r="P15" s="704"/>
      <c r="Q15" s="705"/>
      <c r="R15" s="704"/>
      <c r="S15" s="699"/>
      <c r="T15" s="706"/>
      <c r="U15" s="707"/>
      <c r="V15" s="699"/>
      <c r="W15" s="708"/>
      <c r="X15" s="708"/>
      <c r="Y15" s="708"/>
      <c r="Z15" s="707"/>
      <c r="AA15" s="708"/>
      <c r="AB15" s="708"/>
      <c r="AC15" s="708"/>
      <c r="AD15" s="701"/>
      <c r="AE15" s="701"/>
      <c r="AF15" s="198"/>
      <c r="AG15" s="198"/>
      <c r="AH15" s="199"/>
      <c r="AI15" s="199"/>
      <c r="AJ15" s="199"/>
      <c r="AK15" s="199"/>
    </row>
    <row r="16" ht="15.75" customHeight="1">
      <c r="A16" s="714">
        <v>45371.0</v>
      </c>
      <c r="B16" s="715" t="s">
        <v>180</v>
      </c>
      <c r="C16" s="701" t="s">
        <v>3568</v>
      </c>
      <c r="D16" s="701" t="s">
        <v>3548</v>
      </c>
      <c r="E16" s="701">
        <v>617.0</v>
      </c>
      <c r="F16" s="701">
        <v>1293824.0</v>
      </c>
      <c r="G16" s="701" t="s">
        <v>39</v>
      </c>
      <c r="H16" s="701" t="s">
        <v>3574</v>
      </c>
      <c r="I16" s="701" t="s">
        <v>3540</v>
      </c>
      <c r="J16" s="716">
        <v>7827.27</v>
      </c>
      <c r="K16" s="716">
        <v>5100.0</v>
      </c>
      <c r="L16" s="702"/>
      <c r="M16" s="703"/>
      <c r="N16" s="703"/>
      <c r="O16" s="198"/>
      <c r="P16" s="704"/>
      <c r="Q16" s="705">
        <f t="shared" ref="Q16:Q17" si="3">IFERROR(R16/P16,0)</f>
        <v>0</v>
      </c>
      <c r="R16" s="704"/>
      <c r="S16" s="699"/>
      <c r="T16" s="706"/>
      <c r="U16" s="707"/>
      <c r="V16" s="699"/>
      <c r="W16" s="708"/>
      <c r="X16" s="708"/>
      <c r="Y16" s="708"/>
      <c r="Z16" s="707"/>
      <c r="AA16" s="708"/>
      <c r="AB16" s="708"/>
      <c r="AC16" s="708"/>
      <c r="AD16" s="701"/>
      <c r="AE16" s="701"/>
      <c r="AF16" s="198"/>
      <c r="AG16" s="198"/>
      <c r="AH16" s="199"/>
      <c r="AI16" s="199"/>
      <c r="AJ16" s="199"/>
      <c r="AK16" s="199"/>
    </row>
    <row r="17" ht="15.75" customHeight="1">
      <c r="A17" s="714">
        <v>45371.0</v>
      </c>
      <c r="B17" s="715" t="s">
        <v>143</v>
      </c>
      <c r="C17" s="701" t="s">
        <v>3568</v>
      </c>
      <c r="D17" s="701" t="s">
        <v>3548</v>
      </c>
      <c r="E17" s="701">
        <v>617.0</v>
      </c>
      <c r="F17" s="717"/>
      <c r="G17" s="701"/>
      <c r="H17" s="701" t="s">
        <v>3574</v>
      </c>
      <c r="I17" s="701" t="s">
        <v>3540</v>
      </c>
      <c r="J17" s="716">
        <v>7827.27</v>
      </c>
      <c r="K17" s="716">
        <v>5100.0</v>
      </c>
      <c r="L17" s="702"/>
      <c r="M17" s="703"/>
      <c r="N17" s="703"/>
      <c r="O17" s="198"/>
      <c r="P17" s="704"/>
      <c r="Q17" s="705">
        <f t="shared" si="3"/>
        <v>0</v>
      </c>
      <c r="R17" s="704"/>
      <c r="S17" s="699"/>
      <c r="T17" s="706"/>
      <c r="U17" s="707"/>
      <c r="V17" s="699"/>
      <c r="W17" s="708"/>
      <c r="X17" s="708"/>
      <c r="Y17" s="708"/>
      <c r="Z17" s="707"/>
      <c r="AA17" s="708"/>
      <c r="AB17" s="708"/>
      <c r="AC17" s="708"/>
      <c r="AD17" s="701"/>
      <c r="AE17" s="701"/>
      <c r="AF17" s="198"/>
      <c r="AG17" s="198"/>
      <c r="AH17" s="199"/>
      <c r="AI17" s="199"/>
      <c r="AJ17" s="199"/>
      <c r="AK17" s="199"/>
    </row>
    <row r="18" ht="15.75" customHeight="1">
      <c r="A18" s="714">
        <v>45378.0</v>
      </c>
      <c r="B18" s="715" t="s">
        <v>148</v>
      </c>
      <c r="C18" s="701" t="s">
        <v>3568</v>
      </c>
      <c r="D18" s="701" t="s">
        <v>3548</v>
      </c>
      <c r="E18" s="701">
        <v>617.0</v>
      </c>
      <c r="F18" s="718"/>
      <c r="G18" s="701"/>
      <c r="H18" s="701" t="s">
        <v>3574</v>
      </c>
      <c r="I18" s="701" t="s">
        <v>3540</v>
      </c>
      <c r="J18" s="716">
        <v>7827.27</v>
      </c>
      <c r="K18" s="716">
        <v>5100.0</v>
      </c>
      <c r="L18" s="702"/>
      <c r="M18" s="703"/>
      <c r="N18" s="703"/>
      <c r="O18" s="198"/>
      <c r="P18" s="704"/>
      <c r="Q18" s="705"/>
      <c r="R18" s="704"/>
      <c r="S18" s="699"/>
      <c r="T18" s="706"/>
      <c r="U18" s="707"/>
      <c r="V18" s="699"/>
      <c r="W18" s="708"/>
      <c r="X18" s="708"/>
      <c r="Y18" s="708"/>
      <c r="Z18" s="707"/>
      <c r="AA18" s="708"/>
      <c r="AB18" s="708"/>
      <c r="AC18" s="708"/>
      <c r="AD18" s="701"/>
      <c r="AE18" s="701"/>
      <c r="AF18" s="198"/>
      <c r="AG18" s="198"/>
      <c r="AH18" s="199"/>
      <c r="AI18" s="199"/>
      <c r="AJ18" s="199"/>
      <c r="AK18" s="199"/>
    </row>
    <row r="19" ht="15.75" customHeight="1">
      <c r="A19" s="714">
        <v>45383.0</v>
      </c>
      <c r="B19" s="715" t="s">
        <v>128</v>
      </c>
      <c r="C19" s="701" t="s">
        <v>3554</v>
      </c>
      <c r="D19" s="701" t="s">
        <v>3553</v>
      </c>
      <c r="E19" s="701">
        <v>500.0</v>
      </c>
      <c r="F19" s="717"/>
      <c r="G19" s="701"/>
      <c r="H19" s="701" t="s">
        <v>3555</v>
      </c>
      <c r="I19" s="701" t="s">
        <v>3556</v>
      </c>
      <c r="J19" s="716">
        <v>7158.12</v>
      </c>
      <c r="K19" s="716">
        <v>5000.0</v>
      </c>
      <c r="L19" s="702"/>
      <c r="M19" s="703"/>
      <c r="N19" s="703"/>
      <c r="O19" s="198"/>
      <c r="P19" s="704"/>
      <c r="Q19" s="705"/>
      <c r="R19" s="704"/>
      <c r="S19" s="699"/>
      <c r="T19" s="706"/>
      <c r="U19" s="707"/>
      <c r="V19" s="699"/>
      <c r="W19" s="708"/>
      <c r="X19" s="708"/>
      <c r="Y19" s="708"/>
      <c r="Z19" s="707"/>
      <c r="AA19" s="708"/>
      <c r="AB19" s="708"/>
      <c r="AC19" s="708"/>
      <c r="AD19" s="701"/>
      <c r="AE19" s="701"/>
      <c r="AF19" s="198"/>
      <c r="AG19" s="198"/>
      <c r="AH19" s="199"/>
      <c r="AI19" s="199"/>
      <c r="AJ19" s="199"/>
      <c r="AK19" s="199"/>
    </row>
    <row r="20" ht="15.75" customHeight="1">
      <c r="A20" s="714">
        <v>45385.0</v>
      </c>
      <c r="B20" s="715" t="s">
        <v>184</v>
      </c>
      <c r="C20" s="701" t="s">
        <v>3561</v>
      </c>
      <c r="D20" s="701" t="s">
        <v>3562</v>
      </c>
      <c r="E20" s="701">
        <v>463.0</v>
      </c>
      <c r="F20" s="717"/>
      <c r="G20" s="701"/>
      <c r="H20" s="701" t="s">
        <v>3563</v>
      </c>
      <c r="I20" s="701" t="s">
        <v>3564</v>
      </c>
      <c r="J20" s="716">
        <v>5550.0</v>
      </c>
      <c r="K20" s="716" t="s">
        <v>3560</v>
      </c>
      <c r="L20" s="702"/>
      <c r="M20" s="703"/>
      <c r="N20" s="703"/>
      <c r="O20" s="198"/>
      <c r="P20" s="704"/>
      <c r="Q20" s="705"/>
      <c r="R20" s="704"/>
      <c r="S20" s="699"/>
      <c r="T20" s="706"/>
      <c r="U20" s="707"/>
      <c r="V20" s="699"/>
      <c r="W20" s="708"/>
      <c r="X20" s="708"/>
      <c r="Y20" s="708"/>
      <c r="Z20" s="707"/>
      <c r="AA20" s="708"/>
      <c r="AB20" s="708"/>
      <c r="AC20" s="708"/>
      <c r="AD20" s="701"/>
      <c r="AE20" s="701"/>
      <c r="AF20" s="198"/>
      <c r="AG20" s="198"/>
      <c r="AH20" s="199"/>
      <c r="AI20" s="199"/>
      <c r="AJ20" s="199"/>
      <c r="AK20" s="199"/>
    </row>
    <row r="21" ht="15.75" customHeight="1">
      <c r="A21" s="714">
        <v>45386.0</v>
      </c>
      <c r="B21" s="715" t="s">
        <v>169</v>
      </c>
      <c r="C21" s="701" t="s">
        <v>3575</v>
      </c>
      <c r="D21" s="701" t="s">
        <v>3553</v>
      </c>
      <c r="E21" s="701">
        <v>526.0</v>
      </c>
      <c r="F21" s="717"/>
      <c r="G21" s="701"/>
      <c r="H21" s="701" t="s">
        <v>3576</v>
      </c>
      <c r="I21" s="701" t="s">
        <v>3577</v>
      </c>
      <c r="J21" s="716">
        <v>5700.0</v>
      </c>
      <c r="K21" s="716"/>
      <c r="L21" s="702"/>
      <c r="M21" s="703"/>
      <c r="N21" s="703"/>
      <c r="O21" s="198"/>
      <c r="P21" s="704"/>
      <c r="Q21" s="705"/>
      <c r="R21" s="704"/>
      <c r="S21" s="699"/>
      <c r="T21" s="706"/>
      <c r="U21" s="707"/>
      <c r="V21" s="699"/>
      <c r="W21" s="708"/>
      <c r="X21" s="708"/>
      <c r="Y21" s="708"/>
      <c r="Z21" s="707"/>
      <c r="AA21" s="708"/>
      <c r="AB21" s="708"/>
      <c r="AC21" s="708"/>
      <c r="AD21" s="701"/>
      <c r="AE21" s="701"/>
      <c r="AF21" s="198"/>
      <c r="AG21" s="198"/>
      <c r="AH21" s="199"/>
      <c r="AI21" s="199"/>
      <c r="AJ21" s="199"/>
      <c r="AK21" s="199"/>
    </row>
    <row r="22" ht="15.75" customHeight="1">
      <c r="A22" s="714">
        <v>45386.0</v>
      </c>
      <c r="B22" s="715" t="s">
        <v>166</v>
      </c>
      <c r="C22" s="701" t="s">
        <v>3544</v>
      </c>
      <c r="D22" s="701" t="s">
        <v>3578</v>
      </c>
      <c r="E22" s="701">
        <v>438.0</v>
      </c>
      <c r="F22" s="717"/>
      <c r="G22" s="701"/>
      <c r="H22" s="701" t="s">
        <v>3579</v>
      </c>
      <c r="I22" s="701" t="s">
        <v>3580</v>
      </c>
      <c r="J22" s="716">
        <v>5950.0</v>
      </c>
      <c r="K22" s="716"/>
      <c r="L22" s="702"/>
      <c r="M22" s="703"/>
      <c r="N22" s="703"/>
      <c r="O22" s="198"/>
      <c r="P22" s="704"/>
      <c r="Q22" s="705"/>
      <c r="R22" s="704"/>
      <c r="S22" s="699"/>
      <c r="T22" s="706"/>
      <c r="U22" s="707"/>
      <c r="V22" s="699"/>
      <c r="W22" s="708"/>
      <c r="X22" s="708"/>
      <c r="Y22" s="708"/>
      <c r="Z22" s="707"/>
      <c r="AA22" s="708"/>
      <c r="AB22" s="708"/>
      <c r="AC22" s="708"/>
      <c r="AD22" s="198"/>
      <c r="AE22" s="198"/>
      <c r="AF22" s="198"/>
      <c r="AG22" s="198"/>
      <c r="AH22" s="199"/>
      <c r="AI22" s="199"/>
      <c r="AJ22" s="199"/>
      <c r="AK22" s="199"/>
    </row>
    <row r="23" ht="15.75" customHeight="1">
      <c r="A23" s="714">
        <v>45387.0</v>
      </c>
      <c r="B23" s="715" t="s">
        <v>69</v>
      </c>
      <c r="C23" s="701" t="s">
        <v>3568</v>
      </c>
      <c r="D23" s="701" t="s">
        <v>3548</v>
      </c>
      <c r="E23" s="701">
        <v>617.0</v>
      </c>
      <c r="F23" s="718"/>
      <c r="G23" s="701"/>
      <c r="H23" s="701" t="s">
        <v>3581</v>
      </c>
      <c r="I23" s="701" t="s">
        <v>3540</v>
      </c>
      <c r="J23" s="716">
        <v>7827.27</v>
      </c>
      <c r="K23" s="716">
        <v>5100.0</v>
      </c>
      <c r="L23" s="702"/>
      <c r="M23" s="703"/>
      <c r="N23" s="703"/>
      <c r="O23" s="198"/>
      <c r="P23" s="704"/>
      <c r="Q23" s="705"/>
      <c r="R23" s="704"/>
      <c r="S23" s="699"/>
      <c r="T23" s="706"/>
      <c r="U23" s="707"/>
      <c r="V23" s="699"/>
      <c r="W23" s="708"/>
      <c r="X23" s="708"/>
      <c r="Y23" s="708"/>
      <c r="Z23" s="707"/>
      <c r="AA23" s="708"/>
      <c r="AB23" s="708"/>
      <c r="AC23" s="708"/>
      <c r="AD23" s="198"/>
      <c r="AE23" s="198"/>
      <c r="AF23" s="198"/>
      <c r="AG23" s="198"/>
      <c r="AH23" s="199"/>
      <c r="AI23" s="199"/>
      <c r="AJ23" s="199"/>
      <c r="AK23" s="199"/>
    </row>
    <row r="24" ht="15.75" customHeight="1">
      <c r="A24" s="714">
        <v>45387.0</v>
      </c>
      <c r="B24" s="715" t="s">
        <v>143</v>
      </c>
      <c r="C24" s="701" t="s">
        <v>3582</v>
      </c>
      <c r="D24" s="701" t="s">
        <v>3583</v>
      </c>
      <c r="E24" s="701">
        <v>521.0</v>
      </c>
      <c r="F24" s="717"/>
      <c r="G24" s="701"/>
      <c r="H24" s="701" t="s">
        <v>3584</v>
      </c>
      <c r="I24" s="701" t="s">
        <v>3556</v>
      </c>
      <c r="J24" s="716"/>
      <c r="K24" s="716"/>
      <c r="L24" s="702"/>
      <c r="M24" s="703"/>
      <c r="N24" s="703"/>
      <c r="O24" s="198"/>
      <c r="P24" s="704"/>
      <c r="Q24" s="705"/>
      <c r="R24" s="704"/>
      <c r="S24" s="699"/>
      <c r="T24" s="706"/>
      <c r="U24" s="707"/>
      <c r="V24" s="699"/>
      <c r="W24" s="708"/>
      <c r="X24" s="708"/>
      <c r="Y24" s="708"/>
      <c r="Z24" s="707"/>
      <c r="AA24" s="708"/>
      <c r="AB24" s="708"/>
      <c r="AC24" s="708"/>
      <c r="AD24" s="198"/>
      <c r="AE24" s="198"/>
      <c r="AF24" s="198"/>
      <c r="AG24" s="198"/>
      <c r="AH24" s="199"/>
      <c r="AI24" s="199"/>
      <c r="AJ24" s="199"/>
      <c r="AK24" s="199"/>
    </row>
    <row r="25" ht="15.75" customHeight="1">
      <c r="A25" s="714">
        <v>45390.0</v>
      </c>
      <c r="B25" s="715" t="s">
        <v>49</v>
      </c>
      <c r="C25" s="701" t="s">
        <v>3583</v>
      </c>
      <c r="D25" s="701" t="s">
        <v>3548</v>
      </c>
      <c r="E25" s="701">
        <v>330.0</v>
      </c>
      <c r="F25" s="717"/>
      <c r="G25" s="701"/>
      <c r="H25" s="701" t="s">
        <v>3585</v>
      </c>
      <c r="I25" s="701" t="s">
        <v>3586</v>
      </c>
      <c r="J25" s="716"/>
      <c r="K25" s="716">
        <v>3000.0</v>
      </c>
      <c r="L25" s="702"/>
      <c r="M25" s="703"/>
      <c r="N25" s="703"/>
      <c r="O25" s="198"/>
      <c r="P25" s="704"/>
      <c r="Q25" s="705"/>
      <c r="R25" s="704"/>
      <c r="S25" s="699"/>
      <c r="T25" s="706"/>
      <c r="U25" s="707"/>
      <c r="V25" s="699"/>
      <c r="W25" s="708"/>
      <c r="X25" s="708"/>
      <c r="Y25" s="708"/>
      <c r="Z25" s="707"/>
      <c r="AA25" s="708"/>
      <c r="AB25" s="708"/>
      <c r="AC25" s="708"/>
      <c r="AD25" s="198"/>
      <c r="AE25" s="198"/>
      <c r="AF25" s="198"/>
      <c r="AG25" s="198"/>
      <c r="AH25" s="199"/>
      <c r="AI25" s="199"/>
      <c r="AJ25" s="199"/>
      <c r="AK25" s="199"/>
    </row>
    <row r="26" ht="15.75" customHeight="1">
      <c r="A26" s="714">
        <v>45390.0</v>
      </c>
      <c r="B26" s="715" t="s">
        <v>143</v>
      </c>
      <c r="C26" s="701" t="s">
        <v>3587</v>
      </c>
      <c r="D26" s="701" t="s">
        <v>3548</v>
      </c>
      <c r="E26" s="701">
        <v>325.0</v>
      </c>
      <c r="F26" s="717"/>
      <c r="G26" s="701"/>
      <c r="H26" s="701" t="s">
        <v>3588</v>
      </c>
      <c r="I26" s="701" t="s">
        <v>3540</v>
      </c>
      <c r="J26" s="716">
        <v>4900.0</v>
      </c>
      <c r="K26" s="716">
        <v>3500.0</v>
      </c>
      <c r="L26" s="702"/>
      <c r="M26" s="703"/>
      <c r="N26" s="703"/>
      <c r="O26" s="198"/>
      <c r="P26" s="704"/>
      <c r="Q26" s="705"/>
      <c r="R26" s="704"/>
      <c r="S26" s="699"/>
      <c r="T26" s="706"/>
      <c r="U26" s="707"/>
      <c r="V26" s="699"/>
      <c r="W26" s="708"/>
      <c r="X26" s="708"/>
      <c r="Y26" s="708"/>
      <c r="Z26" s="707"/>
      <c r="AA26" s="708"/>
      <c r="AB26" s="708"/>
      <c r="AC26" s="708"/>
      <c r="AD26" s="198"/>
      <c r="AE26" s="198"/>
      <c r="AF26" s="198"/>
      <c r="AG26" s="198"/>
      <c r="AH26" s="199"/>
      <c r="AI26" s="199"/>
      <c r="AJ26" s="199"/>
      <c r="AK26" s="199"/>
    </row>
    <row r="27" ht="15.75" customHeight="1">
      <c r="A27" s="714">
        <v>45398.0</v>
      </c>
      <c r="B27" s="715" t="s">
        <v>995</v>
      </c>
      <c r="C27" s="701" t="s">
        <v>3589</v>
      </c>
      <c r="D27" s="701" t="s">
        <v>3590</v>
      </c>
      <c r="E27" s="701"/>
      <c r="F27" s="719"/>
      <c r="G27" s="701"/>
      <c r="H27" s="701" t="s">
        <v>3591</v>
      </c>
      <c r="I27" s="701" t="s">
        <v>3592</v>
      </c>
      <c r="J27" s="716">
        <v>7435.82</v>
      </c>
      <c r="K27" s="716"/>
      <c r="L27" s="702"/>
      <c r="M27" s="703"/>
      <c r="N27" s="703"/>
      <c r="O27" s="198"/>
      <c r="P27" s="704"/>
      <c r="Q27" s="705"/>
      <c r="R27" s="704"/>
      <c r="S27" s="699"/>
      <c r="T27" s="706"/>
      <c r="U27" s="707"/>
      <c r="V27" s="699"/>
      <c r="W27" s="708"/>
      <c r="X27" s="708"/>
      <c r="Y27" s="708"/>
      <c r="Z27" s="707"/>
      <c r="AA27" s="708"/>
      <c r="AB27" s="708"/>
      <c r="AC27" s="708"/>
      <c r="AD27" s="198"/>
      <c r="AE27" s="198"/>
      <c r="AF27" s="198"/>
      <c r="AG27" s="198"/>
      <c r="AH27" s="199"/>
      <c r="AI27" s="199"/>
      <c r="AJ27" s="199"/>
      <c r="AK27" s="199"/>
    </row>
    <row r="28" ht="15.75" customHeight="1">
      <c r="A28" s="714">
        <v>45399.0</v>
      </c>
      <c r="B28" s="715" t="s">
        <v>183</v>
      </c>
      <c r="C28" s="701" t="s">
        <v>3593</v>
      </c>
      <c r="D28" s="701" t="s">
        <v>3594</v>
      </c>
      <c r="E28" s="701">
        <v>588.0</v>
      </c>
      <c r="F28" s="719"/>
      <c r="G28" s="701"/>
      <c r="H28" s="701" t="s">
        <v>3595</v>
      </c>
      <c r="I28" s="701"/>
      <c r="J28" s="716"/>
      <c r="K28" s="716"/>
      <c r="L28" s="702"/>
      <c r="M28" s="703"/>
      <c r="N28" s="703"/>
      <c r="O28" s="198"/>
      <c r="P28" s="704"/>
      <c r="Q28" s="705"/>
      <c r="R28" s="704"/>
      <c r="S28" s="699"/>
      <c r="T28" s="706"/>
      <c r="U28" s="707"/>
      <c r="V28" s="699"/>
      <c r="W28" s="708"/>
      <c r="X28" s="708"/>
      <c r="Y28" s="708"/>
      <c r="Z28" s="707"/>
      <c r="AA28" s="708"/>
      <c r="AB28" s="708"/>
      <c r="AC28" s="708"/>
      <c r="AD28" s="198"/>
      <c r="AE28" s="198"/>
      <c r="AF28" s="198"/>
      <c r="AG28" s="198"/>
      <c r="AH28" s="199"/>
      <c r="AI28" s="199"/>
      <c r="AJ28" s="199"/>
      <c r="AK28" s="199"/>
    </row>
    <row r="29" ht="15.75" customHeight="1">
      <c r="A29" s="714">
        <v>45400.0</v>
      </c>
      <c r="B29" s="715" t="s">
        <v>166</v>
      </c>
      <c r="C29" s="701" t="s">
        <v>3537</v>
      </c>
      <c r="D29" s="701" t="s">
        <v>3596</v>
      </c>
      <c r="E29" s="701"/>
      <c r="F29" s="719"/>
      <c r="G29" s="701"/>
      <c r="H29" s="701" t="s">
        <v>3597</v>
      </c>
      <c r="I29" s="701" t="s">
        <v>3598</v>
      </c>
      <c r="J29" s="716"/>
      <c r="K29" s="716">
        <v>5000.0</v>
      </c>
      <c r="L29" s="702"/>
      <c r="M29" s="703"/>
      <c r="N29" s="703"/>
      <c r="O29" s="198"/>
      <c r="P29" s="704"/>
      <c r="Q29" s="705"/>
      <c r="R29" s="704"/>
      <c r="S29" s="699"/>
      <c r="T29" s="706"/>
      <c r="U29" s="707"/>
      <c r="V29" s="699"/>
      <c r="W29" s="708"/>
      <c r="X29" s="708"/>
      <c r="Y29" s="708"/>
      <c r="Z29" s="707"/>
      <c r="AA29" s="708"/>
      <c r="AB29" s="708"/>
      <c r="AC29" s="708"/>
      <c r="AD29" s="198"/>
      <c r="AE29" s="198"/>
      <c r="AF29" s="198"/>
      <c r="AG29" s="198"/>
      <c r="AH29" s="199"/>
      <c r="AI29" s="199"/>
      <c r="AJ29" s="199"/>
      <c r="AK29" s="199"/>
    </row>
    <row r="30" ht="15.75" customHeight="1">
      <c r="A30" s="714">
        <v>45399.0</v>
      </c>
      <c r="B30" s="715" t="s">
        <v>144</v>
      </c>
      <c r="C30" s="701" t="s">
        <v>3599</v>
      </c>
      <c r="D30" s="701" t="s">
        <v>3600</v>
      </c>
      <c r="E30" s="701"/>
      <c r="F30" s="719"/>
      <c r="G30" s="701"/>
      <c r="H30" s="701"/>
      <c r="I30" s="701"/>
      <c r="J30" s="716"/>
      <c r="K30" s="716"/>
      <c r="L30" s="702"/>
      <c r="M30" s="703"/>
      <c r="N30" s="703"/>
      <c r="O30" s="198"/>
      <c r="P30" s="704"/>
      <c r="Q30" s="705"/>
      <c r="R30" s="704"/>
      <c r="S30" s="699"/>
      <c r="T30" s="706"/>
      <c r="U30" s="707"/>
      <c r="V30" s="699"/>
      <c r="W30" s="708"/>
      <c r="X30" s="708"/>
      <c r="Y30" s="708"/>
      <c r="Z30" s="707"/>
      <c r="AA30" s="708"/>
      <c r="AB30" s="708"/>
      <c r="AC30" s="708"/>
      <c r="AD30" s="198"/>
      <c r="AE30" s="198"/>
      <c r="AF30" s="198"/>
      <c r="AG30" s="198"/>
      <c r="AH30" s="199"/>
      <c r="AI30" s="199"/>
      <c r="AJ30" s="199"/>
      <c r="AK30" s="199"/>
    </row>
    <row r="31" ht="15.75" customHeight="1">
      <c r="A31" s="714">
        <v>45400.0</v>
      </c>
      <c r="B31" s="715" t="s">
        <v>345</v>
      </c>
      <c r="C31" s="701" t="s">
        <v>3548</v>
      </c>
      <c r="D31" s="701" t="s">
        <v>3601</v>
      </c>
      <c r="E31" s="701"/>
      <c r="F31" s="719"/>
      <c r="G31" s="701"/>
      <c r="H31" s="701" t="s">
        <v>3602</v>
      </c>
      <c r="I31" s="701" t="s">
        <v>3603</v>
      </c>
      <c r="J31" s="716">
        <v>3950.0</v>
      </c>
      <c r="K31" s="716">
        <v>3000.0</v>
      </c>
      <c r="L31" s="702"/>
      <c r="M31" s="703"/>
      <c r="N31" s="703"/>
      <c r="O31" s="198"/>
      <c r="P31" s="704"/>
      <c r="Q31" s="705"/>
      <c r="R31" s="704"/>
      <c r="S31" s="699"/>
      <c r="T31" s="706"/>
      <c r="U31" s="707"/>
      <c r="V31" s="699"/>
      <c r="W31" s="708"/>
      <c r="X31" s="708"/>
      <c r="Y31" s="708"/>
      <c r="Z31" s="707"/>
      <c r="AA31" s="708"/>
      <c r="AB31" s="708"/>
      <c r="AC31" s="708"/>
      <c r="AD31" s="198"/>
      <c r="AE31" s="198"/>
      <c r="AF31" s="198"/>
      <c r="AG31" s="198"/>
      <c r="AH31" s="199"/>
      <c r="AI31" s="199"/>
      <c r="AJ31" s="199"/>
      <c r="AK31" s="199"/>
    </row>
    <row r="32" ht="15.75" customHeight="1">
      <c r="A32" s="714">
        <v>45400.0</v>
      </c>
      <c r="B32" s="715" t="s">
        <v>247</v>
      </c>
      <c r="C32" s="701" t="s">
        <v>3548</v>
      </c>
      <c r="D32" s="701" t="s">
        <v>3604</v>
      </c>
      <c r="E32" s="701"/>
      <c r="F32" s="719"/>
      <c r="G32" s="701"/>
      <c r="H32" s="701"/>
      <c r="I32" s="701"/>
      <c r="J32" s="716">
        <v>2600.0</v>
      </c>
      <c r="K32" s="716"/>
      <c r="L32" s="702"/>
      <c r="M32" s="703"/>
      <c r="N32" s="703"/>
      <c r="O32" s="198"/>
      <c r="P32" s="704"/>
      <c r="Q32" s="705"/>
      <c r="R32" s="704"/>
      <c r="S32" s="699"/>
      <c r="T32" s="706"/>
      <c r="U32" s="707"/>
      <c r="V32" s="699"/>
      <c r="W32" s="708"/>
      <c r="X32" s="708"/>
      <c r="Y32" s="708"/>
      <c r="Z32" s="707"/>
      <c r="AA32" s="708"/>
      <c r="AB32" s="708"/>
      <c r="AC32" s="708"/>
      <c r="AD32" s="198"/>
      <c r="AE32" s="198"/>
      <c r="AF32" s="198"/>
      <c r="AG32" s="198"/>
      <c r="AH32" s="199"/>
      <c r="AI32" s="199"/>
      <c r="AJ32" s="199"/>
      <c r="AK32" s="199"/>
    </row>
    <row r="33" ht="15.75" customHeight="1">
      <c r="A33" s="714">
        <v>45401.0</v>
      </c>
      <c r="B33" s="715" t="s">
        <v>261</v>
      </c>
      <c r="C33" s="701" t="s">
        <v>3605</v>
      </c>
      <c r="D33" s="701" t="s">
        <v>3553</v>
      </c>
      <c r="E33" s="701"/>
      <c r="F33" s="719"/>
      <c r="G33" s="701"/>
      <c r="H33" s="701" t="s">
        <v>3606</v>
      </c>
      <c r="I33" s="701" t="s">
        <v>3607</v>
      </c>
      <c r="J33" s="716"/>
      <c r="K33" s="716">
        <v>1800.0</v>
      </c>
      <c r="L33" s="702"/>
      <c r="M33" s="703"/>
      <c r="N33" s="703"/>
      <c r="O33" s="198"/>
      <c r="P33" s="704"/>
      <c r="Q33" s="705"/>
      <c r="R33" s="704"/>
      <c r="S33" s="699"/>
      <c r="T33" s="706"/>
      <c r="U33" s="707"/>
      <c r="V33" s="699"/>
      <c r="W33" s="708"/>
      <c r="X33" s="708"/>
      <c r="Y33" s="708"/>
      <c r="Z33" s="707"/>
      <c r="AA33" s="708"/>
      <c r="AB33" s="708"/>
      <c r="AC33" s="708"/>
      <c r="AD33" s="198"/>
      <c r="AE33" s="198"/>
      <c r="AF33" s="198"/>
      <c r="AG33" s="198"/>
      <c r="AH33" s="199"/>
      <c r="AI33" s="199"/>
      <c r="AJ33" s="199"/>
      <c r="AK33" s="199"/>
    </row>
    <row r="34" ht="15.75" customHeight="1">
      <c r="A34" s="714">
        <v>45402.0</v>
      </c>
      <c r="B34" s="715" t="s">
        <v>345</v>
      </c>
      <c r="C34" s="701" t="s">
        <v>3601</v>
      </c>
      <c r="D34" s="701" t="s">
        <v>3553</v>
      </c>
      <c r="E34" s="701"/>
      <c r="F34" s="719"/>
      <c r="G34" s="701"/>
      <c r="H34" s="701"/>
      <c r="I34" s="701"/>
      <c r="J34" s="716"/>
      <c r="K34" s="716"/>
      <c r="L34" s="702"/>
      <c r="M34" s="703"/>
      <c r="N34" s="703"/>
      <c r="O34" s="198"/>
      <c r="P34" s="704"/>
      <c r="Q34" s="705"/>
      <c r="R34" s="704"/>
      <c r="S34" s="699"/>
      <c r="T34" s="706"/>
      <c r="U34" s="707"/>
      <c r="V34" s="699"/>
      <c r="W34" s="708"/>
      <c r="X34" s="708"/>
      <c r="Y34" s="708"/>
      <c r="Z34" s="707"/>
      <c r="AA34" s="708"/>
      <c r="AB34" s="708"/>
      <c r="AC34" s="708"/>
      <c r="AD34" s="198"/>
      <c r="AE34" s="198"/>
      <c r="AF34" s="198"/>
      <c r="AG34" s="198"/>
      <c r="AH34" s="199"/>
      <c r="AI34" s="199"/>
      <c r="AJ34" s="199"/>
      <c r="AK34" s="199"/>
    </row>
    <row r="35" ht="15.75" customHeight="1">
      <c r="A35" s="714">
        <v>45405.0</v>
      </c>
      <c r="B35" s="715" t="s">
        <v>166</v>
      </c>
      <c r="C35" s="701" t="s">
        <v>3608</v>
      </c>
      <c r="D35" s="701" t="s">
        <v>3553</v>
      </c>
      <c r="E35" s="701">
        <v>425.0</v>
      </c>
      <c r="F35" s="719"/>
      <c r="G35" s="701"/>
      <c r="H35" s="701"/>
      <c r="I35" s="701"/>
      <c r="J35" s="716"/>
      <c r="K35" s="716"/>
      <c r="L35" s="702"/>
      <c r="M35" s="703"/>
      <c r="N35" s="703"/>
      <c r="O35" s="198"/>
      <c r="P35" s="704"/>
      <c r="Q35" s="705"/>
      <c r="R35" s="704"/>
      <c r="S35" s="699"/>
      <c r="T35" s="706"/>
      <c r="U35" s="707"/>
      <c r="V35" s="699"/>
      <c r="W35" s="708"/>
      <c r="X35" s="708"/>
      <c r="Y35" s="708"/>
      <c r="Z35" s="707"/>
      <c r="AA35" s="708"/>
      <c r="AB35" s="708"/>
      <c r="AC35" s="708"/>
      <c r="AD35" s="198"/>
      <c r="AE35" s="198"/>
      <c r="AF35" s="198"/>
      <c r="AG35" s="198"/>
      <c r="AH35" s="199"/>
      <c r="AI35" s="199"/>
      <c r="AJ35" s="199"/>
      <c r="AK35" s="199"/>
    </row>
    <row r="36" ht="15.75" customHeight="1">
      <c r="A36" s="714">
        <v>45407.0</v>
      </c>
      <c r="B36" s="715" t="s">
        <v>49</v>
      </c>
      <c r="C36" s="701" t="s">
        <v>3583</v>
      </c>
      <c r="D36" s="701" t="s">
        <v>3609</v>
      </c>
      <c r="E36" s="701"/>
      <c r="F36" s="719"/>
      <c r="G36" s="701"/>
      <c r="H36" s="701"/>
      <c r="I36" s="701" t="s">
        <v>3610</v>
      </c>
      <c r="J36" s="716"/>
      <c r="K36" s="716"/>
      <c r="L36" s="702"/>
      <c r="M36" s="703"/>
      <c r="N36" s="703"/>
      <c r="O36" s="198"/>
      <c r="P36" s="704"/>
      <c r="Q36" s="705"/>
      <c r="R36" s="704"/>
      <c r="S36" s="699"/>
      <c r="T36" s="706"/>
      <c r="U36" s="707"/>
      <c r="V36" s="699"/>
      <c r="W36" s="708"/>
      <c r="X36" s="708"/>
      <c r="Y36" s="708"/>
      <c r="Z36" s="707"/>
      <c r="AA36" s="708"/>
      <c r="AB36" s="708"/>
      <c r="AC36" s="708"/>
      <c r="AD36" s="198"/>
      <c r="AE36" s="198"/>
      <c r="AF36" s="198"/>
      <c r="AG36" s="198"/>
      <c r="AH36" s="199"/>
      <c r="AI36" s="199"/>
      <c r="AJ36" s="199"/>
      <c r="AK36" s="199"/>
    </row>
    <row r="37" ht="15.75" customHeight="1">
      <c r="A37" s="714">
        <v>45418.0</v>
      </c>
      <c r="B37" s="715" t="s">
        <v>279</v>
      </c>
      <c r="C37" s="701" t="s">
        <v>3611</v>
      </c>
      <c r="D37" s="701" t="s">
        <v>3612</v>
      </c>
      <c r="E37" s="701"/>
      <c r="F37" s="719"/>
      <c r="G37" s="701"/>
      <c r="H37" s="701" t="s">
        <v>3613</v>
      </c>
      <c r="I37" s="701" t="s">
        <v>3614</v>
      </c>
      <c r="J37" s="716"/>
      <c r="K37" s="716">
        <v>3200.0</v>
      </c>
      <c r="L37" s="702"/>
      <c r="M37" s="703"/>
      <c r="N37" s="703"/>
      <c r="O37" s="198"/>
      <c r="P37" s="704"/>
      <c r="Q37" s="705"/>
      <c r="R37" s="704"/>
      <c r="S37" s="699"/>
      <c r="T37" s="706"/>
      <c r="U37" s="707"/>
      <c r="V37" s="699"/>
      <c r="W37" s="708"/>
      <c r="X37" s="708"/>
      <c r="Y37" s="708"/>
      <c r="Z37" s="707"/>
      <c r="AA37" s="708"/>
      <c r="AB37" s="708"/>
      <c r="AC37" s="708"/>
      <c r="AD37" s="198"/>
      <c r="AE37" s="198"/>
      <c r="AF37" s="198"/>
      <c r="AG37" s="198"/>
      <c r="AH37" s="199"/>
      <c r="AI37" s="199"/>
      <c r="AJ37" s="199"/>
      <c r="AK37" s="199"/>
    </row>
    <row r="38" ht="15.75" customHeight="1">
      <c r="A38" s="714">
        <v>45420.0</v>
      </c>
      <c r="B38" s="715" t="s">
        <v>282</v>
      </c>
      <c r="C38" s="701" t="s">
        <v>3615</v>
      </c>
      <c r="D38" s="701" t="s">
        <v>3616</v>
      </c>
      <c r="E38" s="701" t="s">
        <v>48</v>
      </c>
      <c r="F38" s="719"/>
      <c r="G38" s="701"/>
      <c r="H38" s="701" t="s">
        <v>3617</v>
      </c>
      <c r="I38" s="701" t="s">
        <v>3618</v>
      </c>
      <c r="J38" s="716"/>
      <c r="K38" s="716">
        <v>3360.0</v>
      </c>
      <c r="L38" s="702"/>
      <c r="M38" s="703"/>
      <c r="N38" s="703"/>
      <c r="O38" s="198"/>
      <c r="P38" s="704"/>
      <c r="Q38" s="705"/>
      <c r="R38" s="704"/>
      <c r="S38" s="699"/>
      <c r="T38" s="706"/>
      <c r="U38" s="707"/>
      <c r="V38" s="699"/>
      <c r="W38" s="708"/>
      <c r="X38" s="708"/>
      <c r="Y38" s="708"/>
      <c r="Z38" s="707"/>
      <c r="AA38" s="708"/>
      <c r="AB38" s="708"/>
      <c r="AC38" s="708"/>
      <c r="AD38" s="198"/>
      <c r="AE38" s="198"/>
      <c r="AF38" s="198"/>
      <c r="AG38" s="198"/>
      <c r="AH38" s="199"/>
      <c r="AI38" s="199"/>
      <c r="AJ38" s="199"/>
      <c r="AK38" s="199"/>
    </row>
    <row r="39" ht="15.75" customHeight="1">
      <c r="A39" s="720"/>
      <c r="B39" s="701"/>
      <c r="C39" s="721"/>
      <c r="D39" s="722"/>
      <c r="E39" s="701"/>
      <c r="F39" s="719"/>
      <c r="G39" s="701"/>
      <c r="H39" s="701"/>
      <c r="I39" s="701"/>
      <c r="J39" s="716"/>
      <c r="K39" s="716"/>
      <c r="L39" s="702"/>
      <c r="M39" s="703"/>
      <c r="N39" s="703"/>
      <c r="O39" s="198"/>
      <c r="P39" s="704"/>
      <c r="Q39" s="705"/>
      <c r="R39" s="704"/>
      <c r="S39" s="699"/>
      <c r="T39" s="706"/>
      <c r="U39" s="707"/>
      <c r="V39" s="699"/>
      <c r="W39" s="708"/>
      <c r="X39" s="708"/>
      <c r="Y39" s="708"/>
      <c r="Z39" s="707"/>
      <c r="AA39" s="708"/>
      <c r="AB39" s="708"/>
      <c r="AC39" s="708"/>
      <c r="AD39" s="198"/>
      <c r="AE39" s="198"/>
      <c r="AF39" s="198"/>
      <c r="AG39" s="198"/>
      <c r="AH39" s="199"/>
      <c r="AI39" s="199"/>
      <c r="AJ39" s="199"/>
      <c r="AK39" s="199"/>
    </row>
    <row r="40" ht="15.75" customHeight="1">
      <c r="A40" s="720"/>
      <c r="B40" s="701"/>
      <c r="C40" s="721"/>
      <c r="D40" s="722"/>
      <c r="E40" s="701"/>
      <c r="F40" s="719"/>
      <c r="G40" s="701"/>
      <c r="H40" s="701"/>
      <c r="I40" s="701"/>
      <c r="J40" s="716"/>
      <c r="K40" s="716"/>
      <c r="L40" s="702"/>
      <c r="M40" s="703"/>
      <c r="N40" s="703"/>
      <c r="O40" s="198"/>
      <c r="P40" s="704"/>
      <c r="Q40" s="705"/>
      <c r="R40" s="704"/>
      <c r="S40" s="699"/>
      <c r="T40" s="706"/>
      <c r="U40" s="707"/>
      <c r="V40" s="699"/>
      <c r="W40" s="708"/>
      <c r="X40" s="708"/>
      <c r="Y40" s="708"/>
      <c r="Z40" s="707"/>
      <c r="AA40" s="708"/>
      <c r="AB40" s="708"/>
      <c r="AC40" s="708"/>
      <c r="AD40" s="198"/>
      <c r="AE40" s="198"/>
      <c r="AF40" s="198"/>
      <c r="AG40" s="198"/>
      <c r="AH40" s="199"/>
      <c r="AI40" s="199"/>
      <c r="AJ40" s="199"/>
      <c r="AK40" s="199"/>
    </row>
    <row r="41" ht="15.75" customHeight="1">
      <c r="A41" s="720"/>
      <c r="B41" s="701"/>
      <c r="C41" s="721"/>
      <c r="D41" s="722"/>
      <c r="E41" s="701"/>
      <c r="F41" s="719"/>
      <c r="G41" s="701"/>
      <c r="H41" s="701"/>
      <c r="I41" s="701"/>
      <c r="J41" s="716"/>
      <c r="K41" s="716"/>
      <c r="L41" s="702"/>
      <c r="M41" s="703"/>
      <c r="N41" s="703"/>
      <c r="O41" s="198"/>
      <c r="P41" s="704"/>
      <c r="Q41" s="705"/>
      <c r="R41" s="704"/>
      <c r="S41" s="699"/>
      <c r="T41" s="706"/>
      <c r="U41" s="707"/>
      <c r="V41" s="699"/>
      <c r="W41" s="708"/>
      <c r="X41" s="708"/>
      <c r="Y41" s="708"/>
      <c r="Z41" s="707"/>
      <c r="AA41" s="708"/>
      <c r="AB41" s="708"/>
      <c r="AC41" s="708"/>
      <c r="AD41" s="198"/>
      <c r="AE41" s="198"/>
      <c r="AF41" s="198"/>
      <c r="AG41" s="198"/>
      <c r="AH41" s="199"/>
      <c r="AI41" s="199"/>
      <c r="AJ41" s="199"/>
      <c r="AK41" s="199"/>
    </row>
    <row r="42" ht="15.75" customHeight="1">
      <c r="A42" s="720"/>
      <c r="B42" s="701"/>
      <c r="C42" s="721"/>
      <c r="D42" s="722"/>
      <c r="E42" s="701"/>
      <c r="F42" s="719"/>
      <c r="G42" s="701"/>
      <c r="H42" s="701"/>
      <c r="I42" s="701"/>
      <c r="J42" s="716"/>
      <c r="K42" s="716"/>
      <c r="L42" s="702"/>
      <c r="M42" s="703"/>
      <c r="N42" s="703"/>
      <c r="O42" s="198"/>
      <c r="P42" s="704"/>
      <c r="Q42" s="705"/>
      <c r="R42" s="704"/>
      <c r="S42" s="699"/>
      <c r="T42" s="706"/>
      <c r="U42" s="707"/>
      <c r="V42" s="699"/>
      <c r="W42" s="708"/>
      <c r="X42" s="708"/>
      <c r="Y42" s="708"/>
      <c r="Z42" s="707"/>
      <c r="AA42" s="708"/>
      <c r="AB42" s="708"/>
      <c r="AC42" s="708"/>
      <c r="AD42" s="198"/>
      <c r="AE42" s="198"/>
      <c r="AF42" s="198"/>
      <c r="AG42" s="198"/>
      <c r="AH42" s="199"/>
      <c r="AI42" s="199"/>
      <c r="AJ42" s="199"/>
      <c r="AK42" s="199"/>
    </row>
    <row r="43" ht="15.75" customHeight="1">
      <c r="A43" s="720"/>
      <c r="B43" s="701"/>
      <c r="C43" s="721"/>
      <c r="D43" s="722"/>
      <c r="E43" s="701"/>
      <c r="F43" s="719"/>
      <c r="G43" s="701"/>
      <c r="H43" s="701"/>
      <c r="I43" s="701"/>
      <c r="J43" s="716"/>
      <c r="K43" s="716"/>
      <c r="L43" s="702"/>
      <c r="M43" s="703"/>
      <c r="N43" s="703"/>
      <c r="O43" s="198"/>
      <c r="P43" s="704"/>
      <c r="Q43" s="705"/>
      <c r="R43" s="704"/>
      <c r="S43" s="699"/>
      <c r="T43" s="706"/>
      <c r="U43" s="707"/>
      <c r="V43" s="699"/>
      <c r="W43" s="708"/>
      <c r="X43" s="708"/>
      <c r="Y43" s="708"/>
      <c r="Z43" s="707"/>
      <c r="AA43" s="708"/>
      <c r="AB43" s="708"/>
      <c r="AC43" s="708"/>
      <c r="AD43" s="198"/>
      <c r="AE43" s="198"/>
      <c r="AF43" s="198"/>
      <c r="AG43" s="198"/>
      <c r="AH43" s="199"/>
      <c r="AI43" s="199"/>
      <c r="AJ43" s="199"/>
      <c r="AK43" s="199"/>
    </row>
    <row r="44" ht="15.75" customHeight="1">
      <c r="A44" s="720"/>
      <c r="B44" s="701"/>
      <c r="C44" s="721"/>
      <c r="D44" s="722"/>
      <c r="E44" s="701"/>
      <c r="F44" s="719"/>
      <c r="G44" s="701"/>
      <c r="H44" s="701"/>
      <c r="I44" s="701"/>
      <c r="J44" s="716"/>
      <c r="K44" s="716"/>
      <c r="L44" s="702"/>
      <c r="M44" s="703"/>
      <c r="N44" s="703"/>
      <c r="O44" s="198"/>
      <c r="P44" s="704"/>
      <c r="Q44" s="705"/>
      <c r="R44" s="704"/>
      <c r="S44" s="699"/>
      <c r="T44" s="706"/>
      <c r="U44" s="707"/>
      <c r="V44" s="699"/>
      <c r="W44" s="708"/>
      <c r="X44" s="708"/>
      <c r="Y44" s="708"/>
      <c r="Z44" s="707"/>
      <c r="AA44" s="708"/>
      <c r="AB44" s="708"/>
      <c r="AC44" s="708"/>
      <c r="AD44" s="198"/>
      <c r="AE44" s="198"/>
      <c r="AF44" s="198"/>
      <c r="AG44" s="198"/>
      <c r="AH44" s="199"/>
      <c r="AI44" s="199"/>
      <c r="AJ44" s="199"/>
      <c r="AK44" s="199"/>
    </row>
    <row r="45" ht="15.75" customHeight="1">
      <c r="A45" s="720"/>
      <c r="B45" s="701"/>
      <c r="C45" s="721"/>
      <c r="D45" s="722"/>
      <c r="E45" s="701"/>
      <c r="F45" s="719"/>
      <c r="G45" s="701"/>
      <c r="H45" s="701"/>
      <c r="I45" s="701"/>
      <c r="J45" s="716"/>
      <c r="K45" s="716"/>
      <c r="L45" s="702"/>
      <c r="M45" s="703"/>
      <c r="N45" s="703"/>
      <c r="O45" s="198"/>
      <c r="P45" s="704"/>
      <c r="Q45" s="705"/>
      <c r="R45" s="704"/>
      <c r="S45" s="699"/>
      <c r="T45" s="706"/>
      <c r="U45" s="707"/>
      <c r="V45" s="699"/>
      <c r="W45" s="708"/>
      <c r="X45" s="708"/>
      <c r="Y45" s="708"/>
      <c r="Z45" s="707"/>
      <c r="AA45" s="708"/>
      <c r="AB45" s="708"/>
      <c r="AC45" s="708"/>
      <c r="AD45" s="198"/>
      <c r="AE45" s="198"/>
      <c r="AF45" s="198"/>
      <c r="AG45" s="198"/>
      <c r="AH45" s="199"/>
      <c r="AI45" s="199"/>
      <c r="AJ45" s="199"/>
      <c r="AK45" s="199"/>
    </row>
    <row r="46" ht="15.75" customHeight="1">
      <c r="A46" s="720"/>
      <c r="B46" s="701"/>
      <c r="C46" s="721"/>
      <c r="D46" s="722"/>
      <c r="E46" s="701"/>
      <c r="F46" s="719"/>
      <c r="G46" s="701"/>
      <c r="H46" s="701"/>
      <c r="I46" s="701"/>
      <c r="J46" s="716"/>
      <c r="K46" s="716"/>
      <c r="L46" s="702"/>
      <c r="M46" s="703"/>
      <c r="N46" s="703"/>
      <c r="O46" s="198"/>
      <c r="P46" s="704"/>
      <c r="Q46" s="705"/>
      <c r="R46" s="704"/>
      <c r="S46" s="699"/>
      <c r="T46" s="706"/>
      <c r="U46" s="707"/>
      <c r="V46" s="699"/>
      <c r="W46" s="708"/>
      <c r="X46" s="708"/>
      <c r="Y46" s="708"/>
      <c r="Z46" s="707"/>
      <c r="AA46" s="708"/>
      <c r="AB46" s="708"/>
      <c r="AC46" s="708"/>
      <c r="AD46" s="198"/>
      <c r="AE46" s="198"/>
      <c r="AF46" s="198"/>
      <c r="AG46" s="198"/>
      <c r="AH46" s="199"/>
      <c r="AI46" s="199"/>
      <c r="AJ46" s="199"/>
      <c r="AK46" s="199"/>
    </row>
    <row r="47" ht="15.75" customHeight="1">
      <c r="A47" s="720"/>
      <c r="B47" s="701"/>
      <c r="C47" s="721"/>
      <c r="D47" s="722"/>
      <c r="E47" s="701"/>
      <c r="F47" s="719"/>
      <c r="G47" s="701"/>
      <c r="H47" s="701"/>
      <c r="I47" s="701"/>
      <c r="J47" s="716"/>
      <c r="K47" s="716"/>
      <c r="L47" s="702"/>
      <c r="M47" s="703"/>
      <c r="N47" s="703"/>
      <c r="O47" s="198"/>
      <c r="P47" s="704"/>
      <c r="Q47" s="705"/>
      <c r="R47" s="704"/>
      <c r="S47" s="699"/>
      <c r="T47" s="706"/>
      <c r="U47" s="707"/>
      <c r="V47" s="699"/>
      <c r="W47" s="708"/>
      <c r="X47" s="708"/>
      <c r="Y47" s="708"/>
      <c r="Z47" s="707"/>
      <c r="AA47" s="708"/>
      <c r="AB47" s="708"/>
      <c r="AC47" s="708"/>
      <c r="AD47" s="198"/>
      <c r="AE47" s="198"/>
      <c r="AF47" s="198"/>
      <c r="AG47" s="198"/>
      <c r="AH47" s="199"/>
      <c r="AI47" s="199"/>
      <c r="AJ47" s="199"/>
      <c r="AK47" s="199"/>
    </row>
    <row r="48" ht="15.75" customHeight="1">
      <c r="A48" s="720"/>
      <c r="B48" s="701"/>
      <c r="C48" s="721"/>
      <c r="D48" s="722"/>
      <c r="E48" s="701"/>
      <c r="F48" s="719"/>
      <c r="G48" s="701"/>
      <c r="H48" s="701"/>
      <c r="I48" s="701"/>
      <c r="J48" s="716"/>
      <c r="K48" s="716"/>
      <c r="L48" s="702"/>
      <c r="M48" s="703"/>
      <c r="N48" s="703"/>
      <c r="O48" s="198"/>
      <c r="P48" s="704"/>
      <c r="Q48" s="705"/>
      <c r="R48" s="704"/>
      <c r="S48" s="699"/>
      <c r="T48" s="706"/>
      <c r="U48" s="707"/>
      <c r="V48" s="699"/>
      <c r="W48" s="708"/>
      <c r="X48" s="708"/>
      <c r="Y48" s="708"/>
      <c r="Z48" s="707"/>
      <c r="AA48" s="708"/>
      <c r="AB48" s="708"/>
      <c r="AC48" s="708"/>
      <c r="AD48" s="198"/>
      <c r="AE48" s="198"/>
      <c r="AF48" s="198"/>
      <c r="AG48" s="198"/>
      <c r="AH48" s="199"/>
      <c r="AI48" s="199"/>
      <c r="AJ48" s="199"/>
      <c r="AK48" s="199"/>
    </row>
    <row r="49" ht="15.75" customHeight="1">
      <c r="A49" s="720"/>
      <c r="B49" s="701"/>
      <c r="C49" s="721"/>
      <c r="D49" s="722"/>
      <c r="E49" s="701"/>
      <c r="F49" s="719"/>
      <c r="G49" s="701"/>
      <c r="H49" s="701"/>
      <c r="I49" s="701"/>
      <c r="J49" s="716"/>
      <c r="K49" s="716"/>
      <c r="L49" s="702"/>
      <c r="M49" s="703"/>
      <c r="N49" s="703"/>
      <c r="O49" s="198"/>
      <c r="P49" s="704"/>
      <c r="Q49" s="705"/>
      <c r="R49" s="704"/>
      <c r="S49" s="699"/>
      <c r="T49" s="706"/>
      <c r="U49" s="707"/>
      <c r="V49" s="699"/>
      <c r="W49" s="708"/>
      <c r="X49" s="708"/>
      <c r="Y49" s="708"/>
      <c r="Z49" s="707"/>
      <c r="AA49" s="708"/>
      <c r="AB49" s="708"/>
      <c r="AC49" s="708"/>
      <c r="AD49" s="198"/>
      <c r="AE49" s="198"/>
      <c r="AF49" s="198"/>
      <c r="AG49" s="198"/>
      <c r="AH49" s="199"/>
      <c r="AI49" s="199"/>
      <c r="AJ49" s="199"/>
      <c r="AK49" s="199"/>
    </row>
    <row r="50" ht="15.75" customHeight="1">
      <c r="A50" s="720"/>
      <c r="B50" s="720"/>
      <c r="C50" s="720"/>
      <c r="D50" s="720"/>
      <c r="E50" s="720"/>
      <c r="F50" s="720"/>
      <c r="G50" s="720"/>
      <c r="H50" s="720"/>
      <c r="I50" s="720"/>
      <c r="J50" s="723"/>
      <c r="K50" s="723"/>
      <c r="L50" s="199"/>
      <c r="M50" s="199"/>
      <c r="N50" s="199"/>
      <c r="O50" s="199"/>
      <c r="P50" s="724"/>
      <c r="Q50" s="725"/>
      <c r="R50" s="724"/>
      <c r="S50" s="199"/>
      <c r="T50" s="199"/>
      <c r="U50" s="199"/>
      <c r="V50" s="199"/>
      <c r="W50" s="199"/>
      <c r="X50" s="199"/>
      <c r="Y50" s="199"/>
      <c r="Z50" s="726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</row>
    <row r="51" ht="15.75" customHeight="1">
      <c r="A51" s="720"/>
      <c r="B51" s="720"/>
      <c r="C51" s="720"/>
      <c r="D51" s="720"/>
      <c r="E51" s="720"/>
      <c r="F51" s="720"/>
      <c r="G51" s="720"/>
      <c r="H51" s="720"/>
      <c r="I51" s="720"/>
      <c r="J51" s="723"/>
      <c r="K51" s="723"/>
      <c r="L51" s="199"/>
      <c r="M51" s="199"/>
      <c r="N51" s="199"/>
      <c r="O51" s="199"/>
      <c r="P51" s="724"/>
      <c r="Q51" s="725"/>
      <c r="R51" s="724"/>
      <c r="S51" s="199"/>
      <c r="T51" s="199"/>
      <c r="U51" s="199"/>
      <c r="V51" s="199"/>
      <c r="W51" s="199"/>
      <c r="X51" s="199"/>
      <c r="Y51" s="199"/>
      <c r="Z51" s="726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</row>
    <row r="52" ht="15.75" customHeight="1">
      <c r="A52" s="720"/>
      <c r="B52" s="720"/>
      <c r="C52" s="720"/>
      <c r="D52" s="720"/>
      <c r="E52" s="720"/>
      <c r="F52" s="720"/>
      <c r="G52" s="720"/>
      <c r="H52" s="720"/>
      <c r="I52" s="720"/>
      <c r="J52" s="723"/>
      <c r="K52" s="723"/>
      <c r="L52" s="199"/>
      <c r="M52" s="199"/>
      <c r="N52" s="199"/>
      <c r="O52" s="199"/>
      <c r="P52" s="724"/>
      <c r="Q52" s="725"/>
      <c r="R52" s="724"/>
      <c r="S52" s="199"/>
      <c r="T52" s="199"/>
      <c r="U52" s="199"/>
      <c r="V52" s="199"/>
      <c r="W52" s="199"/>
      <c r="X52" s="199"/>
      <c r="Y52" s="199"/>
      <c r="Z52" s="726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</row>
    <row r="53" ht="15.75" customHeight="1">
      <c r="A53" s="720"/>
      <c r="B53" s="720"/>
      <c r="C53" s="720"/>
      <c r="D53" s="720"/>
      <c r="E53" s="720"/>
      <c r="F53" s="720"/>
      <c r="G53" s="720"/>
      <c r="H53" s="720"/>
      <c r="I53" s="720"/>
      <c r="J53" s="723"/>
      <c r="K53" s="723"/>
      <c r="L53" s="199"/>
      <c r="M53" s="199"/>
      <c r="N53" s="199"/>
      <c r="O53" s="199"/>
      <c r="P53" s="724"/>
      <c r="Q53" s="725"/>
      <c r="R53" s="724"/>
      <c r="S53" s="199"/>
      <c r="T53" s="199"/>
      <c r="U53" s="199"/>
      <c r="V53" s="199"/>
      <c r="W53" s="199"/>
      <c r="X53" s="199"/>
      <c r="Y53" s="199"/>
      <c r="Z53" s="726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</row>
    <row r="54" ht="15.75" customHeight="1">
      <c r="A54" s="720"/>
      <c r="B54" s="720"/>
      <c r="C54" s="720"/>
      <c r="D54" s="720"/>
      <c r="E54" s="720"/>
      <c r="F54" s="720"/>
      <c r="G54" s="720"/>
      <c r="H54" s="720"/>
      <c r="I54" s="720"/>
      <c r="J54" s="723"/>
      <c r="K54" s="723"/>
      <c r="L54" s="199"/>
      <c r="M54" s="199"/>
      <c r="N54" s="199"/>
      <c r="O54" s="199"/>
      <c r="P54" s="724"/>
      <c r="Q54" s="725"/>
      <c r="R54" s="724"/>
      <c r="S54" s="199"/>
      <c r="T54" s="199"/>
      <c r="U54" s="199"/>
      <c r="V54" s="199"/>
      <c r="W54" s="199"/>
      <c r="X54" s="199"/>
      <c r="Y54" s="199"/>
      <c r="Z54" s="726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</row>
    <row r="55" ht="15.75" customHeight="1">
      <c r="A55" s="720"/>
      <c r="B55" s="720"/>
      <c r="C55" s="720"/>
      <c r="D55" s="720"/>
      <c r="E55" s="720"/>
      <c r="F55" s="720"/>
      <c r="G55" s="720"/>
      <c r="H55" s="720"/>
      <c r="I55" s="720"/>
      <c r="J55" s="723"/>
      <c r="K55" s="723"/>
      <c r="L55" s="199"/>
      <c r="M55" s="199"/>
      <c r="N55" s="199"/>
      <c r="O55" s="199"/>
      <c r="P55" s="724"/>
      <c r="Q55" s="725"/>
      <c r="R55" s="724"/>
      <c r="S55" s="199"/>
      <c r="T55" s="199"/>
      <c r="U55" s="199"/>
      <c r="V55" s="199"/>
      <c r="W55" s="199"/>
      <c r="X55" s="199"/>
      <c r="Y55" s="199"/>
      <c r="Z55" s="726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</row>
    <row r="56" ht="15.75" customHeight="1">
      <c r="A56" s="720"/>
      <c r="B56" s="720"/>
      <c r="C56" s="720"/>
      <c r="D56" s="720"/>
      <c r="E56" s="720"/>
      <c r="F56" s="720"/>
      <c r="G56" s="720"/>
      <c r="H56" s="720"/>
      <c r="I56" s="720"/>
      <c r="J56" s="723"/>
      <c r="K56" s="723"/>
      <c r="L56" s="199"/>
      <c r="M56" s="199"/>
      <c r="N56" s="199"/>
      <c r="O56" s="199"/>
      <c r="P56" s="724"/>
      <c r="Q56" s="725"/>
      <c r="R56" s="724"/>
      <c r="S56" s="199"/>
      <c r="T56" s="199"/>
      <c r="U56" s="199"/>
      <c r="V56" s="199"/>
      <c r="W56" s="199"/>
      <c r="X56" s="199"/>
      <c r="Y56" s="199"/>
      <c r="Z56" s="726"/>
      <c r="AA56" s="199"/>
      <c r="AB56" s="199"/>
      <c r="AC56" s="199"/>
      <c r="AD56" s="199"/>
      <c r="AE56" s="199"/>
      <c r="AF56" s="199"/>
      <c r="AG56" s="199"/>
      <c r="AH56" s="199"/>
      <c r="AI56" s="199"/>
      <c r="AJ56" s="199"/>
      <c r="AK56" s="199"/>
    </row>
    <row r="57" ht="15.75" customHeight="1">
      <c r="A57" s="720"/>
      <c r="B57" s="720"/>
      <c r="C57" s="720"/>
      <c r="D57" s="720"/>
      <c r="E57" s="720"/>
      <c r="F57" s="720"/>
      <c r="G57" s="720"/>
      <c r="H57" s="720"/>
      <c r="I57" s="720"/>
      <c r="J57" s="723"/>
      <c r="K57" s="723"/>
      <c r="L57" s="199"/>
      <c r="M57" s="199"/>
      <c r="N57" s="199"/>
      <c r="O57" s="199"/>
      <c r="P57" s="724"/>
      <c r="Q57" s="725"/>
      <c r="R57" s="724"/>
      <c r="S57" s="199"/>
      <c r="T57" s="199"/>
      <c r="U57" s="199"/>
      <c r="V57" s="199"/>
      <c r="W57" s="199"/>
      <c r="X57" s="199"/>
      <c r="Y57" s="199"/>
      <c r="Z57" s="726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</row>
    <row r="58" ht="15.75" customHeight="1">
      <c r="A58" s="720"/>
      <c r="B58" s="720"/>
      <c r="C58" s="720"/>
      <c r="D58" s="720"/>
      <c r="E58" s="720"/>
      <c r="F58" s="720"/>
      <c r="G58" s="720"/>
      <c r="H58" s="720"/>
      <c r="I58" s="720"/>
      <c r="J58" s="723"/>
      <c r="K58" s="723"/>
      <c r="L58" s="199"/>
      <c r="M58" s="199"/>
      <c r="N58" s="199"/>
      <c r="O58" s="199"/>
      <c r="P58" s="724"/>
      <c r="Q58" s="725"/>
      <c r="R58" s="724"/>
      <c r="S58" s="199"/>
      <c r="T58" s="199"/>
      <c r="U58" s="199"/>
      <c r="V58" s="199"/>
      <c r="W58" s="199"/>
      <c r="X58" s="199"/>
      <c r="Y58" s="199"/>
      <c r="Z58" s="726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  <c r="AK58" s="199"/>
    </row>
    <row r="59" ht="15.75" customHeight="1">
      <c r="A59" s="720"/>
      <c r="B59" s="720"/>
      <c r="C59" s="720"/>
      <c r="D59" s="720"/>
      <c r="E59" s="720"/>
      <c r="F59" s="720"/>
      <c r="G59" s="720"/>
      <c r="H59" s="720"/>
      <c r="I59" s="720"/>
      <c r="J59" s="723"/>
      <c r="K59" s="723"/>
      <c r="L59" s="199"/>
      <c r="M59" s="199"/>
      <c r="N59" s="199"/>
      <c r="O59" s="199"/>
      <c r="P59" s="724"/>
      <c r="Q59" s="725"/>
      <c r="R59" s="724"/>
      <c r="S59" s="199"/>
      <c r="T59" s="199"/>
      <c r="U59" s="199"/>
      <c r="V59" s="199"/>
      <c r="W59" s="199"/>
      <c r="X59" s="199"/>
      <c r="Y59" s="199"/>
      <c r="Z59" s="726"/>
      <c r="AA59" s="199"/>
      <c r="AB59" s="199"/>
      <c r="AC59" s="199"/>
      <c r="AD59" s="199"/>
      <c r="AE59" s="199"/>
      <c r="AF59" s="199"/>
      <c r="AG59" s="199"/>
      <c r="AH59" s="199"/>
      <c r="AI59" s="199"/>
      <c r="AJ59" s="199"/>
      <c r="AK59" s="199"/>
    </row>
    <row r="60" ht="15.75" customHeight="1">
      <c r="A60" s="720"/>
      <c r="B60" s="720"/>
      <c r="C60" s="720"/>
      <c r="D60" s="720"/>
      <c r="E60" s="720"/>
      <c r="F60" s="720"/>
      <c r="G60" s="720"/>
      <c r="H60" s="720"/>
      <c r="I60" s="720"/>
      <c r="J60" s="723"/>
      <c r="K60" s="723"/>
      <c r="L60" s="199"/>
      <c r="M60" s="199"/>
      <c r="N60" s="199"/>
      <c r="O60" s="199"/>
      <c r="P60" s="724"/>
      <c r="Q60" s="725"/>
      <c r="R60" s="724"/>
      <c r="S60" s="199"/>
      <c r="T60" s="199"/>
      <c r="U60" s="199"/>
      <c r="V60" s="199"/>
      <c r="W60" s="199"/>
      <c r="X60" s="199"/>
      <c r="Y60" s="199"/>
      <c r="Z60" s="726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</row>
    <row r="61" ht="15.75" customHeight="1">
      <c r="A61" s="720"/>
      <c r="B61" s="720"/>
      <c r="C61" s="720"/>
      <c r="D61" s="720"/>
      <c r="E61" s="720"/>
      <c r="F61" s="720"/>
      <c r="G61" s="720"/>
      <c r="H61" s="720"/>
      <c r="I61" s="720"/>
      <c r="J61" s="723"/>
      <c r="K61" s="723"/>
      <c r="L61" s="199"/>
      <c r="M61" s="199"/>
      <c r="N61" s="199"/>
      <c r="O61" s="199"/>
      <c r="P61" s="724"/>
      <c r="Q61" s="725"/>
      <c r="R61" s="724"/>
      <c r="S61" s="199"/>
      <c r="T61" s="199"/>
      <c r="U61" s="199"/>
      <c r="V61" s="199"/>
      <c r="W61" s="199"/>
      <c r="X61" s="199"/>
      <c r="Y61" s="199"/>
      <c r="Z61" s="726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  <c r="AK61" s="199"/>
    </row>
    <row r="62" ht="15.75" customHeight="1">
      <c r="A62" s="720"/>
      <c r="B62" s="720"/>
      <c r="C62" s="720"/>
      <c r="D62" s="720"/>
      <c r="E62" s="720"/>
      <c r="F62" s="720"/>
      <c r="G62" s="720"/>
      <c r="H62" s="720"/>
      <c r="I62" s="720"/>
      <c r="J62" s="723"/>
      <c r="K62" s="723"/>
      <c r="L62" s="199"/>
      <c r="M62" s="199"/>
      <c r="N62" s="199"/>
      <c r="O62" s="199"/>
      <c r="P62" s="724"/>
      <c r="Q62" s="725"/>
      <c r="R62" s="724"/>
      <c r="S62" s="199"/>
      <c r="T62" s="199"/>
      <c r="U62" s="199"/>
      <c r="V62" s="199"/>
      <c r="W62" s="199"/>
      <c r="X62" s="199"/>
      <c r="Y62" s="199"/>
      <c r="Z62" s="726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  <c r="AK62" s="199"/>
    </row>
    <row r="63" ht="15.75" customHeight="1">
      <c r="A63" s="720"/>
      <c r="B63" s="720"/>
      <c r="C63" s="720"/>
      <c r="D63" s="720"/>
      <c r="E63" s="720"/>
      <c r="F63" s="720"/>
      <c r="G63" s="720"/>
      <c r="H63" s="720"/>
      <c r="I63" s="720"/>
      <c r="J63" s="723"/>
      <c r="K63" s="723"/>
      <c r="L63" s="199"/>
      <c r="M63" s="199"/>
      <c r="N63" s="199"/>
      <c r="O63" s="199"/>
      <c r="P63" s="724"/>
      <c r="Q63" s="725"/>
      <c r="R63" s="724"/>
      <c r="S63" s="199"/>
      <c r="T63" s="199"/>
      <c r="U63" s="199"/>
      <c r="V63" s="199"/>
      <c r="W63" s="199"/>
      <c r="X63" s="199"/>
      <c r="Y63" s="199"/>
      <c r="Z63" s="726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  <c r="AK63" s="199"/>
    </row>
    <row r="64" ht="15.75" customHeight="1">
      <c r="A64" s="720"/>
      <c r="B64" s="720"/>
      <c r="C64" s="720"/>
      <c r="D64" s="720"/>
      <c r="E64" s="720"/>
      <c r="F64" s="720"/>
      <c r="G64" s="720"/>
      <c r="H64" s="720"/>
      <c r="I64" s="720"/>
      <c r="J64" s="723"/>
      <c r="K64" s="723"/>
      <c r="L64" s="199"/>
      <c r="M64" s="199"/>
      <c r="N64" s="199"/>
      <c r="O64" s="199"/>
      <c r="P64" s="724"/>
      <c r="Q64" s="725"/>
      <c r="R64" s="724"/>
      <c r="S64" s="199"/>
      <c r="T64" s="199"/>
      <c r="U64" s="199"/>
      <c r="V64" s="199"/>
      <c r="W64" s="199"/>
      <c r="X64" s="199"/>
      <c r="Y64" s="199"/>
      <c r="Z64" s="726"/>
      <c r="AA64" s="199"/>
      <c r="AB64" s="199"/>
      <c r="AC64" s="199"/>
      <c r="AD64" s="199"/>
      <c r="AE64" s="199"/>
      <c r="AF64" s="199"/>
      <c r="AG64" s="199"/>
      <c r="AH64" s="199"/>
      <c r="AI64" s="199"/>
      <c r="AJ64" s="199"/>
      <c r="AK64" s="199"/>
    </row>
    <row r="65" ht="15.75" customHeight="1">
      <c r="A65" s="720"/>
      <c r="B65" s="720"/>
      <c r="C65" s="720"/>
      <c r="D65" s="720"/>
      <c r="E65" s="720"/>
      <c r="F65" s="720"/>
      <c r="G65" s="720"/>
      <c r="H65" s="720"/>
      <c r="I65" s="720"/>
      <c r="J65" s="723"/>
      <c r="K65" s="723"/>
      <c r="L65" s="199"/>
      <c r="M65" s="199"/>
      <c r="N65" s="199"/>
      <c r="O65" s="199"/>
      <c r="P65" s="724"/>
      <c r="Q65" s="725"/>
      <c r="R65" s="724"/>
      <c r="S65" s="199"/>
      <c r="T65" s="199"/>
      <c r="U65" s="199"/>
      <c r="V65" s="199"/>
      <c r="W65" s="199"/>
      <c r="X65" s="199"/>
      <c r="Y65" s="199"/>
      <c r="Z65" s="726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  <c r="AK65" s="199"/>
    </row>
    <row r="66" ht="15.75" customHeight="1">
      <c r="A66" s="720"/>
      <c r="B66" s="720"/>
      <c r="C66" s="720"/>
      <c r="D66" s="720"/>
      <c r="E66" s="720"/>
      <c r="F66" s="720"/>
      <c r="G66" s="720"/>
      <c r="H66" s="720"/>
      <c r="I66" s="720"/>
      <c r="J66" s="723"/>
      <c r="K66" s="723"/>
      <c r="L66" s="199"/>
      <c r="M66" s="199"/>
      <c r="N66" s="199"/>
      <c r="O66" s="199"/>
      <c r="P66" s="724"/>
      <c r="Q66" s="725"/>
      <c r="R66" s="724"/>
      <c r="S66" s="199"/>
      <c r="T66" s="199"/>
      <c r="U66" s="199"/>
      <c r="V66" s="199"/>
      <c r="W66" s="199"/>
      <c r="X66" s="199"/>
      <c r="Y66" s="199"/>
      <c r="Z66" s="726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  <c r="AK66" s="199"/>
    </row>
    <row r="67" ht="15.75" customHeight="1">
      <c r="A67" s="720"/>
      <c r="B67" s="720"/>
      <c r="C67" s="720"/>
      <c r="D67" s="720"/>
      <c r="E67" s="720"/>
      <c r="F67" s="720"/>
      <c r="G67" s="720"/>
      <c r="H67" s="720"/>
      <c r="I67" s="720"/>
      <c r="J67" s="723"/>
      <c r="K67" s="723"/>
      <c r="L67" s="199"/>
      <c r="M67" s="199"/>
      <c r="N67" s="199"/>
      <c r="O67" s="199"/>
      <c r="P67" s="724"/>
      <c r="Q67" s="725"/>
      <c r="R67" s="724"/>
      <c r="S67" s="199"/>
      <c r="T67" s="199"/>
      <c r="U67" s="199"/>
      <c r="V67" s="199"/>
      <c r="W67" s="199"/>
      <c r="X67" s="199"/>
      <c r="Y67" s="199"/>
      <c r="Z67" s="726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</row>
    <row r="68" ht="15.75" customHeight="1">
      <c r="A68" s="720"/>
      <c r="B68" s="720"/>
      <c r="C68" s="720"/>
      <c r="D68" s="720"/>
      <c r="E68" s="720"/>
      <c r="F68" s="720"/>
      <c r="G68" s="720"/>
      <c r="H68" s="720"/>
      <c r="I68" s="720"/>
      <c r="J68" s="723"/>
      <c r="K68" s="723"/>
      <c r="L68" s="199"/>
      <c r="M68" s="199"/>
      <c r="N68" s="199"/>
      <c r="O68" s="199"/>
      <c r="P68" s="724"/>
      <c r="Q68" s="725"/>
      <c r="R68" s="724"/>
      <c r="S68" s="199"/>
      <c r="T68" s="199"/>
      <c r="U68" s="199"/>
      <c r="V68" s="199"/>
      <c r="W68" s="199"/>
      <c r="X68" s="199"/>
      <c r="Y68" s="199"/>
      <c r="Z68" s="726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</row>
    <row r="69" ht="15.75" customHeight="1">
      <c r="A69" s="720"/>
      <c r="B69" s="720"/>
      <c r="C69" s="720"/>
      <c r="D69" s="720"/>
      <c r="E69" s="720"/>
      <c r="F69" s="720"/>
      <c r="G69" s="720"/>
      <c r="H69" s="720"/>
      <c r="I69" s="720"/>
      <c r="J69" s="723"/>
      <c r="K69" s="723"/>
      <c r="L69" s="199"/>
      <c r="M69" s="199"/>
      <c r="N69" s="199"/>
      <c r="O69" s="199"/>
      <c r="P69" s="724"/>
      <c r="Q69" s="725"/>
      <c r="R69" s="724"/>
      <c r="S69" s="199"/>
      <c r="T69" s="199"/>
      <c r="U69" s="199"/>
      <c r="V69" s="199"/>
      <c r="W69" s="199"/>
      <c r="X69" s="199"/>
      <c r="Y69" s="199"/>
      <c r="Z69" s="726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/>
      <c r="AK69" s="199"/>
    </row>
    <row r="70" ht="15.75" customHeight="1">
      <c r="A70" s="720"/>
      <c r="B70" s="720"/>
      <c r="C70" s="720"/>
      <c r="D70" s="720"/>
      <c r="E70" s="720"/>
      <c r="F70" s="720"/>
      <c r="G70" s="720"/>
      <c r="H70" s="720"/>
      <c r="I70" s="720"/>
      <c r="J70" s="723"/>
      <c r="K70" s="723"/>
      <c r="L70" s="199"/>
      <c r="M70" s="199"/>
      <c r="N70" s="199"/>
      <c r="O70" s="199"/>
      <c r="P70" s="724"/>
      <c r="Q70" s="725"/>
      <c r="R70" s="724"/>
      <c r="S70" s="199"/>
      <c r="T70" s="199"/>
      <c r="U70" s="199"/>
      <c r="V70" s="199"/>
      <c r="W70" s="199"/>
      <c r="X70" s="199"/>
      <c r="Y70" s="199"/>
      <c r="Z70" s="726"/>
      <c r="AA70" s="199"/>
      <c r="AB70" s="199"/>
      <c r="AC70" s="199"/>
      <c r="AD70" s="199"/>
      <c r="AE70" s="199"/>
      <c r="AF70" s="199"/>
      <c r="AG70" s="199"/>
      <c r="AH70" s="199"/>
      <c r="AI70" s="199"/>
      <c r="AJ70" s="199"/>
      <c r="AK70" s="199"/>
    </row>
    <row r="71" ht="15.75" customHeight="1">
      <c r="A71" s="720"/>
      <c r="B71" s="720"/>
      <c r="C71" s="720"/>
      <c r="D71" s="720"/>
      <c r="E71" s="720"/>
      <c r="F71" s="720"/>
      <c r="G71" s="720"/>
      <c r="H71" s="720"/>
      <c r="I71" s="720"/>
      <c r="J71" s="723"/>
      <c r="K71" s="723"/>
      <c r="L71" s="199"/>
      <c r="M71" s="199"/>
      <c r="N71" s="199"/>
      <c r="O71" s="199"/>
      <c r="P71" s="724"/>
      <c r="Q71" s="725"/>
      <c r="R71" s="724"/>
      <c r="S71" s="199"/>
      <c r="T71" s="199"/>
      <c r="U71" s="199"/>
      <c r="V71" s="199"/>
      <c r="W71" s="199"/>
      <c r="X71" s="199"/>
      <c r="Y71" s="199"/>
      <c r="Z71" s="726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  <c r="AK71" s="199"/>
    </row>
    <row r="72" ht="15.75" customHeight="1">
      <c r="A72" s="720"/>
      <c r="B72" s="720"/>
      <c r="C72" s="720"/>
      <c r="D72" s="720"/>
      <c r="E72" s="720"/>
      <c r="F72" s="720"/>
      <c r="G72" s="720"/>
      <c r="H72" s="720"/>
      <c r="I72" s="720"/>
      <c r="J72" s="723"/>
      <c r="K72" s="723"/>
      <c r="L72" s="199"/>
      <c r="M72" s="199"/>
      <c r="N72" s="199"/>
      <c r="O72" s="199"/>
      <c r="P72" s="724"/>
      <c r="Q72" s="725"/>
      <c r="R72" s="724"/>
      <c r="S72" s="199"/>
      <c r="T72" s="199"/>
      <c r="U72" s="199"/>
      <c r="V72" s="199"/>
      <c r="W72" s="199"/>
      <c r="X72" s="199"/>
      <c r="Y72" s="199"/>
      <c r="Z72" s="726"/>
      <c r="AA72" s="199"/>
      <c r="AB72" s="199"/>
      <c r="AC72" s="199"/>
      <c r="AD72" s="199"/>
      <c r="AE72" s="199"/>
      <c r="AF72" s="199"/>
      <c r="AG72" s="199"/>
      <c r="AH72" s="199"/>
      <c r="AI72" s="199"/>
      <c r="AJ72" s="199"/>
      <c r="AK72" s="199"/>
    </row>
    <row r="73" ht="15.75" customHeight="1">
      <c r="A73" s="720"/>
      <c r="B73" s="720"/>
      <c r="C73" s="720"/>
      <c r="D73" s="720"/>
      <c r="E73" s="720"/>
      <c r="F73" s="720"/>
      <c r="G73" s="720"/>
      <c r="H73" s="720"/>
      <c r="I73" s="720"/>
      <c r="J73" s="723"/>
      <c r="K73" s="723"/>
      <c r="L73" s="199"/>
      <c r="M73" s="199"/>
      <c r="N73" s="199"/>
      <c r="O73" s="199"/>
      <c r="P73" s="724"/>
      <c r="Q73" s="725"/>
      <c r="R73" s="724"/>
      <c r="S73" s="199"/>
      <c r="T73" s="199"/>
      <c r="U73" s="199"/>
      <c r="V73" s="199"/>
      <c r="W73" s="199"/>
      <c r="X73" s="199"/>
      <c r="Y73" s="199"/>
      <c r="Z73" s="726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  <c r="AK73" s="199"/>
    </row>
    <row r="74" ht="15.75" customHeight="1">
      <c r="A74" s="720"/>
      <c r="B74" s="720"/>
      <c r="C74" s="720"/>
      <c r="D74" s="720"/>
      <c r="E74" s="720"/>
      <c r="F74" s="720"/>
      <c r="G74" s="720"/>
      <c r="H74" s="720"/>
      <c r="I74" s="720"/>
      <c r="J74" s="723"/>
      <c r="K74" s="723"/>
      <c r="L74" s="199"/>
      <c r="M74" s="199"/>
      <c r="N74" s="199"/>
      <c r="O74" s="199"/>
      <c r="P74" s="724"/>
      <c r="Q74" s="725"/>
      <c r="R74" s="724"/>
      <c r="S74" s="199"/>
      <c r="T74" s="199"/>
      <c r="U74" s="199"/>
      <c r="V74" s="199"/>
      <c r="W74" s="199"/>
      <c r="X74" s="199"/>
      <c r="Y74" s="199"/>
      <c r="Z74" s="726"/>
      <c r="AA74" s="199"/>
      <c r="AB74" s="199"/>
      <c r="AC74" s="199"/>
      <c r="AD74" s="199"/>
      <c r="AE74" s="199"/>
      <c r="AF74" s="199"/>
      <c r="AG74" s="199"/>
      <c r="AH74" s="199"/>
      <c r="AI74" s="199"/>
      <c r="AJ74" s="199"/>
      <c r="AK74" s="199"/>
    </row>
    <row r="75" ht="15.75" customHeight="1">
      <c r="A75" s="720"/>
      <c r="B75" s="720"/>
      <c r="C75" s="720"/>
      <c r="D75" s="720"/>
      <c r="E75" s="720"/>
      <c r="F75" s="720"/>
      <c r="G75" s="720"/>
      <c r="H75" s="720"/>
      <c r="I75" s="720"/>
      <c r="J75" s="723"/>
      <c r="K75" s="723"/>
      <c r="L75" s="199"/>
      <c r="M75" s="199"/>
      <c r="N75" s="199"/>
      <c r="O75" s="199"/>
      <c r="P75" s="724"/>
      <c r="Q75" s="725"/>
      <c r="R75" s="724"/>
      <c r="S75" s="199"/>
      <c r="T75" s="199"/>
      <c r="U75" s="199"/>
      <c r="V75" s="199"/>
      <c r="W75" s="199"/>
      <c r="X75" s="199"/>
      <c r="Y75" s="199"/>
      <c r="Z75" s="726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9"/>
    </row>
    <row r="76" ht="15.75" customHeight="1">
      <c r="A76" s="720"/>
      <c r="B76" s="720"/>
      <c r="C76" s="720"/>
      <c r="D76" s="720"/>
      <c r="E76" s="720"/>
      <c r="F76" s="720"/>
      <c r="G76" s="720"/>
      <c r="H76" s="720"/>
      <c r="I76" s="720"/>
      <c r="J76" s="723"/>
      <c r="K76" s="723"/>
      <c r="L76" s="199"/>
      <c r="M76" s="199"/>
      <c r="N76" s="199"/>
      <c r="O76" s="199"/>
      <c r="P76" s="724"/>
      <c r="Q76" s="725"/>
      <c r="R76" s="724"/>
      <c r="S76" s="199"/>
      <c r="T76" s="199"/>
      <c r="U76" s="199"/>
      <c r="V76" s="199"/>
      <c r="W76" s="199"/>
      <c r="X76" s="199"/>
      <c r="Y76" s="199"/>
      <c r="Z76" s="726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  <c r="AK76" s="199"/>
    </row>
    <row r="77" ht="15.75" customHeight="1">
      <c r="A77" s="720"/>
      <c r="B77" s="720"/>
      <c r="C77" s="720"/>
      <c r="D77" s="720"/>
      <c r="E77" s="720"/>
      <c r="F77" s="720"/>
      <c r="G77" s="720"/>
      <c r="H77" s="720"/>
      <c r="I77" s="720"/>
      <c r="J77" s="723"/>
      <c r="K77" s="723"/>
      <c r="L77" s="199"/>
      <c r="M77" s="199"/>
      <c r="N77" s="199"/>
      <c r="O77" s="199"/>
      <c r="P77" s="724"/>
      <c r="Q77" s="725"/>
      <c r="R77" s="724"/>
      <c r="S77" s="199"/>
      <c r="T77" s="199"/>
      <c r="U77" s="199"/>
      <c r="V77" s="199"/>
      <c r="W77" s="199"/>
      <c r="X77" s="199"/>
      <c r="Y77" s="199"/>
      <c r="Z77" s="726"/>
      <c r="AA77" s="199"/>
      <c r="AB77" s="199"/>
      <c r="AC77" s="199"/>
      <c r="AD77" s="199"/>
      <c r="AE77" s="199"/>
      <c r="AF77" s="199"/>
      <c r="AG77" s="199"/>
      <c r="AH77" s="199"/>
      <c r="AI77" s="199"/>
      <c r="AJ77" s="199"/>
      <c r="AK77" s="199"/>
    </row>
    <row r="78" ht="15.75" customHeight="1">
      <c r="A78" s="720"/>
      <c r="B78" s="720"/>
      <c r="C78" s="720"/>
      <c r="D78" s="720"/>
      <c r="E78" s="720"/>
      <c r="F78" s="720"/>
      <c r="G78" s="720"/>
      <c r="H78" s="720"/>
      <c r="I78" s="720"/>
      <c r="J78" s="723"/>
      <c r="K78" s="723"/>
      <c r="L78" s="199"/>
      <c r="M78" s="199"/>
      <c r="N78" s="199"/>
      <c r="O78" s="199"/>
      <c r="P78" s="724"/>
      <c r="Q78" s="725"/>
      <c r="R78" s="724"/>
      <c r="S78" s="199"/>
      <c r="T78" s="199"/>
      <c r="U78" s="199"/>
      <c r="V78" s="199"/>
      <c r="W78" s="199"/>
      <c r="X78" s="199"/>
      <c r="Y78" s="199"/>
      <c r="Z78" s="726"/>
      <c r="AA78" s="199"/>
      <c r="AB78" s="199"/>
      <c r="AC78" s="199"/>
      <c r="AD78" s="199"/>
      <c r="AE78" s="199"/>
      <c r="AF78" s="199"/>
      <c r="AG78" s="199"/>
      <c r="AH78" s="199"/>
      <c r="AI78" s="199"/>
      <c r="AJ78" s="199"/>
      <c r="AK78" s="199"/>
    </row>
    <row r="79" ht="15.75" customHeight="1">
      <c r="A79" s="720"/>
      <c r="B79" s="720"/>
      <c r="C79" s="720"/>
      <c r="D79" s="720"/>
      <c r="E79" s="720"/>
      <c r="F79" s="720"/>
      <c r="G79" s="720"/>
      <c r="H79" s="720"/>
      <c r="I79" s="720"/>
      <c r="J79" s="723"/>
      <c r="K79" s="723"/>
      <c r="L79" s="199"/>
      <c r="M79" s="199"/>
      <c r="N79" s="199"/>
      <c r="O79" s="199"/>
      <c r="P79" s="724"/>
      <c r="Q79" s="725"/>
      <c r="R79" s="724"/>
      <c r="S79" s="199"/>
      <c r="T79" s="199"/>
      <c r="U79" s="199"/>
      <c r="V79" s="199"/>
      <c r="W79" s="199"/>
      <c r="X79" s="199"/>
      <c r="Y79" s="199"/>
      <c r="Z79" s="726"/>
      <c r="AA79" s="199"/>
      <c r="AB79" s="199"/>
      <c r="AC79" s="199"/>
      <c r="AD79" s="199"/>
      <c r="AE79" s="199"/>
      <c r="AF79" s="199"/>
      <c r="AG79" s="199"/>
      <c r="AH79" s="199"/>
      <c r="AI79" s="199"/>
      <c r="AJ79" s="199"/>
      <c r="AK79" s="199"/>
    </row>
    <row r="80" ht="15.75" customHeight="1">
      <c r="A80" s="720"/>
      <c r="B80" s="720"/>
      <c r="C80" s="720"/>
      <c r="D80" s="720"/>
      <c r="E80" s="720"/>
      <c r="F80" s="720"/>
      <c r="G80" s="720"/>
      <c r="H80" s="720"/>
      <c r="I80" s="720"/>
      <c r="J80" s="723"/>
      <c r="K80" s="723"/>
      <c r="L80" s="199"/>
      <c r="M80" s="199"/>
      <c r="N80" s="199"/>
      <c r="O80" s="199"/>
      <c r="P80" s="724"/>
      <c r="Q80" s="725"/>
      <c r="R80" s="724"/>
      <c r="S80" s="199"/>
      <c r="T80" s="199"/>
      <c r="U80" s="199"/>
      <c r="V80" s="199"/>
      <c r="W80" s="199"/>
      <c r="X80" s="199"/>
      <c r="Y80" s="199"/>
      <c r="Z80" s="726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  <c r="AK80" s="199"/>
    </row>
    <row r="81" ht="15.75" customHeight="1">
      <c r="A81" s="720"/>
      <c r="B81" s="720"/>
      <c r="C81" s="720"/>
      <c r="D81" s="720"/>
      <c r="E81" s="720"/>
      <c r="F81" s="720"/>
      <c r="G81" s="720"/>
      <c r="H81" s="720"/>
      <c r="I81" s="720"/>
      <c r="J81" s="723"/>
      <c r="K81" s="723"/>
      <c r="L81" s="199"/>
      <c r="M81" s="199"/>
      <c r="N81" s="199"/>
      <c r="O81" s="199"/>
      <c r="P81" s="724"/>
      <c r="Q81" s="725"/>
      <c r="R81" s="724"/>
      <c r="S81" s="199"/>
      <c r="T81" s="199"/>
      <c r="U81" s="199"/>
      <c r="V81" s="199"/>
      <c r="W81" s="199"/>
      <c r="X81" s="199"/>
      <c r="Y81" s="199"/>
      <c r="Z81" s="726"/>
      <c r="AA81" s="199"/>
      <c r="AB81" s="199"/>
      <c r="AC81" s="199"/>
      <c r="AD81" s="199"/>
      <c r="AE81" s="199"/>
      <c r="AF81" s="199"/>
      <c r="AG81" s="199"/>
      <c r="AH81" s="199"/>
      <c r="AI81" s="199"/>
      <c r="AJ81" s="199"/>
      <c r="AK81" s="199"/>
    </row>
    <row r="82" ht="15.75" customHeight="1">
      <c r="A82" s="720"/>
      <c r="B82" s="720"/>
      <c r="C82" s="720"/>
      <c r="D82" s="720"/>
      <c r="E82" s="720"/>
      <c r="F82" s="720"/>
      <c r="G82" s="720"/>
      <c r="H82" s="720"/>
      <c r="I82" s="720"/>
      <c r="J82" s="723"/>
      <c r="K82" s="723"/>
      <c r="L82" s="199"/>
      <c r="M82" s="199"/>
      <c r="N82" s="199"/>
      <c r="O82" s="199"/>
      <c r="P82" s="724"/>
      <c r="Q82" s="725"/>
      <c r="R82" s="724"/>
      <c r="S82" s="199"/>
      <c r="T82" s="199"/>
      <c r="U82" s="199"/>
      <c r="V82" s="199"/>
      <c r="W82" s="199"/>
      <c r="X82" s="199"/>
      <c r="Y82" s="199"/>
      <c r="Z82" s="726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  <c r="AK82" s="199"/>
    </row>
    <row r="83" ht="15.75" customHeight="1">
      <c r="A83" s="720"/>
      <c r="B83" s="720"/>
      <c r="C83" s="720"/>
      <c r="D83" s="720"/>
      <c r="E83" s="720"/>
      <c r="F83" s="720"/>
      <c r="G83" s="720"/>
      <c r="H83" s="720"/>
      <c r="I83" s="720"/>
      <c r="J83" s="723"/>
      <c r="K83" s="723"/>
      <c r="L83" s="199"/>
      <c r="M83" s="199"/>
      <c r="N83" s="199"/>
      <c r="O83" s="199"/>
      <c r="P83" s="724"/>
      <c r="Q83" s="725"/>
      <c r="R83" s="724"/>
      <c r="S83" s="199"/>
      <c r="T83" s="199"/>
      <c r="U83" s="199"/>
      <c r="V83" s="199"/>
      <c r="W83" s="199"/>
      <c r="X83" s="199"/>
      <c r="Y83" s="199"/>
      <c r="Z83" s="726"/>
      <c r="AA83" s="199"/>
      <c r="AB83" s="199"/>
      <c r="AC83" s="199"/>
      <c r="AD83" s="199"/>
      <c r="AE83" s="199"/>
      <c r="AF83" s="199"/>
      <c r="AG83" s="199"/>
      <c r="AH83" s="199"/>
      <c r="AI83" s="199"/>
      <c r="AJ83" s="199"/>
      <c r="AK83" s="199"/>
    </row>
    <row r="84" ht="15.75" customHeight="1">
      <c r="A84" s="720"/>
      <c r="B84" s="720"/>
      <c r="C84" s="720"/>
      <c r="D84" s="720"/>
      <c r="E84" s="720"/>
      <c r="F84" s="720"/>
      <c r="G84" s="720"/>
      <c r="H84" s="720"/>
      <c r="I84" s="720"/>
      <c r="J84" s="723"/>
      <c r="K84" s="723"/>
      <c r="L84" s="199"/>
      <c r="M84" s="199"/>
      <c r="N84" s="199"/>
      <c r="O84" s="199"/>
      <c r="P84" s="724"/>
      <c r="Q84" s="725"/>
      <c r="R84" s="724"/>
      <c r="S84" s="199"/>
      <c r="T84" s="199"/>
      <c r="U84" s="199"/>
      <c r="V84" s="199"/>
      <c r="W84" s="199"/>
      <c r="X84" s="199"/>
      <c r="Y84" s="199"/>
      <c r="Z84" s="726"/>
      <c r="AA84" s="199"/>
      <c r="AB84" s="199"/>
      <c r="AC84" s="199"/>
      <c r="AD84" s="199"/>
      <c r="AE84" s="199"/>
      <c r="AF84" s="199"/>
      <c r="AG84" s="199"/>
      <c r="AH84" s="199"/>
      <c r="AI84" s="199"/>
      <c r="AJ84" s="199"/>
      <c r="AK84" s="199"/>
    </row>
    <row r="85" ht="15.75" customHeight="1">
      <c r="A85" s="720"/>
      <c r="B85" s="720"/>
      <c r="C85" s="720"/>
      <c r="D85" s="720"/>
      <c r="E85" s="720"/>
      <c r="F85" s="720"/>
      <c r="G85" s="720"/>
      <c r="H85" s="720"/>
      <c r="I85" s="720"/>
      <c r="J85" s="723"/>
      <c r="K85" s="723"/>
      <c r="L85" s="199"/>
      <c r="M85" s="199"/>
      <c r="N85" s="199"/>
      <c r="O85" s="199"/>
      <c r="P85" s="724"/>
      <c r="Q85" s="725"/>
      <c r="R85" s="724"/>
      <c r="S85" s="199"/>
      <c r="T85" s="199"/>
      <c r="U85" s="199"/>
      <c r="V85" s="199"/>
      <c r="W85" s="199"/>
      <c r="X85" s="199"/>
      <c r="Y85" s="199"/>
      <c r="Z85" s="726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/>
      <c r="AK85" s="199"/>
    </row>
    <row r="86" ht="15.75" customHeight="1">
      <c r="A86" s="720"/>
      <c r="B86" s="720"/>
      <c r="C86" s="720"/>
      <c r="D86" s="720"/>
      <c r="E86" s="720"/>
      <c r="F86" s="720"/>
      <c r="G86" s="720"/>
      <c r="H86" s="720"/>
      <c r="I86" s="720"/>
      <c r="J86" s="723"/>
      <c r="K86" s="723"/>
      <c r="L86" s="199"/>
      <c r="M86" s="199"/>
      <c r="N86" s="199"/>
      <c r="O86" s="199"/>
      <c r="P86" s="724"/>
      <c r="Q86" s="725"/>
      <c r="R86" s="724"/>
      <c r="S86" s="199"/>
      <c r="T86" s="199"/>
      <c r="U86" s="199"/>
      <c r="V86" s="199"/>
      <c r="W86" s="199"/>
      <c r="X86" s="199"/>
      <c r="Y86" s="199"/>
      <c r="Z86" s="726"/>
      <c r="AA86" s="199"/>
      <c r="AB86" s="199"/>
      <c r="AC86" s="199"/>
      <c r="AD86" s="199"/>
      <c r="AE86" s="199"/>
      <c r="AF86" s="199"/>
      <c r="AG86" s="199"/>
      <c r="AH86" s="199"/>
      <c r="AI86" s="199"/>
      <c r="AJ86" s="199"/>
      <c r="AK86" s="199"/>
    </row>
    <row r="87" ht="15.75" customHeight="1">
      <c r="A87" s="720"/>
      <c r="B87" s="720"/>
      <c r="C87" s="720"/>
      <c r="D87" s="720"/>
      <c r="E87" s="720"/>
      <c r="F87" s="720"/>
      <c r="G87" s="720"/>
      <c r="H87" s="720"/>
      <c r="I87" s="720"/>
      <c r="J87" s="723"/>
      <c r="K87" s="723"/>
      <c r="L87" s="199"/>
      <c r="M87" s="199"/>
      <c r="N87" s="199"/>
      <c r="O87" s="199"/>
      <c r="P87" s="724"/>
      <c r="Q87" s="725"/>
      <c r="R87" s="724"/>
      <c r="S87" s="199"/>
      <c r="T87" s="199"/>
      <c r="U87" s="199"/>
      <c r="V87" s="199"/>
      <c r="W87" s="199"/>
      <c r="X87" s="199"/>
      <c r="Y87" s="199"/>
      <c r="Z87" s="726"/>
      <c r="AA87" s="199"/>
      <c r="AB87" s="199"/>
      <c r="AC87" s="199"/>
      <c r="AD87" s="199"/>
      <c r="AE87" s="199"/>
      <c r="AF87" s="199"/>
      <c r="AG87" s="199"/>
      <c r="AH87" s="199"/>
      <c r="AI87" s="199"/>
      <c r="AJ87" s="199"/>
      <c r="AK87" s="199"/>
    </row>
    <row r="88" ht="15.75" customHeight="1">
      <c r="A88" s="720"/>
      <c r="B88" s="720"/>
      <c r="C88" s="720"/>
      <c r="D88" s="720"/>
      <c r="E88" s="720"/>
      <c r="F88" s="720"/>
      <c r="G88" s="720"/>
      <c r="H88" s="720"/>
      <c r="I88" s="720"/>
      <c r="J88" s="723"/>
      <c r="K88" s="723"/>
      <c r="L88" s="199"/>
      <c r="M88" s="199"/>
      <c r="N88" s="199"/>
      <c r="O88" s="199"/>
      <c r="P88" s="724"/>
      <c r="Q88" s="725"/>
      <c r="R88" s="724"/>
      <c r="S88" s="199"/>
      <c r="T88" s="199"/>
      <c r="U88" s="199"/>
      <c r="V88" s="199"/>
      <c r="W88" s="199"/>
      <c r="X88" s="199"/>
      <c r="Y88" s="199"/>
      <c r="Z88" s="726"/>
      <c r="AA88" s="199"/>
      <c r="AB88" s="199"/>
      <c r="AC88" s="199"/>
      <c r="AD88" s="199"/>
      <c r="AE88" s="199"/>
      <c r="AF88" s="199"/>
      <c r="AG88" s="199"/>
      <c r="AH88" s="199"/>
      <c r="AI88" s="199"/>
      <c r="AJ88" s="199"/>
      <c r="AK88" s="199"/>
    </row>
    <row r="89" ht="15.75" customHeight="1">
      <c r="A89" s="720"/>
      <c r="B89" s="720"/>
      <c r="C89" s="720"/>
      <c r="D89" s="720"/>
      <c r="E89" s="720"/>
      <c r="F89" s="720"/>
      <c r="G89" s="720"/>
      <c r="H89" s="720"/>
      <c r="I89" s="720"/>
      <c r="J89" s="723"/>
      <c r="K89" s="723"/>
      <c r="L89" s="199"/>
      <c r="M89" s="199"/>
      <c r="N89" s="199"/>
      <c r="O89" s="199"/>
      <c r="P89" s="724"/>
      <c r="Q89" s="725"/>
      <c r="R89" s="724"/>
      <c r="S89" s="199"/>
      <c r="T89" s="199"/>
      <c r="U89" s="199"/>
      <c r="V89" s="199"/>
      <c r="W89" s="199"/>
      <c r="X89" s="199"/>
      <c r="Y89" s="199"/>
      <c r="Z89" s="726"/>
      <c r="AA89" s="199"/>
      <c r="AB89" s="199"/>
      <c r="AC89" s="199"/>
      <c r="AD89" s="199"/>
      <c r="AE89" s="199"/>
      <c r="AF89" s="199"/>
      <c r="AG89" s="199"/>
      <c r="AH89" s="199"/>
      <c r="AI89" s="199"/>
      <c r="AJ89" s="199"/>
      <c r="AK89" s="199"/>
    </row>
    <row r="90" ht="15.75" customHeight="1">
      <c r="A90" s="720"/>
      <c r="B90" s="720"/>
      <c r="C90" s="720"/>
      <c r="D90" s="720"/>
      <c r="E90" s="720"/>
      <c r="F90" s="720"/>
      <c r="G90" s="720"/>
      <c r="H90" s="720"/>
      <c r="I90" s="720"/>
      <c r="J90" s="723"/>
      <c r="K90" s="723"/>
      <c r="L90" s="199"/>
      <c r="M90" s="199"/>
      <c r="N90" s="199"/>
      <c r="O90" s="199"/>
      <c r="P90" s="724"/>
      <c r="Q90" s="725"/>
      <c r="R90" s="724"/>
      <c r="S90" s="199"/>
      <c r="T90" s="199"/>
      <c r="U90" s="199"/>
      <c r="V90" s="199"/>
      <c r="W90" s="199"/>
      <c r="X90" s="199"/>
      <c r="Y90" s="199"/>
      <c r="Z90" s="726"/>
      <c r="AA90" s="199"/>
      <c r="AB90" s="199"/>
      <c r="AC90" s="199"/>
      <c r="AD90" s="199"/>
      <c r="AE90" s="199"/>
      <c r="AF90" s="199"/>
      <c r="AG90" s="199"/>
      <c r="AH90" s="199"/>
      <c r="AI90" s="199"/>
      <c r="AJ90" s="199"/>
      <c r="AK90" s="199"/>
    </row>
    <row r="91" ht="15.75" customHeight="1">
      <c r="A91" s="720"/>
      <c r="B91" s="720"/>
      <c r="C91" s="720"/>
      <c r="D91" s="720"/>
      <c r="E91" s="720"/>
      <c r="F91" s="720"/>
      <c r="G91" s="720"/>
      <c r="H91" s="720"/>
      <c r="I91" s="720"/>
      <c r="J91" s="723"/>
      <c r="K91" s="723"/>
      <c r="L91" s="199"/>
      <c r="M91" s="199"/>
      <c r="N91" s="199"/>
      <c r="O91" s="199"/>
      <c r="P91" s="724"/>
      <c r="Q91" s="725"/>
      <c r="R91" s="724"/>
      <c r="S91" s="199"/>
      <c r="T91" s="199"/>
      <c r="U91" s="199"/>
      <c r="V91" s="199"/>
      <c r="W91" s="199"/>
      <c r="X91" s="199"/>
      <c r="Y91" s="199"/>
      <c r="Z91" s="726"/>
      <c r="AA91" s="199"/>
      <c r="AB91" s="199"/>
      <c r="AC91" s="199"/>
      <c r="AD91" s="199"/>
      <c r="AE91" s="199"/>
      <c r="AF91" s="199"/>
      <c r="AG91" s="199"/>
      <c r="AH91" s="199"/>
      <c r="AI91" s="199"/>
      <c r="AJ91" s="199"/>
      <c r="AK91" s="199"/>
    </row>
    <row r="92" ht="15.75" customHeight="1">
      <c r="A92" s="720"/>
      <c r="B92" s="720"/>
      <c r="C92" s="720"/>
      <c r="D92" s="720"/>
      <c r="E92" s="720"/>
      <c r="F92" s="720"/>
      <c r="G92" s="720"/>
      <c r="H92" s="720"/>
      <c r="I92" s="720"/>
      <c r="J92" s="723"/>
      <c r="K92" s="723"/>
      <c r="L92" s="199"/>
      <c r="M92" s="199"/>
      <c r="N92" s="199"/>
      <c r="O92" s="199"/>
      <c r="P92" s="724"/>
      <c r="Q92" s="725"/>
      <c r="R92" s="724"/>
      <c r="S92" s="199"/>
      <c r="T92" s="199"/>
      <c r="U92" s="199"/>
      <c r="V92" s="199"/>
      <c r="W92" s="199"/>
      <c r="X92" s="199"/>
      <c r="Y92" s="199"/>
      <c r="Z92" s="726"/>
      <c r="AA92" s="199"/>
      <c r="AB92" s="199"/>
      <c r="AC92" s="199"/>
      <c r="AD92" s="199"/>
      <c r="AE92" s="199"/>
      <c r="AF92" s="199"/>
      <c r="AG92" s="199"/>
      <c r="AH92" s="199"/>
      <c r="AI92" s="199"/>
      <c r="AJ92" s="199"/>
      <c r="AK92" s="199"/>
    </row>
    <row r="93" ht="15.75" customHeight="1">
      <c r="A93" s="720"/>
      <c r="B93" s="720"/>
      <c r="C93" s="720"/>
      <c r="D93" s="720"/>
      <c r="E93" s="720"/>
      <c r="F93" s="720"/>
      <c r="G93" s="720"/>
      <c r="H93" s="720"/>
      <c r="I93" s="720"/>
      <c r="J93" s="723"/>
      <c r="K93" s="723"/>
      <c r="L93" s="199"/>
      <c r="M93" s="199"/>
      <c r="N93" s="199"/>
      <c r="O93" s="199"/>
      <c r="P93" s="724"/>
      <c r="Q93" s="725"/>
      <c r="R93" s="724"/>
      <c r="S93" s="199"/>
      <c r="T93" s="199"/>
      <c r="U93" s="199"/>
      <c r="V93" s="199"/>
      <c r="W93" s="199"/>
      <c r="X93" s="199"/>
      <c r="Y93" s="199"/>
      <c r="Z93" s="726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9"/>
    </row>
    <row r="94" ht="15.75" customHeight="1">
      <c r="A94" s="720"/>
      <c r="B94" s="720"/>
      <c r="C94" s="720"/>
      <c r="D94" s="720"/>
      <c r="E94" s="720"/>
      <c r="F94" s="720"/>
      <c r="G94" s="720"/>
      <c r="H94" s="720"/>
      <c r="I94" s="720"/>
      <c r="J94" s="723"/>
      <c r="K94" s="723"/>
      <c r="L94" s="199"/>
      <c r="M94" s="199"/>
      <c r="N94" s="199"/>
      <c r="O94" s="199"/>
      <c r="P94" s="724"/>
      <c r="Q94" s="725"/>
      <c r="R94" s="724"/>
      <c r="S94" s="199"/>
      <c r="T94" s="199"/>
      <c r="U94" s="199"/>
      <c r="V94" s="199"/>
      <c r="W94" s="199"/>
      <c r="X94" s="199"/>
      <c r="Y94" s="199"/>
      <c r="Z94" s="726"/>
      <c r="AA94" s="199"/>
      <c r="AB94" s="199"/>
      <c r="AC94" s="199"/>
      <c r="AD94" s="199"/>
      <c r="AE94" s="199"/>
      <c r="AF94" s="199"/>
      <c r="AG94" s="199"/>
      <c r="AH94" s="199"/>
      <c r="AI94" s="199"/>
      <c r="AJ94" s="199"/>
      <c r="AK94" s="199"/>
    </row>
    <row r="95" ht="15.75" customHeight="1">
      <c r="A95" s="720"/>
      <c r="B95" s="720"/>
      <c r="C95" s="720"/>
      <c r="D95" s="720"/>
      <c r="E95" s="720"/>
      <c r="F95" s="720"/>
      <c r="G95" s="720"/>
      <c r="H95" s="720"/>
      <c r="I95" s="720"/>
      <c r="J95" s="723"/>
      <c r="K95" s="723"/>
      <c r="L95" s="199"/>
      <c r="M95" s="199"/>
      <c r="N95" s="199"/>
      <c r="O95" s="199"/>
      <c r="P95" s="724"/>
      <c r="Q95" s="725"/>
      <c r="R95" s="724"/>
      <c r="S95" s="199"/>
      <c r="T95" s="199"/>
      <c r="U95" s="199"/>
      <c r="V95" s="199"/>
      <c r="W95" s="199"/>
      <c r="X95" s="199"/>
      <c r="Y95" s="199"/>
      <c r="Z95" s="726"/>
      <c r="AA95" s="199"/>
      <c r="AB95" s="199"/>
      <c r="AC95" s="199"/>
      <c r="AD95" s="199"/>
      <c r="AE95" s="199"/>
      <c r="AF95" s="199"/>
      <c r="AG95" s="199"/>
      <c r="AH95" s="199"/>
      <c r="AI95" s="199"/>
      <c r="AJ95" s="199"/>
      <c r="AK95" s="199"/>
    </row>
    <row r="96" ht="15.75" customHeight="1">
      <c r="A96" s="720"/>
      <c r="B96" s="720"/>
      <c r="C96" s="720"/>
      <c r="D96" s="720"/>
      <c r="E96" s="720"/>
      <c r="F96" s="720"/>
      <c r="G96" s="720"/>
      <c r="H96" s="720"/>
      <c r="I96" s="720"/>
      <c r="J96" s="723"/>
      <c r="K96" s="723"/>
      <c r="L96" s="199"/>
      <c r="M96" s="199"/>
      <c r="N96" s="199"/>
      <c r="O96" s="199"/>
      <c r="P96" s="724"/>
      <c r="Q96" s="725"/>
      <c r="R96" s="724"/>
      <c r="S96" s="199"/>
      <c r="T96" s="199"/>
      <c r="U96" s="199"/>
      <c r="V96" s="199"/>
      <c r="W96" s="199"/>
      <c r="X96" s="199"/>
      <c r="Y96" s="199"/>
      <c r="Z96" s="726"/>
      <c r="AA96" s="199"/>
      <c r="AB96" s="199"/>
      <c r="AC96" s="199"/>
      <c r="AD96" s="199"/>
      <c r="AE96" s="199"/>
      <c r="AF96" s="199"/>
      <c r="AG96" s="199"/>
      <c r="AH96" s="199"/>
      <c r="AI96" s="199"/>
      <c r="AJ96" s="199"/>
      <c r="AK96" s="199"/>
    </row>
    <row r="97" ht="15.75" customHeight="1">
      <c r="A97" s="720"/>
      <c r="B97" s="720"/>
      <c r="C97" s="720"/>
      <c r="D97" s="720"/>
      <c r="E97" s="720"/>
      <c r="F97" s="720"/>
      <c r="G97" s="720"/>
      <c r="H97" s="720"/>
      <c r="I97" s="720"/>
      <c r="J97" s="723"/>
      <c r="K97" s="723"/>
      <c r="L97" s="199"/>
      <c r="M97" s="199"/>
      <c r="N97" s="199"/>
      <c r="O97" s="199"/>
      <c r="P97" s="724"/>
      <c r="Q97" s="725"/>
      <c r="R97" s="724"/>
      <c r="S97" s="199"/>
      <c r="T97" s="199"/>
      <c r="U97" s="199"/>
      <c r="V97" s="199"/>
      <c r="W97" s="199"/>
      <c r="X97" s="199"/>
      <c r="Y97" s="199"/>
      <c r="Z97" s="726"/>
      <c r="AA97" s="199"/>
      <c r="AB97" s="199"/>
      <c r="AC97" s="199"/>
      <c r="AD97" s="199"/>
      <c r="AE97" s="199"/>
      <c r="AF97" s="199"/>
      <c r="AG97" s="199"/>
      <c r="AH97" s="199"/>
      <c r="AI97" s="199"/>
      <c r="AJ97" s="199"/>
      <c r="AK97" s="199"/>
    </row>
    <row r="98" ht="15.75" customHeight="1">
      <c r="A98" s="720"/>
      <c r="B98" s="720"/>
      <c r="C98" s="720"/>
      <c r="D98" s="720"/>
      <c r="E98" s="720"/>
      <c r="F98" s="720"/>
      <c r="G98" s="720"/>
      <c r="H98" s="720"/>
      <c r="I98" s="720"/>
      <c r="J98" s="723"/>
      <c r="K98" s="723"/>
      <c r="L98" s="199"/>
      <c r="M98" s="199"/>
      <c r="N98" s="199"/>
      <c r="O98" s="199"/>
      <c r="P98" s="724"/>
      <c r="Q98" s="725"/>
      <c r="R98" s="724"/>
      <c r="S98" s="199"/>
      <c r="T98" s="199"/>
      <c r="U98" s="199"/>
      <c r="V98" s="199"/>
      <c r="W98" s="199"/>
      <c r="X98" s="199"/>
      <c r="Y98" s="199"/>
      <c r="Z98" s="726"/>
      <c r="AA98" s="199"/>
      <c r="AB98" s="199"/>
      <c r="AC98" s="199"/>
      <c r="AD98" s="199"/>
      <c r="AE98" s="199"/>
      <c r="AF98" s="199"/>
      <c r="AG98" s="199"/>
      <c r="AH98" s="199"/>
      <c r="AI98" s="199"/>
      <c r="AJ98" s="199"/>
      <c r="AK98" s="199"/>
    </row>
    <row r="99" ht="15.75" customHeight="1">
      <c r="A99" s="720"/>
      <c r="B99" s="720"/>
      <c r="C99" s="720"/>
      <c r="D99" s="720"/>
      <c r="E99" s="720"/>
      <c r="F99" s="720"/>
      <c r="G99" s="720"/>
      <c r="H99" s="720"/>
      <c r="I99" s="720"/>
      <c r="J99" s="723"/>
      <c r="K99" s="723"/>
      <c r="L99" s="199"/>
      <c r="M99" s="199"/>
      <c r="N99" s="199"/>
      <c r="O99" s="199"/>
      <c r="P99" s="724"/>
      <c r="Q99" s="725"/>
      <c r="R99" s="724"/>
      <c r="S99" s="199"/>
      <c r="T99" s="199"/>
      <c r="U99" s="199"/>
      <c r="V99" s="199"/>
      <c r="W99" s="199"/>
      <c r="X99" s="199"/>
      <c r="Y99" s="199"/>
      <c r="Z99" s="726"/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</row>
    <row r="100" ht="15.75" customHeight="1">
      <c r="A100" s="720"/>
      <c r="B100" s="720"/>
      <c r="C100" s="720"/>
      <c r="D100" s="720"/>
      <c r="E100" s="720"/>
      <c r="F100" s="720"/>
      <c r="G100" s="720"/>
      <c r="H100" s="720"/>
      <c r="I100" s="720"/>
      <c r="J100" s="723"/>
      <c r="K100" s="723"/>
      <c r="L100" s="199"/>
      <c r="M100" s="199"/>
      <c r="N100" s="199"/>
      <c r="O100" s="199"/>
      <c r="P100" s="724"/>
      <c r="Q100" s="725"/>
      <c r="R100" s="724"/>
      <c r="S100" s="199"/>
      <c r="T100" s="199"/>
      <c r="U100" s="199"/>
      <c r="V100" s="199"/>
      <c r="W100" s="199"/>
      <c r="X100" s="199"/>
      <c r="Y100" s="199"/>
      <c r="Z100" s="726"/>
      <c r="AA100" s="199"/>
      <c r="AB100" s="199"/>
      <c r="AC100" s="199"/>
      <c r="AD100" s="199"/>
      <c r="AE100" s="199"/>
      <c r="AF100" s="199"/>
      <c r="AG100" s="199"/>
      <c r="AH100" s="199"/>
      <c r="AI100" s="199"/>
      <c r="AJ100" s="199"/>
      <c r="AK100" s="199"/>
    </row>
    <row r="101" ht="15.75" customHeight="1">
      <c r="A101" s="720"/>
      <c r="B101" s="720"/>
      <c r="C101" s="720"/>
      <c r="D101" s="720"/>
      <c r="E101" s="720"/>
      <c r="F101" s="720"/>
      <c r="G101" s="720"/>
      <c r="H101" s="720"/>
      <c r="I101" s="720"/>
      <c r="J101" s="723"/>
      <c r="K101" s="723"/>
      <c r="L101" s="199"/>
      <c r="M101" s="199"/>
      <c r="N101" s="199"/>
      <c r="O101" s="199"/>
      <c r="P101" s="724"/>
      <c r="Q101" s="725"/>
      <c r="R101" s="724"/>
      <c r="S101" s="199"/>
      <c r="T101" s="199"/>
      <c r="U101" s="199"/>
      <c r="V101" s="199"/>
      <c r="W101" s="199"/>
      <c r="X101" s="199"/>
      <c r="Y101" s="199"/>
      <c r="Z101" s="726"/>
      <c r="AA101" s="199"/>
      <c r="AB101" s="199"/>
      <c r="AC101" s="199"/>
      <c r="AD101" s="199"/>
      <c r="AE101" s="199"/>
      <c r="AF101" s="199"/>
      <c r="AG101" s="199"/>
      <c r="AH101" s="199"/>
      <c r="AI101" s="199"/>
      <c r="AJ101" s="199"/>
      <c r="AK101" s="199"/>
    </row>
    <row r="102" ht="15.75" customHeight="1">
      <c r="A102" s="720"/>
      <c r="B102" s="720"/>
      <c r="C102" s="720"/>
      <c r="D102" s="720"/>
      <c r="E102" s="720"/>
      <c r="F102" s="720"/>
      <c r="G102" s="720"/>
      <c r="H102" s="720"/>
      <c r="I102" s="720"/>
      <c r="J102" s="723"/>
      <c r="K102" s="723"/>
      <c r="L102" s="199"/>
      <c r="M102" s="199"/>
      <c r="N102" s="199"/>
      <c r="O102" s="199"/>
      <c r="P102" s="724"/>
      <c r="Q102" s="725"/>
      <c r="R102" s="724"/>
      <c r="S102" s="199"/>
      <c r="T102" s="199"/>
      <c r="U102" s="199"/>
      <c r="V102" s="199"/>
      <c r="W102" s="199"/>
      <c r="X102" s="199"/>
      <c r="Y102" s="199"/>
      <c r="Z102" s="726"/>
      <c r="AA102" s="199"/>
      <c r="AB102" s="199"/>
      <c r="AC102" s="199"/>
      <c r="AD102" s="199"/>
      <c r="AE102" s="199"/>
      <c r="AF102" s="199"/>
      <c r="AG102" s="199"/>
      <c r="AH102" s="199"/>
      <c r="AI102" s="199"/>
      <c r="AJ102" s="199"/>
      <c r="AK102" s="199"/>
    </row>
    <row r="103" ht="15.75" customHeight="1">
      <c r="A103" s="720"/>
      <c r="B103" s="720"/>
      <c r="C103" s="720"/>
      <c r="D103" s="720"/>
      <c r="E103" s="720"/>
      <c r="F103" s="720"/>
      <c r="G103" s="720"/>
      <c r="H103" s="720"/>
      <c r="I103" s="720"/>
      <c r="J103" s="723"/>
      <c r="K103" s="723"/>
      <c r="L103" s="199"/>
      <c r="M103" s="199"/>
      <c r="N103" s="199"/>
      <c r="O103" s="199"/>
      <c r="P103" s="724"/>
      <c r="Q103" s="725"/>
      <c r="R103" s="724"/>
      <c r="S103" s="199"/>
      <c r="T103" s="199"/>
      <c r="U103" s="199"/>
      <c r="V103" s="199"/>
      <c r="W103" s="199"/>
      <c r="X103" s="199"/>
      <c r="Y103" s="199"/>
      <c r="Z103" s="726"/>
      <c r="AA103" s="199"/>
      <c r="AB103" s="199"/>
      <c r="AC103" s="199"/>
      <c r="AD103" s="199"/>
      <c r="AE103" s="199"/>
      <c r="AF103" s="199"/>
      <c r="AG103" s="199"/>
      <c r="AH103" s="199"/>
      <c r="AI103" s="199"/>
      <c r="AJ103" s="199"/>
      <c r="AK103" s="199"/>
    </row>
    <row r="104" ht="15.75" customHeight="1">
      <c r="A104" s="720"/>
      <c r="B104" s="720"/>
      <c r="C104" s="720"/>
      <c r="D104" s="720"/>
      <c r="E104" s="720"/>
      <c r="F104" s="720"/>
      <c r="G104" s="720"/>
      <c r="H104" s="720"/>
      <c r="I104" s="720"/>
      <c r="J104" s="723"/>
      <c r="K104" s="723"/>
      <c r="L104" s="199"/>
      <c r="M104" s="199"/>
      <c r="N104" s="199"/>
      <c r="O104" s="199"/>
      <c r="P104" s="724"/>
      <c r="Q104" s="725"/>
      <c r="R104" s="724"/>
      <c r="S104" s="199"/>
      <c r="T104" s="199"/>
      <c r="U104" s="199"/>
      <c r="V104" s="199"/>
      <c r="W104" s="199"/>
      <c r="X104" s="199"/>
      <c r="Y104" s="199"/>
      <c r="Z104" s="726"/>
      <c r="AA104" s="199"/>
      <c r="AB104" s="199"/>
      <c r="AC104" s="199"/>
      <c r="AD104" s="199"/>
      <c r="AE104" s="199"/>
      <c r="AF104" s="199"/>
      <c r="AG104" s="199"/>
      <c r="AH104" s="199"/>
      <c r="AI104" s="199"/>
      <c r="AJ104" s="199"/>
      <c r="AK104" s="199"/>
    </row>
    <row r="105" ht="15.75" customHeight="1">
      <c r="A105" s="720"/>
      <c r="B105" s="720"/>
      <c r="C105" s="720"/>
      <c r="D105" s="720"/>
      <c r="E105" s="720"/>
      <c r="F105" s="720"/>
      <c r="G105" s="720"/>
      <c r="H105" s="720"/>
      <c r="I105" s="720"/>
      <c r="J105" s="723"/>
      <c r="K105" s="723"/>
      <c r="L105" s="199"/>
      <c r="M105" s="199"/>
      <c r="N105" s="199"/>
      <c r="O105" s="199"/>
      <c r="P105" s="724"/>
      <c r="Q105" s="725"/>
      <c r="R105" s="724"/>
      <c r="S105" s="199"/>
      <c r="T105" s="199"/>
      <c r="U105" s="199"/>
      <c r="V105" s="199"/>
      <c r="W105" s="199"/>
      <c r="X105" s="199"/>
      <c r="Y105" s="199"/>
      <c r="Z105" s="726"/>
      <c r="AA105" s="199"/>
      <c r="AB105" s="199"/>
      <c r="AC105" s="199"/>
      <c r="AD105" s="199"/>
      <c r="AE105" s="199"/>
      <c r="AF105" s="199"/>
      <c r="AG105" s="199"/>
      <c r="AH105" s="199"/>
      <c r="AI105" s="199"/>
      <c r="AJ105" s="199"/>
      <c r="AK105" s="199"/>
    </row>
    <row r="106" ht="15.75" customHeight="1">
      <c r="A106" s="720"/>
      <c r="B106" s="720"/>
      <c r="C106" s="720"/>
      <c r="D106" s="720"/>
      <c r="E106" s="720"/>
      <c r="F106" s="720"/>
      <c r="G106" s="720"/>
      <c r="H106" s="720"/>
      <c r="I106" s="720"/>
      <c r="J106" s="723"/>
      <c r="K106" s="723"/>
      <c r="L106" s="199"/>
      <c r="M106" s="199"/>
      <c r="N106" s="199"/>
      <c r="O106" s="199"/>
      <c r="P106" s="724"/>
      <c r="Q106" s="725"/>
      <c r="R106" s="724"/>
      <c r="S106" s="199"/>
      <c r="T106" s="199"/>
      <c r="U106" s="199"/>
      <c r="V106" s="199"/>
      <c r="W106" s="199"/>
      <c r="X106" s="199"/>
      <c r="Y106" s="199"/>
      <c r="Z106" s="726"/>
      <c r="AA106" s="199"/>
      <c r="AB106" s="199"/>
      <c r="AC106" s="199"/>
      <c r="AD106" s="199"/>
      <c r="AE106" s="199"/>
      <c r="AF106" s="199"/>
      <c r="AG106" s="199"/>
      <c r="AH106" s="199"/>
      <c r="AI106" s="199"/>
      <c r="AJ106" s="199"/>
      <c r="AK106" s="199"/>
    </row>
    <row r="107" ht="15.75" customHeight="1">
      <c r="A107" s="720"/>
      <c r="B107" s="720"/>
      <c r="C107" s="720"/>
      <c r="D107" s="720"/>
      <c r="E107" s="720"/>
      <c r="F107" s="720"/>
      <c r="G107" s="720"/>
      <c r="H107" s="720"/>
      <c r="I107" s="720"/>
      <c r="J107" s="723"/>
      <c r="K107" s="723"/>
      <c r="L107" s="199"/>
      <c r="M107" s="199"/>
      <c r="N107" s="199"/>
      <c r="O107" s="199"/>
      <c r="P107" s="724"/>
      <c r="Q107" s="725"/>
      <c r="R107" s="724"/>
      <c r="S107" s="199"/>
      <c r="T107" s="199"/>
      <c r="U107" s="199"/>
      <c r="V107" s="199"/>
      <c r="W107" s="199"/>
      <c r="X107" s="199"/>
      <c r="Y107" s="199"/>
      <c r="Z107" s="726"/>
      <c r="AA107" s="199"/>
      <c r="AB107" s="199"/>
      <c r="AC107" s="199"/>
      <c r="AD107" s="199"/>
      <c r="AE107" s="199"/>
      <c r="AF107" s="199"/>
      <c r="AG107" s="199"/>
      <c r="AH107" s="199"/>
      <c r="AI107" s="199"/>
      <c r="AJ107" s="199"/>
      <c r="AK107" s="199"/>
    </row>
    <row r="108" ht="15.75" customHeight="1">
      <c r="A108" s="720"/>
      <c r="B108" s="720"/>
      <c r="C108" s="720"/>
      <c r="D108" s="720"/>
      <c r="E108" s="720"/>
      <c r="F108" s="720"/>
      <c r="G108" s="720"/>
      <c r="H108" s="720"/>
      <c r="I108" s="720"/>
      <c r="J108" s="723"/>
      <c r="K108" s="723"/>
      <c r="L108" s="199"/>
      <c r="M108" s="199"/>
      <c r="N108" s="199"/>
      <c r="O108" s="199"/>
      <c r="P108" s="724"/>
      <c r="Q108" s="725"/>
      <c r="R108" s="724"/>
      <c r="S108" s="199"/>
      <c r="T108" s="199"/>
      <c r="U108" s="199"/>
      <c r="V108" s="199"/>
      <c r="W108" s="199"/>
      <c r="X108" s="199"/>
      <c r="Y108" s="199"/>
      <c r="Z108" s="726"/>
      <c r="AA108" s="199"/>
      <c r="AB108" s="199"/>
      <c r="AC108" s="199"/>
      <c r="AD108" s="199"/>
      <c r="AE108" s="199"/>
      <c r="AF108" s="199"/>
      <c r="AG108" s="199"/>
      <c r="AH108" s="199"/>
      <c r="AI108" s="199"/>
      <c r="AJ108" s="199"/>
      <c r="AK108" s="199"/>
    </row>
    <row r="109" ht="15.75" customHeight="1">
      <c r="A109" s="720"/>
      <c r="B109" s="720"/>
      <c r="C109" s="720"/>
      <c r="D109" s="720"/>
      <c r="E109" s="720"/>
      <c r="F109" s="720"/>
      <c r="G109" s="720"/>
      <c r="H109" s="720"/>
      <c r="I109" s="720"/>
      <c r="J109" s="723"/>
      <c r="K109" s="723"/>
      <c r="L109" s="199"/>
      <c r="M109" s="199"/>
      <c r="N109" s="199"/>
      <c r="O109" s="199"/>
      <c r="P109" s="724"/>
      <c r="Q109" s="725"/>
      <c r="R109" s="724"/>
      <c r="S109" s="199"/>
      <c r="T109" s="199"/>
      <c r="U109" s="199"/>
      <c r="V109" s="199"/>
      <c r="W109" s="199"/>
      <c r="X109" s="199"/>
      <c r="Y109" s="199"/>
      <c r="Z109" s="726"/>
      <c r="AA109" s="199"/>
      <c r="AB109" s="199"/>
      <c r="AC109" s="199"/>
      <c r="AD109" s="199"/>
      <c r="AE109" s="199"/>
      <c r="AF109" s="199"/>
      <c r="AG109" s="199"/>
      <c r="AH109" s="199"/>
      <c r="AI109" s="199"/>
      <c r="AJ109" s="199"/>
      <c r="AK109" s="199"/>
    </row>
    <row r="110" ht="15.75" customHeight="1">
      <c r="A110" s="720"/>
      <c r="B110" s="720"/>
      <c r="C110" s="720"/>
      <c r="D110" s="720"/>
      <c r="E110" s="720"/>
      <c r="F110" s="720"/>
      <c r="G110" s="720"/>
      <c r="H110" s="720"/>
      <c r="I110" s="720"/>
      <c r="J110" s="723"/>
      <c r="K110" s="723"/>
      <c r="L110" s="199"/>
      <c r="M110" s="199"/>
      <c r="N110" s="199"/>
      <c r="O110" s="199"/>
      <c r="P110" s="724"/>
      <c r="Q110" s="725"/>
      <c r="R110" s="724"/>
      <c r="S110" s="199"/>
      <c r="T110" s="199"/>
      <c r="U110" s="199"/>
      <c r="V110" s="199"/>
      <c r="W110" s="199"/>
      <c r="X110" s="199"/>
      <c r="Y110" s="199"/>
      <c r="Z110" s="726"/>
      <c r="AA110" s="199"/>
      <c r="AB110" s="199"/>
      <c r="AC110" s="199"/>
      <c r="AD110" s="199"/>
      <c r="AE110" s="199"/>
      <c r="AF110" s="199"/>
      <c r="AG110" s="199"/>
      <c r="AH110" s="199"/>
      <c r="AI110" s="199"/>
      <c r="AJ110" s="199"/>
      <c r="AK110" s="199"/>
    </row>
    <row r="111" ht="15.75" customHeight="1">
      <c r="A111" s="720"/>
      <c r="B111" s="720"/>
      <c r="C111" s="720"/>
      <c r="D111" s="720"/>
      <c r="E111" s="720"/>
      <c r="F111" s="720"/>
      <c r="G111" s="720"/>
      <c r="H111" s="720"/>
      <c r="I111" s="720"/>
      <c r="J111" s="723"/>
      <c r="K111" s="723"/>
      <c r="L111" s="199"/>
      <c r="M111" s="199"/>
      <c r="N111" s="199"/>
      <c r="O111" s="199"/>
      <c r="P111" s="724"/>
      <c r="Q111" s="725"/>
      <c r="R111" s="724"/>
      <c r="S111" s="199"/>
      <c r="T111" s="199"/>
      <c r="U111" s="199"/>
      <c r="V111" s="199"/>
      <c r="W111" s="199"/>
      <c r="X111" s="199"/>
      <c r="Y111" s="199"/>
      <c r="Z111" s="726"/>
      <c r="AA111" s="199"/>
      <c r="AB111" s="199"/>
      <c r="AC111" s="199"/>
      <c r="AD111" s="199"/>
      <c r="AE111" s="199"/>
      <c r="AF111" s="199"/>
      <c r="AG111" s="199"/>
      <c r="AH111" s="199"/>
      <c r="AI111" s="199"/>
      <c r="AJ111" s="199"/>
      <c r="AK111" s="199"/>
    </row>
    <row r="112" ht="15.75" customHeight="1">
      <c r="A112" s="720"/>
      <c r="B112" s="720"/>
      <c r="C112" s="720"/>
      <c r="D112" s="720"/>
      <c r="E112" s="720"/>
      <c r="F112" s="720"/>
      <c r="G112" s="720"/>
      <c r="H112" s="720"/>
      <c r="I112" s="720"/>
      <c r="J112" s="723"/>
      <c r="K112" s="723"/>
      <c r="L112" s="199"/>
      <c r="M112" s="199"/>
      <c r="N112" s="199"/>
      <c r="O112" s="199"/>
      <c r="P112" s="724"/>
      <c r="Q112" s="725"/>
      <c r="R112" s="724"/>
      <c r="S112" s="199"/>
      <c r="T112" s="199"/>
      <c r="U112" s="199"/>
      <c r="V112" s="199"/>
      <c r="W112" s="199"/>
      <c r="X112" s="199"/>
      <c r="Y112" s="199"/>
      <c r="Z112" s="726"/>
      <c r="AA112" s="199"/>
      <c r="AB112" s="199"/>
      <c r="AC112" s="199"/>
      <c r="AD112" s="199"/>
      <c r="AE112" s="199"/>
      <c r="AF112" s="199"/>
      <c r="AG112" s="199"/>
      <c r="AH112" s="199"/>
      <c r="AI112" s="199"/>
      <c r="AJ112" s="199"/>
      <c r="AK112" s="199"/>
    </row>
    <row r="113" ht="15.75" customHeight="1">
      <c r="A113" s="720"/>
      <c r="B113" s="720"/>
      <c r="C113" s="720"/>
      <c r="D113" s="720"/>
      <c r="E113" s="720"/>
      <c r="F113" s="720"/>
      <c r="G113" s="720"/>
      <c r="H113" s="720"/>
      <c r="I113" s="720"/>
      <c r="J113" s="723"/>
      <c r="K113" s="723"/>
      <c r="L113" s="199"/>
      <c r="M113" s="199"/>
      <c r="N113" s="199"/>
      <c r="O113" s="199"/>
      <c r="P113" s="724"/>
      <c r="Q113" s="725"/>
      <c r="R113" s="724"/>
      <c r="S113" s="199"/>
      <c r="T113" s="199"/>
      <c r="U113" s="199"/>
      <c r="V113" s="199"/>
      <c r="W113" s="199"/>
      <c r="X113" s="199"/>
      <c r="Y113" s="199"/>
      <c r="Z113" s="726"/>
      <c r="AA113" s="199"/>
      <c r="AB113" s="199"/>
      <c r="AC113" s="199"/>
      <c r="AD113" s="199"/>
      <c r="AE113" s="199"/>
      <c r="AF113" s="199"/>
      <c r="AG113" s="199"/>
      <c r="AH113" s="199"/>
      <c r="AI113" s="199"/>
      <c r="AJ113" s="199"/>
      <c r="AK113" s="199"/>
    </row>
    <row r="114" ht="15.75" customHeight="1">
      <c r="A114" s="720"/>
      <c r="B114" s="720"/>
      <c r="C114" s="720"/>
      <c r="D114" s="720"/>
      <c r="E114" s="720"/>
      <c r="F114" s="720"/>
      <c r="G114" s="720"/>
      <c r="H114" s="720"/>
      <c r="I114" s="720"/>
      <c r="J114" s="723"/>
      <c r="K114" s="723"/>
      <c r="L114" s="199"/>
      <c r="M114" s="199"/>
      <c r="N114" s="199"/>
      <c r="O114" s="199"/>
      <c r="P114" s="724"/>
      <c r="Q114" s="725"/>
      <c r="R114" s="724"/>
      <c r="S114" s="199"/>
      <c r="T114" s="199"/>
      <c r="U114" s="199"/>
      <c r="V114" s="199"/>
      <c r="W114" s="199"/>
      <c r="X114" s="199"/>
      <c r="Y114" s="199"/>
      <c r="Z114" s="726"/>
      <c r="AA114" s="199"/>
      <c r="AB114" s="199"/>
      <c r="AC114" s="199"/>
      <c r="AD114" s="199"/>
      <c r="AE114" s="199"/>
      <c r="AF114" s="199"/>
      <c r="AG114" s="199"/>
      <c r="AH114" s="199"/>
      <c r="AI114" s="199"/>
      <c r="AJ114" s="199"/>
      <c r="AK114" s="199"/>
    </row>
    <row r="115" ht="15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724"/>
      <c r="K115" s="466"/>
      <c r="L115" s="199"/>
      <c r="M115" s="199"/>
      <c r="N115" s="199"/>
      <c r="O115" s="199"/>
      <c r="P115" s="724"/>
      <c r="Q115" s="725"/>
      <c r="R115" s="724"/>
      <c r="S115" s="199"/>
      <c r="T115" s="199"/>
      <c r="U115" s="199"/>
      <c r="V115" s="199"/>
      <c r="W115" s="199"/>
      <c r="X115" s="199"/>
      <c r="Y115" s="199"/>
      <c r="Z115" s="726"/>
      <c r="AA115" s="199"/>
      <c r="AB115" s="199"/>
      <c r="AC115" s="199"/>
      <c r="AD115" s="199"/>
      <c r="AE115" s="199"/>
      <c r="AF115" s="199"/>
      <c r="AG115" s="199"/>
      <c r="AH115" s="199"/>
      <c r="AI115" s="199"/>
      <c r="AJ115" s="199"/>
      <c r="AK115" s="199"/>
    </row>
    <row r="116" ht="15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724"/>
      <c r="K116" s="466"/>
      <c r="L116" s="199"/>
      <c r="M116" s="199"/>
      <c r="N116" s="199"/>
      <c r="O116" s="199"/>
      <c r="P116" s="724"/>
      <c r="Q116" s="725"/>
      <c r="R116" s="724"/>
      <c r="S116" s="199"/>
      <c r="T116" s="199"/>
      <c r="U116" s="199"/>
      <c r="V116" s="199"/>
      <c r="W116" s="199"/>
      <c r="X116" s="199"/>
      <c r="Y116" s="199"/>
      <c r="Z116" s="726"/>
      <c r="AA116" s="199"/>
      <c r="AB116" s="199"/>
      <c r="AC116" s="199"/>
      <c r="AD116" s="199"/>
      <c r="AE116" s="199"/>
      <c r="AF116" s="199"/>
      <c r="AG116" s="199"/>
      <c r="AH116" s="199"/>
      <c r="AI116" s="199"/>
      <c r="AJ116" s="199"/>
      <c r="AK116" s="199"/>
    </row>
    <row r="117" ht="15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724"/>
      <c r="K117" s="466"/>
      <c r="L117" s="199"/>
      <c r="M117" s="199"/>
      <c r="N117" s="199"/>
      <c r="O117" s="199"/>
      <c r="P117" s="724"/>
      <c r="Q117" s="725"/>
      <c r="R117" s="724"/>
      <c r="S117" s="199"/>
      <c r="T117" s="199"/>
      <c r="U117" s="199"/>
      <c r="V117" s="199"/>
      <c r="W117" s="199"/>
      <c r="X117" s="199"/>
      <c r="Y117" s="199"/>
      <c r="Z117" s="726"/>
      <c r="AA117" s="199"/>
      <c r="AB117" s="199"/>
      <c r="AC117" s="199"/>
      <c r="AD117" s="199"/>
      <c r="AE117" s="199"/>
      <c r="AF117" s="199"/>
      <c r="AG117" s="199"/>
      <c r="AH117" s="199"/>
      <c r="AI117" s="199"/>
      <c r="AJ117" s="199"/>
      <c r="AK117" s="199"/>
    </row>
    <row r="118" ht="15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724"/>
      <c r="K118" s="466"/>
      <c r="L118" s="199"/>
      <c r="M118" s="199"/>
      <c r="N118" s="199"/>
      <c r="O118" s="199"/>
      <c r="P118" s="724"/>
      <c r="Q118" s="725"/>
      <c r="R118" s="724"/>
      <c r="S118" s="199"/>
      <c r="T118" s="199"/>
      <c r="U118" s="199"/>
      <c r="V118" s="199"/>
      <c r="W118" s="199"/>
      <c r="X118" s="199"/>
      <c r="Y118" s="199"/>
      <c r="Z118" s="726"/>
      <c r="AA118" s="199"/>
      <c r="AB118" s="199"/>
      <c r="AC118" s="199"/>
      <c r="AD118" s="199"/>
      <c r="AE118" s="199"/>
      <c r="AF118" s="199"/>
      <c r="AG118" s="199"/>
      <c r="AH118" s="199"/>
      <c r="AI118" s="199"/>
      <c r="AJ118" s="199"/>
      <c r="AK118" s="199"/>
    </row>
    <row r="119" ht="15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724"/>
      <c r="K119" s="198"/>
      <c r="L119" s="199"/>
      <c r="M119" s="199"/>
      <c r="N119" s="199"/>
      <c r="O119" s="199"/>
      <c r="P119" s="724"/>
      <c r="Q119" s="725"/>
      <c r="R119" s="724"/>
      <c r="S119" s="199"/>
      <c r="T119" s="199"/>
      <c r="U119" s="199"/>
      <c r="V119" s="199"/>
      <c r="W119" s="199"/>
      <c r="X119" s="199"/>
      <c r="Y119" s="199"/>
      <c r="Z119" s="726"/>
      <c r="AA119" s="199"/>
      <c r="AB119" s="199"/>
      <c r="AC119" s="199"/>
      <c r="AD119" s="199"/>
      <c r="AE119" s="199"/>
      <c r="AF119" s="199"/>
      <c r="AG119" s="199"/>
      <c r="AH119" s="199"/>
      <c r="AI119" s="199"/>
      <c r="AJ119" s="199"/>
      <c r="AK119" s="199"/>
    </row>
    <row r="120" ht="15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724"/>
      <c r="K120" s="198"/>
      <c r="L120" s="199"/>
      <c r="M120" s="199"/>
      <c r="N120" s="199"/>
      <c r="O120" s="199"/>
      <c r="P120" s="724"/>
      <c r="Q120" s="725"/>
      <c r="R120" s="724"/>
      <c r="S120" s="199"/>
      <c r="T120" s="199"/>
      <c r="U120" s="199"/>
      <c r="V120" s="199"/>
      <c r="W120" s="199"/>
      <c r="X120" s="199"/>
      <c r="Y120" s="199"/>
      <c r="Z120" s="726"/>
      <c r="AA120" s="199"/>
      <c r="AB120" s="199"/>
      <c r="AC120" s="199"/>
      <c r="AD120" s="199"/>
      <c r="AE120" s="199"/>
      <c r="AF120" s="199"/>
      <c r="AG120" s="199"/>
      <c r="AH120" s="199"/>
      <c r="AI120" s="199"/>
      <c r="AJ120" s="199"/>
      <c r="AK120" s="199"/>
    </row>
    <row r="121" ht="15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724"/>
      <c r="K121" s="198"/>
      <c r="L121" s="199"/>
      <c r="M121" s="199"/>
      <c r="N121" s="199"/>
      <c r="O121" s="199"/>
      <c r="P121" s="724"/>
      <c r="Q121" s="725"/>
      <c r="R121" s="724"/>
      <c r="S121" s="199"/>
      <c r="T121" s="199"/>
      <c r="U121" s="199"/>
      <c r="V121" s="199"/>
      <c r="W121" s="199"/>
      <c r="X121" s="199"/>
      <c r="Y121" s="199"/>
      <c r="Z121" s="726"/>
      <c r="AA121" s="199"/>
      <c r="AB121" s="199"/>
      <c r="AC121" s="199"/>
      <c r="AD121" s="199"/>
      <c r="AE121" s="199"/>
      <c r="AF121" s="199"/>
      <c r="AG121" s="199"/>
      <c r="AH121" s="199"/>
      <c r="AI121" s="199"/>
      <c r="AJ121" s="199"/>
      <c r="AK121" s="199"/>
    </row>
    <row r="122" ht="15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724"/>
      <c r="K122" s="198"/>
      <c r="L122" s="199"/>
      <c r="M122" s="199"/>
      <c r="N122" s="199"/>
      <c r="O122" s="199"/>
      <c r="P122" s="724"/>
      <c r="Q122" s="725"/>
      <c r="R122" s="724"/>
      <c r="S122" s="199"/>
      <c r="T122" s="199"/>
      <c r="U122" s="199"/>
      <c r="V122" s="199"/>
      <c r="W122" s="199"/>
      <c r="X122" s="199"/>
      <c r="Y122" s="199"/>
      <c r="Z122" s="726"/>
      <c r="AA122" s="199"/>
      <c r="AB122" s="199"/>
      <c r="AC122" s="199"/>
      <c r="AD122" s="199"/>
      <c r="AE122" s="199"/>
      <c r="AF122" s="199"/>
      <c r="AG122" s="199"/>
      <c r="AH122" s="199"/>
      <c r="AI122" s="199"/>
      <c r="AJ122" s="199"/>
      <c r="AK122" s="199"/>
    </row>
    <row r="123" ht="15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724"/>
      <c r="K123" s="198"/>
      <c r="L123" s="199"/>
      <c r="M123" s="199"/>
      <c r="N123" s="199"/>
      <c r="O123" s="199"/>
      <c r="P123" s="724"/>
      <c r="Q123" s="725"/>
      <c r="R123" s="724"/>
      <c r="S123" s="199"/>
      <c r="T123" s="199"/>
      <c r="U123" s="199"/>
      <c r="V123" s="199"/>
      <c r="W123" s="199"/>
      <c r="X123" s="199"/>
      <c r="Y123" s="199"/>
      <c r="Z123" s="726"/>
      <c r="AA123" s="199"/>
      <c r="AB123" s="199"/>
      <c r="AC123" s="199"/>
      <c r="AD123" s="199"/>
      <c r="AE123" s="199"/>
      <c r="AF123" s="199"/>
      <c r="AG123" s="199"/>
      <c r="AH123" s="199"/>
      <c r="AI123" s="199"/>
      <c r="AJ123" s="199"/>
      <c r="AK123" s="199"/>
    </row>
    <row r="124" ht="15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724"/>
      <c r="K124" s="198"/>
      <c r="L124" s="199"/>
      <c r="M124" s="199"/>
      <c r="N124" s="199"/>
      <c r="O124" s="199"/>
      <c r="P124" s="724"/>
      <c r="Q124" s="725"/>
      <c r="R124" s="724"/>
      <c r="S124" s="199"/>
      <c r="T124" s="199"/>
      <c r="U124" s="199"/>
      <c r="V124" s="199"/>
      <c r="W124" s="199"/>
      <c r="X124" s="199"/>
      <c r="Y124" s="199"/>
      <c r="Z124" s="726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</row>
    <row r="125" ht="15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8"/>
      <c r="L125" s="199"/>
      <c r="M125" s="199"/>
      <c r="N125" s="199"/>
      <c r="O125" s="199"/>
      <c r="P125" s="724"/>
      <c r="Q125" s="725"/>
      <c r="R125" s="724"/>
      <c r="S125" s="199"/>
      <c r="T125" s="199"/>
      <c r="U125" s="199"/>
      <c r="V125" s="199"/>
      <c r="W125" s="199"/>
      <c r="X125" s="199"/>
      <c r="Y125" s="199"/>
      <c r="Z125" s="726"/>
      <c r="AA125" s="199"/>
      <c r="AB125" s="199"/>
      <c r="AC125" s="199"/>
      <c r="AD125" s="199"/>
      <c r="AE125" s="199"/>
      <c r="AF125" s="199"/>
      <c r="AG125" s="199"/>
      <c r="AH125" s="199"/>
      <c r="AI125" s="199"/>
      <c r="AJ125" s="199"/>
      <c r="AK125" s="199"/>
    </row>
    <row r="126" ht="15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8"/>
      <c r="L126" s="199"/>
      <c r="M126" s="199"/>
      <c r="N126" s="199"/>
      <c r="O126" s="199"/>
      <c r="P126" s="724"/>
      <c r="Q126" s="725"/>
      <c r="R126" s="724"/>
      <c r="S126" s="199"/>
      <c r="T126" s="199"/>
      <c r="U126" s="199"/>
      <c r="V126" s="199"/>
      <c r="W126" s="199"/>
      <c r="X126" s="199"/>
      <c r="Y126" s="199"/>
      <c r="Z126" s="726"/>
      <c r="AA126" s="199"/>
      <c r="AB126" s="199"/>
      <c r="AC126" s="199"/>
      <c r="AD126" s="199"/>
      <c r="AE126" s="199"/>
      <c r="AF126" s="199"/>
      <c r="AG126" s="199"/>
      <c r="AH126" s="199"/>
      <c r="AI126" s="199"/>
      <c r="AJ126" s="199"/>
      <c r="AK126" s="199"/>
    </row>
    <row r="127" ht="15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8"/>
      <c r="L127" s="199"/>
      <c r="M127" s="199"/>
      <c r="N127" s="199"/>
      <c r="O127" s="199"/>
      <c r="P127" s="724"/>
      <c r="Q127" s="725"/>
      <c r="R127" s="724"/>
      <c r="S127" s="199"/>
      <c r="T127" s="199"/>
      <c r="U127" s="199"/>
      <c r="V127" s="199"/>
      <c r="W127" s="199"/>
      <c r="X127" s="199"/>
      <c r="Y127" s="199"/>
      <c r="Z127" s="726"/>
      <c r="AA127" s="199"/>
      <c r="AB127" s="199"/>
      <c r="AC127" s="199"/>
      <c r="AD127" s="199"/>
      <c r="AE127" s="199"/>
      <c r="AF127" s="199"/>
      <c r="AG127" s="199"/>
      <c r="AH127" s="199"/>
      <c r="AI127" s="199"/>
      <c r="AJ127" s="199"/>
      <c r="AK127" s="199"/>
    </row>
    <row r="128" ht="15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8"/>
      <c r="L128" s="199"/>
      <c r="M128" s="199"/>
      <c r="N128" s="199"/>
      <c r="O128" s="199"/>
      <c r="P128" s="724"/>
      <c r="Q128" s="725"/>
      <c r="R128" s="724"/>
      <c r="S128" s="199"/>
      <c r="T128" s="199"/>
      <c r="U128" s="199"/>
      <c r="V128" s="199"/>
      <c r="W128" s="199"/>
      <c r="X128" s="199"/>
      <c r="Y128" s="199"/>
      <c r="Z128" s="726"/>
      <c r="AA128" s="199"/>
      <c r="AB128" s="199"/>
      <c r="AC128" s="199"/>
      <c r="AD128" s="199"/>
      <c r="AE128" s="199"/>
      <c r="AF128" s="199"/>
      <c r="AG128" s="199"/>
      <c r="AH128" s="199"/>
      <c r="AI128" s="199"/>
      <c r="AJ128" s="199"/>
      <c r="AK128" s="199"/>
    </row>
    <row r="129" ht="15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8"/>
      <c r="L129" s="199"/>
      <c r="M129" s="199"/>
      <c r="N129" s="199"/>
      <c r="O129" s="199"/>
      <c r="P129" s="724"/>
      <c r="Q129" s="725"/>
      <c r="R129" s="724"/>
      <c r="S129" s="199"/>
      <c r="T129" s="199"/>
      <c r="U129" s="199"/>
      <c r="V129" s="199"/>
      <c r="W129" s="199"/>
      <c r="X129" s="199"/>
      <c r="Y129" s="199"/>
      <c r="Z129" s="726"/>
      <c r="AA129" s="199"/>
      <c r="AB129" s="199"/>
      <c r="AC129" s="199"/>
      <c r="AD129" s="199"/>
      <c r="AE129" s="199"/>
      <c r="AF129" s="199"/>
      <c r="AG129" s="199"/>
      <c r="AH129" s="199"/>
      <c r="AI129" s="199"/>
      <c r="AJ129" s="199"/>
      <c r="AK129" s="199"/>
    </row>
    <row r="130" ht="15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8"/>
      <c r="L130" s="199"/>
      <c r="M130" s="199"/>
      <c r="N130" s="199"/>
      <c r="O130" s="199"/>
      <c r="P130" s="724"/>
      <c r="Q130" s="725"/>
      <c r="R130" s="724"/>
      <c r="S130" s="199"/>
      <c r="T130" s="199"/>
      <c r="U130" s="199"/>
      <c r="V130" s="199"/>
      <c r="W130" s="199"/>
      <c r="X130" s="199"/>
      <c r="Y130" s="199"/>
      <c r="Z130" s="726"/>
      <c r="AA130" s="199"/>
      <c r="AB130" s="199"/>
      <c r="AC130" s="199"/>
      <c r="AD130" s="199"/>
      <c r="AE130" s="199"/>
      <c r="AF130" s="199"/>
      <c r="AG130" s="199"/>
      <c r="AH130" s="199"/>
      <c r="AI130" s="199"/>
      <c r="AJ130" s="199"/>
      <c r="AK130" s="199"/>
    </row>
    <row r="131" ht="15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8"/>
      <c r="L131" s="199"/>
      <c r="M131" s="199"/>
      <c r="N131" s="199"/>
      <c r="O131" s="199"/>
      <c r="P131" s="724"/>
      <c r="Q131" s="725"/>
      <c r="R131" s="724"/>
      <c r="S131" s="199"/>
      <c r="T131" s="199"/>
      <c r="U131" s="199"/>
      <c r="V131" s="199"/>
      <c r="W131" s="199"/>
      <c r="X131" s="199"/>
      <c r="Y131" s="199"/>
      <c r="Z131" s="726"/>
      <c r="AA131" s="199"/>
      <c r="AB131" s="199"/>
      <c r="AC131" s="199"/>
      <c r="AD131" s="199"/>
      <c r="AE131" s="199"/>
      <c r="AF131" s="199"/>
      <c r="AG131" s="199"/>
      <c r="AH131" s="199"/>
      <c r="AI131" s="199"/>
      <c r="AJ131" s="199"/>
      <c r="AK131" s="199"/>
    </row>
    <row r="132" ht="15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8"/>
      <c r="L132" s="199"/>
      <c r="M132" s="199"/>
      <c r="N132" s="199"/>
      <c r="O132" s="199"/>
      <c r="P132" s="724"/>
      <c r="Q132" s="725"/>
      <c r="R132" s="724"/>
      <c r="S132" s="199"/>
      <c r="T132" s="199"/>
      <c r="U132" s="199"/>
      <c r="V132" s="199"/>
      <c r="W132" s="199"/>
      <c r="X132" s="199"/>
      <c r="Y132" s="199"/>
      <c r="Z132" s="726"/>
      <c r="AA132" s="199"/>
      <c r="AB132" s="199"/>
      <c r="AC132" s="199"/>
      <c r="AD132" s="199"/>
      <c r="AE132" s="199"/>
      <c r="AF132" s="199"/>
      <c r="AG132" s="199"/>
      <c r="AH132" s="199"/>
      <c r="AI132" s="199"/>
      <c r="AJ132" s="199"/>
      <c r="AK132" s="199"/>
    </row>
    <row r="133" ht="15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8"/>
      <c r="L133" s="199"/>
      <c r="M133" s="199"/>
      <c r="N133" s="199"/>
      <c r="O133" s="199"/>
      <c r="P133" s="724"/>
      <c r="Q133" s="725"/>
      <c r="R133" s="724"/>
      <c r="S133" s="199"/>
      <c r="T133" s="199"/>
      <c r="U133" s="199"/>
      <c r="V133" s="199"/>
      <c r="W133" s="199"/>
      <c r="X133" s="199"/>
      <c r="Y133" s="199"/>
      <c r="Z133" s="726"/>
      <c r="AA133" s="199"/>
      <c r="AB133" s="199"/>
      <c r="AC133" s="199"/>
      <c r="AD133" s="199"/>
      <c r="AE133" s="199"/>
      <c r="AF133" s="199"/>
      <c r="AG133" s="199"/>
      <c r="AH133" s="199"/>
      <c r="AI133" s="199"/>
      <c r="AJ133" s="199"/>
      <c r="AK133" s="199"/>
    </row>
    <row r="134" ht="15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8"/>
      <c r="L134" s="199"/>
      <c r="M134" s="199"/>
      <c r="N134" s="199"/>
      <c r="O134" s="199"/>
      <c r="P134" s="724"/>
      <c r="Q134" s="725"/>
      <c r="R134" s="724"/>
      <c r="S134" s="199"/>
      <c r="T134" s="199"/>
      <c r="U134" s="199"/>
      <c r="V134" s="199"/>
      <c r="W134" s="199"/>
      <c r="X134" s="199"/>
      <c r="Y134" s="199"/>
      <c r="Z134" s="726"/>
      <c r="AA134" s="199"/>
      <c r="AB134" s="199"/>
      <c r="AC134" s="199"/>
      <c r="AD134" s="199"/>
      <c r="AE134" s="199"/>
      <c r="AF134" s="199"/>
      <c r="AG134" s="199"/>
      <c r="AH134" s="199"/>
      <c r="AI134" s="199"/>
      <c r="AJ134" s="199"/>
      <c r="AK134" s="199"/>
    </row>
    <row r="135" ht="15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8"/>
      <c r="L135" s="199"/>
      <c r="M135" s="199"/>
      <c r="N135" s="199"/>
      <c r="O135" s="199"/>
      <c r="P135" s="724"/>
      <c r="Q135" s="725"/>
      <c r="R135" s="724"/>
      <c r="S135" s="199"/>
      <c r="T135" s="199"/>
      <c r="U135" s="199"/>
      <c r="V135" s="199"/>
      <c r="W135" s="199"/>
      <c r="X135" s="199"/>
      <c r="Y135" s="199"/>
      <c r="Z135" s="726"/>
      <c r="AA135" s="199"/>
      <c r="AB135" s="199"/>
      <c r="AC135" s="199"/>
      <c r="AD135" s="199"/>
      <c r="AE135" s="199"/>
      <c r="AF135" s="199"/>
      <c r="AG135" s="199"/>
      <c r="AH135" s="199"/>
      <c r="AI135" s="199"/>
      <c r="AJ135" s="199"/>
      <c r="AK135" s="199"/>
    </row>
    <row r="136" ht="15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8"/>
      <c r="L136" s="199"/>
      <c r="M136" s="199"/>
      <c r="N136" s="199"/>
      <c r="O136" s="199"/>
      <c r="P136" s="724"/>
      <c r="Q136" s="725"/>
      <c r="R136" s="724"/>
      <c r="S136" s="199"/>
      <c r="T136" s="199"/>
      <c r="U136" s="199"/>
      <c r="V136" s="199"/>
      <c r="W136" s="199"/>
      <c r="X136" s="199"/>
      <c r="Y136" s="199"/>
      <c r="Z136" s="726"/>
      <c r="AA136" s="199"/>
      <c r="AB136" s="199"/>
      <c r="AC136" s="199"/>
      <c r="AD136" s="199"/>
      <c r="AE136" s="199"/>
      <c r="AF136" s="199"/>
      <c r="AG136" s="199"/>
      <c r="AH136" s="199"/>
      <c r="AI136" s="199"/>
      <c r="AJ136" s="199"/>
      <c r="AK136" s="199"/>
    </row>
    <row r="137" ht="15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8"/>
      <c r="L137" s="199"/>
      <c r="M137" s="199"/>
      <c r="N137" s="199"/>
      <c r="O137" s="199"/>
      <c r="P137" s="724"/>
      <c r="Q137" s="725"/>
      <c r="R137" s="724"/>
      <c r="S137" s="199"/>
      <c r="T137" s="199"/>
      <c r="U137" s="199"/>
      <c r="V137" s="199"/>
      <c r="W137" s="199"/>
      <c r="X137" s="199"/>
      <c r="Y137" s="199"/>
      <c r="Z137" s="726"/>
      <c r="AA137" s="199"/>
      <c r="AB137" s="199"/>
      <c r="AC137" s="199"/>
      <c r="AD137" s="199"/>
      <c r="AE137" s="199"/>
      <c r="AF137" s="199"/>
      <c r="AG137" s="199"/>
      <c r="AH137" s="199"/>
      <c r="AI137" s="199"/>
      <c r="AJ137" s="199"/>
      <c r="AK137" s="199"/>
    </row>
    <row r="138" ht="15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8"/>
      <c r="L138" s="199"/>
      <c r="M138" s="199"/>
      <c r="N138" s="199"/>
      <c r="O138" s="199"/>
      <c r="P138" s="724"/>
      <c r="Q138" s="725"/>
      <c r="R138" s="724"/>
      <c r="S138" s="199"/>
      <c r="T138" s="199"/>
      <c r="U138" s="199"/>
      <c r="V138" s="199"/>
      <c r="W138" s="199"/>
      <c r="X138" s="199"/>
      <c r="Y138" s="199"/>
      <c r="Z138" s="726"/>
      <c r="AA138" s="199"/>
      <c r="AB138" s="199"/>
      <c r="AC138" s="199"/>
      <c r="AD138" s="199"/>
      <c r="AE138" s="199"/>
      <c r="AF138" s="199"/>
      <c r="AG138" s="199"/>
      <c r="AH138" s="199"/>
      <c r="AI138" s="199"/>
      <c r="AJ138" s="199"/>
      <c r="AK138" s="199"/>
    </row>
    <row r="139" ht="15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8"/>
      <c r="L139" s="199"/>
      <c r="M139" s="199"/>
      <c r="N139" s="199"/>
      <c r="O139" s="199"/>
      <c r="P139" s="724"/>
      <c r="Q139" s="725"/>
      <c r="R139" s="724"/>
      <c r="S139" s="199"/>
      <c r="T139" s="199"/>
      <c r="U139" s="199"/>
      <c r="V139" s="199"/>
      <c r="W139" s="199"/>
      <c r="X139" s="199"/>
      <c r="Y139" s="199"/>
      <c r="Z139" s="726"/>
      <c r="AA139" s="199"/>
      <c r="AB139" s="199"/>
      <c r="AC139" s="199"/>
      <c r="AD139" s="199"/>
      <c r="AE139" s="199"/>
      <c r="AF139" s="199"/>
      <c r="AG139" s="199"/>
      <c r="AH139" s="199"/>
      <c r="AI139" s="199"/>
      <c r="AJ139" s="199"/>
      <c r="AK139" s="199"/>
    </row>
    <row r="140" ht="15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8"/>
      <c r="L140" s="199"/>
      <c r="M140" s="199"/>
      <c r="N140" s="199"/>
      <c r="O140" s="199"/>
      <c r="P140" s="724"/>
      <c r="Q140" s="725"/>
      <c r="R140" s="724"/>
      <c r="S140" s="199"/>
      <c r="T140" s="199"/>
      <c r="U140" s="199"/>
      <c r="V140" s="199"/>
      <c r="W140" s="199"/>
      <c r="X140" s="199"/>
      <c r="Y140" s="199"/>
      <c r="Z140" s="726"/>
      <c r="AA140" s="199"/>
      <c r="AB140" s="199"/>
      <c r="AC140" s="199"/>
      <c r="AD140" s="199"/>
      <c r="AE140" s="199"/>
      <c r="AF140" s="199"/>
      <c r="AG140" s="199"/>
      <c r="AH140" s="199"/>
      <c r="AI140" s="199"/>
      <c r="AJ140" s="199"/>
      <c r="AK140" s="199"/>
    </row>
    <row r="141" ht="15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8"/>
      <c r="L141" s="199"/>
      <c r="M141" s="199"/>
      <c r="N141" s="199"/>
      <c r="O141" s="199"/>
      <c r="P141" s="724"/>
      <c r="Q141" s="725"/>
      <c r="R141" s="724"/>
      <c r="S141" s="199"/>
      <c r="T141" s="199"/>
      <c r="U141" s="199"/>
      <c r="V141" s="199"/>
      <c r="W141" s="199"/>
      <c r="X141" s="199"/>
      <c r="Y141" s="199"/>
      <c r="Z141" s="726"/>
      <c r="AA141" s="199"/>
      <c r="AB141" s="199"/>
      <c r="AC141" s="199"/>
      <c r="AD141" s="199"/>
      <c r="AE141" s="199"/>
      <c r="AF141" s="199"/>
      <c r="AG141" s="199"/>
      <c r="AH141" s="199"/>
      <c r="AI141" s="199"/>
      <c r="AJ141" s="199"/>
      <c r="AK141" s="199"/>
    </row>
    <row r="142" ht="15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8"/>
      <c r="L142" s="199"/>
      <c r="M142" s="199"/>
      <c r="N142" s="199"/>
      <c r="O142" s="199"/>
      <c r="P142" s="724"/>
      <c r="Q142" s="725"/>
      <c r="R142" s="724"/>
      <c r="S142" s="199"/>
      <c r="T142" s="199"/>
      <c r="U142" s="199"/>
      <c r="V142" s="199"/>
      <c r="W142" s="199"/>
      <c r="X142" s="199"/>
      <c r="Y142" s="199"/>
      <c r="Z142" s="726"/>
      <c r="AA142" s="199"/>
      <c r="AB142" s="199"/>
      <c r="AC142" s="199"/>
      <c r="AD142" s="199"/>
      <c r="AE142" s="199"/>
      <c r="AF142" s="199"/>
      <c r="AG142" s="199"/>
      <c r="AH142" s="199"/>
      <c r="AI142" s="199"/>
      <c r="AJ142" s="199"/>
      <c r="AK142" s="199"/>
    </row>
    <row r="143" ht="15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8"/>
      <c r="L143" s="199"/>
      <c r="M143" s="199"/>
      <c r="N143" s="199"/>
      <c r="O143" s="199"/>
      <c r="P143" s="724"/>
      <c r="Q143" s="725"/>
      <c r="R143" s="724"/>
      <c r="S143" s="199"/>
      <c r="T143" s="199"/>
      <c r="U143" s="199"/>
      <c r="V143" s="199"/>
      <c r="W143" s="199"/>
      <c r="X143" s="199"/>
      <c r="Y143" s="199"/>
      <c r="Z143" s="726"/>
      <c r="AA143" s="199"/>
      <c r="AB143" s="199"/>
      <c r="AC143" s="199"/>
      <c r="AD143" s="199"/>
      <c r="AE143" s="199"/>
      <c r="AF143" s="199"/>
      <c r="AG143" s="199"/>
      <c r="AH143" s="199"/>
      <c r="AI143" s="199"/>
      <c r="AJ143" s="199"/>
      <c r="AK143" s="199"/>
    </row>
    <row r="144" ht="15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8"/>
      <c r="L144" s="199"/>
      <c r="M144" s="199"/>
      <c r="N144" s="199"/>
      <c r="O144" s="199"/>
      <c r="P144" s="724"/>
      <c r="Q144" s="725"/>
      <c r="R144" s="724"/>
      <c r="S144" s="199"/>
      <c r="T144" s="199"/>
      <c r="U144" s="199"/>
      <c r="V144" s="199"/>
      <c r="W144" s="199"/>
      <c r="X144" s="199"/>
      <c r="Y144" s="199"/>
      <c r="Z144" s="726"/>
      <c r="AA144" s="199"/>
      <c r="AB144" s="199"/>
      <c r="AC144" s="199"/>
      <c r="AD144" s="199"/>
      <c r="AE144" s="199"/>
      <c r="AF144" s="199"/>
      <c r="AG144" s="199"/>
      <c r="AH144" s="199"/>
      <c r="AI144" s="199"/>
      <c r="AJ144" s="199"/>
      <c r="AK144" s="199"/>
    </row>
    <row r="145" ht="15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8"/>
      <c r="L145" s="199"/>
      <c r="M145" s="199"/>
      <c r="N145" s="199"/>
      <c r="O145" s="199"/>
      <c r="P145" s="724"/>
      <c r="Q145" s="725"/>
      <c r="R145" s="724"/>
      <c r="S145" s="199"/>
      <c r="T145" s="199"/>
      <c r="U145" s="199"/>
      <c r="V145" s="199"/>
      <c r="W145" s="199"/>
      <c r="X145" s="199"/>
      <c r="Y145" s="199"/>
      <c r="Z145" s="726"/>
      <c r="AA145" s="199"/>
      <c r="AB145" s="199"/>
      <c r="AC145" s="199"/>
      <c r="AD145" s="199"/>
      <c r="AE145" s="199"/>
      <c r="AF145" s="199"/>
      <c r="AG145" s="199"/>
      <c r="AH145" s="199"/>
      <c r="AI145" s="199"/>
      <c r="AJ145" s="199"/>
      <c r="AK145" s="199"/>
    </row>
    <row r="146" ht="15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8"/>
      <c r="L146" s="199"/>
      <c r="M146" s="199"/>
      <c r="N146" s="199"/>
      <c r="O146" s="199"/>
      <c r="P146" s="724"/>
      <c r="Q146" s="725"/>
      <c r="R146" s="724"/>
      <c r="S146" s="199"/>
      <c r="T146" s="199"/>
      <c r="U146" s="199"/>
      <c r="V146" s="199"/>
      <c r="W146" s="199"/>
      <c r="X146" s="199"/>
      <c r="Y146" s="199"/>
      <c r="Z146" s="726"/>
      <c r="AA146" s="199"/>
      <c r="AB146" s="199"/>
      <c r="AC146" s="199"/>
      <c r="AD146" s="199"/>
      <c r="AE146" s="199"/>
      <c r="AF146" s="199"/>
      <c r="AG146" s="199"/>
      <c r="AH146" s="199"/>
      <c r="AI146" s="199"/>
      <c r="AJ146" s="199"/>
      <c r="AK146" s="199"/>
    </row>
    <row r="147" ht="15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8"/>
      <c r="L147" s="199"/>
      <c r="M147" s="199"/>
      <c r="N147" s="199"/>
      <c r="O147" s="199"/>
      <c r="P147" s="724"/>
      <c r="Q147" s="725"/>
      <c r="R147" s="724"/>
      <c r="S147" s="199"/>
      <c r="T147" s="199"/>
      <c r="U147" s="199"/>
      <c r="V147" s="199"/>
      <c r="W147" s="199"/>
      <c r="X147" s="199"/>
      <c r="Y147" s="199"/>
      <c r="Z147" s="726"/>
      <c r="AA147" s="199"/>
      <c r="AB147" s="199"/>
      <c r="AC147" s="199"/>
      <c r="AD147" s="199"/>
      <c r="AE147" s="199"/>
      <c r="AF147" s="199"/>
      <c r="AG147" s="199"/>
      <c r="AH147" s="199"/>
      <c r="AI147" s="199"/>
      <c r="AJ147" s="199"/>
      <c r="AK147" s="199"/>
    </row>
    <row r="148" ht="15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8"/>
      <c r="L148" s="199"/>
      <c r="M148" s="199"/>
      <c r="N148" s="199"/>
      <c r="O148" s="199"/>
      <c r="P148" s="724"/>
      <c r="Q148" s="725"/>
      <c r="R148" s="724"/>
      <c r="S148" s="199"/>
      <c r="T148" s="199"/>
      <c r="U148" s="199"/>
      <c r="V148" s="199"/>
      <c r="W148" s="199"/>
      <c r="X148" s="199"/>
      <c r="Y148" s="199"/>
      <c r="Z148" s="726"/>
      <c r="AA148" s="199"/>
      <c r="AB148" s="199"/>
      <c r="AC148" s="199"/>
      <c r="AD148" s="199"/>
      <c r="AE148" s="199"/>
      <c r="AF148" s="199"/>
      <c r="AG148" s="199"/>
      <c r="AH148" s="199"/>
      <c r="AI148" s="199"/>
      <c r="AJ148" s="199"/>
      <c r="AK148" s="199"/>
    </row>
    <row r="149" ht="15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8"/>
      <c r="L149" s="199"/>
      <c r="M149" s="199"/>
      <c r="N149" s="199"/>
      <c r="O149" s="199"/>
      <c r="P149" s="724"/>
      <c r="Q149" s="725"/>
      <c r="R149" s="724"/>
      <c r="S149" s="199"/>
      <c r="T149" s="199"/>
      <c r="U149" s="199"/>
      <c r="V149" s="199"/>
      <c r="W149" s="199"/>
      <c r="X149" s="199"/>
      <c r="Y149" s="199"/>
      <c r="Z149" s="726"/>
      <c r="AA149" s="199"/>
      <c r="AB149" s="199"/>
      <c r="AC149" s="199"/>
      <c r="AD149" s="199"/>
      <c r="AE149" s="199"/>
      <c r="AF149" s="199"/>
      <c r="AG149" s="199"/>
      <c r="AH149" s="199"/>
      <c r="AI149" s="199"/>
      <c r="AJ149" s="199"/>
      <c r="AK149" s="199"/>
    </row>
    <row r="150" ht="15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8"/>
      <c r="L150" s="199"/>
      <c r="M150" s="199"/>
      <c r="N150" s="199"/>
      <c r="O150" s="199"/>
      <c r="P150" s="724"/>
      <c r="Q150" s="725"/>
      <c r="R150" s="724"/>
      <c r="S150" s="199"/>
      <c r="T150" s="199"/>
      <c r="U150" s="199"/>
      <c r="V150" s="199"/>
      <c r="W150" s="199"/>
      <c r="X150" s="199"/>
      <c r="Y150" s="199"/>
      <c r="Z150" s="726"/>
      <c r="AA150" s="199"/>
      <c r="AB150" s="199"/>
      <c r="AC150" s="199"/>
      <c r="AD150" s="199"/>
      <c r="AE150" s="199"/>
      <c r="AF150" s="199"/>
      <c r="AG150" s="199"/>
      <c r="AH150" s="199"/>
      <c r="AI150" s="199"/>
      <c r="AJ150" s="199"/>
      <c r="AK150" s="199"/>
    </row>
    <row r="151" ht="15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8"/>
      <c r="L151" s="199"/>
      <c r="M151" s="199"/>
      <c r="N151" s="199"/>
      <c r="O151" s="199"/>
      <c r="P151" s="724"/>
      <c r="Q151" s="725"/>
      <c r="R151" s="724"/>
      <c r="S151" s="199"/>
      <c r="T151" s="199"/>
      <c r="U151" s="199"/>
      <c r="V151" s="199"/>
      <c r="W151" s="199"/>
      <c r="X151" s="199"/>
      <c r="Y151" s="199"/>
      <c r="Z151" s="726"/>
      <c r="AA151" s="199"/>
      <c r="AB151" s="199"/>
      <c r="AC151" s="199"/>
      <c r="AD151" s="199"/>
      <c r="AE151" s="199"/>
      <c r="AF151" s="199"/>
      <c r="AG151" s="199"/>
      <c r="AH151" s="199"/>
      <c r="AI151" s="199"/>
      <c r="AJ151" s="199"/>
      <c r="AK151" s="199"/>
    </row>
    <row r="152" ht="15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8"/>
      <c r="L152" s="199"/>
      <c r="M152" s="199"/>
      <c r="N152" s="199"/>
      <c r="O152" s="199"/>
      <c r="P152" s="724"/>
      <c r="Q152" s="725"/>
      <c r="R152" s="724"/>
      <c r="S152" s="199"/>
      <c r="T152" s="199"/>
      <c r="U152" s="199"/>
      <c r="V152" s="199"/>
      <c r="W152" s="199"/>
      <c r="X152" s="199"/>
      <c r="Y152" s="199"/>
      <c r="Z152" s="726"/>
      <c r="AA152" s="199"/>
      <c r="AB152" s="199"/>
      <c r="AC152" s="199"/>
      <c r="AD152" s="199"/>
      <c r="AE152" s="199"/>
      <c r="AF152" s="199"/>
      <c r="AG152" s="199"/>
      <c r="AH152" s="199"/>
      <c r="AI152" s="199"/>
      <c r="AJ152" s="199"/>
      <c r="AK152" s="199"/>
    </row>
    <row r="153" ht="15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8"/>
      <c r="L153" s="199"/>
      <c r="M153" s="199"/>
      <c r="N153" s="199"/>
      <c r="O153" s="199"/>
      <c r="P153" s="724"/>
      <c r="Q153" s="725"/>
      <c r="R153" s="724"/>
      <c r="S153" s="199"/>
      <c r="T153" s="199"/>
      <c r="U153" s="199"/>
      <c r="V153" s="199"/>
      <c r="W153" s="199"/>
      <c r="X153" s="199"/>
      <c r="Y153" s="199"/>
      <c r="Z153" s="726"/>
      <c r="AA153" s="199"/>
      <c r="AB153" s="199"/>
      <c r="AC153" s="199"/>
      <c r="AD153" s="199"/>
      <c r="AE153" s="199"/>
      <c r="AF153" s="199"/>
      <c r="AG153" s="199"/>
      <c r="AH153" s="199"/>
      <c r="AI153" s="199"/>
      <c r="AJ153" s="199"/>
      <c r="AK153" s="199"/>
    </row>
    <row r="154" ht="15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8"/>
      <c r="L154" s="199"/>
      <c r="M154" s="199"/>
      <c r="N154" s="199"/>
      <c r="O154" s="199"/>
      <c r="P154" s="724"/>
      <c r="Q154" s="725"/>
      <c r="R154" s="724"/>
      <c r="S154" s="199"/>
      <c r="T154" s="199"/>
      <c r="U154" s="199"/>
      <c r="V154" s="199"/>
      <c r="W154" s="199"/>
      <c r="X154" s="199"/>
      <c r="Y154" s="199"/>
      <c r="Z154" s="726"/>
      <c r="AA154" s="199"/>
      <c r="AB154" s="199"/>
      <c r="AC154" s="199"/>
      <c r="AD154" s="199"/>
      <c r="AE154" s="199"/>
      <c r="AF154" s="199"/>
      <c r="AG154" s="199"/>
      <c r="AH154" s="199"/>
      <c r="AI154" s="199"/>
      <c r="AJ154" s="199"/>
      <c r="AK154" s="199"/>
    </row>
    <row r="155" ht="15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8"/>
      <c r="L155" s="199"/>
      <c r="M155" s="199"/>
      <c r="N155" s="199"/>
      <c r="O155" s="199"/>
      <c r="P155" s="724"/>
      <c r="Q155" s="725"/>
      <c r="R155" s="724"/>
      <c r="S155" s="199"/>
      <c r="T155" s="199"/>
      <c r="U155" s="199"/>
      <c r="V155" s="199"/>
      <c r="W155" s="199"/>
      <c r="X155" s="199"/>
      <c r="Y155" s="199"/>
      <c r="Z155" s="726"/>
      <c r="AA155" s="199"/>
      <c r="AB155" s="199"/>
      <c r="AC155" s="199"/>
      <c r="AD155" s="199"/>
      <c r="AE155" s="199"/>
      <c r="AF155" s="199"/>
      <c r="AG155" s="199"/>
      <c r="AH155" s="199"/>
      <c r="AI155" s="199"/>
      <c r="AJ155" s="199"/>
      <c r="AK155" s="199"/>
    </row>
    <row r="156" ht="15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8"/>
      <c r="L156" s="199"/>
      <c r="M156" s="199"/>
      <c r="N156" s="199"/>
      <c r="O156" s="199"/>
      <c r="P156" s="724"/>
      <c r="Q156" s="725"/>
      <c r="R156" s="724"/>
      <c r="S156" s="199"/>
      <c r="T156" s="199"/>
      <c r="U156" s="199"/>
      <c r="V156" s="199"/>
      <c r="W156" s="199"/>
      <c r="X156" s="199"/>
      <c r="Y156" s="199"/>
      <c r="Z156" s="726"/>
      <c r="AA156" s="199"/>
      <c r="AB156" s="199"/>
      <c r="AC156" s="199"/>
      <c r="AD156" s="199"/>
      <c r="AE156" s="199"/>
      <c r="AF156" s="199"/>
      <c r="AG156" s="199"/>
      <c r="AH156" s="199"/>
      <c r="AI156" s="199"/>
      <c r="AJ156" s="199"/>
      <c r="AK156" s="199"/>
    </row>
    <row r="157" ht="15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8"/>
      <c r="L157" s="199"/>
      <c r="M157" s="199"/>
      <c r="N157" s="199"/>
      <c r="O157" s="199"/>
      <c r="P157" s="724"/>
      <c r="Q157" s="725"/>
      <c r="R157" s="724"/>
      <c r="S157" s="199"/>
      <c r="T157" s="199"/>
      <c r="U157" s="199"/>
      <c r="V157" s="199"/>
      <c r="W157" s="199"/>
      <c r="X157" s="199"/>
      <c r="Y157" s="199"/>
      <c r="Z157" s="726"/>
      <c r="AA157" s="199"/>
      <c r="AB157" s="199"/>
      <c r="AC157" s="199"/>
      <c r="AD157" s="199"/>
      <c r="AE157" s="199"/>
      <c r="AF157" s="199"/>
      <c r="AG157" s="199"/>
      <c r="AH157" s="199"/>
      <c r="AI157" s="199"/>
      <c r="AJ157" s="199"/>
      <c r="AK157" s="199"/>
    </row>
    <row r="158" ht="15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8"/>
      <c r="L158" s="199"/>
      <c r="M158" s="199"/>
      <c r="N158" s="199"/>
      <c r="O158" s="199"/>
      <c r="P158" s="724"/>
      <c r="Q158" s="725"/>
      <c r="R158" s="724"/>
      <c r="S158" s="199"/>
      <c r="T158" s="199"/>
      <c r="U158" s="199"/>
      <c r="V158" s="199"/>
      <c r="W158" s="199"/>
      <c r="X158" s="199"/>
      <c r="Y158" s="199"/>
      <c r="Z158" s="726"/>
      <c r="AA158" s="199"/>
      <c r="AB158" s="199"/>
      <c r="AC158" s="199"/>
      <c r="AD158" s="199"/>
      <c r="AE158" s="199"/>
      <c r="AF158" s="199"/>
      <c r="AG158" s="199"/>
      <c r="AH158" s="199"/>
      <c r="AI158" s="199"/>
      <c r="AJ158" s="199"/>
      <c r="AK158" s="199"/>
    </row>
    <row r="159" ht="15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8"/>
      <c r="L159" s="199"/>
      <c r="M159" s="199"/>
      <c r="N159" s="199"/>
      <c r="O159" s="199"/>
      <c r="P159" s="724"/>
      <c r="Q159" s="725"/>
      <c r="R159" s="724"/>
      <c r="S159" s="199"/>
      <c r="T159" s="199"/>
      <c r="U159" s="199"/>
      <c r="V159" s="199"/>
      <c r="W159" s="199"/>
      <c r="X159" s="199"/>
      <c r="Y159" s="199"/>
      <c r="Z159" s="726"/>
      <c r="AA159" s="199"/>
      <c r="AB159" s="199"/>
      <c r="AC159" s="199"/>
      <c r="AD159" s="199"/>
      <c r="AE159" s="199"/>
      <c r="AF159" s="199"/>
      <c r="AG159" s="199"/>
      <c r="AH159" s="199"/>
      <c r="AI159" s="199"/>
      <c r="AJ159" s="199"/>
      <c r="AK159" s="199"/>
    </row>
    <row r="160" ht="15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8"/>
      <c r="L160" s="199"/>
      <c r="M160" s="199"/>
      <c r="N160" s="199"/>
      <c r="O160" s="199"/>
      <c r="P160" s="724"/>
      <c r="Q160" s="725"/>
      <c r="R160" s="724"/>
      <c r="S160" s="199"/>
      <c r="T160" s="199"/>
      <c r="U160" s="199"/>
      <c r="V160" s="199"/>
      <c r="W160" s="199"/>
      <c r="X160" s="199"/>
      <c r="Y160" s="199"/>
      <c r="Z160" s="726"/>
      <c r="AA160" s="199"/>
      <c r="AB160" s="199"/>
      <c r="AC160" s="199"/>
      <c r="AD160" s="199"/>
      <c r="AE160" s="199"/>
      <c r="AF160" s="199"/>
      <c r="AG160" s="199"/>
      <c r="AH160" s="199"/>
      <c r="AI160" s="199"/>
      <c r="AJ160" s="199"/>
      <c r="AK160" s="199"/>
    </row>
    <row r="161" ht="15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8"/>
      <c r="L161" s="199"/>
      <c r="M161" s="199"/>
      <c r="N161" s="199"/>
      <c r="O161" s="199"/>
      <c r="P161" s="724"/>
      <c r="Q161" s="725"/>
      <c r="R161" s="724"/>
      <c r="S161" s="199"/>
      <c r="T161" s="199"/>
      <c r="U161" s="199"/>
      <c r="V161" s="199"/>
      <c r="W161" s="199"/>
      <c r="X161" s="199"/>
      <c r="Y161" s="199"/>
      <c r="Z161" s="726"/>
      <c r="AA161" s="199"/>
      <c r="AB161" s="199"/>
      <c r="AC161" s="199"/>
      <c r="AD161" s="199"/>
      <c r="AE161" s="199"/>
      <c r="AF161" s="199"/>
      <c r="AG161" s="199"/>
      <c r="AH161" s="199"/>
      <c r="AI161" s="199"/>
      <c r="AJ161" s="199"/>
      <c r="AK161" s="199"/>
    </row>
    <row r="162" ht="15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8"/>
      <c r="L162" s="199"/>
      <c r="M162" s="199"/>
      <c r="N162" s="199"/>
      <c r="O162" s="199"/>
      <c r="P162" s="724"/>
      <c r="Q162" s="725"/>
      <c r="R162" s="724"/>
      <c r="S162" s="199"/>
      <c r="T162" s="199"/>
      <c r="U162" s="199"/>
      <c r="V162" s="199"/>
      <c r="W162" s="199"/>
      <c r="X162" s="199"/>
      <c r="Y162" s="199"/>
      <c r="Z162" s="726"/>
      <c r="AA162" s="199"/>
      <c r="AB162" s="199"/>
      <c r="AC162" s="199"/>
      <c r="AD162" s="199"/>
      <c r="AE162" s="199"/>
      <c r="AF162" s="199"/>
      <c r="AG162" s="199"/>
      <c r="AH162" s="199"/>
      <c r="AI162" s="199"/>
      <c r="AJ162" s="199"/>
      <c r="AK162" s="199"/>
    </row>
    <row r="163" ht="15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8"/>
      <c r="L163" s="199"/>
      <c r="M163" s="199"/>
      <c r="N163" s="199"/>
      <c r="O163" s="199"/>
      <c r="P163" s="724"/>
      <c r="Q163" s="725"/>
      <c r="R163" s="724"/>
      <c r="S163" s="199"/>
      <c r="T163" s="199"/>
      <c r="U163" s="199"/>
      <c r="V163" s="199"/>
      <c r="W163" s="199"/>
      <c r="X163" s="199"/>
      <c r="Y163" s="199"/>
      <c r="Z163" s="726"/>
      <c r="AA163" s="199"/>
      <c r="AB163" s="199"/>
      <c r="AC163" s="199"/>
      <c r="AD163" s="199"/>
      <c r="AE163" s="199"/>
      <c r="AF163" s="199"/>
      <c r="AG163" s="199"/>
      <c r="AH163" s="199"/>
      <c r="AI163" s="199"/>
      <c r="AJ163" s="199"/>
      <c r="AK163" s="199"/>
    </row>
    <row r="164" ht="15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8"/>
      <c r="L164" s="199"/>
      <c r="M164" s="199"/>
      <c r="N164" s="199"/>
      <c r="O164" s="199"/>
      <c r="P164" s="724"/>
      <c r="Q164" s="725"/>
      <c r="R164" s="724"/>
      <c r="S164" s="199"/>
      <c r="T164" s="199"/>
      <c r="U164" s="199"/>
      <c r="V164" s="199"/>
      <c r="W164" s="199"/>
      <c r="X164" s="199"/>
      <c r="Y164" s="199"/>
      <c r="Z164" s="726"/>
      <c r="AA164" s="199"/>
      <c r="AB164" s="199"/>
      <c r="AC164" s="199"/>
      <c r="AD164" s="199"/>
      <c r="AE164" s="199"/>
      <c r="AF164" s="199"/>
      <c r="AG164" s="199"/>
      <c r="AH164" s="199"/>
      <c r="AI164" s="199"/>
      <c r="AJ164" s="199"/>
      <c r="AK164" s="199"/>
    </row>
    <row r="165" ht="15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8"/>
      <c r="L165" s="199"/>
      <c r="M165" s="199"/>
      <c r="N165" s="199"/>
      <c r="O165" s="199"/>
      <c r="P165" s="724"/>
      <c r="Q165" s="725"/>
      <c r="R165" s="724"/>
      <c r="S165" s="199"/>
      <c r="T165" s="199"/>
      <c r="U165" s="199"/>
      <c r="V165" s="199"/>
      <c r="W165" s="199"/>
      <c r="X165" s="199"/>
      <c r="Y165" s="199"/>
      <c r="Z165" s="726"/>
      <c r="AA165" s="199"/>
      <c r="AB165" s="199"/>
      <c r="AC165" s="199"/>
      <c r="AD165" s="199"/>
      <c r="AE165" s="199"/>
      <c r="AF165" s="199"/>
      <c r="AG165" s="199"/>
      <c r="AH165" s="199"/>
      <c r="AI165" s="199"/>
      <c r="AJ165" s="199"/>
      <c r="AK165" s="199"/>
    </row>
    <row r="166" ht="15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8"/>
      <c r="L166" s="199"/>
      <c r="M166" s="199"/>
      <c r="N166" s="199"/>
      <c r="O166" s="199"/>
      <c r="P166" s="724"/>
      <c r="Q166" s="725"/>
      <c r="R166" s="724"/>
      <c r="S166" s="199"/>
      <c r="T166" s="199"/>
      <c r="U166" s="199"/>
      <c r="V166" s="199"/>
      <c r="W166" s="199"/>
      <c r="X166" s="199"/>
      <c r="Y166" s="199"/>
      <c r="Z166" s="726"/>
      <c r="AA166" s="199"/>
      <c r="AB166" s="199"/>
      <c r="AC166" s="199"/>
      <c r="AD166" s="199"/>
      <c r="AE166" s="199"/>
      <c r="AF166" s="199"/>
      <c r="AG166" s="199"/>
      <c r="AH166" s="199"/>
      <c r="AI166" s="199"/>
      <c r="AJ166" s="199"/>
      <c r="AK166" s="199"/>
    </row>
    <row r="167" ht="15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8"/>
      <c r="L167" s="199"/>
      <c r="M167" s="199"/>
      <c r="N167" s="199"/>
      <c r="O167" s="199"/>
      <c r="P167" s="724"/>
      <c r="Q167" s="725"/>
      <c r="R167" s="724"/>
      <c r="S167" s="199"/>
      <c r="T167" s="199"/>
      <c r="U167" s="199"/>
      <c r="V167" s="199"/>
      <c r="W167" s="199"/>
      <c r="X167" s="199"/>
      <c r="Y167" s="199"/>
      <c r="Z167" s="726"/>
      <c r="AA167" s="199"/>
      <c r="AB167" s="199"/>
      <c r="AC167" s="199"/>
      <c r="AD167" s="199"/>
      <c r="AE167" s="199"/>
      <c r="AF167" s="199"/>
      <c r="AG167" s="199"/>
      <c r="AH167" s="199"/>
      <c r="AI167" s="199"/>
      <c r="AJ167" s="199"/>
      <c r="AK167" s="199"/>
    </row>
    <row r="168" ht="15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8"/>
      <c r="L168" s="199"/>
      <c r="M168" s="199"/>
      <c r="N168" s="199"/>
      <c r="O168" s="199"/>
      <c r="P168" s="724"/>
      <c r="Q168" s="725"/>
      <c r="R168" s="724"/>
      <c r="S168" s="199"/>
      <c r="T168" s="199"/>
      <c r="U168" s="199"/>
      <c r="V168" s="199"/>
      <c r="W168" s="199"/>
      <c r="X168" s="199"/>
      <c r="Y168" s="199"/>
      <c r="Z168" s="726"/>
      <c r="AA168" s="199"/>
      <c r="AB168" s="199"/>
      <c r="AC168" s="199"/>
      <c r="AD168" s="199"/>
      <c r="AE168" s="199"/>
      <c r="AF168" s="199"/>
      <c r="AG168" s="199"/>
      <c r="AH168" s="199"/>
      <c r="AI168" s="199"/>
      <c r="AJ168" s="199"/>
      <c r="AK168" s="199"/>
    </row>
    <row r="169" ht="15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8"/>
      <c r="L169" s="199"/>
      <c r="M169" s="199"/>
      <c r="N169" s="199"/>
      <c r="O169" s="199"/>
      <c r="P169" s="724"/>
      <c r="Q169" s="725"/>
      <c r="R169" s="724"/>
      <c r="S169" s="199"/>
      <c r="T169" s="199"/>
      <c r="U169" s="199"/>
      <c r="V169" s="199"/>
      <c r="W169" s="199"/>
      <c r="X169" s="199"/>
      <c r="Y169" s="199"/>
      <c r="Z169" s="726"/>
      <c r="AA169" s="199"/>
      <c r="AB169" s="199"/>
      <c r="AC169" s="199"/>
      <c r="AD169" s="199"/>
      <c r="AE169" s="199"/>
      <c r="AF169" s="199"/>
      <c r="AG169" s="199"/>
      <c r="AH169" s="199"/>
      <c r="AI169" s="199"/>
      <c r="AJ169" s="199"/>
      <c r="AK169" s="199"/>
    </row>
    <row r="170" ht="15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8"/>
      <c r="L170" s="199"/>
      <c r="M170" s="199"/>
      <c r="N170" s="199"/>
      <c r="O170" s="199"/>
      <c r="P170" s="724"/>
      <c r="Q170" s="725"/>
      <c r="R170" s="724"/>
      <c r="S170" s="199"/>
      <c r="T170" s="199"/>
      <c r="U170" s="199"/>
      <c r="V170" s="199"/>
      <c r="W170" s="199"/>
      <c r="X170" s="199"/>
      <c r="Y170" s="199"/>
      <c r="Z170" s="726"/>
      <c r="AA170" s="199"/>
      <c r="AB170" s="199"/>
      <c r="AC170" s="199"/>
      <c r="AD170" s="199"/>
      <c r="AE170" s="199"/>
      <c r="AF170" s="199"/>
      <c r="AG170" s="199"/>
      <c r="AH170" s="199"/>
      <c r="AI170" s="199"/>
      <c r="AJ170" s="199"/>
      <c r="AK170" s="199"/>
    </row>
    <row r="171" ht="15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8"/>
      <c r="L171" s="199"/>
      <c r="M171" s="199"/>
      <c r="N171" s="199"/>
      <c r="O171" s="199"/>
      <c r="P171" s="724"/>
      <c r="Q171" s="725"/>
      <c r="R171" s="724"/>
      <c r="S171" s="199"/>
      <c r="T171" s="199"/>
      <c r="U171" s="199"/>
      <c r="V171" s="199"/>
      <c r="W171" s="199"/>
      <c r="X171" s="199"/>
      <c r="Y171" s="199"/>
      <c r="Z171" s="726"/>
      <c r="AA171" s="199"/>
      <c r="AB171" s="199"/>
      <c r="AC171" s="199"/>
      <c r="AD171" s="199"/>
      <c r="AE171" s="199"/>
      <c r="AF171" s="199"/>
      <c r="AG171" s="199"/>
      <c r="AH171" s="199"/>
      <c r="AI171" s="199"/>
      <c r="AJ171" s="199"/>
      <c r="AK171" s="199"/>
    </row>
    <row r="172" ht="15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8"/>
      <c r="L172" s="199"/>
      <c r="M172" s="199"/>
      <c r="N172" s="199"/>
      <c r="O172" s="199"/>
      <c r="P172" s="724"/>
      <c r="Q172" s="725"/>
      <c r="R172" s="724"/>
      <c r="S172" s="199"/>
      <c r="T172" s="199"/>
      <c r="U172" s="199"/>
      <c r="V172" s="199"/>
      <c r="W172" s="199"/>
      <c r="X172" s="199"/>
      <c r="Y172" s="199"/>
      <c r="Z172" s="726"/>
      <c r="AA172" s="199"/>
      <c r="AB172" s="199"/>
      <c r="AC172" s="199"/>
      <c r="AD172" s="199"/>
      <c r="AE172" s="199"/>
      <c r="AF172" s="199"/>
      <c r="AG172" s="199"/>
      <c r="AH172" s="199"/>
      <c r="AI172" s="199"/>
      <c r="AJ172" s="199"/>
      <c r="AK172" s="199"/>
    </row>
    <row r="173" ht="15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8"/>
      <c r="L173" s="199"/>
      <c r="M173" s="199"/>
      <c r="N173" s="199"/>
      <c r="O173" s="199"/>
      <c r="P173" s="724"/>
      <c r="Q173" s="725"/>
      <c r="R173" s="724"/>
      <c r="S173" s="199"/>
      <c r="T173" s="199"/>
      <c r="U173" s="199"/>
      <c r="V173" s="199"/>
      <c r="W173" s="199"/>
      <c r="X173" s="199"/>
      <c r="Y173" s="199"/>
      <c r="Z173" s="726"/>
      <c r="AA173" s="199"/>
      <c r="AB173" s="199"/>
      <c r="AC173" s="199"/>
      <c r="AD173" s="199"/>
      <c r="AE173" s="199"/>
      <c r="AF173" s="199"/>
      <c r="AG173" s="199"/>
      <c r="AH173" s="199"/>
      <c r="AI173" s="199"/>
      <c r="AJ173" s="199"/>
      <c r="AK173" s="199"/>
    </row>
    <row r="174" ht="15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8"/>
      <c r="L174" s="199"/>
      <c r="M174" s="199"/>
      <c r="N174" s="199"/>
      <c r="O174" s="199"/>
      <c r="P174" s="724"/>
      <c r="Q174" s="725"/>
      <c r="R174" s="724"/>
      <c r="S174" s="199"/>
      <c r="T174" s="199"/>
      <c r="U174" s="199"/>
      <c r="V174" s="199"/>
      <c r="W174" s="199"/>
      <c r="X174" s="199"/>
      <c r="Y174" s="199"/>
      <c r="Z174" s="726"/>
      <c r="AA174" s="199"/>
      <c r="AB174" s="199"/>
      <c r="AC174" s="199"/>
      <c r="AD174" s="199"/>
      <c r="AE174" s="199"/>
      <c r="AF174" s="199"/>
      <c r="AG174" s="199"/>
      <c r="AH174" s="199"/>
      <c r="AI174" s="199"/>
      <c r="AJ174" s="199"/>
      <c r="AK174" s="199"/>
    </row>
    <row r="175" ht="15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8"/>
      <c r="L175" s="199"/>
      <c r="M175" s="199"/>
      <c r="N175" s="199"/>
      <c r="O175" s="199"/>
      <c r="P175" s="724"/>
      <c r="Q175" s="725"/>
      <c r="R175" s="724"/>
      <c r="S175" s="199"/>
      <c r="T175" s="199"/>
      <c r="U175" s="199"/>
      <c r="V175" s="199"/>
      <c r="W175" s="199"/>
      <c r="X175" s="199"/>
      <c r="Y175" s="199"/>
      <c r="Z175" s="726"/>
      <c r="AA175" s="199"/>
      <c r="AB175" s="199"/>
      <c r="AC175" s="199"/>
      <c r="AD175" s="199"/>
      <c r="AE175" s="199"/>
      <c r="AF175" s="199"/>
      <c r="AG175" s="199"/>
      <c r="AH175" s="199"/>
      <c r="AI175" s="199"/>
      <c r="AJ175" s="199"/>
      <c r="AK175" s="199"/>
    </row>
    <row r="176" ht="15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8"/>
      <c r="L176" s="199"/>
      <c r="M176" s="199"/>
      <c r="N176" s="199"/>
      <c r="O176" s="199"/>
      <c r="P176" s="724"/>
      <c r="Q176" s="725"/>
      <c r="R176" s="724"/>
      <c r="S176" s="199"/>
      <c r="T176" s="199"/>
      <c r="U176" s="199"/>
      <c r="V176" s="199"/>
      <c r="W176" s="199"/>
      <c r="X176" s="199"/>
      <c r="Y176" s="199"/>
      <c r="Z176" s="726"/>
      <c r="AA176" s="199"/>
      <c r="AB176" s="199"/>
      <c r="AC176" s="199"/>
      <c r="AD176" s="199"/>
      <c r="AE176" s="199"/>
      <c r="AF176" s="199"/>
      <c r="AG176" s="199"/>
      <c r="AH176" s="199"/>
      <c r="AI176" s="199"/>
      <c r="AJ176" s="199"/>
      <c r="AK176" s="199"/>
    </row>
    <row r="177" ht="15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8"/>
      <c r="L177" s="199"/>
      <c r="M177" s="199"/>
      <c r="N177" s="199"/>
      <c r="O177" s="199"/>
      <c r="P177" s="724"/>
      <c r="Q177" s="725"/>
      <c r="R177" s="724"/>
      <c r="S177" s="199"/>
      <c r="T177" s="199"/>
      <c r="U177" s="199"/>
      <c r="V177" s="199"/>
      <c r="W177" s="199"/>
      <c r="X177" s="199"/>
      <c r="Y177" s="199"/>
      <c r="Z177" s="726"/>
      <c r="AA177" s="199"/>
      <c r="AB177" s="199"/>
      <c r="AC177" s="199"/>
      <c r="AD177" s="199"/>
      <c r="AE177" s="199"/>
      <c r="AF177" s="199"/>
      <c r="AG177" s="199"/>
      <c r="AH177" s="199"/>
      <c r="AI177" s="199"/>
      <c r="AJ177" s="199"/>
      <c r="AK177" s="199"/>
    </row>
    <row r="178" ht="15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8"/>
      <c r="L178" s="199"/>
      <c r="M178" s="199"/>
      <c r="N178" s="199"/>
      <c r="O178" s="199"/>
      <c r="P178" s="724"/>
      <c r="Q178" s="725"/>
      <c r="R178" s="724"/>
      <c r="S178" s="199"/>
      <c r="T178" s="199"/>
      <c r="U178" s="199"/>
      <c r="V178" s="199"/>
      <c r="W178" s="199"/>
      <c r="X178" s="199"/>
      <c r="Y178" s="199"/>
      <c r="Z178" s="726"/>
      <c r="AA178" s="199"/>
      <c r="AB178" s="199"/>
      <c r="AC178" s="199"/>
      <c r="AD178" s="199"/>
      <c r="AE178" s="199"/>
      <c r="AF178" s="199"/>
      <c r="AG178" s="199"/>
      <c r="AH178" s="199"/>
      <c r="AI178" s="199"/>
      <c r="AJ178" s="199"/>
      <c r="AK178" s="199"/>
    </row>
    <row r="179" ht="15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8"/>
      <c r="L179" s="199"/>
      <c r="M179" s="199"/>
      <c r="N179" s="199"/>
      <c r="O179" s="199"/>
      <c r="P179" s="724"/>
      <c r="Q179" s="725"/>
      <c r="R179" s="724"/>
      <c r="S179" s="199"/>
      <c r="T179" s="199"/>
      <c r="U179" s="199"/>
      <c r="V179" s="199"/>
      <c r="W179" s="199"/>
      <c r="X179" s="199"/>
      <c r="Y179" s="199"/>
      <c r="Z179" s="726"/>
      <c r="AA179" s="199"/>
      <c r="AB179" s="199"/>
      <c r="AC179" s="199"/>
      <c r="AD179" s="199"/>
      <c r="AE179" s="199"/>
      <c r="AF179" s="199"/>
      <c r="AG179" s="199"/>
      <c r="AH179" s="199"/>
      <c r="AI179" s="199"/>
      <c r="AJ179" s="199"/>
      <c r="AK179" s="199"/>
    </row>
    <row r="180" ht="15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8"/>
      <c r="L180" s="199"/>
      <c r="M180" s="199"/>
      <c r="N180" s="199"/>
      <c r="O180" s="199"/>
      <c r="P180" s="724"/>
      <c r="Q180" s="725"/>
      <c r="R180" s="724"/>
      <c r="S180" s="199"/>
      <c r="T180" s="199"/>
      <c r="U180" s="199"/>
      <c r="V180" s="199"/>
      <c r="W180" s="199"/>
      <c r="X180" s="199"/>
      <c r="Y180" s="199"/>
      <c r="Z180" s="726"/>
      <c r="AA180" s="199"/>
      <c r="AB180" s="199"/>
      <c r="AC180" s="199"/>
      <c r="AD180" s="199"/>
      <c r="AE180" s="199"/>
      <c r="AF180" s="199"/>
      <c r="AG180" s="199"/>
      <c r="AH180" s="199"/>
      <c r="AI180" s="199"/>
      <c r="AJ180" s="199"/>
      <c r="AK180" s="199"/>
    </row>
    <row r="181" ht="15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8"/>
      <c r="L181" s="199"/>
      <c r="M181" s="199"/>
      <c r="N181" s="199"/>
      <c r="O181" s="199"/>
      <c r="P181" s="724"/>
      <c r="Q181" s="725"/>
      <c r="R181" s="724"/>
      <c r="S181" s="199"/>
      <c r="T181" s="199"/>
      <c r="U181" s="199"/>
      <c r="V181" s="199"/>
      <c r="W181" s="199"/>
      <c r="X181" s="199"/>
      <c r="Y181" s="199"/>
      <c r="Z181" s="726"/>
      <c r="AA181" s="199"/>
      <c r="AB181" s="199"/>
      <c r="AC181" s="199"/>
      <c r="AD181" s="199"/>
      <c r="AE181" s="199"/>
      <c r="AF181" s="199"/>
      <c r="AG181" s="199"/>
      <c r="AH181" s="199"/>
      <c r="AI181" s="199"/>
      <c r="AJ181" s="199"/>
      <c r="AK181" s="199"/>
    </row>
    <row r="182" ht="15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8"/>
      <c r="L182" s="199"/>
      <c r="M182" s="199"/>
      <c r="N182" s="199"/>
      <c r="O182" s="199"/>
      <c r="P182" s="724"/>
      <c r="Q182" s="725"/>
      <c r="R182" s="724"/>
      <c r="S182" s="199"/>
      <c r="T182" s="199"/>
      <c r="U182" s="199"/>
      <c r="V182" s="199"/>
      <c r="W182" s="199"/>
      <c r="X182" s="199"/>
      <c r="Y182" s="199"/>
      <c r="Z182" s="726"/>
      <c r="AA182" s="199"/>
      <c r="AB182" s="199"/>
      <c r="AC182" s="199"/>
      <c r="AD182" s="199"/>
      <c r="AE182" s="199"/>
      <c r="AF182" s="199"/>
      <c r="AG182" s="199"/>
      <c r="AH182" s="199"/>
      <c r="AI182" s="199"/>
      <c r="AJ182" s="199"/>
      <c r="AK182" s="199"/>
    </row>
    <row r="183" ht="15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8"/>
      <c r="L183" s="199"/>
      <c r="M183" s="199"/>
      <c r="N183" s="199"/>
      <c r="O183" s="199"/>
      <c r="P183" s="724"/>
      <c r="Q183" s="725"/>
      <c r="R183" s="724"/>
      <c r="S183" s="199"/>
      <c r="T183" s="199"/>
      <c r="U183" s="199"/>
      <c r="V183" s="199"/>
      <c r="W183" s="199"/>
      <c r="X183" s="199"/>
      <c r="Y183" s="199"/>
      <c r="Z183" s="726"/>
      <c r="AA183" s="199"/>
      <c r="AB183" s="199"/>
      <c r="AC183" s="199"/>
      <c r="AD183" s="199"/>
      <c r="AE183" s="199"/>
      <c r="AF183" s="199"/>
      <c r="AG183" s="199"/>
      <c r="AH183" s="199"/>
      <c r="AI183" s="199"/>
      <c r="AJ183" s="199"/>
      <c r="AK183" s="199"/>
    </row>
    <row r="184" ht="15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8"/>
      <c r="L184" s="199"/>
      <c r="M184" s="199"/>
      <c r="N184" s="199"/>
      <c r="O184" s="199"/>
      <c r="P184" s="724"/>
      <c r="Q184" s="725"/>
      <c r="R184" s="724"/>
      <c r="S184" s="199"/>
      <c r="T184" s="199"/>
      <c r="U184" s="199"/>
      <c r="V184" s="199"/>
      <c r="W184" s="199"/>
      <c r="X184" s="199"/>
      <c r="Y184" s="199"/>
      <c r="Z184" s="726"/>
      <c r="AA184" s="199"/>
      <c r="AB184" s="199"/>
      <c r="AC184" s="199"/>
      <c r="AD184" s="199"/>
      <c r="AE184" s="199"/>
      <c r="AF184" s="199"/>
      <c r="AG184" s="199"/>
      <c r="AH184" s="199"/>
      <c r="AI184" s="199"/>
      <c r="AJ184" s="199"/>
      <c r="AK184" s="199"/>
    </row>
    <row r="185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8"/>
      <c r="L185" s="199"/>
      <c r="M185" s="199"/>
      <c r="N185" s="199"/>
      <c r="O185" s="199"/>
      <c r="P185" s="724"/>
      <c r="Q185" s="725"/>
      <c r="R185" s="724"/>
      <c r="S185" s="199"/>
      <c r="T185" s="199"/>
      <c r="U185" s="199"/>
      <c r="V185" s="199"/>
      <c r="W185" s="199"/>
      <c r="X185" s="199"/>
      <c r="Y185" s="199"/>
      <c r="Z185" s="726"/>
      <c r="AA185" s="199"/>
      <c r="AB185" s="199"/>
      <c r="AC185" s="199"/>
      <c r="AD185" s="199"/>
      <c r="AE185" s="199"/>
      <c r="AF185" s="199"/>
      <c r="AG185" s="199"/>
      <c r="AH185" s="199"/>
      <c r="AI185" s="199"/>
      <c r="AJ185" s="199"/>
      <c r="AK185" s="199"/>
    </row>
    <row r="186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8"/>
      <c r="L186" s="199"/>
      <c r="M186" s="199"/>
      <c r="N186" s="199"/>
      <c r="O186" s="199"/>
      <c r="P186" s="724"/>
      <c r="Q186" s="725"/>
      <c r="R186" s="724"/>
      <c r="S186" s="199"/>
      <c r="T186" s="199"/>
      <c r="U186" s="199"/>
      <c r="V186" s="199"/>
      <c r="W186" s="199"/>
      <c r="X186" s="199"/>
      <c r="Y186" s="199"/>
      <c r="Z186" s="726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</row>
    <row r="187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8"/>
      <c r="L187" s="199"/>
      <c r="M187" s="199"/>
      <c r="N187" s="199"/>
      <c r="O187" s="199"/>
      <c r="P187" s="724"/>
      <c r="Q187" s="725"/>
      <c r="R187" s="724"/>
      <c r="S187" s="199"/>
      <c r="T187" s="199"/>
      <c r="U187" s="199"/>
      <c r="V187" s="199"/>
      <c r="W187" s="199"/>
      <c r="X187" s="199"/>
      <c r="Y187" s="199"/>
      <c r="Z187" s="726"/>
      <c r="AA187" s="199"/>
      <c r="AB187" s="199"/>
      <c r="AC187" s="199"/>
      <c r="AD187" s="199"/>
      <c r="AE187" s="199"/>
      <c r="AF187" s="199"/>
      <c r="AG187" s="199"/>
      <c r="AH187" s="199"/>
      <c r="AI187" s="199"/>
      <c r="AJ187" s="199"/>
      <c r="AK187" s="199"/>
    </row>
    <row r="188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8"/>
      <c r="L188" s="199"/>
      <c r="M188" s="199"/>
      <c r="N188" s="199"/>
      <c r="O188" s="199"/>
      <c r="P188" s="724"/>
      <c r="Q188" s="725"/>
      <c r="R188" s="724"/>
      <c r="S188" s="199"/>
      <c r="T188" s="199"/>
      <c r="U188" s="199"/>
      <c r="V188" s="199"/>
      <c r="W188" s="199"/>
      <c r="X188" s="199"/>
      <c r="Y188" s="199"/>
      <c r="Z188" s="726"/>
      <c r="AA188" s="199"/>
      <c r="AB188" s="199"/>
      <c r="AC188" s="199"/>
      <c r="AD188" s="199"/>
      <c r="AE188" s="199"/>
      <c r="AF188" s="199"/>
      <c r="AG188" s="199"/>
      <c r="AH188" s="199"/>
      <c r="AI188" s="199"/>
      <c r="AJ188" s="199"/>
      <c r="AK188" s="199"/>
    </row>
    <row r="189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8"/>
      <c r="L189" s="199"/>
      <c r="M189" s="199"/>
      <c r="N189" s="199"/>
      <c r="O189" s="199"/>
      <c r="P189" s="724"/>
      <c r="Q189" s="725"/>
      <c r="R189" s="724"/>
      <c r="S189" s="199"/>
      <c r="T189" s="199"/>
      <c r="U189" s="199"/>
      <c r="V189" s="199"/>
      <c r="W189" s="199"/>
      <c r="X189" s="199"/>
      <c r="Y189" s="199"/>
      <c r="Z189" s="726"/>
      <c r="AA189" s="199"/>
      <c r="AB189" s="199"/>
      <c r="AC189" s="199"/>
      <c r="AD189" s="199"/>
      <c r="AE189" s="199"/>
      <c r="AF189" s="199"/>
      <c r="AG189" s="199"/>
      <c r="AH189" s="199"/>
      <c r="AI189" s="199"/>
      <c r="AJ189" s="199"/>
      <c r="AK189" s="199"/>
    </row>
    <row r="190" ht="15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8"/>
      <c r="L190" s="199"/>
      <c r="M190" s="199"/>
      <c r="N190" s="199"/>
      <c r="O190" s="199"/>
      <c r="P190" s="724"/>
      <c r="Q190" s="725"/>
      <c r="R190" s="724"/>
      <c r="S190" s="199"/>
      <c r="T190" s="199"/>
      <c r="U190" s="199"/>
      <c r="V190" s="199"/>
      <c r="W190" s="199"/>
      <c r="X190" s="199"/>
      <c r="Y190" s="199"/>
      <c r="Z190" s="726"/>
      <c r="AA190" s="199"/>
      <c r="AB190" s="199"/>
      <c r="AC190" s="199"/>
      <c r="AD190" s="199"/>
      <c r="AE190" s="199"/>
      <c r="AF190" s="199"/>
      <c r="AG190" s="199"/>
      <c r="AH190" s="199"/>
      <c r="AI190" s="199"/>
      <c r="AJ190" s="199"/>
      <c r="AK190" s="199"/>
    </row>
    <row r="191" ht="15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8"/>
      <c r="L191" s="199"/>
      <c r="M191" s="199"/>
      <c r="N191" s="199"/>
      <c r="O191" s="199"/>
      <c r="P191" s="724"/>
      <c r="Q191" s="725"/>
      <c r="R191" s="724"/>
      <c r="S191" s="199"/>
      <c r="T191" s="199"/>
      <c r="U191" s="199"/>
      <c r="V191" s="199"/>
      <c r="W191" s="199"/>
      <c r="X191" s="199"/>
      <c r="Y191" s="199"/>
      <c r="Z191" s="726"/>
      <c r="AA191" s="199"/>
      <c r="AB191" s="199"/>
      <c r="AC191" s="199"/>
      <c r="AD191" s="199"/>
      <c r="AE191" s="199"/>
      <c r="AF191" s="199"/>
      <c r="AG191" s="199"/>
      <c r="AH191" s="199"/>
      <c r="AI191" s="199"/>
      <c r="AJ191" s="199"/>
      <c r="AK191" s="199"/>
    </row>
    <row r="192" ht="15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8"/>
      <c r="L192" s="199"/>
      <c r="M192" s="199"/>
      <c r="N192" s="199"/>
      <c r="O192" s="199"/>
      <c r="P192" s="724"/>
      <c r="Q192" s="725"/>
      <c r="R192" s="724"/>
      <c r="S192" s="199"/>
      <c r="T192" s="199"/>
      <c r="U192" s="199"/>
      <c r="V192" s="199"/>
      <c r="W192" s="199"/>
      <c r="X192" s="199"/>
      <c r="Y192" s="199"/>
      <c r="Z192" s="726"/>
      <c r="AA192" s="199"/>
      <c r="AB192" s="199"/>
      <c r="AC192" s="199"/>
      <c r="AD192" s="199"/>
      <c r="AE192" s="199"/>
      <c r="AF192" s="199"/>
      <c r="AG192" s="199"/>
      <c r="AH192" s="199"/>
      <c r="AI192" s="199"/>
      <c r="AJ192" s="199"/>
      <c r="AK192" s="199"/>
    </row>
    <row r="193" ht="15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8"/>
      <c r="L193" s="199"/>
      <c r="M193" s="199"/>
      <c r="N193" s="199"/>
      <c r="O193" s="199"/>
      <c r="P193" s="724"/>
      <c r="Q193" s="725"/>
      <c r="R193" s="724"/>
      <c r="S193" s="199"/>
      <c r="T193" s="199"/>
      <c r="U193" s="199"/>
      <c r="V193" s="199"/>
      <c r="W193" s="199"/>
      <c r="X193" s="199"/>
      <c r="Y193" s="199"/>
      <c r="Z193" s="726"/>
      <c r="AA193" s="199"/>
      <c r="AB193" s="199"/>
      <c r="AC193" s="199"/>
      <c r="AD193" s="199"/>
      <c r="AE193" s="199"/>
      <c r="AF193" s="199"/>
      <c r="AG193" s="199"/>
      <c r="AH193" s="199"/>
      <c r="AI193" s="199"/>
      <c r="AJ193" s="199"/>
      <c r="AK193" s="199"/>
    </row>
    <row r="194" ht="15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8"/>
      <c r="L194" s="199"/>
      <c r="M194" s="199"/>
      <c r="N194" s="199"/>
      <c r="O194" s="199"/>
      <c r="P194" s="724"/>
      <c r="Q194" s="725"/>
      <c r="R194" s="724"/>
      <c r="S194" s="199"/>
      <c r="T194" s="199"/>
      <c r="U194" s="199"/>
      <c r="V194" s="199"/>
      <c r="W194" s="199"/>
      <c r="X194" s="199"/>
      <c r="Y194" s="199"/>
      <c r="Z194" s="726"/>
      <c r="AA194" s="199"/>
      <c r="AB194" s="199"/>
      <c r="AC194" s="199"/>
      <c r="AD194" s="199"/>
      <c r="AE194" s="199"/>
      <c r="AF194" s="199"/>
      <c r="AG194" s="199"/>
      <c r="AH194" s="199"/>
      <c r="AI194" s="199"/>
      <c r="AJ194" s="199"/>
      <c r="AK194" s="199"/>
    </row>
    <row r="195" ht="15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8"/>
      <c r="L195" s="199"/>
      <c r="M195" s="199"/>
      <c r="N195" s="199"/>
      <c r="O195" s="199"/>
      <c r="P195" s="724"/>
      <c r="Q195" s="725"/>
      <c r="R195" s="724"/>
      <c r="S195" s="199"/>
      <c r="T195" s="199"/>
      <c r="U195" s="199"/>
      <c r="V195" s="199"/>
      <c r="W195" s="199"/>
      <c r="X195" s="199"/>
      <c r="Y195" s="199"/>
      <c r="Z195" s="726"/>
      <c r="AA195" s="199"/>
      <c r="AB195" s="199"/>
      <c r="AC195" s="199"/>
      <c r="AD195" s="199"/>
      <c r="AE195" s="199"/>
      <c r="AF195" s="199"/>
      <c r="AG195" s="199"/>
      <c r="AH195" s="199"/>
      <c r="AI195" s="199"/>
      <c r="AJ195" s="199"/>
      <c r="AK195" s="199"/>
    </row>
    <row r="196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8"/>
      <c r="L196" s="199"/>
      <c r="M196" s="199"/>
      <c r="N196" s="199"/>
      <c r="O196" s="199"/>
      <c r="P196" s="724"/>
      <c r="Q196" s="725"/>
      <c r="R196" s="724"/>
      <c r="S196" s="199"/>
      <c r="T196" s="199"/>
      <c r="U196" s="199"/>
      <c r="V196" s="199"/>
      <c r="W196" s="199"/>
      <c r="X196" s="199"/>
      <c r="Y196" s="199"/>
      <c r="Z196" s="726"/>
      <c r="AA196" s="199"/>
      <c r="AB196" s="199"/>
      <c r="AC196" s="199"/>
      <c r="AD196" s="199"/>
      <c r="AE196" s="199"/>
      <c r="AF196" s="199"/>
      <c r="AG196" s="199"/>
      <c r="AH196" s="199"/>
      <c r="AI196" s="199"/>
      <c r="AJ196" s="199"/>
      <c r="AK196" s="199"/>
    </row>
    <row r="197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8"/>
      <c r="L197" s="199"/>
      <c r="M197" s="199"/>
      <c r="N197" s="199"/>
      <c r="O197" s="199"/>
      <c r="P197" s="724"/>
      <c r="Q197" s="725"/>
      <c r="R197" s="724"/>
      <c r="S197" s="199"/>
      <c r="T197" s="199"/>
      <c r="U197" s="199"/>
      <c r="V197" s="199"/>
      <c r="W197" s="199"/>
      <c r="X197" s="199"/>
      <c r="Y197" s="199"/>
      <c r="Z197" s="726"/>
      <c r="AA197" s="199"/>
      <c r="AB197" s="199"/>
      <c r="AC197" s="199"/>
      <c r="AD197" s="199"/>
      <c r="AE197" s="199"/>
      <c r="AF197" s="199"/>
      <c r="AG197" s="199"/>
      <c r="AH197" s="199"/>
      <c r="AI197" s="199"/>
      <c r="AJ197" s="199"/>
      <c r="AK197" s="199"/>
    </row>
    <row r="198" ht="15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8"/>
      <c r="L198" s="199"/>
      <c r="M198" s="199"/>
      <c r="N198" s="199"/>
      <c r="O198" s="199"/>
      <c r="P198" s="724"/>
      <c r="Q198" s="725"/>
      <c r="R198" s="724"/>
      <c r="S198" s="199"/>
      <c r="T198" s="199"/>
      <c r="U198" s="199"/>
      <c r="V198" s="199"/>
      <c r="W198" s="199"/>
      <c r="X198" s="199"/>
      <c r="Y198" s="199"/>
      <c r="Z198" s="726"/>
      <c r="AA198" s="199"/>
      <c r="AB198" s="199"/>
      <c r="AC198" s="199"/>
      <c r="AD198" s="199"/>
      <c r="AE198" s="199"/>
      <c r="AF198" s="199"/>
      <c r="AG198" s="199"/>
      <c r="AH198" s="199"/>
      <c r="AI198" s="199"/>
      <c r="AJ198" s="199"/>
      <c r="AK198" s="199"/>
    </row>
    <row r="199" ht="15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8"/>
      <c r="L199" s="199"/>
      <c r="M199" s="199"/>
      <c r="N199" s="199"/>
      <c r="O199" s="199"/>
      <c r="P199" s="724"/>
      <c r="Q199" s="725"/>
      <c r="R199" s="724"/>
      <c r="S199" s="199"/>
      <c r="T199" s="199"/>
      <c r="U199" s="199"/>
      <c r="V199" s="199"/>
      <c r="W199" s="199"/>
      <c r="X199" s="199"/>
      <c r="Y199" s="199"/>
      <c r="Z199" s="726"/>
      <c r="AA199" s="199"/>
      <c r="AB199" s="199"/>
      <c r="AC199" s="199"/>
      <c r="AD199" s="199"/>
      <c r="AE199" s="199"/>
      <c r="AF199" s="199"/>
      <c r="AG199" s="199"/>
      <c r="AH199" s="199"/>
      <c r="AI199" s="199"/>
      <c r="AJ199" s="199"/>
      <c r="AK199" s="199"/>
    </row>
    <row r="200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8"/>
      <c r="L200" s="199"/>
      <c r="M200" s="199"/>
      <c r="N200" s="199"/>
      <c r="O200" s="199"/>
      <c r="P200" s="724"/>
      <c r="Q200" s="725"/>
      <c r="R200" s="724"/>
      <c r="S200" s="199"/>
      <c r="T200" s="199"/>
      <c r="U200" s="199"/>
      <c r="V200" s="199"/>
      <c r="W200" s="199"/>
      <c r="X200" s="199"/>
      <c r="Y200" s="199"/>
      <c r="Z200" s="726"/>
      <c r="AA200" s="199"/>
      <c r="AB200" s="199"/>
      <c r="AC200" s="199"/>
      <c r="AD200" s="199"/>
      <c r="AE200" s="199"/>
      <c r="AF200" s="199"/>
      <c r="AG200" s="199"/>
      <c r="AH200" s="199"/>
      <c r="AI200" s="199"/>
      <c r="AJ200" s="199"/>
      <c r="AK200" s="199"/>
    </row>
    <row r="201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8"/>
      <c r="L201" s="199"/>
      <c r="M201" s="199"/>
      <c r="N201" s="199"/>
      <c r="O201" s="199"/>
      <c r="P201" s="724"/>
      <c r="Q201" s="725"/>
      <c r="R201" s="724"/>
      <c r="S201" s="199"/>
      <c r="T201" s="199"/>
      <c r="U201" s="199"/>
      <c r="V201" s="199"/>
      <c r="W201" s="199"/>
      <c r="X201" s="199"/>
      <c r="Y201" s="199"/>
      <c r="Z201" s="726"/>
      <c r="AA201" s="199"/>
      <c r="AB201" s="199"/>
      <c r="AC201" s="199"/>
      <c r="AD201" s="199"/>
      <c r="AE201" s="199"/>
      <c r="AF201" s="199"/>
      <c r="AG201" s="199"/>
      <c r="AH201" s="199"/>
      <c r="AI201" s="199"/>
      <c r="AJ201" s="199"/>
      <c r="AK201" s="199"/>
    </row>
    <row r="202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8"/>
      <c r="L202" s="199"/>
      <c r="M202" s="199"/>
      <c r="N202" s="199"/>
      <c r="O202" s="199"/>
      <c r="P202" s="724"/>
      <c r="Q202" s="725"/>
      <c r="R202" s="724"/>
      <c r="S202" s="199"/>
      <c r="T202" s="199"/>
      <c r="U202" s="199"/>
      <c r="V202" s="199"/>
      <c r="W202" s="199"/>
      <c r="X202" s="199"/>
      <c r="Y202" s="199"/>
      <c r="Z202" s="726"/>
      <c r="AA202" s="199"/>
      <c r="AB202" s="199"/>
      <c r="AC202" s="199"/>
      <c r="AD202" s="199"/>
      <c r="AE202" s="199"/>
      <c r="AF202" s="199"/>
      <c r="AG202" s="199"/>
      <c r="AH202" s="199"/>
      <c r="AI202" s="199"/>
      <c r="AJ202" s="199"/>
      <c r="AK202" s="199"/>
    </row>
    <row r="203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8"/>
      <c r="L203" s="199"/>
      <c r="M203" s="199"/>
      <c r="N203" s="199"/>
      <c r="O203" s="199"/>
      <c r="P203" s="724"/>
      <c r="Q203" s="725"/>
      <c r="R203" s="724"/>
      <c r="S203" s="199"/>
      <c r="T203" s="199"/>
      <c r="U203" s="199"/>
      <c r="V203" s="199"/>
      <c r="W203" s="199"/>
      <c r="X203" s="199"/>
      <c r="Y203" s="199"/>
      <c r="Z203" s="726"/>
      <c r="AA203" s="199"/>
      <c r="AB203" s="199"/>
      <c r="AC203" s="199"/>
      <c r="AD203" s="199"/>
      <c r="AE203" s="199"/>
      <c r="AF203" s="199"/>
      <c r="AG203" s="199"/>
      <c r="AH203" s="199"/>
      <c r="AI203" s="199"/>
      <c r="AJ203" s="199"/>
      <c r="AK203" s="199"/>
    </row>
    <row r="204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8"/>
      <c r="L204" s="199"/>
      <c r="M204" s="199"/>
      <c r="N204" s="199"/>
      <c r="O204" s="199"/>
      <c r="P204" s="724"/>
      <c r="Q204" s="725"/>
      <c r="R204" s="724"/>
      <c r="S204" s="199"/>
      <c r="T204" s="199"/>
      <c r="U204" s="199"/>
      <c r="V204" s="199"/>
      <c r="W204" s="199"/>
      <c r="X204" s="199"/>
      <c r="Y204" s="199"/>
      <c r="Z204" s="726"/>
      <c r="AA204" s="199"/>
      <c r="AB204" s="199"/>
      <c r="AC204" s="199"/>
      <c r="AD204" s="199"/>
      <c r="AE204" s="199"/>
      <c r="AF204" s="199"/>
      <c r="AG204" s="199"/>
      <c r="AH204" s="199"/>
      <c r="AI204" s="199"/>
      <c r="AJ204" s="199"/>
      <c r="AK204" s="199"/>
    </row>
    <row r="205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8"/>
      <c r="L205" s="199"/>
      <c r="M205" s="199"/>
      <c r="N205" s="199"/>
      <c r="O205" s="199"/>
      <c r="P205" s="724"/>
      <c r="Q205" s="725"/>
      <c r="R205" s="724"/>
      <c r="S205" s="199"/>
      <c r="T205" s="199"/>
      <c r="U205" s="199"/>
      <c r="V205" s="199"/>
      <c r="W205" s="199"/>
      <c r="X205" s="199"/>
      <c r="Y205" s="199"/>
      <c r="Z205" s="726"/>
      <c r="AA205" s="199"/>
      <c r="AB205" s="199"/>
      <c r="AC205" s="199"/>
      <c r="AD205" s="199"/>
      <c r="AE205" s="199"/>
      <c r="AF205" s="199"/>
      <c r="AG205" s="199"/>
      <c r="AH205" s="199"/>
      <c r="AI205" s="199"/>
      <c r="AJ205" s="199"/>
      <c r="AK205" s="199"/>
    </row>
    <row r="206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8"/>
      <c r="L206" s="199"/>
      <c r="M206" s="199"/>
      <c r="N206" s="199"/>
      <c r="O206" s="199"/>
      <c r="P206" s="724"/>
      <c r="Q206" s="725"/>
      <c r="R206" s="724"/>
      <c r="S206" s="199"/>
      <c r="T206" s="199"/>
      <c r="U206" s="199"/>
      <c r="V206" s="199"/>
      <c r="W206" s="199"/>
      <c r="X206" s="199"/>
      <c r="Y206" s="199"/>
      <c r="Z206" s="726"/>
      <c r="AA206" s="199"/>
      <c r="AB206" s="199"/>
      <c r="AC206" s="199"/>
      <c r="AD206" s="199"/>
      <c r="AE206" s="199"/>
      <c r="AF206" s="199"/>
      <c r="AG206" s="199"/>
      <c r="AH206" s="199"/>
      <c r="AI206" s="199"/>
      <c r="AJ206" s="199"/>
      <c r="AK206" s="199"/>
    </row>
    <row r="207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8"/>
      <c r="L207" s="199"/>
      <c r="M207" s="199"/>
      <c r="N207" s="199"/>
      <c r="O207" s="199"/>
      <c r="P207" s="724"/>
      <c r="Q207" s="725"/>
      <c r="R207" s="724"/>
      <c r="S207" s="199"/>
      <c r="T207" s="199"/>
      <c r="U207" s="199"/>
      <c r="V207" s="199"/>
      <c r="W207" s="199"/>
      <c r="X207" s="199"/>
      <c r="Y207" s="199"/>
      <c r="Z207" s="726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9"/>
      <c r="AK207" s="199"/>
    </row>
    <row r="208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8"/>
      <c r="L208" s="199"/>
      <c r="M208" s="199"/>
      <c r="N208" s="199"/>
      <c r="O208" s="199"/>
      <c r="P208" s="724"/>
      <c r="Q208" s="725"/>
      <c r="R208" s="724"/>
      <c r="S208" s="199"/>
      <c r="T208" s="199"/>
      <c r="U208" s="199"/>
      <c r="V208" s="199"/>
      <c r="W208" s="199"/>
      <c r="X208" s="199"/>
      <c r="Y208" s="199"/>
      <c r="Z208" s="726"/>
      <c r="AA208" s="199"/>
      <c r="AB208" s="199"/>
      <c r="AC208" s="199"/>
      <c r="AD208" s="199"/>
      <c r="AE208" s="199"/>
      <c r="AF208" s="199"/>
      <c r="AG208" s="199"/>
      <c r="AH208" s="199"/>
      <c r="AI208" s="199"/>
      <c r="AJ208" s="199"/>
      <c r="AK208" s="199"/>
    </row>
    <row r="209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8"/>
      <c r="L209" s="199"/>
      <c r="M209" s="199"/>
      <c r="N209" s="199"/>
      <c r="O209" s="199"/>
      <c r="P209" s="724"/>
      <c r="Q209" s="725"/>
      <c r="R209" s="724"/>
      <c r="S209" s="199"/>
      <c r="T209" s="199"/>
      <c r="U209" s="199"/>
      <c r="V209" s="199"/>
      <c r="W209" s="199"/>
      <c r="X209" s="199"/>
      <c r="Y209" s="199"/>
      <c r="Z209" s="726"/>
      <c r="AA209" s="199"/>
      <c r="AB209" s="199"/>
      <c r="AC209" s="199"/>
      <c r="AD209" s="199"/>
      <c r="AE209" s="199"/>
      <c r="AF209" s="199"/>
      <c r="AG209" s="199"/>
      <c r="AH209" s="199"/>
      <c r="AI209" s="199"/>
      <c r="AJ209" s="199"/>
      <c r="AK209" s="199"/>
    </row>
    <row r="210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8"/>
      <c r="L210" s="199"/>
      <c r="M210" s="199"/>
      <c r="N210" s="199"/>
      <c r="O210" s="199"/>
      <c r="P210" s="724"/>
      <c r="Q210" s="725"/>
      <c r="R210" s="724"/>
      <c r="S210" s="199"/>
      <c r="T210" s="199"/>
      <c r="U210" s="199"/>
      <c r="V210" s="199"/>
      <c r="W210" s="199"/>
      <c r="X210" s="199"/>
      <c r="Y210" s="199"/>
      <c r="Z210" s="726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9"/>
      <c r="AK210" s="199"/>
    </row>
    <row r="211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8"/>
      <c r="L211" s="199"/>
      <c r="M211" s="199"/>
      <c r="N211" s="199"/>
      <c r="O211" s="199"/>
      <c r="P211" s="724"/>
      <c r="Q211" s="725"/>
      <c r="R211" s="724"/>
      <c r="S211" s="199"/>
      <c r="T211" s="199"/>
      <c r="U211" s="199"/>
      <c r="V211" s="199"/>
      <c r="W211" s="199"/>
      <c r="X211" s="199"/>
      <c r="Y211" s="199"/>
      <c r="Z211" s="726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9"/>
      <c r="AK211" s="199"/>
    </row>
    <row r="212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8"/>
      <c r="L212" s="199"/>
      <c r="M212" s="199"/>
      <c r="N212" s="199"/>
      <c r="O212" s="199"/>
      <c r="P212" s="724"/>
      <c r="Q212" s="725"/>
      <c r="R212" s="724"/>
      <c r="S212" s="199"/>
      <c r="T212" s="199"/>
      <c r="U212" s="199"/>
      <c r="V212" s="199"/>
      <c r="W212" s="199"/>
      <c r="X212" s="199"/>
      <c r="Y212" s="199"/>
      <c r="Z212" s="726"/>
      <c r="AA212" s="199"/>
      <c r="AB212" s="199"/>
      <c r="AC212" s="199"/>
      <c r="AD212" s="199"/>
      <c r="AE212" s="199"/>
      <c r="AF212" s="199"/>
      <c r="AG212" s="199"/>
      <c r="AH212" s="199"/>
      <c r="AI212" s="199"/>
      <c r="AJ212" s="199"/>
      <c r="AK212" s="199"/>
    </row>
    <row r="213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8"/>
      <c r="L213" s="199"/>
      <c r="M213" s="199"/>
      <c r="N213" s="199"/>
      <c r="O213" s="199"/>
      <c r="P213" s="724"/>
      <c r="Q213" s="725"/>
      <c r="R213" s="724"/>
      <c r="S213" s="199"/>
      <c r="T213" s="199"/>
      <c r="U213" s="199"/>
      <c r="V213" s="199"/>
      <c r="W213" s="199"/>
      <c r="X213" s="199"/>
      <c r="Y213" s="199"/>
      <c r="Z213" s="726"/>
      <c r="AA213" s="199"/>
      <c r="AB213" s="199"/>
      <c r="AC213" s="199"/>
      <c r="AD213" s="199"/>
      <c r="AE213" s="199"/>
      <c r="AF213" s="199"/>
      <c r="AG213" s="199"/>
      <c r="AH213" s="199"/>
      <c r="AI213" s="199"/>
      <c r="AJ213" s="199"/>
      <c r="AK213" s="199"/>
    </row>
    <row r="214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8"/>
      <c r="L214" s="199"/>
      <c r="M214" s="199"/>
      <c r="N214" s="199"/>
      <c r="O214" s="199"/>
      <c r="P214" s="724"/>
      <c r="Q214" s="725"/>
      <c r="R214" s="724"/>
      <c r="S214" s="199"/>
      <c r="T214" s="199"/>
      <c r="U214" s="199"/>
      <c r="V214" s="199"/>
      <c r="W214" s="199"/>
      <c r="X214" s="199"/>
      <c r="Y214" s="199"/>
      <c r="Z214" s="726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9"/>
      <c r="AK214" s="199"/>
    </row>
    <row r="215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8"/>
      <c r="L215" s="199"/>
      <c r="M215" s="199"/>
      <c r="N215" s="199"/>
      <c r="O215" s="199"/>
      <c r="P215" s="724"/>
      <c r="Q215" s="725"/>
      <c r="R215" s="724"/>
      <c r="S215" s="199"/>
      <c r="T215" s="199"/>
      <c r="U215" s="199"/>
      <c r="V215" s="199"/>
      <c r="W215" s="199"/>
      <c r="X215" s="199"/>
      <c r="Y215" s="199"/>
      <c r="Z215" s="726"/>
      <c r="AA215" s="199"/>
      <c r="AB215" s="199"/>
      <c r="AC215" s="199"/>
      <c r="AD215" s="199"/>
      <c r="AE215" s="199"/>
      <c r="AF215" s="199"/>
      <c r="AG215" s="199"/>
      <c r="AH215" s="199"/>
      <c r="AI215" s="199"/>
      <c r="AJ215" s="199"/>
      <c r="AK215" s="199"/>
    </row>
    <row r="216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8"/>
      <c r="L216" s="199"/>
      <c r="M216" s="199"/>
      <c r="N216" s="199"/>
      <c r="O216" s="199"/>
      <c r="P216" s="724"/>
      <c r="Q216" s="725"/>
      <c r="R216" s="724"/>
      <c r="S216" s="199"/>
      <c r="T216" s="199"/>
      <c r="U216" s="199"/>
      <c r="V216" s="199"/>
      <c r="W216" s="199"/>
      <c r="X216" s="199"/>
      <c r="Y216" s="199"/>
      <c r="Z216" s="726"/>
      <c r="AA216" s="199"/>
      <c r="AB216" s="199"/>
      <c r="AC216" s="199"/>
      <c r="AD216" s="199"/>
      <c r="AE216" s="199"/>
      <c r="AF216" s="199"/>
      <c r="AG216" s="199"/>
      <c r="AH216" s="199"/>
      <c r="AI216" s="199"/>
      <c r="AJ216" s="199"/>
      <c r="AK216" s="199"/>
    </row>
    <row r="217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8"/>
      <c r="L217" s="199"/>
      <c r="M217" s="199"/>
      <c r="N217" s="199"/>
      <c r="O217" s="199"/>
      <c r="P217" s="724"/>
      <c r="Q217" s="725"/>
      <c r="R217" s="724"/>
      <c r="S217" s="199"/>
      <c r="T217" s="199"/>
      <c r="U217" s="199"/>
      <c r="V217" s="199"/>
      <c r="W217" s="199"/>
      <c r="X217" s="199"/>
      <c r="Y217" s="199"/>
      <c r="Z217" s="726"/>
      <c r="AA217" s="199"/>
      <c r="AB217" s="199"/>
      <c r="AC217" s="199"/>
      <c r="AD217" s="199"/>
      <c r="AE217" s="199"/>
      <c r="AF217" s="199"/>
      <c r="AG217" s="199"/>
      <c r="AH217" s="199"/>
      <c r="AI217" s="199"/>
      <c r="AJ217" s="199"/>
      <c r="AK217" s="199"/>
    </row>
    <row r="218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8"/>
      <c r="L218" s="199"/>
      <c r="M218" s="199"/>
      <c r="N218" s="199"/>
      <c r="O218" s="199"/>
      <c r="P218" s="724"/>
      <c r="Q218" s="725"/>
      <c r="R218" s="724"/>
      <c r="S218" s="199"/>
      <c r="T218" s="199"/>
      <c r="U218" s="199"/>
      <c r="V218" s="199"/>
      <c r="W218" s="199"/>
      <c r="X218" s="199"/>
      <c r="Y218" s="199"/>
      <c r="Z218" s="726"/>
      <c r="AA218" s="199"/>
      <c r="AB218" s="199"/>
      <c r="AC218" s="199"/>
      <c r="AD218" s="199"/>
      <c r="AE218" s="199"/>
      <c r="AF218" s="199"/>
      <c r="AG218" s="199"/>
      <c r="AH218" s="199"/>
      <c r="AI218" s="199"/>
      <c r="AJ218" s="199"/>
      <c r="AK218" s="199"/>
    </row>
    <row r="219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8"/>
      <c r="L219" s="199"/>
      <c r="M219" s="199"/>
      <c r="N219" s="199"/>
      <c r="O219" s="199"/>
      <c r="P219" s="724"/>
      <c r="Q219" s="725"/>
      <c r="R219" s="724"/>
      <c r="S219" s="199"/>
      <c r="T219" s="199"/>
      <c r="U219" s="199"/>
      <c r="V219" s="199"/>
      <c r="W219" s="199"/>
      <c r="X219" s="199"/>
      <c r="Y219" s="199"/>
      <c r="Z219" s="726"/>
      <c r="AA219" s="199"/>
      <c r="AB219" s="199"/>
      <c r="AC219" s="199"/>
      <c r="AD219" s="199"/>
      <c r="AE219" s="199"/>
      <c r="AF219" s="199"/>
      <c r="AG219" s="199"/>
      <c r="AH219" s="199"/>
      <c r="AI219" s="199"/>
      <c r="AJ219" s="199"/>
      <c r="AK219" s="199"/>
    </row>
    <row r="220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8"/>
      <c r="L220" s="199"/>
      <c r="M220" s="199"/>
      <c r="N220" s="199"/>
      <c r="O220" s="199"/>
      <c r="P220" s="724"/>
      <c r="Q220" s="725"/>
      <c r="R220" s="724"/>
      <c r="S220" s="199"/>
      <c r="T220" s="199"/>
      <c r="U220" s="199"/>
      <c r="V220" s="199"/>
      <c r="W220" s="199"/>
      <c r="X220" s="199"/>
      <c r="Y220" s="199"/>
      <c r="Z220" s="726"/>
      <c r="AA220" s="199"/>
      <c r="AB220" s="199"/>
      <c r="AC220" s="199"/>
      <c r="AD220" s="199"/>
      <c r="AE220" s="199"/>
      <c r="AF220" s="199"/>
      <c r="AG220" s="199"/>
      <c r="AH220" s="199"/>
      <c r="AI220" s="199"/>
      <c r="AJ220" s="199"/>
      <c r="AK220" s="199"/>
    </row>
    <row r="221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8"/>
      <c r="L221" s="199"/>
      <c r="M221" s="199"/>
      <c r="N221" s="199"/>
      <c r="O221" s="199"/>
      <c r="P221" s="724"/>
      <c r="Q221" s="725"/>
      <c r="R221" s="724"/>
      <c r="S221" s="199"/>
      <c r="T221" s="199"/>
      <c r="U221" s="199"/>
      <c r="V221" s="199"/>
      <c r="W221" s="199"/>
      <c r="X221" s="199"/>
      <c r="Y221" s="199"/>
      <c r="Z221" s="726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</row>
    <row r="222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8"/>
      <c r="L222" s="199"/>
      <c r="M222" s="199"/>
      <c r="N222" s="199"/>
      <c r="O222" s="199"/>
      <c r="P222" s="724"/>
      <c r="Q222" s="725"/>
      <c r="R222" s="724"/>
      <c r="S222" s="199"/>
      <c r="T222" s="199"/>
      <c r="U222" s="199"/>
      <c r="V222" s="199"/>
      <c r="W222" s="199"/>
      <c r="X222" s="199"/>
      <c r="Y222" s="199"/>
      <c r="Z222" s="726"/>
      <c r="AA222" s="199"/>
      <c r="AB222" s="199"/>
      <c r="AC222" s="199"/>
      <c r="AD222" s="199"/>
      <c r="AE222" s="199"/>
      <c r="AF222" s="199"/>
      <c r="AG222" s="199"/>
      <c r="AH222" s="199"/>
      <c r="AI222" s="199"/>
      <c r="AJ222" s="199"/>
      <c r="AK222" s="199"/>
    </row>
    <row r="223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8"/>
      <c r="L223" s="199"/>
      <c r="M223" s="199"/>
      <c r="N223" s="199"/>
      <c r="O223" s="199"/>
      <c r="P223" s="724"/>
      <c r="Q223" s="725"/>
      <c r="R223" s="724"/>
      <c r="S223" s="199"/>
      <c r="T223" s="199"/>
      <c r="U223" s="199"/>
      <c r="V223" s="199"/>
      <c r="W223" s="199"/>
      <c r="X223" s="199"/>
      <c r="Y223" s="199"/>
      <c r="Z223" s="726"/>
      <c r="AA223" s="199"/>
      <c r="AB223" s="199"/>
      <c r="AC223" s="199"/>
      <c r="AD223" s="199"/>
      <c r="AE223" s="199"/>
      <c r="AF223" s="199"/>
      <c r="AG223" s="199"/>
      <c r="AH223" s="199"/>
      <c r="AI223" s="199"/>
      <c r="AJ223" s="199"/>
      <c r="AK223" s="199"/>
    </row>
    <row r="224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8"/>
      <c r="L224" s="199"/>
      <c r="M224" s="199"/>
      <c r="N224" s="199"/>
      <c r="O224" s="199"/>
      <c r="P224" s="724"/>
      <c r="Q224" s="725"/>
      <c r="R224" s="724"/>
      <c r="S224" s="199"/>
      <c r="T224" s="199"/>
      <c r="U224" s="199"/>
      <c r="V224" s="199"/>
      <c r="W224" s="199"/>
      <c r="X224" s="199"/>
      <c r="Y224" s="199"/>
      <c r="Z224" s="726"/>
      <c r="AA224" s="199"/>
      <c r="AB224" s="199"/>
      <c r="AC224" s="199"/>
      <c r="AD224" s="199"/>
      <c r="AE224" s="199"/>
      <c r="AF224" s="199"/>
      <c r="AG224" s="199"/>
      <c r="AH224" s="199"/>
      <c r="AI224" s="199"/>
      <c r="AJ224" s="199"/>
      <c r="AK224" s="199"/>
    </row>
    <row r="225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8"/>
      <c r="L225" s="199"/>
      <c r="M225" s="199"/>
      <c r="N225" s="199"/>
      <c r="O225" s="199"/>
      <c r="P225" s="724"/>
      <c r="Q225" s="725"/>
      <c r="R225" s="724"/>
      <c r="S225" s="199"/>
      <c r="T225" s="199"/>
      <c r="U225" s="199"/>
      <c r="V225" s="199"/>
      <c r="W225" s="199"/>
      <c r="X225" s="199"/>
      <c r="Y225" s="199"/>
      <c r="Z225" s="726"/>
      <c r="AA225" s="199"/>
      <c r="AB225" s="199"/>
      <c r="AC225" s="199"/>
      <c r="AD225" s="199"/>
      <c r="AE225" s="199"/>
      <c r="AF225" s="199"/>
      <c r="AG225" s="199"/>
      <c r="AH225" s="199"/>
      <c r="AI225" s="199"/>
      <c r="AJ225" s="199"/>
      <c r="AK225" s="199"/>
    </row>
    <row r="226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8"/>
      <c r="L226" s="199"/>
      <c r="M226" s="199"/>
      <c r="N226" s="199"/>
      <c r="O226" s="199"/>
      <c r="P226" s="724"/>
      <c r="Q226" s="725"/>
      <c r="R226" s="724"/>
      <c r="S226" s="199"/>
      <c r="T226" s="199"/>
      <c r="U226" s="199"/>
      <c r="V226" s="199"/>
      <c r="W226" s="199"/>
      <c r="X226" s="199"/>
      <c r="Y226" s="199"/>
      <c r="Z226" s="726"/>
      <c r="AA226" s="199"/>
      <c r="AB226" s="199"/>
      <c r="AC226" s="199"/>
      <c r="AD226" s="199"/>
      <c r="AE226" s="199"/>
      <c r="AF226" s="199"/>
      <c r="AG226" s="199"/>
      <c r="AH226" s="199"/>
      <c r="AI226" s="199"/>
      <c r="AJ226" s="199"/>
      <c r="AK226" s="199"/>
    </row>
    <row r="227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8"/>
      <c r="L227" s="199"/>
      <c r="M227" s="199"/>
      <c r="N227" s="199"/>
      <c r="O227" s="199"/>
      <c r="P227" s="724"/>
      <c r="Q227" s="725"/>
      <c r="R227" s="724"/>
      <c r="S227" s="199"/>
      <c r="T227" s="199"/>
      <c r="U227" s="199"/>
      <c r="V227" s="199"/>
      <c r="W227" s="199"/>
      <c r="X227" s="199"/>
      <c r="Y227" s="199"/>
      <c r="Z227" s="726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</row>
    <row r="228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8"/>
      <c r="L228" s="199"/>
      <c r="M228" s="199"/>
      <c r="N228" s="199"/>
      <c r="O228" s="199"/>
      <c r="P228" s="724"/>
      <c r="Q228" s="725"/>
      <c r="R228" s="724"/>
      <c r="S228" s="199"/>
      <c r="T228" s="199"/>
      <c r="U228" s="199"/>
      <c r="V228" s="199"/>
      <c r="W228" s="199"/>
      <c r="X228" s="199"/>
      <c r="Y228" s="199"/>
      <c r="Z228" s="726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199"/>
      <c r="AK228" s="199"/>
    </row>
    <row r="229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8"/>
      <c r="L229" s="199"/>
      <c r="M229" s="199"/>
      <c r="N229" s="199"/>
      <c r="O229" s="199"/>
      <c r="P229" s="724"/>
      <c r="Q229" s="725"/>
      <c r="R229" s="724"/>
      <c r="S229" s="199"/>
      <c r="T229" s="199"/>
      <c r="U229" s="199"/>
      <c r="V229" s="199"/>
      <c r="W229" s="199"/>
      <c r="X229" s="199"/>
      <c r="Y229" s="199"/>
      <c r="Z229" s="726"/>
      <c r="AA229" s="199"/>
      <c r="AB229" s="199"/>
      <c r="AC229" s="199"/>
      <c r="AD229" s="199"/>
      <c r="AE229" s="199"/>
      <c r="AF229" s="199"/>
      <c r="AG229" s="199"/>
      <c r="AH229" s="199"/>
      <c r="AI229" s="199"/>
      <c r="AJ229" s="199"/>
      <c r="AK229" s="199"/>
    </row>
    <row r="230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8"/>
      <c r="L230" s="199"/>
      <c r="M230" s="199"/>
      <c r="N230" s="199"/>
      <c r="O230" s="199"/>
      <c r="P230" s="724"/>
      <c r="Q230" s="725"/>
      <c r="R230" s="724"/>
      <c r="S230" s="199"/>
      <c r="T230" s="199"/>
      <c r="U230" s="199"/>
      <c r="V230" s="199"/>
      <c r="W230" s="199"/>
      <c r="X230" s="199"/>
      <c r="Y230" s="199"/>
      <c r="Z230" s="726"/>
      <c r="AA230" s="199"/>
      <c r="AB230" s="199"/>
      <c r="AC230" s="199"/>
      <c r="AD230" s="199"/>
      <c r="AE230" s="199"/>
      <c r="AF230" s="199"/>
      <c r="AG230" s="199"/>
      <c r="AH230" s="199"/>
      <c r="AI230" s="199"/>
      <c r="AJ230" s="199"/>
      <c r="AK230" s="199"/>
    </row>
    <row r="231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8"/>
      <c r="L231" s="199"/>
      <c r="M231" s="199"/>
      <c r="N231" s="199"/>
      <c r="O231" s="199"/>
      <c r="P231" s="724"/>
      <c r="Q231" s="725"/>
      <c r="R231" s="724"/>
      <c r="S231" s="199"/>
      <c r="T231" s="199"/>
      <c r="U231" s="199"/>
      <c r="V231" s="199"/>
      <c r="W231" s="199"/>
      <c r="X231" s="199"/>
      <c r="Y231" s="199"/>
      <c r="Z231" s="726"/>
      <c r="AA231" s="199"/>
      <c r="AB231" s="199"/>
      <c r="AC231" s="199"/>
      <c r="AD231" s="199"/>
      <c r="AE231" s="199"/>
      <c r="AF231" s="199"/>
      <c r="AG231" s="199"/>
      <c r="AH231" s="199"/>
      <c r="AI231" s="199"/>
      <c r="AJ231" s="199"/>
      <c r="AK231" s="199"/>
    </row>
    <row r="232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8"/>
      <c r="L232" s="199"/>
      <c r="M232" s="199"/>
      <c r="N232" s="199"/>
      <c r="O232" s="199"/>
      <c r="P232" s="724"/>
      <c r="Q232" s="725"/>
      <c r="R232" s="724"/>
      <c r="S232" s="199"/>
      <c r="T232" s="199"/>
      <c r="U232" s="199"/>
      <c r="V232" s="199"/>
      <c r="W232" s="199"/>
      <c r="X232" s="199"/>
      <c r="Y232" s="199"/>
      <c r="Z232" s="726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</row>
    <row r="233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8"/>
      <c r="L233" s="199"/>
      <c r="M233" s="199"/>
      <c r="N233" s="199"/>
      <c r="O233" s="199"/>
      <c r="P233" s="724"/>
      <c r="Q233" s="725"/>
      <c r="R233" s="724"/>
      <c r="S233" s="199"/>
      <c r="T233" s="199"/>
      <c r="U233" s="199"/>
      <c r="V233" s="199"/>
      <c r="W233" s="199"/>
      <c r="X233" s="199"/>
      <c r="Y233" s="199"/>
      <c r="Z233" s="726"/>
      <c r="AA233" s="199"/>
      <c r="AB233" s="199"/>
      <c r="AC233" s="199"/>
      <c r="AD233" s="199"/>
      <c r="AE233" s="199"/>
      <c r="AF233" s="199"/>
      <c r="AG233" s="199"/>
      <c r="AH233" s="199"/>
      <c r="AI233" s="199"/>
      <c r="AJ233" s="199"/>
      <c r="AK233" s="199"/>
    </row>
    <row r="234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8"/>
      <c r="L234" s="199"/>
      <c r="M234" s="199"/>
      <c r="N234" s="199"/>
      <c r="O234" s="199"/>
      <c r="P234" s="724"/>
      <c r="Q234" s="725"/>
      <c r="R234" s="724"/>
      <c r="S234" s="199"/>
      <c r="T234" s="199"/>
      <c r="U234" s="199"/>
      <c r="V234" s="199"/>
      <c r="W234" s="199"/>
      <c r="X234" s="199"/>
      <c r="Y234" s="199"/>
      <c r="Z234" s="726"/>
      <c r="AA234" s="199"/>
      <c r="AB234" s="199"/>
      <c r="AC234" s="199"/>
      <c r="AD234" s="199"/>
      <c r="AE234" s="199"/>
      <c r="AF234" s="199"/>
      <c r="AG234" s="199"/>
      <c r="AH234" s="199"/>
      <c r="AI234" s="199"/>
      <c r="AJ234" s="199"/>
      <c r="AK234" s="199"/>
    </row>
    <row r="235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8"/>
      <c r="L235" s="199"/>
      <c r="M235" s="199"/>
      <c r="N235" s="199"/>
      <c r="O235" s="199"/>
      <c r="P235" s="724"/>
      <c r="Q235" s="725"/>
      <c r="R235" s="724"/>
      <c r="S235" s="199"/>
      <c r="T235" s="199"/>
      <c r="U235" s="199"/>
      <c r="V235" s="199"/>
      <c r="W235" s="199"/>
      <c r="X235" s="199"/>
      <c r="Y235" s="199"/>
      <c r="Z235" s="726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</row>
    <row r="236" ht="15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8"/>
      <c r="L236" s="199"/>
      <c r="M236" s="199"/>
      <c r="N236" s="199"/>
      <c r="O236" s="199"/>
      <c r="P236" s="724"/>
      <c r="Q236" s="725"/>
      <c r="R236" s="724"/>
      <c r="S236" s="199"/>
      <c r="T236" s="199"/>
      <c r="U236" s="199"/>
      <c r="V236" s="199"/>
      <c r="W236" s="199"/>
      <c r="X236" s="199"/>
      <c r="Y236" s="199"/>
      <c r="Z236" s="726"/>
      <c r="AA236" s="199"/>
      <c r="AB236" s="199"/>
      <c r="AC236" s="199"/>
      <c r="AD236" s="199"/>
      <c r="AE236" s="199"/>
      <c r="AF236" s="199"/>
      <c r="AG236" s="199"/>
      <c r="AH236" s="199"/>
      <c r="AI236" s="199"/>
      <c r="AJ236" s="199"/>
      <c r="AK236" s="199"/>
    </row>
    <row r="237" ht="15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8"/>
      <c r="L237" s="199"/>
      <c r="M237" s="199"/>
      <c r="N237" s="199"/>
      <c r="O237" s="199"/>
      <c r="P237" s="724"/>
      <c r="Q237" s="725"/>
      <c r="R237" s="724"/>
      <c r="S237" s="199"/>
      <c r="T237" s="199"/>
      <c r="U237" s="199"/>
      <c r="V237" s="199"/>
      <c r="W237" s="199"/>
      <c r="X237" s="199"/>
      <c r="Y237" s="199"/>
      <c r="Z237" s="726"/>
      <c r="AA237" s="199"/>
      <c r="AB237" s="199"/>
      <c r="AC237" s="199"/>
      <c r="AD237" s="199"/>
      <c r="AE237" s="199"/>
      <c r="AF237" s="199"/>
      <c r="AG237" s="199"/>
      <c r="AH237" s="199"/>
      <c r="AI237" s="199"/>
      <c r="AJ237" s="199"/>
      <c r="AK237" s="199"/>
    </row>
    <row r="238" ht="15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8"/>
      <c r="L238" s="199"/>
      <c r="M238" s="199"/>
      <c r="N238" s="199"/>
      <c r="O238" s="199"/>
      <c r="P238" s="724"/>
      <c r="Q238" s="725"/>
      <c r="R238" s="724"/>
      <c r="S238" s="199"/>
      <c r="T238" s="199"/>
      <c r="U238" s="199"/>
      <c r="V238" s="199"/>
      <c r="W238" s="199"/>
      <c r="X238" s="199"/>
      <c r="Y238" s="199"/>
      <c r="Z238" s="726"/>
      <c r="AA238" s="199"/>
      <c r="AB238" s="199"/>
      <c r="AC238" s="199"/>
      <c r="AD238" s="199"/>
      <c r="AE238" s="199"/>
      <c r="AF238" s="199"/>
      <c r="AG238" s="199"/>
      <c r="AH238" s="199"/>
      <c r="AI238" s="199"/>
      <c r="AJ238" s="199"/>
      <c r="AK238" s="19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K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32" width="2.88"/>
    <col customWidth="1" min="34" max="34" width="13.38"/>
    <col customWidth="1" min="35" max="35" width="15.5"/>
  </cols>
  <sheetData>
    <row r="1" ht="15.75" customHeight="1">
      <c r="A1" s="727" t="s">
        <v>3066</v>
      </c>
      <c r="B1" s="728">
        <v>1.0</v>
      </c>
      <c r="C1" s="728">
        <v>2.0</v>
      </c>
      <c r="D1" s="728">
        <v>3.0</v>
      </c>
      <c r="E1" s="728">
        <v>4.0</v>
      </c>
      <c r="F1" s="728">
        <v>5.0</v>
      </c>
      <c r="G1" s="728">
        <v>6.0</v>
      </c>
      <c r="H1" s="728">
        <v>7.0</v>
      </c>
      <c r="I1" s="728">
        <v>8.0</v>
      </c>
      <c r="J1" s="728">
        <v>9.0</v>
      </c>
      <c r="K1" s="728">
        <v>10.0</v>
      </c>
      <c r="L1" s="728">
        <v>11.0</v>
      </c>
      <c r="M1" s="728">
        <v>12.0</v>
      </c>
      <c r="N1" s="728">
        <v>13.0</v>
      </c>
      <c r="O1" s="728">
        <v>14.0</v>
      </c>
      <c r="P1" s="728">
        <v>15.0</v>
      </c>
      <c r="Q1" s="728">
        <v>16.0</v>
      </c>
      <c r="R1" s="728">
        <v>17.0</v>
      </c>
      <c r="S1" s="728">
        <v>18.0</v>
      </c>
      <c r="T1" s="728">
        <v>19.0</v>
      </c>
      <c r="U1" s="728">
        <v>20.0</v>
      </c>
      <c r="V1" s="728">
        <v>21.0</v>
      </c>
      <c r="W1" s="728">
        <v>22.0</v>
      </c>
      <c r="X1" s="728">
        <v>23.0</v>
      </c>
      <c r="Y1" s="728">
        <v>24.0</v>
      </c>
      <c r="Z1" s="728">
        <v>25.0</v>
      </c>
      <c r="AA1" s="728">
        <v>26.0</v>
      </c>
      <c r="AB1" s="728">
        <v>27.0</v>
      </c>
      <c r="AC1" s="728">
        <v>28.0</v>
      </c>
      <c r="AD1" s="728">
        <v>29.0</v>
      </c>
      <c r="AE1" s="728">
        <v>30.0</v>
      </c>
      <c r="AF1" s="728">
        <v>31.0</v>
      </c>
      <c r="AG1" s="728" t="s">
        <v>3619</v>
      </c>
      <c r="AH1" s="728" t="s">
        <v>3620</v>
      </c>
      <c r="AI1" s="728" t="s">
        <v>3385</v>
      </c>
    </row>
    <row r="2" ht="15.75" customHeight="1">
      <c r="A2" s="729" t="s">
        <v>395</v>
      </c>
      <c r="B2" s="730" t="s">
        <v>3470</v>
      </c>
      <c r="C2" s="731" t="s">
        <v>3470</v>
      </c>
      <c r="D2" s="731" t="s">
        <v>3470</v>
      </c>
      <c r="E2" s="732" t="s">
        <v>3470</v>
      </c>
      <c r="F2" s="731" t="s">
        <v>3470</v>
      </c>
      <c r="G2" s="731" t="s">
        <v>3470</v>
      </c>
      <c r="H2" s="731" t="s">
        <v>3470</v>
      </c>
      <c r="I2" s="731" t="s">
        <v>3621</v>
      </c>
      <c r="J2" s="732" t="s">
        <v>3621</v>
      </c>
      <c r="K2" s="732" t="s">
        <v>3621</v>
      </c>
      <c r="L2" s="573" t="s">
        <v>3470</v>
      </c>
      <c r="M2" s="573" t="s">
        <v>3470</v>
      </c>
      <c r="N2" s="573" t="s">
        <v>3470</v>
      </c>
      <c r="O2" s="573" t="s">
        <v>3470</v>
      </c>
      <c r="P2" s="573" t="s">
        <v>3470</v>
      </c>
      <c r="Q2" s="573" t="s">
        <v>3621</v>
      </c>
      <c r="R2" s="573" t="s">
        <v>3621</v>
      </c>
      <c r="S2" s="573" t="s">
        <v>3621</v>
      </c>
      <c r="T2" s="573" t="s">
        <v>3621</v>
      </c>
      <c r="U2" s="573" t="s">
        <v>3621</v>
      </c>
      <c r="V2" s="573" t="s">
        <v>3621</v>
      </c>
      <c r="W2" s="573" t="s">
        <v>3621</v>
      </c>
      <c r="X2" s="573" t="s">
        <v>3621</v>
      </c>
      <c r="Y2" s="573" t="s">
        <v>3621</v>
      </c>
      <c r="Z2" s="573" t="s">
        <v>3621</v>
      </c>
      <c r="AA2" s="573" t="s">
        <v>3621</v>
      </c>
      <c r="AB2" s="573" t="s">
        <v>3621</v>
      </c>
      <c r="AC2" s="573" t="s">
        <v>3621</v>
      </c>
      <c r="AD2" s="573" t="s">
        <v>3621</v>
      </c>
      <c r="AE2" s="573" t="s">
        <v>3621</v>
      </c>
      <c r="AF2" s="573" t="s">
        <v>3621</v>
      </c>
      <c r="AG2" s="573">
        <f t="shared" ref="AG2:AG12" si="1">COUNTIF(B2:AF2,"D")</f>
        <v>12</v>
      </c>
      <c r="AH2" s="573">
        <f t="shared" ref="AH2:AH12" si="2">COUNTIF(B2:AF2,"I")</f>
        <v>19</v>
      </c>
      <c r="AI2" s="733">
        <f t="shared" ref="AI2:AI12" si="3">AG2/31</f>
        <v>0.3870967742</v>
      </c>
    </row>
    <row r="3" ht="15.75" customHeight="1">
      <c r="A3" s="729" t="s">
        <v>394</v>
      </c>
      <c r="B3" s="730" t="s">
        <v>3621</v>
      </c>
      <c r="C3" s="731" t="s">
        <v>3621</v>
      </c>
      <c r="D3" s="731" t="s">
        <v>3621</v>
      </c>
      <c r="E3" s="732" t="s">
        <v>3621</v>
      </c>
      <c r="F3" s="731" t="s">
        <v>3621</v>
      </c>
      <c r="G3" s="731" t="s">
        <v>3621</v>
      </c>
      <c r="H3" s="731" t="s">
        <v>3621</v>
      </c>
      <c r="I3" s="731" t="s">
        <v>3621</v>
      </c>
      <c r="J3" s="732" t="s">
        <v>3621</v>
      </c>
      <c r="K3" s="732" t="s">
        <v>3621</v>
      </c>
      <c r="L3" s="573" t="s">
        <v>3621</v>
      </c>
      <c r="M3" s="573" t="s">
        <v>3621</v>
      </c>
      <c r="N3" s="573" t="s">
        <v>3621</v>
      </c>
      <c r="O3" s="573" t="s">
        <v>3621</v>
      </c>
      <c r="P3" s="573" t="s">
        <v>3621</v>
      </c>
      <c r="Q3" s="573" t="s">
        <v>3470</v>
      </c>
      <c r="R3" s="573" t="s">
        <v>3470</v>
      </c>
      <c r="S3" s="573" t="s">
        <v>3621</v>
      </c>
      <c r="T3" s="573" t="s">
        <v>3621</v>
      </c>
      <c r="U3" s="573" t="s">
        <v>3621</v>
      </c>
      <c r="V3" s="573" t="s">
        <v>3621</v>
      </c>
      <c r="W3" s="573" t="s">
        <v>3621</v>
      </c>
      <c r="X3" s="573" t="s">
        <v>3470</v>
      </c>
      <c r="Y3" s="573" t="s">
        <v>3470</v>
      </c>
      <c r="Z3" s="573" t="s">
        <v>3621</v>
      </c>
      <c r="AA3" s="573" t="s">
        <v>3621</v>
      </c>
      <c r="AB3" s="573" t="s">
        <v>3470</v>
      </c>
      <c r="AC3" s="573" t="s">
        <v>3470</v>
      </c>
      <c r="AD3" s="573" t="s">
        <v>3470</v>
      </c>
      <c r="AE3" s="573" t="s">
        <v>3470</v>
      </c>
      <c r="AF3" s="573" t="s">
        <v>3621</v>
      </c>
      <c r="AG3" s="573">
        <f t="shared" si="1"/>
        <v>8</v>
      </c>
      <c r="AH3" s="573">
        <f t="shared" si="2"/>
        <v>23</v>
      </c>
      <c r="AI3" s="733">
        <f t="shared" si="3"/>
        <v>0.2580645161</v>
      </c>
    </row>
    <row r="4" ht="15.75" customHeight="1">
      <c r="A4" s="729" t="s">
        <v>419</v>
      </c>
      <c r="B4" s="730" t="s">
        <v>3470</v>
      </c>
      <c r="C4" s="731" t="s">
        <v>3470</v>
      </c>
      <c r="D4" s="573" t="s">
        <v>3470</v>
      </c>
      <c r="E4" s="573" t="s">
        <v>3470</v>
      </c>
      <c r="F4" s="573" t="s">
        <v>3470</v>
      </c>
      <c r="G4" s="573" t="s">
        <v>3470</v>
      </c>
      <c r="H4" s="573" t="s">
        <v>3470</v>
      </c>
      <c r="I4" s="573" t="s">
        <v>3470</v>
      </c>
      <c r="J4" s="732" t="s">
        <v>3470</v>
      </c>
      <c r="K4" s="732" t="s">
        <v>3470</v>
      </c>
      <c r="L4" s="573" t="s">
        <v>3470</v>
      </c>
      <c r="M4" s="573" t="s">
        <v>3470</v>
      </c>
      <c r="N4" s="573" t="s">
        <v>3470</v>
      </c>
      <c r="O4" s="573" t="s">
        <v>3470</v>
      </c>
      <c r="P4" s="573" t="s">
        <v>3470</v>
      </c>
      <c r="Q4" s="573" t="s">
        <v>3470</v>
      </c>
      <c r="R4" s="573" t="s">
        <v>3470</v>
      </c>
      <c r="S4" s="573" t="s">
        <v>3470</v>
      </c>
      <c r="T4" s="573" t="s">
        <v>3470</v>
      </c>
      <c r="U4" s="573" t="s">
        <v>3470</v>
      </c>
      <c r="V4" s="573" t="s">
        <v>3470</v>
      </c>
      <c r="W4" s="573" t="s">
        <v>3470</v>
      </c>
      <c r="X4" s="573" t="s">
        <v>3470</v>
      </c>
      <c r="Y4" s="573" t="s">
        <v>3621</v>
      </c>
      <c r="Z4" s="573" t="s">
        <v>3621</v>
      </c>
      <c r="AA4" s="573" t="s">
        <v>3470</v>
      </c>
      <c r="AB4" s="573" t="s">
        <v>3470</v>
      </c>
      <c r="AC4" s="573" t="s">
        <v>3470</v>
      </c>
      <c r="AD4" s="573" t="s">
        <v>3470</v>
      </c>
      <c r="AE4" s="573" t="s">
        <v>3470</v>
      </c>
      <c r="AF4" s="573" t="s">
        <v>3621</v>
      </c>
      <c r="AG4" s="573">
        <f t="shared" si="1"/>
        <v>28</v>
      </c>
      <c r="AH4" s="573">
        <f t="shared" si="2"/>
        <v>3</v>
      </c>
      <c r="AI4" s="733">
        <f t="shared" si="3"/>
        <v>0.9032258065</v>
      </c>
    </row>
    <row r="5" ht="15.75" customHeight="1">
      <c r="A5" s="734" t="s">
        <v>3334</v>
      </c>
      <c r="B5" s="730" t="s">
        <v>3621</v>
      </c>
      <c r="C5" s="726" t="s">
        <v>3621</v>
      </c>
      <c r="D5" s="573" t="s">
        <v>3621</v>
      </c>
      <c r="E5" s="732" t="s">
        <v>3621</v>
      </c>
      <c r="F5" s="573" t="s">
        <v>3621</v>
      </c>
      <c r="G5" s="573" t="s">
        <v>3621</v>
      </c>
      <c r="H5" s="573" t="s">
        <v>3621</v>
      </c>
      <c r="I5" s="573" t="s">
        <v>3621</v>
      </c>
      <c r="J5" s="732" t="s">
        <v>3621</v>
      </c>
      <c r="K5" s="732" t="s">
        <v>3621</v>
      </c>
      <c r="L5" s="573" t="s">
        <v>3621</v>
      </c>
      <c r="M5" s="573" t="s">
        <v>3621</v>
      </c>
      <c r="N5" s="573" t="s">
        <v>3621</v>
      </c>
      <c r="O5" s="573" t="s">
        <v>3621</v>
      </c>
      <c r="P5" s="573" t="s">
        <v>3621</v>
      </c>
      <c r="Q5" s="573" t="s">
        <v>3621</v>
      </c>
      <c r="R5" s="573" t="s">
        <v>3621</v>
      </c>
      <c r="S5" s="573" t="s">
        <v>3621</v>
      </c>
      <c r="T5" s="573" t="s">
        <v>3621</v>
      </c>
      <c r="U5" s="573" t="s">
        <v>3621</v>
      </c>
      <c r="V5" s="573" t="s">
        <v>3621</v>
      </c>
      <c r="W5" s="573" t="s">
        <v>3621</v>
      </c>
      <c r="X5" s="573" t="s">
        <v>3621</v>
      </c>
      <c r="Y5" s="573" t="s">
        <v>3621</v>
      </c>
      <c r="Z5" s="573" t="s">
        <v>3621</v>
      </c>
      <c r="AA5" s="573" t="s">
        <v>3621</v>
      </c>
      <c r="AB5" s="573" t="s">
        <v>3621</v>
      </c>
      <c r="AC5" s="573" t="s">
        <v>3621</v>
      </c>
      <c r="AD5" s="573" t="s">
        <v>3621</v>
      </c>
      <c r="AE5" s="573" t="s">
        <v>3621</v>
      </c>
      <c r="AF5" s="573" t="s">
        <v>3621</v>
      </c>
      <c r="AG5" s="573">
        <f t="shared" si="1"/>
        <v>0</v>
      </c>
      <c r="AH5" s="573">
        <f t="shared" si="2"/>
        <v>31</v>
      </c>
      <c r="AI5" s="733">
        <f t="shared" si="3"/>
        <v>0</v>
      </c>
    </row>
    <row r="6" ht="15.75" customHeight="1">
      <c r="A6" s="735" t="s">
        <v>3622</v>
      </c>
      <c r="B6" s="730" t="s">
        <v>3621</v>
      </c>
      <c r="C6" s="726" t="s">
        <v>3621</v>
      </c>
      <c r="D6" s="573" t="s">
        <v>3621</v>
      </c>
      <c r="E6" s="732" t="s">
        <v>3621</v>
      </c>
      <c r="F6" s="573" t="s">
        <v>3621</v>
      </c>
      <c r="G6" s="573" t="s">
        <v>3621</v>
      </c>
      <c r="H6" s="573" t="s">
        <v>3621</v>
      </c>
      <c r="I6" s="573" t="s">
        <v>3621</v>
      </c>
      <c r="J6" s="732" t="s">
        <v>3621</v>
      </c>
      <c r="K6" s="732" t="s">
        <v>3621</v>
      </c>
      <c r="L6" s="573" t="s">
        <v>3621</v>
      </c>
      <c r="M6" s="573" t="s">
        <v>3621</v>
      </c>
      <c r="N6" s="573" t="s">
        <v>3621</v>
      </c>
      <c r="O6" s="573" t="s">
        <v>3621</v>
      </c>
      <c r="P6" s="573" t="s">
        <v>3621</v>
      </c>
      <c r="Q6" s="573" t="s">
        <v>3621</v>
      </c>
      <c r="R6" s="573" t="s">
        <v>3621</v>
      </c>
      <c r="S6" s="573" t="s">
        <v>3621</v>
      </c>
      <c r="T6" s="573" t="s">
        <v>3621</v>
      </c>
      <c r="U6" s="573" t="s">
        <v>3621</v>
      </c>
      <c r="V6" s="573" t="s">
        <v>3621</v>
      </c>
      <c r="W6" s="573" t="s">
        <v>3621</v>
      </c>
      <c r="X6" s="573" t="s">
        <v>3621</v>
      </c>
      <c r="Y6" s="573" t="s">
        <v>3621</v>
      </c>
      <c r="Z6" s="573" t="s">
        <v>3621</v>
      </c>
      <c r="AA6" s="573" t="s">
        <v>3621</v>
      </c>
      <c r="AB6" s="573" t="s">
        <v>3621</v>
      </c>
      <c r="AC6" s="573" t="s">
        <v>3621</v>
      </c>
      <c r="AD6" s="573" t="s">
        <v>3621</v>
      </c>
      <c r="AE6" s="573" t="s">
        <v>3621</v>
      </c>
      <c r="AF6" s="573" t="s">
        <v>3621</v>
      </c>
      <c r="AG6" s="573">
        <f t="shared" si="1"/>
        <v>0</v>
      </c>
      <c r="AH6" s="573">
        <f t="shared" si="2"/>
        <v>31</v>
      </c>
      <c r="AI6" s="733">
        <f t="shared" si="3"/>
        <v>0</v>
      </c>
    </row>
    <row r="7" ht="15.75" customHeight="1">
      <c r="A7" s="734" t="s">
        <v>162</v>
      </c>
      <c r="B7" s="730" t="s">
        <v>3621</v>
      </c>
      <c r="C7" s="726" t="s">
        <v>3621</v>
      </c>
      <c r="D7" s="573" t="s">
        <v>3621</v>
      </c>
      <c r="E7" s="732" t="s">
        <v>3621</v>
      </c>
      <c r="F7" s="573" t="s">
        <v>3621</v>
      </c>
      <c r="G7" s="573" t="s">
        <v>3621</v>
      </c>
      <c r="H7" s="573" t="s">
        <v>3621</v>
      </c>
      <c r="I7" s="573" t="s">
        <v>3621</v>
      </c>
      <c r="J7" s="732" t="s">
        <v>3621</v>
      </c>
      <c r="K7" s="732" t="s">
        <v>3621</v>
      </c>
      <c r="L7" s="573" t="s">
        <v>3621</v>
      </c>
      <c r="M7" s="573" t="s">
        <v>3621</v>
      </c>
      <c r="N7" s="573" t="s">
        <v>3621</v>
      </c>
      <c r="O7" s="573" t="s">
        <v>3621</v>
      </c>
      <c r="P7" s="573" t="s">
        <v>3621</v>
      </c>
      <c r="Q7" s="573" t="s">
        <v>3470</v>
      </c>
      <c r="R7" s="573" t="s">
        <v>3470</v>
      </c>
      <c r="S7" s="573" t="s">
        <v>3621</v>
      </c>
      <c r="T7" s="573" t="s">
        <v>3621</v>
      </c>
      <c r="U7" s="573" t="s">
        <v>3621</v>
      </c>
      <c r="V7" s="573" t="s">
        <v>3470</v>
      </c>
      <c r="W7" s="573" t="s">
        <v>3470</v>
      </c>
      <c r="X7" s="573" t="s">
        <v>3470</v>
      </c>
      <c r="Y7" s="573" t="s">
        <v>3470</v>
      </c>
      <c r="Z7" s="573" t="s">
        <v>3470</v>
      </c>
      <c r="AA7" s="573" t="s">
        <v>3470</v>
      </c>
      <c r="AB7" s="573" t="s">
        <v>3470</v>
      </c>
      <c r="AC7" s="573" t="s">
        <v>3470</v>
      </c>
      <c r="AD7" s="573" t="s">
        <v>3470</v>
      </c>
      <c r="AE7" s="573" t="s">
        <v>3470</v>
      </c>
      <c r="AF7" s="573" t="s">
        <v>3621</v>
      </c>
      <c r="AG7" s="573">
        <f t="shared" si="1"/>
        <v>12</v>
      </c>
      <c r="AH7" s="573">
        <f t="shared" si="2"/>
        <v>19</v>
      </c>
      <c r="AI7" s="733">
        <f t="shared" si="3"/>
        <v>0.3870967742</v>
      </c>
    </row>
    <row r="8" ht="15.75" customHeight="1">
      <c r="A8" s="734" t="s">
        <v>145</v>
      </c>
      <c r="B8" s="730" t="s">
        <v>3621</v>
      </c>
      <c r="C8" s="726" t="s">
        <v>3621</v>
      </c>
      <c r="D8" s="573" t="s">
        <v>3621</v>
      </c>
      <c r="E8" s="732" t="s">
        <v>3621</v>
      </c>
      <c r="F8" s="573" t="s">
        <v>3621</v>
      </c>
      <c r="G8" s="573" t="s">
        <v>3621</v>
      </c>
      <c r="H8" s="573" t="s">
        <v>3621</v>
      </c>
      <c r="I8" s="573" t="s">
        <v>3621</v>
      </c>
      <c r="J8" s="732" t="s">
        <v>3621</v>
      </c>
      <c r="K8" s="732" t="s">
        <v>3621</v>
      </c>
      <c r="L8" s="573" t="s">
        <v>3621</v>
      </c>
      <c r="M8" s="573" t="s">
        <v>3621</v>
      </c>
      <c r="N8" s="573" t="s">
        <v>3621</v>
      </c>
      <c r="O8" s="573" t="s">
        <v>3621</v>
      </c>
      <c r="P8" s="573" t="s">
        <v>3621</v>
      </c>
      <c r="Q8" s="573" t="s">
        <v>3621</v>
      </c>
      <c r="R8" s="573" t="s">
        <v>3621</v>
      </c>
      <c r="S8" s="573" t="s">
        <v>3470</v>
      </c>
      <c r="T8" s="573" t="s">
        <v>3470</v>
      </c>
      <c r="U8" s="573" t="s">
        <v>3470</v>
      </c>
      <c r="V8" s="573" t="s">
        <v>3470</v>
      </c>
      <c r="W8" s="573" t="s">
        <v>3470</v>
      </c>
      <c r="X8" s="573" t="s">
        <v>3621</v>
      </c>
      <c r="Y8" s="573" t="s">
        <v>3621</v>
      </c>
      <c r="Z8" s="573" t="s">
        <v>3470</v>
      </c>
      <c r="AA8" s="573" t="s">
        <v>3470</v>
      </c>
      <c r="AB8" s="573" t="s">
        <v>3470</v>
      </c>
      <c r="AC8" s="573" t="s">
        <v>3470</v>
      </c>
      <c r="AD8" s="573" t="s">
        <v>3470</v>
      </c>
      <c r="AE8" s="573" t="s">
        <v>3470</v>
      </c>
      <c r="AF8" s="573" t="s">
        <v>3621</v>
      </c>
      <c r="AG8" s="573">
        <f t="shared" si="1"/>
        <v>11</v>
      </c>
      <c r="AH8" s="573">
        <f t="shared" si="2"/>
        <v>20</v>
      </c>
      <c r="AI8" s="733">
        <f t="shared" si="3"/>
        <v>0.3548387097</v>
      </c>
    </row>
    <row r="9" ht="15.75" customHeight="1">
      <c r="A9" s="734" t="s">
        <v>3351</v>
      </c>
      <c r="B9" s="736" t="s">
        <v>3621</v>
      </c>
      <c r="C9" s="726" t="s">
        <v>3621</v>
      </c>
      <c r="D9" s="573" t="s">
        <v>3621</v>
      </c>
      <c r="E9" s="732" t="s">
        <v>3621</v>
      </c>
      <c r="F9" s="573" t="s">
        <v>3470</v>
      </c>
      <c r="G9" s="573" t="s">
        <v>3470</v>
      </c>
      <c r="H9" s="573" t="s">
        <v>3470</v>
      </c>
      <c r="I9" s="573" t="s">
        <v>3470</v>
      </c>
      <c r="J9" s="732" t="s">
        <v>3470</v>
      </c>
      <c r="K9" s="732" t="s">
        <v>3470</v>
      </c>
      <c r="L9" s="573" t="s">
        <v>3470</v>
      </c>
      <c r="M9" s="573" t="s">
        <v>3470</v>
      </c>
      <c r="N9" s="573" t="s">
        <v>3470</v>
      </c>
      <c r="O9" s="573" t="s">
        <v>3470</v>
      </c>
      <c r="P9" s="573" t="s">
        <v>3470</v>
      </c>
      <c r="Q9" s="573" t="s">
        <v>3470</v>
      </c>
      <c r="R9" s="573" t="s">
        <v>3470</v>
      </c>
      <c r="S9" s="573" t="s">
        <v>3621</v>
      </c>
      <c r="T9" s="573" t="s">
        <v>3621</v>
      </c>
      <c r="U9" s="573" t="s">
        <v>3621</v>
      </c>
      <c r="V9" s="573" t="s">
        <v>3621</v>
      </c>
      <c r="W9" s="573" t="s">
        <v>3621</v>
      </c>
      <c r="X9" s="573" t="s">
        <v>3621</v>
      </c>
      <c r="Y9" s="573" t="s">
        <v>3621</v>
      </c>
      <c r="Z9" s="573" t="s">
        <v>3621</v>
      </c>
      <c r="AA9" s="573" t="s">
        <v>3621</v>
      </c>
      <c r="AB9" s="573" t="s">
        <v>3621</v>
      </c>
      <c r="AC9" s="573" t="s">
        <v>3621</v>
      </c>
      <c r="AD9" s="573" t="s">
        <v>3621</v>
      </c>
      <c r="AE9" s="573" t="s">
        <v>3621</v>
      </c>
      <c r="AF9" s="573" t="s">
        <v>3621</v>
      </c>
      <c r="AG9" s="573">
        <f t="shared" si="1"/>
        <v>13</v>
      </c>
      <c r="AH9" s="573">
        <f t="shared" si="2"/>
        <v>18</v>
      </c>
      <c r="AI9" s="733">
        <f t="shared" si="3"/>
        <v>0.4193548387</v>
      </c>
    </row>
    <row r="10" ht="15.75" customHeight="1">
      <c r="A10" s="582" t="s">
        <v>385</v>
      </c>
      <c r="B10" s="573" t="s">
        <v>3621</v>
      </c>
      <c r="C10" s="573" t="s">
        <v>3621</v>
      </c>
      <c r="D10" s="573" t="s">
        <v>3621</v>
      </c>
      <c r="E10" s="573" t="s">
        <v>3621</v>
      </c>
      <c r="F10" s="573" t="s">
        <v>3621</v>
      </c>
      <c r="G10" s="573" t="s">
        <v>3621</v>
      </c>
      <c r="H10" s="573" t="s">
        <v>3621</v>
      </c>
      <c r="I10" s="573" t="s">
        <v>3621</v>
      </c>
      <c r="J10" s="573" t="s">
        <v>3621</v>
      </c>
      <c r="K10" s="573" t="s">
        <v>3621</v>
      </c>
      <c r="L10" s="573" t="s">
        <v>3621</v>
      </c>
      <c r="M10" s="573" t="s">
        <v>3621</v>
      </c>
      <c r="N10" s="573" t="s">
        <v>3621</v>
      </c>
      <c r="O10" s="573" t="s">
        <v>3621</v>
      </c>
      <c r="P10" s="573" t="s">
        <v>3621</v>
      </c>
      <c r="Q10" s="573" t="s">
        <v>3621</v>
      </c>
      <c r="R10" s="573" t="s">
        <v>3621</v>
      </c>
      <c r="S10" s="573" t="s">
        <v>3621</v>
      </c>
      <c r="T10" s="573" t="s">
        <v>3621</v>
      </c>
      <c r="U10" s="573" t="s">
        <v>3621</v>
      </c>
      <c r="V10" s="573" t="s">
        <v>3621</v>
      </c>
      <c r="W10" s="573" t="s">
        <v>3621</v>
      </c>
      <c r="X10" s="573" t="s">
        <v>3621</v>
      </c>
      <c r="Y10" s="573" t="s">
        <v>3621</v>
      </c>
      <c r="Z10" s="573" t="s">
        <v>3621</v>
      </c>
      <c r="AA10" s="573" t="s">
        <v>3621</v>
      </c>
      <c r="AB10" s="573" t="s">
        <v>3621</v>
      </c>
      <c r="AC10" s="573" t="s">
        <v>3621</v>
      </c>
      <c r="AD10" s="573" t="s">
        <v>3621</v>
      </c>
      <c r="AE10" s="573" t="s">
        <v>3621</v>
      </c>
      <c r="AF10" s="573" t="s">
        <v>3621</v>
      </c>
      <c r="AG10" s="573">
        <f t="shared" si="1"/>
        <v>0</v>
      </c>
      <c r="AH10" s="573">
        <f t="shared" si="2"/>
        <v>31</v>
      </c>
      <c r="AI10" s="733">
        <f t="shared" si="3"/>
        <v>0</v>
      </c>
    </row>
    <row r="11" ht="15.75" customHeight="1">
      <c r="A11" s="582" t="s">
        <v>3353</v>
      </c>
      <c r="B11" s="573" t="s">
        <v>3621</v>
      </c>
      <c r="C11" s="573" t="s">
        <v>3621</v>
      </c>
      <c r="D11" s="573" t="s">
        <v>3621</v>
      </c>
      <c r="E11" s="573" t="s">
        <v>3621</v>
      </c>
      <c r="F11" s="573" t="s">
        <v>3621</v>
      </c>
      <c r="G11" s="573" t="s">
        <v>3621</v>
      </c>
      <c r="H11" s="573" t="s">
        <v>3621</v>
      </c>
      <c r="I11" s="573" t="s">
        <v>3621</v>
      </c>
      <c r="J11" s="573" t="s">
        <v>3470</v>
      </c>
      <c r="K11" s="573" t="s">
        <v>3470</v>
      </c>
      <c r="L11" s="573" t="s">
        <v>3470</v>
      </c>
      <c r="M11" s="573" t="s">
        <v>3470</v>
      </c>
      <c r="N11" s="573" t="s">
        <v>3470</v>
      </c>
      <c r="O11" s="573" t="s">
        <v>3470</v>
      </c>
      <c r="P11" s="573" t="s">
        <v>3470</v>
      </c>
      <c r="Q11" s="573" t="s">
        <v>3470</v>
      </c>
      <c r="R11" s="573" t="s">
        <v>3470</v>
      </c>
      <c r="S11" s="573" t="s">
        <v>3621</v>
      </c>
      <c r="T11" s="573" t="s">
        <v>3621</v>
      </c>
      <c r="U11" s="573" t="s">
        <v>3470</v>
      </c>
      <c r="V11" s="573" t="s">
        <v>3470</v>
      </c>
      <c r="W11" s="573" t="s">
        <v>3470</v>
      </c>
      <c r="X11" s="573" t="s">
        <v>3470</v>
      </c>
      <c r="Y11" s="573" t="s">
        <v>3470</v>
      </c>
      <c r="Z11" s="573" t="s">
        <v>3621</v>
      </c>
      <c r="AA11" s="573" t="s">
        <v>3621</v>
      </c>
      <c r="AB11" s="573" t="s">
        <v>3621</v>
      </c>
      <c r="AC11" s="573" t="s">
        <v>3621</v>
      </c>
      <c r="AD11" s="573" t="s">
        <v>3621</v>
      </c>
      <c r="AE11" s="573" t="s">
        <v>3621</v>
      </c>
      <c r="AF11" s="573" t="s">
        <v>3621</v>
      </c>
      <c r="AG11" s="573">
        <f t="shared" si="1"/>
        <v>14</v>
      </c>
      <c r="AH11" s="573">
        <f t="shared" si="2"/>
        <v>17</v>
      </c>
      <c r="AI11" s="733">
        <f t="shared" si="3"/>
        <v>0.4516129032</v>
      </c>
    </row>
    <row r="12" ht="15.75" customHeight="1">
      <c r="A12" s="582" t="s">
        <v>3359</v>
      </c>
      <c r="B12" s="573" t="s">
        <v>3621</v>
      </c>
      <c r="C12" s="573" t="s">
        <v>3621</v>
      </c>
      <c r="D12" s="737" t="s">
        <v>3621</v>
      </c>
      <c r="E12" s="573" t="s">
        <v>3621</v>
      </c>
      <c r="F12" s="573" t="s">
        <v>3621</v>
      </c>
      <c r="G12" s="573" t="s">
        <v>3621</v>
      </c>
      <c r="H12" s="573" t="s">
        <v>3621</v>
      </c>
      <c r="I12" s="573" t="s">
        <v>3621</v>
      </c>
      <c r="J12" s="573" t="s">
        <v>3621</v>
      </c>
      <c r="K12" s="573" t="s">
        <v>3621</v>
      </c>
      <c r="L12" s="573" t="s">
        <v>3621</v>
      </c>
      <c r="M12" s="573" t="s">
        <v>3621</v>
      </c>
      <c r="N12" s="573" t="s">
        <v>3621</v>
      </c>
      <c r="O12" s="573" t="s">
        <v>3621</v>
      </c>
      <c r="P12" s="573" t="s">
        <v>3621</v>
      </c>
      <c r="Q12" s="573" t="s">
        <v>3621</v>
      </c>
      <c r="R12" s="573" t="s">
        <v>3470</v>
      </c>
      <c r="S12" s="573" t="s">
        <v>3470</v>
      </c>
      <c r="T12" s="573" t="s">
        <v>3470</v>
      </c>
      <c r="U12" s="573" t="s">
        <v>3470</v>
      </c>
      <c r="V12" s="573" t="s">
        <v>3470</v>
      </c>
      <c r="W12" s="573" t="s">
        <v>3470</v>
      </c>
      <c r="X12" s="573" t="s">
        <v>3470</v>
      </c>
      <c r="Y12" s="573" t="s">
        <v>3470</v>
      </c>
      <c r="Z12" s="573" t="s">
        <v>3470</v>
      </c>
      <c r="AA12" s="573" t="s">
        <v>3470</v>
      </c>
      <c r="AB12" s="573" t="s">
        <v>3470</v>
      </c>
      <c r="AC12" s="573" t="s">
        <v>3470</v>
      </c>
      <c r="AD12" s="573" t="s">
        <v>3470</v>
      </c>
      <c r="AE12" s="573" t="s">
        <v>3470</v>
      </c>
      <c r="AF12" s="573" t="s">
        <v>3621</v>
      </c>
      <c r="AG12" s="573">
        <f t="shared" si="1"/>
        <v>14</v>
      </c>
      <c r="AH12" s="573">
        <f t="shared" si="2"/>
        <v>17</v>
      </c>
      <c r="AI12" s="733">
        <f t="shared" si="3"/>
        <v>0.4516129032</v>
      </c>
    </row>
    <row r="13" ht="15.75" customHeight="1">
      <c r="A13" s="573"/>
      <c r="B13" s="573"/>
      <c r="C13" s="573"/>
      <c r="D13" s="726"/>
      <c r="E13" s="573"/>
      <c r="F13" s="573"/>
      <c r="G13" s="573"/>
      <c r="H13" s="573"/>
      <c r="I13" s="573"/>
      <c r="J13" s="573"/>
      <c r="K13" s="573"/>
      <c r="L13" s="573"/>
      <c r="M13" s="573"/>
      <c r="N13" s="573"/>
      <c r="O13" s="573"/>
      <c r="P13" s="573"/>
      <c r="Q13" s="573"/>
      <c r="R13" s="573"/>
      <c r="S13" s="573"/>
      <c r="T13" s="573"/>
      <c r="U13" s="573"/>
      <c r="V13" s="573"/>
      <c r="W13" s="573"/>
      <c r="X13" s="573"/>
      <c r="Y13" s="573"/>
      <c r="Z13" s="573"/>
      <c r="AA13" s="573"/>
      <c r="AB13" s="573"/>
      <c r="AC13" s="573"/>
      <c r="AD13" s="573"/>
      <c r="AE13" s="573"/>
      <c r="AF13" s="573"/>
      <c r="AG13" s="573"/>
      <c r="AH13" s="573"/>
      <c r="AI13" s="573"/>
    </row>
    <row r="14" ht="15.75" customHeight="1">
      <c r="A14" s="573"/>
      <c r="B14" s="573"/>
      <c r="C14" s="573"/>
      <c r="D14" s="726"/>
      <c r="E14" s="573"/>
      <c r="F14" s="573"/>
      <c r="G14" s="573"/>
      <c r="H14" s="573"/>
      <c r="I14" s="573"/>
      <c r="J14" s="573"/>
      <c r="K14" s="573"/>
      <c r="L14" s="573"/>
      <c r="M14" s="738">
        <f>COUNTIF(B2:P12,"D")</f>
        <v>45</v>
      </c>
      <c r="N14" s="573"/>
      <c r="O14" s="573"/>
      <c r="P14" s="573">
        <f>COUNTIF(Q2:AF12,"D")</f>
        <v>67</v>
      </c>
      <c r="Q14" s="573"/>
      <c r="R14" s="573"/>
      <c r="S14" s="573"/>
      <c r="T14" s="573"/>
      <c r="U14" s="573"/>
      <c r="V14" s="573"/>
      <c r="W14" s="573"/>
      <c r="X14" s="573"/>
      <c r="Y14" s="573"/>
      <c r="Z14" s="573"/>
      <c r="AA14" s="573"/>
      <c r="AB14" s="573"/>
      <c r="AC14" s="573"/>
      <c r="AD14" s="573"/>
      <c r="AE14" s="573"/>
      <c r="AF14" s="573"/>
      <c r="AG14" s="573"/>
      <c r="AH14" s="573"/>
      <c r="AI14" s="573"/>
    </row>
    <row r="15" ht="15.75" customHeight="1">
      <c r="A15" s="573"/>
      <c r="B15" s="573"/>
      <c r="C15" s="573"/>
      <c r="D15" s="726"/>
      <c r="E15" s="573"/>
      <c r="F15" s="573"/>
      <c r="G15" s="573"/>
      <c r="H15" s="573"/>
      <c r="I15" s="573"/>
      <c r="J15" s="573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3"/>
      <c r="X15" s="573"/>
      <c r="Y15" s="573"/>
      <c r="Z15" s="573"/>
      <c r="AA15" s="573"/>
      <c r="AB15" s="573"/>
      <c r="AC15" s="573"/>
      <c r="AD15" s="573"/>
      <c r="AE15" s="573"/>
      <c r="AF15" s="573"/>
      <c r="AG15" s="573"/>
      <c r="AH15" s="573"/>
      <c r="AI15" s="573"/>
    </row>
    <row r="16" ht="15.75" customHeight="1">
      <c r="A16" s="573"/>
      <c r="B16" s="573"/>
      <c r="C16" s="573"/>
      <c r="D16" s="726"/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3"/>
      <c r="Q16" s="573"/>
      <c r="R16" s="573"/>
      <c r="S16" s="573"/>
      <c r="T16" s="573"/>
      <c r="U16" s="573"/>
      <c r="V16" s="573"/>
      <c r="W16" s="573"/>
      <c r="X16" s="573"/>
      <c r="Y16" s="573"/>
      <c r="Z16" s="573"/>
      <c r="AA16" s="573"/>
      <c r="AB16" s="573"/>
      <c r="AC16" s="573"/>
      <c r="AD16" s="573"/>
      <c r="AE16" s="573"/>
      <c r="AF16" s="573"/>
      <c r="AG16" s="573"/>
      <c r="AH16" s="573"/>
      <c r="AI16" s="573"/>
    </row>
    <row r="17" ht="15.75" customHeight="1">
      <c r="A17" s="573"/>
      <c r="B17" s="573"/>
      <c r="C17" s="573"/>
      <c r="D17" s="726"/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3"/>
      <c r="U17" s="573"/>
      <c r="V17" s="573"/>
      <c r="W17" s="573"/>
      <c r="X17" s="573"/>
      <c r="Y17" s="573"/>
      <c r="Z17" s="573"/>
      <c r="AA17" s="573"/>
      <c r="AB17" s="573"/>
      <c r="AC17" s="573"/>
      <c r="AD17" s="573"/>
      <c r="AE17" s="573"/>
      <c r="AF17" s="573"/>
      <c r="AG17" s="573"/>
      <c r="AH17" s="573"/>
      <c r="AI17" s="573"/>
    </row>
    <row r="18" ht="15.75" customHeight="1">
      <c r="A18" s="573"/>
      <c r="B18" s="573"/>
      <c r="C18" s="573"/>
      <c r="D18" s="573"/>
      <c r="E18" s="573"/>
      <c r="F18" s="573"/>
      <c r="G18" s="573"/>
      <c r="H18" s="739"/>
      <c r="I18" s="573"/>
      <c r="J18" s="573"/>
      <c r="K18" s="573"/>
      <c r="L18" s="573"/>
      <c r="M18" s="573"/>
      <c r="N18" s="573"/>
      <c r="O18" s="573"/>
      <c r="P18" s="573"/>
      <c r="Q18" s="573"/>
      <c r="R18" s="573"/>
      <c r="S18" s="573"/>
      <c r="T18" s="573"/>
      <c r="U18" s="573"/>
      <c r="V18" s="573"/>
      <c r="W18" s="573"/>
      <c r="X18" s="573"/>
      <c r="Y18" s="573"/>
      <c r="Z18" s="573"/>
      <c r="AA18" s="573"/>
      <c r="AB18" s="573"/>
      <c r="AC18" s="573"/>
      <c r="AD18" s="573"/>
      <c r="AE18" s="573"/>
      <c r="AF18" s="573"/>
      <c r="AG18" s="573"/>
      <c r="AH18" s="573"/>
      <c r="AI18" s="573"/>
    </row>
    <row r="19" ht="15.75" customHeight="1">
      <c r="A19" s="573"/>
      <c r="B19" s="573"/>
      <c r="C19" s="573"/>
      <c r="D19" s="573"/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3"/>
      <c r="R19" s="573"/>
      <c r="S19" s="573"/>
      <c r="T19" s="573"/>
      <c r="U19" s="573"/>
      <c r="V19" s="573"/>
      <c r="W19" s="573"/>
      <c r="X19" s="573"/>
      <c r="Y19" s="573"/>
      <c r="Z19" s="573"/>
      <c r="AA19" s="573"/>
      <c r="AB19" s="573"/>
      <c r="AC19" s="573"/>
      <c r="AD19" s="573"/>
      <c r="AE19" s="573"/>
      <c r="AF19" s="573"/>
      <c r="AG19" s="573"/>
      <c r="AH19" s="573"/>
      <c r="AI19" s="573"/>
    </row>
    <row r="20" ht="15.75" customHeight="1">
      <c r="A20" s="573"/>
      <c r="B20" s="573"/>
      <c r="C20" s="573"/>
      <c r="D20" s="573"/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3"/>
      <c r="R20" s="573"/>
      <c r="S20" s="573"/>
      <c r="T20" s="573"/>
      <c r="U20" s="573"/>
      <c r="V20" s="573"/>
      <c r="W20" s="573"/>
      <c r="X20" s="573"/>
      <c r="Y20" s="573"/>
      <c r="Z20" s="573"/>
      <c r="AA20" s="573"/>
      <c r="AB20" s="573"/>
      <c r="AC20" s="573"/>
      <c r="AD20" s="573"/>
      <c r="AE20" s="573"/>
      <c r="AF20" s="573"/>
      <c r="AG20" s="573"/>
      <c r="AH20" s="573"/>
      <c r="AI20" s="573"/>
    </row>
    <row r="21" ht="15.75" customHeight="1">
      <c r="A21" s="727" t="s">
        <v>3066</v>
      </c>
      <c r="B21" s="728">
        <v>1.0</v>
      </c>
      <c r="C21" s="728">
        <v>2.0</v>
      </c>
      <c r="D21" s="728">
        <v>3.0</v>
      </c>
      <c r="E21" s="728">
        <v>4.0</v>
      </c>
      <c r="F21" s="728">
        <v>5.0</v>
      </c>
      <c r="G21" s="728">
        <v>6.0</v>
      </c>
      <c r="H21" s="728">
        <v>7.0</v>
      </c>
      <c r="I21" s="728">
        <v>8.0</v>
      </c>
      <c r="J21" s="728">
        <v>9.0</v>
      </c>
      <c r="K21" s="728">
        <v>10.0</v>
      </c>
      <c r="L21" s="728">
        <v>11.0</v>
      </c>
      <c r="M21" s="728">
        <v>12.0</v>
      </c>
      <c r="N21" s="728">
        <v>13.0</v>
      </c>
      <c r="O21" s="728">
        <v>14.0</v>
      </c>
      <c r="P21" s="728">
        <v>15.0</v>
      </c>
      <c r="Q21" s="728">
        <v>16.0</v>
      </c>
      <c r="R21" s="728">
        <v>17.0</v>
      </c>
      <c r="S21" s="728">
        <v>18.0</v>
      </c>
      <c r="T21" s="728">
        <v>19.0</v>
      </c>
      <c r="U21" s="728">
        <v>20.0</v>
      </c>
      <c r="V21" s="728">
        <v>21.0</v>
      </c>
      <c r="W21" s="728">
        <v>22.0</v>
      </c>
      <c r="X21" s="728">
        <v>23.0</v>
      </c>
      <c r="Y21" s="728">
        <v>24.0</v>
      </c>
      <c r="Z21" s="728">
        <v>25.0</v>
      </c>
      <c r="AA21" s="728">
        <v>26.0</v>
      </c>
      <c r="AB21" s="728">
        <v>27.0</v>
      </c>
      <c r="AC21" s="728">
        <v>28.0</v>
      </c>
      <c r="AD21" s="728">
        <v>29.0</v>
      </c>
      <c r="AE21" s="728">
        <v>30.0</v>
      </c>
      <c r="AF21" s="728">
        <v>31.0</v>
      </c>
      <c r="AG21" s="728" t="s">
        <v>3619</v>
      </c>
      <c r="AH21" s="728" t="s">
        <v>3620</v>
      </c>
      <c r="AI21" s="728" t="s">
        <v>3385</v>
      </c>
    </row>
    <row r="22" ht="15.75" customHeight="1">
      <c r="A22" s="729" t="s">
        <v>395</v>
      </c>
      <c r="B22" s="730" t="s">
        <v>3470</v>
      </c>
      <c r="C22" s="731" t="s">
        <v>3470</v>
      </c>
      <c r="D22" s="731" t="s">
        <v>3470</v>
      </c>
      <c r="E22" s="732" t="s">
        <v>3470</v>
      </c>
      <c r="F22" s="731" t="s">
        <v>3470</v>
      </c>
      <c r="G22" s="731" t="s">
        <v>3470</v>
      </c>
      <c r="H22" s="731" t="s">
        <v>3470</v>
      </c>
      <c r="I22" s="731" t="s">
        <v>3470</v>
      </c>
      <c r="J22" s="732" t="s">
        <v>3470</v>
      </c>
      <c r="K22" s="732" t="s">
        <v>3470</v>
      </c>
      <c r="L22" s="573" t="s">
        <v>3470</v>
      </c>
      <c r="M22" s="573" t="s">
        <v>3470</v>
      </c>
      <c r="N22" s="573" t="s">
        <v>3470</v>
      </c>
      <c r="O22" s="573" t="s">
        <v>3470</v>
      </c>
      <c r="P22" s="573" t="s">
        <v>3470</v>
      </c>
      <c r="Q22" s="573" t="s">
        <v>3621</v>
      </c>
      <c r="R22" s="573" t="s">
        <v>3621</v>
      </c>
      <c r="S22" s="573" t="s">
        <v>3621</v>
      </c>
      <c r="T22" s="573" t="s">
        <v>3621</v>
      </c>
      <c r="U22" s="573" t="s">
        <v>3621</v>
      </c>
      <c r="V22" s="573" t="s">
        <v>3621</v>
      </c>
      <c r="W22" s="573" t="s">
        <v>3621</v>
      </c>
      <c r="X22" s="573" t="s">
        <v>3621</v>
      </c>
      <c r="Y22" s="573" t="s">
        <v>3621</v>
      </c>
      <c r="Z22" s="573" t="s">
        <v>3621</v>
      </c>
      <c r="AA22" s="573" t="s">
        <v>3621</v>
      </c>
      <c r="AB22" s="573" t="s">
        <v>3621</v>
      </c>
      <c r="AC22" s="573" t="s">
        <v>3621</v>
      </c>
      <c r="AD22" s="573" t="s">
        <v>3621</v>
      </c>
      <c r="AE22" s="573" t="s">
        <v>3621</v>
      </c>
      <c r="AF22" s="573" t="s">
        <v>3621</v>
      </c>
      <c r="AG22" s="573">
        <f t="shared" ref="AG22:AG30" si="4">COUNTIF(B22:AF22,"D")</f>
        <v>15</v>
      </c>
      <c r="AH22" s="573">
        <f t="shared" ref="AH22:AH30" si="5">COUNTIF(B22:AF22,"I")</f>
        <v>16</v>
      </c>
      <c r="AI22" s="733">
        <f t="shared" ref="AI22:AI30" si="6">AG22/31</f>
        <v>0.4838709677</v>
      </c>
    </row>
    <row r="23" ht="15.75" customHeight="1">
      <c r="A23" s="729" t="s">
        <v>394</v>
      </c>
      <c r="B23" s="730" t="s">
        <v>3621</v>
      </c>
      <c r="C23" s="731" t="s">
        <v>3621</v>
      </c>
      <c r="D23" s="731" t="s">
        <v>3621</v>
      </c>
      <c r="E23" s="732" t="s">
        <v>3621</v>
      </c>
      <c r="F23" s="731" t="s">
        <v>3621</v>
      </c>
      <c r="G23" s="731" t="s">
        <v>3621</v>
      </c>
      <c r="H23" s="731" t="s">
        <v>3621</v>
      </c>
      <c r="I23" s="731" t="s">
        <v>3470</v>
      </c>
      <c r="J23" s="732" t="s">
        <v>3470</v>
      </c>
      <c r="K23" s="732" t="s">
        <v>3470</v>
      </c>
      <c r="L23" s="573" t="s">
        <v>3470</v>
      </c>
      <c r="M23" s="573" t="s">
        <v>3470</v>
      </c>
      <c r="N23" s="573" t="s">
        <v>3470</v>
      </c>
      <c r="O23" s="573" t="s">
        <v>3470</v>
      </c>
      <c r="P23" s="573" t="s">
        <v>3470</v>
      </c>
      <c r="Q23" s="573" t="s">
        <v>3470</v>
      </c>
      <c r="R23" s="573" t="s">
        <v>3470</v>
      </c>
      <c r="S23" s="573" t="s">
        <v>3470</v>
      </c>
      <c r="T23" s="573" t="s">
        <v>3470</v>
      </c>
      <c r="U23" s="573" t="s">
        <v>3470</v>
      </c>
      <c r="V23" s="573" t="s">
        <v>3470</v>
      </c>
      <c r="W23" s="573" t="s">
        <v>3470</v>
      </c>
      <c r="X23" s="573" t="s">
        <v>3470</v>
      </c>
      <c r="Y23" s="573" t="s">
        <v>3470</v>
      </c>
      <c r="Z23" s="573" t="s">
        <v>3470</v>
      </c>
      <c r="AA23" s="573" t="s">
        <v>3470</v>
      </c>
      <c r="AB23" s="573" t="s">
        <v>3470</v>
      </c>
      <c r="AC23" s="573" t="s">
        <v>3470</v>
      </c>
      <c r="AD23" s="573" t="s">
        <v>3470</v>
      </c>
      <c r="AE23" s="573" t="s">
        <v>3470</v>
      </c>
      <c r="AF23" s="573" t="s">
        <v>3621</v>
      </c>
      <c r="AG23" s="573">
        <f t="shared" si="4"/>
        <v>23</v>
      </c>
      <c r="AH23" s="573">
        <f t="shared" si="5"/>
        <v>8</v>
      </c>
      <c r="AI23" s="733">
        <f t="shared" si="6"/>
        <v>0.7419354839</v>
      </c>
    </row>
    <row r="24" ht="15.75" customHeight="1">
      <c r="A24" s="729" t="s">
        <v>419</v>
      </c>
      <c r="B24" s="730" t="s">
        <v>3470</v>
      </c>
      <c r="C24" s="731" t="s">
        <v>3470</v>
      </c>
      <c r="D24" s="573" t="s">
        <v>3470</v>
      </c>
      <c r="E24" s="573" t="s">
        <v>3470</v>
      </c>
      <c r="F24" s="573" t="s">
        <v>3470</v>
      </c>
      <c r="G24" s="573" t="s">
        <v>3470</v>
      </c>
      <c r="H24" s="573" t="s">
        <v>3470</v>
      </c>
      <c r="I24" s="573" t="s">
        <v>3470</v>
      </c>
      <c r="J24" s="732" t="s">
        <v>3470</v>
      </c>
      <c r="K24" s="732" t="s">
        <v>3470</v>
      </c>
      <c r="L24" s="573" t="s">
        <v>3470</v>
      </c>
      <c r="M24" s="573" t="s">
        <v>3470</v>
      </c>
      <c r="N24" s="573" t="s">
        <v>3470</v>
      </c>
      <c r="O24" s="573" t="s">
        <v>3470</v>
      </c>
      <c r="P24" s="573" t="s">
        <v>3470</v>
      </c>
      <c r="Q24" s="573" t="s">
        <v>3470</v>
      </c>
      <c r="R24" s="573" t="s">
        <v>3470</v>
      </c>
      <c r="S24" s="573" t="s">
        <v>3470</v>
      </c>
      <c r="T24" s="573" t="s">
        <v>3470</v>
      </c>
      <c r="U24" s="573" t="s">
        <v>3470</v>
      </c>
      <c r="V24" s="573" t="s">
        <v>3470</v>
      </c>
      <c r="W24" s="573" t="s">
        <v>3470</v>
      </c>
      <c r="X24" s="573" t="s">
        <v>3470</v>
      </c>
      <c r="Y24" s="573" t="s">
        <v>3470</v>
      </c>
      <c r="Z24" s="573" t="s">
        <v>3470</v>
      </c>
      <c r="AA24" s="573" t="s">
        <v>3470</v>
      </c>
      <c r="AB24" s="573" t="s">
        <v>3470</v>
      </c>
      <c r="AC24" s="573" t="s">
        <v>3470</v>
      </c>
      <c r="AD24" s="573" t="s">
        <v>3470</v>
      </c>
      <c r="AE24" s="573" t="s">
        <v>3470</v>
      </c>
      <c r="AF24" s="573" t="s">
        <v>3621</v>
      </c>
      <c r="AG24" s="573">
        <f t="shared" si="4"/>
        <v>30</v>
      </c>
      <c r="AH24" s="573">
        <f t="shared" si="5"/>
        <v>1</v>
      </c>
      <c r="AI24" s="733">
        <f t="shared" si="6"/>
        <v>0.9677419355</v>
      </c>
    </row>
    <row r="25" ht="15.75" customHeight="1">
      <c r="A25" s="734" t="s">
        <v>3622</v>
      </c>
      <c r="B25" s="730" t="s">
        <v>3621</v>
      </c>
      <c r="C25" s="726" t="s">
        <v>3621</v>
      </c>
      <c r="D25" s="573" t="s">
        <v>3621</v>
      </c>
      <c r="E25" s="732" t="s">
        <v>3621</v>
      </c>
      <c r="F25" s="573" t="s">
        <v>3621</v>
      </c>
      <c r="G25" s="573" t="s">
        <v>3621</v>
      </c>
      <c r="H25" s="573" t="s">
        <v>3621</v>
      </c>
      <c r="I25" s="573" t="s">
        <v>3621</v>
      </c>
      <c r="J25" s="732" t="s">
        <v>3621</v>
      </c>
      <c r="K25" s="732" t="s">
        <v>3470</v>
      </c>
      <c r="L25" s="573" t="s">
        <v>3470</v>
      </c>
      <c r="M25" s="573" t="s">
        <v>3470</v>
      </c>
      <c r="N25" s="573" t="s">
        <v>3470</v>
      </c>
      <c r="O25" s="573" t="s">
        <v>3470</v>
      </c>
      <c r="P25" s="573" t="s">
        <v>3470</v>
      </c>
      <c r="Q25" s="573" t="s">
        <v>3470</v>
      </c>
      <c r="R25" s="573" t="s">
        <v>3470</v>
      </c>
      <c r="S25" s="573" t="s">
        <v>3470</v>
      </c>
      <c r="T25" s="573" t="s">
        <v>3470</v>
      </c>
      <c r="U25" s="573" t="s">
        <v>3470</v>
      </c>
      <c r="V25" s="573" t="s">
        <v>3470</v>
      </c>
      <c r="W25" s="573" t="s">
        <v>3621</v>
      </c>
      <c r="X25" s="573" t="s">
        <v>3621</v>
      </c>
      <c r="Y25" s="573" t="s">
        <v>3621</v>
      </c>
      <c r="Z25" s="573" t="s">
        <v>3621</v>
      </c>
      <c r="AA25" s="573" t="s">
        <v>3470</v>
      </c>
      <c r="AB25" s="573" t="s">
        <v>3470</v>
      </c>
      <c r="AC25" s="573" t="s">
        <v>3470</v>
      </c>
      <c r="AD25" s="573" t="s">
        <v>3470</v>
      </c>
      <c r="AE25" s="573" t="s">
        <v>3470</v>
      </c>
      <c r="AF25" s="573" t="s">
        <v>3621</v>
      </c>
      <c r="AG25" s="573">
        <f t="shared" si="4"/>
        <v>17</v>
      </c>
      <c r="AH25" s="573">
        <f t="shared" si="5"/>
        <v>14</v>
      </c>
      <c r="AI25" s="733">
        <f t="shared" si="6"/>
        <v>0.5483870968</v>
      </c>
    </row>
    <row r="26" ht="15.75" customHeight="1">
      <c r="A26" s="734" t="s">
        <v>162</v>
      </c>
      <c r="B26" s="730" t="s">
        <v>3621</v>
      </c>
      <c r="C26" s="726" t="s">
        <v>3621</v>
      </c>
      <c r="D26" s="573" t="s">
        <v>3621</v>
      </c>
      <c r="E26" s="732" t="s">
        <v>3621</v>
      </c>
      <c r="F26" s="573" t="s">
        <v>3621</v>
      </c>
      <c r="G26" s="573" t="s">
        <v>3470</v>
      </c>
      <c r="H26" s="573" t="s">
        <v>3470</v>
      </c>
      <c r="I26" s="573" t="s">
        <v>3470</v>
      </c>
      <c r="J26" s="732" t="s">
        <v>3470</v>
      </c>
      <c r="K26" s="732" t="s">
        <v>3470</v>
      </c>
      <c r="L26" s="573" t="s">
        <v>3470</v>
      </c>
      <c r="M26" s="573" t="s">
        <v>3470</v>
      </c>
      <c r="N26" s="573" t="s">
        <v>3470</v>
      </c>
      <c r="O26" s="573" t="s">
        <v>3470</v>
      </c>
      <c r="P26" s="573" t="s">
        <v>3470</v>
      </c>
      <c r="Q26" s="573" t="s">
        <v>3470</v>
      </c>
      <c r="R26" s="573" t="s">
        <v>3470</v>
      </c>
      <c r="S26" s="573" t="s">
        <v>3470</v>
      </c>
      <c r="T26" s="573" t="s">
        <v>3470</v>
      </c>
      <c r="U26" s="573" t="s">
        <v>3470</v>
      </c>
      <c r="V26" s="573" t="s">
        <v>3470</v>
      </c>
      <c r="W26" s="573" t="s">
        <v>3470</v>
      </c>
      <c r="X26" s="573" t="s">
        <v>3470</v>
      </c>
      <c r="Y26" s="573" t="s">
        <v>3470</v>
      </c>
      <c r="Z26" s="573" t="s">
        <v>3470</v>
      </c>
      <c r="AA26" s="573" t="s">
        <v>3470</v>
      </c>
      <c r="AB26" s="573" t="s">
        <v>3470</v>
      </c>
      <c r="AC26" s="573" t="s">
        <v>3470</v>
      </c>
      <c r="AD26" s="573" t="s">
        <v>3470</v>
      </c>
      <c r="AE26" s="573" t="s">
        <v>3470</v>
      </c>
      <c r="AF26" s="573" t="s">
        <v>3621</v>
      </c>
      <c r="AG26" s="573">
        <f t="shared" si="4"/>
        <v>25</v>
      </c>
      <c r="AH26" s="573">
        <f t="shared" si="5"/>
        <v>6</v>
      </c>
      <c r="AI26" s="733">
        <f t="shared" si="6"/>
        <v>0.8064516129</v>
      </c>
    </row>
    <row r="27" ht="15.75" customHeight="1">
      <c r="A27" s="734" t="s">
        <v>145</v>
      </c>
      <c r="B27" s="730" t="s">
        <v>3621</v>
      </c>
      <c r="C27" s="726" t="s">
        <v>3621</v>
      </c>
      <c r="D27" s="573" t="s">
        <v>3621</v>
      </c>
      <c r="E27" s="732" t="s">
        <v>3621</v>
      </c>
      <c r="F27" s="573" t="s">
        <v>3621</v>
      </c>
      <c r="G27" s="573" t="s">
        <v>3470</v>
      </c>
      <c r="H27" s="573" t="s">
        <v>3470</v>
      </c>
      <c r="I27" s="573" t="s">
        <v>3470</v>
      </c>
      <c r="J27" s="732" t="s">
        <v>3470</v>
      </c>
      <c r="K27" s="732" t="s">
        <v>3470</v>
      </c>
      <c r="L27" s="573" t="s">
        <v>3470</v>
      </c>
      <c r="M27" s="573" t="s">
        <v>3470</v>
      </c>
      <c r="N27" s="573" t="s">
        <v>3470</v>
      </c>
      <c r="O27" s="573" t="s">
        <v>3470</v>
      </c>
      <c r="P27" s="573" t="s">
        <v>3470</v>
      </c>
      <c r="Q27" s="573" t="s">
        <v>3470</v>
      </c>
      <c r="R27" s="573" t="s">
        <v>3470</v>
      </c>
      <c r="S27" s="573" t="s">
        <v>3470</v>
      </c>
      <c r="T27" s="573" t="s">
        <v>3470</v>
      </c>
      <c r="U27" s="573" t="s">
        <v>3470</v>
      </c>
      <c r="V27" s="573" t="s">
        <v>3470</v>
      </c>
      <c r="W27" s="573" t="s">
        <v>3470</v>
      </c>
      <c r="X27" s="573" t="s">
        <v>3470</v>
      </c>
      <c r="Y27" s="573" t="s">
        <v>3470</v>
      </c>
      <c r="Z27" s="573" t="s">
        <v>3470</v>
      </c>
      <c r="AA27" s="573" t="s">
        <v>3470</v>
      </c>
      <c r="AB27" s="573" t="s">
        <v>3470</v>
      </c>
      <c r="AC27" s="573" t="s">
        <v>3470</v>
      </c>
      <c r="AD27" s="573" t="s">
        <v>3470</v>
      </c>
      <c r="AE27" s="573" t="s">
        <v>3470</v>
      </c>
      <c r="AF27" s="573" t="s">
        <v>3621</v>
      </c>
      <c r="AG27" s="573">
        <f t="shared" si="4"/>
        <v>25</v>
      </c>
      <c r="AH27" s="573">
        <f t="shared" si="5"/>
        <v>6</v>
      </c>
      <c r="AI27" s="733">
        <f t="shared" si="6"/>
        <v>0.8064516129</v>
      </c>
    </row>
    <row r="28" ht="15.75" customHeight="1">
      <c r="A28" s="734" t="s">
        <v>3351</v>
      </c>
      <c r="B28" s="736" t="s">
        <v>3621</v>
      </c>
      <c r="C28" s="726" t="s">
        <v>3621</v>
      </c>
      <c r="D28" s="573" t="s">
        <v>3621</v>
      </c>
      <c r="E28" s="732" t="s">
        <v>3470</v>
      </c>
      <c r="F28" s="573" t="s">
        <v>3470</v>
      </c>
      <c r="G28" s="573" t="s">
        <v>3470</v>
      </c>
      <c r="H28" s="573" t="s">
        <v>3470</v>
      </c>
      <c r="I28" s="573" t="s">
        <v>3470</v>
      </c>
      <c r="J28" s="732" t="s">
        <v>3470</v>
      </c>
      <c r="K28" s="732" t="s">
        <v>3470</v>
      </c>
      <c r="L28" s="573" t="s">
        <v>3470</v>
      </c>
      <c r="M28" s="573" t="s">
        <v>3470</v>
      </c>
      <c r="N28" s="573" t="s">
        <v>3470</v>
      </c>
      <c r="O28" s="573" t="s">
        <v>3470</v>
      </c>
      <c r="P28" s="573" t="s">
        <v>3470</v>
      </c>
      <c r="Q28" s="573" t="s">
        <v>3470</v>
      </c>
      <c r="R28" s="573" t="s">
        <v>3470</v>
      </c>
      <c r="S28" s="573" t="s">
        <v>3470</v>
      </c>
      <c r="T28" s="573" t="s">
        <v>3621</v>
      </c>
      <c r="U28" s="573" t="s">
        <v>3621</v>
      </c>
      <c r="V28" s="573" t="s">
        <v>3621</v>
      </c>
      <c r="W28" s="573" t="s">
        <v>3621</v>
      </c>
      <c r="X28" s="573" t="s">
        <v>3621</v>
      </c>
      <c r="Y28" s="573" t="s">
        <v>3621</v>
      </c>
      <c r="Z28" s="573" t="s">
        <v>3621</v>
      </c>
      <c r="AA28" s="573" t="s">
        <v>3621</v>
      </c>
      <c r="AB28" s="573" t="s">
        <v>3621</v>
      </c>
      <c r="AC28" s="573" t="s">
        <v>3621</v>
      </c>
      <c r="AD28" s="573" t="s">
        <v>3621</v>
      </c>
      <c r="AE28" s="573" t="s">
        <v>3621</v>
      </c>
      <c r="AF28" s="573" t="s">
        <v>3621</v>
      </c>
      <c r="AG28" s="573">
        <f t="shared" si="4"/>
        <v>15</v>
      </c>
      <c r="AH28" s="573">
        <f t="shared" si="5"/>
        <v>16</v>
      </c>
      <c r="AI28" s="733">
        <f t="shared" si="6"/>
        <v>0.4838709677</v>
      </c>
    </row>
    <row r="29" ht="15.75" customHeight="1">
      <c r="A29" s="582" t="s">
        <v>3353</v>
      </c>
      <c r="B29" s="573" t="s">
        <v>3621</v>
      </c>
      <c r="C29" s="573" t="s">
        <v>3621</v>
      </c>
      <c r="D29" s="573" t="s">
        <v>3621</v>
      </c>
      <c r="E29" s="573" t="s">
        <v>3621</v>
      </c>
      <c r="F29" s="573" t="s">
        <v>3621</v>
      </c>
      <c r="G29" s="573" t="s">
        <v>3621</v>
      </c>
      <c r="H29" s="573" t="s">
        <v>3621</v>
      </c>
      <c r="I29" s="573" t="s">
        <v>3470</v>
      </c>
      <c r="J29" s="573" t="s">
        <v>3470</v>
      </c>
      <c r="K29" s="573" t="s">
        <v>3470</v>
      </c>
      <c r="L29" s="573" t="s">
        <v>3470</v>
      </c>
      <c r="M29" s="573" t="s">
        <v>3470</v>
      </c>
      <c r="N29" s="573" t="s">
        <v>3470</v>
      </c>
      <c r="O29" s="573" t="s">
        <v>3470</v>
      </c>
      <c r="P29" s="573" t="s">
        <v>3470</v>
      </c>
      <c r="Q29" s="573" t="s">
        <v>3470</v>
      </c>
      <c r="R29" s="573" t="s">
        <v>3470</v>
      </c>
      <c r="S29" s="573" t="s">
        <v>3470</v>
      </c>
      <c r="T29" s="573" t="s">
        <v>3470</v>
      </c>
      <c r="U29" s="573" t="s">
        <v>3470</v>
      </c>
      <c r="V29" s="573" t="s">
        <v>3470</v>
      </c>
      <c r="W29" s="573" t="s">
        <v>3470</v>
      </c>
      <c r="X29" s="573" t="s">
        <v>3470</v>
      </c>
      <c r="Y29" s="573" t="s">
        <v>3470</v>
      </c>
      <c r="Z29" s="573" t="s">
        <v>3470</v>
      </c>
      <c r="AA29" s="573" t="s">
        <v>3470</v>
      </c>
      <c r="AB29" s="573" t="s">
        <v>3470</v>
      </c>
      <c r="AC29" s="573" t="s">
        <v>3470</v>
      </c>
      <c r="AD29" s="573" t="s">
        <v>3470</v>
      </c>
      <c r="AE29" s="573" t="s">
        <v>3470</v>
      </c>
      <c r="AF29" s="573" t="s">
        <v>3621</v>
      </c>
      <c r="AG29" s="573">
        <f t="shared" si="4"/>
        <v>23</v>
      </c>
      <c r="AH29" s="573">
        <f t="shared" si="5"/>
        <v>8</v>
      </c>
      <c r="AI29" s="733">
        <f t="shared" si="6"/>
        <v>0.7419354839</v>
      </c>
    </row>
    <row r="30" ht="15.75" customHeight="1">
      <c r="A30" s="579" t="s">
        <v>3359</v>
      </c>
      <c r="B30" s="573" t="s">
        <v>3621</v>
      </c>
      <c r="C30" s="573" t="s">
        <v>3621</v>
      </c>
      <c r="D30" s="737" t="s">
        <v>3621</v>
      </c>
      <c r="E30" s="573" t="s">
        <v>3621</v>
      </c>
      <c r="F30" s="573" t="s">
        <v>3621</v>
      </c>
      <c r="G30" s="573" t="s">
        <v>3621</v>
      </c>
      <c r="H30" s="573" t="s">
        <v>3621</v>
      </c>
      <c r="I30" s="573" t="s">
        <v>3621</v>
      </c>
      <c r="J30" s="573" t="s">
        <v>3621</v>
      </c>
      <c r="K30" s="573" t="s">
        <v>3621</v>
      </c>
      <c r="L30" s="573" t="s">
        <v>3621</v>
      </c>
      <c r="M30" s="573" t="s">
        <v>3621</v>
      </c>
      <c r="N30" s="573" t="s">
        <v>3470</v>
      </c>
      <c r="O30" s="573" t="s">
        <v>3470</v>
      </c>
      <c r="P30" s="573" t="s">
        <v>3470</v>
      </c>
      <c r="Q30" s="573" t="s">
        <v>3470</v>
      </c>
      <c r="R30" s="573" t="s">
        <v>3470</v>
      </c>
      <c r="S30" s="573" t="s">
        <v>3470</v>
      </c>
      <c r="T30" s="573" t="s">
        <v>3470</v>
      </c>
      <c r="U30" s="573" t="s">
        <v>3470</v>
      </c>
      <c r="V30" s="573" t="s">
        <v>3470</v>
      </c>
      <c r="W30" s="573" t="s">
        <v>3470</v>
      </c>
      <c r="X30" s="573" t="s">
        <v>3470</v>
      </c>
      <c r="Y30" s="573" t="s">
        <v>3470</v>
      </c>
      <c r="Z30" s="573" t="s">
        <v>3470</v>
      </c>
      <c r="AA30" s="573" t="s">
        <v>3470</v>
      </c>
      <c r="AB30" s="573" t="s">
        <v>3470</v>
      </c>
      <c r="AC30" s="573" t="s">
        <v>3470</v>
      </c>
      <c r="AD30" s="573" t="s">
        <v>3470</v>
      </c>
      <c r="AE30" s="573" t="s">
        <v>3470</v>
      </c>
      <c r="AF30" s="573" t="s">
        <v>3621</v>
      </c>
      <c r="AG30" s="573">
        <f t="shared" si="4"/>
        <v>18</v>
      </c>
      <c r="AH30" s="573">
        <f t="shared" si="5"/>
        <v>13</v>
      </c>
      <c r="AI30" s="733">
        <f t="shared" si="6"/>
        <v>0.5806451613</v>
      </c>
    </row>
    <row r="31" ht="15.75" customHeight="1"/>
    <row r="32" ht="15.75" customHeight="1"/>
    <row r="33" ht="15.75" customHeight="1">
      <c r="R33" s="575">
        <f>COUNTIF(B22:P30,"D")</f>
        <v>87</v>
      </c>
      <c r="T33" s="575">
        <f>COUNTIF(Q22:AF30,"D")</f>
        <v>104</v>
      </c>
    </row>
    <row r="34" ht="15.75" customHeight="1">
      <c r="S34" s="575">
        <f>R33+T33</f>
        <v>191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AF12 B22:AF30">
    <cfRule type="cellIs" dxfId="3" priority="1" operator="equal">
      <formula>"D"</formula>
    </cfRule>
  </conditionalFormatting>
  <conditionalFormatting sqref="B2:AF12 B22:AF30">
    <cfRule type="cellIs" dxfId="4" priority="2" operator="equal">
      <formula>"I"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1.63"/>
    <col customWidth="1" min="3" max="3" width="20.88"/>
    <col customWidth="1" min="4" max="4" width="12.63"/>
    <col customWidth="1" min="5" max="5" width="17.5"/>
    <col customWidth="1" min="6" max="6" width="12.63"/>
    <col customWidth="1" min="7" max="7" width="17.5"/>
    <col customWidth="1" min="9" max="9" width="25.5"/>
    <col customWidth="1" min="10" max="10" width="30.25"/>
    <col customWidth="1" min="11" max="11" width="14.88"/>
  </cols>
  <sheetData>
    <row r="1" ht="15.75" customHeight="1">
      <c r="A1" s="740" t="s">
        <v>3623</v>
      </c>
      <c r="B1" s="741" t="s">
        <v>3066</v>
      </c>
      <c r="C1" s="742" t="s">
        <v>3104</v>
      </c>
      <c r="D1" s="743" t="s">
        <v>11</v>
      </c>
      <c r="E1" s="743" t="s">
        <v>3105</v>
      </c>
      <c r="F1" s="743" t="s">
        <v>11</v>
      </c>
      <c r="G1" s="743" t="s">
        <v>3106</v>
      </c>
      <c r="H1" s="743" t="s">
        <v>11</v>
      </c>
      <c r="I1" s="744" t="s">
        <v>3107</v>
      </c>
      <c r="J1" s="745" t="s">
        <v>18</v>
      </c>
      <c r="K1" s="746" t="s">
        <v>3624</v>
      </c>
    </row>
    <row r="2" ht="15.75" customHeight="1">
      <c r="A2" s="747">
        <v>1.0</v>
      </c>
      <c r="B2" s="729" t="s">
        <v>394</v>
      </c>
      <c r="C2" s="729" t="s">
        <v>47</v>
      </c>
      <c r="D2" s="748" t="s">
        <v>48</v>
      </c>
      <c r="E2" s="729" t="s">
        <v>35</v>
      </c>
      <c r="F2" s="729" t="s">
        <v>48</v>
      </c>
      <c r="G2" s="729" t="s">
        <v>264</v>
      </c>
      <c r="H2" s="729" t="s">
        <v>59</v>
      </c>
      <c r="I2" s="749" t="s">
        <v>40</v>
      </c>
      <c r="J2" s="749" t="s">
        <v>3130</v>
      </c>
      <c r="K2" s="750" t="s">
        <v>3625</v>
      </c>
    </row>
    <row r="3" ht="15.75" customHeight="1">
      <c r="A3" s="747">
        <v>2.0</v>
      </c>
      <c r="B3" s="729" t="s">
        <v>3622</v>
      </c>
      <c r="C3" s="734" t="s">
        <v>47</v>
      </c>
      <c r="D3" s="751" t="s">
        <v>48</v>
      </c>
      <c r="E3" s="734" t="s">
        <v>3626</v>
      </c>
      <c r="F3" s="734" t="s">
        <v>48</v>
      </c>
      <c r="G3" s="734" t="s">
        <v>3627</v>
      </c>
      <c r="H3" s="734" t="s">
        <v>48</v>
      </c>
      <c r="I3" s="749" t="s">
        <v>3114</v>
      </c>
      <c r="J3" s="749" t="s">
        <v>3115</v>
      </c>
      <c r="K3" s="750"/>
    </row>
    <row r="4" ht="15.75" customHeight="1">
      <c r="A4" s="747">
        <v>3.0</v>
      </c>
      <c r="B4" s="729" t="s">
        <v>419</v>
      </c>
      <c r="C4" s="582" t="s">
        <v>47</v>
      </c>
      <c r="D4" s="582" t="s">
        <v>48</v>
      </c>
      <c r="E4" s="582" t="s">
        <v>264</v>
      </c>
      <c r="F4" s="582" t="s">
        <v>48</v>
      </c>
      <c r="G4" s="582" t="s">
        <v>47</v>
      </c>
      <c r="H4" s="582" t="s">
        <v>48</v>
      </c>
      <c r="I4" s="749" t="s">
        <v>3114</v>
      </c>
      <c r="J4" s="749" t="s">
        <v>3115</v>
      </c>
      <c r="K4" s="750"/>
    </row>
    <row r="5" ht="15.75" customHeight="1">
      <c r="A5" s="752">
        <v>4.0</v>
      </c>
      <c r="B5" s="582" t="s">
        <v>3353</v>
      </c>
      <c r="C5" s="582" t="s">
        <v>47</v>
      </c>
      <c r="D5" s="582" t="s">
        <v>48</v>
      </c>
      <c r="E5" s="582" t="s">
        <v>47</v>
      </c>
      <c r="F5" s="582" t="s">
        <v>48</v>
      </c>
      <c r="G5" s="582" t="s">
        <v>47</v>
      </c>
      <c r="H5" s="582" t="s">
        <v>48</v>
      </c>
      <c r="I5" s="749" t="s">
        <v>3114</v>
      </c>
      <c r="J5" s="749" t="s">
        <v>3115</v>
      </c>
      <c r="K5" s="750"/>
    </row>
    <row r="6" ht="15.75" customHeight="1">
      <c r="A6" s="752">
        <v>5.0</v>
      </c>
      <c r="B6" s="582" t="s">
        <v>162</v>
      </c>
      <c r="C6" s="582" t="s">
        <v>3628</v>
      </c>
      <c r="D6" s="582" t="s">
        <v>59</v>
      </c>
      <c r="E6" s="582" t="s">
        <v>3628</v>
      </c>
      <c r="F6" s="582" t="s">
        <v>59</v>
      </c>
      <c r="G6" s="582" t="s">
        <v>3333</v>
      </c>
      <c r="H6" s="582" t="s">
        <v>94</v>
      </c>
      <c r="I6" s="749" t="s">
        <v>40</v>
      </c>
      <c r="J6" s="749" t="s">
        <v>3391</v>
      </c>
      <c r="K6" s="750"/>
    </row>
    <row r="7" ht="15.75" customHeight="1">
      <c r="A7" s="752">
        <v>6.0</v>
      </c>
      <c r="B7" s="582" t="s">
        <v>145</v>
      </c>
      <c r="C7" s="582" t="s">
        <v>35</v>
      </c>
      <c r="D7" s="582" t="s">
        <v>48</v>
      </c>
      <c r="E7" s="582" t="s">
        <v>264</v>
      </c>
      <c r="F7" s="582" t="s">
        <v>59</v>
      </c>
      <c r="G7" s="582" t="s">
        <v>35</v>
      </c>
      <c r="H7" s="582" t="s">
        <v>48</v>
      </c>
      <c r="I7" s="749" t="s">
        <v>2909</v>
      </c>
      <c r="J7" s="749" t="s">
        <v>2909</v>
      </c>
      <c r="K7" s="750" t="s">
        <v>3625</v>
      </c>
    </row>
    <row r="8" ht="15.75" customHeight="1">
      <c r="A8" s="753">
        <v>7.0</v>
      </c>
      <c r="B8" s="579" t="s">
        <v>3359</v>
      </c>
      <c r="C8" s="579" t="s">
        <v>47</v>
      </c>
      <c r="D8" s="579" t="s">
        <v>48</v>
      </c>
      <c r="E8" s="579" t="s">
        <v>3329</v>
      </c>
      <c r="F8" s="579" t="s">
        <v>94</v>
      </c>
      <c r="G8" s="579" t="s">
        <v>47</v>
      </c>
      <c r="H8" s="579" t="s">
        <v>48</v>
      </c>
      <c r="I8" s="754" t="s">
        <v>3114</v>
      </c>
      <c r="J8" s="754" t="s">
        <v>3115</v>
      </c>
      <c r="K8" s="755"/>
    </row>
    <row r="9" ht="15.75" customHeight="1">
      <c r="C9" s="573"/>
      <c r="D9" s="573"/>
      <c r="E9" s="573"/>
      <c r="F9" s="573"/>
      <c r="G9" s="573"/>
      <c r="H9" s="573"/>
      <c r="I9" s="573"/>
    </row>
    <row r="10" ht="15.75" customHeight="1">
      <c r="C10" s="573"/>
      <c r="D10" s="573"/>
      <c r="E10" s="573"/>
      <c r="F10" s="573"/>
      <c r="G10" s="573"/>
      <c r="H10" s="573"/>
      <c r="I10" s="573"/>
    </row>
    <row r="11" ht="15.75" customHeight="1">
      <c r="C11" s="573"/>
      <c r="D11" s="573"/>
      <c r="E11" s="573"/>
      <c r="F11" s="573" t="s">
        <v>3629</v>
      </c>
      <c r="G11" s="573"/>
      <c r="H11" s="573"/>
      <c r="I11" s="573"/>
    </row>
    <row r="12" ht="15.75" customHeight="1">
      <c r="C12" s="737"/>
      <c r="D12" s="573"/>
      <c r="E12" s="573"/>
      <c r="F12" s="573" t="s">
        <v>3630</v>
      </c>
      <c r="G12" s="573"/>
      <c r="H12" s="573"/>
      <c r="I12" s="573"/>
      <c r="J12" s="573"/>
      <c r="K12" s="573"/>
      <c r="L12" s="573"/>
      <c r="M12" s="573"/>
    </row>
    <row r="13" ht="15.75" customHeight="1">
      <c r="C13" s="726"/>
      <c r="D13" s="573"/>
      <c r="E13" s="573"/>
      <c r="F13" s="573" t="s">
        <v>3631</v>
      </c>
      <c r="G13" s="739"/>
    </row>
    <row r="14" ht="15.75" customHeight="1">
      <c r="C14" s="726"/>
      <c r="D14" s="573"/>
      <c r="E14" s="756"/>
    </row>
    <row r="15" ht="15.75" customHeight="1">
      <c r="C15" s="573"/>
      <c r="D15" s="573"/>
      <c r="E15" s="573"/>
      <c r="G15" s="757"/>
    </row>
    <row r="16" ht="15.75" customHeight="1">
      <c r="C16" s="573"/>
      <c r="D16" s="573"/>
      <c r="E16" s="573"/>
      <c r="F16" s="57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J2:J8">
      <formula1>Apoio!$Y$4:$Y$19</formula1>
    </dataValidation>
    <dataValidation type="list" allowBlank="1" showErrorMessage="1" sqref="I2:I8">
      <formula1>Apoio!$AA$4:$AA$16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35.0"/>
    <col customWidth="1" min="3" max="3" width="8.38"/>
    <col customWidth="1" min="4" max="4" width="10.25"/>
    <col customWidth="1" min="5" max="5" width="9.5"/>
    <col customWidth="1" min="6" max="6" width="10.25"/>
    <col customWidth="1" min="7" max="7" width="13.13"/>
    <col customWidth="1" min="8" max="8" width="11.63"/>
    <col customWidth="1" min="9" max="9" width="16.63"/>
    <col customWidth="1" min="10" max="10" width="20.63"/>
    <col customWidth="1" min="11" max="11" width="24.13"/>
    <col customWidth="1" min="12" max="12" width="17.0"/>
    <col customWidth="1" min="13" max="13" width="21.0"/>
    <col customWidth="1" min="14" max="14" width="48.88"/>
    <col customWidth="1" min="15" max="15" width="20.0"/>
    <col customWidth="1" min="16" max="16" width="14.5"/>
    <col customWidth="1" min="17" max="17" width="22.38"/>
    <col customWidth="1" min="18" max="18" width="14.5"/>
    <col customWidth="1" min="19" max="19" width="15.63"/>
    <col customWidth="1" min="20" max="20" width="9.5"/>
    <col customWidth="1" min="21" max="21" width="14.5"/>
    <col customWidth="1" min="22" max="22" width="15.25"/>
    <col customWidth="1" min="23" max="23" width="8.63"/>
  </cols>
  <sheetData>
    <row r="1" ht="15.75" customHeight="1">
      <c r="A1" s="758" t="s">
        <v>3382</v>
      </c>
      <c r="B1" s="758" t="s">
        <v>3384</v>
      </c>
      <c r="C1" s="758" t="s">
        <v>3632</v>
      </c>
      <c r="D1" s="758" t="s">
        <v>3633</v>
      </c>
      <c r="E1" s="758" t="s">
        <v>3634</v>
      </c>
      <c r="F1" s="758" t="s">
        <v>3635</v>
      </c>
      <c r="G1" s="758" t="s">
        <v>3636</v>
      </c>
      <c r="H1" s="758" t="s">
        <v>3637</v>
      </c>
      <c r="I1" s="758" t="s">
        <v>3384</v>
      </c>
      <c r="J1" s="758" t="s">
        <v>3638</v>
      </c>
      <c r="K1" s="758" t="s">
        <v>3639</v>
      </c>
      <c r="L1" s="758" t="s">
        <v>3640</v>
      </c>
      <c r="M1" s="758" t="s">
        <v>3641</v>
      </c>
      <c r="N1" s="758" t="s">
        <v>3642</v>
      </c>
      <c r="O1" s="758" t="s">
        <v>3643</v>
      </c>
      <c r="P1" s="758" t="s">
        <v>3644</v>
      </c>
      <c r="Q1" s="758" t="s">
        <v>3645</v>
      </c>
      <c r="R1" s="758" t="s">
        <v>3646</v>
      </c>
      <c r="S1" s="758" t="s">
        <v>3647</v>
      </c>
      <c r="T1" s="758" t="s">
        <v>3648</v>
      </c>
      <c r="U1" s="758" t="s">
        <v>3649</v>
      </c>
      <c r="V1" s="758" t="s">
        <v>3650</v>
      </c>
      <c r="W1" s="758" t="s">
        <v>3651</v>
      </c>
    </row>
    <row r="2" ht="15.75" customHeight="1">
      <c r="A2" s="759" t="s">
        <v>3387</v>
      </c>
      <c r="B2" s="759" t="s">
        <v>3387</v>
      </c>
      <c r="C2" s="760">
        <v>5.0509384E7</v>
      </c>
      <c r="D2" s="760">
        <v>1.000597509E9</v>
      </c>
      <c r="E2" s="759" t="s">
        <v>3652</v>
      </c>
      <c r="F2" s="759"/>
      <c r="G2" s="759" t="s">
        <v>3653</v>
      </c>
      <c r="H2" s="759" t="s">
        <v>3654</v>
      </c>
      <c r="I2" s="759" t="s">
        <v>3655</v>
      </c>
      <c r="J2" s="759" t="s">
        <v>3656</v>
      </c>
      <c r="K2" s="759" t="s">
        <v>3657</v>
      </c>
      <c r="L2" s="759" t="s">
        <v>35</v>
      </c>
      <c r="M2" s="759" t="s">
        <v>3658</v>
      </c>
      <c r="N2" s="759" t="s">
        <v>3659</v>
      </c>
      <c r="O2" s="759" t="s">
        <v>270</v>
      </c>
      <c r="P2" s="761">
        <v>45293.75763888889</v>
      </c>
      <c r="Q2" s="759" t="s">
        <v>3660</v>
      </c>
      <c r="R2" s="761">
        <v>45293.799305555556</v>
      </c>
      <c r="S2" s="759" t="s">
        <v>3661</v>
      </c>
      <c r="T2" s="760">
        <v>26.0</v>
      </c>
      <c r="U2" s="761">
        <v>45293.0</v>
      </c>
      <c r="V2" s="761">
        <v>45293.49236111111</v>
      </c>
      <c r="W2" s="759" t="s">
        <v>3662</v>
      </c>
    </row>
    <row r="3" ht="15.75" customHeight="1">
      <c r="A3" s="759" t="s">
        <v>3387</v>
      </c>
      <c r="B3" s="759" t="s">
        <v>3387</v>
      </c>
      <c r="C3" s="760">
        <v>5.047635E7</v>
      </c>
      <c r="D3" s="760">
        <v>1.000597903E9</v>
      </c>
      <c r="E3" s="759" t="s">
        <v>3652</v>
      </c>
      <c r="F3" s="759"/>
      <c r="G3" s="759" t="s">
        <v>3653</v>
      </c>
      <c r="H3" s="759" t="s">
        <v>3654</v>
      </c>
      <c r="I3" s="759" t="s">
        <v>3655</v>
      </c>
      <c r="J3" s="759" t="s">
        <v>3656</v>
      </c>
      <c r="K3" s="759" t="s">
        <v>3657</v>
      </c>
      <c r="L3" s="759" t="s">
        <v>35</v>
      </c>
      <c r="M3" s="759" t="s">
        <v>3658</v>
      </c>
      <c r="N3" s="759" t="s">
        <v>3659</v>
      </c>
      <c r="O3" s="759" t="s">
        <v>270</v>
      </c>
      <c r="P3" s="761">
        <v>45293.575</v>
      </c>
      <c r="Q3" s="759" t="s">
        <v>3660</v>
      </c>
      <c r="R3" s="761">
        <v>45293.61666666667</v>
      </c>
      <c r="S3" s="759" t="s">
        <v>3663</v>
      </c>
      <c r="T3" s="760">
        <v>26.0</v>
      </c>
      <c r="U3" s="761">
        <v>45293.0</v>
      </c>
      <c r="V3" s="761">
        <v>45293.49236111111</v>
      </c>
      <c r="W3" s="759" t="s">
        <v>3662</v>
      </c>
    </row>
    <row r="4" ht="15.75" customHeight="1">
      <c r="A4" s="759" t="s">
        <v>3387</v>
      </c>
      <c r="B4" s="759" t="s">
        <v>3387</v>
      </c>
      <c r="C4" s="760">
        <v>5.0477397E7</v>
      </c>
      <c r="D4" s="760">
        <v>1.000598006E9</v>
      </c>
      <c r="E4" s="759" t="s">
        <v>3652</v>
      </c>
      <c r="F4" s="760">
        <v>4.503341395E9</v>
      </c>
      <c r="G4" s="759" t="s">
        <v>3653</v>
      </c>
      <c r="H4" s="759" t="s">
        <v>3664</v>
      </c>
      <c r="I4" s="759" t="s">
        <v>3655</v>
      </c>
      <c r="J4" s="759" t="s">
        <v>3656</v>
      </c>
      <c r="K4" s="759" t="s">
        <v>3657</v>
      </c>
      <c r="L4" s="759" t="s">
        <v>35</v>
      </c>
      <c r="M4" s="759" t="s">
        <v>3665</v>
      </c>
      <c r="N4" s="759" t="s">
        <v>3659</v>
      </c>
      <c r="O4" s="759" t="s">
        <v>3666</v>
      </c>
      <c r="P4" s="761">
        <v>45293.58263888889</v>
      </c>
      <c r="Q4" s="759" t="s">
        <v>3667</v>
      </c>
      <c r="R4" s="761">
        <v>45293.62430555555</v>
      </c>
      <c r="S4" s="759" t="s">
        <v>3661</v>
      </c>
      <c r="T4" s="760">
        <v>26.0</v>
      </c>
      <c r="U4" s="761">
        <v>45293.0</v>
      </c>
      <c r="V4" s="761">
        <v>45293.475</v>
      </c>
      <c r="W4" s="759" t="s">
        <v>3662</v>
      </c>
    </row>
    <row r="5" ht="15.75" customHeight="1">
      <c r="A5" s="759" t="s">
        <v>3387</v>
      </c>
      <c r="B5" s="759" t="s">
        <v>3387</v>
      </c>
      <c r="C5" s="760">
        <v>5.0632181E7</v>
      </c>
      <c r="D5" s="760">
        <v>1.000599667E9</v>
      </c>
      <c r="E5" s="759" t="s">
        <v>3652</v>
      </c>
      <c r="F5" s="759"/>
      <c r="G5" s="759" t="s">
        <v>3653</v>
      </c>
      <c r="H5" s="759" t="s">
        <v>3668</v>
      </c>
      <c r="I5" s="759" t="s">
        <v>3655</v>
      </c>
      <c r="J5" s="759" t="s">
        <v>3656</v>
      </c>
      <c r="K5" s="759" t="s">
        <v>3657</v>
      </c>
      <c r="L5" s="759" t="s">
        <v>35</v>
      </c>
      <c r="M5" s="759" t="s">
        <v>3669</v>
      </c>
      <c r="N5" s="759" t="s">
        <v>3659</v>
      </c>
      <c r="O5" s="759" t="s">
        <v>2129</v>
      </c>
      <c r="P5" s="761">
        <v>45294.54652777778</v>
      </c>
      <c r="Q5" s="759" t="s">
        <v>3670</v>
      </c>
      <c r="R5" s="761">
        <v>45294.58819444444</v>
      </c>
      <c r="S5" s="759" t="s">
        <v>3661</v>
      </c>
      <c r="T5" s="760">
        <v>26.0</v>
      </c>
      <c r="U5" s="761">
        <v>45294.0</v>
      </c>
      <c r="V5" s="761">
        <v>45294.415972222225</v>
      </c>
      <c r="W5" s="759" t="s">
        <v>3662</v>
      </c>
    </row>
    <row r="6" ht="15.75" customHeight="1">
      <c r="A6" s="759" t="s">
        <v>3387</v>
      </c>
      <c r="B6" s="759" t="s">
        <v>3387</v>
      </c>
      <c r="C6" s="760">
        <v>5.0632182E7</v>
      </c>
      <c r="D6" s="760">
        <v>1.00059969E9</v>
      </c>
      <c r="E6" s="759" t="s">
        <v>3652</v>
      </c>
      <c r="F6" s="759"/>
      <c r="G6" s="759" t="s">
        <v>3653</v>
      </c>
      <c r="H6" s="759" t="s">
        <v>3668</v>
      </c>
      <c r="I6" s="759" t="s">
        <v>3655</v>
      </c>
      <c r="J6" s="759" t="s">
        <v>3656</v>
      </c>
      <c r="K6" s="759" t="s">
        <v>3657</v>
      </c>
      <c r="L6" s="759" t="s">
        <v>35</v>
      </c>
      <c r="M6" s="759" t="s">
        <v>3669</v>
      </c>
      <c r="N6" s="759" t="s">
        <v>3659</v>
      </c>
      <c r="O6" s="759" t="s">
        <v>2129</v>
      </c>
      <c r="P6" s="761">
        <v>45294.54652777778</v>
      </c>
      <c r="Q6" s="759" t="s">
        <v>3670</v>
      </c>
      <c r="R6" s="761">
        <v>45294.58819444444</v>
      </c>
      <c r="S6" s="759" t="s">
        <v>3661</v>
      </c>
      <c r="T6" s="760">
        <v>26.0</v>
      </c>
      <c r="U6" s="761">
        <v>45294.0</v>
      </c>
      <c r="V6" s="761">
        <v>45294.415972222225</v>
      </c>
      <c r="W6" s="759" t="s">
        <v>3662</v>
      </c>
    </row>
    <row r="7" ht="15.75" customHeight="1">
      <c r="A7" s="759" t="s">
        <v>3387</v>
      </c>
      <c r="B7" s="759" t="s">
        <v>3387</v>
      </c>
      <c r="C7" s="760">
        <v>5.0505859E7</v>
      </c>
      <c r="D7" s="760">
        <v>1.000604254E9</v>
      </c>
      <c r="E7" s="759" t="s">
        <v>3652</v>
      </c>
      <c r="F7" s="759"/>
      <c r="G7" s="759" t="s">
        <v>3653</v>
      </c>
      <c r="H7" s="759" t="s">
        <v>3671</v>
      </c>
      <c r="I7" s="759" t="s">
        <v>3655</v>
      </c>
      <c r="J7" s="759" t="s">
        <v>3656</v>
      </c>
      <c r="K7" s="759" t="s">
        <v>3657</v>
      </c>
      <c r="L7" s="759" t="s">
        <v>35</v>
      </c>
      <c r="M7" s="759" t="s">
        <v>3672</v>
      </c>
      <c r="N7" s="759" t="s">
        <v>3659</v>
      </c>
      <c r="O7" s="759" t="s">
        <v>63</v>
      </c>
      <c r="P7" s="761">
        <v>45293.736805555556</v>
      </c>
      <c r="Q7" s="759" t="s">
        <v>3673</v>
      </c>
      <c r="R7" s="761">
        <v>45293.77847222222</v>
      </c>
      <c r="S7" s="759" t="s">
        <v>3661</v>
      </c>
      <c r="T7" s="760">
        <v>26.0</v>
      </c>
      <c r="U7" s="761">
        <v>45295.0</v>
      </c>
      <c r="V7" s="761">
        <v>45295.254166666666</v>
      </c>
      <c r="W7" s="759" t="s">
        <v>3662</v>
      </c>
    </row>
    <row r="8" ht="15.75" hidden="1" customHeight="1">
      <c r="A8" s="759" t="s">
        <v>3389</v>
      </c>
      <c r="B8" s="759" t="s">
        <v>3395</v>
      </c>
      <c r="C8" s="760">
        <v>5.0498532E7</v>
      </c>
      <c r="D8" s="760">
        <v>1.000604328E9</v>
      </c>
      <c r="E8" s="759" t="s">
        <v>3652</v>
      </c>
      <c r="F8" s="760">
        <v>4.503346253E9</v>
      </c>
      <c r="G8" s="759" t="s">
        <v>3653</v>
      </c>
      <c r="H8" s="762">
        <v>446997.0</v>
      </c>
      <c r="I8" s="759" t="s">
        <v>3674</v>
      </c>
      <c r="J8" s="759" t="s">
        <v>3656</v>
      </c>
      <c r="K8" s="759" t="s">
        <v>3657</v>
      </c>
      <c r="L8" s="759" t="s">
        <v>35</v>
      </c>
      <c r="M8" s="759" t="s">
        <v>3672</v>
      </c>
      <c r="N8" s="759" t="s">
        <v>3659</v>
      </c>
      <c r="O8" s="759" t="s">
        <v>63</v>
      </c>
      <c r="P8" s="761">
        <v>45293.705555555556</v>
      </c>
      <c r="Q8" s="759" t="s">
        <v>3673</v>
      </c>
      <c r="R8" s="761">
        <v>45293.74722222222</v>
      </c>
      <c r="S8" s="759" t="s">
        <v>3675</v>
      </c>
      <c r="T8" s="760">
        <v>26.0</v>
      </c>
      <c r="U8" s="761">
        <v>45295.0</v>
      </c>
      <c r="V8" s="761">
        <v>45295.254166666666</v>
      </c>
      <c r="W8" s="759" t="s">
        <v>3662</v>
      </c>
    </row>
    <row r="9" ht="15.75" customHeight="1">
      <c r="A9" s="759" t="s">
        <v>3387</v>
      </c>
      <c r="B9" s="759" t="s">
        <v>3387</v>
      </c>
      <c r="C9" s="760">
        <v>5.0578995E7</v>
      </c>
      <c r="D9" s="760">
        <v>1.00060442E9</v>
      </c>
      <c r="E9" s="759" t="s">
        <v>3652</v>
      </c>
      <c r="F9" s="759"/>
      <c r="G9" s="759" t="s">
        <v>3653</v>
      </c>
      <c r="H9" s="759" t="s">
        <v>3676</v>
      </c>
      <c r="I9" s="759" t="s">
        <v>3655</v>
      </c>
      <c r="J9" s="759" t="s">
        <v>3656</v>
      </c>
      <c r="K9" s="759" t="s">
        <v>3657</v>
      </c>
      <c r="L9" s="759" t="s">
        <v>35</v>
      </c>
      <c r="M9" s="759" t="s">
        <v>3672</v>
      </c>
      <c r="N9" s="759" t="s">
        <v>3659</v>
      </c>
      <c r="O9" s="759" t="s">
        <v>63</v>
      </c>
      <c r="P9" s="761">
        <v>45294.364583333336</v>
      </c>
      <c r="Q9" s="759" t="s">
        <v>3673</v>
      </c>
      <c r="R9" s="761">
        <v>45294.40625</v>
      </c>
      <c r="S9" s="759" t="s">
        <v>3661</v>
      </c>
      <c r="T9" s="760">
        <v>26.0</v>
      </c>
      <c r="U9" s="761">
        <v>45295.0</v>
      </c>
      <c r="V9" s="761">
        <v>45295.254166666666</v>
      </c>
      <c r="W9" s="759" t="s">
        <v>3662</v>
      </c>
    </row>
    <row r="10" ht="15.75" customHeight="1">
      <c r="A10" s="759" t="s">
        <v>3387</v>
      </c>
      <c r="B10" s="759" t="s">
        <v>3387</v>
      </c>
      <c r="C10" s="760">
        <v>5.0578994E7</v>
      </c>
      <c r="D10" s="760">
        <v>1.000604449E9</v>
      </c>
      <c r="E10" s="759" t="s">
        <v>3652</v>
      </c>
      <c r="F10" s="759"/>
      <c r="G10" s="759" t="s">
        <v>3653</v>
      </c>
      <c r="H10" s="759" t="s">
        <v>3676</v>
      </c>
      <c r="I10" s="759" t="s">
        <v>3655</v>
      </c>
      <c r="J10" s="759" t="s">
        <v>3656</v>
      </c>
      <c r="K10" s="759" t="s">
        <v>3657</v>
      </c>
      <c r="L10" s="759" t="s">
        <v>35</v>
      </c>
      <c r="M10" s="759" t="s">
        <v>3672</v>
      </c>
      <c r="N10" s="759" t="s">
        <v>3659</v>
      </c>
      <c r="O10" s="759" t="s">
        <v>63</v>
      </c>
      <c r="P10" s="761">
        <v>45294.364583333336</v>
      </c>
      <c r="Q10" s="759" t="s">
        <v>3673</v>
      </c>
      <c r="R10" s="761">
        <v>45294.40625</v>
      </c>
      <c r="S10" s="759" t="s">
        <v>3661</v>
      </c>
      <c r="T10" s="760">
        <v>26.0</v>
      </c>
      <c r="U10" s="761">
        <v>45295.0</v>
      </c>
      <c r="V10" s="761">
        <v>45295.254166666666</v>
      </c>
      <c r="W10" s="759" t="s">
        <v>3662</v>
      </c>
    </row>
    <row r="11" ht="15.75" customHeight="1">
      <c r="A11" s="759" t="s">
        <v>3387</v>
      </c>
      <c r="B11" s="759" t="s">
        <v>3387</v>
      </c>
      <c r="C11" s="760">
        <v>5.0441574E7</v>
      </c>
      <c r="D11" s="760">
        <v>1.000602997E9</v>
      </c>
      <c r="E11" s="759" t="s">
        <v>3652</v>
      </c>
      <c r="F11" s="759"/>
      <c r="G11" s="759" t="s">
        <v>3653</v>
      </c>
      <c r="H11" s="759" t="s">
        <v>3677</v>
      </c>
      <c r="I11" s="759" t="s">
        <v>3655</v>
      </c>
      <c r="J11" s="759" t="s">
        <v>3656</v>
      </c>
      <c r="K11" s="759" t="s">
        <v>3657</v>
      </c>
      <c r="L11" s="759" t="s">
        <v>35</v>
      </c>
      <c r="M11" s="759" t="s">
        <v>3678</v>
      </c>
      <c r="N11" s="759" t="s">
        <v>3679</v>
      </c>
      <c r="O11" s="759" t="s">
        <v>58</v>
      </c>
      <c r="P11" s="761">
        <v>45293.41736111111</v>
      </c>
      <c r="Q11" s="759" t="s">
        <v>3680</v>
      </c>
      <c r="R11" s="761">
        <v>45293.459027777775</v>
      </c>
      <c r="S11" s="759" t="s">
        <v>3681</v>
      </c>
      <c r="T11" s="760">
        <v>26.0</v>
      </c>
      <c r="U11" s="761">
        <v>45296.0</v>
      </c>
      <c r="V11" s="761">
        <v>45296.245833333334</v>
      </c>
      <c r="W11" s="759" t="s">
        <v>3662</v>
      </c>
    </row>
    <row r="12" ht="15.75" hidden="1" customHeight="1">
      <c r="A12" s="759" t="s">
        <v>3389</v>
      </c>
      <c r="B12" s="763" t="s">
        <v>3390</v>
      </c>
      <c r="C12" s="760">
        <v>5.0651067E7</v>
      </c>
      <c r="D12" s="760">
        <v>1.000606688E9</v>
      </c>
      <c r="E12" s="759" t="s">
        <v>3652</v>
      </c>
      <c r="F12" s="760">
        <v>3895293.0</v>
      </c>
      <c r="G12" s="759" t="s">
        <v>3653</v>
      </c>
      <c r="H12" s="759" t="s">
        <v>3682</v>
      </c>
      <c r="I12" s="759" t="s">
        <v>3674</v>
      </c>
      <c r="J12" s="759" t="s">
        <v>3656</v>
      </c>
      <c r="K12" s="759" t="s">
        <v>3657</v>
      </c>
      <c r="L12" s="759" t="s">
        <v>35</v>
      </c>
      <c r="M12" s="759" t="s">
        <v>3683</v>
      </c>
      <c r="N12" s="759" t="s">
        <v>3684</v>
      </c>
      <c r="O12" s="759" t="s">
        <v>3685</v>
      </c>
      <c r="P12" s="761">
        <v>45294.60902777778</v>
      </c>
      <c r="Q12" s="759" t="s">
        <v>3686</v>
      </c>
      <c r="R12" s="761">
        <v>45294.65069444444</v>
      </c>
      <c r="S12" s="759" t="s">
        <v>3687</v>
      </c>
      <c r="T12" s="760">
        <v>26.0</v>
      </c>
      <c r="U12" s="761">
        <v>45296.0</v>
      </c>
      <c r="V12" s="761">
        <v>45297.30138888889</v>
      </c>
      <c r="W12" s="759" t="s">
        <v>3662</v>
      </c>
    </row>
    <row r="13" ht="15.75" hidden="1" customHeight="1">
      <c r="A13" s="759" t="s">
        <v>3389</v>
      </c>
      <c r="B13" s="759" t="s">
        <v>3388</v>
      </c>
      <c r="C13" s="760">
        <v>5.0643426E7</v>
      </c>
      <c r="D13" s="760">
        <v>1.00060671E9</v>
      </c>
      <c r="E13" s="759" t="s">
        <v>3652</v>
      </c>
      <c r="F13" s="760">
        <v>3897020.0</v>
      </c>
      <c r="G13" s="759" t="s">
        <v>3653</v>
      </c>
      <c r="H13" s="759" t="s">
        <v>3688</v>
      </c>
      <c r="I13" s="759" t="s">
        <v>3674</v>
      </c>
      <c r="J13" s="759" t="s">
        <v>3656</v>
      </c>
      <c r="K13" s="759" t="s">
        <v>3657</v>
      </c>
      <c r="L13" s="759" t="s">
        <v>35</v>
      </c>
      <c r="M13" s="759" t="s">
        <v>3689</v>
      </c>
      <c r="N13" s="759" t="s">
        <v>3690</v>
      </c>
      <c r="O13" s="759" t="s">
        <v>3691</v>
      </c>
      <c r="P13" s="761">
        <v>45294.586805555555</v>
      </c>
      <c r="Q13" s="759" t="s">
        <v>3692</v>
      </c>
      <c r="R13" s="761">
        <v>45294.62847222222</v>
      </c>
      <c r="S13" s="759" t="s">
        <v>3693</v>
      </c>
      <c r="T13" s="760">
        <v>28.0</v>
      </c>
      <c r="U13" s="761">
        <v>45296.0</v>
      </c>
      <c r="V13" s="761">
        <v>45297.79722222222</v>
      </c>
      <c r="W13" s="759" t="s">
        <v>3662</v>
      </c>
    </row>
    <row r="14" ht="15.75" hidden="1" customHeight="1">
      <c r="A14" s="759" t="s">
        <v>3389</v>
      </c>
      <c r="B14" s="763" t="s">
        <v>3390</v>
      </c>
      <c r="C14" s="760">
        <v>5.066371E7</v>
      </c>
      <c r="D14" s="760">
        <v>1.000606717E9</v>
      </c>
      <c r="E14" s="759" t="s">
        <v>3652</v>
      </c>
      <c r="F14" s="760">
        <v>3895277.0</v>
      </c>
      <c r="G14" s="759" t="s">
        <v>3653</v>
      </c>
      <c r="H14" s="759" t="s">
        <v>3694</v>
      </c>
      <c r="I14" s="759" t="s">
        <v>3674</v>
      </c>
      <c r="J14" s="759" t="s">
        <v>3656</v>
      </c>
      <c r="K14" s="759" t="s">
        <v>3657</v>
      </c>
      <c r="L14" s="759" t="s">
        <v>35</v>
      </c>
      <c r="M14" s="759" t="s">
        <v>3695</v>
      </c>
      <c r="N14" s="759" t="s">
        <v>3696</v>
      </c>
      <c r="O14" s="759" t="s">
        <v>3697</v>
      </c>
      <c r="P14" s="761">
        <v>45294.67083333333</v>
      </c>
      <c r="Q14" s="759" t="s">
        <v>3698</v>
      </c>
      <c r="R14" s="761">
        <v>45294.7125</v>
      </c>
      <c r="S14" s="759" t="s">
        <v>3687</v>
      </c>
      <c r="T14" s="760">
        <v>26.0</v>
      </c>
      <c r="U14" s="761">
        <v>45296.0</v>
      </c>
      <c r="V14" s="761">
        <v>45297.47361111111</v>
      </c>
      <c r="W14" s="759" t="s">
        <v>3662</v>
      </c>
    </row>
    <row r="15" ht="15.75" hidden="1" customHeight="1">
      <c r="A15" s="759" t="s">
        <v>3389</v>
      </c>
      <c r="B15" s="759" t="s">
        <v>3388</v>
      </c>
      <c r="C15" s="760">
        <v>5.0648716E7</v>
      </c>
      <c r="D15" s="760">
        <v>1.000606835E9</v>
      </c>
      <c r="E15" s="759" t="s">
        <v>3652</v>
      </c>
      <c r="F15" s="759"/>
      <c r="G15" s="759" t="s">
        <v>3653</v>
      </c>
      <c r="H15" s="759" t="s">
        <v>3699</v>
      </c>
      <c r="I15" s="759" t="s">
        <v>3674</v>
      </c>
      <c r="J15" s="759" t="s">
        <v>3656</v>
      </c>
      <c r="K15" s="759" t="s">
        <v>3657</v>
      </c>
      <c r="L15" s="759" t="s">
        <v>35</v>
      </c>
      <c r="M15" s="759" t="s">
        <v>3700</v>
      </c>
      <c r="N15" s="759" t="s">
        <v>3701</v>
      </c>
      <c r="O15" s="759" t="s">
        <v>63</v>
      </c>
      <c r="P15" s="761">
        <v>45294.60138888889</v>
      </c>
      <c r="Q15" s="759" t="s">
        <v>3702</v>
      </c>
      <c r="R15" s="761">
        <v>45294.643055555556</v>
      </c>
      <c r="S15" s="759" t="s">
        <v>3681</v>
      </c>
      <c r="T15" s="760">
        <v>26.0</v>
      </c>
      <c r="U15" s="761">
        <v>45296.0</v>
      </c>
      <c r="V15" s="761">
        <v>45296.245833333334</v>
      </c>
      <c r="W15" s="759" t="s">
        <v>3662</v>
      </c>
    </row>
    <row r="16" ht="15.75" customHeight="1">
      <c r="A16" s="759" t="s">
        <v>3387</v>
      </c>
      <c r="B16" s="759" t="s">
        <v>3387</v>
      </c>
      <c r="C16" s="760">
        <v>5.0641803E7</v>
      </c>
      <c r="D16" s="760">
        <v>1.000606863E9</v>
      </c>
      <c r="E16" s="759" t="s">
        <v>3652</v>
      </c>
      <c r="F16" s="759"/>
      <c r="G16" s="759" t="s">
        <v>3653</v>
      </c>
      <c r="H16" s="759" t="s">
        <v>3703</v>
      </c>
      <c r="I16" s="759" t="s">
        <v>3655</v>
      </c>
      <c r="J16" s="759" t="s">
        <v>3656</v>
      </c>
      <c r="K16" s="759" t="s">
        <v>3657</v>
      </c>
      <c r="L16" s="759" t="s">
        <v>35</v>
      </c>
      <c r="M16" s="759" t="s">
        <v>3704</v>
      </c>
      <c r="N16" s="759" t="s">
        <v>3679</v>
      </c>
      <c r="O16" s="759" t="s">
        <v>194</v>
      </c>
      <c r="P16" s="761">
        <v>45294.583333333336</v>
      </c>
      <c r="Q16" s="759" t="s">
        <v>3705</v>
      </c>
      <c r="R16" s="761">
        <v>45294.625</v>
      </c>
      <c r="S16" s="759" t="s">
        <v>3681</v>
      </c>
      <c r="T16" s="760">
        <v>26.0</v>
      </c>
      <c r="U16" s="761">
        <v>45296.0</v>
      </c>
      <c r="V16" s="761">
        <v>45296.245833333334</v>
      </c>
      <c r="W16" s="759" t="s">
        <v>3662</v>
      </c>
    </row>
    <row r="17" ht="15.75" hidden="1" customHeight="1">
      <c r="A17" s="759" t="s">
        <v>3389</v>
      </c>
      <c r="B17" s="759" t="s">
        <v>3388</v>
      </c>
      <c r="C17" s="760">
        <v>5.0643431E7</v>
      </c>
      <c r="D17" s="760">
        <v>1.000606933E9</v>
      </c>
      <c r="E17" s="759" t="s">
        <v>3652</v>
      </c>
      <c r="F17" s="759"/>
      <c r="G17" s="759" t="s">
        <v>3653</v>
      </c>
      <c r="H17" s="759" t="s">
        <v>3706</v>
      </c>
      <c r="I17" s="759" t="s">
        <v>3674</v>
      </c>
      <c r="J17" s="759" t="s">
        <v>3656</v>
      </c>
      <c r="K17" s="759" t="s">
        <v>3657</v>
      </c>
      <c r="L17" s="759" t="s">
        <v>35</v>
      </c>
      <c r="M17" s="759" t="s">
        <v>3707</v>
      </c>
      <c r="N17" s="759" t="s">
        <v>3708</v>
      </c>
      <c r="O17" s="759" t="s">
        <v>35</v>
      </c>
      <c r="P17" s="761">
        <v>45294.586805555555</v>
      </c>
      <c r="Q17" s="759" t="s">
        <v>3709</v>
      </c>
      <c r="R17" s="761">
        <v>45294.62847222222</v>
      </c>
      <c r="S17" s="759" t="s">
        <v>3681</v>
      </c>
      <c r="T17" s="760">
        <v>26.0</v>
      </c>
      <c r="U17" s="761">
        <v>45296.0</v>
      </c>
      <c r="V17" s="761">
        <v>45296.2</v>
      </c>
      <c r="W17" s="759" t="s">
        <v>3662</v>
      </c>
    </row>
    <row r="18" ht="15.75" hidden="1" customHeight="1">
      <c r="A18" s="759" t="s">
        <v>3389</v>
      </c>
      <c r="B18" s="759" t="s">
        <v>3388</v>
      </c>
      <c r="C18" s="760">
        <v>5.0653512E7</v>
      </c>
      <c r="D18" s="760">
        <v>1.000606714E9</v>
      </c>
      <c r="E18" s="759" t="s">
        <v>3652</v>
      </c>
      <c r="F18" s="760">
        <v>3893529.0</v>
      </c>
      <c r="G18" s="759" t="s">
        <v>3653</v>
      </c>
      <c r="H18" s="759" t="s">
        <v>3710</v>
      </c>
      <c r="I18" s="759" t="s">
        <v>3674</v>
      </c>
      <c r="J18" s="759" t="s">
        <v>3656</v>
      </c>
      <c r="K18" s="759" t="s">
        <v>3657</v>
      </c>
      <c r="L18" s="759" t="s">
        <v>35</v>
      </c>
      <c r="M18" s="759" t="s">
        <v>3711</v>
      </c>
      <c r="N18" s="759" t="s">
        <v>3712</v>
      </c>
      <c r="O18" s="759" t="s">
        <v>3713</v>
      </c>
      <c r="P18" s="761">
        <v>45294.61875</v>
      </c>
      <c r="Q18" s="759" t="s">
        <v>3714</v>
      </c>
      <c r="R18" s="761">
        <v>45294.660416666666</v>
      </c>
      <c r="S18" s="759" t="s">
        <v>3687</v>
      </c>
      <c r="T18" s="760">
        <v>26.0</v>
      </c>
      <c r="U18" s="761">
        <v>45297.0</v>
      </c>
      <c r="V18" s="761">
        <v>45297.97708333333</v>
      </c>
      <c r="W18" s="759" t="s">
        <v>3662</v>
      </c>
    </row>
    <row r="19" ht="15.75" hidden="1" customHeight="1">
      <c r="A19" s="759" t="s">
        <v>3389</v>
      </c>
      <c r="B19" s="763" t="s">
        <v>3390</v>
      </c>
      <c r="C19" s="760">
        <v>5.0647854E7</v>
      </c>
      <c r="D19" s="760">
        <v>1.000606724E9</v>
      </c>
      <c r="E19" s="759" t="s">
        <v>3652</v>
      </c>
      <c r="F19" s="760">
        <v>3894955.0</v>
      </c>
      <c r="G19" s="759" t="s">
        <v>3653</v>
      </c>
      <c r="H19" s="759" t="s">
        <v>3715</v>
      </c>
      <c r="I19" s="759" t="s">
        <v>3674</v>
      </c>
      <c r="J19" s="759" t="s">
        <v>3656</v>
      </c>
      <c r="K19" s="759" t="s">
        <v>3657</v>
      </c>
      <c r="L19" s="759" t="s">
        <v>35</v>
      </c>
      <c r="M19" s="759" t="s">
        <v>3716</v>
      </c>
      <c r="N19" s="759" t="s">
        <v>3717</v>
      </c>
      <c r="O19" s="759" t="s">
        <v>3718</v>
      </c>
      <c r="P19" s="761">
        <v>45294.59930555556</v>
      </c>
      <c r="Q19" s="759" t="s">
        <v>3719</v>
      </c>
      <c r="R19" s="761">
        <v>45294.64097222222</v>
      </c>
      <c r="S19" s="759" t="s">
        <v>3687</v>
      </c>
      <c r="T19" s="760">
        <v>26.0</v>
      </c>
      <c r="U19" s="761">
        <v>45297.0</v>
      </c>
      <c r="V19" s="761">
        <v>45297.76875</v>
      </c>
      <c r="W19" s="759" t="s">
        <v>3662</v>
      </c>
    </row>
    <row r="20" ht="15.75" hidden="1" customHeight="1">
      <c r="A20" s="759" t="s">
        <v>3389</v>
      </c>
      <c r="B20" s="759" t="s">
        <v>3388</v>
      </c>
      <c r="C20" s="760">
        <v>5.0653509E7</v>
      </c>
      <c r="D20" s="760">
        <v>1.000606734E9</v>
      </c>
      <c r="E20" s="759" t="s">
        <v>3652</v>
      </c>
      <c r="F20" s="760">
        <v>3893513.0</v>
      </c>
      <c r="G20" s="759" t="s">
        <v>3653</v>
      </c>
      <c r="H20" s="759" t="s">
        <v>3710</v>
      </c>
      <c r="I20" s="759" t="s">
        <v>3674</v>
      </c>
      <c r="J20" s="759" t="s">
        <v>3656</v>
      </c>
      <c r="K20" s="759" t="s">
        <v>3657</v>
      </c>
      <c r="L20" s="759" t="s">
        <v>35</v>
      </c>
      <c r="M20" s="759" t="s">
        <v>3711</v>
      </c>
      <c r="N20" s="759" t="s">
        <v>3712</v>
      </c>
      <c r="O20" s="759" t="s">
        <v>3713</v>
      </c>
      <c r="P20" s="761">
        <v>45294.61875</v>
      </c>
      <c r="Q20" s="759" t="s">
        <v>3714</v>
      </c>
      <c r="R20" s="761">
        <v>45294.660416666666</v>
      </c>
      <c r="S20" s="759" t="s">
        <v>3687</v>
      </c>
      <c r="T20" s="760">
        <v>26.0</v>
      </c>
      <c r="U20" s="761">
        <v>45297.0</v>
      </c>
      <c r="V20" s="761">
        <v>45297.97708333333</v>
      </c>
      <c r="W20" s="759" t="s">
        <v>3662</v>
      </c>
    </row>
    <row r="21" ht="15.75" hidden="1" customHeight="1">
      <c r="A21" s="759" t="s">
        <v>3389</v>
      </c>
      <c r="B21" s="759" t="s">
        <v>3388</v>
      </c>
      <c r="C21" s="760">
        <v>5.0643427E7</v>
      </c>
      <c r="D21" s="760">
        <v>1.000606745E9</v>
      </c>
      <c r="E21" s="759" t="s">
        <v>3652</v>
      </c>
      <c r="F21" s="760">
        <v>3895331.0</v>
      </c>
      <c r="G21" s="759" t="s">
        <v>3653</v>
      </c>
      <c r="H21" s="759" t="s">
        <v>3720</v>
      </c>
      <c r="I21" s="759" t="s">
        <v>3674</v>
      </c>
      <c r="J21" s="759" t="s">
        <v>3656</v>
      </c>
      <c r="K21" s="759" t="s">
        <v>3657</v>
      </c>
      <c r="L21" s="759" t="s">
        <v>35</v>
      </c>
      <c r="M21" s="759" t="s">
        <v>3721</v>
      </c>
      <c r="N21" s="759" t="s">
        <v>3722</v>
      </c>
      <c r="O21" s="759" t="s">
        <v>226</v>
      </c>
      <c r="P21" s="761">
        <v>45294.586805555555</v>
      </c>
      <c r="Q21" s="759" t="s">
        <v>3723</v>
      </c>
      <c r="R21" s="761">
        <v>45294.62847222222</v>
      </c>
      <c r="S21" s="759" t="s">
        <v>3687</v>
      </c>
      <c r="T21" s="760">
        <v>26.0</v>
      </c>
      <c r="U21" s="761">
        <v>45297.0</v>
      </c>
      <c r="V21" s="761">
        <v>45298.30138888889</v>
      </c>
      <c r="W21" s="759" t="s">
        <v>3662</v>
      </c>
    </row>
    <row r="22" ht="15.75" hidden="1" customHeight="1">
      <c r="A22" s="759" t="s">
        <v>3389</v>
      </c>
      <c r="B22" s="759" t="s">
        <v>3388</v>
      </c>
      <c r="C22" s="760">
        <v>5.0653514E7</v>
      </c>
      <c r="D22" s="760">
        <v>1.000606747E9</v>
      </c>
      <c r="E22" s="759" t="s">
        <v>3652</v>
      </c>
      <c r="F22" s="760">
        <v>3893616.0</v>
      </c>
      <c r="G22" s="759" t="s">
        <v>3653</v>
      </c>
      <c r="H22" s="759" t="s">
        <v>3710</v>
      </c>
      <c r="I22" s="759" t="s">
        <v>3674</v>
      </c>
      <c r="J22" s="759" t="s">
        <v>3656</v>
      </c>
      <c r="K22" s="759" t="s">
        <v>3657</v>
      </c>
      <c r="L22" s="759" t="s">
        <v>35</v>
      </c>
      <c r="M22" s="759" t="s">
        <v>3711</v>
      </c>
      <c r="N22" s="759" t="s">
        <v>3712</v>
      </c>
      <c r="O22" s="759" t="s">
        <v>3713</v>
      </c>
      <c r="P22" s="761">
        <v>45294.61875</v>
      </c>
      <c r="Q22" s="759" t="s">
        <v>3714</v>
      </c>
      <c r="R22" s="761">
        <v>45294.660416666666</v>
      </c>
      <c r="S22" s="759" t="s">
        <v>3687</v>
      </c>
      <c r="T22" s="760">
        <v>26.0</v>
      </c>
      <c r="U22" s="761">
        <v>45297.0</v>
      </c>
      <c r="V22" s="761">
        <v>45297.97708333333</v>
      </c>
      <c r="W22" s="759" t="s">
        <v>3662</v>
      </c>
    </row>
    <row r="23" ht="15.75" hidden="1" customHeight="1">
      <c r="A23" s="759" t="s">
        <v>3389</v>
      </c>
      <c r="B23" s="763" t="s">
        <v>3390</v>
      </c>
      <c r="C23" s="760">
        <v>5.0652723E7</v>
      </c>
      <c r="D23" s="760">
        <v>1.000606754E9</v>
      </c>
      <c r="E23" s="759" t="s">
        <v>3652</v>
      </c>
      <c r="F23" s="760">
        <v>3893515.0</v>
      </c>
      <c r="G23" s="759" t="s">
        <v>3653</v>
      </c>
      <c r="H23" s="759" t="s">
        <v>3710</v>
      </c>
      <c r="I23" s="759" t="s">
        <v>3674</v>
      </c>
      <c r="J23" s="759" t="s">
        <v>3656</v>
      </c>
      <c r="K23" s="759" t="s">
        <v>3657</v>
      </c>
      <c r="L23" s="759" t="s">
        <v>35</v>
      </c>
      <c r="M23" s="759" t="s">
        <v>3711</v>
      </c>
      <c r="N23" s="759" t="s">
        <v>3712</v>
      </c>
      <c r="O23" s="759" t="s">
        <v>3713</v>
      </c>
      <c r="P23" s="761">
        <v>45294.615277777775</v>
      </c>
      <c r="Q23" s="759" t="s">
        <v>3714</v>
      </c>
      <c r="R23" s="761">
        <v>45294.65694444445</v>
      </c>
      <c r="S23" s="759" t="s">
        <v>3687</v>
      </c>
      <c r="T23" s="760">
        <v>26.0</v>
      </c>
      <c r="U23" s="761">
        <v>45297.0</v>
      </c>
      <c r="V23" s="761">
        <v>45297.97708333333</v>
      </c>
      <c r="W23" s="759" t="s">
        <v>3662</v>
      </c>
    </row>
    <row r="24" ht="15.75" hidden="1" customHeight="1">
      <c r="A24" s="759" t="s">
        <v>3389</v>
      </c>
      <c r="B24" s="759" t="s">
        <v>3388</v>
      </c>
      <c r="C24" s="760">
        <v>5.065351E7</v>
      </c>
      <c r="D24" s="760">
        <v>1.00060677E9</v>
      </c>
      <c r="E24" s="759" t="s">
        <v>3652</v>
      </c>
      <c r="F24" s="760">
        <v>3893615.0</v>
      </c>
      <c r="G24" s="759" t="s">
        <v>3653</v>
      </c>
      <c r="H24" s="759" t="s">
        <v>3710</v>
      </c>
      <c r="I24" s="759" t="s">
        <v>3674</v>
      </c>
      <c r="J24" s="759" t="s">
        <v>3656</v>
      </c>
      <c r="K24" s="759" t="s">
        <v>3657</v>
      </c>
      <c r="L24" s="759" t="s">
        <v>35</v>
      </c>
      <c r="M24" s="759" t="s">
        <v>3711</v>
      </c>
      <c r="N24" s="759" t="s">
        <v>3712</v>
      </c>
      <c r="O24" s="759" t="s">
        <v>3713</v>
      </c>
      <c r="P24" s="761">
        <v>45294.61875</v>
      </c>
      <c r="Q24" s="759" t="s">
        <v>3714</v>
      </c>
      <c r="R24" s="761">
        <v>45294.660416666666</v>
      </c>
      <c r="S24" s="759" t="s">
        <v>3687</v>
      </c>
      <c r="T24" s="760">
        <v>26.0</v>
      </c>
      <c r="U24" s="761">
        <v>45297.0</v>
      </c>
      <c r="V24" s="761">
        <v>45297.97708333333</v>
      </c>
      <c r="W24" s="759" t="s">
        <v>3662</v>
      </c>
    </row>
    <row r="25" ht="15.75" hidden="1" customHeight="1">
      <c r="A25" s="759" t="s">
        <v>3389</v>
      </c>
      <c r="B25" s="763" t="s">
        <v>3390</v>
      </c>
      <c r="C25" s="760">
        <v>5.0655157E7</v>
      </c>
      <c r="D25" s="760">
        <v>1.000606778E9</v>
      </c>
      <c r="E25" s="759" t="s">
        <v>3652</v>
      </c>
      <c r="F25" s="760">
        <v>3893517.0</v>
      </c>
      <c r="G25" s="759" t="s">
        <v>3653</v>
      </c>
      <c r="H25" s="759" t="s">
        <v>3710</v>
      </c>
      <c r="I25" s="759" t="s">
        <v>3674</v>
      </c>
      <c r="J25" s="759" t="s">
        <v>3656</v>
      </c>
      <c r="K25" s="759" t="s">
        <v>3657</v>
      </c>
      <c r="L25" s="759" t="s">
        <v>35</v>
      </c>
      <c r="M25" s="759" t="s">
        <v>3711</v>
      </c>
      <c r="N25" s="759" t="s">
        <v>3712</v>
      </c>
      <c r="O25" s="759" t="s">
        <v>3713</v>
      </c>
      <c r="P25" s="761">
        <v>45294.62708333333</v>
      </c>
      <c r="Q25" s="759" t="s">
        <v>3714</v>
      </c>
      <c r="R25" s="761">
        <v>45294.66875</v>
      </c>
      <c r="S25" s="759" t="s">
        <v>3687</v>
      </c>
      <c r="T25" s="760">
        <v>26.0</v>
      </c>
      <c r="U25" s="761">
        <v>45297.0</v>
      </c>
      <c r="V25" s="761">
        <v>45297.97708333333</v>
      </c>
      <c r="W25" s="759" t="s">
        <v>3662</v>
      </c>
    </row>
    <row r="26" ht="15.75" hidden="1" customHeight="1">
      <c r="A26" s="759" t="s">
        <v>3389</v>
      </c>
      <c r="B26" s="759" t="s">
        <v>3388</v>
      </c>
      <c r="C26" s="760">
        <v>5.0643424E7</v>
      </c>
      <c r="D26" s="760">
        <v>1.00060693E9</v>
      </c>
      <c r="E26" s="759" t="s">
        <v>3652</v>
      </c>
      <c r="F26" s="759"/>
      <c r="G26" s="759" t="s">
        <v>3653</v>
      </c>
      <c r="H26" s="764" t="s">
        <v>3724</v>
      </c>
      <c r="I26" s="759" t="s">
        <v>3674</v>
      </c>
      <c r="J26" s="759" t="s">
        <v>3656</v>
      </c>
      <c r="K26" s="759" t="s">
        <v>3657</v>
      </c>
      <c r="L26" s="759" t="s">
        <v>35</v>
      </c>
      <c r="M26" s="759" t="s">
        <v>3707</v>
      </c>
      <c r="N26" s="759" t="s">
        <v>3708</v>
      </c>
      <c r="O26" s="759" t="s">
        <v>35</v>
      </c>
      <c r="P26" s="761">
        <v>45294.586805555555</v>
      </c>
      <c r="Q26" s="759" t="s">
        <v>3709</v>
      </c>
      <c r="R26" s="761">
        <v>45294.62847222222</v>
      </c>
      <c r="S26" s="759" t="s">
        <v>3681</v>
      </c>
      <c r="T26" s="760">
        <v>26.0</v>
      </c>
      <c r="U26" s="761">
        <v>45297.0</v>
      </c>
      <c r="V26" s="761">
        <v>45297.2</v>
      </c>
      <c r="W26" s="759" t="s">
        <v>3662</v>
      </c>
    </row>
    <row r="27" ht="15.75" customHeight="1">
      <c r="A27" s="759" t="s">
        <v>3387</v>
      </c>
      <c r="B27" s="759" t="s">
        <v>3387</v>
      </c>
      <c r="C27" s="760">
        <v>5.064507E7</v>
      </c>
      <c r="D27" s="760">
        <v>1.000607158E9</v>
      </c>
      <c r="E27" s="759" t="s">
        <v>3652</v>
      </c>
      <c r="F27" s="759"/>
      <c r="G27" s="759" t="s">
        <v>3653</v>
      </c>
      <c r="H27" s="759" t="s">
        <v>3725</v>
      </c>
      <c r="I27" s="759" t="s">
        <v>3655</v>
      </c>
      <c r="J27" s="759" t="s">
        <v>3656</v>
      </c>
      <c r="K27" s="759" t="s">
        <v>3657</v>
      </c>
      <c r="L27" s="759" t="s">
        <v>35</v>
      </c>
      <c r="M27" s="759" t="s">
        <v>3726</v>
      </c>
      <c r="N27" s="759" t="s">
        <v>3659</v>
      </c>
      <c r="O27" s="759" t="s">
        <v>47</v>
      </c>
      <c r="P27" s="761">
        <v>45294.59166666667</v>
      </c>
      <c r="Q27" s="759" t="s">
        <v>3727</v>
      </c>
      <c r="R27" s="761">
        <v>45294.63333333333</v>
      </c>
      <c r="S27" s="759" t="s">
        <v>3661</v>
      </c>
      <c r="T27" s="760">
        <v>26.0</v>
      </c>
      <c r="U27" s="761">
        <v>45297.0</v>
      </c>
      <c r="V27" s="761">
        <v>45297.56180555555</v>
      </c>
      <c r="W27" s="759" t="s">
        <v>3662</v>
      </c>
    </row>
    <row r="28" ht="15.75" customHeight="1">
      <c r="A28" s="759" t="s">
        <v>3387</v>
      </c>
      <c r="B28" s="759" t="s">
        <v>3387</v>
      </c>
      <c r="C28" s="760">
        <v>5.0649173E7</v>
      </c>
      <c r="D28" s="760">
        <v>1.000607175E9</v>
      </c>
      <c r="E28" s="759" t="s">
        <v>3652</v>
      </c>
      <c r="F28" s="759"/>
      <c r="G28" s="759" t="s">
        <v>3653</v>
      </c>
      <c r="H28" s="759" t="s">
        <v>3725</v>
      </c>
      <c r="I28" s="759" t="s">
        <v>3655</v>
      </c>
      <c r="J28" s="759" t="s">
        <v>3656</v>
      </c>
      <c r="K28" s="759" t="s">
        <v>3657</v>
      </c>
      <c r="L28" s="759" t="s">
        <v>35</v>
      </c>
      <c r="M28" s="759" t="s">
        <v>3726</v>
      </c>
      <c r="N28" s="759" t="s">
        <v>3659</v>
      </c>
      <c r="O28" s="759" t="s">
        <v>47</v>
      </c>
      <c r="P28" s="761">
        <v>45294.60277777778</v>
      </c>
      <c r="Q28" s="759" t="s">
        <v>3727</v>
      </c>
      <c r="R28" s="761">
        <v>45294.64444444444</v>
      </c>
      <c r="S28" s="759" t="s">
        <v>3661</v>
      </c>
      <c r="T28" s="760">
        <v>26.0</v>
      </c>
      <c r="U28" s="761">
        <v>45297.0</v>
      </c>
      <c r="V28" s="761">
        <v>45297.56180555555</v>
      </c>
      <c r="W28" s="759" t="s">
        <v>3662</v>
      </c>
    </row>
    <row r="29" ht="15.75" customHeight="1">
      <c r="A29" s="759" t="s">
        <v>3387</v>
      </c>
      <c r="B29" s="763" t="s">
        <v>3387</v>
      </c>
      <c r="C29" s="760">
        <v>5.0649175E7</v>
      </c>
      <c r="D29" s="760">
        <v>1.000607233E9</v>
      </c>
      <c r="E29" s="759" t="s">
        <v>3652</v>
      </c>
      <c r="F29" s="759"/>
      <c r="G29" s="759" t="s">
        <v>3653</v>
      </c>
      <c r="H29" s="759" t="s">
        <v>3725</v>
      </c>
      <c r="I29" s="759" t="s">
        <v>3655</v>
      </c>
      <c r="J29" s="759" t="s">
        <v>3656</v>
      </c>
      <c r="K29" s="759" t="s">
        <v>3657</v>
      </c>
      <c r="L29" s="759" t="s">
        <v>35</v>
      </c>
      <c r="M29" s="759" t="s">
        <v>3726</v>
      </c>
      <c r="N29" s="759" t="s">
        <v>3659</v>
      </c>
      <c r="O29" s="759" t="s">
        <v>47</v>
      </c>
      <c r="P29" s="761">
        <v>45294.60277777778</v>
      </c>
      <c r="Q29" s="759" t="s">
        <v>3727</v>
      </c>
      <c r="R29" s="761">
        <v>45294.64444444444</v>
      </c>
      <c r="S29" s="759" t="s">
        <v>3661</v>
      </c>
      <c r="T29" s="760">
        <v>26.0</v>
      </c>
      <c r="U29" s="761">
        <v>45297.0</v>
      </c>
      <c r="V29" s="761">
        <v>45297.56180555555</v>
      </c>
      <c r="W29" s="759" t="s">
        <v>3662</v>
      </c>
    </row>
    <row r="30" ht="15.75" customHeight="1">
      <c r="A30" s="759" t="s">
        <v>3387</v>
      </c>
      <c r="B30" s="763" t="s">
        <v>3387</v>
      </c>
      <c r="C30" s="760">
        <v>5.0649174E7</v>
      </c>
      <c r="D30" s="760">
        <v>1.000607291E9</v>
      </c>
      <c r="E30" s="759" t="s">
        <v>3652</v>
      </c>
      <c r="F30" s="759"/>
      <c r="G30" s="759" t="s">
        <v>3653</v>
      </c>
      <c r="H30" s="759" t="s">
        <v>3725</v>
      </c>
      <c r="I30" s="759" t="s">
        <v>3655</v>
      </c>
      <c r="J30" s="759" t="s">
        <v>3656</v>
      </c>
      <c r="K30" s="759" t="s">
        <v>3657</v>
      </c>
      <c r="L30" s="759" t="s">
        <v>35</v>
      </c>
      <c r="M30" s="759" t="s">
        <v>3726</v>
      </c>
      <c r="N30" s="759" t="s">
        <v>3659</v>
      </c>
      <c r="O30" s="759" t="s">
        <v>47</v>
      </c>
      <c r="P30" s="761">
        <v>45294.60277777778</v>
      </c>
      <c r="Q30" s="759" t="s">
        <v>3727</v>
      </c>
      <c r="R30" s="761">
        <v>45294.64444444444</v>
      </c>
      <c r="S30" s="759" t="s">
        <v>3661</v>
      </c>
      <c r="T30" s="760">
        <v>26.0</v>
      </c>
      <c r="U30" s="761">
        <v>45297.0</v>
      </c>
      <c r="V30" s="761">
        <v>45297.56180555555</v>
      </c>
      <c r="W30" s="759" t="s">
        <v>3662</v>
      </c>
    </row>
    <row r="31" ht="15.75" customHeight="1">
      <c r="A31" s="759" t="s">
        <v>3387</v>
      </c>
      <c r="B31" s="759" t="s">
        <v>3387</v>
      </c>
      <c r="C31" s="760">
        <v>5.1144209E7</v>
      </c>
      <c r="D31" s="760">
        <v>1.000604457E9</v>
      </c>
      <c r="E31" s="759" t="s">
        <v>3652</v>
      </c>
      <c r="F31" s="759"/>
      <c r="G31" s="759" t="s">
        <v>3653</v>
      </c>
      <c r="H31" s="759" t="s">
        <v>3728</v>
      </c>
      <c r="I31" s="759" t="s">
        <v>3655</v>
      </c>
      <c r="J31" s="759" t="s">
        <v>3656</v>
      </c>
      <c r="K31" s="759" t="s">
        <v>3657</v>
      </c>
      <c r="L31" s="759" t="s">
        <v>35</v>
      </c>
      <c r="M31" s="759" t="s">
        <v>3729</v>
      </c>
      <c r="N31" s="759" t="s">
        <v>3659</v>
      </c>
      <c r="O31" s="759" t="s">
        <v>141</v>
      </c>
      <c r="P31" s="761">
        <v>45299.520833333336</v>
      </c>
      <c r="Q31" s="759" t="s">
        <v>3730</v>
      </c>
      <c r="R31" s="761">
        <v>45299.5625</v>
      </c>
      <c r="S31" s="759" t="s">
        <v>3731</v>
      </c>
      <c r="T31" s="760">
        <v>26.0</v>
      </c>
      <c r="U31" s="761">
        <v>45299.0</v>
      </c>
      <c r="V31" s="761">
        <v>45299.82083333333</v>
      </c>
      <c r="W31" s="759" t="s">
        <v>3662</v>
      </c>
    </row>
    <row r="32" ht="15.75" customHeight="1">
      <c r="A32" s="759" t="s">
        <v>3387</v>
      </c>
      <c r="B32" s="759" t="s">
        <v>3387</v>
      </c>
      <c r="C32" s="760">
        <v>5.0585533E7</v>
      </c>
      <c r="D32" s="760">
        <v>1.000605415E9</v>
      </c>
      <c r="E32" s="759" t="s">
        <v>3652</v>
      </c>
      <c r="F32" s="760">
        <v>4.503346289E9</v>
      </c>
      <c r="G32" s="759" t="s">
        <v>3653</v>
      </c>
      <c r="H32" s="759" t="s">
        <v>3732</v>
      </c>
      <c r="I32" s="759" t="s">
        <v>3655</v>
      </c>
      <c r="J32" s="759" t="s">
        <v>3656</v>
      </c>
      <c r="K32" s="759" t="s">
        <v>3657</v>
      </c>
      <c r="L32" s="759" t="s">
        <v>35</v>
      </c>
      <c r="M32" s="759" t="s">
        <v>3733</v>
      </c>
      <c r="N32" s="759" t="s">
        <v>3659</v>
      </c>
      <c r="O32" s="759" t="s">
        <v>3734</v>
      </c>
      <c r="P32" s="761">
        <v>45294.38611111111</v>
      </c>
      <c r="Q32" s="759" t="s">
        <v>3735</v>
      </c>
      <c r="R32" s="761">
        <v>45294.427777777775</v>
      </c>
      <c r="S32" s="759" t="s">
        <v>3687</v>
      </c>
      <c r="T32" s="760">
        <v>26.0</v>
      </c>
      <c r="U32" s="761">
        <v>45299.0</v>
      </c>
      <c r="V32" s="761">
        <v>45299.27777777778</v>
      </c>
      <c r="W32" s="759" t="s">
        <v>3662</v>
      </c>
    </row>
    <row r="33" ht="15.75" customHeight="1">
      <c r="A33" s="759" t="s">
        <v>3387</v>
      </c>
      <c r="B33" s="759" t="s">
        <v>3387</v>
      </c>
      <c r="C33" s="760">
        <v>5.0585534E7</v>
      </c>
      <c r="D33" s="760">
        <v>1.000605416E9</v>
      </c>
      <c r="E33" s="759" t="s">
        <v>3652</v>
      </c>
      <c r="F33" s="760">
        <v>4.503346297E9</v>
      </c>
      <c r="G33" s="759" t="s">
        <v>3653</v>
      </c>
      <c r="H33" s="759" t="s">
        <v>3732</v>
      </c>
      <c r="I33" s="759" t="s">
        <v>3655</v>
      </c>
      <c r="J33" s="759" t="s">
        <v>3656</v>
      </c>
      <c r="K33" s="759" t="s">
        <v>3657</v>
      </c>
      <c r="L33" s="759" t="s">
        <v>35</v>
      </c>
      <c r="M33" s="759" t="s">
        <v>3733</v>
      </c>
      <c r="N33" s="759" t="s">
        <v>3659</v>
      </c>
      <c r="O33" s="759" t="s">
        <v>3734</v>
      </c>
      <c r="P33" s="761">
        <v>45294.38611111111</v>
      </c>
      <c r="Q33" s="759" t="s">
        <v>3735</v>
      </c>
      <c r="R33" s="761">
        <v>45294.427777777775</v>
      </c>
      <c r="S33" s="759" t="s">
        <v>3687</v>
      </c>
      <c r="T33" s="760">
        <v>26.0</v>
      </c>
      <c r="U33" s="761">
        <v>45299.0</v>
      </c>
      <c r="V33" s="761">
        <v>45299.27777777778</v>
      </c>
      <c r="W33" s="759" t="s">
        <v>3662</v>
      </c>
    </row>
    <row r="34" ht="15.75" hidden="1" customHeight="1">
      <c r="A34" s="759" t="s">
        <v>3389</v>
      </c>
      <c r="B34" s="759" t="s">
        <v>3388</v>
      </c>
      <c r="C34" s="760">
        <v>5.0650616E7</v>
      </c>
      <c r="D34" s="760">
        <v>1.000606695E9</v>
      </c>
      <c r="E34" s="759" t="s">
        <v>3652</v>
      </c>
      <c r="F34" s="760">
        <v>3897342.0</v>
      </c>
      <c r="G34" s="759" t="s">
        <v>3653</v>
      </c>
      <c r="H34" s="759" t="s">
        <v>3736</v>
      </c>
      <c r="I34" s="759" t="s">
        <v>3674</v>
      </c>
      <c r="J34" s="759" t="s">
        <v>3656</v>
      </c>
      <c r="K34" s="759" t="s">
        <v>3657</v>
      </c>
      <c r="L34" s="759" t="s">
        <v>35</v>
      </c>
      <c r="M34" s="759" t="s">
        <v>3737</v>
      </c>
      <c r="N34" s="759" t="s">
        <v>3738</v>
      </c>
      <c r="O34" s="759" t="s">
        <v>3739</v>
      </c>
      <c r="P34" s="761">
        <v>45294.60763888889</v>
      </c>
      <c r="Q34" s="759" t="s">
        <v>3740</v>
      </c>
      <c r="R34" s="761">
        <v>45294.649305555555</v>
      </c>
      <c r="S34" s="759" t="s">
        <v>3687</v>
      </c>
      <c r="T34" s="760">
        <v>26.0</v>
      </c>
      <c r="U34" s="761">
        <v>45299.0</v>
      </c>
      <c r="V34" s="761">
        <v>45299.88611111111</v>
      </c>
      <c r="W34" s="759" t="s">
        <v>3662</v>
      </c>
    </row>
    <row r="35" ht="15.75" hidden="1" customHeight="1">
      <c r="A35" s="759" t="s">
        <v>3389</v>
      </c>
      <c r="B35" s="759" t="s">
        <v>3388</v>
      </c>
      <c r="C35" s="760">
        <v>5.0650617E7</v>
      </c>
      <c r="D35" s="760">
        <v>1.000606774E9</v>
      </c>
      <c r="E35" s="759" t="s">
        <v>3652</v>
      </c>
      <c r="F35" s="760">
        <v>3897409.0</v>
      </c>
      <c r="G35" s="759" t="s">
        <v>3653</v>
      </c>
      <c r="H35" s="759" t="s">
        <v>3736</v>
      </c>
      <c r="I35" s="759" t="s">
        <v>3674</v>
      </c>
      <c r="J35" s="759" t="s">
        <v>3656</v>
      </c>
      <c r="K35" s="759" t="s">
        <v>3657</v>
      </c>
      <c r="L35" s="759" t="s">
        <v>35</v>
      </c>
      <c r="M35" s="759" t="s">
        <v>3737</v>
      </c>
      <c r="N35" s="759" t="s">
        <v>3738</v>
      </c>
      <c r="O35" s="759" t="s">
        <v>3739</v>
      </c>
      <c r="P35" s="761">
        <v>45294.60763888889</v>
      </c>
      <c r="Q35" s="759" t="s">
        <v>3740</v>
      </c>
      <c r="R35" s="761">
        <v>45294.649305555555</v>
      </c>
      <c r="S35" s="759" t="s">
        <v>3687</v>
      </c>
      <c r="T35" s="760">
        <v>26.0</v>
      </c>
      <c r="U35" s="761">
        <v>45299.0</v>
      </c>
      <c r="V35" s="761">
        <v>45299.88611111111</v>
      </c>
      <c r="W35" s="759" t="s">
        <v>3662</v>
      </c>
    </row>
    <row r="36" ht="15.75" customHeight="1">
      <c r="A36" s="759" t="s">
        <v>3387</v>
      </c>
      <c r="B36" s="759" t="s">
        <v>3387</v>
      </c>
      <c r="C36" s="760">
        <v>5.0641804E7</v>
      </c>
      <c r="D36" s="760">
        <v>1.00060689E9</v>
      </c>
      <c r="E36" s="759" t="s">
        <v>3652</v>
      </c>
      <c r="F36" s="759"/>
      <c r="G36" s="759" t="s">
        <v>3653</v>
      </c>
      <c r="H36" s="759" t="s">
        <v>3703</v>
      </c>
      <c r="I36" s="759" t="s">
        <v>3655</v>
      </c>
      <c r="J36" s="759" t="s">
        <v>3656</v>
      </c>
      <c r="K36" s="759" t="s">
        <v>3657</v>
      </c>
      <c r="L36" s="759" t="s">
        <v>35</v>
      </c>
      <c r="M36" s="759" t="s">
        <v>3704</v>
      </c>
      <c r="N36" s="759" t="s">
        <v>3679</v>
      </c>
      <c r="O36" s="759" t="s">
        <v>194</v>
      </c>
      <c r="P36" s="761">
        <v>45294.583333333336</v>
      </c>
      <c r="Q36" s="759" t="s">
        <v>3705</v>
      </c>
      <c r="R36" s="761">
        <v>45294.625</v>
      </c>
      <c r="S36" s="759" t="s">
        <v>3681</v>
      </c>
      <c r="T36" s="760">
        <v>26.0</v>
      </c>
      <c r="U36" s="761">
        <v>45299.0</v>
      </c>
      <c r="V36" s="761">
        <v>45299.245833333334</v>
      </c>
      <c r="W36" s="759" t="s">
        <v>3662</v>
      </c>
    </row>
    <row r="37" ht="15.75" hidden="1" customHeight="1">
      <c r="A37" s="759" t="s">
        <v>3389</v>
      </c>
      <c r="B37" s="763" t="s">
        <v>3390</v>
      </c>
      <c r="C37" s="760">
        <v>5.0651068E7</v>
      </c>
      <c r="D37" s="760">
        <v>1.000606901E9</v>
      </c>
      <c r="E37" s="759" t="s">
        <v>3652</v>
      </c>
      <c r="F37" s="759"/>
      <c r="G37" s="759" t="s">
        <v>3653</v>
      </c>
      <c r="H37" s="759" t="s">
        <v>3741</v>
      </c>
      <c r="I37" s="759" t="s">
        <v>3674</v>
      </c>
      <c r="J37" s="759" t="s">
        <v>3656</v>
      </c>
      <c r="K37" s="759" t="s">
        <v>3657</v>
      </c>
      <c r="L37" s="759" t="s">
        <v>35</v>
      </c>
      <c r="M37" s="759" t="s">
        <v>3683</v>
      </c>
      <c r="N37" s="759" t="s">
        <v>3684</v>
      </c>
      <c r="O37" s="759" t="s">
        <v>3685</v>
      </c>
      <c r="P37" s="761">
        <v>45294.60902777778</v>
      </c>
      <c r="Q37" s="759" t="s">
        <v>3686</v>
      </c>
      <c r="R37" s="761">
        <v>45294.65069444444</v>
      </c>
      <c r="S37" s="759" t="s">
        <v>3742</v>
      </c>
      <c r="T37" s="760">
        <v>28.0</v>
      </c>
      <c r="U37" s="761">
        <v>45299.0</v>
      </c>
      <c r="V37" s="761">
        <v>45300.30138888889</v>
      </c>
      <c r="W37" s="759" t="s">
        <v>3662</v>
      </c>
    </row>
    <row r="38" ht="15.75" hidden="1" customHeight="1">
      <c r="A38" s="759" t="s">
        <v>3389</v>
      </c>
      <c r="B38" s="763" t="s">
        <v>3395</v>
      </c>
      <c r="C38" s="760">
        <v>5.0646239E7</v>
      </c>
      <c r="D38" s="760">
        <v>1.000606958E9</v>
      </c>
      <c r="E38" s="759" t="s">
        <v>3652</v>
      </c>
      <c r="F38" s="759"/>
      <c r="G38" s="759" t="s">
        <v>3653</v>
      </c>
      <c r="H38" s="759" t="s">
        <v>3743</v>
      </c>
      <c r="I38" s="759" t="s">
        <v>3674</v>
      </c>
      <c r="J38" s="759" t="s">
        <v>3656</v>
      </c>
      <c r="K38" s="759" t="s">
        <v>3657</v>
      </c>
      <c r="L38" s="759" t="s">
        <v>35</v>
      </c>
      <c r="M38" s="759" t="s">
        <v>3744</v>
      </c>
      <c r="N38" s="759" t="s">
        <v>1889</v>
      </c>
      <c r="O38" s="759" t="s">
        <v>93</v>
      </c>
      <c r="P38" s="761">
        <v>45294.595138888886</v>
      </c>
      <c r="Q38" s="759" t="s">
        <v>3745</v>
      </c>
      <c r="R38" s="761">
        <v>45294.63680555556</v>
      </c>
      <c r="S38" s="759" t="s">
        <v>3661</v>
      </c>
      <c r="T38" s="760">
        <v>26.0</v>
      </c>
      <c r="U38" s="761">
        <v>45299.0</v>
      </c>
      <c r="V38" s="761">
        <v>45299.569444444445</v>
      </c>
      <c r="W38" s="759" t="s">
        <v>3662</v>
      </c>
    </row>
    <row r="39" ht="15.75" customHeight="1">
      <c r="A39" s="759" t="s">
        <v>3387</v>
      </c>
      <c r="B39" s="763" t="s">
        <v>3387</v>
      </c>
      <c r="C39" s="760">
        <v>5.0649181E7</v>
      </c>
      <c r="D39" s="760">
        <v>1.000607109E9</v>
      </c>
      <c r="E39" s="759" t="s">
        <v>3652</v>
      </c>
      <c r="F39" s="759"/>
      <c r="G39" s="759" t="s">
        <v>3653</v>
      </c>
      <c r="H39" s="759" t="s">
        <v>3725</v>
      </c>
      <c r="I39" s="759" t="s">
        <v>3655</v>
      </c>
      <c r="J39" s="759" t="s">
        <v>3656</v>
      </c>
      <c r="K39" s="759" t="s">
        <v>3657</v>
      </c>
      <c r="L39" s="759" t="s">
        <v>35</v>
      </c>
      <c r="M39" s="759" t="s">
        <v>3726</v>
      </c>
      <c r="N39" s="759" t="s">
        <v>3659</v>
      </c>
      <c r="O39" s="759" t="s">
        <v>47</v>
      </c>
      <c r="P39" s="761">
        <v>45294.60277777778</v>
      </c>
      <c r="Q39" s="759" t="s">
        <v>3727</v>
      </c>
      <c r="R39" s="761">
        <v>45294.64444444444</v>
      </c>
      <c r="S39" s="759" t="s">
        <v>3746</v>
      </c>
      <c r="T39" s="760">
        <v>26.0</v>
      </c>
      <c r="U39" s="761">
        <v>45299.0</v>
      </c>
      <c r="V39" s="761">
        <v>45299.56180555555</v>
      </c>
      <c r="W39" s="759" t="s">
        <v>3662</v>
      </c>
    </row>
    <row r="40" ht="15.75" hidden="1" customHeight="1">
      <c r="A40" s="759" t="s">
        <v>3389</v>
      </c>
      <c r="B40" s="759" t="s">
        <v>3390</v>
      </c>
      <c r="C40" s="760">
        <v>5.0677006E7</v>
      </c>
      <c r="D40" s="760">
        <v>1.000607486E9</v>
      </c>
      <c r="E40" s="759" t="s">
        <v>3652</v>
      </c>
      <c r="F40" s="760">
        <v>3897926.0</v>
      </c>
      <c r="G40" s="759" t="s">
        <v>3653</v>
      </c>
      <c r="H40" s="759" t="s">
        <v>3736</v>
      </c>
      <c r="I40" s="759" t="s">
        <v>3674</v>
      </c>
      <c r="J40" s="759" t="s">
        <v>3656</v>
      </c>
      <c r="K40" s="759" t="s">
        <v>3657</v>
      </c>
      <c r="L40" s="759" t="s">
        <v>35</v>
      </c>
      <c r="M40" s="759" t="s">
        <v>3737</v>
      </c>
      <c r="N40" s="759" t="s">
        <v>3738</v>
      </c>
      <c r="O40" s="759" t="s">
        <v>3739</v>
      </c>
      <c r="P40" s="761">
        <v>45294.74375</v>
      </c>
      <c r="Q40" s="759" t="s">
        <v>3740</v>
      </c>
      <c r="R40" s="761">
        <v>45294.785416666666</v>
      </c>
      <c r="S40" s="759" t="s">
        <v>3687</v>
      </c>
      <c r="T40" s="760">
        <v>26.0</v>
      </c>
      <c r="U40" s="761">
        <v>45299.0</v>
      </c>
      <c r="V40" s="761">
        <v>45299.88611111111</v>
      </c>
      <c r="W40" s="759" t="s">
        <v>3662</v>
      </c>
    </row>
    <row r="41" ht="15.75" hidden="1" customHeight="1">
      <c r="A41" s="759" t="s">
        <v>3389</v>
      </c>
      <c r="B41" s="759" t="s">
        <v>3390</v>
      </c>
      <c r="C41" s="760">
        <v>5.0677012E7</v>
      </c>
      <c r="D41" s="760">
        <v>1.000607487E9</v>
      </c>
      <c r="E41" s="759" t="s">
        <v>3652</v>
      </c>
      <c r="F41" s="760">
        <v>3898036.0</v>
      </c>
      <c r="G41" s="759" t="s">
        <v>3653</v>
      </c>
      <c r="H41" s="759" t="s">
        <v>3747</v>
      </c>
      <c r="I41" s="759" t="s">
        <v>3674</v>
      </c>
      <c r="J41" s="759" t="s">
        <v>3656</v>
      </c>
      <c r="K41" s="759" t="s">
        <v>3657</v>
      </c>
      <c r="L41" s="759" t="s">
        <v>35</v>
      </c>
      <c r="M41" s="759" t="s">
        <v>3737</v>
      </c>
      <c r="N41" s="759" t="s">
        <v>3738</v>
      </c>
      <c r="O41" s="759" t="s">
        <v>3739</v>
      </c>
      <c r="P41" s="761">
        <v>45294.74375</v>
      </c>
      <c r="Q41" s="759" t="s">
        <v>3740</v>
      </c>
      <c r="R41" s="761">
        <v>45294.785416666666</v>
      </c>
      <c r="S41" s="759" t="s">
        <v>3687</v>
      </c>
      <c r="T41" s="760">
        <v>26.0</v>
      </c>
      <c r="U41" s="761">
        <v>45299.0</v>
      </c>
      <c r="V41" s="761">
        <v>45299.88611111111</v>
      </c>
      <c r="W41" s="759" t="s">
        <v>3662</v>
      </c>
    </row>
    <row r="42" ht="15.75" hidden="1" customHeight="1">
      <c r="A42" s="759" t="s">
        <v>3389</v>
      </c>
      <c r="B42" s="759" t="s">
        <v>3390</v>
      </c>
      <c r="C42" s="760">
        <v>5.0677009E7</v>
      </c>
      <c r="D42" s="760">
        <v>1.000607493E9</v>
      </c>
      <c r="E42" s="759" t="s">
        <v>3652</v>
      </c>
      <c r="F42" s="760">
        <v>3897724.0</v>
      </c>
      <c r="G42" s="759" t="s">
        <v>3653</v>
      </c>
      <c r="H42" s="759" t="s">
        <v>3747</v>
      </c>
      <c r="I42" s="759" t="s">
        <v>3674</v>
      </c>
      <c r="J42" s="759" t="s">
        <v>3656</v>
      </c>
      <c r="K42" s="759" t="s">
        <v>3657</v>
      </c>
      <c r="L42" s="759" t="s">
        <v>35</v>
      </c>
      <c r="M42" s="759" t="s">
        <v>3737</v>
      </c>
      <c r="N42" s="759" t="s">
        <v>3738</v>
      </c>
      <c r="O42" s="759" t="s">
        <v>3739</v>
      </c>
      <c r="P42" s="761">
        <v>45294.74375</v>
      </c>
      <c r="Q42" s="759" t="s">
        <v>3740</v>
      </c>
      <c r="R42" s="761">
        <v>45294.785416666666</v>
      </c>
      <c r="S42" s="759" t="s">
        <v>3687</v>
      </c>
      <c r="T42" s="760">
        <v>26.0</v>
      </c>
      <c r="U42" s="761">
        <v>45299.0</v>
      </c>
      <c r="V42" s="761">
        <v>45299.88611111111</v>
      </c>
      <c r="W42" s="759" t="s">
        <v>3662</v>
      </c>
    </row>
    <row r="43" ht="15.75" hidden="1" customHeight="1">
      <c r="A43" s="759" t="s">
        <v>3389</v>
      </c>
      <c r="B43" s="759" t="s">
        <v>3390</v>
      </c>
      <c r="C43" s="760">
        <v>5.0677008E7</v>
      </c>
      <c r="D43" s="760">
        <v>1.000607495E9</v>
      </c>
      <c r="E43" s="759" t="s">
        <v>3652</v>
      </c>
      <c r="F43" s="760">
        <v>3897892.0</v>
      </c>
      <c r="G43" s="759" t="s">
        <v>3653</v>
      </c>
      <c r="H43" s="759" t="s">
        <v>3747</v>
      </c>
      <c r="I43" s="759" t="s">
        <v>3674</v>
      </c>
      <c r="J43" s="759" t="s">
        <v>3656</v>
      </c>
      <c r="K43" s="759" t="s">
        <v>3657</v>
      </c>
      <c r="L43" s="759" t="s">
        <v>35</v>
      </c>
      <c r="M43" s="759" t="s">
        <v>3737</v>
      </c>
      <c r="N43" s="759" t="s">
        <v>3738</v>
      </c>
      <c r="O43" s="759" t="s">
        <v>3739</v>
      </c>
      <c r="P43" s="761">
        <v>45294.74375</v>
      </c>
      <c r="Q43" s="759" t="s">
        <v>3740</v>
      </c>
      <c r="R43" s="761">
        <v>45294.785416666666</v>
      </c>
      <c r="S43" s="759" t="s">
        <v>3687</v>
      </c>
      <c r="T43" s="760">
        <v>26.0</v>
      </c>
      <c r="U43" s="761">
        <v>45299.0</v>
      </c>
      <c r="V43" s="761">
        <v>45299.88611111111</v>
      </c>
      <c r="W43" s="759" t="s">
        <v>3662</v>
      </c>
    </row>
    <row r="44" ht="15.75" hidden="1" customHeight="1">
      <c r="A44" s="759" t="s">
        <v>3389</v>
      </c>
      <c r="B44" s="759" t="s">
        <v>3390</v>
      </c>
      <c r="C44" s="760">
        <v>5.0677005E7</v>
      </c>
      <c r="D44" s="760">
        <v>1.000607499E9</v>
      </c>
      <c r="E44" s="759" t="s">
        <v>3652</v>
      </c>
      <c r="F44" s="760">
        <v>3897903.0</v>
      </c>
      <c r="G44" s="759" t="s">
        <v>3653</v>
      </c>
      <c r="H44" s="759" t="s">
        <v>3736</v>
      </c>
      <c r="I44" s="759" t="s">
        <v>3674</v>
      </c>
      <c r="J44" s="759" t="s">
        <v>3656</v>
      </c>
      <c r="K44" s="759" t="s">
        <v>3657</v>
      </c>
      <c r="L44" s="759" t="s">
        <v>35</v>
      </c>
      <c r="M44" s="759" t="s">
        <v>3737</v>
      </c>
      <c r="N44" s="759" t="s">
        <v>3738</v>
      </c>
      <c r="O44" s="759" t="s">
        <v>3739</v>
      </c>
      <c r="P44" s="761">
        <v>45294.74375</v>
      </c>
      <c r="Q44" s="759" t="s">
        <v>3740</v>
      </c>
      <c r="R44" s="761">
        <v>45294.785416666666</v>
      </c>
      <c r="S44" s="759" t="s">
        <v>3687</v>
      </c>
      <c r="T44" s="760">
        <v>26.0</v>
      </c>
      <c r="U44" s="761">
        <v>45299.0</v>
      </c>
      <c r="V44" s="761">
        <v>45299.88611111111</v>
      </c>
      <c r="W44" s="759" t="s">
        <v>3662</v>
      </c>
    </row>
    <row r="45" ht="15.75" hidden="1" customHeight="1">
      <c r="A45" s="759" t="s">
        <v>3389</v>
      </c>
      <c r="B45" s="759" t="s">
        <v>3390</v>
      </c>
      <c r="C45" s="760">
        <v>5.0677007E7</v>
      </c>
      <c r="D45" s="760">
        <v>1.000607501E9</v>
      </c>
      <c r="E45" s="759" t="s">
        <v>3652</v>
      </c>
      <c r="F45" s="760">
        <v>3898018.0</v>
      </c>
      <c r="G45" s="759" t="s">
        <v>3653</v>
      </c>
      <c r="H45" s="759" t="s">
        <v>3736</v>
      </c>
      <c r="I45" s="759" t="s">
        <v>3674</v>
      </c>
      <c r="J45" s="759" t="s">
        <v>3656</v>
      </c>
      <c r="K45" s="759" t="s">
        <v>3657</v>
      </c>
      <c r="L45" s="759" t="s">
        <v>35</v>
      </c>
      <c r="M45" s="759" t="s">
        <v>3737</v>
      </c>
      <c r="N45" s="759" t="s">
        <v>3738</v>
      </c>
      <c r="O45" s="759" t="s">
        <v>3739</v>
      </c>
      <c r="P45" s="761">
        <v>45294.74375</v>
      </c>
      <c r="Q45" s="759" t="s">
        <v>3740</v>
      </c>
      <c r="R45" s="761">
        <v>45294.785416666666</v>
      </c>
      <c r="S45" s="759" t="s">
        <v>3687</v>
      </c>
      <c r="T45" s="760">
        <v>26.0</v>
      </c>
      <c r="U45" s="761">
        <v>45299.0</v>
      </c>
      <c r="V45" s="761">
        <v>45299.88611111111</v>
      </c>
      <c r="W45" s="759" t="s">
        <v>3662</v>
      </c>
    </row>
    <row r="46" ht="15.75" hidden="1" customHeight="1">
      <c r="A46" s="759" t="s">
        <v>3389</v>
      </c>
      <c r="B46" s="759" t="s">
        <v>3390</v>
      </c>
      <c r="C46" s="760">
        <v>5.0677002E7</v>
      </c>
      <c r="D46" s="760">
        <v>1.000607502E9</v>
      </c>
      <c r="E46" s="759" t="s">
        <v>3652</v>
      </c>
      <c r="F46" s="760">
        <v>3897977.0</v>
      </c>
      <c r="G46" s="759" t="s">
        <v>3653</v>
      </c>
      <c r="H46" s="759" t="s">
        <v>3736</v>
      </c>
      <c r="I46" s="759" t="s">
        <v>3674</v>
      </c>
      <c r="J46" s="759" t="s">
        <v>3656</v>
      </c>
      <c r="K46" s="759" t="s">
        <v>3657</v>
      </c>
      <c r="L46" s="759" t="s">
        <v>35</v>
      </c>
      <c r="M46" s="759" t="s">
        <v>3737</v>
      </c>
      <c r="N46" s="759" t="s">
        <v>3738</v>
      </c>
      <c r="O46" s="759" t="s">
        <v>3739</v>
      </c>
      <c r="P46" s="761">
        <v>45294.74375</v>
      </c>
      <c r="Q46" s="759" t="s">
        <v>3740</v>
      </c>
      <c r="R46" s="761">
        <v>45294.785416666666</v>
      </c>
      <c r="S46" s="759" t="s">
        <v>3687</v>
      </c>
      <c r="T46" s="760">
        <v>26.0</v>
      </c>
      <c r="U46" s="761">
        <v>45299.0</v>
      </c>
      <c r="V46" s="761">
        <v>45299.88611111111</v>
      </c>
      <c r="W46" s="759" t="s">
        <v>3662</v>
      </c>
    </row>
    <row r="47" ht="15.75" hidden="1" customHeight="1">
      <c r="A47" s="759" t="s">
        <v>3389</v>
      </c>
      <c r="B47" s="759" t="s">
        <v>3390</v>
      </c>
      <c r="C47" s="760">
        <v>5.0677003E7</v>
      </c>
      <c r="D47" s="760">
        <v>1.000607504E9</v>
      </c>
      <c r="E47" s="759" t="s">
        <v>3652</v>
      </c>
      <c r="F47" s="760">
        <v>3897703.0</v>
      </c>
      <c r="G47" s="759" t="s">
        <v>3653</v>
      </c>
      <c r="H47" s="759" t="s">
        <v>3748</v>
      </c>
      <c r="I47" s="759" t="s">
        <v>3674</v>
      </c>
      <c r="J47" s="759" t="s">
        <v>3656</v>
      </c>
      <c r="K47" s="759" t="s">
        <v>3657</v>
      </c>
      <c r="L47" s="759" t="s">
        <v>35</v>
      </c>
      <c r="M47" s="759" t="s">
        <v>3737</v>
      </c>
      <c r="N47" s="759" t="s">
        <v>3738</v>
      </c>
      <c r="O47" s="759" t="s">
        <v>3739</v>
      </c>
      <c r="P47" s="761">
        <v>45294.74375</v>
      </c>
      <c r="Q47" s="759" t="s">
        <v>3740</v>
      </c>
      <c r="R47" s="761">
        <v>45294.785416666666</v>
      </c>
      <c r="S47" s="759" t="s">
        <v>3687</v>
      </c>
      <c r="T47" s="760">
        <v>26.0</v>
      </c>
      <c r="U47" s="761">
        <v>45299.0</v>
      </c>
      <c r="V47" s="761">
        <v>45299.88611111111</v>
      </c>
      <c r="W47" s="759" t="s">
        <v>3662</v>
      </c>
    </row>
    <row r="48" ht="15.75" hidden="1" customHeight="1">
      <c r="A48" s="759" t="s">
        <v>3389</v>
      </c>
      <c r="B48" s="759" t="s">
        <v>3390</v>
      </c>
      <c r="C48" s="760">
        <v>5.0677004E7</v>
      </c>
      <c r="D48" s="760">
        <v>1.000607508E9</v>
      </c>
      <c r="E48" s="759" t="s">
        <v>3652</v>
      </c>
      <c r="F48" s="760">
        <v>3898002.0</v>
      </c>
      <c r="G48" s="759" t="s">
        <v>3653</v>
      </c>
      <c r="H48" s="759" t="s">
        <v>3736</v>
      </c>
      <c r="I48" s="759" t="s">
        <v>3674</v>
      </c>
      <c r="J48" s="759" t="s">
        <v>3656</v>
      </c>
      <c r="K48" s="759" t="s">
        <v>3657</v>
      </c>
      <c r="L48" s="759" t="s">
        <v>35</v>
      </c>
      <c r="M48" s="759" t="s">
        <v>3737</v>
      </c>
      <c r="N48" s="759" t="s">
        <v>3738</v>
      </c>
      <c r="O48" s="759" t="s">
        <v>3739</v>
      </c>
      <c r="P48" s="761">
        <v>45294.74375</v>
      </c>
      <c r="Q48" s="759" t="s">
        <v>3740</v>
      </c>
      <c r="R48" s="761">
        <v>45294.785416666666</v>
      </c>
      <c r="S48" s="759" t="s">
        <v>3687</v>
      </c>
      <c r="T48" s="760">
        <v>26.0</v>
      </c>
      <c r="U48" s="761">
        <v>45299.0</v>
      </c>
      <c r="V48" s="761">
        <v>45299.88611111111</v>
      </c>
      <c r="W48" s="759" t="s">
        <v>3662</v>
      </c>
    </row>
    <row r="49" ht="15.75" hidden="1" customHeight="1">
      <c r="A49" s="759" t="s">
        <v>3389</v>
      </c>
      <c r="B49" s="759" t="s">
        <v>3390</v>
      </c>
      <c r="C49" s="760">
        <v>5.0677011E7</v>
      </c>
      <c r="D49" s="760">
        <v>1.000607512E9</v>
      </c>
      <c r="E49" s="759" t="s">
        <v>3652</v>
      </c>
      <c r="F49" s="760">
        <v>3897734.0</v>
      </c>
      <c r="G49" s="759" t="s">
        <v>3653</v>
      </c>
      <c r="H49" s="759" t="s">
        <v>3736</v>
      </c>
      <c r="I49" s="759" t="s">
        <v>3674</v>
      </c>
      <c r="J49" s="759" t="s">
        <v>3656</v>
      </c>
      <c r="K49" s="759" t="s">
        <v>3657</v>
      </c>
      <c r="L49" s="759" t="s">
        <v>35</v>
      </c>
      <c r="M49" s="759" t="s">
        <v>3737</v>
      </c>
      <c r="N49" s="759" t="s">
        <v>3738</v>
      </c>
      <c r="O49" s="759" t="s">
        <v>3739</v>
      </c>
      <c r="P49" s="761">
        <v>45294.74375</v>
      </c>
      <c r="Q49" s="759" t="s">
        <v>3740</v>
      </c>
      <c r="R49" s="761">
        <v>45294.785416666666</v>
      </c>
      <c r="S49" s="759" t="s">
        <v>3687</v>
      </c>
      <c r="T49" s="760">
        <v>26.0</v>
      </c>
      <c r="U49" s="761">
        <v>45299.0</v>
      </c>
      <c r="V49" s="761">
        <v>45299.88611111111</v>
      </c>
      <c r="W49" s="759" t="s">
        <v>3662</v>
      </c>
    </row>
    <row r="50" ht="15.75" hidden="1" customHeight="1">
      <c r="A50" s="759" t="s">
        <v>3389</v>
      </c>
      <c r="B50" s="759" t="s">
        <v>3390</v>
      </c>
      <c r="C50" s="760">
        <v>5.0677013E7</v>
      </c>
      <c r="D50" s="760">
        <v>1.000607513E9</v>
      </c>
      <c r="E50" s="759" t="s">
        <v>3652</v>
      </c>
      <c r="F50" s="760">
        <v>3897920.0</v>
      </c>
      <c r="G50" s="759" t="s">
        <v>3653</v>
      </c>
      <c r="H50" s="759" t="s">
        <v>3736</v>
      </c>
      <c r="I50" s="759" t="s">
        <v>3674</v>
      </c>
      <c r="J50" s="759" t="s">
        <v>3656</v>
      </c>
      <c r="K50" s="759" t="s">
        <v>3657</v>
      </c>
      <c r="L50" s="759" t="s">
        <v>35</v>
      </c>
      <c r="M50" s="759" t="s">
        <v>3737</v>
      </c>
      <c r="N50" s="759" t="s">
        <v>3738</v>
      </c>
      <c r="O50" s="759" t="s">
        <v>3739</v>
      </c>
      <c r="P50" s="761">
        <v>45294.74375</v>
      </c>
      <c r="Q50" s="759" t="s">
        <v>3740</v>
      </c>
      <c r="R50" s="761">
        <v>45294.785416666666</v>
      </c>
      <c r="S50" s="759" t="s">
        <v>3687</v>
      </c>
      <c r="T50" s="760">
        <v>26.0</v>
      </c>
      <c r="U50" s="761">
        <v>45299.0</v>
      </c>
      <c r="V50" s="761">
        <v>45299.88611111111</v>
      </c>
      <c r="W50" s="759" t="s">
        <v>3662</v>
      </c>
    </row>
    <row r="51" ht="15.75" hidden="1" customHeight="1">
      <c r="A51" s="759" t="s">
        <v>3389</v>
      </c>
      <c r="B51" s="759" t="s">
        <v>3390</v>
      </c>
      <c r="C51" s="760">
        <v>5.067701E7</v>
      </c>
      <c r="D51" s="760">
        <v>1.000607516E9</v>
      </c>
      <c r="E51" s="759" t="s">
        <v>3652</v>
      </c>
      <c r="F51" s="760">
        <v>3897887.0</v>
      </c>
      <c r="G51" s="759" t="s">
        <v>3653</v>
      </c>
      <c r="H51" s="759" t="s">
        <v>3736</v>
      </c>
      <c r="I51" s="759" t="s">
        <v>3674</v>
      </c>
      <c r="J51" s="759" t="s">
        <v>3656</v>
      </c>
      <c r="K51" s="759" t="s">
        <v>3657</v>
      </c>
      <c r="L51" s="759" t="s">
        <v>35</v>
      </c>
      <c r="M51" s="759" t="s">
        <v>3737</v>
      </c>
      <c r="N51" s="759" t="s">
        <v>3738</v>
      </c>
      <c r="O51" s="759" t="s">
        <v>3739</v>
      </c>
      <c r="P51" s="761">
        <v>45294.74375</v>
      </c>
      <c r="Q51" s="759" t="s">
        <v>3740</v>
      </c>
      <c r="R51" s="761">
        <v>45294.785416666666</v>
      </c>
      <c r="S51" s="759" t="s">
        <v>3687</v>
      </c>
      <c r="T51" s="760">
        <v>26.0</v>
      </c>
      <c r="U51" s="761">
        <v>45299.0</v>
      </c>
      <c r="V51" s="761">
        <v>45299.88611111111</v>
      </c>
      <c r="W51" s="759" t="s">
        <v>3662</v>
      </c>
    </row>
    <row r="52" ht="15.75" hidden="1" customHeight="1">
      <c r="A52" s="759" t="s">
        <v>3389</v>
      </c>
      <c r="B52" s="759" t="s">
        <v>3390</v>
      </c>
      <c r="C52" s="760">
        <v>5.0772643E7</v>
      </c>
      <c r="D52" s="760">
        <v>1.000608525E9</v>
      </c>
      <c r="E52" s="759" t="s">
        <v>3652</v>
      </c>
      <c r="F52" s="759"/>
      <c r="G52" s="759" t="s">
        <v>3749</v>
      </c>
      <c r="H52" s="759" t="s">
        <v>3750</v>
      </c>
      <c r="I52" s="759" t="s">
        <v>3674</v>
      </c>
      <c r="J52" s="759" t="s">
        <v>3656</v>
      </c>
      <c r="K52" s="759" t="s">
        <v>3657</v>
      </c>
      <c r="L52" s="759" t="s">
        <v>35</v>
      </c>
      <c r="M52" s="759" t="s">
        <v>3751</v>
      </c>
      <c r="N52" s="759" t="s">
        <v>3752</v>
      </c>
      <c r="O52" s="759" t="s">
        <v>3753</v>
      </c>
      <c r="P52" s="761">
        <v>45295.44305555556</v>
      </c>
      <c r="Q52" s="759" t="s">
        <v>3754</v>
      </c>
      <c r="R52" s="761">
        <v>45295.48472222222</v>
      </c>
      <c r="S52" s="759" t="s">
        <v>3755</v>
      </c>
      <c r="T52" s="760">
        <v>20.0</v>
      </c>
      <c r="U52" s="761">
        <v>45299.0</v>
      </c>
      <c r="V52" s="761">
        <v>45299.904861111114</v>
      </c>
      <c r="W52" s="759" t="s">
        <v>3662</v>
      </c>
    </row>
    <row r="53" ht="15.75" hidden="1" customHeight="1">
      <c r="A53" s="759" t="s">
        <v>3389</v>
      </c>
      <c r="B53" s="763" t="s">
        <v>3395</v>
      </c>
      <c r="C53" s="760">
        <v>5.0755221E7</v>
      </c>
      <c r="D53" s="760">
        <v>1.00060888E9</v>
      </c>
      <c r="E53" s="759" t="s">
        <v>3652</v>
      </c>
      <c r="F53" s="759"/>
      <c r="G53" s="759" t="s">
        <v>3653</v>
      </c>
      <c r="H53" s="759" t="s">
        <v>3756</v>
      </c>
      <c r="I53" s="759" t="s">
        <v>3674</v>
      </c>
      <c r="J53" s="759" t="s">
        <v>3656</v>
      </c>
      <c r="K53" s="759" t="s">
        <v>3657</v>
      </c>
      <c r="L53" s="759" t="s">
        <v>35</v>
      </c>
      <c r="M53" s="759" t="s">
        <v>3757</v>
      </c>
      <c r="N53" s="759" t="s">
        <v>3659</v>
      </c>
      <c r="O53" s="759" t="s">
        <v>138</v>
      </c>
      <c r="P53" s="761">
        <v>45295.3875</v>
      </c>
      <c r="Q53" s="759" t="s">
        <v>3758</v>
      </c>
      <c r="R53" s="761">
        <v>45295.42916666667</v>
      </c>
      <c r="S53" s="759" t="s">
        <v>3759</v>
      </c>
      <c r="T53" s="760">
        <v>26.0</v>
      </c>
      <c r="U53" s="761">
        <v>45299.0</v>
      </c>
      <c r="V53" s="761">
        <v>45299.39375</v>
      </c>
      <c r="W53" s="759" t="s">
        <v>3662</v>
      </c>
    </row>
    <row r="54" ht="15.75" hidden="1" customHeight="1">
      <c r="A54" s="759" t="s">
        <v>3389</v>
      </c>
      <c r="B54" s="763" t="s">
        <v>3392</v>
      </c>
      <c r="C54" s="760">
        <v>5.0825099E7</v>
      </c>
      <c r="D54" s="760">
        <v>1.000610566E9</v>
      </c>
      <c r="E54" s="759" t="s">
        <v>3652</v>
      </c>
      <c r="F54" s="760">
        <v>3898156.0</v>
      </c>
      <c r="G54" s="759" t="s">
        <v>3653</v>
      </c>
      <c r="H54" s="759" t="s">
        <v>3760</v>
      </c>
      <c r="I54" s="759" t="s">
        <v>3674</v>
      </c>
      <c r="J54" s="759" t="s">
        <v>3656</v>
      </c>
      <c r="K54" s="759" t="s">
        <v>3657</v>
      </c>
      <c r="L54" s="759" t="s">
        <v>35</v>
      </c>
      <c r="M54" s="759" t="s">
        <v>3737</v>
      </c>
      <c r="N54" s="759" t="s">
        <v>3738</v>
      </c>
      <c r="O54" s="759" t="s">
        <v>3739</v>
      </c>
      <c r="P54" s="761">
        <v>45295.654861111114</v>
      </c>
      <c r="Q54" s="759" t="s">
        <v>3740</v>
      </c>
      <c r="R54" s="761">
        <v>45295.69652777778</v>
      </c>
      <c r="S54" s="759" t="s">
        <v>3687</v>
      </c>
      <c r="T54" s="760">
        <v>26.0</v>
      </c>
      <c r="U54" s="761">
        <v>45299.0</v>
      </c>
      <c r="V54" s="761">
        <v>45299.88611111111</v>
      </c>
      <c r="W54" s="759" t="s">
        <v>3662</v>
      </c>
    </row>
    <row r="55" ht="15.75" hidden="1" customHeight="1">
      <c r="A55" s="759" t="s">
        <v>3389</v>
      </c>
      <c r="B55" s="763" t="s">
        <v>3392</v>
      </c>
      <c r="C55" s="760">
        <v>5.0825101E7</v>
      </c>
      <c r="D55" s="760">
        <v>1.00061057E9</v>
      </c>
      <c r="E55" s="759" t="s">
        <v>3652</v>
      </c>
      <c r="F55" s="760">
        <v>3898472.0</v>
      </c>
      <c r="G55" s="759" t="s">
        <v>3653</v>
      </c>
      <c r="H55" s="759" t="s">
        <v>3761</v>
      </c>
      <c r="I55" s="759" t="s">
        <v>3674</v>
      </c>
      <c r="J55" s="759" t="s">
        <v>3656</v>
      </c>
      <c r="K55" s="759" t="s">
        <v>3657</v>
      </c>
      <c r="L55" s="759" t="s">
        <v>35</v>
      </c>
      <c r="M55" s="759" t="s">
        <v>3737</v>
      </c>
      <c r="N55" s="759" t="s">
        <v>3738</v>
      </c>
      <c r="O55" s="759" t="s">
        <v>3739</v>
      </c>
      <c r="P55" s="761">
        <v>45295.654861111114</v>
      </c>
      <c r="Q55" s="759" t="s">
        <v>3740</v>
      </c>
      <c r="R55" s="761">
        <v>45295.69652777778</v>
      </c>
      <c r="S55" s="759" t="s">
        <v>3687</v>
      </c>
      <c r="T55" s="760">
        <v>26.0</v>
      </c>
      <c r="U55" s="761">
        <v>45299.0</v>
      </c>
      <c r="V55" s="761">
        <v>45299.88611111111</v>
      </c>
      <c r="W55" s="759" t="s">
        <v>3662</v>
      </c>
    </row>
    <row r="56" ht="15.75" hidden="1" customHeight="1">
      <c r="A56" s="759" t="s">
        <v>3389</v>
      </c>
      <c r="B56" s="763" t="s">
        <v>3392</v>
      </c>
      <c r="C56" s="760">
        <v>5.0825097E7</v>
      </c>
      <c r="D56" s="760">
        <v>1.000610573E9</v>
      </c>
      <c r="E56" s="759" t="s">
        <v>3652</v>
      </c>
      <c r="F56" s="760">
        <v>3898467.0</v>
      </c>
      <c r="G56" s="759" t="s">
        <v>3653</v>
      </c>
      <c r="H56" s="759" t="s">
        <v>3760</v>
      </c>
      <c r="I56" s="759" t="s">
        <v>3674</v>
      </c>
      <c r="J56" s="759" t="s">
        <v>3656</v>
      </c>
      <c r="K56" s="759" t="s">
        <v>3657</v>
      </c>
      <c r="L56" s="759" t="s">
        <v>35</v>
      </c>
      <c r="M56" s="759" t="s">
        <v>3737</v>
      </c>
      <c r="N56" s="759" t="s">
        <v>3738</v>
      </c>
      <c r="O56" s="759" t="s">
        <v>3739</v>
      </c>
      <c r="P56" s="761">
        <v>45295.654861111114</v>
      </c>
      <c r="Q56" s="759" t="s">
        <v>3740</v>
      </c>
      <c r="R56" s="761">
        <v>45295.69652777778</v>
      </c>
      <c r="S56" s="759" t="s">
        <v>3687</v>
      </c>
      <c r="T56" s="760">
        <v>26.0</v>
      </c>
      <c r="U56" s="761">
        <v>45299.0</v>
      </c>
      <c r="V56" s="761">
        <v>45299.88611111111</v>
      </c>
      <c r="W56" s="759" t="s">
        <v>3662</v>
      </c>
    </row>
    <row r="57" ht="15.75" hidden="1" customHeight="1">
      <c r="A57" s="759" t="s">
        <v>3389</v>
      </c>
      <c r="B57" s="763" t="s">
        <v>3392</v>
      </c>
      <c r="C57" s="760">
        <v>5.0825102E7</v>
      </c>
      <c r="D57" s="760">
        <v>1.000610574E9</v>
      </c>
      <c r="E57" s="759" t="s">
        <v>3652</v>
      </c>
      <c r="F57" s="760">
        <v>3898146.0</v>
      </c>
      <c r="G57" s="759" t="s">
        <v>3653</v>
      </c>
      <c r="H57" s="759" t="s">
        <v>3760</v>
      </c>
      <c r="I57" s="759" t="s">
        <v>3674</v>
      </c>
      <c r="J57" s="759" t="s">
        <v>3656</v>
      </c>
      <c r="K57" s="759" t="s">
        <v>3657</v>
      </c>
      <c r="L57" s="759" t="s">
        <v>35</v>
      </c>
      <c r="M57" s="759" t="s">
        <v>3737</v>
      </c>
      <c r="N57" s="759" t="s">
        <v>3738</v>
      </c>
      <c r="O57" s="759" t="s">
        <v>3739</v>
      </c>
      <c r="P57" s="761">
        <v>45295.654861111114</v>
      </c>
      <c r="Q57" s="759" t="s">
        <v>3740</v>
      </c>
      <c r="R57" s="761">
        <v>45295.69652777778</v>
      </c>
      <c r="S57" s="759" t="s">
        <v>3687</v>
      </c>
      <c r="T57" s="760">
        <v>26.0</v>
      </c>
      <c r="U57" s="761">
        <v>45299.0</v>
      </c>
      <c r="V57" s="761">
        <v>45299.88611111111</v>
      </c>
      <c r="W57" s="759" t="s">
        <v>3662</v>
      </c>
    </row>
    <row r="58" ht="15.75" hidden="1" customHeight="1">
      <c r="A58" s="759" t="s">
        <v>3389</v>
      </c>
      <c r="B58" s="763" t="s">
        <v>3392</v>
      </c>
      <c r="C58" s="760">
        <v>5.0823643E7</v>
      </c>
      <c r="D58" s="760">
        <v>1.000610577E9</v>
      </c>
      <c r="E58" s="759" t="s">
        <v>3652</v>
      </c>
      <c r="F58" s="760">
        <v>3893619.0</v>
      </c>
      <c r="G58" s="759" t="s">
        <v>3653</v>
      </c>
      <c r="H58" s="759" t="s">
        <v>3762</v>
      </c>
      <c r="I58" s="759" t="s">
        <v>3674</v>
      </c>
      <c r="J58" s="759" t="s">
        <v>3656</v>
      </c>
      <c r="K58" s="759" t="s">
        <v>3657</v>
      </c>
      <c r="L58" s="759" t="s">
        <v>35</v>
      </c>
      <c r="M58" s="759" t="s">
        <v>3711</v>
      </c>
      <c r="N58" s="759" t="s">
        <v>3712</v>
      </c>
      <c r="O58" s="759" t="s">
        <v>3713</v>
      </c>
      <c r="P58" s="761">
        <v>45295.64722222222</v>
      </c>
      <c r="Q58" s="759" t="s">
        <v>3714</v>
      </c>
      <c r="R58" s="761">
        <v>45295.688888888886</v>
      </c>
      <c r="S58" s="759" t="s">
        <v>3687</v>
      </c>
      <c r="T58" s="760">
        <v>26.0</v>
      </c>
      <c r="U58" s="761">
        <v>45299.0</v>
      </c>
      <c r="V58" s="761">
        <v>45299.97708333333</v>
      </c>
      <c r="W58" s="759" t="s">
        <v>3662</v>
      </c>
    </row>
    <row r="59" ht="15.75" hidden="1" customHeight="1">
      <c r="A59" s="759" t="s">
        <v>3389</v>
      </c>
      <c r="B59" s="763" t="s">
        <v>3392</v>
      </c>
      <c r="C59" s="760">
        <v>5.08251E7</v>
      </c>
      <c r="D59" s="760">
        <v>1.000610579E9</v>
      </c>
      <c r="E59" s="759" t="s">
        <v>3652</v>
      </c>
      <c r="F59" s="760">
        <v>3898062.0</v>
      </c>
      <c r="G59" s="759" t="s">
        <v>3653</v>
      </c>
      <c r="H59" s="759" t="s">
        <v>3760</v>
      </c>
      <c r="I59" s="759" t="s">
        <v>3674</v>
      </c>
      <c r="J59" s="759" t="s">
        <v>3656</v>
      </c>
      <c r="K59" s="759" t="s">
        <v>3657</v>
      </c>
      <c r="L59" s="759" t="s">
        <v>35</v>
      </c>
      <c r="M59" s="759" t="s">
        <v>3737</v>
      </c>
      <c r="N59" s="759" t="s">
        <v>3738</v>
      </c>
      <c r="O59" s="759" t="s">
        <v>3739</v>
      </c>
      <c r="P59" s="761">
        <v>45295.654861111114</v>
      </c>
      <c r="Q59" s="759" t="s">
        <v>3740</v>
      </c>
      <c r="R59" s="761">
        <v>45295.69652777778</v>
      </c>
      <c r="S59" s="759" t="s">
        <v>3687</v>
      </c>
      <c r="T59" s="760">
        <v>26.0</v>
      </c>
      <c r="U59" s="761">
        <v>45299.0</v>
      </c>
      <c r="V59" s="761">
        <v>45299.88611111111</v>
      </c>
      <c r="W59" s="759" t="s">
        <v>3662</v>
      </c>
    </row>
    <row r="60" ht="15.75" hidden="1" customHeight="1">
      <c r="A60" s="759" t="s">
        <v>3389</v>
      </c>
      <c r="B60" s="763" t="s">
        <v>3392</v>
      </c>
      <c r="C60" s="760">
        <v>5.0825107E7</v>
      </c>
      <c r="D60" s="760">
        <v>1.00061058E9</v>
      </c>
      <c r="E60" s="759" t="s">
        <v>3652</v>
      </c>
      <c r="F60" s="760">
        <v>3898487.0</v>
      </c>
      <c r="G60" s="759" t="s">
        <v>3653</v>
      </c>
      <c r="H60" s="759" t="s">
        <v>3760</v>
      </c>
      <c r="I60" s="759" t="s">
        <v>3674</v>
      </c>
      <c r="J60" s="759" t="s">
        <v>3656</v>
      </c>
      <c r="K60" s="759" t="s">
        <v>3657</v>
      </c>
      <c r="L60" s="759" t="s">
        <v>35</v>
      </c>
      <c r="M60" s="759" t="s">
        <v>3737</v>
      </c>
      <c r="N60" s="759" t="s">
        <v>3738</v>
      </c>
      <c r="O60" s="759" t="s">
        <v>3739</v>
      </c>
      <c r="P60" s="761">
        <v>45295.654861111114</v>
      </c>
      <c r="Q60" s="759" t="s">
        <v>3740</v>
      </c>
      <c r="R60" s="761">
        <v>45295.69652777778</v>
      </c>
      <c r="S60" s="759" t="s">
        <v>3687</v>
      </c>
      <c r="T60" s="760">
        <v>26.0</v>
      </c>
      <c r="U60" s="761">
        <v>45299.0</v>
      </c>
      <c r="V60" s="761">
        <v>45299.88611111111</v>
      </c>
      <c r="W60" s="759" t="s">
        <v>3662</v>
      </c>
    </row>
    <row r="61" ht="15.75" hidden="1" customHeight="1">
      <c r="A61" s="759" t="s">
        <v>3389</v>
      </c>
      <c r="B61" s="763" t="s">
        <v>3392</v>
      </c>
      <c r="C61" s="760">
        <v>5.0825111E7</v>
      </c>
      <c r="D61" s="760">
        <v>1.000610581E9</v>
      </c>
      <c r="E61" s="759" t="s">
        <v>3652</v>
      </c>
      <c r="F61" s="760">
        <v>3898168.0</v>
      </c>
      <c r="G61" s="759" t="s">
        <v>3653</v>
      </c>
      <c r="H61" s="759" t="s">
        <v>3760</v>
      </c>
      <c r="I61" s="759" t="s">
        <v>3674</v>
      </c>
      <c r="J61" s="759" t="s">
        <v>3656</v>
      </c>
      <c r="K61" s="759" t="s">
        <v>3657</v>
      </c>
      <c r="L61" s="759" t="s">
        <v>35</v>
      </c>
      <c r="M61" s="759" t="s">
        <v>3737</v>
      </c>
      <c r="N61" s="759" t="s">
        <v>3738</v>
      </c>
      <c r="O61" s="759" t="s">
        <v>3739</v>
      </c>
      <c r="P61" s="761">
        <v>45295.654861111114</v>
      </c>
      <c r="Q61" s="759" t="s">
        <v>3740</v>
      </c>
      <c r="R61" s="761">
        <v>45295.69652777778</v>
      </c>
      <c r="S61" s="759" t="s">
        <v>3687</v>
      </c>
      <c r="T61" s="760">
        <v>26.0</v>
      </c>
      <c r="U61" s="761">
        <v>45299.0</v>
      </c>
      <c r="V61" s="761">
        <v>45299.88611111111</v>
      </c>
      <c r="W61" s="759" t="s">
        <v>3662</v>
      </c>
    </row>
    <row r="62" ht="15.75" hidden="1" customHeight="1">
      <c r="A62" s="759" t="s">
        <v>3389</v>
      </c>
      <c r="B62" s="763" t="s">
        <v>3392</v>
      </c>
      <c r="C62" s="760">
        <v>5.0825095E7</v>
      </c>
      <c r="D62" s="760">
        <v>1.000610586E9</v>
      </c>
      <c r="E62" s="759" t="s">
        <v>3652</v>
      </c>
      <c r="F62" s="760">
        <v>3898130.0</v>
      </c>
      <c r="G62" s="759" t="s">
        <v>3653</v>
      </c>
      <c r="H62" s="759" t="s">
        <v>3760</v>
      </c>
      <c r="I62" s="759" t="s">
        <v>3674</v>
      </c>
      <c r="J62" s="759" t="s">
        <v>3656</v>
      </c>
      <c r="K62" s="759" t="s">
        <v>3657</v>
      </c>
      <c r="L62" s="759" t="s">
        <v>35</v>
      </c>
      <c r="M62" s="759" t="s">
        <v>3737</v>
      </c>
      <c r="N62" s="759" t="s">
        <v>3738</v>
      </c>
      <c r="O62" s="759" t="s">
        <v>3739</v>
      </c>
      <c r="P62" s="761">
        <v>45295.654861111114</v>
      </c>
      <c r="Q62" s="759" t="s">
        <v>3740</v>
      </c>
      <c r="R62" s="761">
        <v>45295.69652777778</v>
      </c>
      <c r="S62" s="759" t="s">
        <v>3687</v>
      </c>
      <c r="T62" s="760">
        <v>26.0</v>
      </c>
      <c r="U62" s="761">
        <v>45299.0</v>
      </c>
      <c r="V62" s="761">
        <v>45299.88611111111</v>
      </c>
      <c r="W62" s="759" t="s">
        <v>3662</v>
      </c>
    </row>
    <row r="63" ht="15.75" hidden="1" customHeight="1">
      <c r="A63" s="759" t="s">
        <v>3389</v>
      </c>
      <c r="B63" s="763" t="s">
        <v>3392</v>
      </c>
      <c r="C63" s="760">
        <v>5.0823645E7</v>
      </c>
      <c r="D63" s="760">
        <v>1.000610588E9</v>
      </c>
      <c r="E63" s="759" t="s">
        <v>3652</v>
      </c>
      <c r="F63" s="760">
        <v>3893626.0</v>
      </c>
      <c r="G63" s="759" t="s">
        <v>3653</v>
      </c>
      <c r="H63" s="759" t="s">
        <v>3762</v>
      </c>
      <c r="I63" s="759" t="s">
        <v>3674</v>
      </c>
      <c r="J63" s="759" t="s">
        <v>3656</v>
      </c>
      <c r="K63" s="759" t="s">
        <v>3657</v>
      </c>
      <c r="L63" s="759" t="s">
        <v>35</v>
      </c>
      <c r="M63" s="759" t="s">
        <v>3711</v>
      </c>
      <c r="N63" s="759" t="s">
        <v>3712</v>
      </c>
      <c r="O63" s="759" t="s">
        <v>3713</v>
      </c>
      <c r="P63" s="761">
        <v>45295.64722222222</v>
      </c>
      <c r="Q63" s="759" t="s">
        <v>3714</v>
      </c>
      <c r="R63" s="761">
        <v>45295.688888888886</v>
      </c>
      <c r="S63" s="759" t="s">
        <v>3687</v>
      </c>
      <c r="T63" s="760">
        <v>26.0</v>
      </c>
      <c r="U63" s="761">
        <v>45299.0</v>
      </c>
      <c r="V63" s="761">
        <v>45299.97708333333</v>
      </c>
      <c r="W63" s="759" t="s">
        <v>3662</v>
      </c>
    </row>
    <row r="64" ht="15.75" hidden="1" customHeight="1">
      <c r="A64" s="759" t="s">
        <v>3389</v>
      </c>
      <c r="B64" s="763" t="s">
        <v>3392</v>
      </c>
      <c r="C64" s="760">
        <v>5.0825112E7</v>
      </c>
      <c r="D64" s="760">
        <v>1.00061059E9</v>
      </c>
      <c r="E64" s="759" t="s">
        <v>3652</v>
      </c>
      <c r="F64" s="760">
        <v>3898294.0</v>
      </c>
      <c r="G64" s="759" t="s">
        <v>3653</v>
      </c>
      <c r="H64" s="759" t="s">
        <v>3760</v>
      </c>
      <c r="I64" s="759" t="s">
        <v>3674</v>
      </c>
      <c r="J64" s="759" t="s">
        <v>3656</v>
      </c>
      <c r="K64" s="759" t="s">
        <v>3657</v>
      </c>
      <c r="L64" s="759" t="s">
        <v>35</v>
      </c>
      <c r="M64" s="759" t="s">
        <v>3737</v>
      </c>
      <c r="N64" s="759" t="s">
        <v>3738</v>
      </c>
      <c r="O64" s="759" t="s">
        <v>3739</v>
      </c>
      <c r="P64" s="761">
        <v>45295.654861111114</v>
      </c>
      <c r="Q64" s="759" t="s">
        <v>3740</v>
      </c>
      <c r="R64" s="761">
        <v>45295.69652777778</v>
      </c>
      <c r="S64" s="759" t="s">
        <v>3763</v>
      </c>
      <c r="T64" s="760">
        <v>24.0</v>
      </c>
      <c r="U64" s="761">
        <v>45299.0</v>
      </c>
      <c r="V64" s="761">
        <v>45299.88611111111</v>
      </c>
      <c r="W64" s="759" t="s">
        <v>3662</v>
      </c>
    </row>
    <row r="65" ht="15.75" hidden="1" customHeight="1">
      <c r="A65" s="759" t="s">
        <v>3389</v>
      </c>
      <c r="B65" s="763" t="s">
        <v>3392</v>
      </c>
      <c r="C65" s="760">
        <v>5.0825091E7</v>
      </c>
      <c r="D65" s="760">
        <v>1.000610598E9</v>
      </c>
      <c r="E65" s="759" t="s">
        <v>3652</v>
      </c>
      <c r="F65" s="760">
        <v>3898598.0</v>
      </c>
      <c r="G65" s="759" t="s">
        <v>3653</v>
      </c>
      <c r="H65" s="759" t="s">
        <v>3760</v>
      </c>
      <c r="I65" s="759" t="s">
        <v>3674</v>
      </c>
      <c r="J65" s="759" t="s">
        <v>3656</v>
      </c>
      <c r="K65" s="759" t="s">
        <v>3657</v>
      </c>
      <c r="L65" s="759" t="s">
        <v>35</v>
      </c>
      <c r="M65" s="759" t="s">
        <v>3737</v>
      </c>
      <c r="N65" s="759" t="s">
        <v>3738</v>
      </c>
      <c r="O65" s="759" t="s">
        <v>3739</v>
      </c>
      <c r="P65" s="761">
        <v>45295.654861111114</v>
      </c>
      <c r="Q65" s="759" t="s">
        <v>3740</v>
      </c>
      <c r="R65" s="761">
        <v>45295.69652777778</v>
      </c>
      <c r="S65" s="759" t="s">
        <v>3687</v>
      </c>
      <c r="T65" s="760">
        <v>26.0</v>
      </c>
      <c r="U65" s="761">
        <v>45299.0</v>
      </c>
      <c r="V65" s="761">
        <v>45299.88611111111</v>
      </c>
      <c r="W65" s="759" t="s">
        <v>3662</v>
      </c>
    </row>
    <row r="66" ht="15.75" hidden="1" customHeight="1">
      <c r="A66" s="759" t="s">
        <v>3389</v>
      </c>
      <c r="B66" s="763" t="s">
        <v>3392</v>
      </c>
      <c r="C66" s="760">
        <v>5.0823644E7</v>
      </c>
      <c r="D66" s="760">
        <v>1.0006106E9</v>
      </c>
      <c r="E66" s="759" t="s">
        <v>3652</v>
      </c>
      <c r="F66" s="760">
        <v>3893613.0</v>
      </c>
      <c r="G66" s="759" t="s">
        <v>3653</v>
      </c>
      <c r="H66" s="759" t="s">
        <v>3762</v>
      </c>
      <c r="I66" s="759" t="s">
        <v>3674</v>
      </c>
      <c r="J66" s="759" t="s">
        <v>3656</v>
      </c>
      <c r="K66" s="759" t="s">
        <v>3657</v>
      </c>
      <c r="L66" s="759" t="s">
        <v>35</v>
      </c>
      <c r="M66" s="759" t="s">
        <v>3711</v>
      </c>
      <c r="N66" s="759" t="s">
        <v>3712</v>
      </c>
      <c r="O66" s="759" t="s">
        <v>3713</v>
      </c>
      <c r="P66" s="761">
        <v>45295.64722222222</v>
      </c>
      <c r="Q66" s="759" t="s">
        <v>3714</v>
      </c>
      <c r="R66" s="761">
        <v>45295.688888888886</v>
      </c>
      <c r="S66" s="759" t="s">
        <v>3687</v>
      </c>
      <c r="T66" s="760">
        <v>26.0</v>
      </c>
      <c r="U66" s="761">
        <v>45299.0</v>
      </c>
      <c r="V66" s="761">
        <v>45299.97708333333</v>
      </c>
      <c r="W66" s="759" t="s">
        <v>3662</v>
      </c>
    </row>
    <row r="67" ht="15.75" hidden="1" customHeight="1">
      <c r="A67" s="759" t="s">
        <v>3389</v>
      </c>
      <c r="B67" s="763" t="s">
        <v>3392</v>
      </c>
      <c r="C67" s="760">
        <v>5.0825113E7</v>
      </c>
      <c r="D67" s="760">
        <v>1.00061062E9</v>
      </c>
      <c r="E67" s="759" t="s">
        <v>3652</v>
      </c>
      <c r="F67" s="760">
        <v>3898506.0</v>
      </c>
      <c r="G67" s="759" t="s">
        <v>3653</v>
      </c>
      <c r="H67" s="759" t="s">
        <v>3760</v>
      </c>
      <c r="I67" s="759" t="s">
        <v>3674</v>
      </c>
      <c r="J67" s="759" t="s">
        <v>3656</v>
      </c>
      <c r="K67" s="759" t="s">
        <v>3657</v>
      </c>
      <c r="L67" s="759" t="s">
        <v>35</v>
      </c>
      <c r="M67" s="759" t="s">
        <v>3737</v>
      </c>
      <c r="N67" s="759" t="s">
        <v>3738</v>
      </c>
      <c r="O67" s="759" t="s">
        <v>3739</v>
      </c>
      <c r="P67" s="761">
        <v>45295.654861111114</v>
      </c>
      <c r="Q67" s="759" t="s">
        <v>3740</v>
      </c>
      <c r="R67" s="761">
        <v>45295.69652777778</v>
      </c>
      <c r="S67" s="759" t="s">
        <v>3687</v>
      </c>
      <c r="T67" s="760">
        <v>26.0</v>
      </c>
      <c r="U67" s="761">
        <v>45299.0</v>
      </c>
      <c r="V67" s="761">
        <v>45299.88611111111</v>
      </c>
      <c r="W67" s="759" t="s">
        <v>3662</v>
      </c>
    </row>
    <row r="68" ht="15.75" hidden="1" customHeight="1">
      <c r="A68" s="759" t="s">
        <v>3389</v>
      </c>
      <c r="B68" s="763" t="s">
        <v>3392</v>
      </c>
      <c r="C68" s="760">
        <v>5.0825096E7</v>
      </c>
      <c r="D68" s="760">
        <v>1.000610622E9</v>
      </c>
      <c r="E68" s="759" t="s">
        <v>3652</v>
      </c>
      <c r="F68" s="760">
        <v>3898045.0</v>
      </c>
      <c r="G68" s="759" t="s">
        <v>3653</v>
      </c>
      <c r="H68" s="759" t="s">
        <v>3760</v>
      </c>
      <c r="I68" s="759" t="s">
        <v>3674</v>
      </c>
      <c r="J68" s="759" t="s">
        <v>3656</v>
      </c>
      <c r="K68" s="759" t="s">
        <v>3657</v>
      </c>
      <c r="L68" s="759" t="s">
        <v>35</v>
      </c>
      <c r="M68" s="759" t="s">
        <v>3737</v>
      </c>
      <c r="N68" s="759" t="s">
        <v>3738</v>
      </c>
      <c r="O68" s="759" t="s">
        <v>3739</v>
      </c>
      <c r="P68" s="761">
        <v>45295.654861111114</v>
      </c>
      <c r="Q68" s="759" t="s">
        <v>3740</v>
      </c>
      <c r="R68" s="761">
        <v>45295.69652777778</v>
      </c>
      <c r="S68" s="759" t="s">
        <v>3687</v>
      </c>
      <c r="T68" s="760">
        <v>26.0</v>
      </c>
      <c r="U68" s="761">
        <v>45299.0</v>
      </c>
      <c r="V68" s="761">
        <v>45299.88611111111</v>
      </c>
      <c r="W68" s="759" t="s">
        <v>3662</v>
      </c>
    </row>
    <row r="69" ht="15.75" hidden="1" customHeight="1">
      <c r="A69" s="759" t="s">
        <v>3389</v>
      </c>
      <c r="B69" s="763" t="s">
        <v>3392</v>
      </c>
      <c r="C69" s="760">
        <v>5.0825109E7</v>
      </c>
      <c r="D69" s="760">
        <v>1.000610628E9</v>
      </c>
      <c r="E69" s="759" t="s">
        <v>3652</v>
      </c>
      <c r="F69" s="760">
        <v>3898585.0</v>
      </c>
      <c r="G69" s="759" t="s">
        <v>3653</v>
      </c>
      <c r="H69" s="759" t="s">
        <v>3761</v>
      </c>
      <c r="I69" s="759" t="s">
        <v>3674</v>
      </c>
      <c r="J69" s="759" t="s">
        <v>3656</v>
      </c>
      <c r="K69" s="759" t="s">
        <v>3657</v>
      </c>
      <c r="L69" s="759" t="s">
        <v>35</v>
      </c>
      <c r="M69" s="759" t="s">
        <v>3737</v>
      </c>
      <c r="N69" s="759" t="s">
        <v>3738</v>
      </c>
      <c r="O69" s="759" t="s">
        <v>3739</v>
      </c>
      <c r="P69" s="761">
        <v>45295.654861111114</v>
      </c>
      <c r="Q69" s="759" t="s">
        <v>3740</v>
      </c>
      <c r="R69" s="761">
        <v>45295.69652777778</v>
      </c>
      <c r="S69" s="759" t="s">
        <v>3687</v>
      </c>
      <c r="T69" s="760">
        <v>26.0</v>
      </c>
      <c r="U69" s="761">
        <v>45299.0</v>
      </c>
      <c r="V69" s="761">
        <v>45299.88611111111</v>
      </c>
      <c r="W69" s="759" t="s">
        <v>3662</v>
      </c>
    </row>
    <row r="70" ht="15.75" hidden="1" customHeight="1">
      <c r="A70" s="759" t="s">
        <v>3389</v>
      </c>
      <c r="B70" s="763" t="s">
        <v>3392</v>
      </c>
      <c r="C70" s="760">
        <v>5.0823647E7</v>
      </c>
      <c r="D70" s="760">
        <v>1.000610636E9</v>
      </c>
      <c r="E70" s="759" t="s">
        <v>3652</v>
      </c>
      <c r="F70" s="760">
        <v>3893584.0</v>
      </c>
      <c r="G70" s="759" t="s">
        <v>3653</v>
      </c>
      <c r="H70" s="759" t="s">
        <v>3762</v>
      </c>
      <c r="I70" s="759" t="s">
        <v>3674</v>
      </c>
      <c r="J70" s="759" t="s">
        <v>3656</v>
      </c>
      <c r="K70" s="759" t="s">
        <v>3657</v>
      </c>
      <c r="L70" s="759" t="s">
        <v>35</v>
      </c>
      <c r="M70" s="759" t="s">
        <v>3711</v>
      </c>
      <c r="N70" s="759" t="s">
        <v>3712</v>
      </c>
      <c r="O70" s="759" t="s">
        <v>3713</v>
      </c>
      <c r="P70" s="761">
        <v>45295.64722222222</v>
      </c>
      <c r="Q70" s="759" t="s">
        <v>3714</v>
      </c>
      <c r="R70" s="761">
        <v>45295.688888888886</v>
      </c>
      <c r="S70" s="759" t="s">
        <v>3687</v>
      </c>
      <c r="T70" s="760">
        <v>26.0</v>
      </c>
      <c r="U70" s="761">
        <v>45299.0</v>
      </c>
      <c r="V70" s="761">
        <v>45299.97708333333</v>
      </c>
      <c r="W70" s="759" t="s">
        <v>3662</v>
      </c>
    </row>
    <row r="71" ht="15.75" hidden="1" customHeight="1">
      <c r="A71" s="759" t="s">
        <v>3389</v>
      </c>
      <c r="B71" s="763" t="s">
        <v>3392</v>
      </c>
      <c r="C71" s="760">
        <v>5.0825104E7</v>
      </c>
      <c r="D71" s="760">
        <v>1.000610641E9</v>
      </c>
      <c r="E71" s="759" t="s">
        <v>3652</v>
      </c>
      <c r="F71" s="760">
        <v>3898103.0</v>
      </c>
      <c r="G71" s="759" t="s">
        <v>3653</v>
      </c>
      <c r="H71" s="759" t="s">
        <v>3761</v>
      </c>
      <c r="I71" s="759" t="s">
        <v>3674</v>
      </c>
      <c r="J71" s="759" t="s">
        <v>3656</v>
      </c>
      <c r="K71" s="759" t="s">
        <v>3657</v>
      </c>
      <c r="L71" s="759" t="s">
        <v>35</v>
      </c>
      <c r="M71" s="759" t="s">
        <v>3737</v>
      </c>
      <c r="N71" s="759" t="s">
        <v>3738</v>
      </c>
      <c r="O71" s="759" t="s">
        <v>3739</v>
      </c>
      <c r="P71" s="761">
        <v>45295.654861111114</v>
      </c>
      <c r="Q71" s="759" t="s">
        <v>3740</v>
      </c>
      <c r="R71" s="761">
        <v>45295.69652777778</v>
      </c>
      <c r="S71" s="759" t="s">
        <v>3687</v>
      </c>
      <c r="T71" s="760">
        <v>26.0</v>
      </c>
      <c r="U71" s="761">
        <v>45299.0</v>
      </c>
      <c r="V71" s="761">
        <v>45299.88611111111</v>
      </c>
      <c r="W71" s="759" t="s">
        <v>3662</v>
      </c>
    </row>
    <row r="72" ht="15.75" hidden="1" customHeight="1">
      <c r="A72" s="759" t="s">
        <v>3389</v>
      </c>
      <c r="B72" s="763" t="s">
        <v>3392</v>
      </c>
      <c r="C72" s="760">
        <v>5.0825098E7</v>
      </c>
      <c r="D72" s="760">
        <v>1.000610643E9</v>
      </c>
      <c r="E72" s="759" t="s">
        <v>3652</v>
      </c>
      <c r="F72" s="760">
        <v>3898648.0</v>
      </c>
      <c r="G72" s="759" t="s">
        <v>3653</v>
      </c>
      <c r="H72" s="759" t="s">
        <v>3761</v>
      </c>
      <c r="I72" s="759" t="s">
        <v>3674</v>
      </c>
      <c r="J72" s="759" t="s">
        <v>3656</v>
      </c>
      <c r="K72" s="759" t="s">
        <v>3657</v>
      </c>
      <c r="L72" s="759" t="s">
        <v>35</v>
      </c>
      <c r="M72" s="759" t="s">
        <v>3737</v>
      </c>
      <c r="N72" s="759" t="s">
        <v>3738</v>
      </c>
      <c r="O72" s="759" t="s">
        <v>3739</v>
      </c>
      <c r="P72" s="761">
        <v>45295.654861111114</v>
      </c>
      <c r="Q72" s="759" t="s">
        <v>3740</v>
      </c>
      <c r="R72" s="761">
        <v>45295.69652777778</v>
      </c>
      <c r="S72" s="759" t="s">
        <v>3687</v>
      </c>
      <c r="T72" s="760">
        <v>26.0</v>
      </c>
      <c r="U72" s="761">
        <v>45299.0</v>
      </c>
      <c r="V72" s="761">
        <v>45299.88611111111</v>
      </c>
      <c r="W72" s="759" t="s">
        <v>3662</v>
      </c>
    </row>
    <row r="73" ht="15.75" hidden="1" customHeight="1">
      <c r="A73" s="759" t="s">
        <v>3389</v>
      </c>
      <c r="B73" s="763" t="s">
        <v>3392</v>
      </c>
      <c r="C73" s="760">
        <v>5.0823646E7</v>
      </c>
      <c r="D73" s="760">
        <v>1.000610655E9</v>
      </c>
      <c r="E73" s="759" t="s">
        <v>3652</v>
      </c>
      <c r="F73" s="760">
        <v>3893607.0</v>
      </c>
      <c r="G73" s="759" t="s">
        <v>3653</v>
      </c>
      <c r="H73" s="759" t="s">
        <v>3762</v>
      </c>
      <c r="I73" s="759" t="s">
        <v>3674</v>
      </c>
      <c r="J73" s="759" t="s">
        <v>3656</v>
      </c>
      <c r="K73" s="759" t="s">
        <v>3657</v>
      </c>
      <c r="L73" s="759" t="s">
        <v>35</v>
      </c>
      <c r="M73" s="759" t="s">
        <v>3711</v>
      </c>
      <c r="N73" s="759" t="s">
        <v>3712</v>
      </c>
      <c r="O73" s="759" t="s">
        <v>3713</v>
      </c>
      <c r="P73" s="761">
        <v>45295.64722222222</v>
      </c>
      <c r="Q73" s="759" t="s">
        <v>3714</v>
      </c>
      <c r="R73" s="761">
        <v>45295.688888888886</v>
      </c>
      <c r="S73" s="759" t="s">
        <v>3687</v>
      </c>
      <c r="T73" s="760">
        <v>26.0</v>
      </c>
      <c r="U73" s="761">
        <v>45299.0</v>
      </c>
      <c r="V73" s="761">
        <v>45299.97708333333</v>
      </c>
      <c r="W73" s="759" t="s">
        <v>3662</v>
      </c>
    </row>
    <row r="74" ht="15.75" hidden="1" customHeight="1">
      <c r="A74" s="759" t="s">
        <v>3389</v>
      </c>
      <c r="B74" s="763" t="s">
        <v>3392</v>
      </c>
      <c r="C74" s="760">
        <v>5.0822395E7</v>
      </c>
      <c r="D74" s="760">
        <v>1.000610745E9</v>
      </c>
      <c r="E74" s="759" t="s">
        <v>3652</v>
      </c>
      <c r="F74" s="760">
        <v>4.503348153E9</v>
      </c>
      <c r="G74" s="759" t="s">
        <v>3653</v>
      </c>
      <c r="H74" s="759" t="s">
        <v>3764</v>
      </c>
      <c r="I74" s="759" t="s">
        <v>3674</v>
      </c>
      <c r="J74" s="759" t="s">
        <v>3656</v>
      </c>
      <c r="K74" s="759" t="s">
        <v>3657</v>
      </c>
      <c r="L74" s="759" t="s">
        <v>35</v>
      </c>
      <c r="M74" s="759" t="s">
        <v>3765</v>
      </c>
      <c r="N74" s="759" t="s">
        <v>3659</v>
      </c>
      <c r="O74" s="759" t="s">
        <v>2119</v>
      </c>
      <c r="P74" s="761">
        <v>45295.64097222222</v>
      </c>
      <c r="Q74" s="759" t="s">
        <v>3766</v>
      </c>
      <c r="R74" s="761">
        <v>45295.68263888889</v>
      </c>
      <c r="S74" s="759" t="s">
        <v>3767</v>
      </c>
      <c r="T74" s="760">
        <v>26.0</v>
      </c>
      <c r="U74" s="761">
        <v>45299.0</v>
      </c>
      <c r="V74" s="761">
        <v>45299.978472222225</v>
      </c>
      <c r="W74" s="759" t="s">
        <v>3662</v>
      </c>
    </row>
    <row r="75" ht="15.75" customHeight="1">
      <c r="A75" s="759" t="s">
        <v>3387</v>
      </c>
      <c r="B75" s="759" t="s">
        <v>3387</v>
      </c>
      <c r="C75" s="760">
        <v>5.1476027E7</v>
      </c>
      <c r="D75" s="760">
        <v>1.000606691E9</v>
      </c>
      <c r="E75" s="759" t="s">
        <v>3652</v>
      </c>
      <c r="F75" s="760">
        <v>3894983.0</v>
      </c>
      <c r="G75" s="759" t="s">
        <v>3653</v>
      </c>
      <c r="H75" s="759" t="s">
        <v>3768</v>
      </c>
      <c r="I75" s="759" t="s">
        <v>3655</v>
      </c>
      <c r="J75" s="759" t="s">
        <v>3656</v>
      </c>
      <c r="K75" s="759" t="s">
        <v>3657</v>
      </c>
      <c r="L75" s="759" t="s">
        <v>35</v>
      </c>
      <c r="M75" s="759" t="s">
        <v>3716</v>
      </c>
      <c r="N75" s="759" t="s">
        <v>3717</v>
      </c>
      <c r="O75" s="759" t="s">
        <v>3718</v>
      </c>
      <c r="P75" s="761">
        <v>45301.4625</v>
      </c>
      <c r="Q75" s="759" t="s">
        <v>3719</v>
      </c>
      <c r="R75" s="761">
        <v>45301.504166666666</v>
      </c>
      <c r="S75" s="759" t="s">
        <v>3687</v>
      </c>
      <c r="T75" s="760">
        <v>26.0</v>
      </c>
      <c r="U75" s="761">
        <v>45300.0</v>
      </c>
      <c r="V75" s="761">
        <v>45300.76875</v>
      </c>
      <c r="W75" s="759" t="s">
        <v>3662</v>
      </c>
    </row>
    <row r="76" ht="15.75" hidden="1" customHeight="1">
      <c r="A76" s="759" t="s">
        <v>3389</v>
      </c>
      <c r="B76" s="763" t="s">
        <v>3390</v>
      </c>
      <c r="C76" s="760">
        <v>5.0652732E7</v>
      </c>
      <c r="D76" s="760">
        <v>1.000606692E9</v>
      </c>
      <c r="E76" s="759" t="s">
        <v>3652</v>
      </c>
      <c r="F76" s="760">
        <v>3893621.0</v>
      </c>
      <c r="G76" s="759" t="s">
        <v>3653</v>
      </c>
      <c r="H76" s="759" t="s">
        <v>3710</v>
      </c>
      <c r="I76" s="759" t="s">
        <v>3674</v>
      </c>
      <c r="J76" s="759" t="s">
        <v>3656</v>
      </c>
      <c r="K76" s="759" t="s">
        <v>3657</v>
      </c>
      <c r="L76" s="759" t="s">
        <v>35</v>
      </c>
      <c r="M76" s="759" t="s">
        <v>3711</v>
      </c>
      <c r="N76" s="759" t="s">
        <v>3712</v>
      </c>
      <c r="O76" s="759" t="s">
        <v>3713</v>
      </c>
      <c r="P76" s="761">
        <v>45294.615277777775</v>
      </c>
      <c r="Q76" s="759" t="s">
        <v>3714</v>
      </c>
      <c r="R76" s="761">
        <v>45294.65694444445</v>
      </c>
      <c r="S76" s="759" t="s">
        <v>3687</v>
      </c>
      <c r="T76" s="760">
        <v>26.0</v>
      </c>
      <c r="U76" s="761">
        <v>45300.0</v>
      </c>
      <c r="V76" s="761">
        <v>45300.97708333333</v>
      </c>
      <c r="W76" s="759" t="s">
        <v>3662</v>
      </c>
    </row>
    <row r="77" ht="15.75" hidden="1" customHeight="1">
      <c r="A77" s="759" t="s">
        <v>3389</v>
      </c>
      <c r="B77" s="763" t="s">
        <v>3390</v>
      </c>
      <c r="C77" s="760">
        <v>5.0655156E7</v>
      </c>
      <c r="D77" s="760">
        <v>1.000606696E9</v>
      </c>
      <c r="E77" s="759" t="s">
        <v>3652</v>
      </c>
      <c r="F77" s="760">
        <v>3893602.0</v>
      </c>
      <c r="G77" s="759" t="s">
        <v>3653</v>
      </c>
      <c r="H77" s="759" t="s">
        <v>3710</v>
      </c>
      <c r="I77" s="759" t="s">
        <v>3674</v>
      </c>
      <c r="J77" s="759" t="s">
        <v>3656</v>
      </c>
      <c r="K77" s="759" t="s">
        <v>3657</v>
      </c>
      <c r="L77" s="759" t="s">
        <v>35</v>
      </c>
      <c r="M77" s="759" t="s">
        <v>3711</v>
      </c>
      <c r="N77" s="759" t="s">
        <v>3712</v>
      </c>
      <c r="O77" s="759" t="s">
        <v>3713</v>
      </c>
      <c r="P77" s="761">
        <v>45294.62708333333</v>
      </c>
      <c r="Q77" s="759" t="s">
        <v>3714</v>
      </c>
      <c r="R77" s="761">
        <v>45294.66875</v>
      </c>
      <c r="S77" s="759" t="s">
        <v>3687</v>
      </c>
      <c r="T77" s="760">
        <v>26.0</v>
      </c>
      <c r="U77" s="761">
        <v>45300.0</v>
      </c>
      <c r="V77" s="761">
        <v>45300.97708333333</v>
      </c>
      <c r="W77" s="759" t="s">
        <v>3662</v>
      </c>
    </row>
    <row r="78" ht="15.75" hidden="1" customHeight="1">
      <c r="A78" s="759" t="s">
        <v>3389</v>
      </c>
      <c r="B78" s="763" t="s">
        <v>3390</v>
      </c>
      <c r="C78" s="760">
        <v>5.0647852E7</v>
      </c>
      <c r="D78" s="760">
        <v>1.00060676E9</v>
      </c>
      <c r="E78" s="759" t="s">
        <v>3652</v>
      </c>
      <c r="F78" s="760">
        <v>3894963.0</v>
      </c>
      <c r="G78" s="759" t="s">
        <v>3653</v>
      </c>
      <c r="H78" s="759" t="s">
        <v>3715</v>
      </c>
      <c r="I78" s="759" t="s">
        <v>3674</v>
      </c>
      <c r="J78" s="759" t="s">
        <v>3656</v>
      </c>
      <c r="K78" s="759" t="s">
        <v>3657</v>
      </c>
      <c r="L78" s="759" t="s">
        <v>35</v>
      </c>
      <c r="M78" s="759" t="s">
        <v>3716</v>
      </c>
      <c r="N78" s="759" t="s">
        <v>3717</v>
      </c>
      <c r="O78" s="759" t="s">
        <v>3718</v>
      </c>
      <c r="P78" s="761">
        <v>45294.59930555556</v>
      </c>
      <c r="Q78" s="759" t="s">
        <v>3719</v>
      </c>
      <c r="R78" s="761">
        <v>45294.64097222222</v>
      </c>
      <c r="S78" s="759" t="s">
        <v>3687</v>
      </c>
      <c r="T78" s="760">
        <v>26.0</v>
      </c>
      <c r="U78" s="761">
        <v>45300.0</v>
      </c>
      <c r="V78" s="761">
        <v>45300.76875</v>
      </c>
      <c r="W78" s="759" t="s">
        <v>3662</v>
      </c>
    </row>
    <row r="79" ht="15.75" customHeight="1">
      <c r="A79" s="759" t="s">
        <v>3387</v>
      </c>
      <c r="B79" s="759" t="s">
        <v>3387</v>
      </c>
      <c r="C79" s="760">
        <v>5.066525E7</v>
      </c>
      <c r="D79" s="760">
        <v>1.000607099E9</v>
      </c>
      <c r="E79" s="759" t="s">
        <v>3652</v>
      </c>
      <c r="F79" s="760">
        <v>4.50334802E9</v>
      </c>
      <c r="G79" s="759" t="s">
        <v>3653</v>
      </c>
      <c r="H79" s="759" t="s">
        <v>3769</v>
      </c>
      <c r="I79" s="759" t="s">
        <v>3655</v>
      </c>
      <c r="J79" s="759" t="s">
        <v>3656</v>
      </c>
      <c r="K79" s="759" t="s">
        <v>3657</v>
      </c>
      <c r="L79" s="759" t="s">
        <v>35</v>
      </c>
      <c r="M79" s="759" t="s">
        <v>3770</v>
      </c>
      <c r="N79" s="759" t="s">
        <v>3771</v>
      </c>
      <c r="O79" s="759" t="s">
        <v>3772</v>
      </c>
      <c r="P79" s="761">
        <v>45294.680555555555</v>
      </c>
      <c r="Q79" s="759" t="s">
        <v>3773</v>
      </c>
      <c r="R79" s="761">
        <v>45294.72222222222</v>
      </c>
      <c r="S79" s="759" t="s">
        <v>3774</v>
      </c>
      <c r="T79" s="760">
        <v>26.0</v>
      </c>
      <c r="U79" s="761">
        <v>45300.0</v>
      </c>
      <c r="V79" s="761">
        <v>45297.62222222222</v>
      </c>
      <c r="W79" s="759" t="s">
        <v>3662</v>
      </c>
    </row>
    <row r="80" ht="15.75" customHeight="1">
      <c r="A80" s="759" t="s">
        <v>3387</v>
      </c>
      <c r="B80" s="759" t="s">
        <v>3387</v>
      </c>
      <c r="C80" s="760">
        <v>5.0665249E7</v>
      </c>
      <c r="D80" s="760">
        <v>1.000607296E9</v>
      </c>
      <c r="E80" s="759" t="s">
        <v>3652</v>
      </c>
      <c r="F80" s="760">
        <v>4.503348027E9</v>
      </c>
      <c r="G80" s="759" t="s">
        <v>3653</v>
      </c>
      <c r="H80" s="759" t="s">
        <v>3769</v>
      </c>
      <c r="I80" s="759" t="s">
        <v>3655</v>
      </c>
      <c r="J80" s="759" t="s">
        <v>3656</v>
      </c>
      <c r="K80" s="759" t="s">
        <v>3657</v>
      </c>
      <c r="L80" s="759" t="s">
        <v>35</v>
      </c>
      <c r="M80" s="759" t="s">
        <v>3770</v>
      </c>
      <c r="N80" s="759" t="s">
        <v>3771</v>
      </c>
      <c r="O80" s="759" t="s">
        <v>3772</v>
      </c>
      <c r="P80" s="761">
        <v>45294.680555555555</v>
      </c>
      <c r="Q80" s="759" t="s">
        <v>3773</v>
      </c>
      <c r="R80" s="761">
        <v>45294.72222222222</v>
      </c>
      <c r="S80" s="759" t="s">
        <v>3775</v>
      </c>
      <c r="T80" s="760">
        <v>26.0</v>
      </c>
      <c r="U80" s="761">
        <v>45300.0</v>
      </c>
      <c r="V80" s="761">
        <v>45297.62222222222</v>
      </c>
      <c r="W80" s="759" t="s">
        <v>3662</v>
      </c>
    </row>
    <row r="81" ht="15.75" customHeight="1">
      <c r="A81" s="759" t="s">
        <v>3387</v>
      </c>
      <c r="B81" s="759" t="s">
        <v>3387</v>
      </c>
      <c r="C81" s="760">
        <v>5.0665253E7</v>
      </c>
      <c r="D81" s="760">
        <v>1.000607311E9</v>
      </c>
      <c r="E81" s="759" t="s">
        <v>3652</v>
      </c>
      <c r="F81" s="760">
        <v>4.503348019E9</v>
      </c>
      <c r="G81" s="759" t="s">
        <v>3653</v>
      </c>
      <c r="H81" s="759" t="s">
        <v>3769</v>
      </c>
      <c r="I81" s="759" t="s">
        <v>3655</v>
      </c>
      <c r="J81" s="759" t="s">
        <v>3656</v>
      </c>
      <c r="K81" s="759" t="s">
        <v>3657</v>
      </c>
      <c r="L81" s="759" t="s">
        <v>35</v>
      </c>
      <c r="M81" s="759" t="s">
        <v>3770</v>
      </c>
      <c r="N81" s="759" t="s">
        <v>3771</v>
      </c>
      <c r="O81" s="759" t="s">
        <v>3772</v>
      </c>
      <c r="P81" s="761">
        <v>45294.680555555555</v>
      </c>
      <c r="Q81" s="759" t="s">
        <v>3773</v>
      </c>
      <c r="R81" s="761">
        <v>45294.72222222222</v>
      </c>
      <c r="S81" s="759" t="s">
        <v>3776</v>
      </c>
      <c r="T81" s="760">
        <v>26.0</v>
      </c>
      <c r="U81" s="761">
        <v>45300.0</v>
      </c>
      <c r="V81" s="761">
        <v>45297.62222222222</v>
      </c>
      <c r="W81" s="759" t="s">
        <v>3662</v>
      </c>
    </row>
    <row r="82" ht="15.75" hidden="1" customHeight="1">
      <c r="A82" s="759" t="s">
        <v>3389</v>
      </c>
      <c r="B82" s="763" t="s">
        <v>3388</v>
      </c>
      <c r="C82" s="760">
        <v>5.0817764E7</v>
      </c>
      <c r="D82" s="760">
        <v>1.000610591E9</v>
      </c>
      <c r="E82" s="759" t="s">
        <v>3652</v>
      </c>
      <c r="F82" s="760">
        <v>3895406.0</v>
      </c>
      <c r="G82" s="759" t="s">
        <v>3653</v>
      </c>
      <c r="H82" s="759" t="s">
        <v>3715</v>
      </c>
      <c r="I82" s="759" t="s">
        <v>3674</v>
      </c>
      <c r="J82" s="759" t="s">
        <v>3656</v>
      </c>
      <c r="K82" s="759" t="s">
        <v>3657</v>
      </c>
      <c r="L82" s="759" t="s">
        <v>35</v>
      </c>
      <c r="M82" s="759" t="s">
        <v>3716</v>
      </c>
      <c r="N82" s="759" t="s">
        <v>3717</v>
      </c>
      <c r="O82" s="759" t="s">
        <v>3718</v>
      </c>
      <c r="P82" s="761">
        <v>45295.61666666667</v>
      </c>
      <c r="Q82" s="759" t="s">
        <v>3719</v>
      </c>
      <c r="R82" s="761">
        <v>45295.65833333333</v>
      </c>
      <c r="S82" s="759" t="s">
        <v>3687</v>
      </c>
      <c r="T82" s="760">
        <v>26.0</v>
      </c>
      <c r="U82" s="761">
        <v>45300.0</v>
      </c>
      <c r="V82" s="761">
        <v>45300.76875</v>
      </c>
      <c r="W82" s="759" t="s">
        <v>3662</v>
      </c>
    </row>
    <row r="83" ht="15.75" hidden="1" customHeight="1">
      <c r="A83" s="759" t="s">
        <v>3389</v>
      </c>
      <c r="B83" s="763" t="s">
        <v>3388</v>
      </c>
      <c r="C83" s="760">
        <v>5.0817765E7</v>
      </c>
      <c r="D83" s="760">
        <v>1.000610654E9</v>
      </c>
      <c r="E83" s="759" t="s">
        <v>3652</v>
      </c>
      <c r="F83" s="760">
        <v>3896188.0</v>
      </c>
      <c r="G83" s="759" t="s">
        <v>3653</v>
      </c>
      <c r="H83" s="759" t="s">
        <v>3715</v>
      </c>
      <c r="I83" s="759" t="s">
        <v>3674</v>
      </c>
      <c r="J83" s="759" t="s">
        <v>3656</v>
      </c>
      <c r="K83" s="759" t="s">
        <v>3657</v>
      </c>
      <c r="L83" s="759" t="s">
        <v>35</v>
      </c>
      <c r="M83" s="759" t="s">
        <v>3716</v>
      </c>
      <c r="N83" s="759" t="s">
        <v>3717</v>
      </c>
      <c r="O83" s="759" t="s">
        <v>3718</v>
      </c>
      <c r="P83" s="761">
        <v>45295.61666666667</v>
      </c>
      <c r="Q83" s="759" t="s">
        <v>3719</v>
      </c>
      <c r="R83" s="761">
        <v>45295.65833333333</v>
      </c>
      <c r="S83" s="759" t="s">
        <v>3687</v>
      </c>
      <c r="T83" s="760">
        <v>26.0</v>
      </c>
      <c r="U83" s="761">
        <v>45300.0</v>
      </c>
      <c r="V83" s="761">
        <v>45300.76875</v>
      </c>
      <c r="W83" s="759" t="s">
        <v>3662</v>
      </c>
    </row>
    <row r="84" ht="15.75" hidden="1" customHeight="1">
      <c r="A84" s="759" t="s">
        <v>3389</v>
      </c>
      <c r="B84" s="763" t="s">
        <v>3395</v>
      </c>
      <c r="C84" s="760">
        <v>5.0846968E7</v>
      </c>
      <c r="D84" s="760">
        <v>1.000610928E9</v>
      </c>
      <c r="E84" s="759" t="s">
        <v>3652</v>
      </c>
      <c r="F84" s="759"/>
      <c r="G84" s="759" t="s">
        <v>3749</v>
      </c>
      <c r="H84" s="759" t="s">
        <v>3777</v>
      </c>
      <c r="I84" s="759" t="s">
        <v>3674</v>
      </c>
      <c r="J84" s="759" t="s">
        <v>3656</v>
      </c>
      <c r="K84" s="759" t="s">
        <v>3657</v>
      </c>
      <c r="L84" s="759" t="s">
        <v>35</v>
      </c>
      <c r="M84" s="759" t="s">
        <v>3778</v>
      </c>
      <c r="N84" s="759" t="s">
        <v>1995</v>
      </c>
      <c r="O84" s="759" t="s">
        <v>187</v>
      </c>
      <c r="P84" s="761">
        <v>45295.768055555556</v>
      </c>
      <c r="Q84" s="759" t="s">
        <v>3779</v>
      </c>
      <c r="R84" s="761">
        <v>45295.80972222222</v>
      </c>
      <c r="S84" s="759" t="s">
        <v>3661</v>
      </c>
      <c r="T84" s="760">
        <v>26.0</v>
      </c>
      <c r="U84" s="761">
        <v>45300.0</v>
      </c>
      <c r="V84" s="761">
        <v>45300.311111111114</v>
      </c>
      <c r="W84" s="759" t="s">
        <v>3662</v>
      </c>
    </row>
    <row r="85" ht="15.75" hidden="1" customHeight="1">
      <c r="A85" s="759" t="s">
        <v>3389</v>
      </c>
      <c r="B85" s="763" t="s">
        <v>3390</v>
      </c>
      <c r="C85" s="760">
        <v>5.0927977E7</v>
      </c>
      <c r="D85" s="760">
        <v>1.000612319E9</v>
      </c>
      <c r="E85" s="759" t="s">
        <v>3652</v>
      </c>
      <c r="F85" s="759"/>
      <c r="G85" s="759" t="s">
        <v>3653</v>
      </c>
      <c r="H85" s="759" t="s">
        <v>3780</v>
      </c>
      <c r="I85" s="759" t="s">
        <v>3674</v>
      </c>
      <c r="J85" s="759" t="s">
        <v>3656</v>
      </c>
      <c r="K85" s="759" t="s">
        <v>3657</v>
      </c>
      <c r="L85" s="759" t="s">
        <v>35</v>
      </c>
      <c r="M85" s="759" t="s">
        <v>3781</v>
      </c>
      <c r="N85" s="759" t="s">
        <v>3659</v>
      </c>
      <c r="O85" s="759" t="s">
        <v>3782</v>
      </c>
      <c r="P85" s="761">
        <v>45296.42222222222</v>
      </c>
      <c r="Q85" s="759" t="s">
        <v>3783</v>
      </c>
      <c r="R85" s="761">
        <v>45296.46388888889</v>
      </c>
      <c r="S85" s="759" t="s">
        <v>3784</v>
      </c>
      <c r="T85" s="760">
        <v>26.0</v>
      </c>
      <c r="U85" s="761">
        <v>45300.0</v>
      </c>
      <c r="V85" s="761">
        <v>45300.475</v>
      </c>
      <c r="W85" s="759" t="s">
        <v>3662</v>
      </c>
    </row>
    <row r="86" ht="15.75" hidden="1" customHeight="1">
      <c r="A86" s="759" t="s">
        <v>3389</v>
      </c>
      <c r="B86" s="763" t="s">
        <v>3390</v>
      </c>
      <c r="C86" s="760">
        <v>5.0928352E7</v>
      </c>
      <c r="D86" s="760">
        <v>1.00061232E9</v>
      </c>
      <c r="E86" s="759" t="s">
        <v>3652</v>
      </c>
      <c r="F86" s="759"/>
      <c r="G86" s="759" t="s">
        <v>3653</v>
      </c>
      <c r="H86" s="759" t="s">
        <v>3780</v>
      </c>
      <c r="I86" s="759" t="s">
        <v>3674</v>
      </c>
      <c r="J86" s="759" t="s">
        <v>3656</v>
      </c>
      <c r="K86" s="759" t="s">
        <v>3657</v>
      </c>
      <c r="L86" s="759" t="s">
        <v>35</v>
      </c>
      <c r="M86" s="759" t="s">
        <v>3781</v>
      </c>
      <c r="N86" s="759" t="s">
        <v>3659</v>
      </c>
      <c r="O86" s="759" t="s">
        <v>3782</v>
      </c>
      <c r="P86" s="761">
        <v>45296.424305555556</v>
      </c>
      <c r="Q86" s="759" t="s">
        <v>3783</v>
      </c>
      <c r="R86" s="761">
        <v>45296.46597222222</v>
      </c>
      <c r="S86" s="759" t="s">
        <v>3785</v>
      </c>
      <c r="T86" s="760">
        <v>26.0</v>
      </c>
      <c r="U86" s="761">
        <v>45300.0</v>
      </c>
      <c r="V86" s="761">
        <v>45300.475</v>
      </c>
      <c r="W86" s="759" t="s">
        <v>3662</v>
      </c>
    </row>
    <row r="87" ht="15.75" hidden="1" customHeight="1">
      <c r="A87" s="759" t="s">
        <v>3389</v>
      </c>
      <c r="B87" s="763" t="s">
        <v>3390</v>
      </c>
      <c r="C87" s="760">
        <v>5.0971703E7</v>
      </c>
      <c r="D87" s="760">
        <v>1.00061326E9</v>
      </c>
      <c r="E87" s="759" t="s">
        <v>3652</v>
      </c>
      <c r="F87" s="760">
        <v>3896214.0</v>
      </c>
      <c r="G87" s="759" t="s">
        <v>3653</v>
      </c>
      <c r="H87" s="759" t="s">
        <v>3786</v>
      </c>
      <c r="I87" s="759" t="s">
        <v>3674</v>
      </c>
      <c r="J87" s="759" t="s">
        <v>3656</v>
      </c>
      <c r="K87" s="759" t="s">
        <v>3657</v>
      </c>
      <c r="L87" s="759" t="s">
        <v>35</v>
      </c>
      <c r="M87" s="759" t="s">
        <v>3716</v>
      </c>
      <c r="N87" s="759" t="s">
        <v>3717</v>
      </c>
      <c r="O87" s="759" t="s">
        <v>3718</v>
      </c>
      <c r="P87" s="761">
        <v>45296.59930555556</v>
      </c>
      <c r="Q87" s="759" t="s">
        <v>3719</v>
      </c>
      <c r="R87" s="761">
        <v>45296.64097222222</v>
      </c>
      <c r="S87" s="759" t="s">
        <v>3687</v>
      </c>
      <c r="T87" s="760">
        <v>26.0</v>
      </c>
      <c r="U87" s="761">
        <v>45300.0</v>
      </c>
      <c r="V87" s="761">
        <v>45300.76875</v>
      </c>
      <c r="W87" s="759" t="s">
        <v>3662</v>
      </c>
    </row>
    <row r="88" ht="15.75" hidden="1" customHeight="1">
      <c r="A88" s="759" t="s">
        <v>3389</v>
      </c>
      <c r="B88" s="763" t="s">
        <v>3390</v>
      </c>
      <c r="C88" s="760">
        <v>5.0971704E7</v>
      </c>
      <c r="D88" s="760">
        <v>1.000613289E9</v>
      </c>
      <c r="E88" s="759" t="s">
        <v>3652</v>
      </c>
      <c r="F88" s="760">
        <v>3896195.0</v>
      </c>
      <c r="G88" s="759" t="s">
        <v>3653</v>
      </c>
      <c r="H88" s="759" t="s">
        <v>3786</v>
      </c>
      <c r="I88" s="759" t="s">
        <v>3674</v>
      </c>
      <c r="J88" s="759" t="s">
        <v>3656</v>
      </c>
      <c r="K88" s="759" t="s">
        <v>3657</v>
      </c>
      <c r="L88" s="759" t="s">
        <v>35</v>
      </c>
      <c r="M88" s="759" t="s">
        <v>3716</v>
      </c>
      <c r="N88" s="759" t="s">
        <v>3717</v>
      </c>
      <c r="O88" s="759" t="s">
        <v>3718</v>
      </c>
      <c r="P88" s="761">
        <v>45296.59930555556</v>
      </c>
      <c r="Q88" s="759" t="s">
        <v>3719</v>
      </c>
      <c r="R88" s="761">
        <v>45296.64097222222</v>
      </c>
      <c r="S88" s="759" t="s">
        <v>3687</v>
      </c>
      <c r="T88" s="760">
        <v>26.0</v>
      </c>
      <c r="U88" s="761">
        <v>45300.0</v>
      </c>
      <c r="V88" s="761">
        <v>45300.76875</v>
      </c>
      <c r="W88" s="759" t="s">
        <v>3662</v>
      </c>
    </row>
    <row r="89" ht="15.75" hidden="1" customHeight="1">
      <c r="A89" s="759" t="s">
        <v>3389</v>
      </c>
      <c r="B89" s="763" t="s">
        <v>3390</v>
      </c>
      <c r="C89" s="760">
        <v>5.0976835E7</v>
      </c>
      <c r="D89" s="760">
        <v>1.000613612E9</v>
      </c>
      <c r="E89" s="759" t="s">
        <v>3652</v>
      </c>
      <c r="F89" s="759"/>
      <c r="G89" s="759" t="s">
        <v>3653</v>
      </c>
      <c r="H89" s="759" t="s">
        <v>3741</v>
      </c>
      <c r="I89" s="759" t="s">
        <v>3674</v>
      </c>
      <c r="J89" s="759" t="s">
        <v>3656</v>
      </c>
      <c r="K89" s="759" t="s">
        <v>3657</v>
      </c>
      <c r="L89" s="759" t="s">
        <v>35</v>
      </c>
      <c r="M89" s="759" t="s">
        <v>3683</v>
      </c>
      <c r="N89" s="759" t="s">
        <v>3684</v>
      </c>
      <c r="O89" s="759" t="s">
        <v>3685</v>
      </c>
      <c r="P89" s="761">
        <v>45296.61875</v>
      </c>
      <c r="Q89" s="759" t="s">
        <v>3686</v>
      </c>
      <c r="R89" s="761">
        <v>45296.660416666666</v>
      </c>
      <c r="S89" s="759" t="s">
        <v>3742</v>
      </c>
      <c r="T89" s="760">
        <v>28.0</v>
      </c>
      <c r="U89" s="761">
        <v>45300.0</v>
      </c>
      <c r="V89" s="761">
        <v>45301.30138888889</v>
      </c>
      <c r="W89" s="759" t="s">
        <v>3662</v>
      </c>
    </row>
    <row r="90" ht="15.75" hidden="1" customHeight="1">
      <c r="A90" s="759" t="s">
        <v>3389</v>
      </c>
      <c r="B90" s="759" t="s">
        <v>3394</v>
      </c>
      <c r="C90" s="760">
        <v>5.1009436E7</v>
      </c>
      <c r="D90" s="760">
        <v>1.000613944E9</v>
      </c>
      <c r="E90" s="759" t="s">
        <v>3652</v>
      </c>
      <c r="F90" s="759"/>
      <c r="G90" s="759" t="s">
        <v>3749</v>
      </c>
      <c r="H90" s="759" t="s">
        <v>3787</v>
      </c>
      <c r="I90" s="759" t="s">
        <v>3788</v>
      </c>
      <c r="J90" s="759" t="s">
        <v>3656</v>
      </c>
      <c r="K90" s="759" t="s">
        <v>3657</v>
      </c>
      <c r="L90" s="759" t="s">
        <v>35</v>
      </c>
      <c r="M90" s="759" t="s">
        <v>3789</v>
      </c>
      <c r="N90" s="759" t="s">
        <v>3790</v>
      </c>
      <c r="O90" s="759" t="s">
        <v>3791</v>
      </c>
      <c r="P90" s="761">
        <v>45296.865277777775</v>
      </c>
      <c r="Q90" s="759" t="s">
        <v>3792</v>
      </c>
      <c r="R90" s="761">
        <v>45296.90694444445</v>
      </c>
      <c r="S90" s="759" t="s">
        <v>3793</v>
      </c>
      <c r="T90" s="760">
        <v>23.0</v>
      </c>
      <c r="U90" s="761">
        <v>45300.0</v>
      </c>
      <c r="V90" s="761">
        <v>45300.76388888889</v>
      </c>
      <c r="W90" s="759" t="s">
        <v>3662</v>
      </c>
    </row>
    <row r="91" ht="15.75" customHeight="1">
      <c r="A91" s="759" t="s">
        <v>3387</v>
      </c>
      <c r="B91" s="759" t="s">
        <v>3387</v>
      </c>
      <c r="C91" s="760">
        <v>5.1511995E7</v>
      </c>
      <c r="D91" s="760">
        <v>1.000607102E9</v>
      </c>
      <c r="E91" s="759" t="s">
        <v>3652</v>
      </c>
      <c r="F91" s="760">
        <v>4.503348044E9</v>
      </c>
      <c r="G91" s="759" t="s">
        <v>3653</v>
      </c>
      <c r="H91" s="759" t="s">
        <v>3794</v>
      </c>
      <c r="I91" s="759" t="s">
        <v>3655</v>
      </c>
      <c r="J91" s="759" t="s">
        <v>3656</v>
      </c>
      <c r="K91" s="759" t="s">
        <v>3657</v>
      </c>
      <c r="L91" s="759" t="s">
        <v>35</v>
      </c>
      <c r="M91" s="759" t="s">
        <v>3726</v>
      </c>
      <c r="N91" s="759" t="s">
        <v>3659</v>
      </c>
      <c r="O91" s="759" t="s">
        <v>47</v>
      </c>
      <c r="P91" s="761">
        <v>45301.61875</v>
      </c>
      <c r="Q91" s="759" t="s">
        <v>3727</v>
      </c>
      <c r="R91" s="761">
        <v>45301.660416666666</v>
      </c>
      <c r="S91" s="759" t="s">
        <v>3795</v>
      </c>
      <c r="T91" s="760">
        <v>26.0</v>
      </c>
      <c r="U91" s="761">
        <v>45301.0</v>
      </c>
      <c r="V91" s="761">
        <v>45301.56180555555</v>
      </c>
      <c r="W91" s="759" t="s">
        <v>3662</v>
      </c>
    </row>
    <row r="92" ht="15.75" customHeight="1">
      <c r="A92" s="759" t="s">
        <v>3387</v>
      </c>
      <c r="B92" s="759" t="s">
        <v>3387</v>
      </c>
      <c r="C92" s="760">
        <v>5.0768171E7</v>
      </c>
      <c r="D92" s="760">
        <v>1.000608609E9</v>
      </c>
      <c r="E92" s="759" t="s">
        <v>3652</v>
      </c>
      <c r="F92" s="759"/>
      <c r="G92" s="759" t="s">
        <v>3653</v>
      </c>
      <c r="H92" s="759" t="s">
        <v>3796</v>
      </c>
      <c r="I92" s="759" t="s">
        <v>3655</v>
      </c>
      <c r="J92" s="759" t="s">
        <v>3656</v>
      </c>
      <c r="K92" s="759" t="s">
        <v>3657</v>
      </c>
      <c r="L92" s="759" t="s">
        <v>35</v>
      </c>
      <c r="M92" s="759" t="s">
        <v>3797</v>
      </c>
      <c r="N92" s="759" t="s">
        <v>3708</v>
      </c>
      <c r="O92" s="759" t="s">
        <v>243</v>
      </c>
      <c r="P92" s="761">
        <v>45295.424305555556</v>
      </c>
      <c r="Q92" s="759" t="s">
        <v>3798</v>
      </c>
      <c r="R92" s="761">
        <v>45295.46597222222</v>
      </c>
      <c r="S92" s="759" t="s">
        <v>3681</v>
      </c>
      <c r="T92" s="760">
        <v>26.0</v>
      </c>
      <c r="U92" s="761">
        <v>45301.0</v>
      </c>
      <c r="V92" s="761">
        <v>45301.2</v>
      </c>
      <c r="W92" s="759" t="s">
        <v>3662</v>
      </c>
    </row>
    <row r="93" ht="15.75" hidden="1" customHeight="1">
      <c r="A93" s="759" t="s">
        <v>3389</v>
      </c>
      <c r="B93" s="763" t="s">
        <v>3395</v>
      </c>
      <c r="C93" s="760">
        <v>5.075522E7</v>
      </c>
      <c r="D93" s="760">
        <v>1.000608823E9</v>
      </c>
      <c r="E93" s="759" t="s">
        <v>3652</v>
      </c>
      <c r="F93" s="759"/>
      <c r="G93" s="759" t="s">
        <v>3653</v>
      </c>
      <c r="H93" s="759" t="s">
        <v>3799</v>
      </c>
      <c r="I93" s="759" t="s">
        <v>3674</v>
      </c>
      <c r="J93" s="759" t="s">
        <v>3656</v>
      </c>
      <c r="K93" s="759" t="s">
        <v>3657</v>
      </c>
      <c r="L93" s="759" t="s">
        <v>35</v>
      </c>
      <c r="M93" s="759" t="s">
        <v>3757</v>
      </c>
      <c r="N93" s="759" t="s">
        <v>3659</v>
      </c>
      <c r="O93" s="759" t="s">
        <v>138</v>
      </c>
      <c r="P93" s="761">
        <v>45295.3875</v>
      </c>
      <c r="Q93" s="759" t="s">
        <v>3758</v>
      </c>
      <c r="R93" s="761">
        <v>45295.42916666667</v>
      </c>
      <c r="S93" s="759" t="s">
        <v>3785</v>
      </c>
      <c r="T93" s="760">
        <v>26.0</v>
      </c>
      <c r="U93" s="761">
        <v>45301.0</v>
      </c>
      <c r="V93" s="761">
        <v>45301.39375</v>
      </c>
      <c r="W93" s="759" t="s">
        <v>3662</v>
      </c>
    </row>
    <row r="94" ht="15.75" hidden="1" customHeight="1">
      <c r="A94" s="759" t="s">
        <v>3389</v>
      </c>
      <c r="B94" s="763" t="s">
        <v>3390</v>
      </c>
      <c r="C94" s="760">
        <v>5.0838131E7</v>
      </c>
      <c r="D94" s="760">
        <v>1.000610971E9</v>
      </c>
      <c r="E94" s="759" t="s">
        <v>3652</v>
      </c>
      <c r="F94" s="760">
        <v>3900251.0</v>
      </c>
      <c r="G94" s="759" t="s">
        <v>3653</v>
      </c>
      <c r="H94" s="759" t="s">
        <v>3720</v>
      </c>
      <c r="I94" s="759" t="s">
        <v>3674</v>
      </c>
      <c r="J94" s="759" t="s">
        <v>3656</v>
      </c>
      <c r="K94" s="759" t="s">
        <v>3657</v>
      </c>
      <c r="L94" s="759" t="s">
        <v>35</v>
      </c>
      <c r="M94" s="759" t="s">
        <v>3721</v>
      </c>
      <c r="N94" s="759" t="s">
        <v>3722</v>
      </c>
      <c r="O94" s="759" t="s">
        <v>226</v>
      </c>
      <c r="P94" s="761">
        <v>45295.71875</v>
      </c>
      <c r="Q94" s="759" t="s">
        <v>3723</v>
      </c>
      <c r="R94" s="761">
        <v>45295.760416666664</v>
      </c>
      <c r="S94" s="759" t="s">
        <v>3687</v>
      </c>
      <c r="T94" s="760">
        <v>26.0</v>
      </c>
      <c r="U94" s="761">
        <v>45301.0</v>
      </c>
      <c r="V94" s="761">
        <v>45302.30138888889</v>
      </c>
      <c r="W94" s="759" t="s">
        <v>3662</v>
      </c>
    </row>
    <row r="95" ht="15.75" customHeight="1">
      <c r="A95" s="759" t="s">
        <v>3387</v>
      </c>
      <c r="B95" s="759" t="s">
        <v>3387</v>
      </c>
      <c r="C95" s="760">
        <v>5.1461147E7</v>
      </c>
      <c r="D95" s="760">
        <v>1.000612196E9</v>
      </c>
      <c r="E95" s="759" t="s">
        <v>3652</v>
      </c>
      <c r="F95" s="760">
        <v>3896291.0</v>
      </c>
      <c r="G95" s="759" t="s">
        <v>3749</v>
      </c>
      <c r="H95" s="759" t="s">
        <v>3800</v>
      </c>
      <c r="I95" s="759" t="s">
        <v>3655</v>
      </c>
      <c r="J95" s="759" t="s">
        <v>3656</v>
      </c>
      <c r="K95" s="759" t="s">
        <v>3657</v>
      </c>
      <c r="L95" s="759" t="s">
        <v>35</v>
      </c>
      <c r="M95" s="759" t="s">
        <v>3801</v>
      </c>
      <c r="N95" s="759" t="s">
        <v>3802</v>
      </c>
      <c r="O95" s="759" t="s">
        <v>201</v>
      </c>
      <c r="P95" s="761">
        <v>45301.4125</v>
      </c>
      <c r="Q95" s="759" t="s">
        <v>3803</v>
      </c>
      <c r="R95" s="761">
        <v>45301.45416666667</v>
      </c>
      <c r="S95" s="759" t="s">
        <v>3804</v>
      </c>
      <c r="T95" s="760">
        <v>22.0</v>
      </c>
      <c r="U95" s="761">
        <v>45301.0</v>
      </c>
      <c r="V95" s="761">
        <v>45301.63055555556</v>
      </c>
      <c r="W95" s="759" t="s">
        <v>3662</v>
      </c>
    </row>
    <row r="96" ht="15.75" customHeight="1">
      <c r="A96" s="759" t="s">
        <v>3387</v>
      </c>
      <c r="B96" s="759" t="s">
        <v>3387</v>
      </c>
      <c r="C96" s="760">
        <v>5.1511996E7</v>
      </c>
      <c r="D96" s="760">
        <v>1.000613272E9</v>
      </c>
      <c r="E96" s="759" t="s">
        <v>3652</v>
      </c>
      <c r="F96" s="760">
        <v>3897672.0</v>
      </c>
      <c r="G96" s="759" t="s">
        <v>3653</v>
      </c>
      <c r="H96" s="759" t="s">
        <v>3805</v>
      </c>
      <c r="I96" s="759" t="s">
        <v>3655</v>
      </c>
      <c r="J96" s="759" t="s">
        <v>3656</v>
      </c>
      <c r="K96" s="759" t="s">
        <v>3657</v>
      </c>
      <c r="L96" s="759" t="s">
        <v>35</v>
      </c>
      <c r="M96" s="759" t="s">
        <v>3806</v>
      </c>
      <c r="N96" s="759" t="s">
        <v>3807</v>
      </c>
      <c r="O96" s="759" t="s">
        <v>3600</v>
      </c>
      <c r="P96" s="761">
        <v>45301.61875</v>
      </c>
      <c r="Q96" s="759" t="s">
        <v>3808</v>
      </c>
      <c r="R96" s="761">
        <v>45301.660416666666</v>
      </c>
      <c r="S96" s="759" t="s">
        <v>3809</v>
      </c>
      <c r="T96" s="760">
        <v>26.0</v>
      </c>
      <c r="U96" s="761">
        <v>45301.0</v>
      </c>
      <c r="V96" s="761">
        <v>45302.20486111111</v>
      </c>
      <c r="W96" s="759" t="s">
        <v>3662</v>
      </c>
    </row>
    <row r="97" ht="15.75" hidden="1" customHeight="1">
      <c r="A97" s="759" t="s">
        <v>3389</v>
      </c>
      <c r="B97" s="763" t="s">
        <v>3395</v>
      </c>
      <c r="C97" s="760">
        <v>5.1167316E7</v>
      </c>
      <c r="D97" s="760">
        <v>1.000616472E9</v>
      </c>
      <c r="E97" s="759" t="s">
        <v>3652</v>
      </c>
      <c r="F97" s="759"/>
      <c r="G97" s="759" t="s">
        <v>3749</v>
      </c>
      <c r="H97" s="759" t="s">
        <v>3810</v>
      </c>
      <c r="I97" s="759" t="s">
        <v>3674</v>
      </c>
      <c r="J97" s="759" t="s">
        <v>3656</v>
      </c>
      <c r="K97" s="759" t="s">
        <v>3657</v>
      </c>
      <c r="L97" s="759" t="s">
        <v>35</v>
      </c>
      <c r="M97" s="759" t="s">
        <v>3811</v>
      </c>
      <c r="N97" s="759" t="s">
        <v>3812</v>
      </c>
      <c r="O97" s="759" t="s">
        <v>157</v>
      </c>
      <c r="P97" s="761">
        <v>45299.60486111111</v>
      </c>
      <c r="Q97" s="759" t="s">
        <v>3813</v>
      </c>
      <c r="R97" s="761">
        <v>45299.646527777775</v>
      </c>
      <c r="S97" s="759" t="s">
        <v>3814</v>
      </c>
      <c r="T97" s="760">
        <v>20.0</v>
      </c>
      <c r="U97" s="761">
        <v>45301.0</v>
      </c>
      <c r="V97" s="761">
        <v>45301.59444444445</v>
      </c>
      <c r="W97" s="759" t="s">
        <v>3662</v>
      </c>
    </row>
    <row r="98" ht="15.75" hidden="1" customHeight="1">
      <c r="A98" s="759" t="s">
        <v>3389</v>
      </c>
      <c r="B98" s="763" t="s">
        <v>3390</v>
      </c>
      <c r="C98" s="760">
        <v>5.1197832E7</v>
      </c>
      <c r="D98" s="760">
        <v>1.00061741E9</v>
      </c>
      <c r="E98" s="759" t="s">
        <v>3652</v>
      </c>
      <c r="F98" s="760">
        <v>3901067.0</v>
      </c>
      <c r="G98" s="759" t="s">
        <v>3653</v>
      </c>
      <c r="H98" s="759" t="s">
        <v>3815</v>
      </c>
      <c r="I98" s="759" t="s">
        <v>3674</v>
      </c>
      <c r="J98" s="759" t="s">
        <v>3656</v>
      </c>
      <c r="K98" s="759" t="s">
        <v>3657</v>
      </c>
      <c r="L98" s="759" t="s">
        <v>35</v>
      </c>
      <c r="M98" s="759" t="s">
        <v>3816</v>
      </c>
      <c r="N98" s="759" t="s">
        <v>3817</v>
      </c>
      <c r="O98" s="759" t="s">
        <v>3818</v>
      </c>
      <c r="P98" s="761">
        <v>45299.740277777775</v>
      </c>
      <c r="Q98" s="759" t="s">
        <v>3819</v>
      </c>
      <c r="R98" s="761">
        <v>45299.78194444445</v>
      </c>
      <c r="S98" s="759" t="s">
        <v>3820</v>
      </c>
      <c r="T98" s="760">
        <v>26.0</v>
      </c>
      <c r="U98" s="761">
        <v>45301.0</v>
      </c>
      <c r="V98" s="761">
        <v>45302.895833333336</v>
      </c>
      <c r="W98" s="759" t="s">
        <v>3662</v>
      </c>
    </row>
    <row r="99" ht="15.75" customHeight="1">
      <c r="A99" s="759" t="s">
        <v>3387</v>
      </c>
      <c r="B99" s="759" t="s">
        <v>3387</v>
      </c>
      <c r="C99" s="760">
        <v>5.1511994E7</v>
      </c>
      <c r="D99" s="760">
        <v>1.000621559E9</v>
      </c>
      <c r="E99" s="759" t="s">
        <v>3652</v>
      </c>
      <c r="F99" s="760">
        <v>3897673.0</v>
      </c>
      <c r="G99" s="759" t="s">
        <v>3653</v>
      </c>
      <c r="H99" s="759" t="s">
        <v>3821</v>
      </c>
      <c r="I99" s="759" t="s">
        <v>3655</v>
      </c>
      <c r="J99" s="759" t="s">
        <v>3656</v>
      </c>
      <c r="K99" s="759" t="s">
        <v>3657</v>
      </c>
      <c r="L99" s="759" t="s">
        <v>35</v>
      </c>
      <c r="M99" s="759" t="s">
        <v>3744</v>
      </c>
      <c r="N99" s="759" t="s">
        <v>1889</v>
      </c>
      <c r="O99" s="759" t="s">
        <v>93</v>
      </c>
      <c r="P99" s="761">
        <v>45301.61875</v>
      </c>
      <c r="Q99" s="759" t="s">
        <v>3745</v>
      </c>
      <c r="R99" s="761">
        <v>45301.660416666666</v>
      </c>
      <c r="S99" s="759" t="s">
        <v>3763</v>
      </c>
      <c r="T99" s="760">
        <v>24.0</v>
      </c>
      <c r="U99" s="761">
        <v>45301.0</v>
      </c>
      <c r="V99" s="761">
        <v>45307.569444444445</v>
      </c>
      <c r="W99" s="759" t="s">
        <v>3662</v>
      </c>
    </row>
    <row r="100" ht="15.75" hidden="1" customHeight="1">
      <c r="A100" s="759" t="s">
        <v>3389</v>
      </c>
      <c r="B100" s="763" t="s">
        <v>3390</v>
      </c>
      <c r="C100" s="760">
        <v>5.0828912E7</v>
      </c>
      <c r="D100" s="760">
        <v>1.000610602E9</v>
      </c>
      <c r="E100" s="759" t="s">
        <v>3652</v>
      </c>
      <c r="F100" s="760">
        <v>3891908.0</v>
      </c>
      <c r="G100" s="759" t="s">
        <v>3653</v>
      </c>
      <c r="H100" s="759" t="s">
        <v>3762</v>
      </c>
      <c r="I100" s="759" t="s">
        <v>3674</v>
      </c>
      <c r="J100" s="759" t="s">
        <v>3656</v>
      </c>
      <c r="K100" s="759" t="s">
        <v>3657</v>
      </c>
      <c r="L100" s="759" t="s">
        <v>35</v>
      </c>
      <c r="M100" s="759" t="s">
        <v>3711</v>
      </c>
      <c r="N100" s="759" t="s">
        <v>3712</v>
      </c>
      <c r="O100" s="759" t="s">
        <v>3713</v>
      </c>
      <c r="P100" s="761">
        <v>45295.674305555556</v>
      </c>
      <c r="Q100" s="759" t="s">
        <v>3714</v>
      </c>
      <c r="R100" s="761">
        <v>45295.71597222222</v>
      </c>
      <c r="S100" s="759" t="s">
        <v>3822</v>
      </c>
      <c r="T100" s="760">
        <v>26.0</v>
      </c>
      <c r="U100" s="761">
        <v>45302.0</v>
      </c>
      <c r="V100" s="761">
        <v>45301.97708333333</v>
      </c>
      <c r="W100" s="759" t="s">
        <v>3662</v>
      </c>
    </row>
    <row r="101" ht="15.75" customHeight="1">
      <c r="A101" s="759" t="s">
        <v>3387</v>
      </c>
      <c r="B101" s="759" t="s">
        <v>3387</v>
      </c>
      <c r="C101" s="760">
        <v>5.1322887E7</v>
      </c>
      <c r="D101" s="760">
        <v>1.000612279E9</v>
      </c>
      <c r="E101" s="759" t="s">
        <v>3652</v>
      </c>
      <c r="F101" s="759"/>
      <c r="G101" s="759" t="s">
        <v>3653</v>
      </c>
      <c r="H101" s="759" t="s">
        <v>3823</v>
      </c>
      <c r="I101" s="759" t="s">
        <v>3655</v>
      </c>
      <c r="J101" s="759" t="s">
        <v>3656</v>
      </c>
      <c r="K101" s="759" t="s">
        <v>3657</v>
      </c>
      <c r="L101" s="759" t="s">
        <v>35</v>
      </c>
      <c r="M101" s="759" t="s">
        <v>3737</v>
      </c>
      <c r="N101" s="759" t="s">
        <v>3738</v>
      </c>
      <c r="O101" s="759" t="s">
        <v>3739</v>
      </c>
      <c r="P101" s="761">
        <v>45300.5125</v>
      </c>
      <c r="Q101" s="759" t="s">
        <v>3740</v>
      </c>
      <c r="R101" s="761">
        <v>45300.55416666667</v>
      </c>
      <c r="S101" s="759" t="s">
        <v>3746</v>
      </c>
      <c r="T101" s="760">
        <v>26.0</v>
      </c>
      <c r="U101" s="761">
        <v>45302.0</v>
      </c>
      <c r="V101" s="761">
        <v>45302.88611111111</v>
      </c>
      <c r="W101" s="759" t="s">
        <v>3662</v>
      </c>
    </row>
    <row r="102" ht="15.75" customHeight="1">
      <c r="A102" s="759" t="s">
        <v>3387</v>
      </c>
      <c r="B102" s="759" t="s">
        <v>3387</v>
      </c>
      <c r="C102" s="760">
        <v>5.1322888E7</v>
      </c>
      <c r="D102" s="760">
        <v>1.000612295E9</v>
      </c>
      <c r="E102" s="759" t="s">
        <v>3652</v>
      </c>
      <c r="F102" s="759"/>
      <c r="G102" s="759" t="s">
        <v>3653</v>
      </c>
      <c r="H102" s="759" t="s">
        <v>3823</v>
      </c>
      <c r="I102" s="759" t="s">
        <v>3655</v>
      </c>
      <c r="J102" s="759" t="s">
        <v>3656</v>
      </c>
      <c r="K102" s="759" t="s">
        <v>3657</v>
      </c>
      <c r="L102" s="759" t="s">
        <v>35</v>
      </c>
      <c r="M102" s="759" t="s">
        <v>3737</v>
      </c>
      <c r="N102" s="759" t="s">
        <v>3738</v>
      </c>
      <c r="O102" s="759" t="s">
        <v>3739</v>
      </c>
      <c r="P102" s="761">
        <v>45300.5125</v>
      </c>
      <c r="Q102" s="759" t="s">
        <v>3740</v>
      </c>
      <c r="R102" s="761">
        <v>45300.55416666667</v>
      </c>
      <c r="S102" s="759" t="s">
        <v>3746</v>
      </c>
      <c r="T102" s="760">
        <v>26.0</v>
      </c>
      <c r="U102" s="761">
        <v>45302.0</v>
      </c>
      <c r="V102" s="761">
        <v>45302.88611111111</v>
      </c>
      <c r="W102" s="759" t="s">
        <v>3662</v>
      </c>
    </row>
    <row r="103" ht="15.75" customHeight="1">
      <c r="A103" s="759" t="s">
        <v>3387</v>
      </c>
      <c r="B103" s="759" t="s">
        <v>3387</v>
      </c>
      <c r="C103" s="760">
        <v>5.1322885E7</v>
      </c>
      <c r="D103" s="760">
        <v>1.000612301E9</v>
      </c>
      <c r="E103" s="759" t="s">
        <v>3652</v>
      </c>
      <c r="F103" s="759"/>
      <c r="G103" s="759" t="s">
        <v>3653</v>
      </c>
      <c r="H103" s="759" t="s">
        <v>3823</v>
      </c>
      <c r="I103" s="759" t="s">
        <v>3655</v>
      </c>
      <c r="J103" s="759" t="s">
        <v>3656</v>
      </c>
      <c r="K103" s="759" t="s">
        <v>3657</v>
      </c>
      <c r="L103" s="759" t="s">
        <v>35</v>
      </c>
      <c r="M103" s="759" t="s">
        <v>3737</v>
      </c>
      <c r="N103" s="759" t="s">
        <v>3738</v>
      </c>
      <c r="O103" s="759" t="s">
        <v>3739</v>
      </c>
      <c r="P103" s="761">
        <v>45300.5125</v>
      </c>
      <c r="Q103" s="759" t="s">
        <v>3740</v>
      </c>
      <c r="R103" s="761">
        <v>45300.55416666667</v>
      </c>
      <c r="S103" s="759" t="s">
        <v>3746</v>
      </c>
      <c r="T103" s="760">
        <v>26.0</v>
      </c>
      <c r="U103" s="761">
        <v>45302.0</v>
      </c>
      <c r="V103" s="761">
        <v>45302.88611111111</v>
      </c>
      <c r="W103" s="759" t="s">
        <v>3662</v>
      </c>
    </row>
    <row r="104" ht="15.75" customHeight="1">
      <c r="A104" s="759" t="s">
        <v>3387</v>
      </c>
      <c r="B104" s="759" t="s">
        <v>3387</v>
      </c>
      <c r="C104" s="760">
        <v>5.1673677E7</v>
      </c>
      <c r="D104" s="760">
        <v>1.000613952E9</v>
      </c>
      <c r="E104" s="759" t="s">
        <v>3652</v>
      </c>
      <c r="F104" s="759"/>
      <c r="G104" s="759" t="s">
        <v>3749</v>
      </c>
      <c r="H104" s="759" t="s">
        <v>3824</v>
      </c>
      <c r="I104" s="759" t="s">
        <v>3655</v>
      </c>
      <c r="J104" s="759" t="s">
        <v>3656</v>
      </c>
      <c r="K104" s="759" t="s">
        <v>3657</v>
      </c>
      <c r="L104" s="759" t="s">
        <v>35</v>
      </c>
      <c r="M104" s="759" t="s">
        <v>3825</v>
      </c>
      <c r="N104" s="759" t="s">
        <v>3826</v>
      </c>
      <c r="O104" s="759" t="s">
        <v>3827</v>
      </c>
      <c r="P104" s="761">
        <v>45302.58194444444</v>
      </c>
      <c r="Q104" s="759" t="s">
        <v>3828</v>
      </c>
      <c r="R104" s="761">
        <v>45302.623611111114</v>
      </c>
      <c r="S104" s="759" t="s">
        <v>3829</v>
      </c>
      <c r="T104" s="760">
        <v>20.0</v>
      </c>
      <c r="U104" s="761">
        <v>45302.0</v>
      </c>
      <c r="V104" s="761">
        <v>45303.38333333333</v>
      </c>
      <c r="W104" s="759" t="s">
        <v>3662</v>
      </c>
    </row>
    <row r="105" ht="15.75" hidden="1" customHeight="1">
      <c r="A105" s="759" t="s">
        <v>3389</v>
      </c>
      <c r="B105" s="763" t="s">
        <v>3395</v>
      </c>
      <c r="C105" s="760">
        <v>5.1288714E7</v>
      </c>
      <c r="D105" s="760">
        <v>1.000619008E9</v>
      </c>
      <c r="E105" s="759" t="s">
        <v>3652</v>
      </c>
      <c r="F105" s="760">
        <v>3897295.0</v>
      </c>
      <c r="G105" s="759" t="s">
        <v>3653</v>
      </c>
      <c r="H105" s="764">
        <v>1231021.0</v>
      </c>
      <c r="I105" s="759" t="s">
        <v>3674</v>
      </c>
      <c r="J105" s="759" t="s">
        <v>3656</v>
      </c>
      <c r="K105" s="759" t="s">
        <v>3657</v>
      </c>
      <c r="L105" s="759" t="s">
        <v>35</v>
      </c>
      <c r="M105" s="759" t="s">
        <v>3744</v>
      </c>
      <c r="N105" s="759" t="s">
        <v>1889</v>
      </c>
      <c r="O105" s="759" t="s">
        <v>93</v>
      </c>
      <c r="P105" s="761">
        <v>45300.396527777775</v>
      </c>
      <c r="Q105" s="759" t="s">
        <v>3745</v>
      </c>
      <c r="R105" s="761">
        <v>45300.43819444445</v>
      </c>
      <c r="S105" s="759" t="s">
        <v>3830</v>
      </c>
      <c r="T105" s="760">
        <v>27.0</v>
      </c>
      <c r="U105" s="761">
        <v>45302.0</v>
      </c>
      <c r="V105" s="761">
        <v>45302.569444444445</v>
      </c>
      <c r="W105" s="759" t="s">
        <v>3662</v>
      </c>
    </row>
    <row r="106" ht="15.75" hidden="1" customHeight="1">
      <c r="A106" s="759" t="s">
        <v>3389</v>
      </c>
      <c r="B106" s="763" t="s">
        <v>3395</v>
      </c>
      <c r="C106" s="760">
        <v>5.1338451E7</v>
      </c>
      <c r="D106" s="760">
        <v>1.000619857E9</v>
      </c>
      <c r="E106" s="759" t="s">
        <v>3652</v>
      </c>
      <c r="F106" s="759"/>
      <c r="G106" s="759" t="s">
        <v>3653</v>
      </c>
      <c r="H106" s="759" t="s">
        <v>3831</v>
      </c>
      <c r="I106" s="759" t="s">
        <v>3674</v>
      </c>
      <c r="J106" s="759" t="s">
        <v>3656</v>
      </c>
      <c r="K106" s="759" t="s">
        <v>3657</v>
      </c>
      <c r="L106" s="759" t="s">
        <v>35</v>
      </c>
      <c r="M106" s="759" t="s">
        <v>3744</v>
      </c>
      <c r="N106" s="759" t="s">
        <v>1889</v>
      </c>
      <c r="O106" s="759" t="s">
        <v>93</v>
      </c>
      <c r="P106" s="761">
        <v>45300.57916666667</v>
      </c>
      <c r="Q106" s="759" t="s">
        <v>3745</v>
      </c>
      <c r="R106" s="761">
        <v>45300.620833333334</v>
      </c>
      <c r="S106" s="759" t="s">
        <v>3661</v>
      </c>
      <c r="T106" s="760">
        <v>26.0</v>
      </c>
      <c r="U106" s="761">
        <v>45302.0</v>
      </c>
      <c r="V106" s="761">
        <v>45302.569444444445</v>
      </c>
      <c r="W106" s="759" t="s">
        <v>3662</v>
      </c>
    </row>
    <row r="107" ht="15.75" hidden="1" customHeight="1">
      <c r="A107" s="759" t="s">
        <v>3389</v>
      </c>
      <c r="B107" s="763" t="s">
        <v>3395</v>
      </c>
      <c r="C107" s="760">
        <v>5.133845E7</v>
      </c>
      <c r="D107" s="760">
        <v>1.000619859E9</v>
      </c>
      <c r="E107" s="759" t="s">
        <v>3652</v>
      </c>
      <c r="F107" s="759"/>
      <c r="G107" s="759" t="s">
        <v>3653</v>
      </c>
      <c r="H107" s="759" t="s">
        <v>3831</v>
      </c>
      <c r="I107" s="759" t="s">
        <v>3674</v>
      </c>
      <c r="J107" s="759" t="s">
        <v>3656</v>
      </c>
      <c r="K107" s="759" t="s">
        <v>3657</v>
      </c>
      <c r="L107" s="759" t="s">
        <v>35</v>
      </c>
      <c r="M107" s="759" t="s">
        <v>3744</v>
      </c>
      <c r="N107" s="759" t="s">
        <v>1889</v>
      </c>
      <c r="O107" s="759" t="s">
        <v>93</v>
      </c>
      <c r="P107" s="761">
        <v>45300.57916666667</v>
      </c>
      <c r="Q107" s="759" t="s">
        <v>3745</v>
      </c>
      <c r="R107" s="761">
        <v>45300.620833333334</v>
      </c>
      <c r="S107" s="759" t="s">
        <v>3661</v>
      </c>
      <c r="T107" s="760">
        <v>26.0</v>
      </c>
      <c r="U107" s="761">
        <v>45302.0</v>
      </c>
      <c r="V107" s="761">
        <v>45302.569444444445</v>
      </c>
      <c r="W107" s="759" t="s">
        <v>3662</v>
      </c>
    </row>
    <row r="108" ht="15.75" customHeight="1">
      <c r="A108" s="759" t="s">
        <v>3387</v>
      </c>
      <c r="B108" s="759" t="s">
        <v>3387</v>
      </c>
      <c r="C108" s="760">
        <v>5.1322891E7</v>
      </c>
      <c r="D108" s="760">
        <v>1.000613394E9</v>
      </c>
      <c r="E108" s="759" t="s">
        <v>3652</v>
      </c>
      <c r="F108" s="759"/>
      <c r="G108" s="759" t="s">
        <v>3653</v>
      </c>
      <c r="H108" s="759" t="s">
        <v>3832</v>
      </c>
      <c r="I108" s="759" t="s">
        <v>3655</v>
      </c>
      <c r="J108" s="759" t="s">
        <v>3656</v>
      </c>
      <c r="K108" s="759" t="s">
        <v>3657</v>
      </c>
      <c r="L108" s="759" t="s">
        <v>35</v>
      </c>
      <c r="M108" s="759" t="s">
        <v>3833</v>
      </c>
      <c r="N108" s="759" t="s">
        <v>3659</v>
      </c>
      <c r="O108" s="759" t="s">
        <v>2227</v>
      </c>
      <c r="P108" s="761">
        <v>45300.5125</v>
      </c>
      <c r="Q108" s="759" t="s">
        <v>3834</v>
      </c>
      <c r="R108" s="761">
        <v>45300.55416666667</v>
      </c>
      <c r="S108" s="759" t="s">
        <v>3746</v>
      </c>
      <c r="T108" s="760">
        <v>26.0</v>
      </c>
      <c r="U108" s="761">
        <v>45303.0</v>
      </c>
      <c r="V108" s="761">
        <v>45303.805555555555</v>
      </c>
      <c r="W108" s="759" t="s">
        <v>3662</v>
      </c>
    </row>
    <row r="109" ht="15.75" hidden="1" customHeight="1">
      <c r="A109" s="759" t="s">
        <v>3389</v>
      </c>
      <c r="B109" s="763" t="s">
        <v>3390</v>
      </c>
      <c r="C109" s="760">
        <v>5.1108832E7</v>
      </c>
      <c r="D109" s="760">
        <v>1.000615452E9</v>
      </c>
      <c r="E109" s="759" t="s">
        <v>3652</v>
      </c>
      <c r="F109" s="760">
        <v>3894910.0</v>
      </c>
      <c r="G109" s="759" t="s">
        <v>3653</v>
      </c>
      <c r="H109" s="759" t="s">
        <v>3835</v>
      </c>
      <c r="I109" s="759" t="s">
        <v>3674</v>
      </c>
      <c r="J109" s="759" t="s">
        <v>3656</v>
      </c>
      <c r="K109" s="759" t="s">
        <v>3657</v>
      </c>
      <c r="L109" s="759" t="s">
        <v>35</v>
      </c>
      <c r="M109" s="759" t="s">
        <v>3836</v>
      </c>
      <c r="N109" s="759" t="s">
        <v>3722</v>
      </c>
      <c r="O109" s="759" t="s">
        <v>3837</v>
      </c>
      <c r="P109" s="761">
        <v>45299.40555555555</v>
      </c>
      <c r="Q109" s="759" t="s">
        <v>3838</v>
      </c>
      <c r="R109" s="761">
        <v>45299.447222222225</v>
      </c>
      <c r="S109" s="759" t="s">
        <v>3687</v>
      </c>
      <c r="T109" s="760">
        <v>26.0</v>
      </c>
      <c r="U109" s="761">
        <v>45303.0</v>
      </c>
      <c r="V109" s="761">
        <v>45304.30138888889</v>
      </c>
      <c r="W109" s="759" t="s">
        <v>3662</v>
      </c>
    </row>
    <row r="110" ht="15.75" hidden="1" customHeight="1">
      <c r="A110" s="759" t="s">
        <v>3389</v>
      </c>
      <c r="B110" s="763" t="s">
        <v>3390</v>
      </c>
      <c r="C110" s="760">
        <v>5.110883E7</v>
      </c>
      <c r="D110" s="760">
        <v>1.000615552E9</v>
      </c>
      <c r="E110" s="759" t="s">
        <v>3652</v>
      </c>
      <c r="F110" s="759"/>
      <c r="G110" s="759" t="s">
        <v>3653</v>
      </c>
      <c r="H110" s="759" t="s">
        <v>3839</v>
      </c>
      <c r="I110" s="759" t="s">
        <v>3674</v>
      </c>
      <c r="J110" s="759" t="s">
        <v>3656</v>
      </c>
      <c r="K110" s="759" t="s">
        <v>3657</v>
      </c>
      <c r="L110" s="759" t="s">
        <v>35</v>
      </c>
      <c r="M110" s="759" t="s">
        <v>3840</v>
      </c>
      <c r="N110" s="759" t="s">
        <v>3841</v>
      </c>
      <c r="O110" s="759" t="s">
        <v>3842</v>
      </c>
      <c r="P110" s="761">
        <v>45299.40555555555</v>
      </c>
      <c r="Q110" s="759" t="s">
        <v>3843</v>
      </c>
      <c r="R110" s="761">
        <v>45299.447222222225</v>
      </c>
      <c r="S110" s="759" t="s">
        <v>3742</v>
      </c>
      <c r="T110" s="760">
        <v>28.0</v>
      </c>
      <c r="U110" s="761">
        <v>45303.0</v>
      </c>
      <c r="V110" s="761">
        <v>45304.79722222222</v>
      </c>
      <c r="W110" s="759" t="s">
        <v>3662</v>
      </c>
    </row>
    <row r="111" ht="15.75" hidden="1" customHeight="1">
      <c r="A111" s="759" t="s">
        <v>3389</v>
      </c>
      <c r="B111" s="763" t="s">
        <v>3395</v>
      </c>
      <c r="C111" s="760">
        <v>5.1362086E7</v>
      </c>
      <c r="D111" s="760">
        <v>1.000620251E9</v>
      </c>
      <c r="E111" s="759" t="s">
        <v>3652</v>
      </c>
      <c r="F111" s="759"/>
      <c r="G111" s="759" t="s">
        <v>3653</v>
      </c>
      <c r="H111" s="759" t="s">
        <v>3844</v>
      </c>
      <c r="I111" s="759" t="s">
        <v>3674</v>
      </c>
      <c r="J111" s="759" t="s">
        <v>3656</v>
      </c>
      <c r="K111" s="759" t="s">
        <v>3657</v>
      </c>
      <c r="L111" s="759" t="s">
        <v>35</v>
      </c>
      <c r="M111" s="759" t="s">
        <v>3845</v>
      </c>
      <c r="N111" s="759" t="s">
        <v>3846</v>
      </c>
      <c r="O111" s="759" t="s">
        <v>210</v>
      </c>
      <c r="P111" s="761">
        <v>45300.70763888889</v>
      </c>
      <c r="Q111" s="759" t="s">
        <v>3847</v>
      </c>
      <c r="R111" s="761">
        <v>45300.74930555555</v>
      </c>
      <c r="S111" s="759" t="s">
        <v>3661</v>
      </c>
      <c r="T111" s="760">
        <v>26.0</v>
      </c>
      <c r="U111" s="761">
        <v>45303.0</v>
      </c>
      <c r="V111" s="761">
        <v>45303.4625</v>
      </c>
      <c r="W111" s="759" t="s">
        <v>3662</v>
      </c>
    </row>
    <row r="112" ht="15.75" customHeight="1">
      <c r="A112" s="759" t="s">
        <v>3387</v>
      </c>
      <c r="B112" s="759" t="s">
        <v>3387</v>
      </c>
      <c r="C112" s="760">
        <v>5.1775767E7</v>
      </c>
      <c r="D112" s="760">
        <v>1.000621344E9</v>
      </c>
      <c r="E112" s="759" t="s">
        <v>3652</v>
      </c>
      <c r="F112" s="760">
        <v>4.503350987E9</v>
      </c>
      <c r="G112" s="759" t="s">
        <v>3653</v>
      </c>
      <c r="H112" s="759" t="s">
        <v>3769</v>
      </c>
      <c r="I112" s="759" t="s">
        <v>3655</v>
      </c>
      <c r="J112" s="759" t="s">
        <v>3656</v>
      </c>
      <c r="K112" s="759" t="s">
        <v>3657</v>
      </c>
      <c r="L112" s="759" t="s">
        <v>35</v>
      </c>
      <c r="M112" s="759" t="s">
        <v>3770</v>
      </c>
      <c r="N112" s="759" t="s">
        <v>3771</v>
      </c>
      <c r="O112" s="759" t="s">
        <v>3772</v>
      </c>
      <c r="P112" s="761">
        <v>45303.37222222222</v>
      </c>
      <c r="Q112" s="759" t="s">
        <v>3773</v>
      </c>
      <c r="R112" s="761">
        <v>45303.41388888889</v>
      </c>
      <c r="S112" s="759" t="s">
        <v>3848</v>
      </c>
      <c r="T112" s="760">
        <v>24.0</v>
      </c>
      <c r="U112" s="761">
        <v>45303.0</v>
      </c>
      <c r="V112" s="761">
        <v>45307.62222222222</v>
      </c>
      <c r="W112" s="759" t="s">
        <v>3662</v>
      </c>
    </row>
    <row r="113" ht="15.75" hidden="1" customHeight="1">
      <c r="A113" s="759" t="s">
        <v>3389</v>
      </c>
      <c r="B113" s="763" t="s">
        <v>3390</v>
      </c>
      <c r="C113" s="760">
        <v>5.1451116E7</v>
      </c>
      <c r="D113" s="760">
        <v>1.000621549E9</v>
      </c>
      <c r="E113" s="759" t="s">
        <v>3652</v>
      </c>
      <c r="F113" s="760">
        <v>3902304.0</v>
      </c>
      <c r="G113" s="759" t="s">
        <v>3653</v>
      </c>
      <c r="H113" s="759" t="s">
        <v>3849</v>
      </c>
      <c r="I113" s="759" t="s">
        <v>3674</v>
      </c>
      <c r="J113" s="759" t="s">
        <v>3656</v>
      </c>
      <c r="K113" s="759" t="s">
        <v>3657</v>
      </c>
      <c r="L113" s="759" t="s">
        <v>35</v>
      </c>
      <c r="M113" s="759" t="s">
        <v>3850</v>
      </c>
      <c r="N113" s="759" t="s">
        <v>3851</v>
      </c>
      <c r="O113" s="759" t="s">
        <v>3852</v>
      </c>
      <c r="P113" s="761">
        <v>45301.38402777778</v>
      </c>
      <c r="Q113" s="759" t="s">
        <v>3853</v>
      </c>
      <c r="R113" s="761">
        <v>45301.42569444444</v>
      </c>
      <c r="S113" s="759" t="s">
        <v>3687</v>
      </c>
      <c r="T113" s="760">
        <v>26.0</v>
      </c>
      <c r="U113" s="761">
        <v>45303.0</v>
      </c>
      <c r="V113" s="761">
        <v>45304.79722222222</v>
      </c>
      <c r="W113" s="759" t="s">
        <v>3662</v>
      </c>
    </row>
    <row r="114" ht="15.75" customHeight="1">
      <c r="A114" s="759" t="s">
        <v>3387</v>
      </c>
      <c r="B114" s="759" t="s">
        <v>3387</v>
      </c>
      <c r="C114" s="760">
        <v>5.1775772E7</v>
      </c>
      <c r="D114" s="760">
        <v>1.000624385E9</v>
      </c>
      <c r="E114" s="759" t="s">
        <v>3652</v>
      </c>
      <c r="F114" s="760">
        <v>3901568.0</v>
      </c>
      <c r="G114" s="759" t="s">
        <v>3653</v>
      </c>
      <c r="H114" s="759" t="s">
        <v>3854</v>
      </c>
      <c r="I114" s="759" t="s">
        <v>3655</v>
      </c>
      <c r="J114" s="759" t="s">
        <v>3656</v>
      </c>
      <c r="K114" s="759" t="s">
        <v>3657</v>
      </c>
      <c r="L114" s="759" t="s">
        <v>35</v>
      </c>
      <c r="M114" s="759" t="s">
        <v>3855</v>
      </c>
      <c r="N114" s="759" t="s">
        <v>1889</v>
      </c>
      <c r="O114" s="759" t="s">
        <v>1410</v>
      </c>
      <c r="P114" s="761">
        <v>45303.37222222222</v>
      </c>
      <c r="Q114" s="759" t="s">
        <v>3856</v>
      </c>
      <c r="R114" s="761">
        <v>45303.41388888889</v>
      </c>
      <c r="S114" s="759" t="s">
        <v>3687</v>
      </c>
      <c r="T114" s="760">
        <v>26.0</v>
      </c>
      <c r="U114" s="761">
        <v>45303.0</v>
      </c>
      <c r="V114" s="761">
        <v>45308.524305555555</v>
      </c>
      <c r="W114" s="759" t="s">
        <v>3662</v>
      </c>
    </row>
    <row r="115" ht="15.75" customHeight="1">
      <c r="A115" s="759" t="s">
        <v>3387</v>
      </c>
      <c r="B115" s="759" t="s">
        <v>3387</v>
      </c>
      <c r="C115" s="760">
        <v>5.1775768E7</v>
      </c>
      <c r="D115" s="760">
        <v>1.00062624E9</v>
      </c>
      <c r="E115" s="759" t="s">
        <v>3652</v>
      </c>
      <c r="F115" s="760">
        <v>3908566.0</v>
      </c>
      <c r="G115" s="759" t="s">
        <v>3653</v>
      </c>
      <c r="H115" s="759" t="s">
        <v>3857</v>
      </c>
      <c r="I115" s="759" t="s">
        <v>3655</v>
      </c>
      <c r="J115" s="759" t="s">
        <v>3656</v>
      </c>
      <c r="K115" s="759" t="s">
        <v>3657</v>
      </c>
      <c r="L115" s="759" t="s">
        <v>35</v>
      </c>
      <c r="M115" s="759" t="s">
        <v>3858</v>
      </c>
      <c r="N115" s="759" t="s">
        <v>3701</v>
      </c>
      <c r="O115" s="759" t="s">
        <v>3859</v>
      </c>
      <c r="P115" s="761">
        <v>45303.37222222222</v>
      </c>
      <c r="Q115" s="759" t="s">
        <v>3860</v>
      </c>
      <c r="R115" s="761">
        <v>45303.41388888889</v>
      </c>
      <c r="S115" s="759" t="s">
        <v>3687</v>
      </c>
      <c r="T115" s="760">
        <v>26.0</v>
      </c>
      <c r="U115" s="761">
        <v>45303.0</v>
      </c>
      <c r="V115" s="761">
        <v>45306.35902777778</v>
      </c>
      <c r="W115" s="759" t="s">
        <v>3662</v>
      </c>
    </row>
    <row r="116" ht="15.75" hidden="1" customHeight="1">
      <c r="A116" s="759" t="s">
        <v>3389</v>
      </c>
      <c r="B116" s="763" t="s">
        <v>3395</v>
      </c>
      <c r="C116" s="760">
        <v>5.1102202E7</v>
      </c>
      <c r="D116" s="760">
        <v>1.000615336E9</v>
      </c>
      <c r="E116" s="759" t="s">
        <v>3652</v>
      </c>
      <c r="F116" s="759"/>
      <c r="G116" s="759" t="s">
        <v>3653</v>
      </c>
      <c r="H116" s="759" t="s">
        <v>3861</v>
      </c>
      <c r="I116" s="759" t="s">
        <v>3674</v>
      </c>
      <c r="J116" s="759" t="s">
        <v>3656</v>
      </c>
      <c r="K116" s="759" t="s">
        <v>3657</v>
      </c>
      <c r="L116" s="759" t="s">
        <v>35</v>
      </c>
      <c r="M116" s="759" t="s">
        <v>3757</v>
      </c>
      <c r="N116" s="759" t="s">
        <v>3659</v>
      </c>
      <c r="O116" s="759" t="s">
        <v>138</v>
      </c>
      <c r="P116" s="761">
        <v>45299.381944444445</v>
      </c>
      <c r="Q116" s="759" t="s">
        <v>3758</v>
      </c>
      <c r="R116" s="761">
        <v>45299.42361111111</v>
      </c>
      <c r="S116" s="759" t="s">
        <v>3661</v>
      </c>
      <c r="T116" s="760">
        <v>26.0</v>
      </c>
      <c r="U116" s="761">
        <v>45304.0</v>
      </c>
      <c r="V116" s="761">
        <v>45304.39375</v>
      </c>
      <c r="W116" s="759" t="s">
        <v>3662</v>
      </c>
    </row>
    <row r="117" ht="15.75" hidden="1" customHeight="1">
      <c r="A117" s="759" t="s">
        <v>3389</v>
      </c>
      <c r="B117" s="763" t="s">
        <v>3395</v>
      </c>
      <c r="C117" s="760">
        <v>5.1170176E7</v>
      </c>
      <c r="D117" s="760">
        <v>1.000616425E9</v>
      </c>
      <c r="E117" s="759" t="s">
        <v>3652</v>
      </c>
      <c r="F117" s="759"/>
      <c r="G117" s="759" t="s">
        <v>3749</v>
      </c>
      <c r="H117" s="759" t="s">
        <v>3810</v>
      </c>
      <c r="I117" s="759" t="s">
        <v>3674</v>
      </c>
      <c r="J117" s="759" t="s">
        <v>3656</v>
      </c>
      <c r="K117" s="759" t="s">
        <v>3657</v>
      </c>
      <c r="L117" s="759" t="s">
        <v>35</v>
      </c>
      <c r="M117" s="759" t="s">
        <v>3811</v>
      </c>
      <c r="N117" s="759" t="s">
        <v>3812</v>
      </c>
      <c r="O117" s="759" t="s">
        <v>157</v>
      </c>
      <c r="P117" s="761">
        <v>45299.614583333336</v>
      </c>
      <c r="Q117" s="759" t="s">
        <v>3813</v>
      </c>
      <c r="R117" s="761">
        <v>45299.65625</v>
      </c>
      <c r="S117" s="759" t="s">
        <v>3661</v>
      </c>
      <c r="T117" s="760">
        <v>26.0</v>
      </c>
      <c r="U117" s="761">
        <v>45304.0</v>
      </c>
      <c r="V117" s="761">
        <v>45304.59444444445</v>
      </c>
      <c r="W117" s="759" t="s">
        <v>3662</v>
      </c>
    </row>
    <row r="118" ht="15.75" customHeight="1">
      <c r="A118" s="759" t="s">
        <v>3387</v>
      </c>
      <c r="B118" s="759" t="s">
        <v>3387</v>
      </c>
      <c r="C118" s="760">
        <v>5.1322889E7</v>
      </c>
      <c r="D118" s="760">
        <v>1.00061652E9</v>
      </c>
      <c r="E118" s="759" t="s">
        <v>3652</v>
      </c>
      <c r="F118" s="760">
        <v>3902351.0</v>
      </c>
      <c r="G118" s="759" t="s">
        <v>3653</v>
      </c>
      <c r="H118" s="759" t="s">
        <v>3862</v>
      </c>
      <c r="I118" s="759" t="s">
        <v>3655</v>
      </c>
      <c r="J118" s="759" t="s">
        <v>3656</v>
      </c>
      <c r="K118" s="759" t="s">
        <v>3657</v>
      </c>
      <c r="L118" s="759" t="s">
        <v>35</v>
      </c>
      <c r="M118" s="759" t="s">
        <v>3863</v>
      </c>
      <c r="N118" s="759" t="s">
        <v>3864</v>
      </c>
      <c r="O118" s="759" t="s">
        <v>3865</v>
      </c>
      <c r="P118" s="761">
        <v>45300.5125</v>
      </c>
      <c r="Q118" s="759" t="s">
        <v>3866</v>
      </c>
      <c r="R118" s="761">
        <v>45300.55416666667</v>
      </c>
      <c r="S118" s="759" t="s">
        <v>3687</v>
      </c>
      <c r="T118" s="760">
        <v>26.0</v>
      </c>
      <c r="U118" s="761">
        <v>45304.0</v>
      </c>
      <c r="V118" s="761">
        <v>45305.23125</v>
      </c>
      <c r="W118" s="759" t="s">
        <v>3662</v>
      </c>
    </row>
    <row r="119" ht="15.75" hidden="1" customHeight="1">
      <c r="A119" s="759" t="s">
        <v>3389</v>
      </c>
      <c r="B119" s="763" t="s">
        <v>3390</v>
      </c>
      <c r="C119" s="760">
        <v>5.1175285E7</v>
      </c>
      <c r="D119" s="760">
        <v>1.000616538E9</v>
      </c>
      <c r="E119" s="759" t="s">
        <v>3652</v>
      </c>
      <c r="F119" s="760">
        <v>3902350.0</v>
      </c>
      <c r="G119" s="759" t="s">
        <v>3653</v>
      </c>
      <c r="H119" s="759" t="s">
        <v>3867</v>
      </c>
      <c r="I119" s="759" t="s">
        <v>3674</v>
      </c>
      <c r="J119" s="759" t="s">
        <v>3656</v>
      </c>
      <c r="K119" s="759" t="s">
        <v>3657</v>
      </c>
      <c r="L119" s="759" t="s">
        <v>35</v>
      </c>
      <c r="M119" s="759" t="s">
        <v>3868</v>
      </c>
      <c r="N119" s="759" t="s">
        <v>3864</v>
      </c>
      <c r="O119" s="759" t="s">
        <v>3869</v>
      </c>
      <c r="P119" s="761">
        <v>45299.63333333333</v>
      </c>
      <c r="Q119" s="759" t="s">
        <v>3870</v>
      </c>
      <c r="R119" s="761">
        <v>45299.675</v>
      </c>
      <c r="S119" s="759" t="s">
        <v>3687</v>
      </c>
      <c r="T119" s="760">
        <v>26.0</v>
      </c>
      <c r="U119" s="761">
        <v>45304.0</v>
      </c>
      <c r="V119" s="761">
        <v>45304.93402777778</v>
      </c>
      <c r="W119" s="759" t="s">
        <v>3662</v>
      </c>
    </row>
    <row r="120" ht="15.75" hidden="1" customHeight="1">
      <c r="A120" s="759" t="s">
        <v>3389</v>
      </c>
      <c r="B120" s="763" t="s">
        <v>3388</v>
      </c>
      <c r="C120" s="760">
        <v>5.1159301E7</v>
      </c>
      <c r="D120" s="760">
        <v>1.000616581E9</v>
      </c>
      <c r="E120" s="759" t="s">
        <v>3652</v>
      </c>
      <c r="F120" s="760">
        <v>3897657.0</v>
      </c>
      <c r="G120" s="759" t="s">
        <v>3653</v>
      </c>
      <c r="H120" s="759" t="s">
        <v>3699</v>
      </c>
      <c r="I120" s="759" t="s">
        <v>3674</v>
      </c>
      <c r="J120" s="759" t="s">
        <v>3656</v>
      </c>
      <c r="K120" s="759" t="s">
        <v>3657</v>
      </c>
      <c r="L120" s="759" t="s">
        <v>35</v>
      </c>
      <c r="M120" s="759" t="s">
        <v>3744</v>
      </c>
      <c r="N120" s="759" t="s">
        <v>1889</v>
      </c>
      <c r="O120" s="759" t="s">
        <v>93</v>
      </c>
      <c r="P120" s="761">
        <v>45299.58125</v>
      </c>
      <c r="Q120" s="759" t="s">
        <v>3745</v>
      </c>
      <c r="R120" s="761">
        <v>45299.62291666667</v>
      </c>
      <c r="S120" s="759" t="s">
        <v>3687</v>
      </c>
      <c r="T120" s="760">
        <v>26.0</v>
      </c>
      <c r="U120" s="761">
        <v>45304.0</v>
      </c>
      <c r="V120" s="761">
        <v>45304.569444444445</v>
      </c>
      <c r="W120" s="759" t="s">
        <v>3662</v>
      </c>
    </row>
    <row r="121" ht="15.75" hidden="1" customHeight="1">
      <c r="A121" s="759" t="s">
        <v>3389</v>
      </c>
      <c r="B121" s="763" t="s">
        <v>3388</v>
      </c>
      <c r="C121" s="760">
        <v>5.1159262E7</v>
      </c>
      <c r="D121" s="760">
        <v>1.000616626E9</v>
      </c>
      <c r="E121" s="759" t="s">
        <v>3652</v>
      </c>
      <c r="F121" s="759"/>
      <c r="G121" s="759" t="s">
        <v>3749</v>
      </c>
      <c r="H121" s="759" t="s">
        <v>3810</v>
      </c>
      <c r="I121" s="759" t="s">
        <v>3674</v>
      </c>
      <c r="J121" s="759" t="s">
        <v>3656</v>
      </c>
      <c r="K121" s="759" t="s">
        <v>3657</v>
      </c>
      <c r="L121" s="759" t="s">
        <v>35</v>
      </c>
      <c r="M121" s="759" t="s">
        <v>3811</v>
      </c>
      <c r="N121" s="759" t="s">
        <v>3812</v>
      </c>
      <c r="O121" s="759" t="s">
        <v>157</v>
      </c>
      <c r="P121" s="761">
        <v>45299.58125</v>
      </c>
      <c r="Q121" s="759" t="s">
        <v>3813</v>
      </c>
      <c r="R121" s="761">
        <v>45299.62291666667</v>
      </c>
      <c r="S121" s="759" t="s">
        <v>3871</v>
      </c>
      <c r="T121" s="760">
        <v>18.0</v>
      </c>
      <c r="U121" s="761">
        <v>45304.0</v>
      </c>
      <c r="V121" s="761">
        <v>45304.59444444445</v>
      </c>
      <c r="W121" s="759" t="s">
        <v>3662</v>
      </c>
    </row>
    <row r="122" ht="15.75" customHeight="1">
      <c r="A122" s="759" t="s">
        <v>3387</v>
      </c>
      <c r="B122" s="759" t="s">
        <v>3387</v>
      </c>
      <c r="C122" s="760">
        <v>5.1322886E7</v>
      </c>
      <c r="D122" s="760">
        <v>1.000616641E9</v>
      </c>
      <c r="E122" s="759" t="s">
        <v>3652</v>
      </c>
      <c r="F122" s="759"/>
      <c r="G122" s="759" t="s">
        <v>3653</v>
      </c>
      <c r="H122" s="759" t="s">
        <v>3832</v>
      </c>
      <c r="I122" s="759" t="s">
        <v>3655</v>
      </c>
      <c r="J122" s="759" t="s">
        <v>3656</v>
      </c>
      <c r="K122" s="759" t="s">
        <v>3657</v>
      </c>
      <c r="L122" s="759" t="s">
        <v>35</v>
      </c>
      <c r="M122" s="759" t="s">
        <v>3833</v>
      </c>
      <c r="N122" s="759" t="s">
        <v>3659</v>
      </c>
      <c r="O122" s="759" t="s">
        <v>2227</v>
      </c>
      <c r="P122" s="761">
        <v>45300.5125</v>
      </c>
      <c r="Q122" s="759" t="s">
        <v>3834</v>
      </c>
      <c r="R122" s="761">
        <v>45300.55416666667</v>
      </c>
      <c r="S122" s="759" t="s">
        <v>3661</v>
      </c>
      <c r="T122" s="760">
        <v>26.0</v>
      </c>
      <c r="U122" s="761">
        <v>45304.0</v>
      </c>
      <c r="V122" s="761">
        <v>45304.805555555555</v>
      </c>
      <c r="W122" s="759" t="s">
        <v>3662</v>
      </c>
    </row>
    <row r="123" ht="15.75" customHeight="1">
      <c r="A123" s="759" t="s">
        <v>3387</v>
      </c>
      <c r="B123" s="759" t="s">
        <v>3387</v>
      </c>
      <c r="C123" s="760">
        <v>5.132289E7</v>
      </c>
      <c r="D123" s="760">
        <v>1.000616813E9</v>
      </c>
      <c r="E123" s="759" t="s">
        <v>3652</v>
      </c>
      <c r="F123" s="759"/>
      <c r="G123" s="759" t="s">
        <v>3653</v>
      </c>
      <c r="H123" s="759" t="s">
        <v>3832</v>
      </c>
      <c r="I123" s="759" t="s">
        <v>3655</v>
      </c>
      <c r="J123" s="759" t="s">
        <v>3656</v>
      </c>
      <c r="K123" s="759" t="s">
        <v>3657</v>
      </c>
      <c r="L123" s="759" t="s">
        <v>35</v>
      </c>
      <c r="M123" s="759" t="s">
        <v>3833</v>
      </c>
      <c r="N123" s="759" t="s">
        <v>3659</v>
      </c>
      <c r="O123" s="759" t="s">
        <v>2227</v>
      </c>
      <c r="P123" s="761">
        <v>45300.5125</v>
      </c>
      <c r="Q123" s="759" t="s">
        <v>3834</v>
      </c>
      <c r="R123" s="761">
        <v>45300.55416666667</v>
      </c>
      <c r="S123" s="759" t="s">
        <v>3661</v>
      </c>
      <c r="T123" s="760">
        <v>26.0</v>
      </c>
      <c r="U123" s="761">
        <v>45304.0</v>
      </c>
      <c r="V123" s="761">
        <v>45304.805555555555</v>
      </c>
      <c r="W123" s="759" t="s">
        <v>3662</v>
      </c>
    </row>
    <row r="124" ht="15.75" hidden="1" customHeight="1">
      <c r="A124" s="759" t="s">
        <v>3389</v>
      </c>
      <c r="B124" s="763" t="s">
        <v>3390</v>
      </c>
      <c r="C124" s="760">
        <v>5.1197831E7</v>
      </c>
      <c r="D124" s="760">
        <v>1.000617415E9</v>
      </c>
      <c r="E124" s="759" t="s">
        <v>3652</v>
      </c>
      <c r="F124" s="760">
        <v>3895314.0</v>
      </c>
      <c r="G124" s="759" t="s">
        <v>3653</v>
      </c>
      <c r="H124" s="759" t="s">
        <v>3872</v>
      </c>
      <c r="I124" s="759" t="s">
        <v>3674</v>
      </c>
      <c r="J124" s="759" t="s">
        <v>3656</v>
      </c>
      <c r="K124" s="759" t="s">
        <v>3657</v>
      </c>
      <c r="L124" s="759" t="s">
        <v>35</v>
      </c>
      <c r="M124" s="759" t="s">
        <v>3721</v>
      </c>
      <c r="N124" s="759" t="s">
        <v>3722</v>
      </c>
      <c r="O124" s="759" t="s">
        <v>226</v>
      </c>
      <c r="P124" s="761">
        <v>45299.740277777775</v>
      </c>
      <c r="Q124" s="759" t="s">
        <v>3723</v>
      </c>
      <c r="R124" s="761">
        <v>45299.78194444445</v>
      </c>
      <c r="S124" s="759" t="s">
        <v>3687</v>
      </c>
      <c r="T124" s="760">
        <v>26.0</v>
      </c>
      <c r="U124" s="761">
        <v>45304.0</v>
      </c>
      <c r="V124" s="761">
        <v>45305.30138888889</v>
      </c>
      <c r="W124" s="759" t="s">
        <v>3662</v>
      </c>
    </row>
    <row r="125" ht="15.75" hidden="1" customHeight="1">
      <c r="A125" s="759" t="s">
        <v>3389</v>
      </c>
      <c r="B125" s="759" t="s">
        <v>3394</v>
      </c>
      <c r="C125" s="760">
        <v>5.1191493E7</v>
      </c>
      <c r="D125" s="760">
        <v>1.000617436E9</v>
      </c>
      <c r="E125" s="759" t="s">
        <v>3652</v>
      </c>
      <c r="F125" s="759"/>
      <c r="G125" s="759" t="s">
        <v>3653</v>
      </c>
      <c r="H125" s="759" t="s">
        <v>3873</v>
      </c>
      <c r="I125" s="759" t="s">
        <v>3788</v>
      </c>
      <c r="J125" s="759" t="s">
        <v>3656</v>
      </c>
      <c r="K125" s="759" t="s">
        <v>3657</v>
      </c>
      <c r="L125" s="759" t="s">
        <v>35</v>
      </c>
      <c r="M125" s="759" t="s">
        <v>3845</v>
      </c>
      <c r="N125" s="759" t="s">
        <v>3846</v>
      </c>
      <c r="O125" s="759" t="s">
        <v>210</v>
      </c>
      <c r="P125" s="761">
        <v>45299.708333333336</v>
      </c>
      <c r="Q125" s="759" t="s">
        <v>3847</v>
      </c>
      <c r="R125" s="761">
        <v>45299.75</v>
      </c>
      <c r="S125" s="759" t="s">
        <v>3661</v>
      </c>
      <c r="T125" s="760">
        <v>26.0</v>
      </c>
      <c r="U125" s="761">
        <v>45304.0</v>
      </c>
      <c r="V125" s="761">
        <v>45304.4625</v>
      </c>
      <c r="W125" s="759" t="s">
        <v>3662</v>
      </c>
    </row>
    <row r="126" ht="15.75" customHeight="1">
      <c r="A126" s="759" t="s">
        <v>3387</v>
      </c>
      <c r="B126" s="759" t="s">
        <v>3387</v>
      </c>
      <c r="C126" s="760">
        <v>5.1292644E7</v>
      </c>
      <c r="D126" s="760">
        <v>1.000619012E9</v>
      </c>
      <c r="E126" s="759" t="s">
        <v>3652</v>
      </c>
      <c r="F126" s="760">
        <v>3897720.0</v>
      </c>
      <c r="G126" s="759" t="s">
        <v>3749</v>
      </c>
      <c r="H126" s="759" t="s">
        <v>3874</v>
      </c>
      <c r="I126" s="759" t="s">
        <v>3655</v>
      </c>
      <c r="J126" s="759" t="s">
        <v>3656</v>
      </c>
      <c r="K126" s="759" t="s">
        <v>3657</v>
      </c>
      <c r="L126" s="759" t="s">
        <v>35</v>
      </c>
      <c r="M126" s="759" t="s">
        <v>3875</v>
      </c>
      <c r="N126" s="759" t="s">
        <v>3876</v>
      </c>
      <c r="O126" s="759" t="s">
        <v>332</v>
      </c>
      <c r="P126" s="761">
        <v>45300.40694444445</v>
      </c>
      <c r="Q126" s="759" t="s">
        <v>3877</v>
      </c>
      <c r="R126" s="761">
        <v>45300.44861111111</v>
      </c>
      <c r="S126" s="759" t="s">
        <v>3878</v>
      </c>
      <c r="T126" s="760">
        <v>20.0</v>
      </c>
      <c r="U126" s="761">
        <v>45304.0</v>
      </c>
      <c r="V126" s="761">
        <v>45304.15833333333</v>
      </c>
      <c r="W126" s="759" t="s">
        <v>3662</v>
      </c>
    </row>
    <row r="127" ht="15.75" customHeight="1">
      <c r="A127" s="759" t="s">
        <v>3387</v>
      </c>
      <c r="B127" s="759" t="s">
        <v>3387</v>
      </c>
      <c r="C127" s="760">
        <v>5.1292645E7</v>
      </c>
      <c r="D127" s="760">
        <v>1.000619013E9</v>
      </c>
      <c r="E127" s="759" t="s">
        <v>3652</v>
      </c>
      <c r="F127" s="760">
        <v>3897721.0</v>
      </c>
      <c r="G127" s="759" t="s">
        <v>3749</v>
      </c>
      <c r="H127" s="759" t="s">
        <v>3874</v>
      </c>
      <c r="I127" s="759" t="s">
        <v>3655</v>
      </c>
      <c r="J127" s="759" t="s">
        <v>3656</v>
      </c>
      <c r="K127" s="759" t="s">
        <v>3657</v>
      </c>
      <c r="L127" s="759" t="s">
        <v>35</v>
      </c>
      <c r="M127" s="759" t="s">
        <v>3875</v>
      </c>
      <c r="N127" s="759" t="s">
        <v>3876</v>
      </c>
      <c r="O127" s="759" t="s">
        <v>332</v>
      </c>
      <c r="P127" s="761">
        <v>45300.40694444445</v>
      </c>
      <c r="Q127" s="759" t="s">
        <v>3877</v>
      </c>
      <c r="R127" s="761">
        <v>45300.44861111111</v>
      </c>
      <c r="S127" s="759" t="s">
        <v>3879</v>
      </c>
      <c r="T127" s="760">
        <v>22.0</v>
      </c>
      <c r="U127" s="761">
        <v>45304.0</v>
      </c>
      <c r="V127" s="761">
        <v>45304.15833333333</v>
      </c>
      <c r="W127" s="759" t="s">
        <v>3662</v>
      </c>
    </row>
    <row r="128" ht="15.75" hidden="1" customHeight="1">
      <c r="A128" s="759" t="s">
        <v>3389</v>
      </c>
      <c r="B128" s="763" t="s">
        <v>3395</v>
      </c>
      <c r="C128" s="760">
        <v>5.1338449E7</v>
      </c>
      <c r="D128" s="760">
        <v>1.000619856E9</v>
      </c>
      <c r="E128" s="759" t="s">
        <v>3652</v>
      </c>
      <c r="F128" s="759"/>
      <c r="G128" s="759" t="s">
        <v>3653</v>
      </c>
      <c r="H128" s="759" t="s">
        <v>3880</v>
      </c>
      <c r="I128" s="759" t="s">
        <v>3674</v>
      </c>
      <c r="J128" s="759" t="s">
        <v>3656</v>
      </c>
      <c r="K128" s="759" t="s">
        <v>3657</v>
      </c>
      <c r="L128" s="759" t="s">
        <v>35</v>
      </c>
      <c r="M128" s="759" t="s">
        <v>3744</v>
      </c>
      <c r="N128" s="759" t="s">
        <v>1889</v>
      </c>
      <c r="O128" s="759" t="s">
        <v>93</v>
      </c>
      <c r="P128" s="761">
        <v>45300.57916666667</v>
      </c>
      <c r="Q128" s="759" t="s">
        <v>3745</v>
      </c>
      <c r="R128" s="761">
        <v>45300.620833333334</v>
      </c>
      <c r="S128" s="759" t="s">
        <v>3661</v>
      </c>
      <c r="T128" s="760">
        <v>26.0</v>
      </c>
      <c r="U128" s="761">
        <v>45304.0</v>
      </c>
      <c r="V128" s="761">
        <v>45304.569444444445</v>
      </c>
      <c r="W128" s="759" t="s">
        <v>3662</v>
      </c>
    </row>
    <row r="129" ht="15.75" hidden="1" customHeight="1">
      <c r="A129" s="759" t="s">
        <v>3389</v>
      </c>
      <c r="B129" s="763" t="s">
        <v>3390</v>
      </c>
      <c r="C129" s="760">
        <v>5.1346813E7</v>
      </c>
      <c r="D129" s="760">
        <v>1.00061986E9</v>
      </c>
      <c r="E129" s="759" t="s">
        <v>3652</v>
      </c>
      <c r="F129" s="759"/>
      <c r="G129" s="759" t="s">
        <v>3653</v>
      </c>
      <c r="H129" s="759" t="s">
        <v>3881</v>
      </c>
      <c r="I129" s="759" t="s">
        <v>3674</v>
      </c>
      <c r="J129" s="759" t="s">
        <v>3656</v>
      </c>
      <c r="K129" s="759" t="s">
        <v>3657</v>
      </c>
      <c r="L129" s="759" t="s">
        <v>35</v>
      </c>
      <c r="M129" s="759" t="s">
        <v>3721</v>
      </c>
      <c r="N129" s="759" t="s">
        <v>3722</v>
      </c>
      <c r="O129" s="759" t="s">
        <v>226</v>
      </c>
      <c r="P129" s="761">
        <v>45300.61597222222</v>
      </c>
      <c r="Q129" s="759" t="s">
        <v>3723</v>
      </c>
      <c r="R129" s="761">
        <v>45300.657638888886</v>
      </c>
      <c r="S129" s="759" t="s">
        <v>3742</v>
      </c>
      <c r="T129" s="760">
        <v>28.0</v>
      </c>
      <c r="U129" s="761">
        <v>45304.0</v>
      </c>
      <c r="V129" s="761">
        <v>45305.30138888889</v>
      </c>
      <c r="W129" s="759" t="s">
        <v>3662</v>
      </c>
    </row>
    <row r="130" ht="15.75" hidden="1" customHeight="1">
      <c r="A130" s="759" t="s">
        <v>3389</v>
      </c>
      <c r="B130" s="763" t="s">
        <v>3390</v>
      </c>
      <c r="C130" s="760">
        <v>5.1674841E7</v>
      </c>
      <c r="D130" s="760">
        <v>1.000626251E9</v>
      </c>
      <c r="E130" s="759" t="s">
        <v>3652</v>
      </c>
      <c r="F130" s="760">
        <v>3895309.0</v>
      </c>
      <c r="G130" s="759" t="s">
        <v>3653</v>
      </c>
      <c r="H130" s="759" t="s">
        <v>3835</v>
      </c>
      <c r="I130" s="759" t="s">
        <v>3674</v>
      </c>
      <c r="J130" s="759" t="s">
        <v>3656</v>
      </c>
      <c r="K130" s="759" t="s">
        <v>3657</v>
      </c>
      <c r="L130" s="759" t="s">
        <v>35</v>
      </c>
      <c r="M130" s="759" t="s">
        <v>3836</v>
      </c>
      <c r="N130" s="759" t="s">
        <v>3722</v>
      </c>
      <c r="O130" s="759" t="s">
        <v>3837</v>
      </c>
      <c r="P130" s="761">
        <v>45302.5875</v>
      </c>
      <c r="Q130" s="759" t="s">
        <v>3838</v>
      </c>
      <c r="R130" s="761">
        <v>45302.629166666666</v>
      </c>
      <c r="S130" s="759" t="s">
        <v>3687</v>
      </c>
      <c r="T130" s="760">
        <v>26.0</v>
      </c>
      <c r="U130" s="761">
        <v>45304.0</v>
      </c>
      <c r="V130" s="761">
        <v>45305.30138888889</v>
      </c>
      <c r="W130" s="759" t="s">
        <v>3662</v>
      </c>
    </row>
    <row r="131" ht="15.75" hidden="1" customHeight="1">
      <c r="A131" s="759" t="s">
        <v>3389</v>
      </c>
      <c r="B131" s="763" t="s">
        <v>3388</v>
      </c>
      <c r="C131" s="760">
        <v>5.1160223E7</v>
      </c>
      <c r="D131" s="760">
        <v>1.000616801E9</v>
      </c>
      <c r="E131" s="759" t="s">
        <v>3652</v>
      </c>
      <c r="F131" s="760">
        <v>4.503349859E9</v>
      </c>
      <c r="G131" s="759" t="s">
        <v>3653</v>
      </c>
      <c r="H131" s="762">
        <v>472899.0</v>
      </c>
      <c r="I131" s="759" t="s">
        <v>3674</v>
      </c>
      <c r="J131" s="759" t="s">
        <v>3656</v>
      </c>
      <c r="K131" s="759" t="s">
        <v>3657</v>
      </c>
      <c r="L131" s="759" t="s">
        <v>35</v>
      </c>
      <c r="M131" s="759" t="s">
        <v>3672</v>
      </c>
      <c r="N131" s="759" t="s">
        <v>3659</v>
      </c>
      <c r="O131" s="759" t="s">
        <v>63</v>
      </c>
      <c r="P131" s="761">
        <v>45299.58472222222</v>
      </c>
      <c r="Q131" s="759" t="s">
        <v>3673</v>
      </c>
      <c r="R131" s="761">
        <v>45299.626388888886</v>
      </c>
      <c r="S131" s="759" t="s">
        <v>3882</v>
      </c>
      <c r="T131" s="760">
        <v>26.0</v>
      </c>
      <c r="U131" s="761">
        <v>45305.0</v>
      </c>
      <c r="V131" s="761">
        <v>45305.254166666666</v>
      </c>
      <c r="W131" s="759" t="s">
        <v>3662</v>
      </c>
    </row>
    <row r="132" ht="15.75" customHeight="1">
      <c r="A132" s="759" t="s">
        <v>3387</v>
      </c>
      <c r="B132" s="759" t="s">
        <v>3387</v>
      </c>
      <c r="C132" s="760">
        <v>5.1282092E7</v>
      </c>
      <c r="D132" s="760">
        <v>1.00061877E9</v>
      </c>
      <c r="E132" s="759" t="s">
        <v>3652</v>
      </c>
      <c r="F132" s="759"/>
      <c r="G132" s="759" t="s">
        <v>3749</v>
      </c>
      <c r="H132" s="759" t="s">
        <v>3883</v>
      </c>
      <c r="I132" s="759" t="s">
        <v>3655</v>
      </c>
      <c r="J132" s="759" t="s">
        <v>3656</v>
      </c>
      <c r="K132" s="759" t="s">
        <v>3657</v>
      </c>
      <c r="L132" s="759" t="s">
        <v>35</v>
      </c>
      <c r="M132" s="759" t="s">
        <v>3884</v>
      </c>
      <c r="N132" s="759" t="s">
        <v>3885</v>
      </c>
      <c r="O132" s="759" t="s">
        <v>77</v>
      </c>
      <c r="P132" s="761">
        <v>45300.37708333333</v>
      </c>
      <c r="Q132" s="759" t="s">
        <v>3886</v>
      </c>
      <c r="R132" s="761">
        <v>45300.41875</v>
      </c>
      <c r="S132" s="759" t="s">
        <v>3661</v>
      </c>
      <c r="T132" s="760">
        <v>26.0</v>
      </c>
      <c r="U132" s="761">
        <v>45306.0</v>
      </c>
      <c r="V132" s="761">
        <v>45306.62222222222</v>
      </c>
      <c r="W132" s="759" t="s">
        <v>3662</v>
      </c>
    </row>
    <row r="133" ht="15.75" hidden="1" customHeight="1">
      <c r="A133" s="759" t="s">
        <v>3389</v>
      </c>
      <c r="B133" s="763" t="s">
        <v>3395</v>
      </c>
      <c r="C133" s="760">
        <v>5.1294657E7</v>
      </c>
      <c r="D133" s="760">
        <v>1.000618856E9</v>
      </c>
      <c r="E133" s="759" t="s">
        <v>3652</v>
      </c>
      <c r="F133" s="759"/>
      <c r="G133" s="759" t="s">
        <v>3749</v>
      </c>
      <c r="H133" s="759" t="s">
        <v>3810</v>
      </c>
      <c r="I133" s="759" t="s">
        <v>3674</v>
      </c>
      <c r="J133" s="759" t="s">
        <v>3656</v>
      </c>
      <c r="K133" s="759" t="s">
        <v>3657</v>
      </c>
      <c r="L133" s="759" t="s">
        <v>35</v>
      </c>
      <c r="M133" s="759" t="s">
        <v>3811</v>
      </c>
      <c r="N133" s="759" t="s">
        <v>3812</v>
      </c>
      <c r="O133" s="759" t="s">
        <v>157</v>
      </c>
      <c r="P133" s="761">
        <v>45300.41111111111</v>
      </c>
      <c r="Q133" s="759" t="s">
        <v>3813</v>
      </c>
      <c r="R133" s="761">
        <v>45300.45277777778</v>
      </c>
      <c r="S133" s="759" t="s">
        <v>3887</v>
      </c>
      <c r="T133" s="760">
        <v>20.0</v>
      </c>
      <c r="U133" s="761">
        <v>45306.0</v>
      </c>
      <c r="V133" s="761">
        <v>45306.59444444445</v>
      </c>
      <c r="W133" s="759" t="s">
        <v>3662</v>
      </c>
    </row>
    <row r="134" ht="15.75" hidden="1" customHeight="1">
      <c r="A134" s="759" t="s">
        <v>3389</v>
      </c>
      <c r="B134" s="763" t="s">
        <v>3395</v>
      </c>
      <c r="C134" s="760">
        <v>5.1288136E7</v>
      </c>
      <c r="D134" s="760">
        <v>1.000618896E9</v>
      </c>
      <c r="E134" s="759" t="s">
        <v>3652</v>
      </c>
      <c r="F134" s="759"/>
      <c r="G134" s="759" t="s">
        <v>3653</v>
      </c>
      <c r="H134" s="759" t="s">
        <v>3831</v>
      </c>
      <c r="I134" s="759" t="s">
        <v>3674</v>
      </c>
      <c r="J134" s="759" t="s">
        <v>3656</v>
      </c>
      <c r="K134" s="759" t="s">
        <v>3657</v>
      </c>
      <c r="L134" s="759" t="s">
        <v>35</v>
      </c>
      <c r="M134" s="759" t="s">
        <v>3744</v>
      </c>
      <c r="N134" s="759" t="s">
        <v>1889</v>
      </c>
      <c r="O134" s="759" t="s">
        <v>93</v>
      </c>
      <c r="P134" s="761">
        <v>45300.39444444444</v>
      </c>
      <c r="Q134" s="759" t="s">
        <v>3745</v>
      </c>
      <c r="R134" s="761">
        <v>45300.436111111114</v>
      </c>
      <c r="S134" s="759" t="s">
        <v>3661</v>
      </c>
      <c r="T134" s="760">
        <v>26.0</v>
      </c>
      <c r="U134" s="761">
        <v>45306.0</v>
      </c>
      <c r="V134" s="761">
        <v>45306.569444444445</v>
      </c>
      <c r="W134" s="759" t="s">
        <v>3662</v>
      </c>
    </row>
    <row r="135" ht="15.75" customHeight="1">
      <c r="A135" s="759" t="s">
        <v>3387</v>
      </c>
      <c r="B135" s="759" t="s">
        <v>3387</v>
      </c>
      <c r="C135" s="760">
        <v>5.1322884E7</v>
      </c>
      <c r="D135" s="760">
        <v>1.00061892E9</v>
      </c>
      <c r="E135" s="759" t="s">
        <v>3652</v>
      </c>
      <c r="F135" s="759"/>
      <c r="G135" s="759" t="s">
        <v>3653</v>
      </c>
      <c r="H135" s="759" t="s">
        <v>3888</v>
      </c>
      <c r="I135" s="759" t="s">
        <v>3655</v>
      </c>
      <c r="J135" s="759" t="s">
        <v>3656</v>
      </c>
      <c r="K135" s="759" t="s">
        <v>3657</v>
      </c>
      <c r="L135" s="759" t="s">
        <v>35</v>
      </c>
      <c r="M135" s="759" t="s">
        <v>3889</v>
      </c>
      <c r="N135" s="759" t="s">
        <v>3890</v>
      </c>
      <c r="O135" s="759" t="s">
        <v>320</v>
      </c>
      <c r="P135" s="761">
        <v>45300.5125</v>
      </c>
      <c r="Q135" s="759" t="s">
        <v>3891</v>
      </c>
      <c r="R135" s="761">
        <v>45300.55416666667</v>
      </c>
      <c r="S135" s="759" t="s">
        <v>3892</v>
      </c>
      <c r="T135" s="760">
        <v>28.0</v>
      </c>
      <c r="U135" s="761">
        <v>45306.0</v>
      </c>
      <c r="V135" s="761">
        <v>45306.47152777778</v>
      </c>
      <c r="W135" s="759" t="s">
        <v>3662</v>
      </c>
    </row>
    <row r="136" ht="15.75" customHeight="1">
      <c r="A136" s="759" t="s">
        <v>3387</v>
      </c>
      <c r="B136" s="759" t="s">
        <v>3387</v>
      </c>
      <c r="C136" s="760">
        <v>5.1320273E7</v>
      </c>
      <c r="D136" s="760">
        <v>1.000618993E9</v>
      </c>
      <c r="E136" s="759" t="s">
        <v>3652</v>
      </c>
      <c r="F136" s="760">
        <v>3901557.0</v>
      </c>
      <c r="G136" s="759" t="s">
        <v>3653</v>
      </c>
      <c r="H136" s="759" t="s">
        <v>3854</v>
      </c>
      <c r="I136" s="759" t="s">
        <v>3655</v>
      </c>
      <c r="J136" s="759" t="s">
        <v>3656</v>
      </c>
      <c r="K136" s="759" t="s">
        <v>3657</v>
      </c>
      <c r="L136" s="759" t="s">
        <v>35</v>
      </c>
      <c r="M136" s="759" t="s">
        <v>3855</v>
      </c>
      <c r="N136" s="759" t="s">
        <v>1889</v>
      </c>
      <c r="O136" s="759" t="s">
        <v>1410</v>
      </c>
      <c r="P136" s="761">
        <v>45300.50208333333</v>
      </c>
      <c r="Q136" s="759" t="s">
        <v>3856</v>
      </c>
      <c r="R136" s="761">
        <v>45300.54375</v>
      </c>
      <c r="S136" s="759" t="s">
        <v>3687</v>
      </c>
      <c r="T136" s="760">
        <v>26.0</v>
      </c>
      <c r="U136" s="761">
        <v>45306.0</v>
      </c>
      <c r="V136" s="761">
        <v>45306.524305555555</v>
      </c>
      <c r="W136" s="759" t="s">
        <v>3662</v>
      </c>
    </row>
    <row r="137" ht="15.75" hidden="1" customHeight="1">
      <c r="A137" s="759" t="s">
        <v>3389</v>
      </c>
      <c r="B137" s="763" t="s">
        <v>3390</v>
      </c>
      <c r="C137" s="760">
        <v>5.1292646E7</v>
      </c>
      <c r="D137" s="760">
        <v>1.00061901E9</v>
      </c>
      <c r="E137" s="759" t="s">
        <v>3652</v>
      </c>
      <c r="F137" s="760">
        <v>3895297.0</v>
      </c>
      <c r="G137" s="759" t="s">
        <v>3653</v>
      </c>
      <c r="H137" s="759" t="s">
        <v>3893</v>
      </c>
      <c r="I137" s="759" t="s">
        <v>3674</v>
      </c>
      <c r="J137" s="759" t="s">
        <v>3656</v>
      </c>
      <c r="K137" s="759" t="s">
        <v>3657</v>
      </c>
      <c r="L137" s="759" t="s">
        <v>35</v>
      </c>
      <c r="M137" s="759" t="s">
        <v>3683</v>
      </c>
      <c r="N137" s="759" t="s">
        <v>3684</v>
      </c>
      <c r="O137" s="759" t="s">
        <v>3685</v>
      </c>
      <c r="P137" s="761">
        <v>45300.40694444445</v>
      </c>
      <c r="Q137" s="759" t="s">
        <v>3686</v>
      </c>
      <c r="R137" s="761">
        <v>45300.44861111111</v>
      </c>
      <c r="S137" s="759" t="s">
        <v>3687</v>
      </c>
      <c r="T137" s="760">
        <v>26.0</v>
      </c>
      <c r="U137" s="761">
        <v>45306.0</v>
      </c>
      <c r="V137" s="761">
        <v>45307.30138888889</v>
      </c>
      <c r="W137" s="759" t="s">
        <v>3662</v>
      </c>
    </row>
    <row r="138" ht="15.75" hidden="1" customHeight="1">
      <c r="A138" s="759" t="s">
        <v>3389</v>
      </c>
      <c r="B138" s="763" t="s">
        <v>3390</v>
      </c>
      <c r="C138" s="760">
        <v>5.1680443E7</v>
      </c>
      <c r="D138" s="760">
        <v>1.000626243E9</v>
      </c>
      <c r="E138" s="759" t="s">
        <v>3652</v>
      </c>
      <c r="F138" s="760">
        <v>3896223.0</v>
      </c>
      <c r="G138" s="759" t="s">
        <v>3653</v>
      </c>
      <c r="H138" s="759" t="s">
        <v>3715</v>
      </c>
      <c r="I138" s="759" t="s">
        <v>3674</v>
      </c>
      <c r="J138" s="759" t="s">
        <v>3656</v>
      </c>
      <c r="K138" s="759" t="s">
        <v>3657</v>
      </c>
      <c r="L138" s="759" t="s">
        <v>35</v>
      </c>
      <c r="M138" s="759" t="s">
        <v>3716</v>
      </c>
      <c r="N138" s="759" t="s">
        <v>3717</v>
      </c>
      <c r="O138" s="759" t="s">
        <v>3718</v>
      </c>
      <c r="P138" s="761">
        <v>45302.61319444444</v>
      </c>
      <c r="Q138" s="759" t="s">
        <v>3719</v>
      </c>
      <c r="R138" s="761">
        <v>45302.654861111114</v>
      </c>
      <c r="S138" s="759" t="s">
        <v>3894</v>
      </c>
      <c r="T138" s="760">
        <v>0.0</v>
      </c>
      <c r="U138" s="761">
        <v>45306.0</v>
      </c>
      <c r="V138" s="761">
        <v>45306.76875</v>
      </c>
      <c r="W138" s="759" t="s">
        <v>3662</v>
      </c>
    </row>
    <row r="139" ht="15.75" hidden="1" customHeight="1">
      <c r="A139" s="759" t="s">
        <v>3389</v>
      </c>
      <c r="B139" s="763" t="s">
        <v>3390</v>
      </c>
      <c r="C139" s="760">
        <v>5.1675268E7</v>
      </c>
      <c r="D139" s="760">
        <v>1.00062626E9</v>
      </c>
      <c r="E139" s="759" t="s">
        <v>3652</v>
      </c>
      <c r="F139" s="760">
        <v>3908567.0</v>
      </c>
      <c r="G139" s="759" t="s">
        <v>3653</v>
      </c>
      <c r="H139" s="759" t="s">
        <v>3895</v>
      </c>
      <c r="I139" s="759" t="s">
        <v>3674</v>
      </c>
      <c r="J139" s="759" t="s">
        <v>3656</v>
      </c>
      <c r="K139" s="759" t="s">
        <v>3657</v>
      </c>
      <c r="L139" s="759" t="s">
        <v>35</v>
      </c>
      <c r="M139" s="759" t="s">
        <v>3896</v>
      </c>
      <c r="N139" s="759" t="s">
        <v>3701</v>
      </c>
      <c r="O139" s="759" t="s">
        <v>3897</v>
      </c>
      <c r="P139" s="761">
        <v>45302.58888888889</v>
      </c>
      <c r="Q139" s="759" t="s">
        <v>3898</v>
      </c>
      <c r="R139" s="761">
        <v>45302.63055555556</v>
      </c>
      <c r="S139" s="759" t="s">
        <v>3687</v>
      </c>
      <c r="T139" s="760">
        <v>26.0</v>
      </c>
      <c r="U139" s="761">
        <v>45306.0</v>
      </c>
      <c r="V139" s="761">
        <v>45307.69027777778</v>
      </c>
      <c r="W139" s="759" t="s">
        <v>3662</v>
      </c>
    </row>
    <row r="140" ht="15.75" customHeight="1">
      <c r="A140" s="759" t="s">
        <v>3387</v>
      </c>
      <c r="B140" s="759" t="s">
        <v>3387</v>
      </c>
      <c r="C140" s="760">
        <v>5.2239792E7</v>
      </c>
      <c r="D140" s="760">
        <v>1.000621402E9</v>
      </c>
      <c r="E140" s="759" t="s">
        <v>3652</v>
      </c>
      <c r="F140" s="759"/>
      <c r="G140" s="759" t="s">
        <v>3749</v>
      </c>
      <c r="H140" s="759" t="s">
        <v>3899</v>
      </c>
      <c r="I140" s="759" t="s">
        <v>3655</v>
      </c>
      <c r="J140" s="759" t="s">
        <v>3656</v>
      </c>
      <c r="K140" s="759" t="s">
        <v>3657</v>
      </c>
      <c r="L140" s="759" t="s">
        <v>35</v>
      </c>
      <c r="M140" s="759" t="s">
        <v>3900</v>
      </c>
      <c r="N140" s="759" t="s">
        <v>3901</v>
      </c>
      <c r="O140" s="759" t="s">
        <v>47</v>
      </c>
      <c r="P140" s="761">
        <v>45307.41805555556</v>
      </c>
      <c r="Q140" s="759" t="s">
        <v>3902</v>
      </c>
      <c r="R140" s="761">
        <v>45307.45972222222</v>
      </c>
      <c r="S140" s="759" t="s">
        <v>3661</v>
      </c>
      <c r="T140" s="760">
        <v>26.0</v>
      </c>
      <c r="U140" s="761">
        <v>45307.0</v>
      </c>
      <c r="V140" s="761">
        <v>45307.15555555555</v>
      </c>
      <c r="W140" s="759" t="s">
        <v>3662</v>
      </c>
    </row>
    <row r="141" ht="15.75" customHeight="1">
      <c r="A141" s="759" t="s">
        <v>3387</v>
      </c>
      <c r="B141" s="759" t="s">
        <v>3387</v>
      </c>
      <c r="C141" s="760">
        <v>5.2239793E7</v>
      </c>
      <c r="D141" s="760">
        <v>1.000621444E9</v>
      </c>
      <c r="E141" s="759" t="s">
        <v>3652</v>
      </c>
      <c r="F141" s="759"/>
      <c r="G141" s="759" t="s">
        <v>3749</v>
      </c>
      <c r="H141" s="759" t="s">
        <v>3899</v>
      </c>
      <c r="I141" s="759" t="s">
        <v>3655</v>
      </c>
      <c r="J141" s="759" t="s">
        <v>3656</v>
      </c>
      <c r="K141" s="759" t="s">
        <v>3657</v>
      </c>
      <c r="L141" s="759" t="s">
        <v>35</v>
      </c>
      <c r="M141" s="759" t="s">
        <v>3900</v>
      </c>
      <c r="N141" s="759" t="s">
        <v>3901</v>
      </c>
      <c r="O141" s="759" t="s">
        <v>47</v>
      </c>
      <c r="P141" s="761">
        <v>45307.41805555556</v>
      </c>
      <c r="Q141" s="759" t="s">
        <v>3902</v>
      </c>
      <c r="R141" s="761">
        <v>45307.45972222222</v>
      </c>
      <c r="S141" s="759" t="s">
        <v>3661</v>
      </c>
      <c r="T141" s="760">
        <v>26.0</v>
      </c>
      <c r="U141" s="761">
        <v>45307.0</v>
      </c>
      <c r="V141" s="761">
        <v>45307.15555555555</v>
      </c>
      <c r="W141" s="759" t="s">
        <v>3662</v>
      </c>
    </row>
    <row r="142" ht="15.75" customHeight="1">
      <c r="A142" s="759" t="s">
        <v>3387</v>
      </c>
      <c r="B142" s="759" t="s">
        <v>3387</v>
      </c>
      <c r="C142" s="760">
        <v>5.1853511E7</v>
      </c>
      <c r="D142" s="760">
        <v>1.000629651E9</v>
      </c>
      <c r="E142" s="759" t="s">
        <v>3652</v>
      </c>
      <c r="F142" s="759"/>
      <c r="G142" s="759" t="s">
        <v>3653</v>
      </c>
      <c r="H142" s="759" t="s">
        <v>3903</v>
      </c>
      <c r="I142" s="759" t="s">
        <v>3655</v>
      </c>
      <c r="J142" s="759" t="s">
        <v>3656</v>
      </c>
      <c r="K142" s="759" t="s">
        <v>3657</v>
      </c>
      <c r="L142" s="759" t="s">
        <v>35</v>
      </c>
      <c r="M142" s="759" t="s">
        <v>3781</v>
      </c>
      <c r="N142" s="759" t="s">
        <v>3659</v>
      </c>
      <c r="O142" s="759" t="s">
        <v>3782</v>
      </c>
      <c r="P142" s="761">
        <v>45303.67638888889</v>
      </c>
      <c r="Q142" s="759" t="s">
        <v>3783</v>
      </c>
      <c r="R142" s="761">
        <v>45303.71805555555</v>
      </c>
      <c r="S142" s="759" t="s">
        <v>3904</v>
      </c>
      <c r="T142" s="760">
        <v>26.0</v>
      </c>
      <c r="U142" s="761">
        <v>45307.0</v>
      </c>
      <c r="V142" s="761">
        <v>45307.475</v>
      </c>
      <c r="W142" s="759" t="s">
        <v>3662</v>
      </c>
    </row>
    <row r="143" ht="15.75" hidden="1" customHeight="1">
      <c r="A143" s="759" t="s">
        <v>3389</v>
      </c>
      <c r="B143" s="763" t="s">
        <v>3395</v>
      </c>
      <c r="C143" s="760">
        <v>5.1776739E7</v>
      </c>
      <c r="D143" s="760">
        <v>1.000627979E9</v>
      </c>
      <c r="E143" s="759" t="s">
        <v>3652</v>
      </c>
      <c r="F143" s="759"/>
      <c r="G143" s="759" t="s">
        <v>3653</v>
      </c>
      <c r="H143" s="759" t="s">
        <v>3905</v>
      </c>
      <c r="I143" s="759" t="s">
        <v>3674</v>
      </c>
      <c r="J143" s="759" t="s">
        <v>3656</v>
      </c>
      <c r="K143" s="759" t="s">
        <v>3657</v>
      </c>
      <c r="L143" s="759" t="s">
        <v>35</v>
      </c>
      <c r="M143" s="759" t="s">
        <v>3744</v>
      </c>
      <c r="N143" s="759" t="s">
        <v>1889</v>
      </c>
      <c r="O143" s="759" t="s">
        <v>93</v>
      </c>
      <c r="P143" s="761">
        <v>45303.37569444445</v>
      </c>
      <c r="Q143" s="759" t="s">
        <v>3745</v>
      </c>
      <c r="R143" s="761">
        <v>45303.41736111111</v>
      </c>
      <c r="S143" s="759" t="s">
        <v>3661</v>
      </c>
      <c r="T143" s="760">
        <v>26.0</v>
      </c>
      <c r="U143" s="761">
        <v>45309.0</v>
      </c>
      <c r="V143" s="761">
        <v>45309.569444444445</v>
      </c>
      <c r="W143" s="759" t="s">
        <v>3662</v>
      </c>
    </row>
    <row r="144" ht="15.75" hidden="1" customHeight="1">
      <c r="A144" s="759" t="s">
        <v>3389</v>
      </c>
      <c r="B144" s="763" t="s">
        <v>3388</v>
      </c>
      <c r="C144" s="760">
        <v>5.1794718E7</v>
      </c>
      <c r="D144" s="760">
        <v>1.000628054E9</v>
      </c>
      <c r="E144" s="759" t="s">
        <v>3652</v>
      </c>
      <c r="F144" s="759"/>
      <c r="G144" s="759" t="s">
        <v>3653</v>
      </c>
      <c r="H144" s="759" t="s">
        <v>3906</v>
      </c>
      <c r="I144" s="759" t="s">
        <v>3674</v>
      </c>
      <c r="J144" s="759" t="s">
        <v>3656</v>
      </c>
      <c r="K144" s="759" t="s">
        <v>3657</v>
      </c>
      <c r="L144" s="759" t="s">
        <v>35</v>
      </c>
      <c r="M144" s="759" t="s">
        <v>3683</v>
      </c>
      <c r="N144" s="759" t="s">
        <v>3684</v>
      </c>
      <c r="O144" s="759" t="s">
        <v>3685</v>
      </c>
      <c r="P144" s="761">
        <v>45303.436111111114</v>
      </c>
      <c r="Q144" s="759" t="s">
        <v>3686</v>
      </c>
      <c r="R144" s="761">
        <v>45303.47777777778</v>
      </c>
      <c r="S144" s="759" t="s">
        <v>3742</v>
      </c>
      <c r="T144" s="760">
        <v>28.0</v>
      </c>
      <c r="U144" s="761">
        <v>45309.0</v>
      </c>
      <c r="V144" s="761">
        <v>45310.30138888889</v>
      </c>
      <c r="W144" s="759" t="s">
        <v>3662</v>
      </c>
    </row>
    <row r="145" ht="15.75" customHeight="1">
      <c r="A145" s="759" t="s">
        <v>3387</v>
      </c>
      <c r="B145" s="759" t="s">
        <v>3387</v>
      </c>
      <c r="C145" s="760">
        <v>5.2849439E7</v>
      </c>
      <c r="D145" s="760">
        <v>1.000636934E9</v>
      </c>
      <c r="E145" s="759" t="s">
        <v>3652</v>
      </c>
      <c r="F145" s="759"/>
      <c r="G145" s="759" t="s">
        <v>3749</v>
      </c>
      <c r="H145" s="759" t="s">
        <v>3907</v>
      </c>
      <c r="I145" s="759" t="s">
        <v>3655</v>
      </c>
      <c r="J145" s="759" t="s">
        <v>3656</v>
      </c>
      <c r="K145" s="759" t="s">
        <v>3657</v>
      </c>
      <c r="L145" s="759" t="s">
        <v>35</v>
      </c>
      <c r="M145" s="759" t="s">
        <v>3908</v>
      </c>
      <c r="N145" s="759" t="s">
        <v>3909</v>
      </c>
      <c r="O145" s="759" t="s">
        <v>3666</v>
      </c>
      <c r="P145" s="761">
        <v>45310.455555555556</v>
      </c>
      <c r="Q145" s="759" t="s">
        <v>3910</v>
      </c>
      <c r="R145" s="761">
        <v>45310.49722222222</v>
      </c>
      <c r="S145" s="759" t="s">
        <v>3911</v>
      </c>
      <c r="T145" s="760">
        <v>20.0</v>
      </c>
      <c r="U145" s="761">
        <v>45309.0</v>
      </c>
      <c r="V145" s="761">
        <v>45309.48125</v>
      </c>
      <c r="W145" s="759" t="s">
        <v>3662</v>
      </c>
    </row>
    <row r="146" ht="15.75" customHeight="1">
      <c r="A146" s="759" t="s">
        <v>3387</v>
      </c>
      <c r="B146" s="759" t="s">
        <v>3387</v>
      </c>
      <c r="C146" s="760">
        <v>5.208233E7</v>
      </c>
      <c r="D146" s="760">
        <v>1.000633184E9</v>
      </c>
      <c r="E146" s="759" t="s">
        <v>3652</v>
      </c>
      <c r="F146" s="759"/>
      <c r="G146" s="759" t="s">
        <v>3653</v>
      </c>
      <c r="H146" s="759" t="s">
        <v>3912</v>
      </c>
      <c r="I146" s="759" t="s">
        <v>3655</v>
      </c>
      <c r="J146" s="759" t="s">
        <v>3656</v>
      </c>
      <c r="K146" s="759" t="s">
        <v>3657</v>
      </c>
      <c r="L146" s="759" t="s">
        <v>35</v>
      </c>
      <c r="M146" s="759" t="s">
        <v>3913</v>
      </c>
      <c r="N146" s="759" t="s">
        <v>3914</v>
      </c>
      <c r="O146" s="759" t="s">
        <v>36</v>
      </c>
      <c r="P146" s="761">
        <v>45306.57986111111</v>
      </c>
      <c r="Q146" s="759" t="s">
        <v>3915</v>
      </c>
      <c r="R146" s="761">
        <v>45306.62152777778</v>
      </c>
      <c r="S146" s="759" t="s">
        <v>3916</v>
      </c>
      <c r="T146" s="760">
        <v>26.0</v>
      </c>
      <c r="U146" s="761">
        <v>45310.0</v>
      </c>
      <c r="V146" s="761">
        <v>45312.72986111111</v>
      </c>
      <c r="W146" s="759" t="s">
        <v>3662</v>
      </c>
    </row>
    <row r="147" ht="15.75" customHeight="1">
      <c r="A147" s="759" t="s">
        <v>3387</v>
      </c>
      <c r="B147" s="759" t="s">
        <v>3387</v>
      </c>
      <c r="C147" s="760">
        <v>5.2092589E7</v>
      </c>
      <c r="D147" s="760">
        <v>1.000633208E9</v>
      </c>
      <c r="E147" s="759" t="s">
        <v>3652</v>
      </c>
      <c r="F147" s="759"/>
      <c r="G147" s="759" t="s">
        <v>3653</v>
      </c>
      <c r="H147" s="759" t="s">
        <v>3677</v>
      </c>
      <c r="I147" s="759" t="s">
        <v>3655</v>
      </c>
      <c r="J147" s="759" t="s">
        <v>3656</v>
      </c>
      <c r="K147" s="759" t="s">
        <v>3657</v>
      </c>
      <c r="L147" s="759" t="s">
        <v>35</v>
      </c>
      <c r="M147" s="759" t="s">
        <v>3678</v>
      </c>
      <c r="N147" s="759" t="s">
        <v>3679</v>
      </c>
      <c r="O147" s="759" t="s">
        <v>58</v>
      </c>
      <c r="P147" s="761">
        <v>45306.614583333336</v>
      </c>
      <c r="Q147" s="759" t="s">
        <v>3680</v>
      </c>
      <c r="R147" s="761">
        <v>45306.65625</v>
      </c>
      <c r="S147" s="759" t="s">
        <v>3681</v>
      </c>
      <c r="T147" s="760">
        <v>26.0</v>
      </c>
      <c r="U147" s="761">
        <v>45310.0</v>
      </c>
      <c r="V147" s="761">
        <v>45310.245833333334</v>
      </c>
      <c r="W147" s="759" t="s">
        <v>3662</v>
      </c>
    </row>
    <row r="148" ht="15.75" customHeight="1">
      <c r="A148" s="759" t="s">
        <v>3387</v>
      </c>
      <c r="B148" s="759" t="s">
        <v>3387</v>
      </c>
      <c r="C148" s="760">
        <v>5.2330404E7</v>
      </c>
      <c r="D148" s="760">
        <v>1.000636832E9</v>
      </c>
      <c r="E148" s="759" t="s">
        <v>3652</v>
      </c>
      <c r="F148" s="759"/>
      <c r="G148" s="759" t="s">
        <v>3749</v>
      </c>
      <c r="H148" s="759" t="s">
        <v>3917</v>
      </c>
      <c r="I148" s="759" t="s">
        <v>3655</v>
      </c>
      <c r="J148" s="759" t="s">
        <v>3656</v>
      </c>
      <c r="K148" s="759" t="s">
        <v>3657</v>
      </c>
      <c r="L148" s="759" t="s">
        <v>35</v>
      </c>
      <c r="M148" s="759" t="s">
        <v>3918</v>
      </c>
      <c r="N148" s="759" t="s">
        <v>2117</v>
      </c>
      <c r="O148" s="759" t="s">
        <v>2119</v>
      </c>
      <c r="P148" s="761">
        <v>45307.72638888889</v>
      </c>
      <c r="Q148" s="759" t="s">
        <v>3919</v>
      </c>
      <c r="R148" s="761">
        <v>45307.768055555556</v>
      </c>
      <c r="S148" s="759" t="s">
        <v>3920</v>
      </c>
      <c r="T148" s="760">
        <v>24.0</v>
      </c>
      <c r="U148" s="761">
        <v>45310.0</v>
      </c>
      <c r="V148" s="761">
        <v>45310.97777777778</v>
      </c>
      <c r="W148" s="759" t="s">
        <v>3662</v>
      </c>
    </row>
    <row r="149" ht="15.75" customHeight="1">
      <c r="A149" s="759" t="s">
        <v>3387</v>
      </c>
      <c r="B149" s="759" t="s">
        <v>3387</v>
      </c>
      <c r="C149" s="760">
        <v>5.2297686E7</v>
      </c>
      <c r="D149" s="760">
        <v>1.00063689E9</v>
      </c>
      <c r="E149" s="759" t="s">
        <v>3652</v>
      </c>
      <c r="F149" s="760">
        <v>3901372.0</v>
      </c>
      <c r="G149" s="759" t="s">
        <v>3749</v>
      </c>
      <c r="H149" s="759" t="s">
        <v>3921</v>
      </c>
      <c r="I149" s="759" t="s">
        <v>3655</v>
      </c>
      <c r="J149" s="759" t="s">
        <v>3656</v>
      </c>
      <c r="K149" s="759" t="s">
        <v>3657</v>
      </c>
      <c r="L149" s="759" t="s">
        <v>35</v>
      </c>
      <c r="M149" s="759" t="s">
        <v>3922</v>
      </c>
      <c r="N149" s="759" t="s">
        <v>3923</v>
      </c>
      <c r="O149" s="759" t="s">
        <v>3924</v>
      </c>
      <c r="P149" s="761">
        <v>45307.58472222222</v>
      </c>
      <c r="Q149" s="759" t="s">
        <v>3925</v>
      </c>
      <c r="R149" s="761">
        <v>45307.626388888886</v>
      </c>
      <c r="S149" s="759" t="s">
        <v>3926</v>
      </c>
      <c r="T149" s="760">
        <v>26.0</v>
      </c>
      <c r="U149" s="761">
        <v>45310.0</v>
      </c>
      <c r="V149" s="761">
        <v>45310.47083333333</v>
      </c>
      <c r="W149" s="759" t="s">
        <v>3662</v>
      </c>
    </row>
    <row r="150" ht="15.75" customHeight="1">
      <c r="A150" s="759" t="s">
        <v>3387</v>
      </c>
      <c r="B150" s="759" t="s">
        <v>3387</v>
      </c>
      <c r="C150" s="760">
        <v>5.2330406E7</v>
      </c>
      <c r="D150" s="760">
        <v>1.000636914E9</v>
      </c>
      <c r="E150" s="759" t="s">
        <v>3652</v>
      </c>
      <c r="F150" s="759"/>
      <c r="G150" s="759" t="s">
        <v>3749</v>
      </c>
      <c r="H150" s="759" t="s">
        <v>3927</v>
      </c>
      <c r="I150" s="759" t="s">
        <v>3655</v>
      </c>
      <c r="J150" s="759" t="s">
        <v>3656</v>
      </c>
      <c r="K150" s="759" t="s">
        <v>3657</v>
      </c>
      <c r="L150" s="759" t="s">
        <v>35</v>
      </c>
      <c r="M150" s="759" t="s">
        <v>3928</v>
      </c>
      <c r="N150" s="759" t="s">
        <v>3929</v>
      </c>
      <c r="O150" s="759" t="s">
        <v>3930</v>
      </c>
      <c r="P150" s="761">
        <v>45307.72638888889</v>
      </c>
      <c r="Q150" s="759" t="s">
        <v>3931</v>
      </c>
      <c r="R150" s="761">
        <v>45307.768055555556</v>
      </c>
      <c r="S150" s="759" t="s">
        <v>3932</v>
      </c>
      <c r="T150" s="760">
        <v>22.0</v>
      </c>
      <c r="U150" s="761">
        <v>45310.0</v>
      </c>
      <c r="V150" s="761">
        <v>45310.83194444444</v>
      </c>
      <c r="W150" s="759" t="s">
        <v>3662</v>
      </c>
    </row>
    <row r="151" ht="15.75" customHeight="1">
      <c r="A151" s="759" t="s">
        <v>3387</v>
      </c>
      <c r="B151" s="759" t="s">
        <v>3387</v>
      </c>
      <c r="C151" s="760">
        <v>5.2887691E7</v>
      </c>
      <c r="D151" s="760">
        <v>1.000637042E9</v>
      </c>
      <c r="E151" s="759" t="s">
        <v>3652</v>
      </c>
      <c r="F151" s="759"/>
      <c r="G151" s="759" t="s">
        <v>3653</v>
      </c>
      <c r="H151" s="759" t="s">
        <v>3933</v>
      </c>
      <c r="I151" s="759" t="s">
        <v>3655</v>
      </c>
      <c r="J151" s="759" t="s">
        <v>3656</v>
      </c>
      <c r="K151" s="759" t="s">
        <v>3657</v>
      </c>
      <c r="L151" s="759" t="s">
        <v>35</v>
      </c>
      <c r="M151" s="759" t="s">
        <v>3934</v>
      </c>
      <c r="N151" s="759" t="s">
        <v>3708</v>
      </c>
      <c r="O151" s="759" t="s">
        <v>3356</v>
      </c>
      <c r="P151" s="761">
        <v>45310.575694444444</v>
      </c>
      <c r="Q151" s="759" t="s">
        <v>3935</v>
      </c>
      <c r="R151" s="761">
        <v>45310.61736111111</v>
      </c>
      <c r="S151" s="759" t="s">
        <v>3681</v>
      </c>
      <c r="T151" s="760">
        <v>26.0</v>
      </c>
      <c r="U151" s="761">
        <v>45310.0</v>
      </c>
      <c r="V151" s="761">
        <v>45313.48125</v>
      </c>
      <c r="W151" s="759" t="s">
        <v>3662</v>
      </c>
    </row>
    <row r="152" ht="15.75" customHeight="1">
      <c r="A152" s="759" t="s">
        <v>3387</v>
      </c>
      <c r="B152" s="759" t="s">
        <v>3387</v>
      </c>
      <c r="C152" s="760">
        <v>5.233041E7</v>
      </c>
      <c r="D152" s="760">
        <v>1.000637181E9</v>
      </c>
      <c r="E152" s="759" t="s">
        <v>3652</v>
      </c>
      <c r="F152" s="760">
        <v>4.503356196E9</v>
      </c>
      <c r="G152" s="759" t="s">
        <v>3653</v>
      </c>
      <c r="H152" s="759" t="s">
        <v>3936</v>
      </c>
      <c r="I152" s="759" t="s">
        <v>3655</v>
      </c>
      <c r="J152" s="759" t="s">
        <v>3656</v>
      </c>
      <c r="K152" s="759" t="s">
        <v>3657</v>
      </c>
      <c r="L152" s="759" t="s">
        <v>35</v>
      </c>
      <c r="M152" s="759" t="s">
        <v>3937</v>
      </c>
      <c r="N152" s="759" t="s">
        <v>3771</v>
      </c>
      <c r="O152" s="759" t="s">
        <v>3938</v>
      </c>
      <c r="P152" s="761">
        <v>45307.72638888889</v>
      </c>
      <c r="Q152" s="759" t="s">
        <v>3939</v>
      </c>
      <c r="R152" s="761">
        <v>45307.768055555556</v>
      </c>
      <c r="S152" s="759" t="s">
        <v>3940</v>
      </c>
      <c r="T152" s="760">
        <v>26.0</v>
      </c>
      <c r="U152" s="761">
        <v>45310.0</v>
      </c>
      <c r="V152" s="761">
        <v>45311.075694444444</v>
      </c>
      <c r="W152" s="759" t="s">
        <v>3662</v>
      </c>
    </row>
    <row r="153" ht="15.75" hidden="1" customHeight="1">
      <c r="A153" s="759" t="s">
        <v>3389</v>
      </c>
      <c r="B153" s="763" t="s">
        <v>3390</v>
      </c>
      <c r="C153" s="760">
        <v>5.2331506E7</v>
      </c>
      <c r="D153" s="760">
        <v>1.000637413E9</v>
      </c>
      <c r="E153" s="759" t="s">
        <v>3652</v>
      </c>
      <c r="F153" s="760">
        <v>3914080.0</v>
      </c>
      <c r="G153" s="759" t="s">
        <v>3653</v>
      </c>
      <c r="H153" s="759" t="s">
        <v>3941</v>
      </c>
      <c r="I153" s="759" t="s">
        <v>3674</v>
      </c>
      <c r="J153" s="759" t="s">
        <v>3656</v>
      </c>
      <c r="K153" s="759" t="s">
        <v>3657</v>
      </c>
      <c r="L153" s="759" t="s">
        <v>35</v>
      </c>
      <c r="M153" s="759" t="s">
        <v>3737</v>
      </c>
      <c r="N153" s="759" t="s">
        <v>3738</v>
      </c>
      <c r="O153" s="759" t="s">
        <v>3739</v>
      </c>
      <c r="P153" s="761">
        <v>45307.73263888889</v>
      </c>
      <c r="Q153" s="759" t="s">
        <v>3740</v>
      </c>
      <c r="R153" s="761">
        <v>45307.774305555555</v>
      </c>
      <c r="S153" s="759" t="s">
        <v>3687</v>
      </c>
      <c r="T153" s="760">
        <v>26.0</v>
      </c>
      <c r="U153" s="761">
        <v>45310.0</v>
      </c>
      <c r="V153" s="761">
        <v>45310.88611111111</v>
      </c>
      <c r="W153" s="759" t="s">
        <v>3662</v>
      </c>
    </row>
    <row r="154" ht="15.75" hidden="1" customHeight="1">
      <c r="A154" s="759" t="s">
        <v>3389</v>
      </c>
      <c r="B154" s="763" t="s">
        <v>3390</v>
      </c>
      <c r="C154" s="760">
        <v>5.2331507E7</v>
      </c>
      <c r="D154" s="760">
        <v>1.000637419E9</v>
      </c>
      <c r="E154" s="759" t="s">
        <v>3652</v>
      </c>
      <c r="F154" s="760">
        <v>3914095.0</v>
      </c>
      <c r="G154" s="759" t="s">
        <v>3653</v>
      </c>
      <c r="H154" s="759" t="s">
        <v>3942</v>
      </c>
      <c r="I154" s="759" t="s">
        <v>3674</v>
      </c>
      <c r="J154" s="759" t="s">
        <v>3656</v>
      </c>
      <c r="K154" s="759" t="s">
        <v>3657</v>
      </c>
      <c r="L154" s="759" t="s">
        <v>35</v>
      </c>
      <c r="M154" s="759" t="s">
        <v>3737</v>
      </c>
      <c r="N154" s="759" t="s">
        <v>3738</v>
      </c>
      <c r="O154" s="759" t="s">
        <v>3739</v>
      </c>
      <c r="P154" s="761">
        <v>45307.73263888889</v>
      </c>
      <c r="Q154" s="759" t="s">
        <v>3740</v>
      </c>
      <c r="R154" s="761">
        <v>45307.774305555555</v>
      </c>
      <c r="S154" s="759" t="s">
        <v>3687</v>
      </c>
      <c r="T154" s="760">
        <v>26.0</v>
      </c>
      <c r="U154" s="761">
        <v>45310.0</v>
      </c>
      <c r="V154" s="761">
        <v>45310.88611111111</v>
      </c>
      <c r="W154" s="759" t="s">
        <v>3662</v>
      </c>
    </row>
    <row r="155" ht="15.75" hidden="1" customHeight="1">
      <c r="A155" s="759" t="s">
        <v>3389</v>
      </c>
      <c r="B155" s="759" t="s">
        <v>3388</v>
      </c>
      <c r="C155" s="760">
        <v>5.2522357E7</v>
      </c>
      <c r="D155" s="760">
        <v>1.000640169E9</v>
      </c>
      <c r="E155" s="759" t="s">
        <v>3652</v>
      </c>
      <c r="F155" s="759"/>
      <c r="G155" s="759" t="s">
        <v>3653</v>
      </c>
      <c r="H155" s="759" t="s">
        <v>3943</v>
      </c>
      <c r="I155" s="759" t="s">
        <v>3674</v>
      </c>
      <c r="J155" s="759" t="s">
        <v>3656</v>
      </c>
      <c r="K155" s="759" t="s">
        <v>3657</v>
      </c>
      <c r="L155" s="759" t="s">
        <v>35</v>
      </c>
      <c r="M155" s="759" t="s">
        <v>3944</v>
      </c>
      <c r="N155" s="759" t="s">
        <v>2121</v>
      </c>
      <c r="O155" s="759" t="s">
        <v>2272</v>
      </c>
      <c r="P155" s="761">
        <v>45308.66805555556</v>
      </c>
      <c r="Q155" s="759" t="s">
        <v>3945</v>
      </c>
      <c r="R155" s="761">
        <v>45308.70972222222</v>
      </c>
      <c r="S155" s="759" t="s">
        <v>3946</v>
      </c>
      <c r="T155" s="760">
        <v>26.0</v>
      </c>
      <c r="U155" s="761">
        <v>45310.0</v>
      </c>
      <c r="V155" s="761">
        <v>45310.94236111111</v>
      </c>
      <c r="W155" s="759" t="s">
        <v>3662</v>
      </c>
    </row>
    <row r="156" ht="15.75" hidden="1" customHeight="1">
      <c r="A156" s="759" t="s">
        <v>3389</v>
      </c>
      <c r="B156" s="763" t="s">
        <v>3388</v>
      </c>
      <c r="C156" s="760">
        <v>5.208362E7</v>
      </c>
      <c r="D156" s="760">
        <v>1.000633104E9</v>
      </c>
      <c r="E156" s="759" t="s">
        <v>3652</v>
      </c>
      <c r="F156" s="760">
        <v>3894019.0</v>
      </c>
      <c r="G156" s="759" t="s">
        <v>3653</v>
      </c>
      <c r="H156" s="759" t="s">
        <v>3947</v>
      </c>
      <c r="I156" s="759" t="s">
        <v>3674</v>
      </c>
      <c r="J156" s="759" t="s">
        <v>3656</v>
      </c>
      <c r="K156" s="759" t="s">
        <v>3657</v>
      </c>
      <c r="L156" s="759" t="s">
        <v>35</v>
      </c>
      <c r="M156" s="759" t="s">
        <v>3948</v>
      </c>
      <c r="N156" s="759" t="s">
        <v>3914</v>
      </c>
      <c r="O156" s="759" t="s">
        <v>339</v>
      </c>
      <c r="P156" s="761">
        <v>45306.58472222222</v>
      </c>
      <c r="Q156" s="759" t="s">
        <v>3949</v>
      </c>
      <c r="R156" s="761">
        <v>45306.626388888886</v>
      </c>
      <c r="S156" s="759" t="s">
        <v>3687</v>
      </c>
      <c r="T156" s="760">
        <v>26.0</v>
      </c>
      <c r="U156" s="761">
        <v>45311.0</v>
      </c>
      <c r="V156" s="761">
        <v>45313.57847222222</v>
      </c>
      <c r="W156" s="759" t="s">
        <v>3662</v>
      </c>
    </row>
    <row r="157" ht="15.75" hidden="1" customHeight="1">
      <c r="A157" s="759" t="s">
        <v>3389</v>
      </c>
      <c r="B157" s="763" t="s">
        <v>3390</v>
      </c>
      <c r="C157" s="760">
        <v>5.2111924E7</v>
      </c>
      <c r="D157" s="760">
        <v>1.00063311E9</v>
      </c>
      <c r="E157" s="759" t="s">
        <v>3652</v>
      </c>
      <c r="F157" s="760">
        <v>3902715.0</v>
      </c>
      <c r="G157" s="759" t="s">
        <v>3653</v>
      </c>
      <c r="H157" s="759" t="s">
        <v>3694</v>
      </c>
      <c r="I157" s="759" t="s">
        <v>3674</v>
      </c>
      <c r="J157" s="759" t="s">
        <v>3656</v>
      </c>
      <c r="K157" s="759" t="s">
        <v>3657</v>
      </c>
      <c r="L157" s="759" t="s">
        <v>35</v>
      </c>
      <c r="M157" s="759" t="s">
        <v>3695</v>
      </c>
      <c r="N157" s="759" t="s">
        <v>3696</v>
      </c>
      <c r="O157" s="759" t="s">
        <v>3697</v>
      </c>
      <c r="P157" s="761">
        <v>45306.680555555555</v>
      </c>
      <c r="Q157" s="759" t="s">
        <v>3698</v>
      </c>
      <c r="R157" s="761">
        <v>45306.72222222222</v>
      </c>
      <c r="S157" s="759" t="s">
        <v>3687</v>
      </c>
      <c r="T157" s="760">
        <v>26.0</v>
      </c>
      <c r="U157" s="761">
        <v>45311.0</v>
      </c>
      <c r="V157" s="761">
        <v>45312.47361111111</v>
      </c>
      <c r="W157" s="759" t="s">
        <v>3662</v>
      </c>
    </row>
    <row r="158" ht="15.75" customHeight="1">
      <c r="A158" s="759" t="s">
        <v>3387</v>
      </c>
      <c r="B158" s="759" t="s">
        <v>3387</v>
      </c>
      <c r="C158" s="760">
        <v>5.2330401E7</v>
      </c>
      <c r="D158" s="760">
        <v>1.00063686E9</v>
      </c>
      <c r="E158" s="759" t="s">
        <v>3652</v>
      </c>
      <c r="F158" s="759"/>
      <c r="G158" s="759" t="s">
        <v>3749</v>
      </c>
      <c r="H158" s="759" t="s">
        <v>3927</v>
      </c>
      <c r="I158" s="759" t="s">
        <v>3655</v>
      </c>
      <c r="J158" s="759" t="s">
        <v>3656</v>
      </c>
      <c r="K158" s="759" t="s">
        <v>3657</v>
      </c>
      <c r="L158" s="759" t="s">
        <v>35</v>
      </c>
      <c r="M158" s="759" t="s">
        <v>3928</v>
      </c>
      <c r="N158" s="759" t="s">
        <v>3929</v>
      </c>
      <c r="O158" s="759" t="s">
        <v>3930</v>
      </c>
      <c r="P158" s="761">
        <v>45307.72638888889</v>
      </c>
      <c r="Q158" s="759" t="s">
        <v>3931</v>
      </c>
      <c r="R158" s="761">
        <v>45307.768055555556</v>
      </c>
      <c r="S158" s="759" t="s">
        <v>3663</v>
      </c>
      <c r="T158" s="760">
        <v>26.0</v>
      </c>
      <c r="U158" s="761">
        <v>45311.0</v>
      </c>
      <c r="V158" s="761">
        <v>45311.83194444444</v>
      </c>
      <c r="W158" s="759" t="s">
        <v>3662</v>
      </c>
    </row>
    <row r="159" ht="15.75" customHeight="1">
      <c r="A159" s="759" t="s">
        <v>3387</v>
      </c>
      <c r="B159" s="759" t="s">
        <v>3387</v>
      </c>
      <c r="C159" s="760">
        <v>5.2330416E7</v>
      </c>
      <c r="D159" s="760">
        <v>1.000636871E9</v>
      </c>
      <c r="E159" s="759" t="s">
        <v>3652</v>
      </c>
      <c r="F159" s="759"/>
      <c r="G159" s="759" t="s">
        <v>3749</v>
      </c>
      <c r="H159" s="759" t="s">
        <v>3927</v>
      </c>
      <c r="I159" s="759" t="s">
        <v>3655</v>
      </c>
      <c r="J159" s="759" t="s">
        <v>3656</v>
      </c>
      <c r="K159" s="759" t="s">
        <v>3657</v>
      </c>
      <c r="L159" s="759" t="s">
        <v>35</v>
      </c>
      <c r="M159" s="759" t="s">
        <v>3928</v>
      </c>
      <c r="N159" s="759" t="s">
        <v>3929</v>
      </c>
      <c r="O159" s="759" t="s">
        <v>3930</v>
      </c>
      <c r="P159" s="761">
        <v>45307.72638888889</v>
      </c>
      <c r="Q159" s="759" t="s">
        <v>3931</v>
      </c>
      <c r="R159" s="761">
        <v>45307.768055555556</v>
      </c>
      <c r="S159" s="759" t="s">
        <v>3746</v>
      </c>
      <c r="T159" s="760">
        <v>26.0</v>
      </c>
      <c r="U159" s="761">
        <v>45311.0</v>
      </c>
      <c r="V159" s="761">
        <v>45311.83194444444</v>
      </c>
      <c r="W159" s="759" t="s">
        <v>3662</v>
      </c>
    </row>
    <row r="160" ht="15.75" customHeight="1">
      <c r="A160" s="759" t="s">
        <v>3387</v>
      </c>
      <c r="B160" s="759" t="s">
        <v>3387</v>
      </c>
      <c r="C160" s="760">
        <v>5.2330405E7</v>
      </c>
      <c r="D160" s="760">
        <v>1.000636903E9</v>
      </c>
      <c r="E160" s="759" t="s">
        <v>3652</v>
      </c>
      <c r="F160" s="759"/>
      <c r="G160" s="759" t="s">
        <v>3749</v>
      </c>
      <c r="H160" s="759" t="s">
        <v>3927</v>
      </c>
      <c r="I160" s="759" t="s">
        <v>3655</v>
      </c>
      <c r="J160" s="759" t="s">
        <v>3656</v>
      </c>
      <c r="K160" s="759" t="s">
        <v>3657</v>
      </c>
      <c r="L160" s="759" t="s">
        <v>35</v>
      </c>
      <c r="M160" s="759" t="s">
        <v>3928</v>
      </c>
      <c r="N160" s="759" t="s">
        <v>3929</v>
      </c>
      <c r="O160" s="759" t="s">
        <v>3930</v>
      </c>
      <c r="P160" s="761">
        <v>45307.72638888889</v>
      </c>
      <c r="Q160" s="759" t="s">
        <v>3931</v>
      </c>
      <c r="R160" s="761">
        <v>45307.768055555556</v>
      </c>
      <c r="S160" s="759" t="s">
        <v>3746</v>
      </c>
      <c r="T160" s="760">
        <v>26.0</v>
      </c>
      <c r="U160" s="761">
        <v>45311.0</v>
      </c>
      <c r="V160" s="761">
        <v>45311.83194444444</v>
      </c>
      <c r="W160" s="759" t="s">
        <v>3662</v>
      </c>
    </row>
    <row r="161" ht="15.75" hidden="1" customHeight="1">
      <c r="A161" s="759" t="s">
        <v>3389</v>
      </c>
      <c r="B161" s="759" t="s">
        <v>3394</v>
      </c>
      <c r="C161" s="760">
        <v>5.2308606E7</v>
      </c>
      <c r="D161" s="760">
        <v>1.00063693E9</v>
      </c>
      <c r="E161" s="759" t="s">
        <v>3652</v>
      </c>
      <c r="F161" s="759"/>
      <c r="G161" s="759" t="s">
        <v>3749</v>
      </c>
      <c r="H161" s="764">
        <v>1035584.0</v>
      </c>
      <c r="I161" s="759" t="s">
        <v>3788</v>
      </c>
      <c r="J161" s="759" t="s">
        <v>3656</v>
      </c>
      <c r="K161" s="759" t="s">
        <v>3657</v>
      </c>
      <c r="L161" s="759" t="s">
        <v>35</v>
      </c>
      <c r="M161" s="759" t="s">
        <v>3778</v>
      </c>
      <c r="N161" s="759" t="s">
        <v>1995</v>
      </c>
      <c r="O161" s="759" t="s">
        <v>187</v>
      </c>
      <c r="P161" s="761">
        <v>45307.626388888886</v>
      </c>
      <c r="Q161" s="759" t="s">
        <v>3779</v>
      </c>
      <c r="R161" s="761">
        <v>45307.66805555556</v>
      </c>
      <c r="S161" s="759" t="s">
        <v>3950</v>
      </c>
      <c r="T161" s="760">
        <v>22.0</v>
      </c>
      <c r="U161" s="761">
        <v>45311.0</v>
      </c>
      <c r="V161" s="761">
        <v>45311.311111111114</v>
      </c>
      <c r="W161" s="759" t="s">
        <v>3662</v>
      </c>
    </row>
    <row r="162" ht="15.75" customHeight="1">
      <c r="A162" s="759" t="s">
        <v>3387</v>
      </c>
      <c r="B162" s="759" t="s">
        <v>3387</v>
      </c>
      <c r="C162" s="760">
        <v>5.2330402E7</v>
      </c>
      <c r="D162" s="760">
        <v>1.000636947E9</v>
      </c>
      <c r="E162" s="759" t="s">
        <v>3652</v>
      </c>
      <c r="F162" s="759"/>
      <c r="G162" s="759" t="s">
        <v>3749</v>
      </c>
      <c r="H162" s="759" t="s">
        <v>3927</v>
      </c>
      <c r="I162" s="759" t="s">
        <v>3655</v>
      </c>
      <c r="J162" s="759" t="s">
        <v>3656</v>
      </c>
      <c r="K162" s="759" t="s">
        <v>3657</v>
      </c>
      <c r="L162" s="759" t="s">
        <v>35</v>
      </c>
      <c r="M162" s="759" t="s">
        <v>3928</v>
      </c>
      <c r="N162" s="759" t="s">
        <v>3929</v>
      </c>
      <c r="O162" s="759" t="s">
        <v>3930</v>
      </c>
      <c r="P162" s="761">
        <v>45307.72638888889</v>
      </c>
      <c r="Q162" s="759" t="s">
        <v>3931</v>
      </c>
      <c r="R162" s="761">
        <v>45307.768055555556</v>
      </c>
      <c r="S162" s="759" t="s">
        <v>3746</v>
      </c>
      <c r="T162" s="760">
        <v>26.0</v>
      </c>
      <c r="U162" s="761">
        <v>45311.0</v>
      </c>
      <c r="V162" s="761">
        <v>45311.83194444444</v>
      </c>
      <c r="W162" s="759" t="s">
        <v>3662</v>
      </c>
    </row>
    <row r="163" ht="15.75" hidden="1" customHeight="1">
      <c r="A163" s="759" t="s">
        <v>3389</v>
      </c>
      <c r="B163" s="763" t="s">
        <v>3395</v>
      </c>
      <c r="C163" s="760">
        <v>5.2445441E7</v>
      </c>
      <c r="D163" s="760">
        <v>1.000638864E9</v>
      </c>
      <c r="E163" s="759" t="s">
        <v>3652</v>
      </c>
      <c r="F163" s="759"/>
      <c r="G163" s="759" t="s">
        <v>3653</v>
      </c>
      <c r="H163" s="759" t="s">
        <v>3756</v>
      </c>
      <c r="I163" s="759" t="s">
        <v>3674</v>
      </c>
      <c r="J163" s="759" t="s">
        <v>3656</v>
      </c>
      <c r="K163" s="759" t="s">
        <v>3657</v>
      </c>
      <c r="L163" s="759" t="s">
        <v>35</v>
      </c>
      <c r="M163" s="759" t="s">
        <v>3757</v>
      </c>
      <c r="N163" s="759" t="s">
        <v>3659</v>
      </c>
      <c r="O163" s="759" t="s">
        <v>138</v>
      </c>
      <c r="P163" s="761">
        <v>45308.415972222225</v>
      </c>
      <c r="Q163" s="759" t="s">
        <v>3758</v>
      </c>
      <c r="R163" s="761">
        <v>45308.45763888889</v>
      </c>
      <c r="S163" s="759" t="s">
        <v>3785</v>
      </c>
      <c r="T163" s="760">
        <v>26.0</v>
      </c>
      <c r="U163" s="761">
        <v>45311.0</v>
      </c>
      <c r="V163" s="761">
        <v>45311.39375</v>
      </c>
      <c r="W163" s="759" t="s">
        <v>3662</v>
      </c>
    </row>
    <row r="164" ht="15.75" hidden="1" customHeight="1">
      <c r="A164" s="759" t="s">
        <v>3389</v>
      </c>
      <c r="B164" s="763" t="s">
        <v>3395</v>
      </c>
      <c r="C164" s="760">
        <v>5.2442018E7</v>
      </c>
      <c r="D164" s="760">
        <v>1.000638879E9</v>
      </c>
      <c r="E164" s="759" t="s">
        <v>3652</v>
      </c>
      <c r="F164" s="759"/>
      <c r="G164" s="759" t="s">
        <v>3653</v>
      </c>
      <c r="H164" s="759" t="s">
        <v>3756</v>
      </c>
      <c r="I164" s="759" t="s">
        <v>3674</v>
      </c>
      <c r="J164" s="759" t="s">
        <v>3656</v>
      </c>
      <c r="K164" s="759" t="s">
        <v>3657</v>
      </c>
      <c r="L164" s="759" t="s">
        <v>35</v>
      </c>
      <c r="M164" s="759" t="s">
        <v>3757</v>
      </c>
      <c r="N164" s="759" t="s">
        <v>3659</v>
      </c>
      <c r="O164" s="759" t="s">
        <v>138</v>
      </c>
      <c r="P164" s="761">
        <v>45308.40694444445</v>
      </c>
      <c r="Q164" s="759" t="s">
        <v>3758</v>
      </c>
      <c r="R164" s="761">
        <v>45308.44861111111</v>
      </c>
      <c r="S164" s="759" t="s">
        <v>3785</v>
      </c>
      <c r="T164" s="760">
        <v>26.0</v>
      </c>
      <c r="U164" s="761">
        <v>45311.0</v>
      </c>
      <c r="V164" s="761">
        <v>45311.39375</v>
      </c>
      <c r="W164" s="759" t="s">
        <v>3662</v>
      </c>
    </row>
    <row r="165" ht="15.75" hidden="1" customHeight="1">
      <c r="A165" s="759" t="s">
        <v>3389</v>
      </c>
      <c r="B165" s="759" t="s">
        <v>3395</v>
      </c>
      <c r="C165" s="760">
        <v>5.2500527E7</v>
      </c>
      <c r="D165" s="760">
        <v>1.000640324E9</v>
      </c>
      <c r="E165" s="759" t="s">
        <v>3652</v>
      </c>
      <c r="F165" s="760">
        <v>4.503355608E9</v>
      </c>
      <c r="G165" s="759" t="s">
        <v>3653</v>
      </c>
      <c r="H165" s="762">
        <v>446997.0</v>
      </c>
      <c r="I165" s="759" t="s">
        <v>3674</v>
      </c>
      <c r="J165" s="759" t="s">
        <v>3656</v>
      </c>
      <c r="K165" s="759" t="s">
        <v>3657</v>
      </c>
      <c r="L165" s="759" t="s">
        <v>35</v>
      </c>
      <c r="M165" s="759" t="s">
        <v>3672</v>
      </c>
      <c r="N165" s="759" t="s">
        <v>3659</v>
      </c>
      <c r="O165" s="759" t="s">
        <v>63</v>
      </c>
      <c r="P165" s="761">
        <v>45308.58125</v>
      </c>
      <c r="Q165" s="759" t="s">
        <v>3673</v>
      </c>
      <c r="R165" s="761">
        <v>45308.62291666667</v>
      </c>
      <c r="S165" s="759" t="s">
        <v>3951</v>
      </c>
      <c r="T165" s="760">
        <v>26.0</v>
      </c>
      <c r="U165" s="761">
        <v>45311.0</v>
      </c>
      <c r="V165" s="761">
        <v>45311.254166666666</v>
      </c>
      <c r="W165" s="759" t="s">
        <v>3662</v>
      </c>
    </row>
    <row r="166" ht="15.75" hidden="1" customHeight="1">
      <c r="A166" s="759" t="s">
        <v>3389</v>
      </c>
      <c r="B166" s="759" t="s">
        <v>3390</v>
      </c>
      <c r="C166" s="760">
        <v>5.2534676E7</v>
      </c>
      <c r="D166" s="760">
        <v>1.000640539E9</v>
      </c>
      <c r="E166" s="759" t="s">
        <v>3652</v>
      </c>
      <c r="F166" s="759"/>
      <c r="G166" s="759" t="s">
        <v>3749</v>
      </c>
      <c r="H166" s="759" t="s">
        <v>3952</v>
      </c>
      <c r="I166" s="759" t="s">
        <v>3674</v>
      </c>
      <c r="J166" s="759" t="s">
        <v>3656</v>
      </c>
      <c r="K166" s="759" t="s">
        <v>3657</v>
      </c>
      <c r="L166" s="759" t="s">
        <v>35</v>
      </c>
      <c r="M166" s="759" t="s">
        <v>3953</v>
      </c>
      <c r="N166" s="759" t="s">
        <v>3954</v>
      </c>
      <c r="O166" s="759" t="s">
        <v>3955</v>
      </c>
      <c r="P166" s="761">
        <v>45308.73541666667</v>
      </c>
      <c r="Q166" s="759" t="s">
        <v>3956</v>
      </c>
      <c r="R166" s="761">
        <v>45308.777083333334</v>
      </c>
      <c r="S166" s="759" t="s">
        <v>3957</v>
      </c>
      <c r="T166" s="760">
        <v>19.0</v>
      </c>
      <c r="U166" s="761">
        <v>45311.0</v>
      </c>
      <c r="V166" s="761">
        <v>45311.73402777778</v>
      </c>
      <c r="W166" s="759" t="s">
        <v>3662</v>
      </c>
    </row>
    <row r="167" ht="15.75" customHeight="1">
      <c r="A167" s="759" t="s">
        <v>3387</v>
      </c>
      <c r="B167" s="759" t="s">
        <v>3387</v>
      </c>
      <c r="C167" s="760">
        <v>5.2853947E7</v>
      </c>
      <c r="D167" s="760">
        <v>1.000643767E9</v>
      </c>
      <c r="E167" s="759" t="s">
        <v>3652</v>
      </c>
      <c r="F167" s="759"/>
      <c r="G167" s="759" t="s">
        <v>3749</v>
      </c>
      <c r="H167" s="759" t="s">
        <v>3958</v>
      </c>
      <c r="I167" s="759" t="s">
        <v>3655</v>
      </c>
      <c r="J167" s="759" t="s">
        <v>3656</v>
      </c>
      <c r="K167" s="759" t="s">
        <v>3657</v>
      </c>
      <c r="L167" s="759" t="s">
        <v>35</v>
      </c>
      <c r="M167" s="759" t="s">
        <v>3959</v>
      </c>
      <c r="N167" s="759" t="s">
        <v>2049</v>
      </c>
      <c r="O167" s="759" t="s">
        <v>320</v>
      </c>
      <c r="P167" s="761">
        <v>45310.467361111114</v>
      </c>
      <c r="Q167" s="759" t="s">
        <v>3960</v>
      </c>
      <c r="R167" s="761">
        <v>45310.50902777778</v>
      </c>
      <c r="S167" s="759" t="s">
        <v>3961</v>
      </c>
      <c r="T167" s="760">
        <v>21.0</v>
      </c>
      <c r="U167" s="761">
        <v>45311.0</v>
      </c>
      <c r="V167" s="761">
        <v>45311.478472222225</v>
      </c>
      <c r="W167" s="759" t="s">
        <v>3662</v>
      </c>
    </row>
    <row r="168" ht="15.75" customHeight="1">
      <c r="A168" s="759" t="s">
        <v>3387</v>
      </c>
      <c r="B168" s="759" t="s">
        <v>3387</v>
      </c>
      <c r="C168" s="760">
        <v>5.23304E7</v>
      </c>
      <c r="D168" s="760">
        <v>1.000635094E9</v>
      </c>
      <c r="E168" s="759" t="s">
        <v>3652</v>
      </c>
      <c r="F168" s="759"/>
      <c r="G168" s="759" t="s">
        <v>3749</v>
      </c>
      <c r="H168" s="759" t="s">
        <v>3917</v>
      </c>
      <c r="I168" s="759" t="s">
        <v>3655</v>
      </c>
      <c r="J168" s="759" t="s">
        <v>3656</v>
      </c>
      <c r="K168" s="759" t="s">
        <v>3657</v>
      </c>
      <c r="L168" s="759" t="s">
        <v>35</v>
      </c>
      <c r="M168" s="759" t="s">
        <v>3918</v>
      </c>
      <c r="N168" s="759" t="s">
        <v>2117</v>
      </c>
      <c r="O168" s="759" t="s">
        <v>2119</v>
      </c>
      <c r="P168" s="761">
        <v>45307.72638888889</v>
      </c>
      <c r="Q168" s="759" t="s">
        <v>3919</v>
      </c>
      <c r="R168" s="761">
        <v>45307.768055555556</v>
      </c>
      <c r="S168" s="759" t="s">
        <v>3746</v>
      </c>
      <c r="T168" s="760">
        <v>26.0</v>
      </c>
      <c r="U168" s="761">
        <v>45313.0</v>
      </c>
      <c r="V168" s="761">
        <v>45313.97777777778</v>
      </c>
      <c r="W168" s="759" t="s">
        <v>3662</v>
      </c>
    </row>
    <row r="169" ht="15.75" customHeight="1">
      <c r="A169" s="759" t="s">
        <v>3387</v>
      </c>
      <c r="B169" s="759" t="s">
        <v>3387</v>
      </c>
      <c r="C169" s="760">
        <v>5.2330415E7</v>
      </c>
      <c r="D169" s="760">
        <v>1.000635107E9</v>
      </c>
      <c r="E169" s="759" t="s">
        <v>3652</v>
      </c>
      <c r="F169" s="759"/>
      <c r="G169" s="759" t="s">
        <v>3749</v>
      </c>
      <c r="H169" s="759" t="s">
        <v>3917</v>
      </c>
      <c r="I169" s="759" t="s">
        <v>3655</v>
      </c>
      <c r="J169" s="759" t="s">
        <v>3656</v>
      </c>
      <c r="K169" s="759" t="s">
        <v>3657</v>
      </c>
      <c r="L169" s="759" t="s">
        <v>35</v>
      </c>
      <c r="M169" s="759" t="s">
        <v>3918</v>
      </c>
      <c r="N169" s="759" t="s">
        <v>2117</v>
      </c>
      <c r="O169" s="759" t="s">
        <v>2119</v>
      </c>
      <c r="P169" s="761">
        <v>45307.72638888889</v>
      </c>
      <c r="Q169" s="759" t="s">
        <v>3919</v>
      </c>
      <c r="R169" s="761">
        <v>45307.768055555556</v>
      </c>
      <c r="S169" s="759" t="s">
        <v>3746</v>
      </c>
      <c r="T169" s="760">
        <v>26.0</v>
      </c>
      <c r="U169" s="761">
        <v>45313.0</v>
      </c>
      <c r="V169" s="761">
        <v>45313.97777777778</v>
      </c>
      <c r="W169" s="759" t="s">
        <v>3662</v>
      </c>
    </row>
    <row r="170" ht="15.75" customHeight="1">
      <c r="A170" s="759" t="s">
        <v>3387</v>
      </c>
      <c r="B170" s="759" t="s">
        <v>3387</v>
      </c>
      <c r="C170" s="760">
        <v>5.2330403E7</v>
      </c>
      <c r="D170" s="760">
        <v>1.000635159E9</v>
      </c>
      <c r="E170" s="759" t="s">
        <v>3652</v>
      </c>
      <c r="F170" s="759"/>
      <c r="G170" s="759" t="s">
        <v>3749</v>
      </c>
      <c r="H170" s="759" t="s">
        <v>3917</v>
      </c>
      <c r="I170" s="759" t="s">
        <v>3655</v>
      </c>
      <c r="J170" s="759" t="s">
        <v>3656</v>
      </c>
      <c r="K170" s="759" t="s">
        <v>3657</v>
      </c>
      <c r="L170" s="759" t="s">
        <v>35</v>
      </c>
      <c r="M170" s="759" t="s">
        <v>3918</v>
      </c>
      <c r="N170" s="759" t="s">
        <v>2117</v>
      </c>
      <c r="O170" s="759" t="s">
        <v>2119</v>
      </c>
      <c r="P170" s="761">
        <v>45307.72638888889</v>
      </c>
      <c r="Q170" s="759" t="s">
        <v>3919</v>
      </c>
      <c r="R170" s="761">
        <v>45307.768055555556</v>
      </c>
      <c r="S170" s="759" t="s">
        <v>3746</v>
      </c>
      <c r="T170" s="760">
        <v>26.0</v>
      </c>
      <c r="U170" s="761">
        <v>45313.0</v>
      </c>
      <c r="V170" s="761">
        <v>45313.97777777778</v>
      </c>
      <c r="W170" s="759" t="s">
        <v>3662</v>
      </c>
    </row>
    <row r="171" ht="15.75" customHeight="1">
      <c r="A171" s="759" t="s">
        <v>3387</v>
      </c>
      <c r="B171" s="759" t="s">
        <v>3387</v>
      </c>
      <c r="C171" s="760">
        <v>5.308838E7</v>
      </c>
      <c r="D171" s="760">
        <v>1.000635186E9</v>
      </c>
      <c r="E171" s="759" t="s">
        <v>3652</v>
      </c>
      <c r="F171" s="759"/>
      <c r="G171" s="759" t="s">
        <v>3749</v>
      </c>
      <c r="H171" s="759" t="s">
        <v>3962</v>
      </c>
      <c r="I171" s="759" t="s">
        <v>3655</v>
      </c>
      <c r="J171" s="759" t="s">
        <v>3656</v>
      </c>
      <c r="K171" s="759" t="s">
        <v>3657</v>
      </c>
      <c r="L171" s="759" t="s">
        <v>35</v>
      </c>
      <c r="M171" s="759" t="s">
        <v>3963</v>
      </c>
      <c r="N171" s="759" t="s">
        <v>1914</v>
      </c>
      <c r="O171" s="759" t="s">
        <v>270</v>
      </c>
      <c r="P171" s="761">
        <v>45313.404861111114</v>
      </c>
      <c r="Q171" s="759" t="s">
        <v>3964</v>
      </c>
      <c r="R171" s="761">
        <v>45313.44652777778</v>
      </c>
      <c r="S171" s="759" t="s">
        <v>3663</v>
      </c>
      <c r="T171" s="760">
        <v>26.0</v>
      </c>
      <c r="U171" s="761">
        <v>45313.0</v>
      </c>
      <c r="V171" s="761">
        <v>45313.50486111111</v>
      </c>
      <c r="W171" s="759" t="s">
        <v>3662</v>
      </c>
    </row>
    <row r="172" ht="15.75" hidden="1" customHeight="1">
      <c r="A172" s="759" t="s">
        <v>3389</v>
      </c>
      <c r="B172" s="763" t="s">
        <v>3395</v>
      </c>
      <c r="C172" s="760">
        <v>5.2225491E7</v>
      </c>
      <c r="D172" s="760">
        <v>1.000635622E9</v>
      </c>
      <c r="E172" s="759" t="s">
        <v>3652</v>
      </c>
      <c r="F172" s="759"/>
      <c r="G172" s="759" t="s">
        <v>3653</v>
      </c>
      <c r="H172" s="759" t="s">
        <v>3965</v>
      </c>
      <c r="I172" s="759" t="s">
        <v>3674</v>
      </c>
      <c r="J172" s="759" t="s">
        <v>3656</v>
      </c>
      <c r="K172" s="759" t="s">
        <v>3657</v>
      </c>
      <c r="L172" s="759" t="s">
        <v>35</v>
      </c>
      <c r="M172" s="759" t="s">
        <v>3744</v>
      </c>
      <c r="N172" s="759" t="s">
        <v>1889</v>
      </c>
      <c r="O172" s="759" t="s">
        <v>93</v>
      </c>
      <c r="P172" s="761">
        <v>45307.38263888889</v>
      </c>
      <c r="Q172" s="759" t="s">
        <v>3745</v>
      </c>
      <c r="R172" s="761">
        <v>45307.424305555556</v>
      </c>
      <c r="S172" s="759" t="s">
        <v>3661</v>
      </c>
      <c r="T172" s="760">
        <v>26.0</v>
      </c>
      <c r="U172" s="761">
        <v>45313.0</v>
      </c>
      <c r="V172" s="761">
        <v>45313.569444444445</v>
      </c>
      <c r="W172" s="759" t="s">
        <v>3662</v>
      </c>
    </row>
    <row r="173" ht="15.75" hidden="1" customHeight="1">
      <c r="A173" s="759" t="s">
        <v>3389</v>
      </c>
      <c r="B173" s="763" t="s">
        <v>3395</v>
      </c>
      <c r="C173" s="760">
        <v>5.2220321E7</v>
      </c>
      <c r="D173" s="760">
        <v>1.000635624E9</v>
      </c>
      <c r="E173" s="759" t="s">
        <v>3652</v>
      </c>
      <c r="F173" s="759"/>
      <c r="G173" s="759" t="s">
        <v>3653</v>
      </c>
      <c r="H173" s="759" t="s">
        <v>3966</v>
      </c>
      <c r="I173" s="759" t="s">
        <v>3674</v>
      </c>
      <c r="J173" s="759" t="s">
        <v>3656</v>
      </c>
      <c r="K173" s="759" t="s">
        <v>3657</v>
      </c>
      <c r="L173" s="759" t="s">
        <v>35</v>
      </c>
      <c r="M173" s="759" t="s">
        <v>3967</v>
      </c>
      <c r="N173" s="759" t="s">
        <v>2024</v>
      </c>
      <c r="O173" s="759" t="s">
        <v>126</v>
      </c>
      <c r="P173" s="761">
        <v>45307.370833333334</v>
      </c>
      <c r="Q173" s="759" t="s">
        <v>3968</v>
      </c>
      <c r="R173" s="761">
        <v>45307.4125</v>
      </c>
      <c r="S173" s="759" t="s">
        <v>3742</v>
      </c>
      <c r="T173" s="760">
        <v>28.0</v>
      </c>
      <c r="U173" s="761">
        <v>45313.0</v>
      </c>
      <c r="V173" s="761">
        <v>45313.279861111114</v>
      </c>
      <c r="W173" s="759" t="s">
        <v>3662</v>
      </c>
    </row>
    <row r="174" ht="15.75" hidden="1" customHeight="1">
      <c r="A174" s="759" t="s">
        <v>3389</v>
      </c>
      <c r="B174" s="763" t="s">
        <v>3395</v>
      </c>
      <c r="C174" s="760">
        <v>5.2225484E7</v>
      </c>
      <c r="D174" s="760">
        <v>1.000635628E9</v>
      </c>
      <c r="E174" s="759" t="s">
        <v>3652</v>
      </c>
      <c r="F174" s="759"/>
      <c r="G174" s="759" t="s">
        <v>3653</v>
      </c>
      <c r="H174" s="759" t="s">
        <v>3969</v>
      </c>
      <c r="I174" s="759" t="s">
        <v>3674</v>
      </c>
      <c r="J174" s="759" t="s">
        <v>3656</v>
      </c>
      <c r="K174" s="759" t="s">
        <v>3657</v>
      </c>
      <c r="L174" s="759" t="s">
        <v>35</v>
      </c>
      <c r="M174" s="759" t="s">
        <v>3744</v>
      </c>
      <c r="N174" s="759" t="s">
        <v>1889</v>
      </c>
      <c r="O174" s="759" t="s">
        <v>93</v>
      </c>
      <c r="P174" s="761">
        <v>45307.38263888889</v>
      </c>
      <c r="Q174" s="759" t="s">
        <v>3745</v>
      </c>
      <c r="R174" s="761">
        <v>45307.424305555556</v>
      </c>
      <c r="S174" s="759" t="s">
        <v>3661</v>
      </c>
      <c r="T174" s="760">
        <v>26.0</v>
      </c>
      <c r="U174" s="761">
        <v>45313.0</v>
      </c>
      <c r="V174" s="761">
        <v>45313.569444444445</v>
      </c>
      <c r="W174" s="759" t="s">
        <v>3662</v>
      </c>
    </row>
    <row r="175" ht="15.75" hidden="1" customHeight="1">
      <c r="A175" s="759" t="s">
        <v>3389</v>
      </c>
      <c r="B175" s="763" t="s">
        <v>3395</v>
      </c>
      <c r="C175" s="760">
        <v>5.2225489E7</v>
      </c>
      <c r="D175" s="760">
        <v>1.000635646E9</v>
      </c>
      <c r="E175" s="759" t="s">
        <v>3652</v>
      </c>
      <c r="F175" s="759"/>
      <c r="G175" s="759" t="s">
        <v>3653</v>
      </c>
      <c r="H175" s="759" t="s">
        <v>3969</v>
      </c>
      <c r="I175" s="759" t="s">
        <v>3674</v>
      </c>
      <c r="J175" s="759" t="s">
        <v>3656</v>
      </c>
      <c r="K175" s="759" t="s">
        <v>3657</v>
      </c>
      <c r="L175" s="759" t="s">
        <v>35</v>
      </c>
      <c r="M175" s="759" t="s">
        <v>3744</v>
      </c>
      <c r="N175" s="759" t="s">
        <v>1889</v>
      </c>
      <c r="O175" s="759" t="s">
        <v>93</v>
      </c>
      <c r="P175" s="761">
        <v>45307.38263888889</v>
      </c>
      <c r="Q175" s="759" t="s">
        <v>3745</v>
      </c>
      <c r="R175" s="761">
        <v>45307.424305555556</v>
      </c>
      <c r="S175" s="759" t="s">
        <v>3661</v>
      </c>
      <c r="T175" s="760">
        <v>26.0</v>
      </c>
      <c r="U175" s="761">
        <v>45313.0</v>
      </c>
      <c r="V175" s="761">
        <v>45313.569444444445</v>
      </c>
      <c r="W175" s="759" t="s">
        <v>3662</v>
      </c>
    </row>
    <row r="176" ht="15.75" customHeight="1">
      <c r="A176" s="759" t="s">
        <v>3387</v>
      </c>
      <c r="B176" s="759" t="s">
        <v>3387</v>
      </c>
      <c r="C176" s="760">
        <v>5.3093375E7</v>
      </c>
      <c r="D176" s="760">
        <v>1.000635657E9</v>
      </c>
      <c r="E176" s="759" t="s">
        <v>3652</v>
      </c>
      <c r="F176" s="759"/>
      <c r="G176" s="759" t="s">
        <v>3653</v>
      </c>
      <c r="H176" s="759" t="s">
        <v>3970</v>
      </c>
      <c r="I176" s="759" t="s">
        <v>3655</v>
      </c>
      <c r="J176" s="759" t="s">
        <v>3656</v>
      </c>
      <c r="K176" s="759" t="s">
        <v>3657</v>
      </c>
      <c r="L176" s="759" t="s">
        <v>35</v>
      </c>
      <c r="M176" s="759" t="s">
        <v>3971</v>
      </c>
      <c r="N176" s="759" t="s">
        <v>3708</v>
      </c>
      <c r="O176" s="759" t="s">
        <v>3972</v>
      </c>
      <c r="P176" s="761">
        <v>45313.416666666664</v>
      </c>
      <c r="Q176" s="759" t="s">
        <v>3973</v>
      </c>
      <c r="R176" s="761">
        <v>45313.458333333336</v>
      </c>
      <c r="S176" s="759" t="s">
        <v>3681</v>
      </c>
      <c r="T176" s="760">
        <v>26.0</v>
      </c>
      <c r="U176" s="761">
        <v>45313.0</v>
      </c>
      <c r="V176" s="761">
        <v>45313.48125</v>
      </c>
      <c r="W176" s="759" t="s">
        <v>3662</v>
      </c>
    </row>
    <row r="177" ht="15.75" customHeight="1">
      <c r="A177" s="759" t="s">
        <v>3387</v>
      </c>
      <c r="B177" s="759" t="s">
        <v>3387</v>
      </c>
      <c r="C177" s="760">
        <v>5.3093376E7</v>
      </c>
      <c r="D177" s="760">
        <v>1.000635658E9</v>
      </c>
      <c r="E177" s="759" t="s">
        <v>3652</v>
      </c>
      <c r="F177" s="759"/>
      <c r="G177" s="759" t="s">
        <v>3653</v>
      </c>
      <c r="H177" s="759" t="s">
        <v>3970</v>
      </c>
      <c r="I177" s="759" t="s">
        <v>3655</v>
      </c>
      <c r="J177" s="759" t="s">
        <v>3656</v>
      </c>
      <c r="K177" s="759" t="s">
        <v>3657</v>
      </c>
      <c r="L177" s="759" t="s">
        <v>35</v>
      </c>
      <c r="M177" s="759" t="s">
        <v>3971</v>
      </c>
      <c r="N177" s="759" t="s">
        <v>3708</v>
      </c>
      <c r="O177" s="759" t="s">
        <v>3972</v>
      </c>
      <c r="P177" s="761">
        <v>45313.416666666664</v>
      </c>
      <c r="Q177" s="759" t="s">
        <v>3973</v>
      </c>
      <c r="R177" s="761">
        <v>45313.458333333336</v>
      </c>
      <c r="S177" s="759" t="s">
        <v>3681</v>
      </c>
      <c r="T177" s="760">
        <v>26.0</v>
      </c>
      <c r="U177" s="761">
        <v>45313.0</v>
      </c>
      <c r="V177" s="761">
        <v>45313.48125</v>
      </c>
      <c r="W177" s="759" t="s">
        <v>3662</v>
      </c>
    </row>
    <row r="178" ht="15.75" customHeight="1">
      <c r="A178" s="759" t="s">
        <v>3387</v>
      </c>
      <c r="B178" s="759" t="s">
        <v>3387</v>
      </c>
      <c r="C178" s="760">
        <v>5.2235348E7</v>
      </c>
      <c r="D178" s="760">
        <v>1.000635662E9</v>
      </c>
      <c r="E178" s="759" t="s">
        <v>3652</v>
      </c>
      <c r="F178" s="759"/>
      <c r="G178" s="759" t="s">
        <v>3653</v>
      </c>
      <c r="H178" s="759" t="s">
        <v>3703</v>
      </c>
      <c r="I178" s="759" t="s">
        <v>3655</v>
      </c>
      <c r="J178" s="759" t="s">
        <v>3656</v>
      </c>
      <c r="K178" s="759" t="s">
        <v>3657</v>
      </c>
      <c r="L178" s="759" t="s">
        <v>35</v>
      </c>
      <c r="M178" s="759" t="s">
        <v>3704</v>
      </c>
      <c r="N178" s="759" t="s">
        <v>3679</v>
      </c>
      <c r="O178" s="759" t="s">
        <v>194</v>
      </c>
      <c r="P178" s="761">
        <v>45307.40902777778</v>
      </c>
      <c r="Q178" s="759" t="s">
        <v>3705</v>
      </c>
      <c r="R178" s="761">
        <v>45307.450694444444</v>
      </c>
      <c r="S178" s="759" t="s">
        <v>3681</v>
      </c>
      <c r="T178" s="760">
        <v>26.0</v>
      </c>
      <c r="U178" s="761">
        <v>45313.0</v>
      </c>
      <c r="V178" s="761">
        <v>45313.245833333334</v>
      </c>
      <c r="W178" s="759" t="s">
        <v>3662</v>
      </c>
    </row>
    <row r="179" ht="15.75" customHeight="1">
      <c r="A179" s="759" t="s">
        <v>3387</v>
      </c>
      <c r="B179" s="759" t="s">
        <v>3387</v>
      </c>
      <c r="C179" s="760">
        <v>5.3093374E7</v>
      </c>
      <c r="D179" s="760">
        <v>1.000635677E9</v>
      </c>
      <c r="E179" s="759" t="s">
        <v>3652</v>
      </c>
      <c r="F179" s="759"/>
      <c r="G179" s="759" t="s">
        <v>3653</v>
      </c>
      <c r="H179" s="759" t="s">
        <v>3970</v>
      </c>
      <c r="I179" s="759" t="s">
        <v>3655</v>
      </c>
      <c r="J179" s="759" t="s">
        <v>3656</v>
      </c>
      <c r="K179" s="759" t="s">
        <v>3657</v>
      </c>
      <c r="L179" s="759" t="s">
        <v>35</v>
      </c>
      <c r="M179" s="759" t="s">
        <v>3971</v>
      </c>
      <c r="N179" s="759" t="s">
        <v>3708</v>
      </c>
      <c r="O179" s="759" t="s">
        <v>3972</v>
      </c>
      <c r="P179" s="761">
        <v>45313.416666666664</v>
      </c>
      <c r="Q179" s="759" t="s">
        <v>3973</v>
      </c>
      <c r="R179" s="761">
        <v>45313.458333333336</v>
      </c>
      <c r="S179" s="759" t="s">
        <v>3681</v>
      </c>
      <c r="T179" s="760">
        <v>26.0</v>
      </c>
      <c r="U179" s="761">
        <v>45313.0</v>
      </c>
      <c r="V179" s="761">
        <v>45313.48125</v>
      </c>
      <c r="W179" s="759" t="s">
        <v>3662</v>
      </c>
    </row>
    <row r="180" ht="15.75" customHeight="1">
      <c r="A180" s="759" t="s">
        <v>3387</v>
      </c>
      <c r="B180" s="759" t="s">
        <v>3387</v>
      </c>
      <c r="C180" s="760">
        <v>5.2235347E7</v>
      </c>
      <c r="D180" s="760">
        <v>1.000635693E9</v>
      </c>
      <c r="E180" s="759" t="s">
        <v>3652</v>
      </c>
      <c r="F180" s="759"/>
      <c r="G180" s="759" t="s">
        <v>3653</v>
      </c>
      <c r="H180" s="759" t="s">
        <v>3703</v>
      </c>
      <c r="I180" s="759" t="s">
        <v>3655</v>
      </c>
      <c r="J180" s="759" t="s">
        <v>3656</v>
      </c>
      <c r="K180" s="759" t="s">
        <v>3657</v>
      </c>
      <c r="L180" s="759" t="s">
        <v>35</v>
      </c>
      <c r="M180" s="759" t="s">
        <v>3704</v>
      </c>
      <c r="N180" s="759" t="s">
        <v>3679</v>
      </c>
      <c r="O180" s="759" t="s">
        <v>194</v>
      </c>
      <c r="P180" s="761">
        <v>45307.40902777778</v>
      </c>
      <c r="Q180" s="759" t="s">
        <v>3705</v>
      </c>
      <c r="R180" s="761">
        <v>45307.450694444444</v>
      </c>
      <c r="S180" s="759" t="s">
        <v>3681</v>
      </c>
      <c r="T180" s="760">
        <v>26.0</v>
      </c>
      <c r="U180" s="761">
        <v>45313.0</v>
      </c>
      <c r="V180" s="761">
        <v>45313.245833333334</v>
      </c>
      <c r="W180" s="759" t="s">
        <v>3662</v>
      </c>
    </row>
    <row r="181" ht="15.75" hidden="1" customHeight="1">
      <c r="A181" s="759" t="s">
        <v>3389</v>
      </c>
      <c r="B181" s="763" t="s">
        <v>3395</v>
      </c>
      <c r="C181" s="760">
        <v>5.2220229E7</v>
      </c>
      <c r="D181" s="760">
        <v>1.000635718E9</v>
      </c>
      <c r="E181" s="759" t="s">
        <v>3652</v>
      </c>
      <c r="F181" s="759"/>
      <c r="G181" s="759" t="s">
        <v>3653</v>
      </c>
      <c r="H181" s="759" t="s">
        <v>3966</v>
      </c>
      <c r="I181" s="759" t="s">
        <v>3674</v>
      </c>
      <c r="J181" s="759" t="s">
        <v>3656</v>
      </c>
      <c r="K181" s="759" t="s">
        <v>3657</v>
      </c>
      <c r="L181" s="759" t="s">
        <v>35</v>
      </c>
      <c r="M181" s="759" t="s">
        <v>3967</v>
      </c>
      <c r="N181" s="759" t="s">
        <v>2024</v>
      </c>
      <c r="O181" s="759" t="s">
        <v>126</v>
      </c>
      <c r="P181" s="761">
        <v>45307.370833333334</v>
      </c>
      <c r="Q181" s="759" t="s">
        <v>3968</v>
      </c>
      <c r="R181" s="761">
        <v>45307.4125</v>
      </c>
      <c r="S181" s="759" t="s">
        <v>3742</v>
      </c>
      <c r="T181" s="760">
        <v>28.0</v>
      </c>
      <c r="U181" s="761">
        <v>45313.0</v>
      </c>
      <c r="V181" s="761">
        <v>45313.279861111114</v>
      </c>
      <c r="W181" s="759" t="s">
        <v>3662</v>
      </c>
    </row>
    <row r="182" ht="15.75" customHeight="1">
      <c r="A182" s="759" t="s">
        <v>3387</v>
      </c>
      <c r="B182" s="759" t="s">
        <v>3387</v>
      </c>
      <c r="C182" s="760">
        <v>5.3104909E7</v>
      </c>
      <c r="D182" s="760">
        <v>1.000635724E9</v>
      </c>
      <c r="E182" s="759" t="s">
        <v>3652</v>
      </c>
      <c r="F182" s="759"/>
      <c r="G182" s="759" t="s">
        <v>3653</v>
      </c>
      <c r="H182" s="759" t="s">
        <v>3974</v>
      </c>
      <c r="I182" s="759" t="s">
        <v>3655</v>
      </c>
      <c r="J182" s="759" t="s">
        <v>3656</v>
      </c>
      <c r="K182" s="759" t="s">
        <v>3657</v>
      </c>
      <c r="L182" s="759" t="s">
        <v>35</v>
      </c>
      <c r="M182" s="759" t="s">
        <v>3704</v>
      </c>
      <c r="N182" s="759" t="s">
        <v>3679</v>
      </c>
      <c r="O182" s="759" t="s">
        <v>194</v>
      </c>
      <c r="P182" s="761">
        <v>45313.44305555556</v>
      </c>
      <c r="Q182" s="759" t="s">
        <v>3705</v>
      </c>
      <c r="R182" s="761">
        <v>45313.48472222222</v>
      </c>
      <c r="S182" s="759" t="s">
        <v>3681</v>
      </c>
      <c r="T182" s="760">
        <v>26.0</v>
      </c>
      <c r="U182" s="761">
        <v>45313.0</v>
      </c>
      <c r="V182" s="761">
        <v>45313.245833333334</v>
      </c>
      <c r="W182" s="759" t="s">
        <v>3662</v>
      </c>
    </row>
    <row r="183" ht="15.75" customHeight="1">
      <c r="A183" s="759" t="s">
        <v>3387</v>
      </c>
      <c r="B183" s="759" t="s">
        <v>3387</v>
      </c>
      <c r="C183" s="760">
        <v>5.2290197E7</v>
      </c>
      <c r="D183" s="760">
        <v>1.000636299E9</v>
      </c>
      <c r="E183" s="759" t="s">
        <v>3652</v>
      </c>
      <c r="F183" s="760">
        <v>4.503355541E9</v>
      </c>
      <c r="G183" s="759" t="s">
        <v>3653</v>
      </c>
      <c r="H183" s="759" t="s">
        <v>3975</v>
      </c>
      <c r="I183" s="759" t="s">
        <v>3655</v>
      </c>
      <c r="J183" s="759" t="s">
        <v>3656</v>
      </c>
      <c r="K183" s="759" t="s">
        <v>3657</v>
      </c>
      <c r="L183" s="759" t="s">
        <v>35</v>
      </c>
      <c r="M183" s="759" t="s">
        <v>3765</v>
      </c>
      <c r="N183" s="759" t="s">
        <v>3659</v>
      </c>
      <c r="O183" s="759" t="s">
        <v>2119</v>
      </c>
      <c r="P183" s="761">
        <v>45307.55763888889</v>
      </c>
      <c r="Q183" s="759" t="s">
        <v>3766</v>
      </c>
      <c r="R183" s="761">
        <v>45307.59930555556</v>
      </c>
      <c r="S183" s="759" t="s">
        <v>3976</v>
      </c>
      <c r="T183" s="760">
        <v>26.0</v>
      </c>
      <c r="U183" s="761">
        <v>45313.0</v>
      </c>
      <c r="V183" s="761">
        <v>45313.978472222225</v>
      </c>
      <c r="W183" s="759" t="s">
        <v>3662</v>
      </c>
    </row>
    <row r="184" ht="15.75" hidden="1" customHeight="1">
      <c r="A184" s="759" t="s">
        <v>3389</v>
      </c>
      <c r="B184" s="759" t="s">
        <v>3394</v>
      </c>
      <c r="C184" s="760">
        <v>5.3182147E7</v>
      </c>
      <c r="D184" s="760">
        <v>1.000636939E9</v>
      </c>
      <c r="E184" s="759" t="s">
        <v>3652</v>
      </c>
      <c r="F184" s="759"/>
      <c r="G184" s="759" t="s">
        <v>3749</v>
      </c>
      <c r="H184" s="759" t="s">
        <v>3977</v>
      </c>
      <c r="I184" s="759" t="s">
        <v>3978</v>
      </c>
      <c r="J184" s="759" t="s">
        <v>3656</v>
      </c>
      <c r="K184" s="759" t="s">
        <v>3657</v>
      </c>
      <c r="L184" s="759" t="s">
        <v>35</v>
      </c>
      <c r="M184" s="759" t="s">
        <v>3979</v>
      </c>
      <c r="N184" s="759" t="s">
        <v>3980</v>
      </c>
      <c r="O184" s="759" t="s">
        <v>3981</v>
      </c>
      <c r="P184" s="761">
        <v>45313.71041666667</v>
      </c>
      <c r="Q184" s="759" t="s">
        <v>3982</v>
      </c>
      <c r="R184" s="761">
        <v>45313.75208333333</v>
      </c>
      <c r="S184" s="759" t="s">
        <v>3661</v>
      </c>
      <c r="T184" s="760">
        <v>26.0</v>
      </c>
      <c r="U184" s="761">
        <v>45313.0</v>
      </c>
      <c r="V184" s="761">
        <v>45313.41180555556</v>
      </c>
      <c r="W184" s="759" t="s">
        <v>3662</v>
      </c>
    </row>
    <row r="185" ht="15.75" hidden="1" customHeight="1">
      <c r="A185" s="759" t="s">
        <v>3389</v>
      </c>
      <c r="B185" s="763" t="s">
        <v>3390</v>
      </c>
      <c r="C185" s="760">
        <v>5.2332574E7</v>
      </c>
      <c r="D185" s="760">
        <v>1.000637426E9</v>
      </c>
      <c r="E185" s="759" t="s">
        <v>3652</v>
      </c>
      <c r="F185" s="760">
        <v>4.50335632E9</v>
      </c>
      <c r="G185" s="759" t="s">
        <v>3653</v>
      </c>
      <c r="H185" s="759" t="s">
        <v>3983</v>
      </c>
      <c r="I185" s="759" t="s">
        <v>3674</v>
      </c>
      <c r="J185" s="759" t="s">
        <v>3656</v>
      </c>
      <c r="K185" s="759" t="s">
        <v>3657</v>
      </c>
      <c r="L185" s="759" t="s">
        <v>35</v>
      </c>
      <c r="M185" s="759" t="s">
        <v>3757</v>
      </c>
      <c r="N185" s="759" t="s">
        <v>3659</v>
      </c>
      <c r="O185" s="759" t="s">
        <v>138</v>
      </c>
      <c r="P185" s="761">
        <v>45307.73819444444</v>
      </c>
      <c r="Q185" s="759" t="s">
        <v>3758</v>
      </c>
      <c r="R185" s="761">
        <v>45307.779861111114</v>
      </c>
      <c r="S185" s="759" t="s">
        <v>3984</v>
      </c>
      <c r="T185" s="760">
        <v>26.0</v>
      </c>
      <c r="U185" s="761">
        <v>45313.0</v>
      </c>
      <c r="V185" s="761">
        <v>45313.39375</v>
      </c>
      <c r="W185" s="759" t="s">
        <v>3662</v>
      </c>
    </row>
    <row r="186" ht="15.75" customHeight="1">
      <c r="A186" s="759" t="s">
        <v>3387</v>
      </c>
      <c r="B186" s="759" t="s">
        <v>3387</v>
      </c>
      <c r="C186" s="760">
        <v>5.3093377E7</v>
      </c>
      <c r="D186" s="760">
        <v>1.000637442E9</v>
      </c>
      <c r="E186" s="759" t="s">
        <v>3652</v>
      </c>
      <c r="F186" s="759"/>
      <c r="G186" s="759" t="s">
        <v>3653</v>
      </c>
      <c r="H186" s="759" t="s">
        <v>3668</v>
      </c>
      <c r="I186" s="759" t="s">
        <v>3655</v>
      </c>
      <c r="J186" s="759" t="s">
        <v>3656</v>
      </c>
      <c r="K186" s="759" t="s">
        <v>3657</v>
      </c>
      <c r="L186" s="759" t="s">
        <v>35</v>
      </c>
      <c r="M186" s="759" t="s">
        <v>3669</v>
      </c>
      <c r="N186" s="759" t="s">
        <v>3659</v>
      </c>
      <c r="O186" s="759" t="s">
        <v>2129</v>
      </c>
      <c r="P186" s="761">
        <v>45313.416666666664</v>
      </c>
      <c r="Q186" s="759" t="s">
        <v>3670</v>
      </c>
      <c r="R186" s="761">
        <v>45313.458333333336</v>
      </c>
      <c r="S186" s="759" t="s">
        <v>3785</v>
      </c>
      <c r="T186" s="760">
        <v>26.0</v>
      </c>
      <c r="U186" s="761">
        <v>45313.0</v>
      </c>
      <c r="V186" s="761">
        <v>45313.415972222225</v>
      </c>
      <c r="W186" s="759" t="s">
        <v>3662</v>
      </c>
    </row>
    <row r="187" ht="15.75" hidden="1" customHeight="1">
      <c r="A187" s="759" t="s">
        <v>3389</v>
      </c>
      <c r="B187" s="763" t="s">
        <v>3390</v>
      </c>
      <c r="C187" s="760">
        <v>5.233797E7</v>
      </c>
      <c r="D187" s="760">
        <v>1.000637464E9</v>
      </c>
      <c r="E187" s="759" t="s">
        <v>3652</v>
      </c>
      <c r="F187" s="759"/>
      <c r="G187" s="759" t="s">
        <v>3653</v>
      </c>
      <c r="H187" s="759" t="s">
        <v>3741</v>
      </c>
      <c r="I187" s="759" t="s">
        <v>3674</v>
      </c>
      <c r="J187" s="759" t="s">
        <v>3656</v>
      </c>
      <c r="K187" s="759" t="s">
        <v>3657</v>
      </c>
      <c r="L187" s="759" t="s">
        <v>35</v>
      </c>
      <c r="M187" s="759" t="s">
        <v>3683</v>
      </c>
      <c r="N187" s="759" t="s">
        <v>3684</v>
      </c>
      <c r="O187" s="759" t="s">
        <v>3685</v>
      </c>
      <c r="P187" s="761">
        <v>45307.759722222225</v>
      </c>
      <c r="Q187" s="759" t="s">
        <v>3686</v>
      </c>
      <c r="R187" s="761">
        <v>45307.80138888889</v>
      </c>
      <c r="S187" s="759" t="s">
        <v>3663</v>
      </c>
      <c r="T187" s="760">
        <v>26.0</v>
      </c>
      <c r="U187" s="761">
        <v>45313.0</v>
      </c>
      <c r="V187" s="761">
        <v>45314.30138888889</v>
      </c>
      <c r="W187" s="759" t="s">
        <v>3662</v>
      </c>
    </row>
    <row r="188" ht="15.75" hidden="1" customHeight="1">
      <c r="A188" s="759" t="s">
        <v>3389</v>
      </c>
      <c r="B188" s="763" t="s">
        <v>3395</v>
      </c>
      <c r="C188" s="760">
        <v>5.2445429E7</v>
      </c>
      <c r="D188" s="760">
        <v>1.000638688E9</v>
      </c>
      <c r="E188" s="759" t="s">
        <v>3652</v>
      </c>
      <c r="F188" s="759"/>
      <c r="G188" s="759" t="s">
        <v>3749</v>
      </c>
      <c r="H188" s="759" t="s">
        <v>3985</v>
      </c>
      <c r="I188" s="759" t="s">
        <v>3674</v>
      </c>
      <c r="J188" s="759" t="s">
        <v>3656</v>
      </c>
      <c r="K188" s="759" t="s">
        <v>3657</v>
      </c>
      <c r="L188" s="759" t="s">
        <v>35</v>
      </c>
      <c r="M188" s="759" t="s">
        <v>3986</v>
      </c>
      <c r="N188" s="759" t="s">
        <v>3987</v>
      </c>
      <c r="O188" s="759" t="s">
        <v>187</v>
      </c>
      <c r="P188" s="761">
        <v>45308.415972222225</v>
      </c>
      <c r="Q188" s="759" t="s">
        <v>3988</v>
      </c>
      <c r="R188" s="761">
        <v>45308.45763888889</v>
      </c>
      <c r="S188" s="759" t="s">
        <v>3661</v>
      </c>
      <c r="T188" s="760">
        <v>26.0</v>
      </c>
      <c r="U188" s="761">
        <v>45313.0</v>
      </c>
      <c r="V188" s="761">
        <v>45313.3125</v>
      </c>
      <c r="W188" s="759" t="s">
        <v>3662</v>
      </c>
    </row>
    <row r="189" ht="15.75" customHeight="1">
      <c r="A189" s="759" t="s">
        <v>3387</v>
      </c>
      <c r="B189" s="759" t="s">
        <v>3387</v>
      </c>
      <c r="C189" s="760">
        <v>5.317163E7</v>
      </c>
      <c r="D189" s="760">
        <v>1.000642138E9</v>
      </c>
      <c r="E189" s="759" t="s">
        <v>3652</v>
      </c>
      <c r="F189" s="759"/>
      <c r="G189" s="759" t="s">
        <v>3653</v>
      </c>
      <c r="H189" s="764">
        <v>1554168.0</v>
      </c>
      <c r="I189" s="759" t="s">
        <v>3655</v>
      </c>
      <c r="J189" s="759" t="s">
        <v>3656</v>
      </c>
      <c r="K189" s="759" t="s">
        <v>3657</v>
      </c>
      <c r="L189" s="759" t="s">
        <v>35</v>
      </c>
      <c r="M189" s="759" t="s">
        <v>3989</v>
      </c>
      <c r="N189" s="759" t="s">
        <v>3659</v>
      </c>
      <c r="O189" s="759" t="s">
        <v>106</v>
      </c>
      <c r="P189" s="761">
        <v>45313.65</v>
      </c>
      <c r="Q189" s="759" t="s">
        <v>3990</v>
      </c>
      <c r="R189" s="761">
        <v>45313.691666666666</v>
      </c>
      <c r="S189" s="759" t="s">
        <v>3661</v>
      </c>
      <c r="T189" s="760">
        <v>26.0</v>
      </c>
      <c r="U189" s="761">
        <v>45313.0</v>
      </c>
      <c r="V189" s="761">
        <v>45313.34652777778</v>
      </c>
      <c r="W189" s="759" t="s">
        <v>3662</v>
      </c>
    </row>
    <row r="190" ht="15.75" customHeight="1">
      <c r="A190" s="759" t="s">
        <v>3387</v>
      </c>
      <c r="B190" s="759" t="s">
        <v>3387</v>
      </c>
      <c r="C190" s="760">
        <v>5.2700874E7</v>
      </c>
      <c r="D190" s="760">
        <v>1.000643227E9</v>
      </c>
      <c r="E190" s="759" t="s">
        <v>3652</v>
      </c>
      <c r="F190" s="759"/>
      <c r="G190" s="759" t="s">
        <v>3749</v>
      </c>
      <c r="H190" s="759" t="s">
        <v>3991</v>
      </c>
      <c r="I190" s="759" t="s">
        <v>3655</v>
      </c>
      <c r="J190" s="759" t="s">
        <v>3656</v>
      </c>
      <c r="K190" s="759" t="s">
        <v>3657</v>
      </c>
      <c r="L190" s="759" t="s">
        <v>35</v>
      </c>
      <c r="M190" s="759" t="s">
        <v>3992</v>
      </c>
      <c r="N190" s="759" t="s">
        <v>2256</v>
      </c>
      <c r="O190" s="759" t="s">
        <v>239</v>
      </c>
      <c r="P190" s="761">
        <v>45309.59305555555</v>
      </c>
      <c r="Q190" s="759" t="s">
        <v>3993</v>
      </c>
      <c r="R190" s="761">
        <v>45309.634722222225</v>
      </c>
      <c r="S190" s="759" t="s">
        <v>3994</v>
      </c>
      <c r="T190" s="760">
        <v>26.0</v>
      </c>
      <c r="U190" s="761">
        <v>45313.0</v>
      </c>
      <c r="V190" s="761">
        <v>45313.145833333336</v>
      </c>
      <c r="W190" s="759" t="s">
        <v>3662</v>
      </c>
    </row>
    <row r="191" ht="15.75" hidden="1" customHeight="1">
      <c r="A191" s="759" t="s">
        <v>3389</v>
      </c>
      <c r="B191" s="763" t="s">
        <v>3392</v>
      </c>
      <c r="C191" s="760">
        <v>5.2710496E7</v>
      </c>
      <c r="D191" s="760">
        <v>1.00064331E9</v>
      </c>
      <c r="E191" s="759" t="s">
        <v>3652</v>
      </c>
      <c r="F191" s="760">
        <v>3916510.0</v>
      </c>
      <c r="G191" s="759" t="s">
        <v>3653</v>
      </c>
      <c r="H191" s="759" t="s">
        <v>3995</v>
      </c>
      <c r="I191" s="759" t="s">
        <v>3674</v>
      </c>
      <c r="J191" s="759" t="s">
        <v>3656</v>
      </c>
      <c r="K191" s="759" t="s">
        <v>3657</v>
      </c>
      <c r="L191" s="759" t="s">
        <v>35</v>
      </c>
      <c r="M191" s="759" t="s">
        <v>3858</v>
      </c>
      <c r="N191" s="759" t="s">
        <v>3701</v>
      </c>
      <c r="O191" s="759" t="s">
        <v>3859</v>
      </c>
      <c r="P191" s="761">
        <v>45309.63055555556</v>
      </c>
      <c r="Q191" s="759" t="s">
        <v>3860</v>
      </c>
      <c r="R191" s="761">
        <v>45309.67222222222</v>
      </c>
      <c r="S191" s="759" t="s">
        <v>3687</v>
      </c>
      <c r="T191" s="760">
        <v>26.0</v>
      </c>
      <c r="U191" s="761">
        <v>45313.0</v>
      </c>
      <c r="V191" s="761">
        <v>45313.35902777778</v>
      </c>
      <c r="W191" s="759" t="s">
        <v>3662</v>
      </c>
    </row>
    <row r="192" ht="15.75" hidden="1" customHeight="1">
      <c r="A192" s="759" t="s">
        <v>3389</v>
      </c>
      <c r="B192" s="763" t="s">
        <v>3392</v>
      </c>
      <c r="C192" s="760">
        <v>5.2710503E7</v>
      </c>
      <c r="D192" s="760">
        <v>1.000643315E9</v>
      </c>
      <c r="E192" s="759" t="s">
        <v>3652</v>
      </c>
      <c r="F192" s="760">
        <v>3916513.0</v>
      </c>
      <c r="G192" s="759" t="s">
        <v>3653</v>
      </c>
      <c r="H192" s="759" t="s">
        <v>3995</v>
      </c>
      <c r="I192" s="759" t="s">
        <v>3674</v>
      </c>
      <c r="J192" s="759" t="s">
        <v>3656</v>
      </c>
      <c r="K192" s="759" t="s">
        <v>3657</v>
      </c>
      <c r="L192" s="759" t="s">
        <v>35</v>
      </c>
      <c r="M192" s="759" t="s">
        <v>3858</v>
      </c>
      <c r="N192" s="759" t="s">
        <v>3701</v>
      </c>
      <c r="O192" s="759" t="s">
        <v>3859</v>
      </c>
      <c r="P192" s="761">
        <v>45309.63055555556</v>
      </c>
      <c r="Q192" s="759" t="s">
        <v>3860</v>
      </c>
      <c r="R192" s="761">
        <v>45309.67222222222</v>
      </c>
      <c r="S192" s="759" t="s">
        <v>3687</v>
      </c>
      <c r="T192" s="760">
        <v>26.0</v>
      </c>
      <c r="U192" s="761">
        <v>45313.0</v>
      </c>
      <c r="V192" s="761">
        <v>45313.35902777778</v>
      </c>
      <c r="W192" s="759" t="s">
        <v>3662</v>
      </c>
    </row>
    <row r="193" ht="15.75" customHeight="1">
      <c r="A193" s="759" t="s">
        <v>3387</v>
      </c>
      <c r="B193" s="759" t="s">
        <v>3387</v>
      </c>
      <c r="C193" s="760">
        <v>5.2515529E7</v>
      </c>
      <c r="D193" s="760">
        <v>1.000638657E9</v>
      </c>
      <c r="E193" s="759" t="s">
        <v>3652</v>
      </c>
      <c r="F193" s="759"/>
      <c r="G193" s="759" t="s">
        <v>3749</v>
      </c>
      <c r="H193" s="764">
        <v>2092142.0</v>
      </c>
      <c r="I193" s="759" t="s">
        <v>3655</v>
      </c>
      <c r="J193" s="759" t="s">
        <v>3656</v>
      </c>
      <c r="K193" s="759" t="s">
        <v>3657</v>
      </c>
      <c r="L193" s="759" t="s">
        <v>35</v>
      </c>
      <c r="M193" s="759" t="s">
        <v>3996</v>
      </c>
      <c r="N193" s="759" t="s">
        <v>3997</v>
      </c>
      <c r="O193" s="759" t="s">
        <v>267</v>
      </c>
      <c r="P193" s="761">
        <v>45308.634722222225</v>
      </c>
      <c r="Q193" s="759" t="s">
        <v>3998</v>
      </c>
      <c r="R193" s="761">
        <v>45308.67638888889</v>
      </c>
      <c r="S193" s="759" t="s">
        <v>3661</v>
      </c>
      <c r="T193" s="760">
        <v>26.0</v>
      </c>
      <c r="U193" s="761">
        <v>45314.0</v>
      </c>
      <c r="V193" s="761">
        <v>45314.470138888886</v>
      </c>
      <c r="W193" s="759" t="s">
        <v>3662</v>
      </c>
    </row>
    <row r="194" ht="15.75" hidden="1" customHeight="1">
      <c r="A194" s="759" t="s">
        <v>3389</v>
      </c>
      <c r="B194" s="759" t="s">
        <v>3390</v>
      </c>
      <c r="C194" s="760">
        <v>5.2432971E7</v>
      </c>
      <c r="D194" s="760">
        <v>1.000638801E9</v>
      </c>
      <c r="E194" s="759" t="s">
        <v>3652</v>
      </c>
      <c r="F194" s="760">
        <v>3894020.0</v>
      </c>
      <c r="G194" s="759" t="s">
        <v>3653</v>
      </c>
      <c r="H194" s="759" t="s">
        <v>3947</v>
      </c>
      <c r="I194" s="759" t="s">
        <v>3674</v>
      </c>
      <c r="J194" s="759" t="s">
        <v>3656</v>
      </c>
      <c r="K194" s="759" t="s">
        <v>3657</v>
      </c>
      <c r="L194" s="759" t="s">
        <v>35</v>
      </c>
      <c r="M194" s="759" t="s">
        <v>3948</v>
      </c>
      <c r="N194" s="759" t="s">
        <v>3914</v>
      </c>
      <c r="O194" s="759" t="s">
        <v>339</v>
      </c>
      <c r="P194" s="761">
        <v>45308.381944444445</v>
      </c>
      <c r="Q194" s="759" t="s">
        <v>3949</v>
      </c>
      <c r="R194" s="761">
        <v>45308.42361111111</v>
      </c>
      <c r="S194" s="759" t="s">
        <v>3999</v>
      </c>
      <c r="T194" s="760">
        <v>26.0</v>
      </c>
      <c r="U194" s="761">
        <v>45314.0</v>
      </c>
      <c r="V194" s="761">
        <v>45316.57847222222</v>
      </c>
      <c r="W194" s="759" t="s">
        <v>3662</v>
      </c>
    </row>
    <row r="195" ht="15.75" customHeight="1">
      <c r="A195" s="759" t="s">
        <v>3387</v>
      </c>
      <c r="B195" s="759" t="s">
        <v>3387</v>
      </c>
      <c r="C195" s="760">
        <v>5.2700879E7</v>
      </c>
      <c r="D195" s="760">
        <v>1.000643222E9</v>
      </c>
      <c r="E195" s="759" t="s">
        <v>3652</v>
      </c>
      <c r="F195" s="759"/>
      <c r="G195" s="759" t="s">
        <v>3749</v>
      </c>
      <c r="H195" s="759" t="s">
        <v>3991</v>
      </c>
      <c r="I195" s="759" t="s">
        <v>3655</v>
      </c>
      <c r="J195" s="759" t="s">
        <v>3656</v>
      </c>
      <c r="K195" s="759" t="s">
        <v>3657</v>
      </c>
      <c r="L195" s="759" t="s">
        <v>35</v>
      </c>
      <c r="M195" s="759" t="s">
        <v>3992</v>
      </c>
      <c r="N195" s="759" t="s">
        <v>2256</v>
      </c>
      <c r="O195" s="759" t="s">
        <v>239</v>
      </c>
      <c r="P195" s="761">
        <v>45309.59305555555</v>
      </c>
      <c r="Q195" s="759" t="s">
        <v>3993</v>
      </c>
      <c r="R195" s="761">
        <v>45309.634722222225</v>
      </c>
      <c r="S195" s="759" t="s">
        <v>4000</v>
      </c>
      <c r="T195" s="760">
        <v>19.0</v>
      </c>
      <c r="U195" s="761">
        <v>45314.0</v>
      </c>
      <c r="V195" s="761">
        <v>45314.145833333336</v>
      </c>
      <c r="W195" s="759" t="s">
        <v>3662</v>
      </c>
    </row>
    <row r="196" ht="15.75" hidden="1" customHeight="1">
      <c r="A196" s="759" t="s">
        <v>3389</v>
      </c>
      <c r="B196" s="759" t="s">
        <v>3390</v>
      </c>
      <c r="C196" s="760">
        <v>5.3155261E7</v>
      </c>
      <c r="D196" s="760">
        <v>1.000643262E9</v>
      </c>
      <c r="E196" s="759" t="s">
        <v>3652</v>
      </c>
      <c r="F196" s="759"/>
      <c r="G196" s="759" t="s">
        <v>3749</v>
      </c>
      <c r="H196" s="759" t="s">
        <v>4001</v>
      </c>
      <c r="I196" s="759" t="s">
        <v>3674</v>
      </c>
      <c r="J196" s="759" t="s">
        <v>3656</v>
      </c>
      <c r="K196" s="759" t="s">
        <v>3657</v>
      </c>
      <c r="L196" s="759" t="s">
        <v>35</v>
      </c>
      <c r="M196" s="759" t="s">
        <v>4002</v>
      </c>
      <c r="N196" s="759" t="s">
        <v>2256</v>
      </c>
      <c r="O196" s="759" t="s">
        <v>4003</v>
      </c>
      <c r="P196" s="761">
        <v>45313.59166666667</v>
      </c>
      <c r="Q196" s="759" t="s">
        <v>4004</v>
      </c>
      <c r="R196" s="761">
        <v>45313.63333333333</v>
      </c>
      <c r="S196" s="759" t="s">
        <v>4005</v>
      </c>
      <c r="T196" s="760">
        <v>26.0</v>
      </c>
      <c r="U196" s="761">
        <v>45314.0</v>
      </c>
      <c r="V196" s="761">
        <v>45314.27847222222</v>
      </c>
      <c r="W196" s="759" t="s">
        <v>3662</v>
      </c>
    </row>
    <row r="197" ht="15.75" hidden="1" customHeight="1">
      <c r="A197" s="759" t="s">
        <v>3389</v>
      </c>
      <c r="B197" s="763" t="s">
        <v>3392</v>
      </c>
      <c r="C197" s="760">
        <v>5.289506E7</v>
      </c>
      <c r="D197" s="760">
        <v>1.000646406E9</v>
      </c>
      <c r="E197" s="759" t="s">
        <v>3652</v>
      </c>
      <c r="F197" s="760">
        <v>3916296.0</v>
      </c>
      <c r="G197" s="759" t="s">
        <v>3653</v>
      </c>
      <c r="H197" s="759" t="s">
        <v>4006</v>
      </c>
      <c r="I197" s="759" t="s">
        <v>3674</v>
      </c>
      <c r="J197" s="759" t="s">
        <v>3656</v>
      </c>
      <c r="K197" s="759" t="s">
        <v>3657</v>
      </c>
      <c r="L197" s="759" t="s">
        <v>35</v>
      </c>
      <c r="M197" s="759" t="s">
        <v>4007</v>
      </c>
      <c r="N197" s="759" t="s">
        <v>4008</v>
      </c>
      <c r="O197" s="759" t="s">
        <v>4009</v>
      </c>
      <c r="P197" s="761">
        <v>45310.604166666664</v>
      </c>
      <c r="Q197" s="759" t="s">
        <v>4010</v>
      </c>
      <c r="R197" s="761">
        <v>45310.645833333336</v>
      </c>
      <c r="S197" s="759" t="s">
        <v>3687</v>
      </c>
      <c r="T197" s="760">
        <v>26.0</v>
      </c>
      <c r="U197" s="761">
        <v>45314.0</v>
      </c>
      <c r="V197" s="761">
        <v>45316.28472222222</v>
      </c>
      <c r="W197" s="759" t="s">
        <v>3662</v>
      </c>
    </row>
    <row r="198" ht="15.75" hidden="1" customHeight="1">
      <c r="A198" s="759" t="s">
        <v>3389</v>
      </c>
      <c r="B198" s="763" t="s">
        <v>3390</v>
      </c>
      <c r="C198" s="760">
        <v>5.2899369E7</v>
      </c>
      <c r="D198" s="760">
        <v>1.000646438E9</v>
      </c>
      <c r="E198" s="759" t="s">
        <v>3652</v>
      </c>
      <c r="F198" s="760">
        <v>3917715.0</v>
      </c>
      <c r="G198" s="759" t="s">
        <v>3653</v>
      </c>
      <c r="H198" s="759" t="s">
        <v>3893</v>
      </c>
      <c r="I198" s="759" t="s">
        <v>3674</v>
      </c>
      <c r="J198" s="759" t="s">
        <v>3656</v>
      </c>
      <c r="K198" s="759" t="s">
        <v>3657</v>
      </c>
      <c r="L198" s="759" t="s">
        <v>35</v>
      </c>
      <c r="M198" s="759" t="s">
        <v>3683</v>
      </c>
      <c r="N198" s="759" t="s">
        <v>3684</v>
      </c>
      <c r="O198" s="759" t="s">
        <v>3685</v>
      </c>
      <c r="P198" s="761">
        <v>45310.62013888889</v>
      </c>
      <c r="Q198" s="759" t="s">
        <v>3686</v>
      </c>
      <c r="R198" s="761">
        <v>45310.66180555556</v>
      </c>
      <c r="S198" s="759" t="s">
        <v>3687</v>
      </c>
      <c r="T198" s="760">
        <v>26.0</v>
      </c>
      <c r="U198" s="761">
        <v>45314.0</v>
      </c>
      <c r="V198" s="761">
        <v>45315.30138888889</v>
      </c>
      <c r="W198" s="759" t="s">
        <v>3662</v>
      </c>
    </row>
    <row r="199" ht="15.75" hidden="1" customHeight="1">
      <c r="A199" s="759" t="s">
        <v>3389</v>
      </c>
      <c r="B199" s="763" t="s">
        <v>3390</v>
      </c>
      <c r="C199" s="760">
        <v>5.289608E7</v>
      </c>
      <c r="D199" s="760">
        <v>1.000646698E9</v>
      </c>
      <c r="E199" s="759" t="s">
        <v>3652</v>
      </c>
      <c r="F199" s="760">
        <v>4.503356822E9</v>
      </c>
      <c r="G199" s="759" t="s">
        <v>3653</v>
      </c>
      <c r="H199" s="759" t="s">
        <v>4011</v>
      </c>
      <c r="I199" s="759" t="s">
        <v>3674</v>
      </c>
      <c r="J199" s="759" t="s">
        <v>3656</v>
      </c>
      <c r="K199" s="759" t="s">
        <v>3657</v>
      </c>
      <c r="L199" s="759" t="s">
        <v>35</v>
      </c>
      <c r="M199" s="759" t="s">
        <v>3833</v>
      </c>
      <c r="N199" s="759" t="s">
        <v>3659</v>
      </c>
      <c r="O199" s="759" t="s">
        <v>2227</v>
      </c>
      <c r="P199" s="761">
        <v>45310.606944444444</v>
      </c>
      <c r="Q199" s="759" t="s">
        <v>3834</v>
      </c>
      <c r="R199" s="761">
        <v>45310.64861111111</v>
      </c>
      <c r="S199" s="759" t="s">
        <v>4012</v>
      </c>
      <c r="T199" s="760">
        <v>26.0</v>
      </c>
      <c r="U199" s="761">
        <v>45314.0</v>
      </c>
      <c r="V199" s="761">
        <v>45314.805555555555</v>
      </c>
      <c r="W199" s="759" t="s">
        <v>3662</v>
      </c>
    </row>
    <row r="200" ht="15.75" customHeight="1">
      <c r="A200" s="759" t="s">
        <v>3387</v>
      </c>
      <c r="B200" s="759" t="s">
        <v>3387</v>
      </c>
      <c r="C200" s="760">
        <v>5.3120629E7</v>
      </c>
      <c r="D200" s="760">
        <v>1.000646927E9</v>
      </c>
      <c r="E200" s="759" t="s">
        <v>3652</v>
      </c>
      <c r="F200" s="759"/>
      <c r="G200" s="759" t="s">
        <v>3749</v>
      </c>
      <c r="H200" s="759" t="s">
        <v>4013</v>
      </c>
      <c r="I200" s="759" t="s">
        <v>4014</v>
      </c>
      <c r="J200" s="759" t="s">
        <v>3656</v>
      </c>
      <c r="K200" s="759" t="s">
        <v>3657</v>
      </c>
      <c r="L200" s="759" t="s">
        <v>35</v>
      </c>
      <c r="M200" s="759" t="s">
        <v>4015</v>
      </c>
      <c r="N200" s="759" t="s">
        <v>4016</v>
      </c>
      <c r="O200" s="759" t="s">
        <v>310</v>
      </c>
      <c r="P200" s="761">
        <v>45313.48263888889</v>
      </c>
      <c r="Q200" s="759" t="s">
        <v>4017</v>
      </c>
      <c r="R200" s="761">
        <v>45313.524305555555</v>
      </c>
      <c r="S200" s="759" t="s">
        <v>3785</v>
      </c>
      <c r="T200" s="760">
        <v>26.0</v>
      </c>
      <c r="U200" s="761">
        <v>45314.0</v>
      </c>
      <c r="V200" s="761">
        <v>45314.5125</v>
      </c>
      <c r="W200" s="759" t="s">
        <v>3662</v>
      </c>
    </row>
    <row r="201" ht="15.75" customHeight="1">
      <c r="A201" s="759" t="s">
        <v>3387</v>
      </c>
      <c r="B201" s="759" t="s">
        <v>3387</v>
      </c>
      <c r="C201" s="760">
        <v>5.312063E7</v>
      </c>
      <c r="D201" s="760">
        <v>1.000646969E9</v>
      </c>
      <c r="E201" s="759" t="s">
        <v>3652</v>
      </c>
      <c r="F201" s="759"/>
      <c r="G201" s="759" t="s">
        <v>3749</v>
      </c>
      <c r="H201" s="759" t="s">
        <v>4013</v>
      </c>
      <c r="I201" s="759" t="s">
        <v>4014</v>
      </c>
      <c r="J201" s="759" t="s">
        <v>3656</v>
      </c>
      <c r="K201" s="759" t="s">
        <v>3657</v>
      </c>
      <c r="L201" s="759" t="s">
        <v>35</v>
      </c>
      <c r="M201" s="759" t="s">
        <v>4015</v>
      </c>
      <c r="N201" s="759" t="s">
        <v>4016</v>
      </c>
      <c r="O201" s="759" t="s">
        <v>310</v>
      </c>
      <c r="P201" s="761">
        <v>45313.48263888889</v>
      </c>
      <c r="Q201" s="759" t="s">
        <v>4017</v>
      </c>
      <c r="R201" s="761">
        <v>45313.524305555555</v>
      </c>
      <c r="S201" s="759" t="s">
        <v>3785</v>
      </c>
      <c r="T201" s="760">
        <v>26.0</v>
      </c>
      <c r="U201" s="761">
        <v>45314.0</v>
      </c>
      <c r="V201" s="761">
        <v>45314.5125</v>
      </c>
      <c r="W201" s="759" t="s">
        <v>3662</v>
      </c>
    </row>
    <row r="202" ht="15.75" customHeight="1">
      <c r="A202" s="759" t="s">
        <v>3387</v>
      </c>
      <c r="B202" s="759" t="s">
        <v>3387</v>
      </c>
      <c r="C202" s="760">
        <v>5.3120628E7</v>
      </c>
      <c r="D202" s="760">
        <v>1.000646981E9</v>
      </c>
      <c r="E202" s="759" t="s">
        <v>3652</v>
      </c>
      <c r="F202" s="759"/>
      <c r="G202" s="759" t="s">
        <v>3749</v>
      </c>
      <c r="H202" s="759" t="s">
        <v>4013</v>
      </c>
      <c r="I202" s="759" t="s">
        <v>4014</v>
      </c>
      <c r="J202" s="759" t="s">
        <v>3656</v>
      </c>
      <c r="K202" s="759" t="s">
        <v>3657</v>
      </c>
      <c r="L202" s="759" t="s">
        <v>35</v>
      </c>
      <c r="M202" s="759" t="s">
        <v>4015</v>
      </c>
      <c r="N202" s="759" t="s">
        <v>4016</v>
      </c>
      <c r="O202" s="759" t="s">
        <v>310</v>
      </c>
      <c r="P202" s="761">
        <v>45313.48263888889</v>
      </c>
      <c r="Q202" s="759" t="s">
        <v>4017</v>
      </c>
      <c r="R202" s="761">
        <v>45313.524305555555</v>
      </c>
      <c r="S202" s="759" t="s">
        <v>3785</v>
      </c>
      <c r="T202" s="760">
        <v>26.0</v>
      </c>
      <c r="U202" s="761">
        <v>45314.0</v>
      </c>
      <c r="V202" s="761">
        <v>45314.5125</v>
      </c>
      <c r="W202" s="759" t="s">
        <v>3662</v>
      </c>
    </row>
    <row r="203" ht="15.75" customHeight="1">
      <c r="A203" s="759" t="s">
        <v>3387</v>
      </c>
      <c r="B203" s="759" t="s">
        <v>3387</v>
      </c>
      <c r="C203" s="760">
        <v>5.3120627E7</v>
      </c>
      <c r="D203" s="760">
        <v>1.000646985E9</v>
      </c>
      <c r="E203" s="759" t="s">
        <v>3652</v>
      </c>
      <c r="F203" s="759"/>
      <c r="G203" s="759" t="s">
        <v>3749</v>
      </c>
      <c r="H203" s="759" t="s">
        <v>4013</v>
      </c>
      <c r="I203" s="759" t="s">
        <v>4014</v>
      </c>
      <c r="J203" s="759" t="s">
        <v>3656</v>
      </c>
      <c r="K203" s="759" t="s">
        <v>3657</v>
      </c>
      <c r="L203" s="759" t="s">
        <v>35</v>
      </c>
      <c r="M203" s="759" t="s">
        <v>4015</v>
      </c>
      <c r="N203" s="759" t="s">
        <v>4016</v>
      </c>
      <c r="O203" s="759" t="s">
        <v>310</v>
      </c>
      <c r="P203" s="761">
        <v>45313.48263888889</v>
      </c>
      <c r="Q203" s="759" t="s">
        <v>4017</v>
      </c>
      <c r="R203" s="761">
        <v>45313.524305555555</v>
      </c>
      <c r="S203" s="759" t="s">
        <v>3785</v>
      </c>
      <c r="T203" s="760">
        <v>26.0</v>
      </c>
      <c r="U203" s="761">
        <v>45314.0</v>
      </c>
      <c r="V203" s="761">
        <v>45314.5125</v>
      </c>
      <c r="W203" s="759" t="s">
        <v>3662</v>
      </c>
    </row>
    <row r="204" ht="15.75" hidden="1" customHeight="1">
      <c r="A204" s="759" t="s">
        <v>3389</v>
      </c>
      <c r="B204" s="759" t="s">
        <v>3390</v>
      </c>
      <c r="C204" s="760">
        <v>5.2636534E7</v>
      </c>
      <c r="D204" s="760">
        <v>1.000642039E9</v>
      </c>
      <c r="E204" s="759" t="s">
        <v>3652</v>
      </c>
      <c r="F204" s="760">
        <v>3911106.0</v>
      </c>
      <c r="G204" s="759" t="s">
        <v>3653</v>
      </c>
      <c r="H204" s="759" t="s">
        <v>4018</v>
      </c>
      <c r="I204" s="759" t="s">
        <v>3674</v>
      </c>
      <c r="J204" s="759" t="s">
        <v>3656</v>
      </c>
      <c r="K204" s="759" t="s">
        <v>3657</v>
      </c>
      <c r="L204" s="759" t="s">
        <v>35</v>
      </c>
      <c r="M204" s="759" t="s">
        <v>4019</v>
      </c>
      <c r="N204" s="759" t="s">
        <v>4020</v>
      </c>
      <c r="O204" s="759" t="s">
        <v>4021</v>
      </c>
      <c r="P204" s="761">
        <v>45309.396527777775</v>
      </c>
      <c r="Q204" s="759" t="s">
        <v>4022</v>
      </c>
      <c r="R204" s="761">
        <v>45309.43819444445</v>
      </c>
      <c r="S204" s="759" t="s">
        <v>4023</v>
      </c>
      <c r="T204" s="760">
        <v>26.0</v>
      </c>
      <c r="U204" s="761">
        <v>45315.0</v>
      </c>
      <c r="V204" s="761">
        <v>45317.743055555555</v>
      </c>
      <c r="W204" s="759" t="s">
        <v>3662</v>
      </c>
    </row>
    <row r="205" ht="15.75" hidden="1" customHeight="1">
      <c r="A205" s="759" t="s">
        <v>3389</v>
      </c>
      <c r="B205" s="759" t="s">
        <v>3390</v>
      </c>
      <c r="C205" s="760">
        <v>5.2636908E7</v>
      </c>
      <c r="D205" s="760">
        <v>1.000642058E9</v>
      </c>
      <c r="E205" s="759" t="s">
        <v>3652</v>
      </c>
      <c r="F205" s="760">
        <v>3893824.0</v>
      </c>
      <c r="G205" s="759" t="s">
        <v>3653</v>
      </c>
      <c r="H205" s="759" t="s">
        <v>4024</v>
      </c>
      <c r="I205" s="759" t="s">
        <v>3674</v>
      </c>
      <c r="J205" s="759" t="s">
        <v>3656</v>
      </c>
      <c r="K205" s="759" t="s">
        <v>3657</v>
      </c>
      <c r="L205" s="759" t="s">
        <v>35</v>
      </c>
      <c r="M205" s="759" t="s">
        <v>4025</v>
      </c>
      <c r="N205" s="759" t="s">
        <v>4026</v>
      </c>
      <c r="O205" s="759" t="s">
        <v>4027</v>
      </c>
      <c r="P205" s="761">
        <v>45309.39722222222</v>
      </c>
      <c r="Q205" s="759" t="s">
        <v>4028</v>
      </c>
      <c r="R205" s="761">
        <v>45309.438888888886</v>
      </c>
      <c r="S205" s="759" t="s">
        <v>4029</v>
      </c>
      <c r="T205" s="760">
        <v>26.0</v>
      </c>
      <c r="U205" s="761">
        <v>45315.0</v>
      </c>
      <c r="V205" s="761">
        <v>45316.731944444444</v>
      </c>
      <c r="W205" s="759" t="s">
        <v>3662</v>
      </c>
    </row>
    <row r="206" ht="15.75" hidden="1" customHeight="1">
      <c r="A206" s="759" t="s">
        <v>3389</v>
      </c>
      <c r="B206" s="759" t="s">
        <v>3395</v>
      </c>
      <c r="C206" s="760">
        <v>5.2699639E7</v>
      </c>
      <c r="D206" s="760">
        <v>1.000643462E9</v>
      </c>
      <c r="E206" s="759" t="s">
        <v>3652</v>
      </c>
      <c r="F206" s="759"/>
      <c r="G206" s="759" t="s">
        <v>3653</v>
      </c>
      <c r="H206" s="759" t="s">
        <v>3965</v>
      </c>
      <c r="I206" s="759" t="s">
        <v>3674</v>
      </c>
      <c r="J206" s="759" t="s">
        <v>3656</v>
      </c>
      <c r="K206" s="759" t="s">
        <v>3657</v>
      </c>
      <c r="L206" s="759" t="s">
        <v>35</v>
      </c>
      <c r="M206" s="759" t="s">
        <v>3744</v>
      </c>
      <c r="N206" s="759" t="s">
        <v>1889</v>
      </c>
      <c r="O206" s="759" t="s">
        <v>93</v>
      </c>
      <c r="P206" s="761">
        <v>45309.589583333334</v>
      </c>
      <c r="Q206" s="759" t="s">
        <v>3745</v>
      </c>
      <c r="R206" s="761">
        <v>45309.63125</v>
      </c>
      <c r="S206" s="759" t="s">
        <v>3661</v>
      </c>
      <c r="T206" s="760">
        <v>26.0</v>
      </c>
      <c r="U206" s="761">
        <v>45315.0</v>
      </c>
      <c r="V206" s="761">
        <v>45315.569444444445</v>
      </c>
      <c r="W206" s="759" t="s">
        <v>3662</v>
      </c>
    </row>
    <row r="207" ht="15.75" hidden="1" customHeight="1">
      <c r="A207" s="759" t="s">
        <v>3389</v>
      </c>
      <c r="B207" s="759" t="s">
        <v>3395</v>
      </c>
      <c r="C207" s="760">
        <v>5.2699635E7</v>
      </c>
      <c r="D207" s="760">
        <v>1.000643469E9</v>
      </c>
      <c r="E207" s="759" t="s">
        <v>3652</v>
      </c>
      <c r="F207" s="759"/>
      <c r="G207" s="759" t="s">
        <v>3653</v>
      </c>
      <c r="H207" s="759" t="s">
        <v>3743</v>
      </c>
      <c r="I207" s="759" t="s">
        <v>3674</v>
      </c>
      <c r="J207" s="759" t="s">
        <v>3656</v>
      </c>
      <c r="K207" s="759" t="s">
        <v>3657</v>
      </c>
      <c r="L207" s="759" t="s">
        <v>35</v>
      </c>
      <c r="M207" s="759" t="s">
        <v>3744</v>
      </c>
      <c r="N207" s="759" t="s">
        <v>1889</v>
      </c>
      <c r="O207" s="759" t="s">
        <v>93</v>
      </c>
      <c r="P207" s="761">
        <v>45309.589583333334</v>
      </c>
      <c r="Q207" s="759" t="s">
        <v>3745</v>
      </c>
      <c r="R207" s="761">
        <v>45309.63125</v>
      </c>
      <c r="S207" s="759" t="s">
        <v>3661</v>
      </c>
      <c r="T207" s="760">
        <v>26.0</v>
      </c>
      <c r="U207" s="761">
        <v>45315.0</v>
      </c>
      <c r="V207" s="761">
        <v>45315.569444444445</v>
      </c>
      <c r="W207" s="759" t="s">
        <v>3662</v>
      </c>
    </row>
    <row r="208" ht="15.75" hidden="1" customHeight="1">
      <c r="A208" s="759" t="s">
        <v>3389</v>
      </c>
      <c r="B208" s="759" t="s">
        <v>3394</v>
      </c>
      <c r="C208" s="760">
        <v>5.2823548E7</v>
      </c>
      <c r="D208" s="760">
        <v>1.000645487E9</v>
      </c>
      <c r="E208" s="759" t="s">
        <v>3652</v>
      </c>
      <c r="F208" s="760">
        <v>3895316.0</v>
      </c>
      <c r="G208" s="759" t="s">
        <v>3653</v>
      </c>
      <c r="H208" s="759" t="s">
        <v>4030</v>
      </c>
      <c r="I208" s="759" t="s">
        <v>3788</v>
      </c>
      <c r="J208" s="759" t="s">
        <v>3656</v>
      </c>
      <c r="K208" s="759" t="s">
        <v>3657</v>
      </c>
      <c r="L208" s="759" t="s">
        <v>35</v>
      </c>
      <c r="M208" s="759" t="s">
        <v>3721</v>
      </c>
      <c r="N208" s="759" t="s">
        <v>3722</v>
      </c>
      <c r="O208" s="759" t="s">
        <v>226</v>
      </c>
      <c r="P208" s="761">
        <v>45310.3875</v>
      </c>
      <c r="Q208" s="759" t="s">
        <v>3723</v>
      </c>
      <c r="R208" s="761">
        <v>45310.42916666667</v>
      </c>
      <c r="S208" s="759" t="s">
        <v>3894</v>
      </c>
      <c r="T208" s="760">
        <v>0.0</v>
      </c>
      <c r="U208" s="761">
        <v>45315.0</v>
      </c>
      <c r="V208" s="761">
        <v>45316.30138888889</v>
      </c>
      <c r="W208" s="759" t="s">
        <v>3662</v>
      </c>
    </row>
    <row r="209" ht="15.75" hidden="1" customHeight="1">
      <c r="A209" s="759" t="s">
        <v>3389</v>
      </c>
      <c r="B209" s="759" t="s">
        <v>3395</v>
      </c>
      <c r="C209" s="760">
        <v>5.3155259E7</v>
      </c>
      <c r="D209" s="760">
        <v>1.000647066E9</v>
      </c>
      <c r="E209" s="759" t="s">
        <v>3652</v>
      </c>
      <c r="F209" s="759"/>
      <c r="G209" s="759" t="s">
        <v>3653</v>
      </c>
      <c r="H209" s="759" t="s">
        <v>4031</v>
      </c>
      <c r="I209" s="759" t="s">
        <v>3674</v>
      </c>
      <c r="J209" s="759" t="s">
        <v>3656</v>
      </c>
      <c r="K209" s="759" t="s">
        <v>3657</v>
      </c>
      <c r="L209" s="759" t="s">
        <v>35</v>
      </c>
      <c r="M209" s="759" t="s">
        <v>4032</v>
      </c>
      <c r="N209" s="759" t="s">
        <v>3042</v>
      </c>
      <c r="O209" s="759" t="s">
        <v>113</v>
      </c>
      <c r="P209" s="761">
        <v>45313.59166666667</v>
      </c>
      <c r="Q209" s="759" t="s">
        <v>4033</v>
      </c>
      <c r="R209" s="761">
        <v>45313.63333333333</v>
      </c>
      <c r="S209" s="759" t="s">
        <v>3785</v>
      </c>
      <c r="T209" s="760">
        <v>26.0</v>
      </c>
      <c r="U209" s="761">
        <v>45315.0</v>
      </c>
      <c r="V209" s="761">
        <v>45315.375</v>
      </c>
      <c r="W209" s="759" t="s">
        <v>3662</v>
      </c>
    </row>
    <row r="210" ht="15.75" hidden="1" customHeight="1">
      <c r="A210" s="759" t="s">
        <v>3389</v>
      </c>
      <c r="B210" s="759" t="s">
        <v>3388</v>
      </c>
      <c r="C210" s="760">
        <v>5.3088264E7</v>
      </c>
      <c r="D210" s="760">
        <v>1.000648364E9</v>
      </c>
      <c r="E210" s="759" t="s">
        <v>3652</v>
      </c>
      <c r="F210" s="760">
        <v>3916141.0</v>
      </c>
      <c r="G210" s="759" t="s">
        <v>3653</v>
      </c>
      <c r="H210" s="759" t="s">
        <v>4034</v>
      </c>
      <c r="I210" s="759" t="s">
        <v>3674</v>
      </c>
      <c r="J210" s="759" t="s">
        <v>3656</v>
      </c>
      <c r="K210" s="759" t="s">
        <v>3657</v>
      </c>
      <c r="L210" s="759" t="s">
        <v>35</v>
      </c>
      <c r="M210" s="759" t="s">
        <v>4035</v>
      </c>
      <c r="N210" s="759" t="s">
        <v>4036</v>
      </c>
      <c r="O210" s="759" t="s">
        <v>4037</v>
      </c>
      <c r="P210" s="761">
        <v>45313.404861111114</v>
      </c>
      <c r="Q210" s="759" t="s">
        <v>4038</v>
      </c>
      <c r="R210" s="761">
        <v>45313.44583333333</v>
      </c>
      <c r="S210" s="759" t="s">
        <v>4039</v>
      </c>
      <c r="T210" s="760">
        <v>28.0</v>
      </c>
      <c r="U210" s="761">
        <v>45315.0</v>
      </c>
      <c r="V210" s="761">
        <v>45316.01180555556</v>
      </c>
      <c r="W210" s="759" t="s">
        <v>3662</v>
      </c>
    </row>
    <row r="211" ht="15.75" hidden="1" customHeight="1">
      <c r="A211" s="759" t="s">
        <v>3389</v>
      </c>
      <c r="B211" s="763" t="s">
        <v>3388</v>
      </c>
      <c r="C211" s="760">
        <v>5.2735002E7</v>
      </c>
      <c r="D211" s="760">
        <v>1.000643854E9</v>
      </c>
      <c r="E211" s="759" t="s">
        <v>3652</v>
      </c>
      <c r="F211" s="760">
        <v>4.50335775E9</v>
      </c>
      <c r="G211" s="759" t="s">
        <v>3653</v>
      </c>
      <c r="H211" s="759" t="s">
        <v>3764</v>
      </c>
      <c r="I211" s="759" t="s">
        <v>3674</v>
      </c>
      <c r="J211" s="759" t="s">
        <v>3656</v>
      </c>
      <c r="K211" s="759" t="s">
        <v>3657</v>
      </c>
      <c r="L211" s="759" t="s">
        <v>35</v>
      </c>
      <c r="M211" s="759" t="s">
        <v>3765</v>
      </c>
      <c r="N211" s="759" t="s">
        <v>3659</v>
      </c>
      <c r="O211" s="759" t="s">
        <v>2119</v>
      </c>
      <c r="P211" s="761">
        <v>45309.7625</v>
      </c>
      <c r="Q211" s="759" t="s">
        <v>3766</v>
      </c>
      <c r="R211" s="761">
        <v>45309.80416666667</v>
      </c>
      <c r="S211" s="759" t="s">
        <v>4040</v>
      </c>
      <c r="T211" s="760">
        <v>26.0</v>
      </c>
      <c r="U211" s="761">
        <v>45316.0</v>
      </c>
      <c r="V211" s="761">
        <v>45316.978472222225</v>
      </c>
      <c r="W211" s="759" t="s">
        <v>3662</v>
      </c>
    </row>
    <row r="212" ht="15.75" hidden="1" customHeight="1">
      <c r="A212" s="759" t="s">
        <v>3389</v>
      </c>
      <c r="B212" s="763" t="s">
        <v>3390</v>
      </c>
      <c r="C212" s="760">
        <v>5.2909744E7</v>
      </c>
      <c r="D212" s="760">
        <v>1.000646444E9</v>
      </c>
      <c r="E212" s="759" t="s">
        <v>3652</v>
      </c>
      <c r="F212" s="760">
        <v>3901614.0</v>
      </c>
      <c r="G212" s="759" t="s">
        <v>3653</v>
      </c>
      <c r="H212" s="759" t="s">
        <v>4041</v>
      </c>
      <c r="I212" s="759" t="s">
        <v>3674</v>
      </c>
      <c r="J212" s="759" t="s">
        <v>3656</v>
      </c>
      <c r="K212" s="759" t="s">
        <v>3657</v>
      </c>
      <c r="L212" s="759" t="s">
        <v>35</v>
      </c>
      <c r="M212" s="759" t="s">
        <v>3944</v>
      </c>
      <c r="N212" s="759" t="s">
        <v>2121</v>
      </c>
      <c r="O212" s="759" t="s">
        <v>2272</v>
      </c>
      <c r="P212" s="761">
        <v>45310.66458333333</v>
      </c>
      <c r="Q212" s="759" t="s">
        <v>3945</v>
      </c>
      <c r="R212" s="761">
        <v>45310.70625</v>
      </c>
      <c r="S212" s="759" t="s">
        <v>4042</v>
      </c>
      <c r="T212" s="760">
        <v>26.0</v>
      </c>
      <c r="U212" s="761">
        <v>45316.0</v>
      </c>
      <c r="V212" s="761">
        <v>45316.94236111111</v>
      </c>
      <c r="W212" s="759" t="s">
        <v>3662</v>
      </c>
    </row>
    <row r="213" ht="15.75" hidden="1" customHeight="1">
      <c r="A213" s="759" t="s">
        <v>3389</v>
      </c>
      <c r="B213" s="763" t="s">
        <v>3395</v>
      </c>
      <c r="C213" s="760">
        <v>5.2889521E7</v>
      </c>
      <c r="D213" s="760">
        <v>1.0006466E9</v>
      </c>
      <c r="E213" s="759" t="s">
        <v>3652</v>
      </c>
      <c r="F213" s="760">
        <v>4.503356961E9</v>
      </c>
      <c r="G213" s="759" t="s">
        <v>3653</v>
      </c>
      <c r="H213" s="762">
        <v>446997.0</v>
      </c>
      <c r="I213" s="759" t="s">
        <v>3674</v>
      </c>
      <c r="J213" s="759" t="s">
        <v>3656</v>
      </c>
      <c r="K213" s="759" t="s">
        <v>3657</v>
      </c>
      <c r="L213" s="759" t="s">
        <v>35</v>
      </c>
      <c r="M213" s="759" t="s">
        <v>3672</v>
      </c>
      <c r="N213" s="759" t="s">
        <v>3659</v>
      </c>
      <c r="O213" s="759" t="s">
        <v>63</v>
      </c>
      <c r="P213" s="761">
        <v>45310.58472222222</v>
      </c>
      <c r="Q213" s="759" t="s">
        <v>3673</v>
      </c>
      <c r="R213" s="761">
        <v>45310.626388888886</v>
      </c>
      <c r="S213" s="759" t="s">
        <v>4043</v>
      </c>
      <c r="T213" s="760">
        <v>26.0</v>
      </c>
      <c r="U213" s="761">
        <v>45316.0</v>
      </c>
      <c r="V213" s="761">
        <v>45316.254166666666</v>
      </c>
      <c r="W213" s="759" t="s">
        <v>3662</v>
      </c>
    </row>
    <row r="214" ht="15.75" hidden="1" customHeight="1">
      <c r="A214" s="759" t="s">
        <v>3389</v>
      </c>
      <c r="B214" s="759" t="s">
        <v>3394</v>
      </c>
      <c r="C214" s="760">
        <v>5.2925405E7</v>
      </c>
      <c r="D214" s="760">
        <v>1.000646928E9</v>
      </c>
      <c r="E214" s="759" t="s">
        <v>3652</v>
      </c>
      <c r="F214" s="759"/>
      <c r="G214" s="759" t="s">
        <v>3749</v>
      </c>
      <c r="H214" s="759" t="s">
        <v>4044</v>
      </c>
      <c r="I214" s="759" t="s">
        <v>3788</v>
      </c>
      <c r="J214" s="759" t="s">
        <v>3656</v>
      </c>
      <c r="K214" s="759" t="s">
        <v>3657</v>
      </c>
      <c r="L214" s="759" t="s">
        <v>35</v>
      </c>
      <c r="M214" s="759" t="s">
        <v>3986</v>
      </c>
      <c r="N214" s="759" t="s">
        <v>3987</v>
      </c>
      <c r="O214" s="759" t="s">
        <v>187</v>
      </c>
      <c r="P214" s="761">
        <v>45310.75069444445</v>
      </c>
      <c r="Q214" s="759" t="s">
        <v>3988</v>
      </c>
      <c r="R214" s="761">
        <v>45310.79236111111</v>
      </c>
      <c r="S214" s="759" t="s">
        <v>4045</v>
      </c>
      <c r="T214" s="760">
        <v>26.0</v>
      </c>
      <c r="U214" s="761">
        <v>45316.0</v>
      </c>
      <c r="V214" s="761">
        <v>45316.3125</v>
      </c>
      <c r="W214" s="759" t="s">
        <v>3662</v>
      </c>
    </row>
    <row r="215" ht="15.75" hidden="1" customHeight="1">
      <c r="A215" s="759" t="s">
        <v>3389</v>
      </c>
      <c r="B215" s="763" t="s">
        <v>3390</v>
      </c>
      <c r="C215" s="760">
        <v>5.3155971E7</v>
      </c>
      <c r="D215" s="760">
        <v>1.000649903E9</v>
      </c>
      <c r="E215" s="759" t="s">
        <v>3652</v>
      </c>
      <c r="F215" s="760">
        <v>3915173.0</v>
      </c>
      <c r="G215" s="759" t="s">
        <v>3653</v>
      </c>
      <c r="H215" s="759" t="s">
        <v>3748</v>
      </c>
      <c r="I215" s="759" t="s">
        <v>3674</v>
      </c>
      <c r="J215" s="759" t="s">
        <v>3656</v>
      </c>
      <c r="K215" s="759" t="s">
        <v>3657</v>
      </c>
      <c r="L215" s="759" t="s">
        <v>35</v>
      </c>
      <c r="M215" s="759" t="s">
        <v>3689</v>
      </c>
      <c r="N215" s="759" t="s">
        <v>3690</v>
      </c>
      <c r="O215" s="759" t="s">
        <v>3691</v>
      </c>
      <c r="P215" s="761">
        <v>45313.59375</v>
      </c>
      <c r="Q215" s="759" t="s">
        <v>3692</v>
      </c>
      <c r="R215" s="761">
        <v>45313.635416666664</v>
      </c>
      <c r="S215" s="759" t="s">
        <v>4046</v>
      </c>
      <c r="T215" s="760">
        <v>26.0</v>
      </c>
      <c r="U215" s="761">
        <v>45316.0</v>
      </c>
      <c r="V215" s="761">
        <v>45317.79722222222</v>
      </c>
      <c r="W215" s="759" t="s">
        <v>3662</v>
      </c>
    </row>
    <row r="216" ht="15.75" hidden="1" customHeight="1">
      <c r="A216" s="759" t="s">
        <v>3389</v>
      </c>
      <c r="B216" s="763" t="s">
        <v>3390</v>
      </c>
      <c r="C216" s="760">
        <v>5.3120161E7</v>
      </c>
      <c r="D216" s="760">
        <v>1.000648375E9</v>
      </c>
      <c r="E216" s="759" t="s">
        <v>4047</v>
      </c>
      <c r="F216" s="760">
        <v>3902688.0</v>
      </c>
      <c r="G216" s="759" t="s">
        <v>3653</v>
      </c>
      <c r="H216" s="759" t="s">
        <v>4048</v>
      </c>
      <c r="I216" s="759" t="s">
        <v>3674</v>
      </c>
      <c r="J216" s="759" t="s">
        <v>3656</v>
      </c>
      <c r="K216" s="759" t="s">
        <v>3657</v>
      </c>
      <c r="L216" s="759" t="s">
        <v>35</v>
      </c>
      <c r="M216" s="759" t="s">
        <v>4049</v>
      </c>
      <c r="N216" s="759" t="s">
        <v>4050</v>
      </c>
      <c r="O216" s="759" t="s">
        <v>4051</v>
      </c>
      <c r="P216" s="761">
        <v>45313.481944444444</v>
      </c>
      <c r="Q216" s="759" t="s">
        <v>4052</v>
      </c>
      <c r="R216" s="761">
        <v>45313.52361111111</v>
      </c>
      <c r="S216" s="759" t="s">
        <v>4053</v>
      </c>
      <c r="T216" s="760">
        <v>26.0</v>
      </c>
      <c r="U216" s="761">
        <v>45317.0</v>
      </c>
      <c r="V216" s="761">
        <v>45317.82847222222</v>
      </c>
      <c r="W216" s="759" t="s">
        <v>3662</v>
      </c>
    </row>
    <row r="217" ht="15.75" hidden="1" customHeight="1">
      <c r="A217" s="759" t="s">
        <v>3389</v>
      </c>
      <c r="B217" s="759" t="s">
        <v>3395</v>
      </c>
      <c r="C217" s="760">
        <v>5.3075547E7</v>
      </c>
      <c r="D217" s="760">
        <v>1.000648422E9</v>
      </c>
      <c r="E217" s="759" t="s">
        <v>3652</v>
      </c>
      <c r="F217" s="759"/>
      <c r="G217" s="759" t="s">
        <v>3653</v>
      </c>
      <c r="H217" s="759" t="s">
        <v>3966</v>
      </c>
      <c r="I217" s="759" t="s">
        <v>3674</v>
      </c>
      <c r="J217" s="759" t="s">
        <v>3656</v>
      </c>
      <c r="K217" s="759" t="s">
        <v>3657</v>
      </c>
      <c r="L217" s="759" t="s">
        <v>35</v>
      </c>
      <c r="M217" s="759" t="s">
        <v>3967</v>
      </c>
      <c r="N217" s="759" t="s">
        <v>2024</v>
      </c>
      <c r="O217" s="759" t="s">
        <v>126</v>
      </c>
      <c r="P217" s="761">
        <v>45313.375</v>
      </c>
      <c r="Q217" s="759" t="s">
        <v>3968</v>
      </c>
      <c r="R217" s="761">
        <v>45313.416666666664</v>
      </c>
      <c r="S217" s="759" t="s">
        <v>4054</v>
      </c>
      <c r="T217" s="760">
        <v>28.0</v>
      </c>
      <c r="U217" s="761">
        <v>45317.0</v>
      </c>
      <c r="V217" s="761">
        <v>45317.39375</v>
      </c>
      <c r="W217" s="759" t="s">
        <v>3662</v>
      </c>
    </row>
    <row r="218" ht="15.75" hidden="1" customHeight="1">
      <c r="A218" s="759" t="s">
        <v>3389</v>
      </c>
      <c r="B218" s="759" t="s">
        <v>3395</v>
      </c>
      <c r="C218" s="760">
        <v>5.3075548E7</v>
      </c>
      <c r="D218" s="760">
        <v>1.000648444E9</v>
      </c>
      <c r="E218" s="759" t="s">
        <v>3652</v>
      </c>
      <c r="F218" s="759"/>
      <c r="G218" s="759" t="s">
        <v>3653</v>
      </c>
      <c r="H218" s="759" t="s">
        <v>4055</v>
      </c>
      <c r="I218" s="759" t="s">
        <v>3674</v>
      </c>
      <c r="J218" s="759" t="s">
        <v>3656</v>
      </c>
      <c r="K218" s="759" t="s">
        <v>3657</v>
      </c>
      <c r="L218" s="759" t="s">
        <v>35</v>
      </c>
      <c r="M218" s="759" t="s">
        <v>3967</v>
      </c>
      <c r="N218" s="759" t="s">
        <v>2024</v>
      </c>
      <c r="O218" s="759" t="s">
        <v>126</v>
      </c>
      <c r="P218" s="761">
        <v>45313.375</v>
      </c>
      <c r="Q218" s="759" t="s">
        <v>3968</v>
      </c>
      <c r="R218" s="761">
        <v>45313.416666666664</v>
      </c>
      <c r="S218" s="759" t="s">
        <v>3742</v>
      </c>
      <c r="T218" s="760">
        <v>28.0</v>
      </c>
      <c r="U218" s="761">
        <v>45317.0</v>
      </c>
      <c r="V218" s="761">
        <v>45317.39375</v>
      </c>
      <c r="W218" s="759" t="s">
        <v>3662</v>
      </c>
    </row>
    <row r="219" ht="15.75" hidden="1" customHeight="1">
      <c r="A219" s="759" t="s">
        <v>3389</v>
      </c>
      <c r="B219" s="759" t="s">
        <v>3395</v>
      </c>
      <c r="C219" s="760">
        <v>5.3152046E7</v>
      </c>
      <c r="D219" s="760">
        <v>1.000649769E9</v>
      </c>
      <c r="E219" s="759" t="s">
        <v>3652</v>
      </c>
      <c r="F219" s="760">
        <v>4.503357951E9</v>
      </c>
      <c r="G219" s="759" t="s">
        <v>3653</v>
      </c>
      <c r="H219" s="762">
        <v>446997.0</v>
      </c>
      <c r="I219" s="759" t="s">
        <v>3674</v>
      </c>
      <c r="J219" s="759" t="s">
        <v>3656</v>
      </c>
      <c r="K219" s="759" t="s">
        <v>3657</v>
      </c>
      <c r="L219" s="759" t="s">
        <v>35</v>
      </c>
      <c r="M219" s="759" t="s">
        <v>3672</v>
      </c>
      <c r="N219" s="759" t="s">
        <v>3659</v>
      </c>
      <c r="O219" s="759" t="s">
        <v>63</v>
      </c>
      <c r="P219" s="761">
        <v>45313.57986111111</v>
      </c>
      <c r="Q219" s="759" t="s">
        <v>3673</v>
      </c>
      <c r="R219" s="761">
        <v>45313.62152777778</v>
      </c>
      <c r="S219" s="759" t="s">
        <v>4056</v>
      </c>
      <c r="T219" s="760">
        <v>26.0</v>
      </c>
      <c r="U219" s="761">
        <v>45317.0</v>
      </c>
      <c r="V219" s="761">
        <v>45317.254166666666</v>
      </c>
      <c r="W219" s="759" t="s">
        <v>3662</v>
      </c>
    </row>
    <row r="220" ht="15.75" customHeight="1">
      <c r="A220" s="759" t="s">
        <v>3387</v>
      </c>
      <c r="B220" s="759" t="s">
        <v>3387</v>
      </c>
      <c r="C220" s="760">
        <v>5.315349E7</v>
      </c>
      <c r="D220" s="760">
        <v>1.000649571E9</v>
      </c>
      <c r="E220" s="759" t="s">
        <v>3652</v>
      </c>
      <c r="F220" s="759"/>
      <c r="G220" s="759" t="s">
        <v>3749</v>
      </c>
      <c r="H220" s="759" t="s">
        <v>3883</v>
      </c>
      <c r="I220" s="759" t="s">
        <v>4014</v>
      </c>
      <c r="J220" s="759" t="s">
        <v>3656</v>
      </c>
      <c r="K220" s="759" t="s">
        <v>3657</v>
      </c>
      <c r="L220" s="759" t="s">
        <v>35</v>
      </c>
      <c r="M220" s="759" t="s">
        <v>3884</v>
      </c>
      <c r="N220" s="759" t="s">
        <v>3885</v>
      </c>
      <c r="O220" s="759" t="s">
        <v>77</v>
      </c>
      <c r="P220" s="761">
        <v>45313.58541666667</v>
      </c>
      <c r="Q220" s="759" t="s">
        <v>3886</v>
      </c>
      <c r="R220" s="761">
        <v>45313.62708333333</v>
      </c>
      <c r="S220" s="759" t="s">
        <v>4057</v>
      </c>
      <c r="T220" s="760">
        <v>25.0</v>
      </c>
      <c r="U220" s="761">
        <v>45318.0</v>
      </c>
      <c r="V220" s="761">
        <v>45318.62222222222</v>
      </c>
      <c r="W220" s="759" t="s">
        <v>3662</v>
      </c>
    </row>
    <row r="221" ht="15.75" customHeight="1">
      <c r="A221" s="759" t="s">
        <v>3387</v>
      </c>
      <c r="B221" s="759" t="s">
        <v>3387</v>
      </c>
      <c r="C221" s="760">
        <v>5.3160953E7</v>
      </c>
      <c r="D221" s="760">
        <v>1.000649612E9</v>
      </c>
      <c r="E221" s="759" t="s">
        <v>3652</v>
      </c>
      <c r="F221" s="759"/>
      <c r="G221" s="759" t="s">
        <v>3749</v>
      </c>
      <c r="H221" s="762">
        <v>1472263.0</v>
      </c>
      <c r="I221" s="759" t="s">
        <v>4014</v>
      </c>
      <c r="J221" s="759" t="s">
        <v>3656</v>
      </c>
      <c r="K221" s="759" t="s">
        <v>3657</v>
      </c>
      <c r="L221" s="759" t="s">
        <v>35</v>
      </c>
      <c r="M221" s="759" t="s">
        <v>4058</v>
      </c>
      <c r="N221" s="759" t="s">
        <v>4059</v>
      </c>
      <c r="O221" s="759" t="s">
        <v>264</v>
      </c>
      <c r="P221" s="761">
        <v>45313.611805555556</v>
      </c>
      <c r="Q221" s="759" t="s">
        <v>4060</v>
      </c>
      <c r="R221" s="761">
        <v>45313.65347222222</v>
      </c>
      <c r="S221" s="759" t="s">
        <v>3661</v>
      </c>
      <c r="T221" s="760">
        <v>26.0</v>
      </c>
      <c r="U221" s="761">
        <v>45318.0</v>
      </c>
      <c r="V221" s="761">
        <v>45318.31527777778</v>
      </c>
      <c r="W221" s="759" t="s">
        <v>3662</v>
      </c>
    </row>
    <row r="222" ht="15.75" customHeight="1">
      <c r="A222" s="759" t="s">
        <v>3387</v>
      </c>
      <c r="B222" s="759" t="s">
        <v>3387</v>
      </c>
      <c r="C222" s="760">
        <v>5.3160954E7</v>
      </c>
      <c r="D222" s="760">
        <v>1.000649613E9</v>
      </c>
      <c r="E222" s="759" t="s">
        <v>3652</v>
      </c>
      <c r="F222" s="759"/>
      <c r="G222" s="759" t="s">
        <v>3749</v>
      </c>
      <c r="H222" s="762">
        <v>1472263.0</v>
      </c>
      <c r="I222" s="759" t="s">
        <v>4014</v>
      </c>
      <c r="J222" s="759" t="s">
        <v>3656</v>
      </c>
      <c r="K222" s="759" t="s">
        <v>3657</v>
      </c>
      <c r="L222" s="759" t="s">
        <v>35</v>
      </c>
      <c r="M222" s="759" t="s">
        <v>4058</v>
      </c>
      <c r="N222" s="759" t="s">
        <v>4059</v>
      </c>
      <c r="O222" s="759" t="s">
        <v>264</v>
      </c>
      <c r="P222" s="761">
        <v>45313.611805555556</v>
      </c>
      <c r="Q222" s="759" t="s">
        <v>4060</v>
      </c>
      <c r="R222" s="761">
        <v>45313.65347222222</v>
      </c>
      <c r="S222" s="759" t="s">
        <v>3661</v>
      </c>
      <c r="T222" s="760">
        <v>26.0</v>
      </c>
      <c r="U222" s="761">
        <v>45318.0</v>
      </c>
      <c r="V222" s="761">
        <v>45318.31527777778</v>
      </c>
      <c r="W222" s="759" t="s">
        <v>3662</v>
      </c>
    </row>
    <row r="223" ht="15.75" customHeight="1">
      <c r="A223" s="759" t="s">
        <v>3387</v>
      </c>
      <c r="B223" s="759" t="s">
        <v>3387</v>
      </c>
      <c r="C223" s="760">
        <v>5.3153391E7</v>
      </c>
      <c r="D223" s="760">
        <v>1.000649819E9</v>
      </c>
      <c r="E223" s="759" t="s">
        <v>3652</v>
      </c>
      <c r="F223" s="760">
        <v>3899719.0</v>
      </c>
      <c r="G223" s="759" t="s">
        <v>3653</v>
      </c>
      <c r="H223" s="759" t="s">
        <v>4061</v>
      </c>
      <c r="I223" s="759" t="s">
        <v>4014</v>
      </c>
      <c r="J223" s="759" t="s">
        <v>3656</v>
      </c>
      <c r="K223" s="759" t="s">
        <v>3657</v>
      </c>
      <c r="L223" s="759" t="s">
        <v>35</v>
      </c>
      <c r="M223" s="759" t="s">
        <v>3744</v>
      </c>
      <c r="N223" s="759" t="s">
        <v>1889</v>
      </c>
      <c r="O223" s="759" t="s">
        <v>93</v>
      </c>
      <c r="P223" s="761">
        <v>45313.58541666667</v>
      </c>
      <c r="Q223" s="759" t="s">
        <v>3745</v>
      </c>
      <c r="R223" s="761">
        <v>45313.62708333333</v>
      </c>
      <c r="S223" s="759" t="s">
        <v>3687</v>
      </c>
      <c r="T223" s="760">
        <v>26.0</v>
      </c>
      <c r="U223" s="761">
        <v>45318.0</v>
      </c>
      <c r="V223" s="761">
        <v>45318.569444444445</v>
      </c>
      <c r="W223" s="759" t="s">
        <v>3662</v>
      </c>
    </row>
    <row r="224" ht="15.75" hidden="1" customHeight="1">
      <c r="A224" s="759" t="s">
        <v>3389</v>
      </c>
      <c r="B224" s="763" t="s">
        <v>3390</v>
      </c>
      <c r="C224" s="760">
        <v>5.3164891E7</v>
      </c>
      <c r="D224" s="760">
        <v>1.00064983E9</v>
      </c>
      <c r="E224" s="759" t="s">
        <v>3652</v>
      </c>
      <c r="F224" s="760">
        <v>3917716.0</v>
      </c>
      <c r="G224" s="759" t="s">
        <v>3653</v>
      </c>
      <c r="H224" s="759" t="s">
        <v>3893</v>
      </c>
      <c r="I224" s="759" t="s">
        <v>3674</v>
      </c>
      <c r="J224" s="759" t="s">
        <v>3656</v>
      </c>
      <c r="K224" s="759" t="s">
        <v>3657</v>
      </c>
      <c r="L224" s="759" t="s">
        <v>35</v>
      </c>
      <c r="M224" s="759" t="s">
        <v>3683</v>
      </c>
      <c r="N224" s="759" t="s">
        <v>3684</v>
      </c>
      <c r="O224" s="759" t="s">
        <v>3685</v>
      </c>
      <c r="P224" s="761">
        <v>45313.62430555555</v>
      </c>
      <c r="Q224" s="759" t="s">
        <v>3686</v>
      </c>
      <c r="R224" s="761">
        <v>45313.665972222225</v>
      </c>
      <c r="S224" s="759" t="s">
        <v>3687</v>
      </c>
      <c r="T224" s="760">
        <v>26.0</v>
      </c>
      <c r="U224" s="761">
        <v>45318.0</v>
      </c>
      <c r="V224" s="761">
        <v>45319.30138888889</v>
      </c>
      <c r="W224" s="759" t="s">
        <v>3662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224">
    <filterColumn colId="1">
      <filters>
        <filter val="Aceite"/>
      </filters>
    </filterColumn>
  </autoFilter>
  <drawing r:id="rId1"/>
</worksheet>
</file>